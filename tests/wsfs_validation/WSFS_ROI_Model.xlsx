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Journey Analysis" sheetId="5" state="visible" r:id="rId5"/>
    <sheet xmlns:r="http://schemas.openxmlformats.org/officeDocument/2006/relationships" name="Servicing Detail" sheetId="6" state="visible" r:id="rId6"/>
    <sheet xmlns:r="http://schemas.openxmlformats.org/officeDocument/2006/relationships" name="Model Inputs" sheetId="7" state="visible" r:id="rId7"/>
    <sheet xmlns:r="http://schemas.openxmlformats.org/officeDocument/2006/relationships" name="Scenario Data" sheetId="8" state="visible" r:id="rId8"/>
    <sheet xmlns:r="http://schemas.openxmlformats.org/officeDocument/2006/relationships" name="Bank Profile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Data Gaps" sheetId="11" state="visible" r:id="rId11"/>
  </sheets>
  <definedNames>
    <definedName name="ScenarioIndex">'Cashflows'!$C$5</definedName>
    <definedName name="DiscountRate">'Model Inputs'!$C11</definedName>
    <definedName name="License_Y1">'Model Inputs'!$C74</definedName>
    <definedName name="Impl_Y1">'Model Inputs'!$C81</definedName>
    <definedName name="License_Y2">'Model Inputs'!$C75</definedName>
    <definedName name="Impl_Y2">'Model Inputs'!$C82</definedName>
    <definedName name="License_Y3">'Model Inputs'!$C76</definedName>
    <definedName name="Impl_Y3">'Model Inputs'!$C83</definedName>
    <definedName name="License_Y4">'Model Inputs'!$C77</definedName>
    <definedName name="Impl_Y4">'Model Inputs'!$C84</definedName>
    <definedName name="License_Y5">'Model Inputs'!$C78</definedName>
    <definedName name="Impl_Y5">'Model Inputs'!$C85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3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i val="1"/>
      <sz val="10"/>
    </font>
    <font>
      <b val="1"/>
      <color rgb="00FFFFFF"/>
    </font>
    <font>
      <b val="1"/>
      <color rgb="001A56FF"/>
      <sz val="12"/>
    </font>
    <font>
      <b val="1"/>
      <color rgb="001A56FF"/>
      <sz val="11"/>
    </font>
    <font>
      <b val="1"/>
      <color rgb="0000B386"/>
      <sz val="11"/>
    </font>
    <font>
      <i val="1"/>
      <sz val="9"/>
    </font>
    <font>
      <b val="1"/>
      <sz val="10"/>
    </font>
    <font>
      <sz val="9"/>
    </font>
    <font>
      <b val="1"/>
      <color rgb="0000B386"/>
    </font>
    <font>
      <i val="1"/>
    </font>
    <font>
      <color rgb="0000B386"/>
    </font>
    <font>
      <color rgb="00666666"/>
      <sz val="8"/>
    </font>
    <font>
      <b val="1"/>
      <color rgb="0000B386"/>
      <sz val="12"/>
    </font>
    <font>
      <b val="1"/>
      <color rgb="001A56FF"/>
      <sz val="13"/>
    </font>
    <font>
      <b val="1"/>
      <color rgb="0000B386"/>
      <sz val="10"/>
    </font>
    <font>
      <b val="1"/>
      <sz val="11"/>
    </font>
    <font>
      <color rgb="0000B386"/>
      <sz val="9"/>
    </font>
    <font>
      <b val="1"/>
      <color rgb="001A56FF"/>
      <sz val="10"/>
    </font>
    <font>
      <b val="1"/>
      <sz val="14"/>
    </font>
    <font>
      <b val="1"/>
      <color rgb="0000B386"/>
      <sz val="14"/>
    </font>
    <font>
      <i val="1"/>
      <color rgb="0000B386"/>
      <sz val="10"/>
    </font>
    <font>
      <b val="1"/>
      <color rgb="00FF4444"/>
    </font>
    <font>
      <b val="1"/>
      <color rgb="001A56FF"/>
      <sz val="14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6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8" fillId="3" borderId="0" pivotButton="0" quotePrefix="0" xfId="0"/>
    <xf numFmtId="0" fontId="30" fillId="0" borderId="0" pivotButton="0" quotePrefix="0" xfId="0"/>
    <xf numFmtId="0" fontId="11" fillId="2" borderId="0" applyAlignment="1" pivotButton="0" quotePrefix="0" xfId="0">
      <alignment horizontal="center"/>
    </xf>
    <xf numFmtId="0" fontId="18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31" fillId="0" borderId="0" pivotButton="0" quotePrefix="0" xfId="0"/>
    <xf numFmtId="0" fontId="28" fillId="0" borderId="0" pivotButton="0" quotePrefix="0" xfId="0"/>
    <xf numFmtId="165" fontId="28" fillId="0" borderId="0" pivotButton="0" quotePrefix="0" xfId="0"/>
    <xf numFmtId="0" fontId="32" fillId="0" borderId="0" pivotButton="0" quotePrefix="0" xfId="0"/>
    <xf numFmtId="164" fontId="0" fillId="0" borderId="0" pivotButton="0" quotePrefix="0" xfId="0"/>
    <xf numFmtId="164" fontId="29" fillId="0" borderId="0" pivotButton="0" quotePrefix="0" xfId="0"/>
    <xf numFmtId="164" fontId="28" fillId="0" borderId="0" pivotButton="0" quotePrefix="0" xfId="0"/>
    <xf numFmtId="166" fontId="28" fillId="0" borderId="0" pivotButton="0" quotePrefix="0" xfId="0"/>
    <xf numFmtId="165" fontId="2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3" fontId="0" fillId="0" borderId="0" pivotButton="0" quotePrefix="0" xfId="0"/>
    <xf numFmtId="0" fontId="17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25" fillId="0" borderId="0" pivotButton="0" quotePrefix="0" xfId="0"/>
    <xf numFmtId="3" fontId="1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3" fontId="29" fillId="0" borderId="0" pivotButton="0" quotePrefix="0" xfId="0"/>
    <xf numFmtId="0" fontId="19" fillId="0" borderId="0" pivotButton="0" quotePrefix="0" xfId="0"/>
    <xf numFmtId="3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165" fontId="20" fillId="0" borderId="0" pivotButton="0" quotePrefix="0" xfId="0"/>
    <xf numFmtId="165" fontId="18" fillId="0" borderId="0" pivotButton="0" quotePrefix="0" xfId="0"/>
    <xf numFmtId="0" fontId="21" fillId="0" borderId="0" pivotButton="0" quotePrefix="0" xfId="0"/>
    <xf numFmtId="165" fontId="7" fillId="0" borderId="0" pivotButton="0" quotePrefix="0" xfId="0"/>
    <xf numFmtId="165" fontId="22" fillId="0" borderId="0" pivotButton="0" quotePrefix="0" xfId="0"/>
    <xf numFmtId="164" fontId="0" fillId="3" borderId="0" pivotButton="0" quotePrefix="0" xfId="0"/>
    <xf numFmtId="0" fontId="16" fillId="0" borderId="0" pivotButton="0" quotePrefix="0" xfId="0"/>
    <xf numFmtId="3" fontId="18" fillId="0" borderId="0" pivotButton="0" quotePrefix="0" xfId="0"/>
    <xf numFmtId="9" fontId="0" fillId="0" borderId="0" pivotButton="0" quotePrefix="0" xfId="0"/>
    <xf numFmtId="3" fontId="0" fillId="4" borderId="0" pivotButton="0" quotePrefix="0" xfId="0"/>
    <xf numFmtId="3" fontId="0" fillId="6" borderId="0" pivotButton="0" quotePrefix="0" xfId="0"/>
    <xf numFmtId="0" fontId="6" fillId="7" borderId="0" pivotButton="0" quotePrefix="0" xfId="0"/>
    <xf numFmtId="0" fontId="33" fillId="0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WSFS Bank (Wilmington Savings Fund Society)</t>
        </is>
      </c>
    </row>
    <row r="12">
      <c r="B12" s="3" t="inlineStr">
        <is>
          <t>Date:</t>
        </is>
      </c>
      <c r="C12" t="inlineStr">
        <is>
          <t>2026-02-27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t="inlineStr">
        <is>
          <t>Moderate</t>
        </is>
      </c>
    </row>
    <row r="20">
      <c r="B20" s="3" t="inlineStr">
        <is>
          <t>Discount Rate:</t>
        </is>
      </c>
      <c r="C20" t="inlineStr">
        <is>
          <t>12.0%</t>
        </is>
      </c>
    </row>
    <row r="24">
      <c r="B24" s="4" t="inlineStr">
        <is>
          <t>DATA SOURCE LEGEND</t>
        </is>
      </c>
    </row>
    <row r="26">
      <c r="B26" s="5" t="inlineStr">
        <is>
          <t>Green</t>
        </is>
      </c>
      <c r="C26" t="inlineStr">
        <is>
          <t>From transcript/client data</t>
        </is>
      </c>
    </row>
    <row r="27">
      <c r="B27" s="6" t="inlineStr">
        <is>
          <t>Yellow</t>
        </is>
      </c>
      <c r="C27" t="inlineStr">
        <is>
          <t>Estimate - requires validation</t>
        </is>
      </c>
    </row>
    <row r="28">
      <c r="B28" s="7" t="inlineStr">
        <is>
          <t>Blue</t>
        </is>
      </c>
      <c r="C28" t="inlineStr">
        <is>
          <t>Backbase benchmark</t>
        </is>
      </c>
    </row>
    <row r="29">
      <c r="B29" s="8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9" t="inlineStr">
        <is>
          <t>ROI Model Instructions</t>
        </is>
      </c>
    </row>
    <row r="4">
      <c r="B4" t="inlineStr"/>
    </row>
    <row r="5">
      <c r="B5" s="10" t="inlineStr">
        <is>
          <t>THIS IS A LIVE MODEL — all calculations use Excel formulas.</t>
        </is>
      </c>
    </row>
    <row r="6">
      <c r="B6" t="inlineStr">
        <is>
          <t>Changing any input on 'Model Inputs' will automatically recalculate all sheets.</t>
        </is>
      </c>
    </row>
    <row r="7">
      <c r="B7" t="inlineStr"/>
    </row>
    <row r="8">
      <c r="B8" s="10" t="inlineStr">
        <is>
          <t>SCENARIO SWITCHING</t>
        </is>
      </c>
    </row>
    <row r="9">
      <c r="B9" t="inlineStr">
        <is>
          <t>• Go to 'Model Inputs' sheet, cell C5</t>
        </is>
      </c>
    </row>
    <row r="10">
      <c r="B10" t="inlineStr">
        <is>
          <t>• Select: 1 = Conservative, 2 = Moderate, 3 = Aggressive</t>
        </is>
      </c>
    </row>
    <row r="11">
      <c r="B11" t="inlineStr">
        <is>
          <t>• All curves, impacts, and downstream calculations will update instantly</t>
        </is>
      </c>
    </row>
    <row r="12">
      <c r="B12" t="inlineStr"/>
    </row>
    <row r="13">
      <c r="B13" s="10" t="inlineStr">
        <is>
          <t>EDITING INPUTS</t>
        </is>
      </c>
    </row>
    <row r="14">
      <c r="B14" t="inlineStr">
        <is>
          <t>• Blue-shaded cells on 'Model Inputs' are editable — change volumes, rates, costs</t>
        </is>
      </c>
    </row>
    <row r="15">
      <c r="B15" t="inlineStr">
        <is>
          <t>• Yellow cells are estimates that should be validated with client data</t>
        </is>
      </c>
    </row>
    <row r="16">
      <c r="B16" t="inlineStr">
        <is>
          <t>• Green cells are from transcript — highest confidence</t>
        </is>
      </c>
    </row>
    <row r="17">
      <c r="B17" t="inlineStr"/>
    </row>
    <row r="18">
      <c r="B18" s="10" t="inlineStr">
        <is>
          <t>SHEET ARCHITECTURE</t>
        </is>
      </c>
    </row>
    <row r="19">
      <c r="B19" t="inlineStr">
        <is>
          <t>• Model Inputs → all editable parameters (INPUT layer)</t>
        </is>
      </c>
    </row>
    <row r="20">
      <c r="B20" t="inlineStr">
        <is>
          <t>• Scenario Data → three scenario definitions (reference table)</t>
        </is>
      </c>
    </row>
    <row r="21">
      <c r="B21" t="inlineStr">
        <is>
          <t>• Lever sheets → per-group calculations with formulas (CALCULATION layer)</t>
        </is>
      </c>
    </row>
    <row r="22">
      <c r="B22" t="inlineStr">
        <is>
          <t>• Cashflows → 5-year projection aggregating lever sheets (CALCULATION layer)</t>
        </is>
      </c>
    </row>
    <row r="23">
      <c r="B23" t="inlineStr">
        <is>
          <t>• Results Dashboard → summary KPIs from Cashflows (OUTPUT layer)</t>
        </is>
      </c>
    </row>
    <row r="24">
      <c r="B24" t="inlineStr"/>
    </row>
    <row r="25">
      <c r="B25" s="10" t="inlineStr">
        <is>
          <t>DATA CONFIDENCE LEVELS</t>
        </is>
      </c>
    </row>
    <row r="26">
      <c r="B26" t="inlineStr">
        <is>
          <t>• HIGH - Direct quote from transcript or validated client data</t>
        </is>
      </c>
    </row>
    <row r="27">
      <c r="B27" t="inlineStr">
        <is>
          <t>• MEDIUM - Inferred from transcript context or industry benchmark</t>
        </is>
      </c>
    </row>
    <row r="28">
      <c r="B28" t="inlineStr">
        <is>
          <t>• LOW - Estimate based on typical patterns - REQUIRES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6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9" t="inlineStr">
        <is>
          <t>Table of Contents</t>
        </is>
      </c>
    </row>
    <row r="5">
      <c r="B5" s="3" t="inlineStr">
        <is>
          <t>Input Layer</t>
        </is>
      </c>
      <c r="C5" t="inlineStr">
        <is>
          <t>Model Inputs — editable parameters</t>
        </is>
      </c>
    </row>
    <row r="6">
      <c r="B6" s="11" t="inlineStr"/>
      <c r="C6" t="inlineStr">
        <is>
          <t xml:space="preserve">  Scenario Data — Conservative / Moderate / Aggressive</t>
        </is>
      </c>
    </row>
    <row r="7">
      <c r="B7" s="3" t="inlineStr">
        <is>
          <t>Calculation</t>
        </is>
      </c>
      <c r="C7" t="inlineStr">
        <is>
          <t xml:space="preserve">  Servicing Detail — task-level breakdown</t>
        </is>
      </c>
    </row>
    <row r="8">
      <c r="B8" s="11" t="inlineStr"/>
      <c r="C8" t="inlineStr">
        <is>
          <t xml:space="preserve">  Lever: Digital Onboarding — Consumer Abandonment Recovery</t>
        </is>
      </c>
    </row>
    <row r="9">
      <c r="B9" s="11" t="inlineStr"/>
      <c r="C9" t="inlineStr">
        <is>
          <t xml:space="preserve">  Lever: Branch &amp; Call Center Deflection</t>
        </is>
      </c>
    </row>
    <row r="10">
      <c r="B10" s="11" t="inlineStr"/>
      <c r="C10" t="inlineStr">
        <is>
          <t xml:space="preserve">  Lever: Customer Retention — Digital Engagement &amp; Churn Reduction</t>
        </is>
      </c>
    </row>
    <row r="11">
      <c r="B11" s="11" t="inlineStr"/>
      <c r="C11" t="inlineStr">
        <is>
          <t xml:space="preserve">  Lever: SMB Digital Onboarding — Manual Process Efficiency</t>
        </is>
      </c>
    </row>
    <row r="12">
      <c r="B12" s="11" t="inlineStr"/>
      <c r="C12" t="inlineStr">
        <is>
          <t xml:space="preserve">  Lever: Cross-sell &amp; Product Deepening — Revenue Uplift</t>
        </is>
      </c>
    </row>
    <row r="13">
      <c r="B13" s="11" t="inlineStr"/>
      <c r="C13" t="inlineStr">
        <is>
          <t xml:space="preserve">  Cashflows — 5-year projection</t>
        </is>
      </c>
    </row>
    <row r="14">
      <c r="B14" s="3" t="inlineStr">
        <is>
          <t>Output Layer</t>
        </is>
      </c>
      <c r="C14" t="inlineStr">
        <is>
          <t>Results Dashboard — NPV, IRR, Payback, ROI</t>
        </is>
      </c>
    </row>
    <row r="15">
      <c r="B15" s="3" t="inlineStr">
        <is>
          <t>Reference</t>
        </is>
      </c>
      <c r="C15" t="inlineStr">
        <is>
          <t>Assumptions Register</t>
        </is>
      </c>
    </row>
    <row r="16">
      <c r="B16" s="11" t="inlineStr"/>
      <c r="C16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9" t="inlineStr">
        <is>
          <t>5 Year Cashflows &amp; ROI</t>
        </is>
      </c>
    </row>
    <row r="3">
      <c r="B3" s="12" t="inlineStr">
        <is>
          <t>All values are live formulas. Change the scenario below — Journey Analysis and Cashflows update automatically.</t>
        </is>
      </c>
    </row>
    <row r="4">
      <c r="B4" s="13" t="inlineStr">
        <is>
          <t>SCENARIO SELECTOR</t>
        </is>
      </c>
    </row>
    <row r="5">
      <c r="B5" t="inlineStr">
        <is>
          <t>Active Scenario (1=Conservative, 2=Moderate, 3=Aggressive)</t>
        </is>
      </c>
      <c r="C5" s="14" t="n">
        <v>2</v>
      </c>
    </row>
    <row r="6">
      <c r="B6" s="15">
        <f>IF(C5=1,"Conservative — slower adoption, cautious assumptions",IF(C5=2,"Moderate — base case, phased rollout","Aggressive — fast adoption, full benefit"))</f>
        <v/>
      </c>
    </row>
    <row r="8">
      <c r="B8" s="16" t="inlineStr"/>
      <c r="C8" s="16" t="inlineStr">
        <is>
          <t>Year 1</t>
        </is>
      </c>
      <c r="D8" s="16" t="inlineStr">
        <is>
          <t>Year 2</t>
        </is>
      </c>
      <c r="E8" s="16" t="inlineStr">
        <is>
          <t>Year 3</t>
        </is>
      </c>
      <c r="F8" s="16" t="inlineStr">
        <is>
          <t>Year 4</t>
        </is>
      </c>
      <c r="G8" s="16" t="inlineStr">
        <is>
          <t>Year 5</t>
        </is>
      </c>
      <c r="H8" s="16" t="inlineStr">
        <is>
          <t>Total</t>
        </is>
      </c>
    </row>
    <row r="9">
      <c r="B9" s="17" t="inlineStr">
        <is>
          <t>CASH INFLOWS (Benefits)</t>
        </is>
      </c>
    </row>
    <row r="10">
      <c r="B10" t="inlineStr">
        <is>
          <t>Digital Onboarding — Consumer Abandonment Recovery</t>
        </is>
      </c>
      <c r="C10" s="18">
        <f>'Journey Analysis'!C17*'Model Inputs'!C91*'Model Inputs'!C97</f>
        <v/>
      </c>
      <c r="D10" s="18">
        <f>'Journey Analysis'!C17*'Model Inputs'!C92*'Model Inputs'!C98</f>
        <v/>
      </c>
      <c r="E10" s="18">
        <f>'Journey Analysis'!C17*'Model Inputs'!C93*'Model Inputs'!C99</f>
        <v/>
      </c>
      <c r="F10" s="18">
        <f>'Journey Analysis'!C17*'Model Inputs'!C94*'Model Inputs'!C100</f>
        <v/>
      </c>
      <c r="G10" s="18">
        <f>'Journey Analysis'!C17*'Model Inputs'!C95*'Model Inputs'!C101</f>
        <v/>
      </c>
      <c r="H10" s="18">
        <f>SUM(C10:G10)</f>
        <v/>
      </c>
    </row>
    <row r="11">
      <c r="B11" t="inlineStr">
        <is>
          <t>Branch &amp; Call Center Deflection</t>
        </is>
      </c>
      <c r="C11" s="18">
        <f>'Journey Analysis'!C35*'Model Inputs'!C130*'Model Inputs'!C136</f>
        <v/>
      </c>
      <c r="D11" s="18">
        <f>'Journey Analysis'!C35*'Model Inputs'!C131*'Model Inputs'!C137</f>
        <v/>
      </c>
      <c r="E11" s="18">
        <f>'Journey Analysis'!C35*'Model Inputs'!C132*'Model Inputs'!C138</f>
        <v/>
      </c>
      <c r="F11" s="18">
        <f>'Journey Analysis'!C35*'Model Inputs'!C133*'Model Inputs'!C139</f>
        <v/>
      </c>
      <c r="G11" s="18">
        <f>'Journey Analysis'!C35*'Model Inputs'!C134*'Model Inputs'!C140</f>
        <v/>
      </c>
      <c r="H11" s="18">
        <f>SUM(C11:G11)</f>
        <v/>
      </c>
    </row>
    <row r="12">
      <c r="B12" t="inlineStr">
        <is>
          <t>Customer Retention — Digital Engagement &amp; Churn Reduction</t>
        </is>
      </c>
      <c r="C12" s="18">
        <f>'Journey Analysis'!C50*'Model Inputs'!C117*'Model Inputs'!C123</f>
        <v/>
      </c>
      <c r="D12" s="18">
        <f>'Journey Analysis'!C50*'Model Inputs'!C118*'Model Inputs'!C124</f>
        <v/>
      </c>
      <c r="E12" s="18">
        <f>'Journey Analysis'!C50*'Model Inputs'!C119*'Model Inputs'!C125</f>
        <v/>
      </c>
      <c r="F12" s="18">
        <f>'Journey Analysis'!C50*'Model Inputs'!C120*'Model Inputs'!C126</f>
        <v/>
      </c>
      <c r="G12" s="18">
        <f>'Journey Analysis'!C50*'Model Inputs'!C121*'Model Inputs'!C127</f>
        <v/>
      </c>
      <c r="H12" s="18">
        <f>SUM(C12:G12)</f>
        <v/>
      </c>
    </row>
    <row r="13">
      <c r="B13" t="inlineStr">
        <is>
          <t>SMB Digital Onboarding — Manual Process Efficiency</t>
        </is>
      </c>
      <c r="C13" s="18">
        <f>'Journey Analysis'!C65*'Model Inputs'!C91*'Model Inputs'!C97</f>
        <v/>
      </c>
      <c r="D13" s="18">
        <f>'Journey Analysis'!C65*'Model Inputs'!C92*'Model Inputs'!C98</f>
        <v/>
      </c>
      <c r="E13" s="18">
        <f>'Journey Analysis'!C65*'Model Inputs'!C93*'Model Inputs'!C99</f>
        <v/>
      </c>
      <c r="F13" s="18">
        <f>'Journey Analysis'!C65*'Model Inputs'!C94*'Model Inputs'!C100</f>
        <v/>
      </c>
      <c r="G13" s="18">
        <f>'Journey Analysis'!C65*'Model Inputs'!C95*'Model Inputs'!C101</f>
        <v/>
      </c>
      <c r="H13" s="18">
        <f>SUM(C13:G13)</f>
        <v/>
      </c>
    </row>
    <row r="14">
      <c r="B14" t="inlineStr">
        <is>
          <t>Cross-sell &amp; Product Deepening — Revenue Uplift</t>
        </is>
      </c>
      <c r="C14" s="18">
        <f>'Journey Analysis'!C81*'Model Inputs'!C91*'Model Inputs'!C97</f>
        <v/>
      </c>
      <c r="D14" s="18">
        <f>'Journey Analysis'!C81*'Model Inputs'!C92*'Model Inputs'!C98</f>
        <v/>
      </c>
      <c r="E14" s="18">
        <f>'Journey Analysis'!C81*'Model Inputs'!C93*'Model Inputs'!C99</f>
        <v/>
      </c>
      <c r="F14" s="18">
        <f>'Journey Analysis'!C81*'Model Inputs'!C94*'Model Inputs'!C100</f>
        <v/>
      </c>
      <c r="G14" s="18">
        <f>'Journey Analysis'!C81*'Model Inputs'!C95*'Model Inputs'!C101</f>
        <v/>
      </c>
      <c r="H14" s="18">
        <f>SUM(C14:G14)</f>
        <v/>
      </c>
    </row>
    <row r="16">
      <c r="B16" s="3" t="inlineStr">
        <is>
          <t>Total Cash Inflow</t>
        </is>
      </c>
      <c r="C16" s="19">
        <f>SUM(C10:C14)</f>
        <v/>
      </c>
      <c r="D16" s="19">
        <f>SUM(D10:D14)</f>
        <v/>
      </c>
      <c r="E16" s="19">
        <f>SUM(E10:E14)</f>
        <v/>
      </c>
      <c r="F16" s="19">
        <f>SUM(F10:F14)</f>
        <v/>
      </c>
      <c r="G16" s="19">
        <f>SUM(G10:G14)</f>
        <v/>
      </c>
      <c r="H16" s="19">
        <f>SUM(H10:H14)</f>
        <v/>
      </c>
    </row>
    <row r="19">
      <c r="B19" s="20" t="inlineStr">
        <is>
          <t>CASH OUTFLOWS (Investment)</t>
        </is>
      </c>
    </row>
    <row r="20">
      <c r="B20" t="inlineStr">
        <is>
          <t>License</t>
        </is>
      </c>
      <c r="C20" s="18">
        <f>'Model Inputs'!C74</f>
        <v/>
      </c>
      <c r="D20" s="18">
        <f>'Model Inputs'!C75</f>
        <v/>
      </c>
      <c r="E20" s="18">
        <f>'Model Inputs'!C76</f>
        <v/>
      </c>
      <c r="F20" s="18">
        <f>'Model Inputs'!C77</f>
        <v/>
      </c>
      <c r="G20" s="18">
        <f>'Model Inputs'!C78</f>
        <v/>
      </c>
      <c r="H20" s="18">
        <f>SUM(C20:G20)</f>
        <v/>
      </c>
    </row>
    <row r="21">
      <c r="B21" t="inlineStr">
        <is>
          <t>Implementation</t>
        </is>
      </c>
      <c r="C21" s="18">
        <f>'Model Inputs'!C81</f>
        <v/>
      </c>
      <c r="D21" s="18">
        <f>'Model Inputs'!C82</f>
        <v/>
      </c>
      <c r="E21" s="18">
        <f>'Model Inputs'!C83</f>
        <v/>
      </c>
      <c r="F21" s="18">
        <f>'Model Inputs'!C84</f>
        <v/>
      </c>
      <c r="G21" s="18">
        <f>'Model Inputs'!C85</f>
        <v/>
      </c>
      <c r="H21" s="18">
        <f>SUM(C21:G21)</f>
        <v/>
      </c>
    </row>
    <row r="22">
      <c r="B22" s="3" t="inlineStr">
        <is>
          <t>Total Cash Outflow</t>
        </is>
      </c>
      <c r="C22" s="19">
        <f>C20+C21</f>
        <v/>
      </c>
      <c r="D22" s="19">
        <f>D20+D21</f>
        <v/>
      </c>
      <c r="E22" s="19">
        <f>E20+E21</f>
        <v/>
      </c>
      <c r="F22" s="19">
        <f>F20+F21</f>
        <v/>
      </c>
      <c r="G22" s="19">
        <f>G20+G21</f>
        <v/>
      </c>
      <c r="H22" s="19">
        <f>H20+H21</f>
        <v/>
      </c>
    </row>
    <row r="25">
      <c r="B25" s="21" t="inlineStr">
        <is>
          <t>NET CASHFLOW</t>
        </is>
      </c>
      <c r="C25" s="19">
        <f>C16-C22</f>
        <v/>
      </c>
      <c r="D25" s="19">
        <f>D16-D22</f>
        <v/>
      </c>
      <c r="E25" s="19">
        <f>E16-E22</f>
        <v/>
      </c>
      <c r="F25" s="19">
        <f>F16-F22</f>
        <v/>
      </c>
      <c r="G25" s="19">
        <f>G16-G22</f>
        <v/>
      </c>
      <c r="H25" s="22">
        <f>SUM(C25:G25)</f>
        <v/>
      </c>
    </row>
    <row r="26">
      <c r="B26" t="inlineStr">
        <is>
          <t>Cumulative Cashflow</t>
        </is>
      </c>
      <c r="C26" s="18">
        <f>C25</f>
        <v/>
      </c>
      <c r="D26" s="18">
        <f>C26+D25</f>
        <v/>
      </c>
      <c r="E26" s="18">
        <f>D26+E25</f>
        <v/>
      </c>
      <c r="F26" s="18">
        <f>E26+F25</f>
        <v/>
      </c>
      <c r="G26" s="18">
        <f>F26+G25</f>
        <v/>
      </c>
    </row>
    <row r="30">
      <c r="B30" s="23" t="inlineStr">
        <is>
          <t>FINANCIAL METRICS</t>
        </is>
      </c>
    </row>
    <row r="31">
      <c r="B31" t="inlineStr">
        <is>
          <t>Discount Rate (WACC)</t>
        </is>
      </c>
      <c r="C31" s="24">
        <f>'Model Inputs'!C11</f>
        <v/>
      </c>
    </row>
    <row r="32">
      <c r="B32" t="inlineStr">
        <is>
          <t>Total 5-Year Benefits</t>
        </is>
      </c>
      <c r="C32" s="22">
        <f>H16</f>
        <v/>
      </c>
    </row>
    <row r="33">
      <c r="B33" t="inlineStr">
        <is>
          <t>Total 5-Year Investment</t>
        </is>
      </c>
      <c r="C33" s="18">
        <f>H22</f>
        <v/>
      </c>
    </row>
    <row r="34">
      <c r="B34" t="inlineStr">
        <is>
          <t>Net Benefit</t>
        </is>
      </c>
      <c r="C34" s="22">
        <f>C32-C33</f>
        <v/>
      </c>
    </row>
    <row r="35">
      <c r="B35" t="inlineStr">
        <is>
          <t>ROI %</t>
        </is>
      </c>
      <c r="C35" s="25">
        <f>IFERROR((C32-C33)/C33,0)</f>
        <v/>
      </c>
    </row>
    <row r="36">
      <c r="B36" t="inlineStr">
        <is>
          <t>Net Present Value (NPV)</t>
        </is>
      </c>
      <c r="C36" s="22">
        <f>NPV(C31,C25:G25)</f>
        <v/>
      </c>
    </row>
    <row r="37">
      <c r="B37" t="inlineStr">
        <is>
          <t>Internal Rate of Return (IRR)</t>
        </is>
      </c>
      <c r="C37" s="26">
        <f>IFERROR(IRR(C25:G25),"N/A")</f>
        <v/>
      </c>
    </row>
    <row r="38">
      <c r="B38" t="inlineStr">
        <is>
          <t>Payback Period (Years)</t>
        </is>
      </c>
      <c r="C38" s="27">
        <f>IF(C26&gt;=0,1-((C26-C25)/C25),IF(D26&gt;=0,2-((D26-D25)/D25),IF(E26&gt;=0,3-((E26-E25)/E25),IF(F26&gt;=0,4-((F26-F25)/F25),IF(G26&gt;=0,5-((G26-G25)/G25),"N/A")))))</f>
        <v/>
      </c>
    </row>
    <row r="42">
      <c r="B42" s="23" t="inlineStr">
        <is>
          <t>BENEFITS BY LEVER (Annual Steady State)</t>
        </is>
      </c>
    </row>
    <row r="44">
      <c r="B44" s="16" t="inlineStr">
        <is>
          <t>Lever Group</t>
        </is>
      </c>
      <c r="C44" s="16" t="inlineStr">
        <is>
          <t>Lifecycle Stage</t>
        </is>
      </c>
      <c r="D44" s="16" t="inlineStr">
        <is>
          <t>Annual Benefit</t>
        </is>
      </c>
    </row>
    <row r="45">
      <c r="B45" t="inlineStr">
        <is>
          <t>Digital Onboarding — Consumer Abandonment Recovery</t>
        </is>
      </c>
      <c r="C45" t="inlineStr"/>
      <c r="D45" s="19">
        <f>'Journey Analysis'!C17</f>
        <v/>
      </c>
    </row>
    <row r="46">
      <c r="B46" t="inlineStr">
        <is>
          <t>Branch &amp; Call Center Deflection</t>
        </is>
      </c>
      <c r="C46" t="inlineStr"/>
      <c r="D46" s="19">
        <f>'Journey Analysis'!C35</f>
        <v/>
      </c>
    </row>
    <row r="47">
      <c r="B47" t="inlineStr">
        <is>
          <t>Customer Retention — Digital Engagement &amp; Churn Reduction</t>
        </is>
      </c>
      <c r="C47" t="inlineStr"/>
      <c r="D47" s="19">
        <f>'Journey Analysis'!C50</f>
        <v/>
      </c>
    </row>
    <row r="48">
      <c r="B48" t="inlineStr">
        <is>
          <t>SMB Digital Onboarding — Manual Process Efficiency</t>
        </is>
      </c>
      <c r="C48" t="inlineStr"/>
      <c r="D48" s="19">
        <f>'Journey Analysis'!C65</f>
        <v/>
      </c>
    </row>
    <row r="49">
      <c r="B49" t="inlineStr">
        <is>
          <t>Cross-sell &amp; Product Deepening — Revenue Uplift</t>
        </is>
      </c>
      <c r="C49" t="inlineStr"/>
      <c r="D49" s="19">
        <f>'Journey Analysis'!C81</f>
        <v/>
      </c>
    </row>
    <row r="50">
      <c r="B50" s="3" t="inlineStr">
        <is>
          <t>TOTAL</t>
        </is>
      </c>
      <c r="D50" s="28">
        <f>SUM(D45:D49)</f>
        <v/>
      </c>
    </row>
  </sheetData>
  <dataValidations count="1">
    <dataValidation sqref="C5" showDropDown="0" showInputMessage="0" showErrorMessage="0" allowBlank="0" errorTitle="Invalid Scenario" error="Select 1 (Conservative), 2 (Moderate), or 3 (Aggressive)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8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5" customWidth="1" min="4" max="4"/>
  </cols>
  <sheetData>
    <row r="1">
      <c r="B1" s="9" t="inlineStr">
        <is>
          <t>Journey Analysis — Benefit Calculation Chain</t>
        </is>
      </c>
    </row>
    <row r="2">
      <c r="B2" s="29" t="inlineStr">
        <is>
          <t>Active Scenario:</t>
        </is>
      </c>
      <c r="C2" s="30">
        <f>IF('Cashflows'!$C$5=1,"Conservative",IF('Cashflows'!$C$5=2,"Moderate","Aggressive"))</f>
        <v/>
      </c>
      <c r="D2" s="31" t="inlineStr">
        <is>
          <t>(Change on Cashflows sheet)</t>
        </is>
      </c>
    </row>
    <row r="3">
      <c r="B3" s="12" t="inlineStr">
        <is>
          <t>Each lever: input factors → Baseline (formula) → × Backbase Impact → Annual Benefit. Change scenario on Cashflows to update scenario-linked impacts.</t>
        </is>
      </c>
    </row>
    <row r="5">
      <c r="B5" s="32" t="inlineStr">
        <is>
          <t>Digital Onboarding — Consumer Abandonment Recovery</t>
        </is>
      </c>
    </row>
    <row r="6">
      <c r="B6" s="31" t="inlineStr">
        <is>
          <t>Evidence: T-001, T-002</t>
        </is>
      </c>
    </row>
    <row r="7">
      <c r="B7" s="30" t="inlineStr">
        <is>
          <t>Revenue Generation</t>
        </is>
      </c>
    </row>
    <row r="8">
      <c r="B8" s="33" t="inlineStr">
        <is>
          <t xml:space="preserve">  Consumer App Abandonment Recovery</t>
        </is>
      </c>
      <c r="D8" s="31" t="inlineStr">
        <is>
          <t>Revenue</t>
        </is>
      </c>
    </row>
    <row r="9">
      <c r="B9" s="16" t="inlineStr">
        <is>
          <t>Factor</t>
        </is>
      </c>
      <c r="C9" s="16" t="inlineStr">
        <is>
          <t>Value</t>
        </is>
      </c>
      <c r="D9" s="16" t="inlineStr">
        <is>
          <t>Unit</t>
        </is>
      </c>
    </row>
    <row r="10">
      <c r="B10" t="inlineStr">
        <is>
          <t xml:space="preserve">    Annual Lost Apps</t>
        </is>
      </c>
      <c r="C10" s="34">
        <f>'Model Inputs'!C18</f>
        <v/>
      </c>
      <c r="D10" s="35" t="inlineStr">
        <is>
          <t>applications/year</t>
        </is>
      </c>
    </row>
    <row r="11">
      <c r="B11" t="inlineStr">
        <is>
          <t xml:space="preserve">    Revenue Per Customer Relationship</t>
        </is>
      </c>
      <c r="C11">
        <f>'Model Inputs'!C19</f>
        <v/>
      </c>
      <c r="D11" s="35" t="inlineStr">
        <is>
          <t>USD/customer/year</t>
        </is>
      </c>
    </row>
    <row r="12">
      <c r="B12" s="3" t="inlineStr">
        <is>
          <t xml:space="preserve">    Baseline</t>
        </is>
      </c>
      <c r="C12" s="36">
        <f>C10 * C11</f>
        <v/>
      </c>
      <c r="D12" s="35" t="inlineStr">
        <is>
          <t>USD/year</t>
        </is>
      </c>
    </row>
    <row r="13">
      <c r="B13" s="3" t="inlineStr">
        <is>
          <t xml:space="preserve">    Backbase Impact</t>
        </is>
      </c>
      <c r="C13" s="37">
        <f>'Model Inputs'!C20</f>
        <v/>
      </c>
      <c r="D13" s="31" t="inlineStr">
        <is>
          <t>% of baseline captured by Backbase</t>
        </is>
      </c>
    </row>
    <row r="14">
      <c r="B14" s="38" t="inlineStr">
        <is>
          <t xml:space="preserve">    Annual Benefit</t>
        </is>
      </c>
      <c r="C14" s="39">
        <f>C12*C13</f>
        <v/>
      </c>
      <c r="D14" s="40" t="inlineStr">
        <is>
          <t>USD/year (scenario-adjusted)</t>
        </is>
      </c>
    </row>
    <row r="17">
      <c r="B17" s="38" t="inlineStr">
        <is>
          <t>Total: Digital Onboarding — Consumer Abandonment Recovery</t>
        </is>
      </c>
      <c r="C17" s="39">
        <f>C14</f>
        <v/>
      </c>
    </row>
    <row r="20">
      <c r="B20" s="32" t="inlineStr">
        <is>
          <t>Branch &amp; Call Center Deflection</t>
        </is>
      </c>
    </row>
    <row r="21">
      <c r="B21" s="31" t="inlineStr">
        <is>
          <t>Evidence: T-003, T-004, T-005</t>
        </is>
      </c>
    </row>
    <row r="22">
      <c r="B22" s="29" t="inlineStr">
        <is>
          <t>Cost Reduction</t>
        </is>
      </c>
    </row>
    <row r="23">
      <c r="B23" s="41" t="inlineStr">
        <is>
          <t xml:space="preserve">  Consumer &amp; SMB Servicing Cost Avoidance</t>
        </is>
      </c>
      <c r="D23" s="31" t="inlineStr">
        <is>
          <t>Cost</t>
        </is>
      </c>
    </row>
    <row r="24">
      <c r="B24" s="16" t="inlineStr">
        <is>
          <t>Factor</t>
        </is>
      </c>
      <c r="C24" s="16" t="inlineStr">
        <is>
          <t>Value</t>
        </is>
      </c>
      <c r="D24" s="16" t="inlineStr">
        <is>
          <t>Unit</t>
        </is>
      </c>
    </row>
    <row r="25">
      <c r="B25" t="inlineStr">
        <is>
          <t xml:space="preserve">    Consumer Call Center Baseline</t>
        </is>
      </c>
      <c r="C25" s="34">
        <f>'Model Inputs'!C27</f>
        <v/>
      </c>
      <c r="D25" s="35" t="inlineStr">
        <is>
          <t>USD/year</t>
        </is>
      </c>
    </row>
    <row r="26">
      <c r="B26" t="inlineStr">
        <is>
          <t xml:space="preserve">    Branch Visits Baseline</t>
        </is>
      </c>
      <c r="C26" s="34">
        <f>'Model Inputs'!C28</f>
        <v/>
      </c>
      <c r="D26" s="35" t="inlineStr">
        <is>
          <t>USD/year</t>
        </is>
      </c>
    </row>
    <row r="27">
      <c r="B27" t="inlineStr">
        <is>
          <t xml:space="preserve">    Smb Servicing Baseline</t>
        </is>
      </c>
      <c r="C27" s="34">
        <f>'Model Inputs'!C29</f>
        <v/>
      </c>
      <c r="D27" s="35" t="inlineStr">
        <is>
          <t>USD/year</t>
        </is>
      </c>
    </row>
    <row r="28">
      <c r="B28" s="3" t="inlineStr">
        <is>
          <t xml:space="preserve">    Baseline</t>
        </is>
      </c>
      <c r="C28" s="36">
        <f>C25 + C26 + C27</f>
        <v/>
      </c>
      <c r="D28" s="35" t="inlineStr">
        <is>
          <t>USD/year</t>
        </is>
      </c>
    </row>
    <row r="29">
      <c r="B29" s="3" t="inlineStr">
        <is>
          <t xml:space="preserve">    Backbase Impact</t>
        </is>
      </c>
      <c r="C29" s="37">
        <f>'Model Inputs'!C30</f>
        <v/>
      </c>
      <c r="D29" s="31" t="inlineStr">
        <is>
          <t>% of baseline captured by Backbase</t>
        </is>
      </c>
    </row>
    <row r="30">
      <c r="B30" s="38" t="inlineStr">
        <is>
          <t xml:space="preserve">    Annual Benefit</t>
        </is>
      </c>
      <c r="C30" s="39">
        <f>C28*C29</f>
        <v/>
      </c>
      <c r="D30" s="40" t="inlineStr">
        <is>
          <t>USD/year (scenario-adjusted)</t>
        </is>
      </c>
    </row>
    <row r="32">
      <c r="B32" s="29" t="inlineStr">
        <is>
          <t>Servicing Cost Avoidance</t>
        </is>
      </c>
    </row>
    <row r="33">
      <c r="B33" t="inlineStr">
        <is>
          <t xml:space="preserve">  Servicing Total (see Servicing Detail sheet)</t>
        </is>
      </c>
      <c r="C33" s="34">
        <f>'Servicing Detail'!K22</f>
        <v/>
      </c>
    </row>
    <row r="35">
      <c r="B35" s="38" t="inlineStr">
        <is>
          <t>Total: Branch &amp; Call Center Deflection</t>
        </is>
      </c>
      <c r="C35" s="39">
        <f>C30+C33</f>
        <v/>
      </c>
    </row>
    <row r="38">
      <c r="B38" s="32" t="inlineStr">
        <is>
          <t>Customer Retention — Digital Engagement &amp; Churn Reduction</t>
        </is>
      </c>
    </row>
    <row r="39">
      <c r="B39" s="31" t="inlineStr">
        <is>
          <t>Evidence: T-006, T-007</t>
        </is>
      </c>
    </row>
    <row r="40">
      <c r="B40" s="30" t="inlineStr">
        <is>
          <t>Revenue Generation</t>
        </is>
      </c>
    </row>
    <row r="41">
      <c r="B41" s="33" t="inlineStr">
        <is>
          <t xml:space="preserve">  Consumer Attrition Reduction</t>
        </is>
      </c>
      <c r="D41" s="31" t="inlineStr">
        <is>
          <t>Revenue</t>
        </is>
      </c>
    </row>
    <row r="42">
      <c r="B42" s="16" t="inlineStr">
        <is>
          <t>Factor</t>
        </is>
      </c>
      <c r="C42" s="16" t="inlineStr">
        <is>
          <t>Value</t>
        </is>
      </c>
      <c r="D42" s="16" t="inlineStr">
        <is>
          <t>Unit</t>
        </is>
      </c>
    </row>
    <row r="43">
      <c r="B43" t="inlineStr">
        <is>
          <t xml:space="preserve">    Annual Churning Customers</t>
        </is>
      </c>
      <c r="C43" s="34">
        <f>'Model Inputs'!C37</f>
        <v/>
      </c>
      <c r="D43" s="35" t="inlineStr">
        <is>
          <t>customers/year</t>
        </is>
      </c>
    </row>
    <row r="44">
      <c r="B44" t="inlineStr">
        <is>
          <t xml:space="preserve">    Full Relationship Value</t>
        </is>
      </c>
      <c r="C44">
        <f>'Model Inputs'!C38</f>
        <v/>
      </c>
      <c r="D44" s="35" t="inlineStr">
        <is>
          <t>USD/customer/year</t>
        </is>
      </c>
    </row>
    <row r="45">
      <c r="B45" s="3" t="inlineStr">
        <is>
          <t xml:space="preserve">    Baseline</t>
        </is>
      </c>
      <c r="C45" s="36">
        <f>C43 * C44</f>
        <v/>
      </c>
      <c r="D45" s="35" t="inlineStr">
        <is>
          <t>USD/year</t>
        </is>
      </c>
    </row>
    <row r="46">
      <c r="B46" s="3" t="inlineStr">
        <is>
          <t xml:space="preserve">    Backbase Impact</t>
        </is>
      </c>
      <c r="C46" s="37">
        <f>'Model Inputs'!C39</f>
        <v/>
      </c>
      <c r="D46" s="31" t="inlineStr">
        <is>
          <t>% of baseline captured by Backbase</t>
        </is>
      </c>
    </row>
    <row r="47">
      <c r="B47" s="38" t="inlineStr">
        <is>
          <t xml:space="preserve">    Annual Benefit</t>
        </is>
      </c>
      <c r="C47" s="39">
        <f>C45*C46</f>
        <v/>
      </c>
      <c r="D47" s="40" t="inlineStr">
        <is>
          <t>USD/year (scenario-adjusted)</t>
        </is>
      </c>
    </row>
    <row r="50">
      <c r="B50" s="38" t="inlineStr">
        <is>
          <t>Total: Customer Retention — Digital Engagement &amp; Churn Reduction</t>
        </is>
      </c>
      <c r="C50" s="39">
        <f>C47</f>
        <v/>
      </c>
    </row>
    <row r="53">
      <c r="B53" s="32" t="inlineStr">
        <is>
          <t>SMB Digital Onboarding — Manual Process Efficiency</t>
        </is>
      </c>
    </row>
    <row r="54">
      <c r="B54" s="31" t="inlineStr">
        <is>
          <t>Evidence: T-008, T-009</t>
        </is>
      </c>
    </row>
    <row r="55">
      <c r="B55" s="29" t="inlineStr">
        <is>
          <t>Cost Reduction</t>
        </is>
      </c>
    </row>
    <row r="56">
      <c r="B56" s="41" t="inlineStr">
        <is>
          <t xml:space="preserve">  SMB Onboarding Labor Cost Reduction</t>
        </is>
      </c>
      <c r="D56" s="31" t="inlineStr">
        <is>
          <t>Cost</t>
        </is>
      </c>
    </row>
    <row r="57">
      <c r="B57" s="16" t="inlineStr">
        <is>
          <t>Factor</t>
        </is>
      </c>
      <c r="C57" s="16" t="inlineStr">
        <is>
          <t>Value</t>
        </is>
      </c>
      <c r="D57" s="16" t="inlineStr">
        <is>
          <t>Unit</t>
        </is>
      </c>
    </row>
    <row r="58">
      <c r="B58" t="inlineStr">
        <is>
          <t xml:space="preserve">    Annual New Smb Accounts</t>
        </is>
      </c>
      <c r="C58">
        <f>'Model Inputs'!C46</f>
        <v/>
      </c>
      <c r="D58" s="35" t="inlineStr">
        <is>
          <t>accounts/year</t>
        </is>
      </c>
    </row>
    <row r="59">
      <c r="B59" t="inlineStr">
        <is>
          <t xml:space="preserve">    Avg Onboarding Cost Per Account</t>
        </is>
      </c>
      <c r="C59" s="34">
        <f>'Model Inputs'!C47</f>
        <v/>
      </c>
      <c r="D59" s="35" t="inlineStr">
        <is>
          <t>USD/account</t>
        </is>
      </c>
    </row>
    <row r="60">
      <c r="B60" s="3" t="inlineStr">
        <is>
          <t xml:space="preserve">    Baseline</t>
        </is>
      </c>
      <c r="C60" s="36">
        <f>C58 * C59</f>
        <v/>
      </c>
      <c r="D60" s="35" t="inlineStr">
        <is>
          <t>USD/year</t>
        </is>
      </c>
    </row>
    <row r="61">
      <c r="B61" s="3" t="inlineStr">
        <is>
          <t xml:space="preserve">    Backbase Impact</t>
        </is>
      </c>
      <c r="C61" s="37">
        <f>'Model Inputs'!C48</f>
        <v/>
      </c>
      <c r="D61" s="31" t="inlineStr">
        <is>
          <t>% of baseline captured by Backbase</t>
        </is>
      </c>
    </row>
    <row r="62">
      <c r="B62" s="38" t="inlineStr">
        <is>
          <t xml:space="preserve">    Annual Benefit</t>
        </is>
      </c>
      <c r="C62" s="39">
        <f>C60*C61</f>
        <v/>
      </c>
      <c r="D62" s="40" t="inlineStr">
        <is>
          <t>USD/year (scenario-adjusted)</t>
        </is>
      </c>
    </row>
    <row r="65">
      <c r="B65" s="38" t="inlineStr">
        <is>
          <t>Total: SMB Digital Onboarding — Manual Process Efficiency</t>
        </is>
      </c>
      <c r="C65" s="39">
        <f>C62</f>
        <v/>
      </c>
    </row>
    <row r="68">
      <c r="B68" s="32" t="inlineStr">
        <is>
          <t>Cross-sell &amp; Product Deepening — Revenue Uplift</t>
        </is>
      </c>
    </row>
    <row r="69">
      <c r="B69" s="31" t="inlineStr">
        <is>
          <t>Evidence: T-010, T-011</t>
        </is>
      </c>
    </row>
    <row r="70">
      <c r="B70" s="30" t="inlineStr">
        <is>
          <t>Revenue Generation</t>
        </is>
      </c>
    </row>
    <row r="71">
      <c r="B71" s="33" t="inlineStr">
        <is>
          <t xml:space="preserve">  Products-per-Customer Uplift via Digital Engagement</t>
        </is>
      </c>
      <c r="D71" s="31" t="inlineStr">
        <is>
          <t>Revenue</t>
        </is>
      </c>
    </row>
    <row r="72">
      <c r="B72" s="16" t="inlineStr">
        <is>
          <t>Factor</t>
        </is>
      </c>
      <c r="C72" s="16" t="inlineStr">
        <is>
          <t>Value</t>
        </is>
      </c>
      <c r="D72" s="16" t="inlineStr">
        <is>
          <t>Unit</t>
        </is>
      </c>
    </row>
    <row r="73">
      <c r="B73" t="inlineStr">
        <is>
          <t xml:space="preserve">    Addressable Customers</t>
        </is>
      </c>
      <c r="C73" s="34">
        <f>'Model Inputs'!C55</f>
        <v/>
      </c>
      <c r="D73" s="35" t="inlineStr">
        <is>
          <t>customers</t>
        </is>
      </c>
    </row>
    <row r="74">
      <c r="B74" t="inlineStr">
        <is>
          <t xml:space="preserve">    Products Gap Per Customer</t>
        </is>
      </c>
      <c r="C74">
        <f>'Model Inputs'!C56</f>
        <v/>
      </c>
      <c r="D74" s="35" t="inlineStr">
        <is>
          <t>products/customer</t>
        </is>
      </c>
    </row>
    <row r="75">
      <c r="B75" t="inlineStr">
        <is>
          <t xml:space="preserve">    Avg Product Revenue Per Year</t>
        </is>
      </c>
      <c r="C75">
        <f>'Model Inputs'!C57</f>
        <v/>
      </c>
      <c r="D75" s="35" t="inlineStr">
        <is>
          <t>USD/product/year</t>
        </is>
      </c>
    </row>
    <row r="76">
      <c r="B76" s="3" t="inlineStr">
        <is>
          <t xml:space="preserve">    Baseline</t>
        </is>
      </c>
      <c r="C76" s="36">
        <f>C73 * C74 * C75</f>
        <v/>
      </c>
      <c r="D76" s="35" t="inlineStr">
        <is>
          <t>USD/year</t>
        </is>
      </c>
    </row>
    <row r="77">
      <c r="B77" s="3" t="inlineStr">
        <is>
          <t xml:space="preserve">    Backbase Impact</t>
        </is>
      </c>
      <c r="C77" s="37">
        <f>'Model Inputs'!C58</f>
        <v/>
      </c>
      <c r="D77" s="31" t="inlineStr">
        <is>
          <t>% of baseline captured by Backbase</t>
        </is>
      </c>
    </row>
    <row r="78">
      <c r="B78" s="38" t="inlineStr">
        <is>
          <t xml:space="preserve">    Annual Benefit</t>
        </is>
      </c>
      <c r="C78" s="39">
        <f>C76*C77</f>
        <v/>
      </c>
      <c r="D78" s="40" t="inlineStr">
        <is>
          <t>USD/year (scenario-adjusted)</t>
        </is>
      </c>
    </row>
    <row r="81">
      <c r="B81" s="38" t="inlineStr">
        <is>
          <t>Total: Cross-sell &amp; Product Deepening — Revenue Uplift</t>
        </is>
      </c>
      <c r="C81" s="39">
        <f>C78</f>
        <v/>
      </c>
    </row>
    <row r="84">
      <c r="B84" s="21" t="inlineStr">
        <is>
          <t>GRAND TOTAL — ALL LEVERS</t>
        </is>
      </c>
    </row>
    <row r="85">
      <c r="B85" s="16" t="inlineStr"/>
      <c r="C85" s="16" t="inlineStr">
        <is>
          <t>Annual Benefit</t>
        </is>
      </c>
      <c r="D85" s="16" t="inlineStr"/>
    </row>
    <row r="86">
      <c r="B86" s="4" t="inlineStr">
        <is>
          <t>Total Annual Benefit (Scenario-Adjusted, Steady State)</t>
        </is>
      </c>
      <c r="C86" s="42">
        <f>C17+C35+C50+C65+C81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>
      <c r="B1" s="9" t="inlineStr">
        <is>
          <t>Customer Servicing — Channel Analysis</t>
        </is>
      </c>
    </row>
    <row r="3">
      <c r="B3" s="12" t="inlineStr">
        <is>
          <t>Vol Saving = Baseline × Vol Deflection. Time Saving = Remaining Vol × Time × Time Reduction × Rate. Total = Vol + Time Saving.</t>
        </is>
      </c>
    </row>
    <row r="5">
      <c r="B5" s="16" t="inlineStr">
        <is>
          <t>Task</t>
        </is>
      </c>
      <c r="C5" s="16" t="inlineStr">
        <is>
          <t>Volume</t>
        </is>
      </c>
      <c r="D5" s="16" t="inlineStr">
        <is>
          <t>Time (hrs)</t>
        </is>
      </c>
      <c r="E5" s="16" t="inlineStr">
        <is>
          <t>Rate</t>
        </is>
      </c>
      <c r="F5" s="16" t="inlineStr">
        <is>
          <t>Baseline</t>
        </is>
      </c>
      <c r="G5" s="16" t="inlineStr">
        <is>
          <t>Vol Deflection</t>
        </is>
      </c>
      <c r="H5" s="16" t="inlineStr">
        <is>
          <t>Time Reduction</t>
        </is>
      </c>
      <c r="I5" s="16" t="inlineStr">
        <is>
          <t>Vol Saving</t>
        </is>
      </c>
      <c r="J5" s="16" t="inlineStr">
        <is>
          <t>Time Saving</t>
        </is>
      </c>
      <c r="K5" s="16" t="inlineStr">
        <is>
          <t>Total Saved</t>
        </is>
      </c>
      <c r="L5" s="16" t="inlineStr">
        <is>
          <t>Source</t>
        </is>
      </c>
    </row>
    <row r="6">
      <c r="B6" s="43" t="inlineStr">
        <is>
          <t>Evidence: T-003, T-004, T-005</t>
        </is>
      </c>
    </row>
    <row r="8">
      <c r="B8" s="13" t="inlineStr">
        <is>
          <t>Branch</t>
        </is>
      </c>
    </row>
    <row r="9">
      <c r="B9" t="inlineStr">
        <is>
          <t>Credit Card Payments / Simple Transfers</t>
        </is>
      </c>
      <c r="C9" s="44" t="n">
        <v>55000</v>
      </c>
      <c r="D9" s="45" t="n">
        <v>0.25</v>
      </c>
      <c r="E9" s="46" t="n">
        <v>20</v>
      </c>
      <c r="F9" s="18">
        <f>C9*D9*E9</f>
        <v/>
      </c>
      <c r="G9" s="47" t="n">
        <v>0.55</v>
      </c>
      <c r="H9" s="47" t="n">
        <v>0.2</v>
      </c>
      <c r="I9" s="48">
        <f>F9*G9</f>
        <v/>
      </c>
      <c r="J9" s="48">
        <f>C9*(1-G9)*D9*H9*E9</f>
        <v/>
      </c>
      <c r="K9" s="49">
        <f>I9+J9</f>
        <v/>
      </c>
      <c r="L9" s="50" t="inlineStr"/>
    </row>
    <row r="10">
      <c r="B10" t="inlineStr">
        <is>
          <t>Account Maintenance (address, preferences)</t>
        </is>
      </c>
      <c r="C10" s="44" t="n">
        <v>30000</v>
      </c>
      <c r="D10" s="45" t="n">
        <v>0.25</v>
      </c>
      <c r="E10" s="46" t="n">
        <v>20</v>
      </c>
      <c r="F10" s="18">
        <f>C10*D10*E10</f>
        <v/>
      </c>
      <c r="G10" s="47" t="n">
        <v>0.5</v>
      </c>
      <c r="H10" s="47" t="n">
        <v>0.15</v>
      </c>
      <c r="I10" s="48">
        <f>F10*G10</f>
        <v/>
      </c>
      <c r="J10" s="48">
        <f>C10*(1-G10)*D10*H10*E10</f>
        <v/>
      </c>
      <c r="K10" s="49">
        <f>I10+J10</f>
        <v/>
      </c>
      <c r="L10" s="50" t="inlineStr"/>
    </row>
    <row r="11">
      <c r="B11" t="inlineStr">
        <is>
          <t>Statement / Document Requests</t>
        </is>
      </c>
      <c r="C11" s="44" t="n">
        <v>18000</v>
      </c>
      <c r="D11" s="45" t="n">
        <v>0.167</v>
      </c>
      <c r="E11" s="46" t="n">
        <v>20</v>
      </c>
      <c r="F11" s="18">
        <f>C11*D11*E11</f>
        <v/>
      </c>
      <c r="G11" s="47" t="n">
        <v>0.6</v>
      </c>
      <c r="H11" s="47" t="n">
        <v>0.25</v>
      </c>
      <c r="I11" s="48">
        <f>F11*G11</f>
        <v/>
      </c>
      <c r="J11" s="48">
        <f>C11*(1-G11)*D11*H11*E11</f>
        <v/>
      </c>
      <c r="K11" s="49">
        <f>I11+J11</f>
        <v/>
      </c>
      <c r="L11" s="50" t="inlineStr"/>
    </row>
    <row r="12">
      <c r="B12" s="3" t="inlineStr">
        <is>
          <t>Branch Subtotal</t>
        </is>
      </c>
      <c r="C12" s="36">
        <f>SUM(C9:C11)</f>
        <v/>
      </c>
      <c r="F12" s="19">
        <f>SUM(F9:F11)</f>
        <v/>
      </c>
      <c r="I12" s="19">
        <f>SUM(I9:I11)</f>
        <v/>
      </c>
      <c r="J12" s="19">
        <f>SUM(J9:J11)</f>
        <v/>
      </c>
      <c r="K12" s="49">
        <f>SUM(K9:K11)</f>
        <v/>
      </c>
    </row>
    <row r="14">
      <c r="B14" s="13" t="inlineStr">
        <is>
          <t>Call Center</t>
        </is>
      </c>
    </row>
    <row r="15">
      <c r="B15" t="inlineStr">
        <is>
          <t>Balance/Transaction Inquiries</t>
        </is>
      </c>
      <c r="C15" s="44" t="n">
        <v>150000</v>
      </c>
      <c r="D15" s="45" t="n">
        <v>0.083</v>
      </c>
      <c r="E15" s="46" t="n">
        <v>20</v>
      </c>
      <c r="F15" s="18">
        <f>C15*D15*E15</f>
        <v/>
      </c>
      <c r="G15" s="47" t="n">
        <v>0.6</v>
      </c>
      <c r="H15" s="47" t="n">
        <v>0.25</v>
      </c>
      <c r="I15" s="48">
        <f>F15*G15</f>
        <v/>
      </c>
      <c r="J15" s="48">
        <f>C15*(1-G15)*D15*H15*E15</f>
        <v/>
      </c>
      <c r="K15" s="49">
        <f>I15+J15</f>
        <v/>
      </c>
      <c r="L15" s="50" t="inlineStr"/>
    </row>
    <row r="16">
      <c r="B16" t="inlineStr">
        <is>
          <t>Bill Pay Support / Wire Initiation</t>
        </is>
      </c>
      <c r="C16" s="44" t="n">
        <v>80000</v>
      </c>
      <c r="D16" s="45" t="n">
        <v>0.25</v>
      </c>
      <c r="E16" s="46" t="n">
        <v>20</v>
      </c>
      <c r="F16" s="18">
        <f>C16*D16*E16</f>
        <v/>
      </c>
      <c r="G16" s="47" t="n">
        <v>0.4</v>
      </c>
      <c r="H16" s="47" t="n">
        <v>0.3</v>
      </c>
      <c r="I16" s="48">
        <f>F16*G16</f>
        <v/>
      </c>
      <c r="J16" s="48">
        <f>C16*(1-G16)*D16*H16*E16</f>
        <v/>
      </c>
      <c r="K16" s="49">
        <f>I16+J16</f>
        <v/>
      </c>
      <c r="L16" s="50" t="inlineStr"/>
    </row>
    <row r="17">
      <c r="B17" t="inlineStr">
        <is>
          <t>Account Profile Changes (address, alerts, user ID)</t>
        </is>
      </c>
      <c r="C17" s="44" t="n">
        <v>60000</v>
      </c>
      <c r="D17" s="45" t="n">
        <v>0.167</v>
      </c>
      <c r="E17" s="46" t="n">
        <v>20</v>
      </c>
      <c r="F17" s="18">
        <f>C17*D17*E17</f>
        <v/>
      </c>
      <c r="G17" s="47" t="n">
        <v>0.5</v>
      </c>
      <c r="H17" s="47" t="n">
        <v>0.2</v>
      </c>
      <c r="I17" s="48">
        <f>F17*G17</f>
        <v/>
      </c>
      <c r="J17" s="48">
        <f>C17*(1-G17)*D17*H17*E17</f>
        <v/>
      </c>
      <c r="K17" s="49">
        <f>I17+J17</f>
        <v/>
      </c>
      <c r="L17" s="50" t="inlineStr"/>
    </row>
    <row r="18">
      <c r="B18" t="inlineStr">
        <is>
          <t>Fraud / Card Management</t>
        </is>
      </c>
      <c r="C18" s="44" t="n">
        <v>40000</v>
      </c>
      <c r="D18" s="45" t="n">
        <v>0.333</v>
      </c>
      <c r="E18" s="46" t="n">
        <v>22</v>
      </c>
      <c r="F18" s="18">
        <f>C18*D18*E18</f>
        <v/>
      </c>
      <c r="G18" s="47" t="n">
        <v>0.2</v>
      </c>
      <c r="H18" s="47" t="n">
        <v>0.2</v>
      </c>
      <c r="I18" s="48">
        <f>F18*G18</f>
        <v/>
      </c>
      <c r="J18" s="48">
        <f>C18*(1-G18)*D18*H18*E18</f>
        <v/>
      </c>
      <c r="K18" s="49">
        <f>I18+J18</f>
        <v/>
      </c>
      <c r="L18" s="50" t="inlineStr"/>
    </row>
    <row r="19">
      <c r="B19" t="inlineStr">
        <is>
          <t>Loan Inquiry / Payment Support</t>
        </is>
      </c>
      <c r="C19" s="44" t="n">
        <v>30000</v>
      </c>
      <c r="D19" s="45" t="n">
        <v>0.25</v>
      </c>
      <c r="E19" s="46" t="n">
        <v>20</v>
      </c>
      <c r="F19" s="18">
        <f>C19*D19*E19</f>
        <v/>
      </c>
      <c r="G19" s="47" t="n">
        <v>0.35</v>
      </c>
      <c r="H19" s="47" t="n">
        <v>0.25</v>
      </c>
      <c r="I19" s="48">
        <f>F19*G19</f>
        <v/>
      </c>
      <c r="J19" s="48">
        <f>C19*(1-G19)*D19*H19*E19</f>
        <v/>
      </c>
      <c r="K19" s="49">
        <f>I19+J19</f>
        <v/>
      </c>
      <c r="L19" s="50" t="inlineStr"/>
    </row>
    <row r="20">
      <c r="B20" s="3" t="inlineStr">
        <is>
          <t>Call Center Subtotal</t>
        </is>
      </c>
      <c r="C20" s="36">
        <f>SUM(C15:C19)</f>
        <v/>
      </c>
      <c r="F20" s="19">
        <f>SUM(F15:F19)</f>
        <v/>
      </c>
      <c r="I20" s="19">
        <f>SUM(I15:I19)</f>
        <v/>
      </c>
      <c r="J20" s="19">
        <f>SUM(J15:J19)</f>
        <v/>
      </c>
      <c r="K20" s="49">
        <f>SUM(K15:K19)</f>
        <v/>
      </c>
    </row>
    <row r="22">
      <c r="B22" s="4" t="inlineStr">
        <is>
          <t>TOTAL SERVICING SAVINGS</t>
        </is>
      </c>
      <c r="F22" s="51">
        <f>SUM(F12,F20)</f>
        <v/>
      </c>
      <c r="I22" s="51">
        <f>I12+I20</f>
        <v/>
      </c>
      <c r="J22" s="51">
        <f>J12+J20</f>
        <v/>
      </c>
      <c r="K22" s="52">
        <f>K12+K20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5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45" customWidth="1" min="5" max="5"/>
    <col width="25" customWidth="1" min="6" max="6"/>
  </cols>
  <sheetData>
    <row r="2">
      <c r="B2" s="9" t="inlineStr">
        <is>
          <t>Model Inputs</t>
        </is>
      </c>
    </row>
    <row r="3">
      <c r="B3" s="12" t="inlineStr">
        <is>
          <t>Blue cells are editable. Change values and the model recalculates.</t>
        </is>
      </c>
    </row>
    <row r="5">
      <c r="B5" s="29" t="inlineStr">
        <is>
          <t>Active Scenario</t>
        </is>
      </c>
      <c r="C5" s="30">
        <f>IF('Cashflows'!$C$5=1,"Conservative",IF('Cashflows'!$C$5=2,"Moderate","Aggressive"))</f>
        <v/>
      </c>
      <c r="D5" s="31" t="inlineStr">
        <is>
          <t>(Change scenario on Cashflows sheet)</t>
        </is>
      </c>
    </row>
    <row r="7">
      <c r="B7" s="13" t="inlineStr">
        <is>
          <t>BASIC INFORMATION</t>
        </is>
      </c>
    </row>
    <row r="8">
      <c r="B8" s="16" t="inlineStr">
        <is>
          <t>Input</t>
        </is>
      </c>
      <c r="C8" s="16" t="inlineStr">
        <is>
          <t>Value</t>
        </is>
      </c>
      <c r="D8" s="16" t="inlineStr">
        <is>
          <t>Conf.</t>
        </is>
      </c>
      <c r="E8" s="16" t="inlineStr">
        <is>
          <t>Assumption/Comment</t>
        </is>
      </c>
      <c r="F8" s="16" t="inlineStr">
        <is>
          <t>Source</t>
        </is>
      </c>
    </row>
    <row r="10">
      <c r="B10" s="13" t="inlineStr">
        <is>
          <t>FINANCIAL PARAMETERS</t>
        </is>
      </c>
    </row>
    <row r="11">
      <c r="B11" t="inlineStr">
        <is>
          <t>Discount Rate (WACC)</t>
        </is>
      </c>
      <c r="C11" s="53" t="n">
        <v>0.12</v>
      </c>
    </row>
    <row r="12">
      <c r="B12" t="inlineStr">
        <is>
          <t>Analysis Period (Years)</t>
        </is>
      </c>
      <c r="C12" t="n">
        <v>5</v>
      </c>
    </row>
    <row r="13">
      <c r="B13" t="inlineStr">
        <is>
          <t>YoY Growth Rate</t>
        </is>
      </c>
      <c r="C13" s="53" t="n">
        <v>0.08</v>
      </c>
    </row>
    <row r="15">
      <c r="B15" s="13" t="inlineStr">
        <is>
          <t>LEVER GROUP INPUTS</t>
        </is>
      </c>
    </row>
    <row r="16">
      <c r="B16" s="29" t="inlineStr">
        <is>
          <t>Digital Onboarding — Consumer Abandonment Recovery</t>
        </is>
      </c>
    </row>
    <row r="17">
      <c r="B17" s="54" t="inlineStr">
        <is>
          <t xml:space="preserve">  Consumer App Abandonment Recovery</t>
        </is>
      </c>
    </row>
    <row r="18">
      <c r="B18" t="inlineStr">
        <is>
          <t xml:space="preserve">    Annual Lost Apps</t>
        </is>
      </c>
      <c r="C18" s="5" t="n">
        <v>17520</v>
      </c>
      <c r="D18" t="inlineStr">
        <is>
          <t>HIGH</t>
        </is>
      </c>
      <c r="E18" s="35" t="inlineStr">
        <is>
          <t>1,600 app starts/month - 140 funded/month = 1,460 abandoned/month × 12 = 17,520/year. Tom Holdren cited 91% abandonment rate at 00:45:36 in Nov 14 demo.</t>
        </is>
      </c>
      <c r="F18" s="35" t="inlineStr">
        <is>
          <t>CLIENT DATA</t>
        </is>
      </c>
    </row>
    <row r="19">
      <c r="B19" t="inlineStr">
        <is>
          <t xml:space="preserve">    Revenue Per Customer Relationship</t>
        </is>
      </c>
      <c r="C19" s="6" t="n">
        <v>700</v>
      </c>
      <c r="D19" t="inlineStr">
        <is>
          <t>MEDIUM</t>
        </is>
      </c>
      <c r="E19" s="35" t="inlineStr">
        <is>
          <t>Full relationship value: $8.27B consumer deposits × 3.0% NIM / 344K accounts ≈ $721; rounded to $700 conservative. NOTE: CLIENT DATA states $350/year net revenue — the higher figure reflects NIM contribution which is the economic case for retention. Validate with CFO.</t>
        </is>
      </c>
      <c r="F19" s="35" t="inlineStr">
        <is>
          <t>DERIVED</t>
        </is>
      </c>
    </row>
    <row r="20">
      <c r="B20" t="inlineStr">
        <is>
          <t xml:space="preserve">    Backbase Impact</t>
        </is>
      </c>
      <c r="C20" s="6">
        <f>INDEX('Scenario Data'!$C$80:$E$80,1,'Cashflows'!$C$5)</f>
        <v/>
      </c>
      <c r="D20" t="inlineStr">
        <is>
          <t>MEDIUM</t>
        </is>
      </c>
      <c r="E20" s="35" t="inlineStr">
        <is>
          <t>Gap-based: Client current funded rate = 8.75% (140/1,600). Best-in-class digital onboarding funded rate = 60% (neobanks/DBS). Gap = (60%-8.75%)/60% = 85.4%. Capture rate = 0.18 (conservative — WSFS fraud dial is set very conservatively per transcript; behavior change takes time; not all abandoned apps are recoverable intent). backbase_impact = 85.4% × 0.18 ≈ 0.15. This means Backbase helps convert ~2,628 additional accounts/year (15% of 17,520 lost). Backbase enabler: Digital Onboarding journeys with pre-filled KYC via Alloy integration, streamlined mobile-first application flow.</t>
        </is>
      </c>
      <c r="F20" s="35" t="inlineStr">
        <is>
          <t>GAP-BASED CALCULATION</t>
        </is>
      </c>
    </row>
    <row r="21">
      <c r="B21" t="inlineStr">
        <is>
          <t xml:space="preserve">    Baseline Annual</t>
        </is>
      </c>
      <c r="C21" s="34">
        <f>C18 * C19</f>
        <v/>
      </c>
    </row>
    <row r="22">
      <c r="B22" t="inlineStr">
        <is>
          <t xml:space="preserve">    Annual Benefit (Steady State)</t>
        </is>
      </c>
      <c r="C22" s="55">
        <f>C21*C20</f>
        <v/>
      </c>
    </row>
    <row r="25">
      <c r="B25" s="29" t="inlineStr">
        <is>
          <t>Branch &amp; Call Center Deflection</t>
        </is>
      </c>
    </row>
    <row r="26">
      <c r="B26" s="54" t="inlineStr">
        <is>
          <t xml:space="preserve">  Consumer &amp; SMB Servicing Cost Avoidance</t>
        </is>
      </c>
    </row>
    <row r="27">
      <c r="B27" t="inlineStr">
        <is>
          <t xml:space="preserve">    Consumer Call Center Baseline</t>
        </is>
      </c>
      <c r="C27" s="6" t="n">
        <v>3600000</v>
      </c>
      <c r="D27" t="inlineStr">
        <is>
          <t>MEDIUM</t>
        </is>
      </c>
      <c r="E27" s="35" t="inlineStr">
        <is>
          <t>220,000 digitally active consumers × 35% annual call propensity × 3 calls/year = 231,000 calls + non-digital base: total ~360,000 calls/year. Fully loaded cost $10/call (8 min × $15/hr FTE + overhead). Baseline = $3,600,000. SOURCE: Bailey DeLellis confirmed 'customer support is primarily call center driven, lacking live chat or secure messaging' (00:22:00). Validate call volume with Operations.</t>
        </is>
      </c>
      <c r="F27" s="35" t="inlineStr">
        <is>
          <t>ESTIMATE</t>
        </is>
      </c>
    </row>
    <row r="28">
      <c r="B28" t="inlineStr">
        <is>
          <t xml:space="preserve">    Branch Visits Baseline</t>
        </is>
      </c>
      <c r="C28" s="6" t="n">
        <v>1545000</v>
      </c>
      <c r="D28" t="inlineStr">
        <is>
          <t>MEDIUM</t>
        </is>
      </c>
      <c r="E28" s="35" t="inlineStr">
        <is>
          <t>344,000 accounts × 15% visit for simple tasks × 2 visits/year = 103,200 branch visits/year for deflectable tasks (paying credit cards, account inquiries, simple changes). Cost per visit $15 (15 min at $30/hr staff + overhead). Bailey DeLellis cited 'high volume of branch visits for simple transactional tasks like paying credit cards' (00:39:35).</t>
        </is>
      </c>
      <c r="F28" s="35" t="inlineStr">
        <is>
          <t>ESTIMATE</t>
        </is>
      </c>
    </row>
    <row r="29">
      <c r="B29" t="inlineStr">
        <is>
          <t xml:space="preserve">    Smb Servicing Baseline</t>
        </is>
      </c>
      <c r="C29" s="5" t="n">
        <v>1080000</v>
      </c>
      <c r="D29" t="inlineStr">
        <is>
          <t>HIGH</t>
        </is>
      </c>
      <c r="E29" s="35" t="inlineStr">
        <is>
          <t>4,500 SMB servicing requests/month (midpoint of 4,000-5,000 CLIENT DATA) × 12 = 54,000/year. Average handling time 15 min at $40/hr (ops FTE rate) = $10/request. Baseline = $540,000 ops cost. Wire issues frequently require support request per transcript (00:15:16). Using $20/request to account for RM escalation = $1,080,000/year.</t>
        </is>
      </c>
      <c r="F29" s="35" t="inlineStr">
        <is>
          <t>CLIENT DATA</t>
        </is>
      </c>
    </row>
    <row r="30">
      <c r="B30" t="inlineStr">
        <is>
          <t xml:space="preserve">    Backbase Impact</t>
        </is>
      </c>
      <c r="C30" s="6">
        <f>INDEX('Scenario Data'!$C$83:$E$83,1,'Cashflows'!$C$5)</f>
        <v/>
      </c>
      <c r="D30" t="inlineStr">
        <is>
          <t>MEDIUM</t>
        </is>
      </c>
      <c r="E30" s="35" t="inlineStr">
        <is>
          <t>Gap-based: WSFS current digital self-service rate ~20% (call-center-driven, minimal live chat/secure messaging per transcript). Best-in-class community banks with digital banking: 65% self-service rate. Gap = (65%-20%)/65% = 69.2%. Capture rate = 0.36. backbase_impact = 69.2% × 0.36 ≈ 0.25. Servicing curve ramps faster as it's operationally driven. Backbase enabler: Self-service journeys (account management, payments, wire initiation), push notifications, secure messaging, in-app card management — addressing transcript pain points: bill pay complexity, wire initiation friction, no push notifications (00:16:31).</t>
        </is>
      </c>
      <c r="F30" s="35" t="inlineStr">
        <is>
          <t>GAP-BASED CALCULATION</t>
        </is>
      </c>
    </row>
    <row r="31">
      <c r="B31" t="inlineStr">
        <is>
          <t xml:space="preserve">    Baseline Annual</t>
        </is>
      </c>
      <c r="C31" s="34">
        <f>C27 + C28 + C29</f>
        <v/>
      </c>
    </row>
    <row r="32">
      <c r="B32" t="inlineStr">
        <is>
          <t xml:space="preserve">    Annual Benefit (Steady State)</t>
        </is>
      </c>
      <c r="C32" s="55">
        <f>C31*C30</f>
        <v/>
      </c>
    </row>
    <row r="35">
      <c r="B35" s="29" t="inlineStr">
        <is>
          <t>Customer Retention — Digital Engagement &amp; Churn Reduction</t>
        </is>
      </c>
    </row>
    <row r="36">
      <c r="B36" s="54" t="inlineStr">
        <is>
          <t xml:space="preserve">  Consumer Attrition Reduction</t>
        </is>
      </c>
    </row>
    <row r="37">
      <c r="B37" t="inlineStr">
        <is>
          <t xml:space="preserve">    Annual Churning Customers</t>
        </is>
      </c>
      <c r="C37" s="5" t="n">
        <v>20640</v>
      </c>
      <c r="D37" t="inlineStr">
        <is>
          <t>HIGH</t>
        </is>
      </c>
      <c r="E37" s="35" t="inlineStr">
        <is>
          <t>CLIENT DATA: attrition &lt; 6% on 344,000 consumer accounts. Using 6% as ceiling: 344,000 × 0.06 = 20,640 customers leaving per year. The Nov 14 transcript noted AUM is increasing while account count is decreasing, confirming churn and failure to attract Gen Z/Millennials (00:44:36).</t>
        </is>
      </c>
      <c r="F37" s="35" t="inlineStr">
        <is>
          <t>CLIENT DATA + DERIVED</t>
        </is>
      </c>
    </row>
    <row r="38">
      <c r="B38" t="inlineStr">
        <is>
          <t xml:space="preserve">    Full Relationship Value</t>
        </is>
      </c>
      <c r="C38" s="6" t="n">
        <v>700</v>
      </c>
      <c r="D38" t="inlineStr">
        <is>
          <t>MEDIUM</t>
        </is>
      </c>
      <c r="E38" s="35" t="inlineStr">
        <is>
          <t>Full NIM-based relationship value: $8.27B consumer deposits × 3.0% NIM / 344K = $721; rounded to $700 conservative. The attrition lever captures the full relationship value lost (not just fee income), because a churning customer takes their deposits and relationship. Validate with CFO.</t>
        </is>
      </c>
      <c r="F38" s="35" t="inlineStr">
        <is>
          <t>DERIVED</t>
        </is>
      </c>
    </row>
    <row r="39">
      <c r="B39" t="inlineStr">
        <is>
          <t xml:space="preserve">    Backbase Impact</t>
        </is>
      </c>
      <c r="C39" s="6">
        <f>INDEX('Scenario Data'!$C$82:$E$82,1,'Cashflows'!$C$5)</f>
        <v/>
      </c>
      <c r="D39" t="inlineStr">
        <is>
          <t>MEDIUM</t>
        </is>
      </c>
      <c r="E39" s="35" t="inlineStr">
        <is>
          <t>Gap-based: WSFS current attrition 6%. Best-in-class digital-first community banks: 2% attrition. Gap = (6%-2%)/6% = 66.7%. Capture rate = 0.30 (digital engagement reduces attrition through better UX, proactive notifications, self-service; however, many churn factors are non-digital — product pricing, branch access, life events). backbase_impact = 66.7% × 0.30 = 0.20. This retains ~4,128 additional customers/year at steady state. Churn lever has delayed onset — 0% Year 1 (platform must be deployed and adopted before behavioral change occurs). Backbase enabler: Digital Engage (personalized notifications, NBA), self-service retention, loyalty programs, proactive alerts for at-risk customers.</t>
        </is>
      </c>
      <c r="F39" s="35" t="inlineStr">
        <is>
          <t>GAP-BASED CALCULATION</t>
        </is>
      </c>
    </row>
    <row r="40">
      <c r="B40" t="inlineStr">
        <is>
          <t xml:space="preserve">    Baseline Annual</t>
        </is>
      </c>
      <c r="C40" s="34">
        <f>C37 * C38</f>
        <v/>
      </c>
    </row>
    <row r="41">
      <c r="B41" t="inlineStr">
        <is>
          <t xml:space="preserve">    Annual Benefit (Steady State)</t>
        </is>
      </c>
      <c r="C41" s="55">
        <f>C40*C39</f>
        <v/>
      </c>
    </row>
    <row r="44">
      <c r="B44" s="29" t="inlineStr">
        <is>
          <t>SMB Digital Onboarding — Manual Process Efficiency</t>
        </is>
      </c>
    </row>
    <row r="45">
      <c r="B45" s="54" t="inlineStr">
        <is>
          <t xml:space="preserve">  SMB Onboarding Labor Cost Reduction</t>
        </is>
      </c>
    </row>
    <row r="46">
      <c r="B46" t="inlineStr">
        <is>
          <t xml:space="preserve">    Annual New Smb Accounts</t>
        </is>
      </c>
      <c r="C46" s="6" t="n">
        <v>700</v>
      </c>
      <c r="D46" t="inlineStr">
        <is>
          <t>LOW</t>
        </is>
      </c>
      <c r="E46" s="35" t="inlineStr">
        <is>
          <t>ESTIMATE — no direct client data on new SMB account volumes. Derived from WSFS SMB deposit base ($1.89B) ÷ avg SMB relationship $2.7M = ~700 SMB clients. Assuming 100% annual turnover/replacement (10% growth + attrition) = ~700 new accounts/year. Validate with Head of SMB Banking. Flag: LOW confidence — model is proportionally sensitive to this number.</t>
        </is>
      </c>
      <c r="F46" s="35" t="inlineStr">
        <is>
          <t>ESTIMATE</t>
        </is>
      </c>
    </row>
    <row r="47">
      <c r="B47" t="inlineStr">
        <is>
          <t xml:space="preserve">    Avg Onboarding Cost Per Account</t>
        </is>
      </c>
      <c r="C47" s="5" t="n">
        <v>1985</v>
      </c>
      <c r="D47" t="inlineStr">
        <is>
          <t>HIGH</t>
        </is>
      </c>
      <c r="E47" s="35" t="inlineStr">
        <is>
          <t>CLIENT DATA: RM 7.5-15h @ $75/hr + Ops 10-20h @ $40/hr + Compliance 4-8h @ $40/hr. Midpoints: RM $843.75 + Ops $600 + Compliance $240 = $1,683.75. Range: $1,485–$2,485. Using midpoint $1,985/account. These costs are confirmed as fully manual process — no digital workflow exists per discovery.</t>
        </is>
      </c>
      <c r="F47" s="35" t="inlineStr">
        <is>
          <t>CLIENT DATA</t>
        </is>
      </c>
    </row>
    <row r="48">
      <c r="B48" t="inlineStr">
        <is>
          <t xml:space="preserve">    Backbase Impact</t>
        </is>
      </c>
      <c r="C48" s="6">
        <f>INDEX('Scenario Data'!$C$84:$E$84,1,'Cashflows'!$C$5)</f>
        <v/>
      </c>
      <c r="D48" t="inlineStr">
        <is>
          <t>MEDIUM</t>
        </is>
      </c>
      <c r="E48" s="35" t="inlineStr">
        <is>
          <t>Gap-based: WSFS onboarding is 100% manual (confirmed: RM-led, no digital workflow). Best-in-class SMB digital onboarding: 60% process automation achievable. Gap = 100% manual. Capture rate = 0.30 (RM relationship element cannot be eliminated; compliance review remains human; platform automates data capture, document collection, ID verification). backbase_impact = 1.0 × 0.30 = 0.30. This saves ~$596/account in labor (30% of $1,985). Backbase enabler: SMB Digital Onboarding — digital application flow, pre-populated KYC via Alloy, document upload, automated compliance checks, RM dashboard for case management. Addresses transcript pain points: RM time burden, manual compliance steps.</t>
        </is>
      </c>
      <c r="F48" s="35" t="inlineStr">
        <is>
          <t>GAP-BASED CALCULATION</t>
        </is>
      </c>
    </row>
    <row r="49">
      <c r="B49" t="inlineStr">
        <is>
          <t xml:space="preserve">    Baseline Annual</t>
        </is>
      </c>
      <c r="C49" s="34">
        <f>C46 * C47</f>
        <v/>
      </c>
    </row>
    <row r="50">
      <c r="B50" t="inlineStr">
        <is>
          <t xml:space="preserve">    Annual Benefit (Steady State)</t>
        </is>
      </c>
      <c r="C50" s="55">
        <f>C49*C48</f>
        <v/>
      </c>
    </row>
    <row r="53">
      <c r="B53" s="29" t="inlineStr">
        <is>
          <t>Cross-sell &amp; Product Deepening — Revenue Uplift</t>
        </is>
      </c>
    </row>
    <row r="54">
      <c r="B54" s="54" t="inlineStr">
        <is>
          <t xml:space="preserve">  Products-per-Customer Uplift via Digital Engagement</t>
        </is>
      </c>
    </row>
    <row r="55">
      <c r="B55" t="inlineStr">
        <is>
          <t xml:space="preserve">    Addressable Customers</t>
        </is>
      </c>
      <c r="C55" s="6" t="n">
        <v>344000</v>
      </c>
      <c r="D55" t="inlineStr">
        <is>
          <t>MEDIUM</t>
        </is>
      </c>
      <c r="E55" s="35" t="inlineStr">
        <is>
          <t>Full consumer base: 344,000 accounts. All digitally engaged customers are addressable for cross-sell via NBA (Next Best Action) features and proactive digital prompts. NOTE: Only ~65% (220,000) are currently digitally active — model applies to full base as target state.</t>
        </is>
      </c>
      <c r="F55" s="35" t="inlineStr">
        <is>
          <t>DERIVED</t>
        </is>
      </c>
    </row>
    <row r="56">
      <c r="B56" t="inlineStr">
        <is>
          <t xml:space="preserve">    Products Gap Per Customer</t>
        </is>
      </c>
      <c r="C56" s="6" t="n">
        <v>0.9</v>
      </c>
      <c r="D56" t="inlineStr">
        <is>
          <t>MEDIUM</t>
        </is>
      </c>
      <c r="E56" s="35" t="inlineStr">
        <is>
          <t>CLIENT DATA: 2.3 avg products/customer. BENCHMARK (industry best-in-class for community banks with strong digital engagement): 3.2 products/customer. Gap = 3.2 - 2.3 = 0.9 products/customer. NOTE: Full closure of gap is not realistic in a 5-year model — the backbase_impact captures the realistic portion Backbase can drive.</t>
        </is>
      </c>
      <c r="F56" s="35" t="inlineStr">
        <is>
          <t>CLIENT DATA + BENCHMARK</t>
        </is>
      </c>
    </row>
    <row r="57">
      <c r="B57" t="inlineStr">
        <is>
          <t xml:space="preserve">    Avg Product Revenue Per Year</t>
        </is>
      </c>
      <c r="C57" s="6" t="n">
        <v>152</v>
      </c>
      <c r="D57" t="inlineStr">
        <is>
          <t>MEDIUM</t>
        </is>
      </c>
      <c r="E57" s="35" t="inlineStr">
        <is>
          <t>Derived: $350 net revenue per customer / 2.3 products = $152/product/year net. This represents marginal net revenue per incremental product added (checking, savings, CD, credit card, mortgage, LOC). Conservative — some products yield more (mortgages), some less (savings accounts).</t>
        </is>
      </c>
      <c r="F57" s="35" t="inlineStr">
        <is>
          <t>DERIVED</t>
        </is>
      </c>
    </row>
    <row r="58">
      <c r="B58" t="inlineStr">
        <is>
          <t xml:space="preserve">    Backbase Impact</t>
        </is>
      </c>
      <c r="C58" s="6">
        <f>INDEX('Scenario Data'!$C$81:$E$81,1,'Cashflows'!$C$5)</f>
        <v/>
      </c>
      <c r="D58" t="inlineStr">
        <is>
          <t>LOW</t>
        </is>
      </c>
      <c r="E58" s="35" t="inlineStr">
        <is>
          <t>Gap-based: Current 2.3 vs best-in-class 3.2 = gap of 0.9 products = 28.1% of the 3.2 target. Capture rate = 0.28 (digital cross-sell is a nudge, not a guarantee; customer willingness, product fit, credit underwriting all constrain uptake; 5-year horizon). backbase_impact = 28.1% × 0.28 ≈ 0.08. Steady-state: 344,000 × 0.9 × 0.08 = 24,768 incremental products → $3.77M incremental revenue at $152/product/yr. Low confidence: cross-sell impact highly dependent on NBA engine configuration, product portfolio competitiveness, and digital adoption rate. Product penetration curve has 0% Year 1 (requires platform maturity + adoption). Backbase enabler: Digital Engage (NBA cross-sell prompts), personalized product recommendations, digital product onboarding within the app — addressing the lack of digital cross-sell capability identified in transcript (no personalization, no proactive engagement features on current platform).</t>
        </is>
      </c>
      <c r="F58" s="35" t="inlineStr">
        <is>
          <t>GAP-BASED CALCULATION</t>
        </is>
      </c>
    </row>
    <row r="59">
      <c r="B59" t="inlineStr">
        <is>
          <t xml:space="preserve">    Baseline Annual</t>
        </is>
      </c>
      <c r="C59" s="34">
        <f>C55 * C56 * C57</f>
        <v/>
      </c>
    </row>
    <row r="60">
      <c r="B60" t="inlineStr">
        <is>
          <t xml:space="preserve">    Annual Benefit (Steady State)</t>
        </is>
      </c>
      <c r="C60" s="55">
        <f>C59*C58</f>
        <v/>
      </c>
    </row>
    <row r="64">
      <c r="B64" s="13" t="inlineStr">
        <is>
          <t>ACTIVE BACKBASE IMPACTS (auto-selected from scenario)</t>
        </is>
      </c>
    </row>
    <row r="65">
      <c r="B65" t="inlineStr">
        <is>
          <t>Abandonment Recovery</t>
        </is>
      </c>
      <c r="C65" s="24">
        <f>INDEX('Scenario Data'!$C$80:$E$80,1,'Cashflows'!$C$5)</f>
        <v/>
      </c>
    </row>
    <row r="66">
      <c r="B66" t="inlineStr">
        <is>
          <t>Cross Sell Deepening</t>
        </is>
      </c>
      <c r="C66" s="24">
        <f>INDEX('Scenario Data'!$C$81:$E$81,1,'Cashflows'!$C$5)</f>
        <v/>
      </c>
    </row>
    <row r="67">
      <c r="B67" t="inlineStr">
        <is>
          <t>Retention Improvement</t>
        </is>
      </c>
      <c r="C67" s="24">
        <f>INDEX('Scenario Data'!$C$82:$E$82,1,'Cashflows'!$C$5)</f>
        <v/>
      </c>
    </row>
    <row r="68">
      <c r="B68" t="inlineStr">
        <is>
          <t>Servicing Deflection</t>
        </is>
      </c>
      <c r="C68" s="24">
        <f>INDEX('Scenario Data'!$C$83:$E$83,1,'Cashflows'!$C$5)</f>
        <v/>
      </c>
    </row>
    <row r="69">
      <c r="B69" t="inlineStr">
        <is>
          <t>Smb Onboarding Efficiency</t>
        </is>
      </c>
      <c r="C69" s="24">
        <f>INDEX('Scenario Data'!$C$84:$E$84,1,'Cashflows'!$C$5)</f>
        <v/>
      </c>
    </row>
    <row r="72">
      <c r="B72" s="13" t="inlineStr">
        <is>
          <t>INVESTMENT</t>
        </is>
      </c>
    </row>
    <row r="73">
      <c r="B73" s="3" t="inlineStr">
        <is>
          <t>License</t>
        </is>
      </c>
    </row>
    <row r="74">
      <c r="B74" t="inlineStr">
        <is>
          <t xml:space="preserve">  Year 1</t>
        </is>
      </c>
      <c r="C74" s="46" t="n">
        <v>1000000</v>
      </c>
    </row>
    <row r="75">
      <c r="B75" t="inlineStr">
        <is>
          <t xml:space="preserve">  Year 2</t>
        </is>
      </c>
      <c r="C75" s="46" t="n">
        <v>1000000</v>
      </c>
    </row>
    <row r="76">
      <c r="B76" t="inlineStr">
        <is>
          <t xml:space="preserve">  Year 3</t>
        </is>
      </c>
      <c r="C76" s="46" t="n">
        <v>1000000</v>
      </c>
    </row>
    <row r="77">
      <c r="B77" t="inlineStr">
        <is>
          <t xml:space="preserve">  Year 4</t>
        </is>
      </c>
      <c r="C77" s="46" t="n">
        <v>1000000</v>
      </c>
    </row>
    <row r="78">
      <c r="B78" t="inlineStr">
        <is>
          <t xml:space="preserve">  Year 5</t>
        </is>
      </c>
      <c r="C78" s="46" t="n">
        <v>1000000</v>
      </c>
    </row>
    <row r="80">
      <c r="B80" s="3" t="inlineStr">
        <is>
          <t>Implementation</t>
        </is>
      </c>
    </row>
    <row r="81">
      <c r="B81" t="inlineStr">
        <is>
          <t xml:space="preserve">  Year 1</t>
        </is>
      </c>
      <c r="C81" s="46" t="n">
        <v>4000000</v>
      </c>
    </row>
    <row r="82">
      <c r="B82" t="inlineStr">
        <is>
          <t xml:space="preserve">  Year 2</t>
        </is>
      </c>
      <c r="C82" s="46" t="n">
        <v>1500000</v>
      </c>
    </row>
    <row r="83">
      <c r="B83" t="inlineStr">
        <is>
          <t xml:space="preserve">  Year 3</t>
        </is>
      </c>
      <c r="C83" s="46" t="n">
        <v>500000</v>
      </c>
    </row>
    <row r="84">
      <c r="B84" t="inlineStr">
        <is>
          <t xml:space="preserve">  Year 4</t>
        </is>
      </c>
      <c r="C84" s="46" t="n">
        <v>0</v>
      </c>
    </row>
    <row r="85">
      <c r="B85" t="inlineStr">
        <is>
          <t xml:space="preserve">  Year 5</t>
        </is>
      </c>
      <c r="C85" s="46" t="n">
        <v>0</v>
      </c>
    </row>
    <row r="88">
      <c r="B88" s="13" t="inlineStr">
        <is>
          <t>ACTIVE CURVES (auto-selected from scenario)</t>
        </is>
      </c>
    </row>
    <row r="89">
      <c r="B89" s="31" t="inlineStr">
        <is>
          <t>These cells use INDEX formulas — they update when you change the scenario on the Cashflows sheet.</t>
        </is>
      </c>
    </row>
    <row r="90">
      <c r="B90" s="3" t="inlineStr">
        <is>
          <t>Acquisition — Implementation</t>
        </is>
      </c>
    </row>
    <row r="91">
      <c r="B91" t="inlineStr">
        <is>
          <t xml:space="preserve">  Year 1</t>
        </is>
      </c>
      <c r="C91" s="56">
        <f>INDEX('Scenario Data'!$C$9:$E$9,1,'Cashflows'!$C$5)</f>
        <v/>
      </c>
    </row>
    <row r="92">
      <c r="B92" t="inlineStr">
        <is>
          <t xml:space="preserve">  Year 2</t>
        </is>
      </c>
      <c r="C92" s="56">
        <f>INDEX('Scenario Data'!$C$10:$E$10,1,'Cashflows'!$C$5)</f>
        <v/>
      </c>
    </row>
    <row r="93">
      <c r="B93" t="inlineStr">
        <is>
          <t xml:space="preserve">  Year 3</t>
        </is>
      </c>
      <c r="C93" s="56">
        <f>INDEX('Scenario Data'!$C$11:$E$11,1,'Cashflows'!$C$5)</f>
        <v/>
      </c>
    </row>
    <row r="94">
      <c r="B94" t="inlineStr">
        <is>
          <t xml:space="preserve">  Year 4</t>
        </is>
      </c>
      <c r="C94" s="56">
        <f>INDEX('Scenario Data'!$C$12:$E$12,1,'Cashflows'!$C$5)</f>
        <v/>
      </c>
    </row>
    <row r="95">
      <c r="B95" t="inlineStr">
        <is>
          <t xml:space="preserve">  Year 5</t>
        </is>
      </c>
      <c r="C95" s="56">
        <f>INDEX('Scenario Data'!$C$13:$E$13,1,'Cashflows'!$C$5)</f>
        <v/>
      </c>
    </row>
    <row r="96">
      <c r="B96" s="3" t="inlineStr">
        <is>
          <t>Acquisition — Effectiveness</t>
        </is>
      </c>
    </row>
    <row r="97">
      <c r="B97" t="inlineStr">
        <is>
          <t xml:space="preserve">  Year 1</t>
        </is>
      </c>
      <c r="C97" s="56">
        <f>INDEX('Scenario Data'!$C$45:$E$45,1,'Cashflows'!$C$5)</f>
        <v/>
      </c>
    </row>
    <row r="98">
      <c r="B98" t="inlineStr">
        <is>
          <t xml:space="preserve">  Year 2</t>
        </is>
      </c>
      <c r="C98" s="56">
        <f>INDEX('Scenario Data'!$C$46:$E$46,1,'Cashflows'!$C$5)</f>
        <v/>
      </c>
    </row>
    <row r="99">
      <c r="B99" t="inlineStr">
        <is>
          <t xml:space="preserve">  Year 3</t>
        </is>
      </c>
      <c r="C99" s="56">
        <f>INDEX('Scenario Data'!$C$47:$E$47,1,'Cashflows'!$C$5)</f>
        <v/>
      </c>
    </row>
    <row r="100">
      <c r="B100" t="inlineStr">
        <is>
          <t xml:space="preserve">  Year 4</t>
        </is>
      </c>
      <c r="C100" s="56">
        <f>INDEX('Scenario Data'!$C$48:$E$48,1,'Cashflows'!$C$5)</f>
        <v/>
      </c>
    </row>
    <row r="101">
      <c r="B101" t="inlineStr">
        <is>
          <t xml:space="preserve">  Year 5</t>
        </is>
      </c>
      <c r="C101" s="56">
        <f>INDEX('Scenario Data'!$C$49:$E$49,1,'Cashflows'!$C$5)</f>
        <v/>
      </c>
    </row>
    <row r="103">
      <c r="B103" s="3" t="inlineStr">
        <is>
          <t>Product Penetration — Implementation</t>
        </is>
      </c>
    </row>
    <row r="104">
      <c r="B104" t="inlineStr">
        <is>
          <t xml:space="preserve">  Year 1</t>
        </is>
      </c>
      <c r="C104" s="56">
        <f>INDEX('Scenario Data'!$C$16:$E$16,1,'Cashflows'!$C$5)</f>
        <v/>
      </c>
    </row>
    <row r="105">
      <c r="B105" t="inlineStr">
        <is>
          <t xml:space="preserve">  Year 2</t>
        </is>
      </c>
      <c r="C105" s="56">
        <f>INDEX('Scenario Data'!$C$17:$E$17,1,'Cashflows'!$C$5)</f>
        <v/>
      </c>
    </row>
    <row r="106">
      <c r="B106" t="inlineStr">
        <is>
          <t xml:space="preserve">  Year 3</t>
        </is>
      </c>
      <c r="C106" s="56">
        <f>INDEX('Scenario Data'!$C$18:$E$18,1,'Cashflows'!$C$5)</f>
        <v/>
      </c>
    </row>
    <row r="107">
      <c r="B107" t="inlineStr">
        <is>
          <t xml:space="preserve">  Year 4</t>
        </is>
      </c>
      <c r="C107" s="56">
        <f>INDEX('Scenario Data'!$C$19:$E$19,1,'Cashflows'!$C$5)</f>
        <v/>
      </c>
    </row>
    <row r="108">
      <c r="B108" t="inlineStr">
        <is>
          <t xml:space="preserve">  Year 5</t>
        </is>
      </c>
      <c r="C108" s="56">
        <f>INDEX('Scenario Data'!$C$20:$E$20,1,'Cashflows'!$C$5)</f>
        <v/>
      </c>
    </row>
    <row r="109">
      <c r="B109" s="3" t="inlineStr">
        <is>
          <t>Product Penetration — Effectiveness</t>
        </is>
      </c>
    </row>
    <row r="110">
      <c r="B110" t="inlineStr">
        <is>
          <t xml:space="preserve">  Year 1</t>
        </is>
      </c>
      <c r="C110" s="56">
        <f>INDEX('Scenario Data'!$C$52:$E$52,1,'Cashflows'!$C$5)</f>
        <v/>
      </c>
    </row>
    <row r="111">
      <c r="B111" t="inlineStr">
        <is>
          <t xml:space="preserve">  Year 2</t>
        </is>
      </c>
      <c r="C111" s="56">
        <f>INDEX('Scenario Data'!$C$53:$E$53,1,'Cashflows'!$C$5)</f>
        <v/>
      </c>
    </row>
    <row r="112">
      <c r="B112" t="inlineStr">
        <is>
          <t xml:space="preserve">  Year 3</t>
        </is>
      </c>
      <c r="C112" s="56">
        <f>INDEX('Scenario Data'!$C$54:$E$54,1,'Cashflows'!$C$5)</f>
        <v/>
      </c>
    </row>
    <row r="113">
      <c r="B113" t="inlineStr">
        <is>
          <t xml:space="preserve">  Year 4</t>
        </is>
      </c>
      <c r="C113" s="56">
        <f>INDEX('Scenario Data'!$C$55:$E$55,1,'Cashflows'!$C$5)</f>
        <v/>
      </c>
    </row>
    <row r="114">
      <c r="B114" t="inlineStr">
        <is>
          <t xml:space="preserve">  Year 5</t>
        </is>
      </c>
      <c r="C114" s="56">
        <f>INDEX('Scenario Data'!$C$56:$E$56,1,'Cashflows'!$C$5)</f>
        <v/>
      </c>
    </row>
    <row r="116">
      <c r="B116" s="3" t="inlineStr">
        <is>
          <t>Retention — Implementation</t>
        </is>
      </c>
    </row>
    <row r="117">
      <c r="B117" t="inlineStr">
        <is>
          <t xml:space="preserve">  Year 1</t>
        </is>
      </c>
      <c r="C117" s="56">
        <f>INDEX('Scenario Data'!$C$23:$E$23,1,'Cashflows'!$C$5)</f>
        <v/>
      </c>
    </row>
    <row r="118">
      <c r="B118" t="inlineStr">
        <is>
          <t xml:space="preserve">  Year 2</t>
        </is>
      </c>
      <c r="C118" s="56">
        <f>INDEX('Scenario Data'!$C$24:$E$24,1,'Cashflows'!$C$5)</f>
        <v/>
      </c>
    </row>
    <row r="119">
      <c r="B119" t="inlineStr">
        <is>
          <t xml:space="preserve">  Year 3</t>
        </is>
      </c>
      <c r="C119" s="56">
        <f>INDEX('Scenario Data'!$C$25:$E$25,1,'Cashflows'!$C$5)</f>
        <v/>
      </c>
    </row>
    <row r="120">
      <c r="B120" t="inlineStr">
        <is>
          <t xml:space="preserve">  Year 4</t>
        </is>
      </c>
      <c r="C120" s="56">
        <f>INDEX('Scenario Data'!$C$26:$E$26,1,'Cashflows'!$C$5)</f>
        <v/>
      </c>
    </row>
    <row r="121">
      <c r="B121" t="inlineStr">
        <is>
          <t xml:space="preserve">  Year 5</t>
        </is>
      </c>
      <c r="C121" s="56">
        <f>INDEX('Scenario Data'!$C$27:$E$27,1,'Cashflows'!$C$5)</f>
        <v/>
      </c>
    </row>
    <row r="122">
      <c r="B122" s="3" t="inlineStr">
        <is>
          <t>Retention — Effectiveness</t>
        </is>
      </c>
    </row>
    <row r="123">
      <c r="B123" t="inlineStr">
        <is>
          <t xml:space="preserve">  Year 1</t>
        </is>
      </c>
      <c r="C123" s="56">
        <f>INDEX('Scenario Data'!$C$59:$E$59,1,'Cashflows'!$C$5)</f>
        <v/>
      </c>
    </row>
    <row r="124">
      <c r="B124" t="inlineStr">
        <is>
          <t xml:space="preserve">  Year 2</t>
        </is>
      </c>
      <c r="C124" s="56">
        <f>INDEX('Scenario Data'!$C$60:$E$60,1,'Cashflows'!$C$5)</f>
        <v/>
      </c>
    </row>
    <row r="125">
      <c r="B125" t="inlineStr">
        <is>
          <t xml:space="preserve">  Year 3</t>
        </is>
      </c>
      <c r="C125" s="56">
        <f>INDEX('Scenario Data'!$C$61:$E$61,1,'Cashflows'!$C$5)</f>
        <v/>
      </c>
    </row>
    <row r="126">
      <c r="B126" t="inlineStr">
        <is>
          <t xml:space="preserve">  Year 4</t>
        </is>
      </c>
      <c r="C126" s="56">
        <f>INDEX('Scenario Data'!$C$62:$E$62,1,'Cashflows'!$C$5)</f>
        <v/>
      </c>
    </row>
    <row r="127">
      <c r="B127" t="inlineStr">
        <is>
          <t xml:space="preserve">  Year 5</t>
        </is>
      </c>
      <c r="C127" s="56">
        <f>INDEX('Scenario Data'!$C$63:$E$63,1,'Cashflows'!$C$5)</f>
        <v/>
      </c>
    </row>
    <row r="129">
      <c r="B129" s="3" t="inlineStr">
        <is>
          <t>Servicing — Implementation</t>
        </is>
      </c>
    </row>
    <row r="130">
      <c r="B130" t="inlineStr">
        <is>
          <t xml:space="preserve">  Year 1</t>
        </is>
      </c>
      <c r="C130" s="56">
        <f>INDEX('Scenario Data'!$C$30:$E$30,1,'Cashflows'!$C$5)</f>
        <v/>
      </c>
    </row>
    <row r="131">
      <c r="B131" t="inlineStr">
        <is>
          <t xml:space="preserve">  Year 2</t>
        </is>
      </c>
      <c r="C131" s="56">
        <f>INDEX('Scenario Data'!$C$31:$E$31,1,'Cashflows'!$C$5)</f>
        <v/>
      </c>
    </row>
    <row r="132">
      <c r="B132" t="inlineStr">
        <is>
          <t xml:space="preserve">  Year 3</t>
        </is>
      </c>
      <c r="C132" s="56">
        <f>INDEX('Scenario Data'!$C$32:$E$32,1,'Cashflows'!$C$5)</f>
        <v/>
      </c>
    </row>
    <row r="133">
      <c r="B133" t="inlineStr">
        <is>
          <t xml:space="preserve">  Year 4</t>
        </is>
      </c>
      <c r="C133" s="56">
        <f>INDEX('Scenario Data'!$C$33:$E$33,1,'Cashflows'!$C$5)</f>
        <v/>
      </c>
    </row>
    <row r="134">
      <c r="B134" t="inlineStr">
        <is>
          <t xml:space="preserve">  Year 5</t>
        </is>
      </c>
      <c r="C134" s="56">
        <f>INDEX('Scenario Data'!$C$34:$E$34,1,'Cashflows'!$C$5)</f>
        <v/>
      </c>
    </row>
    <row r="135">
      <c r="B135" s="3" t="inlineStr">
        <is>
          <t>Servicing — Effectiveness</t>
        </is>
      </c>
    </row>
    <row r="136">
      <c r="B136" t="inlineStr">
        <is>
          <t xml:space="preserve">  Year 1</t>
        </is>
      </c>
      <c r="C136" s="56">
        <f>INDEX('Scenario Data'!$C$66:$E$66,1,'Cashflows'!$C$5)</f>
        <v/>
      </c>
    </row>
    <row r="137">
      <c r="B137" t="inlineStr">
        <is>
          <t xml:space="preserve">  Year 2</t>
        </is>
      </c>
      <c r="C137" s="56">
        <f>INDEX('Scenario Data'!$C$67:$E$67,1,'Cashflows'!$C$5)</f>
        <v/>
      </c>
    </row>
    <row r="138">
      <c r="B138" t="inlineStr">
        <is>
          <t xml:space="preserve">  Year 3</t>
        </is>
      </c>
      <c r="C138" s="56">
        <f>INDEX('Scenario Data'!$C$68:$E$68,1,'Cashflows'!$C$5)</f>
        <v/>
      </c>
    </row>
    <row r="139">
      <c r="B139" t="inlineStr">
        <is>
          <t xml:space="preserve">  Year 4</t>
        </is>
      </c>
      <c r="C139" s="56">
        <f>INDEX('Scenario Data'!$C$69:$E$69,1,'Cashflows'!$C$5)</f>
        <v/>
      </c>
    </row>
    <row r="140">
      <c r="B140" t="inlineStr">
        <is>
          <t xml:space="preserve">  Year 5</t>
        </is>
      </c>
      <c r="C140" s="56">
        <f>INDEX('Scenario Data'!$C$70:$E$70,1,'Cashflows'!$C$5)</f>
        <v/>
      </c>
    </row>
    <row r="142">
      <c r="B142" s="3" t="inlineStr">
        <is>
          <t>Smb Onboarding — Implementation</t>
        </is>
      </c>
    </row>
    <row r="143">
      <c r="B143" t="inlineStr">
        <is>
          <t xml:space="preserve">  Year 1</t>
        </is>
      </c>
      <c r="C143" s="56">
        <f>INDEX('Scenario Data'!$C$37:$E$37,1,'Cashflows'!$C$5)</f>
        <v/>
      </c>
    </row>
    <row r="144">
      <c r="B144" t="inlineStr">
        <is>
          <t xml:space="preserve">  Year 2</t>
        </is>
      </c>
      <c r="C144" s="56">
        <f>INDEX('Scenario Data'!$C$38:$E$38,1,'Cashflows'!$C$5)</f>
        <v/>
      </c>
    </row>
    <row r="145">
      <c r="B145" t="inlineStr">
        <is>
          <t xml:space="preserve">  Year 3</t>
        </is>
      </c>
      <c r="C145" s="56">
        <f>INDEX('Scenario Data'!$C$39:$E$39,1,'Cashflows'!$C$5)</f>
        <v/>
      </c>
    </row>
    <row r="146">
      <c r="B146" t="inlineStr">
        <is>
          <t xml:space="preserve">  Year 4</t>
        </is>
      </c>
      <c r="C146" s="56">
        <f>INDEX('Scenario Data'!$C$40:$E$40,1,'Cashflows'!$C$5)</f>
        <v/>
      </c>
    </row>
    <row r="147">
      <c r="B147" t="inlineStr">
        <is>
          <t xml:space="preserve">  Year 5</t>
        </is>
      </c>
      <c r="C147" s="56">
        <f>INDEX('Scenario Data'!$C$41:$E$41,1,'Cashflows'!$C$5)</f>
        <v/>
      </c>
    </row>
    <row r="148">
      <c r="B148" s="3" t="inlineStr">
        <is>
          <t>Smb Onboarding — Effectiveness</t>
        </is>
      </c>
    </row>
    <row r="149">
      <c r="B149" t="inlineStr">
        <is>
          <t xml:space="preserve">  Year 1</t>
        </is>
      </c>
      <c r="C149" s="56">
        <f>INDEX('Scenario Data'!$C$73:$E$73,1,'Cashflows'!$C$5)</f>
        <v/>
      </c>
    </row>
    <row r="150">
      <c r="B150" t="inlineStr">
        <is>
          <t xml:space="preserve">  Year 2</t>
        </is>
      </c>
      <c r="C150" s="56">
        <f>INDEX('Scenario Data'!$C$74:$E$74,1,'Cashflows'!$C$5)</f>
        <v/>
      </c>
    </row>
    <row r="151">
      <c r="B151" t="inlineStr">
        <is>
          <t xml:space="preserve">  Year 3</t>
        </is>
      </c>
      <c r="C151" s="56">
        <f>INDEX('Scenario Data'!$C$75:$E$75,1,'Cashflows'!$C$5)</f>
        <v/>
      </c>
    </row>
    <row r="152">
      <c r="B152" t="inlineStr">
        <is>
          <t xml:space="preserve">  Year 4</t>
        </is>
      </c>
      <c r="C152" s="56">
        <f>INDEX('Scenario Data'!$C$76:$E$76,1,'Cashflows'!$C$5)</f>
        <v/>
      </c>
    </row>
    <row r="153">
      <c r="B153" t="inlineStr">
        <is>
          <t xml:space="preserve">  Year 5</t>
        </is>
      </c>
      <c r="C153" s="56">
        <f>INDEX('Scenario Data'!$C$77:$E$77,1,'Cashflows'!$C$5)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8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Scenario Definitions</t>
        </is>
      </c>
    </row>
    <row r="3">
      <c r="B3" s="12" t="inlineStr">
        <is>
          <t>Edit values here to customize scenarios. All lever sheets reference this table.</t>
        </is>
      </c>
    </row>
    <row r="5">
      <c r="B5" s="16" t="inlineStr">
        <is>
          <t>Parameter</t>
        </is>
      </c>
      <c r="C5" s="16" t="inlineStr">
        <is>
          <t>Conservative</t>
        </is>
      </c>
      <c r="D5" s="16" t="inlineStr">
        <is>
          <t>Moderate</t>
        </is>
      </c>
      <c r="E5" s="16" t="inlineStr">
        <is>
          <t>Aggressive</t>
        </is>
      </c>
    </row>
    <row r="7">
      <c r="B7" s="13" t="inlineStr">
        <is>
          <t>IMPLEMENTATION CURVES</t>
        </is>
      </c>
    </row>
    <row r="8">
      <c r="B8" s="3" t="inlineStr">
        <is>
          <t>Acquisition</t>
        </is>
      </c>
    </row>
    <row r="9">
      <c r="B9" t="inlineStr">
        <is>
          <t xml:space="preserve">  Year 1</t>
        </is>
      </c>
      <c r="C9" s="47" t="n">
        <v>0.1</v>
      </c>
      <c r="D9" s="47" t="n">
        <v>0.15</v>
      </c>
      <c r="E9" s="47" t="n">
        <v>0.2</v>
      </c>
    </row>
    <row r="10">
      <c r="B10" t="inlineStr">
        <is>
          <t xml:space="preserve">  Year 2</t>
        </is>
      </c>
      <c r="C10" s="47" t="n">
        <v>0.4</v>
      </c>
      <c r="D10" s="47" t="n">
        <v>0.5</v>
      </c>
      <c r="E10" s="47" t="n">
        <v>0.6</v>
      </c>
    </row>
    <row r="11">
      <c r="B11" t="inlineStr">
        <is>
          <t xml:space="preserve">  Year 3</t>
        </is>
      </c>
      <c r="C11" s="47" t="n">
        <v>0.7</v>
      </c>
      <c r="D11" s="47" t="n">
        <v>0.8</v>
      </c>
      <c r="E11" s="47" t="n">
        <v>0.9</v>
      </c>
    </row>
    <row r="12">
      <c r="B12" t="inlineStr">
        <is>
          <t xml:space="preserve">  Year 4</t>
        </is>
      </c>
      <c r="C12" s="47" t="n">
        <v>0.9</v>
      </c>
      <c r="D12" s="47" t="n">
        <v>0.95</v>
      </c>
      <c r="E12" s="47" t="n">
        <v>1</v>
      </c>
    </row>
    <row r="13">
      <c r="B13" t="inlineStr">
        <is>
          <t xml:space="preserve">  Year 5</t>
        </is>
      </c>
      <c r="C13" s="47" t="n">
        <v>1</v>
      </c>
      <c r="D13" s="47" t="n">
        <v>1</v>
      </c>
      <c r="E13" s="47" t="n">
        <v>1</v>
      </c>
    </row>
    <row r="15">
      <c r="B15" s="3" t="inlineStr">
        <is>
          <t>Product Penetration</t>
        </is>
      </c>
    </row>
    <row r="16">
      <c r="B16" t="inlineStr">
        <is>
          <t xml:space="preserve">  Year 1</t>
        </is>
      </c>
      <c r="C16" s="47" t="n">
        <v>0</v>
      </c>
      <c r="D16" s="47" t="n">
        <v>0</v>
      </c>
      <c r="E16" s="47" t="n">
        <v>0</v>
      </c>
    </row>
    <row r="17">
      <c r="B17" t="inlineStr">
        <is>
          <t xml:space="preserve">  Year 2</t>
        </is>
      </c>
      <c r="C17" s="47" t="n">
        <v>0.3</v>
      </c>
      <c r="D17" s="47" t="n">
        <v>0.4</v>
      </c>
      <c r="E17" s="47" t="n">
        <v>0.5</v>
      </c>
    </row>
    <row r="18">
      <c r="B18" t="inlineStr">
        <is>
          <t xml:space="preserve">  Year 3</t>
        </is>
      </c>
      <c r="C18" s="47" t="n">
        <v>0.65</v>
      </c>
      <c r="D18" s="47" t="n">
        <v>0.75</v>
      </c>
      <c r="E18" s="47" t="n">
        <v>0.85</v>
      </c>
    </row>
    <row r="19">
      <c r="B19" t="inlineStr">
        <is>
          <t xml:space="preserve">  Year 4</t>
        </is>
      </c>
      <c r="C19" s="47" t="n">
        <v>0.85</v>
      </c>
      <c r="D19" s="47" t="n">
        <v>0.95</v>
      </c>
      <c r="E19" s="47" t="n">
        <v>1</v>
      </c>
    </row>
    <row r="20">
      <c r="B20" t="inlineStr">
        <is>
          <t xml:space="preserve">  Year 5</t>
        </is>
      </c>
      <c r="C20" s="47" t="n">
        <v>1</v>
      </c>
      <c r="D20" s="47" t="n">
        <v>1</v>
      </c>
      <c r="E20" s="47" t="n">
        <v>1</v>
      </c>
    </row>
    <row r="22">
      <c r="B22" s="3" t="inlineStr">
        <is>
          <t>Retention</t>
        </is>
      </c>
    </row>
    <row r="23">
      <c r="B23" t="inlineStr">
        <is>
          <t xml:space="preserve">  Year 1</t>
        </is>
      </c>
      <c r="C23" s="47" t="n">
        <v>0</v>
      </c>
      <c r="D23" s="47" t="n">
        <v>0</v>
      </c>
      <c r="E23" s="47" t="n">
        <v>0</v>
      </c>
    </row>
    <row r="24">
      <c r="B24" t="inlineStr">
        <is>
          <t xml:space="preserve">  Year 2</t>
        </is>
      </c>
      <c r="C24" s="47" t="n">
        <v>0.3</v>
      </c>
      <c r="D24" s="47" t="n">
        <v>0.4</v>
      </c>
      <c r="E24" s="47" t="n">
        <v>0.5</v>
      </c>
    </row>
    <row r="25">
      <c r="B25" t="inlineStr">
        <is>
          <t xml:space="preserve">  Year 3</t>
        </is>
      </c>
      <c r="C25" s="47" t="n">
        <v>0.65</v>
      </c>
      <c r="D25" s="47" t="n">
        <v>0.75</v>
      </c>
      <c r="E25" s="47" t="n">
        <v>0.85</v>
      </c>
    </row>
    <row r="26">
      <c r="B26" t="inlineStr">
        <is>
          <t xml:space="preserve">  Year 4</t>
        </is>
      </c>
      <c r="C26" s="47" t="n">
        <v>0.85</v>
      </c>
      <c r="D26" s="47" t="n">
        <v>0.9</v>
      </c>
      <c r="E26" s="47" t="n">
        <v>1</v>
      </c>
    </row>
    <row r="27">
      <c r="B27" t="inlineStr">
        <is>
          <t xml:space="preserve">  Year 5</t>
        </is>
      </c>
      <c r="C27" s="47" t="n">
        <v>1</v>
      </c>
      <c r="D27" s="47" t="n">
        <v>1</v>
      </c>
      <c r="E27" s="47" t="n">
        <v>1</v>
      </c>
    </row>
    <row r="29">
      <c r="B29" s="3" t="inlineStr">
        <is>
          <t>Servicing</t>
        </is>
      </c>
    </row>
    <row r="30">
      <c r="B30" t="inlineStr">
        <is>
          <t xml:space="preserve">  Year 1</t>
        </is>
      </c>
      <c r="C30" s="47" t="n">
        <v>0.15</v>
      </c>
      <c r="D30" s="47" t="n">
        <v>0.2</v>
      </c>
      <c r="E30" s="47" t="n">
        <v>0.25</v>
      </c>
    </row>
    <row r="31">
      <c r="B31" t="inlineStr">
        <is>
          <t xml:space="preserve">  Year 2</t>
        </is>
      </c>
      <c r="C31" s="47" t="n">
        <v>0.5</v>
      </c>
      <c r="D31" s="47" t="n">
        <v>0.6</v>
      </c>
      <c r="E31" s="47" t="n">
        <v>0.7</v>
      </c>
    </row>
    <row r="32">
      <c r="B32" t="inlineStr">
        <is>
          <t xml:space="preserve">  Year 3</t>
        </is>
      </c>
      <c r="C32" s="47" t="n">
        <v>0.8</v>
      </c>
      <c r="D32" s="47" t="n">
        <v>0.9</v>
      </c>
      <c r="E32" s="47" t="n">
        <v>1</v>
      </c>
    </row>
    <row r="33">
      <c r="B33" t="inlineStr">
        <is>
          <t xml:space="preserve">  Year 4</t>
        </is>
      </c>
      <c r="C33" s="47" t="n">
        <v>0.95</v>
      </c>
      <c r="D33" s="47" t="n">
        <v>1</v>
      </c>
      <c r="E33" s="47" t="n">
        <v>1</v>
      </c>
    </row>
    <row r="34">
      <c r="B34" t="inlineStr">
        <is>
          <t xml:space="preserve">  Year 5</t>
        </is>
      </c>
      <c r="C34" s="47" t="n">
        <v>1</v>
      </c>
      <c r="D34" s="47" t="n">
        <v>1</v>
      </c>
      <c r="E34" s="47" t="n">
        <v>1</v>
      </c>
    </row>
    <row r="36">
      <c r="B36" s="3" t="inlineStr">
        <is>
          <t>Smb Onboarding</t>
        </is>
      </c>
    </row>
    <row r="37">
      <c r="B37" t="inlineStr">
        <is>
          <t xml:space="preserve">  Year 1</t>
        </is>
      </c>
      <c r="C37" s="47" t="n">
        <v>0.1</v>
      </c>
      <c r="D37" s="47" t="n">
        <v>0.15</v>
      </c>
      <c r="E37" s="47" t="n">
        <v>0.2</v>
      </c>
    </row>
    <row r="38">
      <c r="B38" t="inlineStr">
        <is>
          <t xml:space="preserve">  Year 2</t>
        </is>
      </c>
      <c r="C38" s="47" t="n">
        <v>0.45</v>
      </c>
      <c r="D38" s="47" t="n">
        <v>0.55</v>
      </c>
      <c r="E38" s="47" t="n">
        <v>0.65</v>
      </c>
    </row>
    <row r="39">
      <c r="B39" t="inlineStr">
        <is>
          <t xml:space="preserve">  Year 3</t>
        </is>
      </c>
      <c r="C39" s="47" t="n">
        <v>0.75</v>
      </c>
      <c r="D39" s="47" t="n">
        <v>0.85</v>
      </c>
      <c r="E39" s="47" t="n">
        <v>0.95</v>
      </c>
    </row>
    <row r="40">
      <c r="B40" t="inlineStr">
        <is>
          <t xml:space="preserve">  Year 4</t>
        </is>
      </c>
      <c r="C40" s="47" t="n">
        <v>0.95</v>
      </c>
      <c r="D40" s="47" t="n">
        <v>1</v>
      </c>
      <c r="E40" s="47" t="n">
        <v>1</v>
      </c>
    </row>
    <row r="41">
      <c r="B41" t="inlineStr">
        <is>
          <t xml:space="preserve">  Year 5</t>
        </is>
      </c>
      <c r="C41" s="47" t="n">
        <v>1</v>
      </c>
      <c r="D41" s="47" t="n">
        <v>1</v>
      </c>
      <c r="E41" s="47" t="n">
        <v>1</v>
      </c>
    </row>
    <row r="43">
      <c r="B43" s="13" t="inlineStr">
        <is>
          <t>EFFECTIVENESS CURVES</t>
        </is>
      </c>
    </row>
    <row r="44">
      <c r="B44" s="3" t="inlineStr">
        <is>
          <t>Acquisition</t>
        </is>
      </c>
    </row>
    <row r="45">
      <c r="B45" t="inlineStr">
        <is>
          <t xml:space="preserve">  Year 1</t>
        </is>
      </c>
      <c r="C45" s="47" t="n">
        <v>0.15</v>
      </c>
      <c r="D45" s="47" t="n">
        <v>0.2</v>
      </c>
      <c r="E45" s="47" t="n">
        <v>0.25</v>
      </c>
    </row>
    <row r="46">
      <c r="B46" t="inlineStr">
        <is>
          <t xml:space="preserve">  Year 2</t>
        </is>
      </c>
      <c r="C46" s="47" t="n">
        <v>0.4</v>
      </c>
      <c r="D46" s="47" t="n">
        <v>0.5</v>
      </c>
      <c r="E46" s="47" t="n">
        <v>0.55</v>
      </c>
    </row>
    <row r="47">
      <c r="B47" t="inlineStr">
        <is>
          <t xml:space="preserve">  Year 3</t>
        </is>
      </c>
      <c r="C47" s="47" t="n">
        <v>0.65</v>
      </c>
      <c r="D47" s="47" t="n">
        <v>0.75</v>
      </c>
      <c r="E47" s="47" t="n">
        <v>0.8</v>
      </c>
    </row>
    <row r="48">
      <c r="B48" t="inlineStr">
        <is>
          <t xml:space="preserve">  Year 4</t>
        </is>
      </c>
      <c r="C48" s="47" t="n">
        <v>0.85</v>
      </c>
      <c r="D48" s="47" t="n">
        <v>0.9</v>
      </c>
      <c r="E48" s="47" t="n">
        <v>0.95</v>
      </c>
    </row>
    <row r="49">
      <c r="B49" t="inlineStr">
        <is>
          <t xml:space="preserve">  Year 5</t>
        </is>
      </c>
      <c r="C49" s="47" t="n">
        <v>1</v>
      </c>
      <c r="D49" s="47" t="n">
        <v>1</v>
      </c>
      <c r="E49" s="47" t="n">
        <v>1</v>
      </c>
    </row>
    <row r="51">
      <c r="B51" s="3" t="inlineStr">
        <is>
          <t>Product Penetration</t>
        </is>
      </c>
    </row>
    <row r="52">
      <c r="B52" t="inlineStr">
        <is>
          <t xml:space="preserve">  Year 1</t>
        </is>
      </c>
      <c r="C52" s="47" t="n">
        <v>0</v>
      </c>
      <c r="D52" s="47" t="n">
        <v>0</v>
      </c>
      <c r="E52" s="47" t="n">
        <v>0</v>
      </c>
    </row>
    <row r="53">
      <c r="B53" t="inlineStr">
        <is>
          <t xml:space="preserve">  Year 2</t>
        </is>
      </c>
      <c r="C53" s="47" t="n">
        <v>0.25</v>
      </c>
      <c r="D53" s="47" t="n">
        <v>0.3</v>
      </c>
      <c r="E53" s="47" t="n">
        <v>0.4</v>
      </c>
    </row>
    <row r="54">
      <c r="B54" t="inlineStr">
        <is>
          <t xml:space="preserve">  Year 3</t>
        </is>
      </c>
      <c r="C54" s="47" t="n">
        <v>0.55</v>
      </c>
      <c r="D54" s="47" t="n">
        <v>0.6</v>
      </c>
      <c r="E54" s="47" t="n">
        <v>0.7</v>
      </c>
    </row>
    <row r="55">
      <c r="B55" t="inlineStr">
        <is>
          <t xml:space="preserve">  Year 4</t>
        </is>
      </c>
      <c r="C55" s="47" t="n">
        <v>0.8</v>
      </c>
      <c r="D55" s="47" t="n">
        <v>0.85</v>
      </c>
      <c r="E55" s="47" t="n">
        <v>0.92</v>
      </c>
    </row>
    <row r="56">
      <c r="B56" t="inlineStr">
        <is>
          <t xml:space="preserve">  Year 5</t>
        </is>
      </c>
      <c r="C56" s="47" t="n">
        <v>1</v>
      </c>
      <c r="D56" s="47" t="n">
        <v>1</v>
      </c>
      <c r="E56" s="47" t="n">
        <v>1</v>
      </c>
    </row>
    <row r="58">
      <c r="B58" s="3" t="inlineStr">
        <is>
          <t>Retention</t>
        </is>
      </c>
    </row>
    <row r="59">
      <c r="B59" t="inlineStr">
        <is>
          <t xml:space="preserve">  Year 1</t>
        </is>
      </c>
      <c r="C59" s="47" t="n">
        <v>0</v>
      </c>
      <c r="D59" s="47" t="n">
        <v>0</v>
      </c>
      <c r="E59" s="47" t="n">
        <v>0</v>
      </c>
    </row>
    <row r="60">
      <c r="B60" t="inlineStr">
        <is>
          <t xml:space="preserve">  Year 2</t>
        </is>
      </c>
      <c r="C60" s="47" t="n">
        <v>0.25</v>
      </c>
      <c r="D60" s="47" t="n">
        <v>0.35</v>
      </c>
      <c r="E60" s="47" t="n">
        <v>0.45</v>
      </c>
    </row>
    <row r="61">
      <c r="B61" t="inlineStr">
        <is>
          <t xml:space="preserve">  Year 3</t>
        </is>
      </c>
      <c r="C61" s="47" t="n">
        <v>0.55</v>
      </c>
      <c r="D61" s="47" t="n">
        <v>0.65</v>
      </c>
      <c r="E61" s="47" t="n">
        <v>0.75</v>
      </c>
    </row>
    <row r="62">
      <c r="B62" t="inlineStr">
        <is>
          <t xml:space="preserve">  Year 4</t>
        </is>
      </c>
      <c r="C62" s="47" t="n">
        <v>0.8</v>
      </c>
      <c r="D62" s="47" t="n">
        <v>0.85</v>
      </c>
      <c r="E62" s="47" t="n">
        <v>0.9</v>
      </c>
    </row>
    <row r="63">
      <c r="B63" t="inlineStr">
        <is>
          <t xml:space="preserve">  Year 5</t>
        </is>
      </c>
      <c r="C63" s="47" t="n">
        <v>1</v>
      </c>
      <c r="D63" s="47" t="n">
        <v>1</v>
      </c>
      <c r="E63" s="47" t="n">
        <v>1</v>
      </c>
    </row>
    <row r="65">
      <c r="B65" s="3" t="inlineStr">
        <is>
          <t>Servicing</t>
        </is>
      </c>
    </row>
    <row r="66">
      <c r="B66" t="inlineStr">
        <is>
          <t xml:space="preserve">  Year 1</t>
        </is>
      </c>
      <c r="C66" s="47" t="n">
        <v>0.2</v>
      </c>
      <c r="D66" s="47" t="n">
        <v>0.25</v>
      </c>
      <c r="E66" s="47" t="n">
        <v>0.3</v>
      </c>
    </row>
    <row r="67">
      <c r="B67" t="inlineStr">
        <is>
          <t xml:space="preserve">  Year 2</t>
        </is>
      </c>
      <c r="C67" s="47" t="n">
        <v>0.45</v>
      </c>
      <c r="D67" s="47" t="n">
        <v>0.55</v>
      </c>
      <c r="E67" s="47" t="n">
        <v>0.65</v>
      </c>
    </row>
    <row r="68">
      <c r="B68" t="inlineStr">
        <is>
          <t xml:space="preserve">  Year 3</t>
        </is>
      </c>
      <c r="C68" s="47" t="n">
        <v>0.7</v>
      </c>
      <c r="D68" s="47" t="n">
        <v>0.8</v>
      </c>
      <c r="E68" s="47" t="n">
        <v>0.85</v>
      </c>
    </row>
    <row r="69">
      <c r="B69" t="inlineStr">
        <is>
          <t xml:space="preserve">  Year 4</t>
        </is>
      </c>
      <c r="C69" s="47" t="n">
        <v>0.9</v>
      </c>
      <c r="D69" s="47" t="n">
        <v>0.95</v>
      </c>
      <c r="E69" s="47" t="n">
        <v>1</v>
      </c>
    </row>
    <row r="70">
      <c r="B70" t="inlineStr">
        <is>
          <t xml:space="preserve">  Year 5</t>
        </is>
      </c>
      <c r="C70" s="47" t="n">
        <v>1</v>
      </c>
      <c r="D70" s="47" t="n">
        <v>1</v>
      </c>
      <c r="E70" s="47" t="n">
        <v>1</v>
      </c>
    </row>
    <row r="72">
      <c r="B72" s="3" t="inlineStr">
        <is>
          <t>Smb Onboarding</t>
        </is>
      </c>
    </row>
    <row r="73">
      <c r="B73" t="inlineStr">
        <is>
          <t xml:space="preserve">  Year 1</t>
        </is>
      </c>
      <c r="C73" s="47" t="n">
        <v>0.15</v>
      </c>
      <c r="D73" s="47" t="n">
        <v>0.2</v>
      </c>
      <c r="E73" s="47" t="n">
        <v>0.25</v>
      </c>
    </row>
    <row r="74">
      <c r="B74" t="inlineStr">
        <is>
          <t xml:space="preserve">  Year 2</t>
        </is>
      </c>
      <c r="C74" s="47" t="n">
        <v>0.45</v>
      </c>
      <c r="D74" s="47" t="n">
        <v>0.5</v>
      </c>
      <c r="E74" s="47" t="n">
        <v>0.6</v>
      </c>
    </row>
    <row r="75">
      <c r="B75" t="inlineStr">
        <is>
          <t xml:space="preserve">  Year 3</t>
        </is>
      </c>
      <c r="C75" s="47" t="n">
        <v>0.7</v>
      </c>
      <c r="D75" s="47" t="n">
        <v>0.75</v>
      </c>
      <c r="E75" s="47" t="n">
        <v>0.85</v>
      </c>
    </row>
    <row r="76">
      <c r="B76" t="inlineStr">
        <is>
          <t xml:space="preserve">  Year 4</t>
        </is>
      </c>
      <c r="C76" s="47" t="n">
        <v>0.88</v>
      </c>
      <c r="D76" s="47" t="n">
        <v>0.9</v>
      </c>
      <c r="E76" s="47" t="n">
        <v>0.95</v>
      </c>
    </row>
    <row r="77">
      <c r="B77" t="inlineStr">
        <is>
          <t xml:space="preserve">  Year 5</t>
        </is>
      </c>
      <c r="C77" s="47" t="n">
        <v>1</v>
      </c>
      <c r="D77" s="47" t="n">
        <v>1</v>
      </c>
      <c r="E77" s="47" t="n">
        <v>1</v>
      </c>
    </row>
    <row r="79">
      <c r="B79" s="13" t="inlineStr">
        <is>
          <t>BACKBASE IMPACTS</t>
        </is>
      </c>
    </row>
    <row r="80">
      <c r="B80" t="inlineStr">
        <is>
          <t>Abandonment Recovery</t>
        </is>
      </c>
      <c r="C80" s="53" t="n">
        <v>0.08</v>
      </c>
      <c r="D80" s="53" t="n">
        <v>0.15</v>
      </c>
      <c r="E80" s="53" t="n">
        <v>0.22</v>
      </c>
    </row>
    <row r="81">
      <c r="B81" t="inlineStr">
        <is>
          <t>Cross Sell Deepening</t>
        </is>
      </c>
      <c r="C81" s="53" t="n">
        <v>0.05</v>
      </c>
      <c r="D81" s="53" t="n">
        <v>0.08</v>
      </c>
      <c r="E81" s="53" t="n">
        <v>0.12</v>
      </c>
    </row>
    <row r="82">
      <c r="B82" t="inlineStr">
        <is>
          <t>Retention Improvement</t>
        </is>
      </c>
      <c r="C82" s="53" t="n">
        <v>0.1</v>
      </c>
      <c r="D82" s="53" t="n">
        <v>0.2</v>
      </c>
      <c r="E82" s="53" t="n">
        <v>0.3</v>
      </c>
    </row>
    <row r="83">
      <c r="B83" t="inlineStr">
        <is>
          <t>Servicing Deflection</t>
        </is>
      </c>
      <c r="C83" s="53" t="n">
        <v>0.12</v>
      </c>
      <c r="D83" s="53" t="n">
        <v>0.25</v>
      </c>
      <c r="E83" s="53" t="n">
        <v>0.38</v>
      </c>
    </row>
    <row r="84">
      <c r="B84" t="inlineStr">
        <is>
          <t>Smb Onboarding Efficiency</t>
        </is>
      </c>
      <c r="C84" s="53" t="n">
        <v>0.18</v>
      </c>
      <c r="D84" s="53" t="n">
        <v>0.3</v>
      </c>
      <c r="E84" s="53" t="n">
        <v>0.45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4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55" customWidth="1" min="5" max="5"/>
  </cols>
  <sheetData>
    <row r="1">
      <c r="B1" s="9" t="inlineStr">
        <is>
          <t>Bank Profile</t>
        </is>
      </c>
    </row>
    <row r="3">
      <c r="B3" s="13" t="inlineStr">
        <is>
          <t>BANK IDENTITY</t>
        </is>
      </c>
    </row>
    <row r="4">
      <c r="B4" s="3" t="inlineStr">
        <is>
          <t>Bank Name</t>
        </is>
      </c>
      <c r="C4" t="inlineStr">
        <is>
          <t>WSFS Bank (Wilmington Savings Fund Society)</t>
        </is>
      </c>
    </row>
    <row r="5">
      <c r="B5" s="3" t="inlineStr">
        <is>
          <t>Country</t>
        </is>
      </c>
      <c r="C5" t="inlineStr">
        <is>
          <t>United States</t>
        </is>
      </c>
    </row>
    <row r="6">
      <c r="B6" s="3" t="inlineStr">
        <is>
          <t>Currency</t>
        </is>
      </c>
      <c r="C6" t="inlineStr">
        <is>
          <t>USD</t>
        </is>
      </c>
    </row>
    <row r="7">
      <c r="B7" s="3" t="inlineStr">
        <is>
          <t>Stock Ticker</t>
        </is>
      </c>
      <c r="C7" t="inlineStr">
        <is>
          <t>WSFS (NASDAQ)</t>
        </is>
      </c>
    </row>
    <row r="8">
      <c r="B8" s="3" t="inlineStr">
        <is>
          <t>Report Year</t>
        </is>
      </c>
      <c r="C8" t="inlineStr">
        <is>
          <t>2024</t>
        </is>
      </c>
    </row>
    <row r="9">
      <c r="B9" s="3" t="inlineStr">
        <is>
          <t>Data Sources</t>
        </is>
      </c>
      <c r="C9" t="inlineStr">
        <is>
          <t>Public filings + Client-provided questionnaire (Nov 2025) + Discovery transcript (Nov 14, 2025)</t>
        </is>
      </c>
    </row>
    <row r="11">
      <c r="B11" s="3" t="inlineStr">
        <is>
          <t>Market Context Status</t>
        </is>
      </c>
      <c r="C11" s="6" t="inlineStr">
        <is>
          <t>NOT_RUN</t>
        </is>
      </c>
    </row>
    <row r="13">
      <c r="B13" s="13" t="inlineStr">
        <is>
          <t>KEY FINANCIAL METRICS</t>
        </is>
      </c>
    </row>
    <row r="14">
      <c r="B14" s="16" t="inlineStr">
        <is>
          <t>Metric</t>
        </is>
      </c>
      <c r="C14" s="16" t="inlineStr">
        <is>
          <t>Value</t>
        </is>
      </c>
      <c r="D14" s="16" t="inlineStr">
        <is>
          <t>Confidence</t>
        </is>
      </c>
      <c r="E14" s="16" t="inlineStr">
        <is>
          <t>Source</t>
        </is>
      </c>
    </row>
    <row r="15">
      <c r="B15" t="inlineStr">
        <is>
          <t>Total Deposits</t>
        </is>
      </c>
      <c r="C15" s="57" t="n">
        <v>17226000000</v>
      </c>
      <c r="D15" t="inlineStr">
        <is>
          <t>HIGH</t>
        </is>
      </c>
      <c r="E15" s="35" t="inlineStr">
        <is>
          <t>Public filing</t>
        </is>
      </c>
    </row>
    <row r="16">
      <c r="B16" t="inlineStr">
        <is>
          <t>Consumer Deposits</t>
        </is>
      </c>
      <c r="C16" s="57" t="n">
        <v>8270000000</v>
      </c>
      <c r="D16" t="inlineStr">
        <is>
          <t>HIGH</t>
        </is>
      </c>
      <c r="E16" s="35" t="inlineStr">
        <is>
          <t>Public filing — 48% of total</t>
        </is>
      </c>
    </row>
    <row r="17">
      <c r="B17" t="inlineStr">
        <is>
          <t>SMB Deposits</t>
        </is>
      </c>
      <c r="C17" s="57" t="n">
        <v>1890000000</v>
      </c>
      <c r="D17" t="inlineStr">
        <is>
          <t>HIGH</t>
        </is>
      </c>
      <c r="E17" s="35" t="inlineStr">
        <is>
          <t>Public filing — 11% of total</t>
        </is>
      </c>
    </row>
    <row r="18">
      <c r="B18" t="inlineStr">
        <is>
          <t>Consumer Accounts (estimated)</t>
        </is>
      </c>
      <c r="C18" s="58" t="n">
        <v>344000</v>
      </c>
      <c r="D18" t="inlineStr">
        <is>
          <t>MEDIUM</t>
        </is>
      </c>
      <c r="E18" s="35" t="inlineStr">
        <is>
          <t>Derived — $8.27B / $24K avg deposit (industry benchmark)</t>
        </is>
      </c>
    </row>
    <row r="19">
      <c r="B19" t="inlineStr">
        <is>
          <t>Digitally Active Consumers</t>
        </is>
      </c>
      <c r="C19" s="57" t="n">
        <v>220000</v>
      </c>
      <c r="D19" t="inlineStr">
        <is>
          <t>HIGH</t>
        </is>
      </c>
      <c r="E19" s="35" t="inlineStr">
        <is>
          <t>CLIENT DATA — ~65% of 344K</t>
        </is>
      </c>
    </row>
    <row r="20">
      <c r="B20" t="inlineStr">
        <is>
          <t>Monthly App Starts (Consumer Onboarding)</t>
        </is>
      </c>
      <c r="C20" s="57" t="n">
        <v>1600</v>
      </c>
      <c r="D20" t="inlineStr">
        <is>
          <t>HIGH</t>
        </is>
      </c>
      <c r="E20" s="35" t="inlineStr">
        <is>
          <t>CLIENT DATA</t>
        </is>
      </c>
    </row>
    <row r="21">
      <c r="B21" t="inlineStr">
        <is>
          <t>Monthly Apps Funded</t>
        </is>
      </c>
      <c r="C21" s="5" t="n">
        <v>140</v>
      </c>
      <c r="D21" t="inlineStr">
        <is>
          <t>HIGH</t>
        </is>
      </c>
      <c r="E21" s="35" t="inlineStr">
        <is>
          <t>CLIENT DATA</t>
        </is>
      </c>
    </row>
    <row r="22">
      <c r="B22" t="inlineStr">
        <is>
          <t>App Abandonment Rate</t>
        </is>
      </c>
      <c r="C22" s="5" t="inlineStr">
        <is>
          <t>91%</t>
        </is>
      </c>
      <c r="D22" t="inlineStr">
        <is>
          <t>HIGH</t>
        </is>
      </c>
      <c r="E22" s="35" t="inlineStr">
        <is>
          <t>CLIENT DATA — Tom Holdren cited explicitly in Nov 14 demo (00:45:36)</t>
        </is>
      </c>
    </row>
    <row r="23">
      <c r="B23" t="inlineStr">
        <is>
          <t>Annual Revenue per Consumer</t>
        </is>
      </c>
      <c r="C23" s="5" t="n">
        <v>350</v>
      </c>
      <c r="D23" t="inlineStr">
        <is>
          <t>HIGH</t>
        </is>
      </c>
      <c r="E23" s="35" t="inlineStr">
        <is>
          <t>CLIENT DATA</t>
        </is>
      </c>
    </row>
    <row r="24">
      <c r="B24" t="inlineStr">
        <is>
          <t>Annual Consumer Attrition Rate</t>
        </is>
      </c>
      <c r="C24" s="5" t="inlineStr">
        <is>
          <t>&lt; 6%</t>
        </is>
      </c>
      <c r="D24" t="inlineStr">
        <is>
          <t>HIGH</t>
        </is>
      </c>
      <c r="E24" s="35" t="inlineStr">
        <is>
          <t>CLIENT DATA</t>
        </is>
      </c>
    </row>
    <row r="25">
      <c r="B25" t="inlineStr">
        <is>
          <t>Avg Products per Customer</t>
        </is>
      </c>
      <c r="C25" s="5" t="n">
        <v>2.3</v>
      </c>
      <c r="D25" t="inlineStr">
        <is>
          <t>HIGH</t>
        </is>
      </c>
      <c r="E25" s="35" t="inlineStr">
        <is>
          <t>CLIENT DATA</t>
        </is>
      </c>
    </row>
    <row r="26">
      <c r="B26" t="inlineStr">
        <is>
          <t>Monthly Business Servicing Requests</t>
        </is>
      </c>
      <c r="C26" s="5" t="inlineStr">
        <is>
          <t>4,000–5,000</t>
        </is>
      </c>
      <c r="D26" t="inlineStr">
        <is>
          <t>HIGH</t>
        </is>
      </c>
      <c r="E26" s="35" t="inlineStr">
        <is>
          <t>CLIENT DATA</t>
        </is>
      </c>
    </row>
    <row r="27">
      <c r="B27" t="inlineStr">
        <is>
          <t>Business Onboarding Cost per Account</t>
        </is>
      </c>
      <c r="C27" s="5" t="inlineStr">
        <is>
          <t>$1,485–$2,485</t>
        </is>
      </c>
      <c r="D27" t="inlineStr">
        <is>
          <t>HIGH</t>
        </is>
      </c>
      <c r="E27" s="35" t="inlineStr">
        <is>
          <t>Derived — RM 7.5-15h@$75 + Ops 10-20h@$40 + Compliance 4-8h@$40</t>
        </is>
      </c>
    </row>
    <row r="28">
      <c r="B28" t="inlineStr">
        <is>
          <t>Annual Marketing Spend</t>
        </is>
      </c>
      <c r="C28" s="57" t="n">
        <v>8712000</v>
      </c>
      <c r="D28" t="inlineStr">
        <is>
          <t>HIGH</t>
        </is>
      </c>
      <c r="E28" s="35" t="inlineStr">
        <is>
          <t>Public filing — $2.178M/quarter</t>
        </is>
      </c>
    </row>
    <row r="29">
      <c r="B29" t="inlineStr">
        <is>
          <t>CEB Platform Deprecation Date</t>
        </is>
      </c>
      <c r="C29" s="5" t="inlineStr">
        <is>
          <t>September 2026</t>
        </is>
      </c>
      <c r="D29" t="inlineStr">
        <is>
          <t>HIGH</t>
        </is>
      </c>
      <c r="E29" s="35" t="inlineStr">
        <is>
          <t>CLIENT DATA — confirmed in transcript (00:24:08)</t>
        </is>
      </c>
    </row>
    <row r="31">
      <c r="B31" s="13" t="inlineStr">
        <is>
          <t>DERIVED METRICS</t>
        </is>
      </c>
    </row>
    <row r="32">
      <c r="B32" s="16" t="inlineStr">
        <is>
          <t>Metric</t>
        </is>
      </c>
      <c r="C32" s="16" t="inlineStr">
        <is>
          <t>Value</t>
        </is>
      </c>
      <c r="D32" s="16" t="inlineStr">
        <is>
          <t>Confidence</t>
        </is>
      </c>
      <c r="E32" s="16" t="inlineStr">
        <is>
          <t>Derivation</t>
        </is>
      </c>
    </row>
    <row r="33">
      <c r="B33" t="inlineStr">
        <is>
          <t>Full Relationship Value per Consumer (NIM-based)</t>
        </is>
      </c>
      <c r="C33" t="n">
        <v>700</v>
      </c>
      <c r="D33" t="inlineStr">
        <is>
          <t>MEDIUM</t>
        </is>
      </c>
      <c r="E33" s="35" t="inlineStr">
        <is>
          <t>$8.27B consumer deposits × 3.0% NIM / 344K accounts ≈ $721; rounded down to $700 as conservative anchor for retention/acquisition levers</t>
        </is>
      </c>
    </row>
    <row r="34">
      <c r="B34" t="inlineStr">
        <is>
          <t>Annual Churning Consumers (6% attrition cap)</t>
        </is>
      </c>
      <c r="C34" s="34" t="n">
        <v>20640</v>
      </c>
      <c r="D34" t="inlineStr">
        <is>
          <t>HIGH</t>
        </is>
      </c>
      <c r="E34" s="35" t="inlineStr">
        <is>
          <t>344,000 × 0.06 = 20,640</t>
        </is>
      </c>
    </row>
    <row r="35">
      <c r="B35" t="inlineStr">
        <is>
          <t>Annual Apps Lost to Abandonment</t>
        </is>
      </c>
      <c r="C35" s="34" t="n">
        <v>17520</v>
      </c>
      <c r="D35" t="inlineStr">
        <is>
          <t>HIGH</t>
        </is>
      </c>
      <c r="E35" s="35" t="inlineStr">
        <is>
          <t>1,460 abandoned/month × 12 = 17,520/year</t>
        </is>
      </c>
    </row>
    <row r="36">
      <c r="B36" t="inlineStr">
        <is>
          <t>Annual SMB Servicing Requests</t>
        </is>
      </c>
      <c r="C36" s="34" t="n">
        <v>54000</v>
      </c>
      <c r="D36" t="inlineStr">
        <is>
          <t>HIGH</t>
        </is>
      </c>
      <c r="E36" s="35" t="inlineStr">
        <is>
          <t>4,500/month (midpoint) × 12 = 54,000/year</t>
        </is>
      </c>
    </row>
    <row r="38">
      <c r="B38" s="13" t="inlineStr">
        <is>
          <t>DATA GAPS</t>
        </is>
      </c>
    </row>
    <row r="39">
      <c r="B39" s="16" t="inlineStr">
        <is>
          <t>Data Needed</t>
        </is>
      </c>
      <c r="C39" s="16" t="inlineStr">
        <is>
          <t>Priority</t>
        </is>
      </c>
      <c r="D39" s="16" t="inlineStr">
        <is>
          <t>Impact</t>
        </is>
      </c>
      <c r="E39" s="16" t="inlineStr">
        <is>
          <t>Where to Obtain</t>
        </is>
      </c>
    </row>
    <row r="40">
      <c r="B40" t="inlineStr">
        <is>
          <t>Exact consumer call center volume (calls/year)</t>
        </is>
      </c>
      <c r="C40" s="59" t="inlineStr">
        <is>
          <t>HIGH</t>
        </is>
      </c>
      <c r="D40" s="35" t="inlineStr">
        <is>
          <t>Servicing deflection lever sizing — model uses 360,000/yr estimate from 220K digitally active × 35% call propensity × 3 calls/yr; validate with COO/Ops</t>
        </is>
      </c>
      <c r="E40" s="35" t="inlineStr">
        <is>
          <t>COO or Head of Operations</t>
        </is>
      </c>
    </row>
    <row r="41">
      <c r="B41" t="inlineStr">
        <is>
          <t>Annual new SMB account openings</t>
        </is>
      </c>
      <c r="C41" s="59" t="inlineStr">
        <is>
          <t>HIGH</t>
        </is>
      </c>
      <c r="D41" s="35" t="inlineStr">
        <is>
          <t>SMB onboarding lever baseline — model uses 700 accounts/yr as estimate; actual figure changes lever value proportionally</t>
        </is>
      </c>
      <c r="E41" s="35" t="inlineStr">
        <is>
          <t>Head of SMB Banking</t>
        </is>
      </c>
    </row>
    <row r="42">
      <c r="B42" t="inlineStr">
        <is>
          <t>Call center average handle time and FTE cost</t>
        </is>
      </c>
      <c r="C42" t="inlineStr">
        <is>
          <t>MEDIUM</t>
        </is>
      </c>
      <c r="D42" s="35" t="inlineStr">
        <is>
          <t>Used $10/call blended fully-loaded; validate for accuracy</t>
        </is>
      </c>
      <c r="E42" s="35" t="inlineStr">
        <is>
          <t>Operations / Finance</t>
        </is>
      </c>
    </row>
    <row r="43">
      <c r="B43" t="inlineStr">
        <is>
          <t>Products per customer segmentation</t>
        </is>
      </c>
      <c r="C43" t="inlineStr">
        <is>
          <t>MEDIUM</t>
        </is>
      </c>
      <c r="D43" s="35" t="inlineStr">
        <is>
          <t>Cross-sell lever assumes uniform 2.3 products/customer; segmented data would refine addressable population</t>
        </is>
      </c>
      <c r="E43" s="35" t="inlineStr">
        <is>
          <t>Chief Data Officer</t>
        </is>
      </c>
    </row>
    <row r="44">
      <c r="B44" t="inlineStr">
        <is>
          <t>Annual Report financial data (C/I ratio, NII, ROE)</t>
        </is>
      </c>
      <c r="C44" s="59" t="inlineStr">
        <is>
          <t>HIGH</t>
        </is>
      </c>
      <c r="D44" s="35" t="inlineStr">
        <is>
          <t>Required for reasonableness checks and executive benchmark comparisons</t>
        </is>
      </c>
      <c r="E44" s="35" t="inlineStr">
        <is>
          <t>Public filings — WSFS NASDAQ: WSFS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9" t="inlineStr">
        <is>
          <t>Assumptions Register</t>
        </is>
      </c>
    </row>
    <row r="3">
      <c r="B3" s="43" t="inlineStr">
        <is>
          <t>All assumptions documented with sources and validation owners</t>
        </is>
      </c>
    </row>
    <row r="5">
      <c r="B5" s="16" t="inlineStr">
        <is>
          <t>ID</t>
        </is>
      </c>
      <c r="C5" s="16" t="inlineStr">
        <is>
          <t>Assumption</t>
        </is>
      </c>
      <c r="D5" s="16" t="inlineStr">
        <is>
          <t>Value</t>
        </is>
      </c>
      <c r="E5" s="16" t="inlineStr">
        <is>
          <t>Conf.</t>
        </is>
      </c>
      <c r="F5" s="16" t="inlineStr">
        <is>
          <t>Source</t>
        </is>
      </c>
      <c r="G5" s="16" t="inlineStr">
        <is>
          <t>Owner</t>
        </is>
      </c>
      <c r="H5" s="16" t="inlineStr">
        <is>
          <t>Sensitivity</t>
        </is>
      </c>
    </row>
    <row r="6">
      <c r="B6" t="inlineStr">
        <is>
          <t>A-001</t>
        </is>
      </c>
      <c r="C6" t="inlineStr">
        <is>
          <t>Monthly app abandonment rate</t>
        </is>
      </c>
      <c r="D6" s="5" t="inlineStr">
        <is>
          <t>91% (1,460 of 1,600 apps per month don't fund)</t>
        </is>
      </c>
      <c r="E6" t="inlineStr">
        <is>
          <t>HIGH</t>
        </is>
      </c>
      <c r="F6" s="35" t="inlineStr">
        <is>
          <t>CLIENT DATA — Tom Holdren explicitly cited in Nov 14, 2025 demo transcript (00:45:36)</t>
        </is>
      </c>
      <c r="G6" t="inlineStr">
        <is>
          <t>Head of Digital Banking</t>
        </is>
      </c>
      <c r="H6" s="35" t="inlineStr">
        <is>
          <t>HIGH — this is the anchor metric for Lever 1; a 10% change in abandonment rate shifts L1 baseline by ~$1.2M</t>
        </is>
      </c>
    </row>
    <row r="7">
      <c r="B7" t="inlineStr">
        <is>
          <t>A-002</t>
        </is>
      </c>
      <c r="C7" t="inlineStr">
        <is>
          <t>Annual revenue per consumer</t>
        </is>
      </c>
      <c r="D7" s="7" t="inlineStr">
        <is>
          <t>$350/customer/year (net fee/service income); $700 used for retention/acquisition levers (full NIM-based relationship value)</t>
        </is>
      </c>
      <c r="E7" t="inlineStr">
        <is>
          <t>MEDIUM</t>
        </is>
      </c>
      <c r="F7" s="35" t="inlineStr">
        <is>
          <t>$350 = CLIENT DATA. $700 = DERIVED (NIM calculation). Validate higher figure with CFO.</t>
        </is>
      </c>
      <c r="G7" t="inlineStr">
        <is>
          <t>CFO / Finance</t>
        </is>
      </c>
      <c r="H7" s="35" t="inlineStr">
        <is>
          <t>HIGH — if true relationship value is closer to $350, steady-state benefit drops by ~40%</t>
        </is>
      </c>
    </row>
    <row r="8">
      <c r="B8" t="inlineStr">
        <is>
          <t>A-003</t>
        </is>
      </c>
      <c r="C8" t="inlineStr">
        <is>
          <t>Consumer attrition rate</t>
        </is>
      </c>
      <c r="D8" s="5" t="inlineStr">
        <is>
          <t>6% (CLIENT DATA states &lt;6%; model uses 6% as ceiling)</t>
        </is>
      </c>
      <c r="E8" t="inlineStr">
        <is>
          <t>HIGH</t>
        </is>
      </c>
      <c r="F8" s="35" t="inlineStr">
        <is>
          <t>CLIENT DATA</t>
        </is>
      </c>
      <c r="G8" t="inlineStr">
        <is>
          <t>Head of Retail Banking</t>
        </is>
      </c>
      <c r="H8" s="35" t="inlineStr">
        <is>
          <t>MEDIUM — if actual attrition is 4% rather than 6%, Lever 3 baseline drops 33%</t>
        </is>
      </c>
    </row>
    <row r="9">
      <c r="B9" t="inlineStr">
        <is>
          <t>A-004</t>
        </is>
      </c>
      <c r="C9" t="inlineStr">
        <is>
          <t>Annual consumer accounts</t>
        </is>
      </c>
      <c r="D9" s="7" t="inlineStr">
        <is>
          <t>344,000 (derived: $8.27B consumer deposits / $24K avg deposit)</t>
        </is>
      </c>
      <c r="E9" t="inlineStr">
        <is>
          <t>MEDIUM</t>
        </is>
      </c>
      <c r="F9" s="35" t="inlineStr">
        <is>
          <t>DERIVED — average deposit is an industry benchmark; actual count not provided</t>
        </is>
      </c>
      <c r="G9" t="inlineStr">
        <is>
          <t>Head of Retail Banking / CIO</t>
        </is>
      </c>
      <c r="H9" s="35" t="inlineStr">
        <is>
          <t>HIGH — affects all per-customer calculations across all 5 levers</t>
        </is>
      </c>
    </row>
    <row r="10">
      <c r="B10" t="inlineStr">
        <is>
          <t>A-005</t>
        </is>
      </c>
      <c r="C10" t="inlineStr">
        <is>
          <t>Annual new SMB account openings</t>
        </is>
      </c>
      <c r="D10" s="6" t="inlineStr">
        <is>
          <t>700 accounts/year</t>
        </is>
      </c>
      <c r="E10" t="inlineStr">
        <is>
          <t>LOW</t>
        </is>
      </c>
      <c r="F10" s="35" t="inlineStr">
        <is>
          <t>ESTIMATE — no client data provided. Derived from SMB deposit base / average relationship size.</t>
        </is>
      </c>
      <c r="G10" t="inlineStr">
        <is>
          <t>Head of SMB Banking</t>
        </is>
      </c>
      <c r="H10" s="35" t="inlineStr">
        <is>
          <t>HIGH — L4 baseline is directly proportional to this number; validate as priority</t>
        </is>
      </c>
    </row>
    <row r="11">
      <c r="B11" t="inlineStr">
        <is>
          <t>A-006</t>
        </is>
      </c>
      <c r="C11" t="inlineStr">
        <is>
          <t>Consumer call center volume</t>
        </is>
      </c>
      <c r="D11" s="6" t="inlineStr">
        <is>
          <t>360,000 calls/year (~$10/call fully loaded)</t>
        </is>
      </c>
      <c r="E11" t="inlineStr">
        <is>
          <t>LOW</t>
        </is>
      </c>
      <c r="F11" s="35" t="inlineStr">
        <is>
          <t>ESTIMATE — Bailey DeLellis confirmed call-center-driven support model (00:22:00); volume derived from digital adoption rate and industry ratios</t>
        </is>
      </c>
      <c r="G11" t="inlineStr">
        <is>
          <t>COO / Head of Operations</t>
        </is>
      </c>
      <c r="H11" s="35" t="inlineStr">
        <is>
          <t>MEDIUM — L2 baseline is $3.6M for call center component; ±50% range gives $1.8M–$5.4M</t>
        </is>
      </c>
    </row>
    <row r="12">
      <c r="B12" t="inlineStr">
        <is>
          <t>A-007</t>
        </is>
      </c>
      <c r="C12" t="inlineStr">
        <is>
          <t>Business onboarding cost</t>
        </is>
      </c>
      <c r="D12" s="5" t="inlineStr">
        <is>
          <t>$1,985/account (midpoint of $1,485–$2,485 CLIENT DATA range)</t>
        </is>
      </c>
      <c r="E12" t="inlineStr">
        <is>
          <t>HIGH</t>
        </is>
      </c>
      <c r="F12" s="35" t="inlineStr">
        <is>
          <t>CLIENT DATA</t>
        </is>
      </c>
      <c r="G12" t="inlineStr">
        <is>
          <t>Head of SMB Operations</t>
        </is>
      </c>
      <c r="H12" s="35" t="inlineStr">
        <is>
          <t>LOW — range is known; midpoint is defensible</t>
        </is>
      </c>
    </row>
    <row r="13">
      <c r="B13" t="inlineStr">
        <is>
          <t>A-008</t>
        </is>
      </c>
      <c r="C13" t="inlineStr">
        <is>
          <t>CEB deprecation creates implementation urgency</t>
        </is>
      </c>
      <c r="D13" s="5" t="inlineStr">
        <is>
          <t>September 2026 deadline — confirms budget and executive approval trajectory</t>
        </is>
      </c>
      <c r="E13" t="inlineStr">
        <is>
          <t>HIGH</t>
        </is>
      </c>
      <c r="F13" s="35" t="inlineStr">
        <is>
          <t>CLIENT DATA — confirmed in transcript (00:24:08)</t>
        </is>
      </c>
      <c r="G13" t="inlineStr">
        <is>
          <t>CTO</t>
        </is>
      </c>
      <c r="H13" s="35" t="inlineStr">
        <is>
          <t>LOW — timeline context only; does not affect financial model</t>
        </is>
      </c>
    </row>
    <row r="14">
      <c r="B14" t="inlineStr">
        <is>
          <t>A-009</t>
        </is>
      </c>
      <c r="C14" t="inlineStr">
        <is>
          <t>Best-in-class digital onboarding funded rate</t>
        </is>
      </c>
      <c r="D14" s="7" t="inlineStr">
        <is>
          <t>60% funded rate (DBS, Marcus, Ally Digital)</t>
        </is>
      </c>
      <c r="E14" t="inlineStr">
        <is>
          <t>MEDIUM</t>
        </is>
      </c>
      <c r="F14" s="35" t="inlineStr">
        <is>
          <t>INDUSTRY BENCHMARK — digital-native and leading community bank benchmarks</t>
        </is>
      </c>
      <c r="G14" t="inlineStr">
        <is>
          <t>Backbase Value Consulting</t>
        </is>
      </c>
      <c r="H14" s="35" t="inlineStr">
        <is>
          <t>MEDIUM — if best-in-class is 40% instead of 60%, capture rate changes but impact on L1 is modest (&lt;10%)</t>
        </is>
      </c>
    </row>
    <row r="15">
      <c r="B15" t="inlineStr">
        <is>
          <t>A-010</t>
        </is>
      </c>
      <c r="C15" t="inlineStr">
        <is>
          <t>Products per customer best-in-class</t>
        </is>
      </c>
      <c r="D15" s="7" t="inlineStr">
        <is>
          <t>3.2 products/customer</t>
        </is>
      </c>
      <c r="E15" t="inlineStr">
        <is>
          <t>MEDIUM</t>
        </is>
      </c>
      <c r="F15" s="35" t="inlineStr">
        <is>
          <t>INDUSTRY BENCHMARK — BAI Banking Outlook, Cornerstone Advisors community bank digital study</t>
        </is>
      </c>
      <c r="G15" t="inlineStr">
        <is>
          <t>Backbase Value Consulting</t>
        </is>
      </c>
      <c r="H15" s="35" t="inlineStr">
        <is>
          <t>LOW — L5 cross-sell is flagged LOW confidence overall; this assumption only affects the gap sizing, not the final captured benefit materially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9" t="inlineStr">
        <is>
          <t>Data Gaps — Required for Validation</t>
        </is>
      </c>
    </row>
    <row r="3">
      <c r="B3" s="60" t="inlineStr">
        <is>
          <t>These data points are CRITICAL for validating the ROI model.</t>
        </is>
      </c>
    </row>
    <row r="5">
      <c r="B5" s="16" t="inlineStr">
        <is>
          <t>ID</t>
        </is>
      </c>
      <c r="C5" s="16" t="inlineStr">
        <is>
          <t>Data Needed</t>
        </is>
      </c>
      <c r="D5" s="16" t="inlineStr">
        <is>
          <t>Priority</t>
        </is>
      </c>
      <c r="E5" s="16" t="inlineStr">
        <is>
          <t>Source</t>
        </is>
      </c>
      <c r="F5" s="16" t="inlineStr">
        <is>
          <t>Impact on Model</t>
        </is>
      </c>
    </row>
    <row r="6">
      <c r="B6" t="inlineStr">
        <is>
          <t>DG-001</t>
        </is>
      </c>
      <c r="C6" t="inlineStr">
        <is>
          <t>Exact annual new SMB account volume</t>
        </is>
      </c>
      <c r="D6" s="6" t="inlineStr">
        <is>
          <t>HIGH</t>
        </is>
      </c>
      <c r="E6" t="inlineStr">
        <is>
          <t>Head of SMB Banking — CRM / core system</t>
        </is>
      </c>
      <c r="F6" s="35" t="inlineStr">
        <is>
          <t>L4 (SMB Onboarding) baseline is $1.66M — a 50% error in account volume causes a $248K/year error in steady-state benefit</t>
        </is>
      </c>
    </row>
    <row r="7">
      <c r="B7" t="inlineStr">
        <is>
          <t>DG-002</t>
        </is>
      </c>
      <c r="C7" t="inlineStr">
        <is>
          <t>Annual consumer call center call volume</t>
        </is>
      </c>
      <c r="D7" s="6" t="inlineStr">
        <is>
          <t>HIGH</t>
        </is>
      </c>
      <c r="E7" t="inlineStr">
        <is>
          <t>COO / Operations — call center reporting system</t>
        </is>
      </c>
      <c r="F7" s="35" t="inlineStr">
        <is>
          <t>L2 (Servicing Deflection) baseline includes $3.6M call center component based on estimate; actual volume validates or shifts this significantly</t>
        </is>
      </c>
    </row>
    <row r="8">
      <c r="B8" t="inlineStr">
        <is>
          <t>DG-003</t>
        </is>
      </c>
      <c r="C8" t="inlineStr">
        <is>
          <t>Annual branch visit count for deflectable tasks</t>
        </is>
      </c>
      <c r="D8" t="inlineStr">
        <is>
          <t>MEDIUM</t>
        </is>
      </c>
      <c r="E8" t="inlineStr">
        <is>
          <t>Branch Operations — transaction logs</t>
        </is>
      </c>
      <c r="F8" s="35" t="inlineStr">
        <is>
          <t>L2 branch component ($1.55M) is estimated; actual visit volumes for simple tasks (payments, account changes) refine the baseline</t>
        </is>
      </c>
    </row>
    <row r="9">
      <c r="B9" t="inlineStr">
        <is>
          <t>DG-004</t>
        </is>
      </c>
      <c r="C9" t="inlineStr">
        <is>
          <t>True fully-loaded revenue per consumer relationship (NIM-based)</t>
        </is>
      </c>
      <c r="D9" s="6" t="inlineStr">
        <is>
          <t>HIGH</t>
        </is>
      </c>
      <c r="E9" t="inlineStr">
        <is>
          <t>CFO — management accounts or segment P&amp;L</t>
        </is>
      </c>
      <c r="F9" s="35" t="inlineStr">
        <is>
          <t>Model uses $700 for retention/acquisition levers; if CFO confirms closer to $350, 5-year benefits decrease by approximately $6M</t>
        </is>
      </c>
    </row>
    <row r="10">
      <c r="B10" t="inlineStr">
        <is>
          <t>DG-005</t>
        </is>
      </c>
      <c r="C10" t="inlineStr">
        <is>
          <t>Current products per customer (segmented by digital adoption)</t>
        </is>
      </c>
      <c r="D10" t="inlineStr">
        <is>
          <t>MEDIUM</t>
        </is>
      </c>
      <c r="E10" t="inlineStr">
        <is>
          <t>Chief Data Officer — customer analytics</t>
        </is>
      </c>
      <c r="F10" s="35" t="inlineStr">
        <is>
          <t>L5 (Cross-sell) assumes uniform 2.3 products; digitally active customers likely have different ratios; segmentation refines addressable market</t>
        </is>
      </c>
    </row>
    <row r="11">
      <c r="B11" t="inlineStr">
        <is>
          <t>DG-006</t>
        </is>
      </c>
      <c r="C11" t="inlineStr">
        <is>
          <t>Consumer attrition segmentation by digital engagement status</t>
        </is>
      </c>
      <c r="D11" t="inlineStr">
        <is>
          <t>MEDIUM</t>
        </is>
      </c>
      <c r="E11" t="inlineStr">
        <is>
          <t>Head of Retail Analytics</t>
        </is>
      </c>
      <c r="F11" s="35" t="inlineStr">
        <is>
          <t>If digitally active customers already attrite at &lt;3% vs non-digital at &gt;9%, the L3 lever should be scoped to at-risk non-digital segment only</t>
        </is>
      </c>
    </row>
    <row r="12">
      <c r="B12" t="inlineStr">
        <is>
          <t>DG-007</t>
        </is>
      </c>
      <c r="C12" t="inlineStr">
        <is>
          <t>Marketing cost per acquired consumer (CAC)</t>
        </is>
      </c>
      <c r="D12" t="inlineStr">
        <is>
          <t>LOW</t>
        </is>
      </c>
      <c r="E12" t="inlineStr">
        <is>
          <t>CMO / Finance — marketing attribution data</t>
        </is>
      </c>
      <c r="F12" s="35" t="inlineStr">
        <is>
          <t>Would add a cost-efficiency dimension to L1 (abandonment recovery is more cost-effective than paid acquisition); strengthens ROI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2026-02-27T10:07:58Z</dcterms:created>
  <dcterms:modified xmlns:dcterms="http://purl.org/dc/terms/" xmlns:xsi="http://www.w3.org/2001/XMLSchema-instance" xsi:type="dcterms:W3CDTF">2026-02-27T10:07:58Z</dcterms:modified>
</cp:coreProperties>
</file>