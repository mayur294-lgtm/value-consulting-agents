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Page" sheetId="1" state="visible" r:id="rId1"/>
    <sheet name="Instructions" sheetId="2" state="visible" r:id="rId2"/>
    <sheet name="Table of Contents" sheetId="3" state="visible" r:id="rId3"/>
    <sheet name="Cashflows" sheetId="4" state="visible" r:id="rId4"/>
    <sheet name="Journey Analysis" sheetId="5" state="visible" r:id="rId5"/>
    <sheet name="Model Inputs" sheetId="6" state="visible" r:id="rId6"/>
    <sheet name="Scenario Data" sheetId="7" state="visible" r:id="rId7"/>
    <sheet name="Bank Profile" sheetId="8" state="visible" r:id="rId8"/>
    <sheet name="Assumptions" sheetId="9" state="visible" r:id="rId9"/>
    <sheet name="Data Gaps" sheetId="10" state="visible" r:id="rId10"/>
  </sheets>
  <definedNames>
    <definedName name="ScenarioIndex">'Cashflows'!$C$5</definedName>
    <definedName name="DiscountRate">'Model Inputs'!$C11</definedName>
    <definedName name="License_Y1">'Model Inputs'!$C109</definedName>
    <definedName name="Impl_Y1">'Model Inputs'!$C116</definedName>
    <definedName name="License_Y2">'Model Inputs'!$C110</definedName>
    <definedName name="Impl_Y2">'Model Inputs'!$C117</definedName>
    <definedName name="License_Y3">'Model Inputs'!$C111</definedName>
    <definedName name="Impl_Y3">'Model Inputs'!$C118</definedName>
    <definedName name="License_Y4">'Model Inputs'!$C112</definedName>
    <definedName name="Impl_Y4">'Model Inputs'!$C119</definedName>
    <definedName name="License_Y5">'Model Inputs'!$C113</definedName>
    <definedName name="Impl_Y5">'Model Inputs'!$C120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0.0"/>
  </numFmts>
  <fonts count="3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56FF"/>
      <sz val="16"/>
    </font>
    <font/>
    <font>
      <b val="1"/>
      <color rgb="001A56FF"/>
      <sz val="24"/>
    </font>
    <font>
      <i val="1"/>
      <sz val="14"/>
    </font>
    <font>
      <b val="1"/>
    </font>
    <font>
      <b val="1"/>
      <sz val="12"/>
    </font>
    <font>
      <b val="1"/>
      <color rgb="001A56FF"/>
      <sz val="18"/>
    </font>
    <font>
      <b val="1"/>
      <color rgb="001A56FF"/>
    </font>
    <font>
      <i val="1"/>
      <sz val="10"/>
    </font>
    <font>
      <b val="1"/>
      <color rgb="00FFFFFF"/>
    </font>
    <font>
      <b val="1"/>
      <color rgb="001A56FF"/>
      <sz val="12"/>
    </font>
    <font>
      <b val="1"/>
      <color rgb="001A56FF"/>
      <sz val="11"/>
    </font>
    <font>
      <b val="1"/>
      <color rgb="0000B386"/>
      <sz val="11"/>
    </font>
    <font>
      <i val="1"/>
      <sz val="9"/>
    </font>
    <font>
      <b val="1"/>
      <sz val="10"/>
    </font>
    <font>
      <sz val="9"/>
    </font>
    <font>
      <b val="1"/>
      <color rgb="0000B386"/>
    </font>
    <font>
      <b val="1"/>
      <color rgb="001A56FF"/>
      <sz val="13"/>
    </font>
    <font>
      <b val="1"/>
      <color rgb="0000B386"/>
      <sz val="10"/>
    </font>
    <font>
      <b val="1"/>
      <sz val="11"/>
    </font>
    <font>
      <color rgb="0000B386"/>
      <sz val="9"/>
    </font>
    <font>
      <b val="1"/>
      <color rgb="001A56FF"/>
      <sz val="10"/>
    </font>
    <font>
      <b val="1"/>
      <sz val="14"/>
    </font>
    <font>
      <b val="1"/>
      <color rgb="0000B386"/>
      <sz val="14"/>
    </font>
    <font>
      <i val="1"/>
      <color rgb="0000B386"/>
      <sz val="10"/>
    </font>
    <font>
      <b val="1"/>
      <color rgb="00FF4444"/>
    </font>
    <font>
      <b val="1"/>
      <color rgb="001A56FF"/>
      <sz val="14"/>
    </font>
    <font>
      <i val="1"/>
    </font>
    <font>
      <i val="1"/>
      <color rgb="00FF4444"/>
    </font>
  </fonts>
  <fills count="8">
    <fill>
      <patternFill/>
    </fill>
    <fill>
      <patternFill patternType="gray125"/>
    </fill>
    <fill>
      <patternFill patternType="solid">
        <fgColor rgb="002D3250"/>
      </patternFill>
    </fill>
    <fill>
      <patternFill patternType="solid">
        <fgColor rgb="00E8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CCE5FF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/>
  </borders>
  <cellStyleXfs count="4">
    <xf numFmtId="0" fontId="0" fillId="0" borderId="0"/>
    <xf numFmtId="0" fontId="1" fillId="2" borderId="1" applyAlignment="1">
      <alignment horizontal="center" vertical="center"/>
    </xf>
    <xf numFmtId="0" fontId="2" fillId="0" borderId="1"/>
    <xf numFmtId="0" fontId="3" fillId="3" borderId="1"/>
  </cellStyleXfs>
  <cellXfs count="52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2" fillId="0" borderId="0" pivotButton="0" quotePrefix="0" xfId="0"/>
    <xf numFmtId="0" fontId="24" fillId="3" borderId="0" pivotButton="0" quotePrefix="0" xfId="0"/>
    <xf numFmtId="0" fontId="26" fillId="0" borderId="0" pivotButton="0" quotePrefix="0" xfId="0"/>
    <xf numFmtId="0" fontId="11" fillId="2" borderId="0" applyAlignment="1" pivotButton="0" quotePrefix="0" xfId="0">
      <alignment horizontal="center"/>
    </xf>
    <xf numFmtId="0" fontId="18" fillId="0" borderId="0" pivotButton="0" quotePrefix="0" xfId="0"/>
    <xf numFmtId="165" fontId="0" fillId="0" borderId="0" pivotButton="0" quotePrefix="0" xfId="0"/>
    <xf numFmtId="165" fontId="6" fillId="0" borderId="0" pivotButton="0" quotePrefix="0" xfId="0"/>
    <xf numFmtId="0" fontId="27" fillId="0" borderId="0" pivotButton="0" quotePrefix="0" xfId="0"/>
    <xf numFmtId="0" fontId="24" fillId="0" borderId="0" pivotButton="0" quotePrefix="0" xfId="0"/>
    <xf numFmtId="165" fontId="24" fillId="0" borderId="0" pivotButton="0" quotePrefix="0" xfId="0"/>
    <xf numFmtId="0" fontId="28" fillId="0" borderId="0" pivotButton="0" quotePrefix="0" xfId="0"/>
    <xf numFmtId="164" fontId="0" fillId="0" borderId="0" pivotButton="0" quotePrefix="0" xfId="0"/>
    <xf numFmtId="164" fontId="25" fillId="0" borderId="0" pivotButton="0" quotePrefix="0" xfId="0"/>
    <xf numFmtId="164" fontId="24" fillId="0" borderId="0" pivotButton="0" quotePrefix="0" xfId="0"/>
    <xf numFmtId="166" fontId="24" fillId="0" borderId="0" pivotButton="0" quotePrefix="0" xfId="0"/>
    <xf numFmtId="165" fontId="25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3" fontId="0" fillId="0" borderId="0" pivotButton="0" quotePrefix="0" xfId="0"/>
    <xf numFmtId="0" fontId="17" fillId="0" borderId="0" pivotButton="0" quotePrefix="0" xfId="0"/>
    <xf numFmtId="3" fontId="6" fillId="0" borderId="0" pivotButton="0" quotePrefix="0" xfId="0"/>
    <xf numFmtId="164" fontId="6" fillId="0" borderId="0" pivotButton="0" quotePrefix="0" xfId="0"/>
    <xf numFmtId="0" fontId="21" fillId="0" borderId="0" pivotButton="0" quotePrefix="0" xfId="0"/>
    <xf numFmtId="3" fontId="14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3" fontId="25" fillId="0" borderId="0" pivotButton="0" quotePrefix="0" xfId="0"/>
    <xf numFmtId="164" fontId="0" fillId="3" borderId="0" pivotButton="0" quotePrefix="0" xfId="0"/>
    <xf numFmtId="0" fontId="16" fillId="0" borderId="0" pivotButton="0" quotePrefix="0" xfId="0"/>
    <xf numFmtId="3" fontId="18" fillId="0" borderId="0" pivotButton="0" quotePrefix="0" xfId="0"/>
    <xf numFmtId="165" fontId="0" fillId="3" borderId="0" pivotButton="0" quotePrefix="0" xfId="0"/>
    <xf numFmtId="9" fontId="0" fillId="0" borderId="0" pivotButton="0" quotePrefix="0" xfId="0"/>
    <xf numFmtId="9" fontId="0" fillId="3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6" fillId="7" borderId="0" pivotButton="0" quotePrefix="0" xfId="0"/>
  </cellXfs>
  <cellStyles count="4">
    <cellStyle name="Normal" xfId="0" builtinId="0" hidden="0"/>
    <cellStyle name="header_style" xfId="1" hidden="0"/>
    <cellStyle name="title_style" xfId="2" hidden="0"/>
    <cellStyle name="input_style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C2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</cols>
  <sheetData>
    <row r="5">
      <c r="B5" s="1" t="inlineStr">
        <is>
          <t>Return on Investment Calculator</t>
        </is>
      </c>
    </row>
    <row r="7">
      <c r="B7" s="2" t="inlineStr">
        <is>
          <t>Value Consulting - Business Case</t>
        </is>
      </c>
    </row>
    <row r="10">
      <c r="B10" s="3" t="inlineStr">
        <is>
          <t>Client Name:</t>
        </is>
      </c>
      <c r="C10" t="inlineStr">
        <is>
          <t>BECU</t>
        </is>
      </c>
    </row>
    <row r="12">
      <c r="B12" s="3" t="inlineStr">
        <is>
          <t>Date:</t>
        </is>
      </c>
      <c r="C12" t="inlineStr">
        <is>
          <t>2026-02-26</t>
        </is>
      </c>
    </row>
    <row r="14">
      <c r="B14" s="3" t="inlineStr">
        <is>
          <t>Currency:</t>
        </is>
      </c>
      <c r="C14" t="inlineStr">
        <is>
          <t>USD</t>
        </is>
      </c>
    </row>
    <row r="16">
      <c r="B16" s="3" t="inlineStr">
        <is>
          <t>Analysis Period:</t>
        </is>
      </c>
      <c r="C16" t="inlineStr">
        <is>
          <t>5 Years</t>
        </is>
      </c>
    </row>
    <row r="18">
      <c r="B18" s="3" t="inlineStr">
        <is>
          <t>Selected Scenario:</t>
        </is>
      </c>
      <c r="C18" t="inlineStr">
        <is>
          <t>Moderate</t>
        </is>
      </c>
    </row>
    <row r="20">
      <c r="B20" s="3" t="inlineStr">
        <is>
          <t>Discount Rate:</t>
        </is>
      </c>
      <c r="C20" t="inlineStr">
        <is>
          <t>10.0%</t>
        </is>
      </c>
    </row>
    <row r="24">
      <c r="B24" s="4" t="inlineStr">
        <is>
          <t>DATA SOURCE LEGEND</t>
        </is>
      </c>
    </row>
    <row r="26">
      <c r="B26" s="5" t="inlineStr">
        <is>
          <t>Green</t>
        </is>
      </c>
      <c r="C26" t="inlineStr">
        <is>
          <t>From transcript/client data</t>
        </is>
      </c>
    </row>
    <row r="27">
      <c r="B27" s="6" t="inlineStr">
        <is>
          <t>Yellow</t>
        </is>
      </c>
      <c r="C27" t="inlineStr">
        <is>
          <t>Estimate - requires validation</t>
        </is>
      </c>
    </row>
    <row r="28">
      <c r="B28" s="7" t="inlineStr">
        <is>
          <t>Blue</t>
        </is>
      </c>
      <c r="C28" t="inlineStr">
        <is>
          <t>Backbase benchmark</t>
        </is>
      </c>
    </row>
    <row r="29">
      <c r="B29" s="8" t="inlineStr">
        <is>
          <t>Red border</t>
        </is>
      </c>
      <c r="C29" t="inlineStr">
        <is>
          <t>Low confidence - critical validation</t>
        </is>
      </c>
    </row>
  </sheetData>
  <mergeCells count="2">
    <mergeCell ref="B5:C5"/>
    <mergeCell ref="B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8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2">
      <c r="B2" s="9" t="inlineStr">
        <is>
          <t>ROI Model Instructions</t>
        </is>
      </c>
    </row>
    <row r="4">
      <c r="B4" t="inlineStr"/>
    </row>
    <row r="5">
      <c r="B5" s="10" t="inlineStr">
        <is>
          <t>THIS IS A LIVE MODEL — all calculations use Excel formulas.</t>
        </is>
      </c>
    </row>
    <row r="6">
      <c r="B6" t="inlineStr">
        <is>
          <t>Changing any input on 'Model Inputs' will automatically recalculate all sheets.</t>
        </is>
      </c>
    </row>
    <row r="7">
      <c r="B7" t="inlineStr"/>
    </row>
    <row r="8">
      <c r="B8" s="10" t="inlineStr">
        <is>
          <t>SCENARIO SWITCHING</t>
        </is>
      </c>
    </row>
    <row r="9">
      <c r="B9" t="inlineStr">
        <is>
          <t>• Go to 'Model Inputs' sheet, cell C5</t>
        </is>
      </c>
    </row>
    <row r="10">
      <c r="B10" t="inlineStr">
        <is>
          <t>• Select: 1 = Conservative, 2 = Moderate, 3 = Aggressive</t>
        </is>
      </c>
    </row>
    <row r="11">
      <c r="B11" t="inlineStr">
        <is>
          <t>• All curves, impacts, and downstream calculations will update instantly</t>
        </is>
      </c>
    </row>
    <row r="12">
      <c r="B12" t="inlineStr"/>
    </row>
    <row r="13">
      <c r="B13" s="10" t="inlineStr">
        <is>
          <t>EDITING INPUTS</t>
        </is>
      </c>
    </row>
    <row r="14">
      <c r="B14" t="inlineStr">
        <is>
          <t>• Blue-shaded cells on 'Model Inputs' are editable — change volumes, rates, costs</t>
        </is>
      </c>
    </row>
    <row r="15">
      <c r="B15" t="inlineStr">
        <is>
          <t>• Yellow cells are estimates that should be validated with client data</t>
        </is>
      </c>
    </row>
    <row r="16">
      <c r="B16" t="inlineStr">
        <is>
          <t>• Green cells are from transcript — highest confidence</t>
        </is>
      </c>
    </row>
    <row r="17">
      <c r="B17" t="inlineStr"/>
    </row>
    <row r="18">
      <c r="B18" s="10" t="inlineStr">
        <is>
          <t>SHEET ARCHITECTURE</t>
        </is>
      </c>
    </row>
    <row r="19">
      <c r="B19" t="inlineStr">
        <is>
          <t>• Model Inputs → all editable parameters (INPUT layer)</t>
        </is>
      </c>
    </row>
    <row r="20">
      <c r="B20" t="inlineStr">
        <is>
          <t>• Scenario Data → three scenario definitions (reference table)</t>
        </is>
      </c>
    </row>
    <row r="21">
      <c r="B21" t="inlineStr">
        <is>
          <t>• Lever sheets → per-group calculations with formulas (CALCULATION layer)</t>
        </is>
      </c>
    </row>
    <row r="22">
      <c r="B22" t="inlineStr">
        <is>
          <t>• Cashflows → 5-year projection aggregating lever sheets (CALCULATION layer)</t>
        </is>
      </c>
    </row>
    <row r="23">
      <c r="B23" t="inlineStr">
        <is>
          <t>• Results Dashboard → summary KPIs from Cashflows (OUTPUT layer)</t>
        </is>
      </c>
    </row>
    <row r="24">
      <c r="B24" t="inlineStr"/>
    </row>
    <row r="25">
      <c r="B25" s="10" t="inlineStr">
        <is>
          <t>DATA CONFIDENCE LEVELS</t>
        </is>
      </c>
    </row>
    <row r="26">
      <c r="B26" t="inlineStr">
        <is>
          <t>• HIGH - Direct quote from transcript or validated client data</t>
        </is>
      </c>
    </row>
    <row r="27">
      <c r="B27" t="inlineStr">
        <is>
          <t>• MEDIUM - Inferred from transcript context or industry benchmark</t>
        </is>
      </c>
    </row>
    <row r="28">
      <c r="B28" t="inlineStr">
        <is>
          <t>• LOW - Estimate based on typical patterns - REQUIRES VALIDATION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C18"/>
  <sheetViews>
    <sheetView workbookViewId="0">
      <selection activeCell="A1" sqref="A1"/>
    </sheetView>
  </sheetViews>
  <sheetFormatPr baseColWidth="8" defaultRowHeight="15"/>
  <cols>
    <col width="20" customWidth="1" min="2" max="2"/>
    <col width="50" customWidth="1" min="3" max="3"/>
  </cols>
  <sheetData>
    <row r="3">
      <c r="B3" s="9" t="inlineStr">
        <is>
          <t>Table of Contents</t>
        </is>
      </c>
    </row>
    <row r="5">
      <c r="B5" s="3" t="inlineStr">
        <is>
          <t>Input Layer</t>
        </is>
      </c>
      <c r="C5" t="inlineStr">
        <is>
          <t>Model Inputs — editable parameters</t>
        </is>
      </c>
    </row>
    <row r="6">
      <c r="B6" s="11" t="inlineStr"/>
      <c r="C6" t="inlineStr">
        <is>
          <t xml:space="preserve">  Scenario Data — Conservative / Moderate / Aggressive</t>
        </is>
      </c>
    </row>
    <row r="7">
      <c r="B7" s="3" t="inlineStr">
        <is>
          <t>Calculation</t>
        </is>
      </c>
      <c r="C7" t="inlineStr">
        <is>
          <t xml:space="preserve">  Lever: L1 — Digital Membership Origination</t>
        </is>
      </c>
    </row>
    <row r="8">
      <c r="B8" s="3" t="inlineStr">
        <is>
          <t>Calculation</t>
        </is>
      </c>
      <c r="C8" t="inlineStr">
        <is>
          <t xml:space="preserve">  Lever: L2 — Digital Loan Origination</t>
        </is>
      </c>
    </row>
    <row r="9">
      <c r="B9" s="3" t="inlineStr">
        <is>
          <t>Calculation</t>
        </is>
      </c>
      <c r="C9" t="inlineStr">
        <is>
          <t xml:space="preserve">  Lever: L3 — Member Retention</t>
        </is>
      </c>
    </row>
    <row r="10">
      <c r="B10" s="3" t="inlineStr">
        <is>
          <t>Calculation</t>
        </is>
      </c>
      <c r="C10" t="inlineStr">
        <is>
          <t xml:space="preserve">  Lever: L4 — Cross-sell &amp; Product Penetration</t>
        </is>
      </c>
    </row>
    <row r="11">
      <c r="B11" s="3" t="inlineStr">
        <is>
          <t>Calculation</t>
        </is>
      </c>
      <c r="C11" t="inlineStr">
        <is>
          <t xml:space="preserve">  Lever: L5 — Contact Center Cost Avoidance</t>
        </is>
      </c>
    </row>
    <row r="12">
      <c r="B12" s="3" t="inlineStr">
        <is>
          <t>Calculation</t>
        </is>
      </c>
      <c r="C12" t="inlineStr">
        <is>
          <t xml:space="preserve">  Lever: L6 — Branch Cost Avoidance</t>
        </is>
      </c>
    </row>
    <row r="13">
      <c r="B13" s="3" t="inlineStr">
        <is>
          <t>Calculation</t>
        </is>
      </c>
      <c r="C13" t="inlineStr">
        <is>
          <t xml:space="preserve">  Lever: L7 — Employee Enablement</t>
        </is>
      </c>
    </row>
    <row r="14">
      <c r="B14" s="3" t="inlineStr">
        <is>
          <t>Calculation</t>
        </is>
      </c>
      <c r="C14" t="inlineStr">
        <is>
          <t xml:space="preserve">  Lever: L8 — IT Platform Consolidation</t>
        </is>
      </c>
    </row>
    <row r="15">
      <c r="B15" s="11" t="inlineStr"/>
      <c r="C15" t="inlineStr">
        <is>
          <t xml:space="preserve">  Cashflows — 5-year projection</t>
        </is>
      </c>
    </row>
    <row r="16">
      <c r="B16" s="3" t="inlineStr">
        <is>
          <t>Output Layer</t>
        </is>
      </c>
      <c r="C16" t="inlineStr">
        <is>
          <t>Results Dashboard — NPV, IRR, Payback, ROI</t>
        </is>
      </c>
    </row>
    <row r="17">
      <c r="B17" s="3" t="inlineStr">
        <is>
          <t>Reference</t>
        </is>
      </c>
      <c r="C17" t="inlineStr">
        <is>
          <t>Assumptions Register</t>
        </is>
      </c>
    </row>
    <row r="18">
      <c r="B18" s="11" t="inlineStr"/>
      <c r="C18" t="inlineStr">
        <is>
          <t xml:space="preserve">  Data Gaps for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5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B1" s="9" t="inlineStr">
        <is>
          <t>5 Year Cashflows &amp; ROI</t>
        </is>
      </c>
    </row>
    <row r="3">
      <c r="B3" s="12" t="inlineStr">
        <is>
          <t>All values are live formulas. Change the scenario below — Journey Analysis and Cashflows update automatically.</t>
        </is>
      </c>
    </row>
    <row r="4">
      <c r="B4" s="13" t="inlineStr">
        <is>
          <t>SCENARIO SELECTOR</t>
        </is>
      </c>
    </row>
    <row r="5">
      <c r="B5" t="inlineStr">
        <is>
          <t>Active Scenario (1=Conservative, 2=Moderate, 3=Aggressive)</t>
        </is>
      </c>
      <c r="C5" s="14" t="n">
        <v>2</v>
      </c>
    </row>
    <row r="6">
      <c r="B6" s="15">
        <f>IF(C5=1,"Conservative — slower adoption, cautious assumptions",IF(C5=2,"Moderate — base case, phased rollout","Aggressive — fast adoption, full benefit"))</f>
        <v/>
      </c>
    </row>
    <row r="8">
      <c r="B8" s="16" t="inlineStr"/>
      <c r="C8" s="16" t="inlineStr">
        <is>
          <t>Year 1</t>
        </is>
      </c>
      <c r="D8" s="16" t="inlineStr">
        <is>
          <t>Year 2</t>
        </is>
      </c>
      <c r="E8" s="16" t="inlineStr">
        <is>
          <t>Year 3</t>
        </is>
      </c>
      <c r="F8" s="16" t="inlineStr">
        <is>
          <t>Year 4</t>
        </is>
      </c>
      <c r="G8" s="16" t="inlineStr">
        <is>
          <t>Year 5</t>
        </is>
      </c>
      <c r="H8" s="16" t="inlineStr">
        <is>
          <t>Total</t>
        </is>
      </c>
    </row>
    <row r="9">
      <c r="B9" s="17" t="inlineStr">
        <is>
          <t>CASH INFLOWS (Benefits)</t>
        </is>
      </c>
    </row>
    <row r="10">
      <c r="B10" t="inlineStr">
        <is>
          <t>L1 — Digital Membership Origination</t>
        </is>
      </c>
      <c r="C10" s="18">
        <f>'Journey Analysis'!C17*'Model Inputs'!C126*'Model Inputs'!C132</f>
        <v/>
      </c>
      <c r="D10" s="18">
        <f>'Journey Analysis'!C17*'Model Inputs'!C127*'Model Inputs'!C133</f>
        <v/>
      </c>
      <c r="E10" s="18">
        <f>'Journey Analysis'!C17*'Model Inputs'!C128*'Model Inputs'!C134</f>
        <v/>
      </c>
      <c r="F10" s="18">
        <f>'Journey Analysis'!C17*'Model Inputs'!C129*'Model Inputs'!C135</f>
        <v/>
      </c>
      <c r="G10" s="18">
        <f>'Journey Analysis'!C17*'Model Inputs'!C130*'Model Inputs'!C136</f>
        <v/>
      </c>
      <c r="H10" s="18">
        <f>SUM(C10:G10)</f>
        <v/>
      </c>
    </row>
    <row r="11">
      <c r="B11" t="inlineStr">
        <is>
          <t>L2 — Digital Loan Origination</t>
        </is>
      </c>
      <c r="C11" s="18">
        <f>'Journey Analysis'!C32*'Model Inputs'!C126*'Model Inputs'!C132</f>
        <v/>
      </c>
      <c r="D11" s="18">
        <f>'Journey Analysis'!C32*'Model Inputs'!C127*'Model Inputs'!C133</f>
        <v/>
      </c>
      <c r="E11" s="18">
        <f>'Journey Analysis'!C32*'Model Inputs'!C128*'Model Inputs'!C134</f>
        <v/>
      </c>
      <c r="F11" s="18">
        <f>'Journey Analysis'!C32*'Model Inputs'!C129*'Model Inputs'!C135</f>
        <v/>
      </c>
      <c r="G11" s="18">
        <f>'Journey Analysis'!C32*'Model Inputs'!C130*'Model Inputs'!C136</f>
        <v/>
      </c>
      <c r="H11" s="18">
        <f>SUM(C11:G11)</f>
        <v/>
      </c>
    </row>
    <row r="12">
      <c r="B12" t="inlineStr">
        <is>
          <t>L3 — Member Retention</t>
        </is>
      </c>
      <c r="C12" s="18">
        <f>'Journey Analysis'!C47*'Model Inputs'!C126*'Model Inputs'!C132</f>
        <v/>
      </c>
      <c r="D12" s="18">
        <f>'Journey Analysis'!C47*'Model Inputs'!C127*'Model Inputs'!C133</f>
        <v/>
      </c>
      <c r="E12" s="18">
        <f>'Journey Analysis'!C47*'Model Inputs'!C128*'Model Inputs'!C134</f>
        <v/>
      </c>
      <c r="F12" s="18">
        <f>'Journey Analysis'!C47*'Model Inputs'!C129*'Model Inputs'!C135</f>
        <v/>
      </c>
      <c r="G12" s="18">
        <f>'Journey Analysis'!C47*'Model Inputs'!C130*'Model Inputs'!C136</f>
        <v/>
      </c>
      <c r="H12" s="18">
        <f>SUM(C12:G12)</f>
        <v/>
      </c>
    </row>
    <row r="13">
      <c r="B13" t="inlineStr">
        <is>
          <t>L4 — Cross-sell &amp; Product Penetration</t>
        </is>
      </c>
      <c r="C13" s="18">
        <f>'Journey Analysis'!C61*'Model Inputs'!C126*'Model Inputs'!C132</f>
        <v/>
      </c>
      <c r="D13" s="18">
        <f>'Journey Analysis'!C61*'Model Inputs'!C127*'Model Inputs'!C133</f>
        <v/>
      </c>
      <c r="E13" s="18">
        <f>'Journey Analysis'!C61*'Model Inputs'!C128*'Model Inputs'!C134</f>
        <v/>
      </c>
      <c r="F13" s="18">
        <f>'Journey Analysis'!C61*'Model Inputs'!C129*'Model Inputs'!C135</f>
        <v/>
      </c>
      <c r="G13" s="18">
        <f>'Journey Analysis'!C61*'Model Inputs'!C130*'Model Inputs'!C136</f>
        <v/>
      </c>
      <c r="H13" s="18">
        <f>SUM(C13:G13)</f>
        <v/>
      </c>
    </row>
    <row r="14">
      <c r="B14" t="inlineStr">
        <is>
          <t>L5 — Contact Center Cost Avoidance</t>
        </is>
      </c>
      <c r="C14" s="18">
        <f>'Journey Analysis'!C76*'Model Inputs'!C126*'Model Inputs'!C132</f>
        <v/>
      </c>
      <c r="D14" s="18">
        <f>'Journey Analysis'!C76*'Model Inputs'!C127*'Model Inputs'!C133</f>
        <v/>
      </c>
      <c r="E14" s="18">
        <f>'Journey Analysis'!C76*'Model Inputs'!C128*'Model Inputs'!C134</f>
        <v/>
      </c>
      <c r="F14" s="18">
        <f>'Journey Analysis'!C76*'Model Inputs'!C129*'Model Inputs'!C135</f>
        <v/>
      </c>
      <c r="G14" s="18">
        <f>'Journey Analysis'!C76*'Model Inputs'!C130*'Model Inputs'!C136</f>
        <v/>
      </c>
      <c r="H14" s="18">
        <f>SUM(C14:G14)</f>
        <v/>
      </c>
    </row>
    <row r="15">
      <c r="B15" t="inlineStr">
        <is>
          <t>L6 — Branch Cost Avoidance</t>
        </is>
      </c>
      <c r="C15" s="18">
        <f>'Journey Analysis'!C91*'Model Inputs'!C126*'Model Inputs'!C132</f>
        <v/>
      </c>
      <c r="D15" s="18">
        <f>'Journey Analysis'!C91*'Model Inputs'!C127*'Model Inputs'!C133</f>
        <v/>
      </c>
      <c r="E15" s="18">
        <f>'Journey Analysis'!C91*'Model Inputs'!C128*'Model Inputs'!C134</f>
        <v/>
      </c>
      <c r="F15" s="18">
        <f>'Journey Analysis'!C91*'Model Inputs'!C129*'Model Inputs'!C135</f>
        <v/>
      </c>
      <c r="G15" s="18">
        <f>'Journey Analysis'!C91*'Model Inputs'!C130*'Model Inputs'!C136</f>
        <v/>
      </c>
      <c r="H15" s="18">
        <f>SUM(C15:G15)</f>
        <v/>
      </c>
    </row>
    <row r="16">
      <c r="B16" t="inlineStr">
        <is>
          <t>L7 — Employee Enablement</t>
        </is>
      </c>
      <c r="C16" s="18">
        <f>'Journey Analysis'!C107*'Model Inputs'!C126*'Model Inputs'!C132</f>
        <v/>
      </c>
      <c r="D16" s="18">
        <f>'Journey Analysis'!C107*'Model Inputs'!C127*'Model Inputs'!C133</f>
        <v/>
      </c>
      <c r="E16" s="18">
        <f>'Journey Analysis'!C107*'Model Inputs'!C128*'Model Inputs'!C134</f>
        <v/>
      </c>
      <c r="F16" s="18">
        <f>'Journey Analysis'!C107*'Model Inputs'!C129*'Model Inputs'!C135</f>
        <v/>
      </c>
      <c r="G16" s="18">
        <f>'Journey Analysis'!C107*'Model Inputs'!C130*'Model Inputs'!C136</f>
        <v/>
      </c>
      <c r="H16" s="18">
        <f>SUM(C16:G16)</f>
        <v/>
      </c>
    </row>
    <row r="17">
      <c r="B17" t="inlineStr">
        <is>
          <t>L8 — IT Platform Consolidation</t>
        </is>
      </c>
      <c r="C17" s="18">
        <f>'Journey Analysis'!C121*'Model Inputs'!C126*'Model Inputs'!C132</f>
        <v/>
      </c>
      <c r="D17" s="18">
        <f>'Journey Analysis'!C121*'Model Inputs'!C127*'Model Inputs'!C133</f>
        <v/>
      </c>
      <c r="E17" s="18">
        <f>'Journey Analysis'!C121*'Model Inputs'!C128*'Model Inputs'!C134</f>
        <v/>
      </c>
      <c r="F17" s="18">
        <f>'Journey Analysis'!C121*'Model Inputs'!C129*'Model Inputs'!C135</f>
        <v/>
      </c>
      <c r="G17" s="18">
        <f>'Journey Analysis'!C121*'Model Inputs'!C130*'Model Inputs'!C136</f>
        <v/>
      </c>
      <c r="H17" s="18">
        <f>SUM(C17:G17)</f>
        <v/>
      </c>
    </row>
    <row r="19">
      <c r="B19" s="3" t="inlineStr">
        <is>
          <t>Total Cash Inflow</t>
        </is>
      </c>
      <c r="C19" s="19">
        <f>SUM(C10:C17)</f>
        <v/>
      </c>
      <c r="D19" s="19">
        <f>SUM(D10:D17)</f>
        <v/>
      </c>
      <c r="E19" s="19">
        <f>SUM(E10:E17)</f>
        <v/>
      </c>
      <c r="F19" s="19">
        <f>SUM(F10:F17)</f>
        <v/>
      </c>
      <c r="G19" s="19">
        <f>SUM(G10:G17)</f>
        <v/>
      </c>
      <c r="H19" s="19">
        <f>SUM(H10:H17)</f>
        <v/>
      </c>
    </row>
    <row r="22">
      <c r="B22" s="20" t="inlineStr">
        <is>
          <t>CASH OUTFLOWS (Investment)</t>
        </is>
      </c>
    </row>
    <row r="23">
      <c r="B23" t="inlineStr">
        <is>
          <t>License</t>
        </is>
      </c>
      <c r="C23" s="18">
        <f>'Model Inputs'!C109</f>
        <v/>
      </c>
      <c r="D23" s="18">
        <f>'Model Inputs'!C110</f>
        <v/>
      </c>
      <c r="E23" s="18">
        <f>'Model Inputs'!C111</f>
        <v/>
      </c>
      <c r="F23" s="18">
        <f>'Model Inputs'!C112</f>
        <v/>
      </c>
      <c r="G23" s="18">
        <f>'Model Inputs'!C113</f>
        <v/>
      </c>
      <c r="H23" s="18">
        <f>SUM(C23:G23)</f>
        <v/>
      </c>
    </row>
    <row r="24">
      <c r="B24" t="inlineStr">
        <is>
          <t>Implementation</t>
        </is>
      </c>
      <c r="C24" s="18">
        <f>'Model Inputs'!C116</f>
        <v/>
      </c>
      <c r="D24" s="18">
        <f>'Model Inputs'!C117</f>
        <v/>
      </c>
      <c r="E24" s="18">
        <f>'Model Inputs'!C118</f>
        <v/>
      </c>
      <c r="F24" s="18">
        <f>'Model Inputs'!C119</f>
        <v/>
      </c>
      <c r="G24" s="18">
        <f>'Model Inputs'!C120</f>
        <v/>
      </c>
      <c r="H24" s="18">
        <f>SUM(C24:G24)</f>
        <v/>
      </c>
    </row>
    <row r="25">
      <c r="B25" s="3" t="inlineStr">
        <is>
          <t>Total Cash Outflow</t>
        </is>
      </c>
      <c r="C25" s="19">
        <f>C23+C24</f>
        <v/>
      </c>
      <c r="D25" s="19">
        <f>D23+D24</f>
        <v/>
      </c>
      <c r="E25" s="19">
        <f>E23+E24</f>
        <v/>
      </c>
      <c r="F25" s="19">
        <f>F23+F24</f>
        <v/>
      </c>
      <c r="G25" s="19">
        <f>G23+G24</f>
        <v/>
      </c>
      <c r="H25" s="19">
        <f>H23+H24</f>
        <v/>
      </c>
    </row>
    <row r="28">
      <c r="B28" s="21" t="inlineStr">
        <is>
          <t>NET CASHFLOW</t>
        </is>
      </c>
      <c r="C28" s="19">
        <f>C19-C25</f>
        <v/>
      </c>
      <c r="D28" s="19">
        <f>D19-D25</f>
        <v/>
      </c>
      <c r="E28" s="19">
        <f>E19-E25</f>
        <v/>
      </c>
      <c r="F28" s="19">
        <f>F19-F25</f>
        <v/>
      </c>
      <c r="G28" s="19">
        <f>G19-G25</f>
        <v/>
      </c>
      <c r="H28" s="22">
        <f>SUM(C28:G28)</f>
        <v/>
      </c>
    </row>
    <row r="29">
      <c r="B29" t="inlineStr">
        <is>
          <t>Cumulative Cashflow</t>
        </is>
      </c>
      <c r="C29" s="18">
        <f>C28</f>
        <v/>
      </c>
      <c r="D29" s="18">
        <f>C29+D28</f>
        <v/>
      </c>
      <c r="E29" s="18">
        <f>D29+E28</f>
        <v/>
      </c>
      <c r="F29" s="18">
        <f>E29+F28</f>
        <v/>
      </c>
      <c r="G29" s="18">
        <f>F29+G28</f>
        <v/>
      </c>
    </row>
    <row r="33">
      <c r="B33" s="23" t="inlineStr">
        <is>
          <t>FINANCIAL METRICS</t>
        </is>
      </c>
    </row>
    <row r="34">
      <c r="B34" t="inlineStr">
        <is>
          <t>Discount Rate (WACC)</t>
        </is>
      </c>
      <c r="C34" s="24">
        <f>'Model Inputs'!C11</f>
        <v/>
      </c>
    </row>
    <row r="35">
      <c r="B35" t="inlineStr">
        <is>
          <t>Total 5-Year Benefits</t>
        </is>
      </c>
      <c r="C35" s="22">
        <f>H19</f>
        <v/>
      </c>
    </row>
    <row r="36">
      <c r="B36" t="inlineStr">
        <is>
          <t>Total 5-Year Investment</t>
        </is>
      </c>
      <c r="C36" s="18">
        <f>H25</f>
        <v/>
      </c>
    </row>
    <row r="37">
      <c r="B37" t="inlineStr">
        <is>
          <t>Net Benefit</t>
        </is>
      </c>
      <c r="C37" s="22">
        <f>C35-C36</f>
        <v/>
      </c>
    </row>
    <row r="38">
      <c r="B38" t="inlineStr">
        <is>
          <t>ROI %</t>
        </is>
      </c>
      <c r="C38" s="25">
        <f>IFERROR((C35-C36)/C36,0)</f>
        <v/>
      </c>
    </row>
    <row r="39">
      <c r="B39" t="inlineStr">
        <is>
          <t>Net Present Value (NPV)</t>
        </is>
      </c>
      <c r="C39" s="22">
        <f>NPV(C34,C28:G28)</f>
        <v/>
      </c>
    </row>
    <row r="40">
      <c r="B40" t="inlineStr">
        <is>
          <t>Internal Rate of Return (IRR)</t>
        </is>
      </c>
      <c r="C40" s="26">
        <f>IFERROR(IRR(C28:G28),"N/A")</f>
        <v/>
      </c>
    </row>
    <row r="41">
      <c r="B41" t="inlineStr">
        <is>
          <t>Payback Period (Years)</t>
        </is>
      </c>
      <c r="C41" s="27">
        <f>IF(C29&gt;=0,1-((C29-C28)/C28),IF(D29&gt;=0,2-((D29-D28)/D28),IF(E29&gt;=0,3-((E29-E28)/E28),IF(F29&gt;=0,4-((F29-F28)/F28),IF(G29&gt;=0,5-((G29-G28)/G28),"N/A")))))</f>
        <v/>
      </c>
    </row>
    <row r="45">
      <c r="B45" s="23" t="inlineStr">
        <is>
          <t>BENEFITS BY LEVER (Annual Steady State)</t>
        </is>
      </c>
    </row>
    <row r="47">
      <c r="B47" s="16" t="inlineStr">
        <is>
          <t>Lever Group</t>
        </is>
      </c>
      <c r="C47" s="16" t="inlineStr">
        <is>
          <t>Lifecycle Stage</t>
        </is>
      </c>
      <c r="D47" s="16" t="inlineStr">
        <is>
          <t>Annual Benefit</t>
        </is>
      </c>
    </row>
    <row r="48">
      <c r="B48" t="inlineStr">
        <is>
          <t>L1 — Digital Membership Origination</t>
        </is>
      </c>
      <c r="C48" t="inlineStr">
        <is>
          <t>acquire</t>
        </is>
      </c>
      <c r="D48" s="19">
        <f>'Journey Analysis'!C17</f>
        <v/>
      </c>
    </row>
    <row r="49">
      <c r="B49" t="inlineStr">
        <is>
          <t>L2 — Digital Loan Origination</t>
        </is>
      </c>
      <c r="C49" t="inlineStr">
        <is>
          <t>acquire</t>
        </is>
      </c>
      <c r="D49" s="19">
        <f>'Journey Analysis'!C32</f>
        <v/>
      </c>
    </row>
    <row r="50">
      <c r="B50" t="inlineStr">
        <is>
          <t>L3 — Member Retention</t>
        </is>
      </c>
      <c r="C50" t="inlineStr">
        <is>
          <t>retain</t>
        </is>
      </c>
      <c r="D50" s="19">
        <f>'Journey Analysis'!C47</f>
        <v/>
      </c>
    </row>
    <row r="51">
      <c r="B51" t="inlineStr">
        <is>
          <t>L4 — Cross-sell &amp; Product Penetration</t>
        </is>
      </c>
      <c r="C51" t="inlineStr">
        <is>
          <t>expand</t>
        </is>
      </c>
      <c r="D51" s="19">
        <f>'Journey Analysis'!C61</f>
        <v/>
      </c>
    </row>
    <row r="52">
      <c r="B52" t="inlineStr">
        <is>
          <t>L5 — Contact Center Cost Avoidance</t>
        </is>
      </c>
      <c r="C52" t="inlineStr">
        <is>
          <t>retain</t>
        </is>
      </c>
      <c r="D52" s="19">
        <f>'Journey Analysis'!C76</f>
        <v/>
      </c>
    </row>
    <row r="53">
      <c r="B53" t="inlineStr">
        <is>
          <t>L6 — Branch Cost Avoidance</t>
        </is>
      </c>
      <c r="C53" t="inlineStr">
        <is>
          <t>retain</t>
        </is>
      </c>
      <c r="D53" s="19">
        <f>'Journey Analysis'!C91</f>
        <v/>
      </c>
    </row>
    <row r="54">
      <c r="B54" t="inlineStr">
        <is>
          <t>L7 — Employee Enablement</t>
        </is>
      </c>
      <c r="C54" t="inlineStr">
        <is>
          <t>retain</t>
        </is>
      </c>
      <c r="D54" s="19">
        <f>'Journey Analysis'!C107</f>
        <v/>
      </c>
    </row>
    <row r="55">
      <c r="B55" t="inlineStr">
        <is>
          <t>L8 — IT Platform Consolidation</t>
        </is>
      </c>
      <c r="C55" t="inlineStr">
        <is>
          <t>other</t>
        </is>
      </c>
      <c r="D55" s="19">
        <f>'Journey Analysis'!C121</f>
        <v/>
      </c>
    </row>
    <row r="56">
      <c r="B56" s="3" t="inlineStr">
        <is>
          <t>TOTAL</t>
        </is>
      </c>
      <c r="D56" s="28">
        <f>SUM(D48:D55)</f>
        <v/>
      </c>
    </row>
  </sheetData>
  <dataValidations count="1">
    <dataValidation sqref="C5" showDropDown="0" showInputMessage="0" showErrorMessage="0" allowBlank="0" errorTitle="Invalid Scenario" error="Select 1 (Conservative), 2 (Moderate), or 3 (Aggressive)" type="list">
      <formula1>"1,2,3"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2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25" customWidth="1" min="4" max="4"/>
  </cols>
  <sheetData>
    <row r="1">
      <c r="B1" s="9" t="inlineStr">
        <is>
          <t>Journey Analysis — Benefit Calculation Chain</t>
        </is>
      </c>
    </row>
    <row r="2">
      <c r="B2" s="29" t="inlineStr">
        <is>
          <t>Active Scenario:</t>
        </is>
      </c>
      <c r="C2" s="30">
        <f>IF('Cashflows'!$C$5=1,"Conservative",IF('Cashflows'!$C$5=2,"Moderate","Aggressive"))</f>
        <v/>
      </c>
      <c r="D2" s="31" t="inlineStr">
        <is>
          <t>(Change on Cashflows sheet)</t>
        </is>
      </c>
    </row>
    <row r="3">
      <c r="B3" s="12" t="inlineStr">
        <is>
          <t>Each lever: input factors → Baseline (formula) → × Backbase Impact → Annual Benefit. Change scenario on Cashflows to update scenario-linked impacts.</t>
        </is>
      </c>
    </row>
    <row r="5">
      <c r="B5" s="32" t="inlineStr">
        <is>
          <t>L1 — Digital Membership Origination</t>
        </is>
      </c>
    </row>
    <row r="6">
      <c r="B6" s="30" t="inlineStr">
        <is>
          <t>Revenue Generation</t>
        </is>
      </c>
    </row>
    <row r="7">
      <c r="B7" s="33" t="inlineStr">
        <is>
          <t xml:space="preserve">  Digital Membership Conversion Uplift</t>
        </is>
      </c>
      <c r="D7" s="31" t="inlineStr">
        <is>
          <t>Revenue</t>
        </is>
      </c>
    </row>
    <row r="8">
      <c r="B8" s="16" t="inlineStr">
        <is>
          <t>Factor</t>
        </is>
      </c>
      <c r="C8" s="16" t="inlineStr">
        <is>
          <t>Value</t>
        </is>
      </c>
      <c r="D8" s="16" t="inlineStr">
        <is>
          <t>Unit</t>
        </is>
      </c>
    </row>
    <row r="9">
      <c r="B9" t="inlineStr">
        <is>
          <t xml:space="preserve">    App Starts Annual</t>
        </is>
      </c>
      <c r="C9" s="34">
        <f>'Model Inputs'!C18</f>
        <v/>
      </c>
      <c r="D9" s="35" t="inlineStr">
        <is>
          <t>applications/year</t>
        </is>
      </c>
    </row>
    <row r="10">
      <c r="B10" t="inlineStr">
        <is>
          <t xml:space="preserve">    Abandonment Rate</t>
        </is>
      </c>
      <c r="C10" s="24">
        <f>'Model Inputs'!C19</f>
        <v/>
      </c>
      <c r="D10" s="35" t="inlineStr">
        <is>
          <t>percentage</t>
        </is>
      </c>
    </row>
    <row r="11">
      <c r="B11" t="inlineStr">
        <is>
          <t xml:space="preserve">    Avg Revenue Per Member</t>
        </is>
      </c>
      <c r="C11">
        <f>'Model Inputs'!C20</f>
        <v/>
      </c>
      <c r="D11" s="35" t="inlineStr">
        <is>
          <t>USD/member/year</t>
        </is>
      </c>
    </row>
    <row r="12">
      <c r="B12" s="3" t="inlineStr">
        <is>
          <t xml:space="preserve">    Baseline</t>
        </is>
      </c>
      <c r="C12" s="36">
        <f>C9 * C10 * C11</f>
        <v/>
      </c>
      <c r="D12" s="35" t="inlineStr">
        <is>
          <t>USD/year</t>
        </is>
      </c>
    </row>
    <row r="13">
      <c r="B13" s="3" t="inlineStr">
        <is>
          <t xml:space="preserve">    Backbase Impact</t>
        </is>
      </c>
      <c r="C13" s="37">
        <f>'Model Inputs'!C21</f>
        <v/>
      </c>
      <c r="D13" s="31" t="inlineStr">
        <is>
          <t>% of baseline captured by Backbase</t>
        </is>
      </c>
    </row>
    <row r="14">
      <c r="B14" s="38" t="inlineStr">
        <is>
          <t xml:space="preserve">    Annual Benefit</t>
        </is>
      </c>
      <c r="C14" s="39">
        <f>C12*C13</f>
        <v/>
      </c>
      <c r="D14" s="40" t="inlineStr">
        <is>
          <t>USD/year (scenario-adjusted)</t>
        </is>
      </c>
    </row>
    <row r="17">
      <c r="B17" s="38" t="inlineStr">
        <is>
          <t>Total: L1 — Digital Membership Origination</t>
        </is>
      </c>
      <c r="C17" s="39">
        <f>C14</f>
        <v/>
      </c>
    </row>
    <row r="20">
      <c r="B20" s="32" t="inlineStr">
        <is>
          <t>L2 — Digital Loan Origination</t>
        </is>
      </c>
    </row>
    <row r="21">
      <c r="B21" s="30" t="inlineStr">
        <is>
          <t>Revenue Generation</t>
        </is>
      </c>
    </row>
    <row r="22">
      <c r="B22" s="33" t="inlineStr">
        <is>
          <t xml:space="preserve">  Digital Loan Conversion Uplift</t>
        </is>
      </c>
      <c r="D22" s="31" t="inlineStr">
        <is>
          <t>Revenue</t>
        </is>
      </c>
    </row>
    <row r="23">
      <c r="B23" s="16" t="inlineStr">
        <is>
          <t>Factor</t>
        </is>
      </c>
      <c r="C23" s="16" t="inlineStr">
        <is>
          <t>Value</t>
        </is>
      </c>
      <c r="D23" s="16" t="inlineStr">
        <is>
          <t>Unit</t>
        </is>
      </c>
    </row>
    <row r="24">
      <c r="B24" t="inlineStr">
        <is>
          <t xml:space="preserve">    Loan Starts Annual</t>
        </is>
      </c>
      <c r="C24" s="34">
        <f>'Model Inputs'!C28</f>
        <v/>
      </c>
      <c r="D24" s="35" t="inlineStr">
        <is>
          <t>applications/year</t>
        </is>
      </c>
    </row>
    <row r="25">
      <c r="B25" t="inlineStr">
        <is>
          <t xml:space="preserve">    Abandonment Rate</t>
        </is>
      </c>
      <c r="C25" s="24">
        <f>'Model Inputs'!C29</f>
        <v/>
      </c>
      <c r="D25" s="35" t="inlineStr">
        <is>
          <t>percentage</t>
        </is>
      </c>
    </row>
    <row r="26">
      <c r="B26" t="inlineStr">
        <is>
          <t xml:space="preserve">    Avg Loan Revenue</t>
        </is>
      </c>
      <c r="C26">
        <f>'Model Inputs'!C30</f>
        <v/>
      </c>
      <c r="D26" s="35" t="inlineStr">
        <is>
          <t>USD/loan/year</t>
        </is>
      </c>
    </row>
    <row r="27">
      <c r="B27" s="3" t="inlineStr">
        <is>
          <t xml:space="preserve">    Baseline</t>
        </is>
      </c>
      <c r="C27" s="36">
        <f>C24 * C25 * C26</f>
        <v/>
      </c>
      <c r="D27" s="35" t="inlineStr">
        <is>
          <t>USD/year</t>
        </is>
      </c>
    </row>
    <row r="28">
      <c r="B28" s="3" t="inlineStr">
        <is>
          <t xml:space="preserve">    Backbase Impact</t>
        </is>
      </c>
      <c r="C28" s="37">
        <f>'Model Inputs'!C31</f>
        <v/>
      </c>
      <c r="D28" s="31" t="inlineStr">
        <is>
          <t>% of baseline captured by Backbase</t>
        </is>
      </c>
    </row>
    <row r="29">
      <c r="B29" s="38" t="inlineStr">
        <is>
          <t xml:space="preserve">    Annual Benefit</t>
        </is>
      </c>
      <c r="C29" s="39">
        <f>C27*C28</f>
        <v/>
      </c>
      <c r="D29" s="40" t="inlineStr">
        <is>
          <t>USD/year (scenario-adjusted)</t>
        </is>
      </c>
    </row>
    <row r="32">
      <c r="B32" s="38" t="inlineStr">
        <is>
          <t>Total: L2 — Digital Loan Origination</t>
        </is>
      </c>
      <c r="C32" s="39">
        <f>C29</f>
        <v/>
      </c>
    </row>
    <row r="35">
      <c r="B35" s="32" t="inlineStr">
        <is>
          <t>L3 — Member Retention</t>
        </is>
      </c>
    </row>
    <row r="36">
      <c r="B36" s="30" t="inlineStr">
        <is>
          <t>Revenue Generation</t>
        </is>
      </c>
    </row>
    <row r="37">
      <c r="B37" s="33" t="inlineStr">
        <is>
          <t xml:space="preserve">  Churn Reduction via Digital Engagement</t>
        </is>
      </c>
      <c r="D37" s="31" t="inlineStr">
        <is>
          <t>Revenue</t>
        </is>
      </c>
    </row>
    <row r="38">
      <c r="B38" s="16" t="inlineStr">
        <is>
          <t>Factor</t>
        </is>
      </c>
      <c r="C38" s="16" t="inlineStr">
        <is>
          <t>Value</t>
        </is>
      </c>
      <c r="D38" s="16" t="inlineStr">
        <is>
          <t>Unit</t>
        </is>
      </c>
    </row>
    <row r="39">
      <c r="B39" t="inlineStr">
        <is>
          <t xml:space="preserve">    Total Members</t>
        </is>
      </c>
      <c r="C39" s="34">
        <f>'Model Inputs'!C38</f>
        <v/>
      </c>
      <c r="D39" s="35" t="inlineStr">
        <is>
          <t>members</t>
        </is>
      </c>
    </row>
    <row r="40">
      <c r="B40" t="inlineStr">
        <is>
          <t xml:space="preserve">    Churn Rate</t>
        </is>
      </c>
      <c r="C40" s="24">
        <f>'Model Inputs'!C39</f>
        <v/>
      </c>
      <c r="D40" s="35" t="inlineStr">
        <is>
          <t>percentage</t>
        </is>
      </c>
    </row>
    <row r="41">
      <c r="B41" t="inlineStr">
        <is>
          <t xml:space="preserve">    Avg Revenue Per Member</t>
        </is>
      </c>
      <c r="C41">
        <f>'Model Inputs'!C40</f>
        <v/>
      </c>
      <c r="D41" s="35" t="inlineStr">
        <is>
          <t>USD/member/year</t>
        </is>
      </c>
    </row>
    <row r="42">
      <c r="B42" s="3" t="inlineStr">
        <is>
          <t xml:space="preserve">    Baseline</t>
        </is>
      </c>
      <c r="C42" s="36">
        <f>C39 * C40 * C41</f>
        <v/>
      </c>
      <c r="D42" s="35" t="inlineStr">
        <is>
          <t>USD/year</t>
        </is>
      </c>
    </row>
    <row r="43">
      <c r="B43" s="3" t="inlineStr">
        <is>
          <t xml:space="preserve">    Backbase Impact</t>
        </is>
      </c>
      <c r="C43" s="37">
        <f>'Model Inputs'!C41</f>
        <v/>
      </c>
      <c r="D43" s="31" t="inlineStr">
        <is>
          <t>% of baseline captured by Backbase</t>
        </is>
      </c>
    </row>
    <row r="44">
      <c r="B44" s="38" t="inlineStr">
        <is>
          <t xml:space="preserve">    Annual Benefit</t>
        </is>
      </c>
      <c r="C44" s="39">
        <f>C42*C43</f>
        <v/>
      </c>
      <c r="D44" s="40" t="inlineStr">
        <is>
          <t>USD/year (scenario-adjusted)</t>
        </is>
      </c>
    </row>
    <row r="47">
      <c r="B47" s="38" t="inlineStr">
        <is>
          <t>Total: L3 — Member Retention</t>
        </is>
      </c>
      <c r="C47" s="39">
        <f>C44</f>
        <v/>
      </c>
    </row>
    <row r="50">
      <c r="B50" s="32" t="inlineStr">
        <is>
          <t>L4 — Cross-sell &amp; Product Penetration</t>
        </is>
      </c>
    </row>
    <row r="51">
      <c r="B51" s="30" t="inlineStr">
        <is>
          <t>Revenue Generation</t>
        </is>
      </c>
    </row>
    <row r="52">
      <c r="B52" s="33" t="inlineStr">
        <is>
          <t xml:space="preserve">  Product Penetration Uplift</t>
        </is>
      </c>
      <c r="D52" s="31" t="inlineStr">
        <is>
          <t>Revenue</t>
        </is>
      </c>
    </row>
    <row r="53">
      <c r="B53" s="16" t="inlineStr">
        <is>
          <t>Factor</t>
        </is>
      </c>
      <c r="C53" s="16" t="inlineStr">
        <is>
          <t>Value</t>
        </is>
      </c>
      <c r="D53" s="16" t="inlineStr">
        <is>
          <t>Unit</t>
        </is>
      </c>
    </row>
    <row r="54">
      <c r="B54" t="inlineStr">
        <is>
          <t xml:space="preserve">    Total Revenue Annual</t>
        </is>
      </c>
      <c r="C54" s="34">
        <f>'Model Inputs'!C48</f>
        <v/>
      </c>
      <c r="D54" s="35" t="inlineStr">
        <is>
          <t>USD/year</t>
        </is>
      </c>
    </row>
    <row r="55">
      <c r="B55" t="inlineStr">
        <is>
          <t xml:space="preserve">    Penetration Uplift Pct</t>
        </is>
      </c>
      <c r="C55" s="24">
        <f>'Model Inputs'!C49</f>
        <v/>
      </c>
      <c r="D55" s="35" t="inlineStr">
        <is>
          <t>percentage</t>
        </is>
      </c>
    </row>
    <row r="56">
      <c r="B56" s="3" t="inlineStr">
        <is>
          <t xml:space="preserve">    Baseline</t>
        </is>
      </c>
      <c r="C56" s="36">
        <f>C54 * C55</f>
        <v/>
      </c>
      <c r="D56" s="35" t="inlineStr">
        <is>
          <t>USD/year</t>
        </is>
      </c>
    </row>
    <row r="57">
      <c r="B57" s="3" t="inlineStr">
        <is>
          <t xml:space="preserve">    Backbase Impact</t>
        </is>
      </c>
      <c r="C57" s="37">
        <f>'Model Inputs'!C50</f>
        <v/>
      </c>
      <c r="D57" s="31" t="inlineStr">
        <is>
          <t>% of baseline captured by Backbase</t>
        </is>
      </c>
    </row>
    <row r="58">
      <c r="B58" s="38" t="inlineStr">
        <is>
          <t xml:space="preserve">    Annual Benefit</t>
        </is>
      </c>
      <c r="C58" s="39">
        <f>C56*C57</f>
        <v/>
      </c>
      <c r="D58" s="40" t="inlineStr">
        <is>
          <t>USD/year (scenario-adjusted)</t>
        </is>
      </c>
    </row>
    <row r="61">
      <c r="B61" s="38" t="inlineStr">
        <is>
          <t>Total: L4 — Cross-sell &amp; Product Penetration</t>
        </is>
      </c>
      <c r="C61" s="39">
        <f>C58</f>
        <v/>
      </c>
    </row>
    <row r="64">
      <c r="B64" s="32" t="inlineStr">
        <is>
          <t>L5 — Contact Center Cost Avoidance</t>
        </is>
      </c>
    </row>
    <row r="65">
      <c r="B65" s="29" t="inlineStr">
        <is>
          <t>Cost Reduction</t>
        </is>
      </c>
    </row>
    <row r="66">
      <c r="B66" s="41" t="inlineStr">
        <is>
          <t xml:space="preserve">  Digital Self-Service Call Deflection</t>
        </is>
      </c>
      <c r="D66" s="31" t="inlineStr">
        <is>
          <t>Cost</t>
        </is>
      </c>
    </row>
    <row r="67">
      <c r="B67" s="16" t="inlineStr">
        <is>
          <t>Factor</t>
        </is>
      </c>
      <c r="C67" s="16" t="inlineStr">
        <is>
          <t>Value</t>
        </is>
      </c>
      <c r="D67" s="16" t="inlineStr">
        <is>
          <t>Unit</t>
        </is>
      </c>
    </row>
    <row r="68">
      <c r="B68" t="inlineStr">
        <is>
          <t xml:space="preserve">    Deflectable Calls Annual</t>
        </is>
      </c>
      <c r="C68" s="34">
        <f>'Model Inputs'!C57</f>
        <v/>
      </c>
      <c r="D68" s="35" t="inlineStr">
        <is>
          <t>calls/year</t>
        </is>
      </c>
    </row>
    <row r="69">
      <c r="B69" t="inlineStr">
        <is>
          <t xml:space="preserve">    Aht Hours</t>
        </is>
      </c>
      <c r="C69">
        <f>'Model Inputs'!C58</f>
        <v/>
      </c>
      <c r="D69" s="35" t="inlineStr">
        <is>
          <t>hours</t>
        </is>
      </c>
    </row>
    <row r="70">
      <c r="B70" t="inlineStr">
        <is>
          <t xml:space="preserve">    Loaded Hourly Rate</t>
        </is>
      </c>
      <c r="C70">
        <f>'Model Inputs'!C59</f>
        <v/>
      </c>
      <c r="D70" s="35" t="inlineStr">
        <is>
          <t>USD/hour</t>
        </is>
      </c>
    </row>
    <row r="71">
      <c r="B71" s="3" t="inlineStr">
        <is>
          <t xml:space="preserve">    Baseline</t>
        </is>
      </c>
      <c r="C71" s="36">
        <f>C68 * C69 * C70</f>
        <v/>
      </c>
      <c r="D71" s="35" t="inlineStr">
        <is>
          <t>USD/year</t>
        </is>
      </c>
    </row>
    <row r="72">
      <c r="B72" s="3" t="inlineStr">
        <is>
          <t xml:space="preserve">    Backbase Impact</t>
        </is>
      </c>
      <c r="C72" s="37">
        <f>'Model Inputs'!C60</f>
        <v/>
      </c>
      <c r="D72" s="31" t="inlineStr">
        <is>
          <t>% of baseline captured by Backbase</t>
        </is>
      </c>
    </row>
    <row r="73">
      <c r="B73" s="38" t="inlineStr">
        <is>
          <t xml:space="preserve">    Annual Benefit</t>
        </is>
      </c>
      <c r="C73" s="39">
        <f>C71*C72</f>
        <v/>
      </c>
      <c r="D73" s="40" t="inlineStr">
        <is>
          <t>USD/year (scenario-adjusted)</t>
        </is>
      </c>
    </row>
    <row r="76">
      <c r="B76" s="38" t="inlineStr">
        <is>
          <t>Total: L5 — Contact Center Cost Avoidance</t>
        </is>
      </c>
      <c r="C76" s="39">
        <f>C73</f>
        <v/>
      </c>
    </row>
    <row r="79">
      <c r="B79" s="32" t="inlineStr">
        <is>
          <t>L6 — Branch Cost Avoidance</t>
        </is>
      </c>
    </row>
    <row r="80">
      <c r="B80" s="29" t="inlineStr">
        <is>
          <t>Cost Reduction</t>
        </is>
      </c>
    </row>
    <row r="81">
      <c r="B81" s="41" t="inlineStr">
        <is>
          <t xml:space="preserve">  Digital Migration of Branch Servicing</t>
        </is>
      </c>
      <c r="D81" s="31" t="inlineStr">
        <is>
          <t>Cost</t>
        </is>
      </c>
    </row>
    <row r="82">
      <c r="B82" s="16" t="inlineStr">
        <is>
          <t>Factor</t>
        </is>
      </c>
      <c r="C82" s="16" t="inlineStr">
        <is>
          <t>Value</t>
        </is>
      </c>
      <c r="D82" s="16" t="inlineStr">
        <is>
          <t>Unit</t>
        </is>
      </c>
    </row>
    <row r="83">
      <c r="B83" t="inlineStr">
        <is>
          <t xml:space="preserve">    Deflectable Visits Annual</t>
        </is>
      </c>
      <c r="C83" s="34">
        <f>'Model Inputs'!C67</f>
        <v/>
      </c>
      <c r="D83" s="35" t="inlineStr">
        <is>
          <t>visits/year</t>
        </is>
      </c>
    </row>
    <row r="84">
      <c r="B84" t="inlineStr">
        <is>
          <t xml:space="preserve">    Handle Time Hours</t>
        </is>
      </c>
      <c r="C84">
        <f>'Model Inputs'!C68</f>
        <v/>
      </c>
      <c r="D84" s="35" t="inlineStr">
        <is>
          <t>hours</t>
        </is>
      </c>
    </row>
    <row r="85">
      <c r="B85" t="inlineStr">
        <is>
          <t xml:space="preserve">    Loaded Hourly Rate</t>
        </is>
      </c>
      <c r="C85">
        <f>'Model Inputs'!C69</f>
        <v/>
      </c>
      <c r="D85" s="35" t="inlineStr">
        <is>
          <t>USD/hour</t>
        </is>
      </c>
    </row>
    <row r="86">
      <c r="B86" s="3" t="inlineStr">
        <is>
          <t xml:space="preserve">    Baseline</t>
        </is>
      </c>
      <c r="C86" s="36">
        <f>C83 * C84 * C85</f>
        <v/>
      </c>
      <c r="D86" s="35" t="inlineStr">
        <is>
          <t>USD/year</t>
        </is>
      </c>
    </row>
    <row r="87">
      <c r="B87" s="3" t="inlineStr">
        <is>
          <t xml:space="preserve">    Backbase Impact</t>
        </is>
      </c>
      <c r="C87" s="37">
        <f>'Model Inputs'!C70</f>
        <v/>
      </c>
      <c r="D87" s="31" t="inlineStr">
        <is>
          <t>% of baseline captured by Backbase</t>
        </is>
      </c>
    </row>
    <row r="88">
      <c r="B88" s="38" t="inlineStr">
        <is>
          <t xml:space="preserve">    Annual Benefit</t>
        </is>
      </c>
      <c r="C88" s="39">
        <f>C86*C87</f>
        <v/>
      </c>
      <c r="D88" s="40" t="inlineStr">
        <is>
          <t>USD/year (scenario-adjusted)</t>
        </is>
      </c>
    </row>
    <row r="91">
      <c r="B91" s="38" t="inlineStr">
        <is>
          <t>Total: L6 — Branch Cost Avoidance</t>
        </is>
      </c>
      <c r="C91" s="39">
        <f>C88</f>
        <v/>
      </c>
    </row>
    <row r="94">
      <c r="B94" s="32" t="inlineStr">
        <is>
          <t>L7 — Employee Enablement</t>
        </is>
      </c>
    </row>
    <row r="95">
      <c r="B95" s="29" t="inlineStr">
        <is>
          <t>Cost Reduction</t>
        </is>
      </c>
    </row>
    <row r="96">
      <c r="B96" s="41" t="inlineStr">
        <is>
          <t xml:space="preserve">  Employee Productivity via Unified Workbench</t>
        </is>
      </c>
      <c r="D96" s="31" t="inlineStr">
        <is>
          <t>Cost</t>
        </is>
      </c>
    </row>
    <row r="97">
      <c r="B97" s="16" t="inlineStr">
        <is>
          <t>Factor</t>
        </is>
      </c>
      <c r="C97" s="16" t="inlineStr">
        <is>
          <t>Value</t>
        </is>
      </c>
      <c r="D97" s="16" t="inlineStr">
        <is>
          <t>Unit</t>
        </is>
      </c>
    </row>
    <row r="98">
      <c r="B98" t="inlineStr">
        <is>
          <t xml:space="preserve">    Branch Fte</t>
        </is>
      </c>
      <c r="C98">
        <f>'Model Inputs'!C77</f>
        <v/>
      </c>
      <c r="D98" s="35" t="inlineStr">
        <is>
          <t>FTE</t>
        </is>
      </c>
    </row>
    <row r="99">
      <c r="B99" t="inlineStr">
        <is>
          <t xml:space="preserve">    Loaded Hourly Rate</t>
        </is>
      </c>
      <c r="C99">
        <f>'Model Inputs'!C78</f>
        <v/>
      </c>
      <c r="D99" s="35" t="inlineStr">
        <is>
          <t>USD/hour</t>
        </is>
      </c>
    </row>
    <row r="100">
      <c r="B100" t="inlineStr">
        <is>
          <t xml:space="preserve">    Annual Hours</t>
        </is>
      </c>
      <c r="C100" s="34">
        <f>'Model Inputs'!C79</f>
        <v/>
      </c>
      <c r="D100" s="35" t="inlineStr">
        <is>
          <t>hours/year</t>
        </is>
      </c>
    </row>
    <row r="101">
      <c r="B101" t="inlineStr">
        <is>
          <t xml:space="preserve">    Productivity Gain Pct</t>
        </is>
      </c>
      <c r="C101" s="24">
        <f>'Model Inputs'!C80</f>
        <v/>
      </c>
      <c r="D101" s="35" t="inlineStr">
        <is>
          <t>percentage</t>
        </is>
      </c>
    </row>
    <row r="102">
      <c r="B102" s="3" t="inlineStr">
        <is>
          <t xml:space="preserve">    Baseline</t>
        </is>
      </c>
      <c r="C102" s="36">
        <f>C98 * C99 * C100 * C101</f>
        <v/>
      </c>
      <c r="D102" s="35" t="inlineStr">
        <is>
          <t>USD/year</t>
        </is>
      </c>
    </row>
    <row r="103">
      <c r="B103" s="3" t="inlineStr">
        <is>
          <t xml:space="preserve">    Backbase Impact</t>
        </is>
      </c>
      <c r="C103" s="37">
        <f>'Model Inputs'!C81</f>
        <v/>
      </c>
      <c r="D103" s="31" t="inlineStr">
        <is>
          <t>% of baseline captured by Backbase</t>
        </is>
      </c>
    </row>
    <row r="104">
      <c r="B104" s="38" t="inlineStr">
        <is>
          <t xml:space="preserve">    Annual Benefit</t>
        </is>
      </c>
      <c r="C104" s="39">
        <f>C102*C103</f>
        <v/>
      </c>
      <c r="D104" s="40" t="inlineStr">
        <is>
          <t>USD/year (scenario-adjusted)</t>
        </is>
      </c>
    </row>
    <row r="107">
      <c r="B107" s="38" t="inlineStr">
        <is>
          <t>Total: L7 — Employee Enablement</t>
        </is>
      </c>
      <c r="C107" s="39">
        <f>C104</f>
        <v/>
      </c>
    </row>
    <row r="110">
      <c r="B110" s="32" t="inlineStr">
        <is>
          <t>L8 — IT Platform Consolidation</t>
        </is>
      </c>
    </row>
    <row r="111">
      <c r="B111" s="29" t="inlineStr">
        <is>
          <t>Cost Reduction</t>
        </is>
      </c>
    </row>
    <row r="112">
      <c r="B112" s="41" t="inlineStr">
        <is>
          <t xml:space="preserve">  Legacy Platform Decommission</t>
        </is>
      </c>
      <c r="D112" s="31" t="inlineStr">
        <is>
          <t>Cost</t>
        </is>
      </c>
    </row>
    <row r="113">
      <c r="B113" s="16" t="inlineStr">
        <is>
          <t>Factor</t>
        </is>
      </c>
      <c r="C113" s="16" t="inlineStr">
        <is>
          <t>Value</t>
        </is>
      </c>
      <c r="D113" s="16" t="inlineStr">
        <is>
          <t>Unit</t>
        </is>
      </c>
    </row>
    <row r="114">
      <c r="B114" t="inlineStr">
        <is>
          <t xml:space="preserve">    Platforms Replaced</t>
        </is>
      </c>
      <c r="C114">
        <f>'Model Inputs'!C88</f>
        <v/>
      </c>
      <c r="D114" s="35" t="inlineStr">
        <is>
          <t>platforms</t>
        </is>
      </c>
    </row>
    <row r="115">
      <c r="B115" t="inlineStr">
        <is>
          <t xml:space="preserve">    Avg Annual Platform Cost</t>
        </is>
      </c>
      <c r="C115" s="34">
        <f>'Model Inputs'!C89</f>
        <v/>
      </c>
      <c r="D115" s="35" t="inlineStr">
        <is>
          <t>USD/year/platform</t>
        </is>
      </c>
    </row>
    <row r="116">
      <c r="B116" s="3" t="inlineStr">
        <is>
          <t xml:space="preserve">    Baseline</t>
        </is>
      </c>
      <c r="C116" s="36">
        <f>C114 * C115</f>
        <v/>
      </c>
      <c r="D116" s="35" t="inlineStr">
        <is>
          <t>USD/year</t>
        </is>
      </c>
    </row>
    <row r="117">
      <c r="B117" s="3" t="inlineStr">
        <is>
          <t xml:space="preserve">    Backbase Impact</t>
        </is>
      </c>
      <c r="C117" s="37">
        <f>'Model Inputs'!C90</f>
        <v/>
      </c>
      <c r="D117" s="31" t="inlineStr">
        <is>
          <t>% of baseline captured by Backbase</t>
        </is>
      </c>
    </row>
    <row r="118">
      <c r="B118" s="38" t="inlineStr">
        <is>
          <t xml:space="preserve">    Annual Benefit</t>
        </is>
      </c>
      <c r="C118" s="39">
        <f>C116*C117</f>
        <v/>
      </c>
      <c r="D118" s="40" t="inlineStr">
        <is>
          <t>USD/year (scenario-adjusted)</t>
        </is>
      </c>
    </row>
    <row r="121">
      <c r="B121" s="38" t="inlineStr">
        <is>
          <t>Total: L8 — IT Platform Consolidation</t>
        </is>
      </c>
      <c r="C121" s="39">
        <f>C118</f>
        <v/>
      </c>
    </row>
    <row r="124">
      <c r="B124" s="21" t="inlineStr">
        <is>
          <t>GRAND TOTAL — ALL LEVERS</t>
        </is>
      </c>
    </row>
    <row r="125">
      <c r="B125" s="16" t="inlineStr"/>
      <c r="C125" s="16" t="inlineStr">
        <is>
          <t>Annual Benefit</t>
        </is>
      </c>
      <c r="D125" s="16" t="inlineStr"/>
    </row>
    <row r="126">
      <c r="B126" s="4" t="inlineStr">
        <is>
          <t>Total Annual Benefit (Scenario-Adjusted, Steady State)</t>
        </is>
      </c>
      <c r="C126" s="42">
        <f>C17+C32+C47+C61+C76+C91+C107+C121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13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2" customWidth="1" min="4" max="4"/>
    <col width="45" customWidth="1" min="5" max="5"/>
    <col width="25" customWidth="1" min="6" max="6"/>
  </cols>
  <sheetData>
    <row r="2">
      <c r="B2" s="9" t="inlineStr">
        <is>
          <t>Model Inputs</t>
        </is>
      </c>
    </row>
    <row r="3">
      <c r="B3" s="12" t="inlineStr">
        <is>
          <t>Blue cells are editable. Change values and the model recalculates.</t>
        </is>
      </c>
    </row>
    <row r="5">
      <c r="B5" s="29" t="inlineStr">
        <is>
          <t>Active Scenario</t>
        </is>
      </c>
      <c r="C5" s="30">
        <f>IF('Cashflows'!$C$5=1,"Conservative",IF('Cashflows'!$C$5=2,"Moderate","Aggressive"))</f>
        <v/>
      </c>
      <c r="D5" s="31" t="inlineStr">
        <is>
          <t>(Change scenario on Cashflows sheet)</t>
        </is>
      </c>
    </row>
    <row r="7">
      <c r="B7" s="13" t="inlineStr">
        <is>
          <t>BASIC INFORMATION</t>
        </is>
      </c>
    </row>
    <row r="8">
      <c r="B8" s="16" t="inlineStr">
        <is>
          <t>Input</t>
        </is>
      </c>
      <c r="C8" s="16" t="inlineStr">
        <is>
          <t>Value</t>
        </is>
      </c>
      <c r="D8" s="16" t="inlineStr">
        <is>
          <t>Conf.</t>
        </is>
      </c>
      <c r="E8" s="16" t="inlineStr">
        <is>
          <t>Assumption/Comment</t>
        </is>
      </c>
      <c r="F8" s="16" t="inlineStr">
        <is>
          <t>Source</t>
        </is>
      </c>
    </row>
    <row r="10">
      <c r="B10" s="13" t="inlineStr">
        <is>
          <t>FINANCIAL PARAMETERS</t>
        </is>
      </c>
    </row>
    <row r="11">
      <c r="B11" t="inlineStr">
        <is>
          <t>Discount Rate (WACC)</t>
        </is>
      </c>
      <c r="C11" s="43" t="n">
        <v>0.1</v>
      </c>
    </row>
    <row r="12">
      <c r="B12" t="inlineStr">
        <is>
          <t>Analysis Period (Years)</t>
        </is>
      </c>
      <c r="C12" t="n">
        <v>5</v>
      </c>
    </row>
    <row r="13">
      <c r="B13" t="inlineStr">
        <is>
          <t>YoY Growth Rate</t>
        </is>
      </c>
      <c r="C13" s="43" t="n">
        <v>0.04</v>
      </c>
    </row>
    <row r="15">
      <c r="B15" s="13" t="inlineStr">
        <is>
          <t>LEVER GROUP INPUTS</t>
        </is>
      </c>
    </row>
    <row r="16">
      <c r="B16" s="29" t="inlineStr">
        <is>
          <t>L1 — Digital Membership Origination</t>
        </is>
      </c>
    </row>
    <row r="17">
      <c r="B17" s="44" t="inlineStr">
        <is>
          <t xml:space="preserve">  Digital Membership Conversion Uplift</t>
        </is>
      </c>
    </row>
    <row r="18">
      <c r="B18" t="inlineStr">
        <is>
          <t xml:space="preserve">    App Starts Annual</t>
        </is>
      </c>
      <c r="C18" s="5" t="n">
        <v>197738</v>
      </c>
      <c r="D18" t="inlineStr">
        <is>
          <t>HIGH</t>
        </is>
      </c>
      <c r="E18" s="35" t="inlineStr">
        <is>
          <t>Digital account opening starts in 2025</t>
        </is>
      </c>
      <c r="F18" s="35" t="inlineStr">
        <is>
          <t>CLIENT DATA (Jeff — Digital originations 2025)</t>
        </is>
      </c>
    </row>
    <row r="19">
      <c r="B19" t="inlineStr">
        <is>
          <t xml:space="preserve">    Abandonment Rate</t>
        </is>
      </c>
      <c r="C19" s="5" t="n">
        <v>0.261</v>
      </c>
      <c r="D19" t="inlineStr">
        <is>
          <t>HIGH</t>
        </is>
      </c>
      <c r="E19" s="35" t="inlineStr">
        <is>
          <t>26.1% of digital membership applications are abandoned</t>
        </is>
      </c>
      <c r="F19" s="35" t="inlineStr">
        <is>
          <t>CLIENT DATA (Jeff — 2025 data)</t>
        </is>
      </c>
    </row>
    <row r="20">
      <c r="B20" t="inlineStr">
        <is>
          <t xml:space="preserve">    Avg Revenue Per Member</t>
        </is>
      </c>
      <c r="C20" s="5" t="n">
        <v>874</v>
      </c>
      <c r="D20" t="inlineStr">
        <is>
          <t>HIGH</t>
        </is>
      </c>
      <c r="E20" s="35" t="inlineStr">
        <is>
          <t>Average revenue per member derived from Q4 2025 financials</t>
        </is>
      </c>
      <c r="F20" s="35" t="inlineStr">
        <is>
          <t>DERIVED (NII + Non-Interest Income / 1.5M members)</t>
        </is>
      </c>
    </row>
    <row r="21">
      <c r="B21" t="inlineStr">
        <is>
          <t xml:space="preserve">    Backbase Impact</t>
        </is>
      </c>
      <c r="C21" s="6" t="n">
        <v>0.3</v>
      </c>
      <c r="D21" t="inlineStr">
        <is>
          <t>MEDIUM</t>
        </is>
      </c>
      <c r="E21" s="35" t="inlineStr">
        <is>
          <t>Backbase Digital Onboarding recovers 30% of abandoned applications through streamlined KYC, pre-population, and mobile-first UX</t>
        </is>
      </c>
      <c r="F21" s="35" t="inlineStr">
        <is>
          <t>BENCHMARK</t>
        </is>
      </c>
    </row>
    <row r="22">
      <c r="B22" t="inlineStr">
        <is>
          <t xml:space="preserve">    Baseline Annual</t>
        </is>
      </c>
      <c r="C22" s="34">
        <f>C18 * C19 * C20</f>
        <v/>
      </c>
    </row>
    <row r="23">
      <c r="B23" t="inlineStr">
        <is>
          <t xml:space="preserve">    Annual Benefit (Steady State)</t>
        </is>
      </c>
      <c r="C23" s="45">
        <f>C22*C21</f>
        <v/>
      </c>
    </row>
    <row r="26">
      <c r="B26" s="29" t="inlineStr">
        <is>
          <t>L2 — Digital Loan Origination</t>
        </is>
      </c>
    </row>
    <row r="27">
      <c r="B27" s="44" t="inlineStr">
        <is>
          <t xml:space="preserve">  Digital Loan Conversion Uplift</t>
        </is>
      </c>
    </row>
    <row r="28">
      <c r="B28" t="inlineStr">
        <is>
          <t xml:space="preserve">    Loan Starts Annual</t>
        </is>
      </c>
      <c r="C28" s="5" t="n">
        <v>104813</v>
      </c>
      <c r="D28" t="inlineStr">
        <is>
          <t>HIGH</t>
        </is>
      </c>
      <c r="E28" s="35" t="inlineStr">
        <is>
          <t>Digital loan application starts in 2025</t>
        </is>
      </c>
      <c r="F28" s="35" t="inlineStr">
        <is>
          <t>CLIENT DATA (Jeff — 2025 data)</t>
        </is>
      </c>
    </row>
    <row r="29">
      <c r="B29" t="inlineStr">
        <is>
          <t xml:space="preserve">    Abandonment Rate</t>
        </is>
      </c>
      <c r="C29" s="5" t="n">
        <v>0.302</v>
      </c>
      <c r="D29" t="inlineStr">
        <is>
          <t>HIGH</t>
        </is>
      </c>
      <c r="E29" s="35" t="inlineStr">
        <is>
          <t>30.2% of digital loan applications are abandoned</t>
        </is>
      </c>
      <c r="F29" s="35" t="inlineStr">
        <is>
          <t>CLIENT DATA (Jeff — 2025 data)</t>
        </is>
      </c>
    </row>
    <row r="30">
      <c r="B30" t="inlineStr">
        <is>
          <t xml:space="preserve">    Avg Loan Revenue</t>
        </is>
      </c>
      <c r="C30" s="6" t="n">
        <v>500</v>
      </c>
      <c r="D30" t="inlineStr">
        <is>
          <t>LOW</t>
        </is>
      </c>
      <c r="E30" s="35" t="inlineStr">
        <is>
          <t>Average first-year revenue per loan (interest margin). Loan portfolio $20.3B / ~400K active loans × NIM ~3% ÷ weighted avg life</t>
        </is>
      </c>
      <c r="F30" s="35" t="inlineStr">
        <is>
          <t>ESTIMATE</t>
        </is>
      </c>
    </row>
    <row r="31">
      <c r="B31" t="inlineStr">
        <is>
          <t xml:space="preserve">    Backbase Impact</t>
        </is>
      </c>
      <c r="C31" s="6" t="n">
        <v>0.25</v>
      </c>
      <c r="D31" t="inlineStr">
        <is>
          <t>MEDIUM</t>
        </is>
      </c>
      <c r="E31" s="35" t="inlineStr">
        <is>
          <t>Backbase Lending Origination recovers 25% of abandoned loan applications through pre-qualification, document upload, and real-time decisioning</t>
        </is>
      </c>
      <c r="F31" s="35" t="inlineStr">
        <is>
          <t>BENCHMARK</t>
        </is>
      </c>
    </row>
    <row r="32">
      <c r="B32" t="inlineStr">
        <is>
          <t xml:space="preserve">    Baseline Annual</t>
        </is>
      </c>
      <c r="C32" s="34">
        <f>C28 * C29 * C30</f>
        <v/>
      </c>
    </row>
    <row r="33">
      <c r="B33" t="inlineStr">
        <is>
          <t xml:space="preserve">    Annual Benefit (Steady State)</t>
        </is>
      </c>
      <c r="C33" s="45">
        <f>C32*C31</f>
        <v/>
      </c>
    </row>
    <row r="36">
      <c r="B36" s="29" t="inlineStr">
        <is>
          <t>L3 — Member Retention</t>
        </is>
      </c>
    </row>
    <row r="37">
      <c r="B37" s="44" t="inlineStr">
        <is>
          <t xml:space="preserve">  Churn Reduction via Digital Engagement</t>
        </is>
      </c>
    </row>
    <row r="38">
      <c r="B38" t="inlineStr">
        <is>
          <t xml:space="preserve">    Total Members</t>
        </is>
      </c>
      <c r="C38" s="5" t="n">
        <v>1500000</v>
      </c>
      <c r="D38" t="inlineStr">
        <is>
          <t>HIGH</t>
        </is>
      </c>
      <c r="E38" s="35" t="inlineStr">
        <is>
          <t>Total retail members</t>
        </is>
      </c>
      <c r="F38" s="35" t="inlineStr">
        <is>
          <t>CLIENT DATA (BECU 2024 Annual Report)</t>
        </is>
      </c>
    </row>
    <row r="39">
      <c r="B39" t="inlineStr">
        <is>
          <t xml:space="preserve">    Churn Rate</t>
        </is>
      </c>
      <c r="C39" s="6" t="n">
        <v>0.045</v>
      </c>
      <c r="D39" t="inlineStr">
        <is>
          <t>MEDIUM</t>
        </is>
      </c>
      <c r="E39" s="35" t="inlineStr">
        <is>
          <t>4.5% annual member attrition rate</t>
        </is>
      </c>
      <c r="F39" s="35" t="inlineStr">
        <is>
          <t>CLIENT DATA</t>
        </is>
      </c>
    </row>
    <row r="40">
      <c r="B40" t="inlineStr">
        <is>
          <t xml:space="preserve">    Avg Revenue Per Member</t>
        </is>
      </c>
      <c r="C40" s="5" t="n">
        <v>874</v>
      </c>
      <c r="D40" t="inlineStr">
        <is>
          <t>HIGH</t>
        </is>
      </c>
      <c r="E40" s="35" t="inlineStr">
        <is>
          <t>From Q4 2025 financials</t>
        </is>
      </c>
      <c r="F40" s="35" t="inlineStr">
        <is>
          <t>DERIVED</t>
        </is>
      </c>
    </row>
    <row r="41">
      <c r="B41" t="inlineStr">
        <is>
          <t xml:space="preserve">    Backbase Impact</t>
        </is>
      </c>
      <c r="C41" s="6" t="n">
        <v>0.15</v>
      </c>
      <c r="D41" t="inlineStr">
        <is>
          <t>LOW</t>
        </is>
      </c>
      <c r="E41" s="35" t="inlineStr">
        <is>
          <t>Backbase reduces churn by 15% through improved digital engagement, financial wellness tools, and proactive retention campaigns. Churn has structural causes (relocation, life events) so digital can only address a portion.</t>
        </is>
      </c>
      <c r="F41" s="35" t="inlineStr">
        <is>
          <t>BENCHMARK</t>
        </is>
      </c>
    </row>
    <row r="42">
      <c r="B42" t="inlineStr">
        <is>
          <t xml:space="preserve">    Baseline Annual</t>
        </is>
      </c>
      <c r="C42" s="34">
        <f>C38 * C39 * C40</f>
        <v/>
      </c>
    </row>
    <row r="43">
      <c r="B43" t="inlineStr">
        <is>
          <t xml:space="preserve">    Annual Benefit (Steady State)</t>
        </is>
      </c>
      <c r="C43" s="45">
        <f>C42*C41</f>
        <v/>
      </c>
    </row>
    <row r="46">
      <c r="B46" s="29" t="inlineStr">
        <is>
          <t>L4 — Cross-sell &amp; Product Penetration</t>
        </is>
      </c>
    </row>
    <row r="47">
      <c r="B47" s="44" t="inlineStr">
        <is>
          <t xml:space="preserve">  Product Penetration Uplift</t>
        </is>
      </c>
    </row>
    <row r="48">
      <c r="B48" t="inlineStr">
        <is>
          <t xml:space="preserve">    Total Revenue Annual</t>
        </is>
      </c>
      <c r="C48" s="5" t="n">
        <v>1310700000</v>
      </c>
      <c r="D48" t="inlineStr">
        <is>
          <t>HIGH</t>
        </is>
      </c>
      <c r="E48" s="35" t="inlineStr">
        <is>
          <t>Total annual revenue (NII + non-interest income)</t>
        </is>
      </c>
      <c r="F48" s="35" t="inlineStr">
        <is>
          <t>CLIENT DATA (Q4 2025 Statement)</t>
        </is>
      </c>
    </row>
    <row r="49">
      <c r="B49" t="inlineStr">
        <is>
          <t xml:space="preserve">    Penetration Uplift Pct</t>
        </is>
      </c>
      <c r="C49" s="6" t="n">
        <v>0.02</v>
      </c>
      <c r="D49" t="inlineStr">
        <is>
          <t>LOW</t>
        </is>
      </c>
      <c r="E49" s="35" t="inlineStr">
        <is>
          <t>2% revenue uplift from improved cross-sell. Conservative: only 30% CC penetration, 9% auto loan, 1% investment — significant room for digital product bundling</t>
        </is>
      </c>
      <c r="F49" s="35" t="inlineStr">
        <is>
          <t>BENCHMARK</t>
        </is>
      </c>
    </row>
    <row r="50">
      <c r="B50" t="inlineStr">
        <is>
          <t xml:space="preserve">    Backbase Impact</t>
        </is>
      </c>
      <c r="C50" s="6" t="n">
        <v>0.2</v>
      </c>
      <c r="D50" t="inlineStr">
        <is>
          <t>LOW</t>
        </is>
      </c>
      <c r="E50" s="35" t="inlineStr">
        <is>
          <t>Backbase Digital Engage NBA engine and onboarding cross-sell captures 20% of addressable product penetration opportunity</t>
        </is>
      </c>
      <c r="F50" s="35" t="inlineStr">
        <is>
          <t>BENCHMARK</t>
        </is>
      </c>
    </row>
    <row r="51">
      <c r="B51" t="inlineStr">
        <is>
          <t xml:space="preserve">    Baseline Annual</t>
        </is>
      </c>
      <c r="C51" s="34">
        <f>C48 * C49</f>
        <v/>
      </c>
    </row>
    <row r="52">
      <c r="B52" t="inlineStr">
        <is>
          <t xml:space="preserve">    Annual Benefit (Steady State)</t>
        </is>
      </c>
      <c r="C52" s="45">
        <f>C51*C50</f>
        <v/>
      </c>
    </row>
    <row r="55">
      <c r="B55" s="29" t="inlineStr">
        <is>
          <t>L5 — Contact Center Cost Avoidance</t>
        </is>
      </c>
    </row>
    <row r="56">
      <c r="B56" s="44" t="inlineStr">
        <is>
          <t xml:space="preserve">  Digital Self-Service Call Deflection</t>
        </is>
      </c>
    </row>
    <row r="57">
      <c r="B57" t="inlineStr">
        <is>
          <t xml:space="preserve">    Deflectable Calls Annual</t>
        </is>
      </c>
      <c r="C57" s="6" t="n">
        <v>1126128</v>
      </c>
      <c r="D57" t="inlineStr">
        <is>
          <t>MEDIUM</t>
        </is>
      </c>
      <c r="E57" s="35" t="inlineStr">
        <is>
          <t>39.2% of 2.87M annual calls are deflectable (Deposit Servicing 22,592 + Banking Access 21,068 + Balance Inquiries 12,282 + Transfers 6,482 = 62,424/mo × 12 + Debit Servicing 11,441 × 12 = ~887K + Online Banking 10,555 × 12 = ~127K → ~1.13M)</t>
        </is>
      </c>
      <c r="F57" s="35" t="inlineStr">
        <is>
          <t>DERIVED</t>
        </is>
      </c>
    </row>
    <row r="58">
      <c r="B58" t="inlineStr">
        <is>
          <t xml:space="preserve">    Aht Hours</t>
        </is>
      </c>
      <c r="C58" s="5" t="n">
        <v>0.1206</v>
      </c>
      <c r="D58" t="inlineStr">
        <is>
          <t>HIGH</t>
        </is>
      </c>
      <c r="E58" s="35" t="inlineStr">
        <is>
          <t>Overall AHT 434 seconds = 0.1206 hours</t>
        </is>
      </c>
      <c r="F58" s="35" t="inlineStr">
        <is>
          <t>CLIENT DATA</t>
        </is>
      </c>
    </row>
    <row r="59">
      <c r="B59" t="inlineStr">
        <is>
          <t xml:space="preserve">    Loaded Hourly Rate</t>
        </is>
      </c>
      <c r="C59" s="5" t="n">
        <v>46.15</v>
      </c>
      <c r="D59" t="inlineStr">
        <is>
          <t>HIGH</t>
        </is>
      </c>
      <c r="E59" s="35" t="inlineStr">
        <is>
          <t>Fully loaded blended hourly rate for contact center agents</t>
        </is>
      </c>
      <c r="F59" s="35" t="inlineStr">
        <is>
          <t>CLIENT DATA</t>
        </is>
      </c>
    </row>
    <row r="60">
      <c r="B60" t="inlineStr">
        <is>
          <t xml:space="preserve">    Backbase Impact</t>
        </is>
      </c>
      <c r="C60" s="6" t="n">
        <v>0.35</v>
      </c>
      <c r="D60" t="inlineStr">
        <is>
          <t>MEDIUM</t>
        </is>
      </c>
      <c r="E60" s="35" t="inlineStr">
        <is>
          <t>Backbase self-service deflects 35% of deflectable calls through digital servicing, account maintenance, and FAQ self-service. Chatbot currently at 56.5% containment on 58.6K sessions — Backbase Engage extends this to transactional self-service.</t>
        </is>
      </c>
      <c r="F60" s="35" t="inlineStr">
        <is>
          <t>BENCHMARK</t>
        </is>
      </c>
    </row>
    <row r="61">
      <c r="B61" t="inlineStr">
        <is>
          <t xml:space="preserve">    Baseline Annual</t>
        </is>
      </c>
      <c r="C61" s="34">
        <f>C57 * C58 * C59</f>
        <v/>
      </c>
    </row>
    <row r="62">
      <c r="B62" t="inlineStr">
        <is>
          <t xml:space="preserve">    Annual Benefit (Steady State)</t>
        </is>
      </c>
      <c r="C62" s="45">
        <f>C61*C60</f>
        <v/>
      </c>
    </row>
    <row r="65">
      <c r="B65" s="29" t="inlineStr">
        <is>
          <t>L6 — Branch Cost Avoidance</t>
        </is>
      </c>
    </row>
    <row r="66">
      <c r="B66" s="44" t="inlineStr">
        <is>
          <t xml:space="preserve">  Digital Migration of Branch Servicing</t>
        </is>
      </c>
    </row>
    <row r="67">
      <c r="B67" t="inlineStr">
        <is>
          <t xml:space="preserve">    Deflectable Visits Annual</t>
        </is>
      </c>
      <c r="C67" s="6" t="n">
        <v>750000</v>
      </c>
      <c r="D67" t="inlineStr">
        <is>
          <t>MEDIUM</t>
        </is>
      </c>
      <c r="E67" s="35" t="inlineStr">
        <is>
          <t>50% of 1.5M annual branch visits are deflectable (account inquiries 101K/mo × 12 = 1.21M, minus complex ones). Account inquiries are largest branch visit category.</t>
        </is>
      </c>
      <c r="F67" s="35" t="inlineStr">
        <is>
          <t>DERIVED</t>
        </is>
      </c>
    </row>
    <row r="68">
      <c r="B68" t="inlineStr">
        <is>
          <t xml:space="preserve">    Handle Time Hours</t>
        </is>
      </c>
      <c r="C68" s="5" t="n">
        <v>0.2567</v>
      </c>
      <c r="D68" t="inlineStr">
        <is>
          <t>HIGH</t>
        </is>
      </c>
      <c r="E68" s="35" t="inlineStr">
        <is>
          <t>15:25 average service time = 0.2567 hours</t>
        </is>
      </c>
      <c r="F68" s="35" t="inlineStr">
        <is>
          <t>CLIENT DATA</t>
        </is>
      </c>
    </row>
    <row r="69">
      <c r="B69" t="inlineStr">
        <is>
          <t xml:space="preserve">    Loaded Hourly Rate</t>
        </is>
      </c>
      <c r="C69" s="6" t="n">
        <v>46.15</v>
      </c>
      <c r="D69" t="inlineStr">
        <is>
          <t>MEDIUM</t>
        </is>
      </c>
      <c r="E69" s="35" t="inlineStr">
        <is>
          <t>Using same loaded rate as contact center; branch FTE may differ</t>
        </is>
      </c>
      <c r="F69" s="35" t="inlineStr">
        <is>
          <t>ESTIMATE</t>
        </is>
      </c>
    </row>
    <row r="70">
      <c r="B70" t="inlineStr">
        <is>
          <t xml:space="preserve">    Backbase Impact</t>
        </is>
      </c>
      <c r="C70" s="6" t="n">
        <v>0.22</v>
      </c>
      <c r="D70" t="inlineStr">
        <is>
          <t>MEDIUM</t>
        </is>
      </c>
      <c r="E70" s="35" t="inlineStr">
        <is>
          <t>Backbase digital servicing migrates 22% of deflectable branch visits to self-service. Conservative — many branch visits are relationship-driven (12% new account, 8% loans).</t>
        </is>
      </c>
      <c r="F70" s="35" t="inlineStr">
        <is>
          <t>BENCHMARK</t>
        </is>
      </c>
    </row>
    <row r="71">
      <c r="B71" t="inlineStr">
        <is>
          <t xml:space="preserve">    Baseline Annual</t>
        </is>
      </c>
      <c r="C71" s="34">
        <f>C67 * C68 * C69</f>
        <v/>
      </c>
    </row>
    <row r="72">
      <c r="B72" t="inlineStr">
        <is>
          <t xml:space="preserve">    Annual Benefit (Steady State)</t>
        </is>
      </c>
      <c r="C72" s="45">
        <f>C71*C70</f>
        <v/>
      </c>
    </row>
    <row r="75">
      <c r="B75" s="29" t="inlineStr">
        <is>
          <t>L7 — Employee Enablement</t>
        </is>
      </c>
    </row>
    <row r="76">
      <c r="B76" s="44" t="inlineStr">
        <is>
          <t xml:space="preserve">  Employee Productivity via Unified Workbench</t>
        </is>
      </c>
    </row>
    <row r="77">
      <c r="B77" t="inlineStr">
        <is>
          <t xml:space="preserve">    Branch Fte</t>
        </is>
      </c>
      <c r="C77" s="5" t="n">
        <v>632.7</v>
      </c>
      <c r="D77" t="inlineStr">
        <is>
          <t>HIGH</t>
        </is>
      </c>
      <c r="E77" s="35" t="inlineStr">
        <is>
          <t>Branch employees as of year end 2025</t>
        </is>
      </c>
      <c r="F77" s="35" t="inlineStr">
        <is>
          <t>CLIENT DATA (Retail Workforce Team)</t>
        </is>
      </c>
    </row>
    <row r="78">
      <c r="B78" t="inlineStr">
        <is>
          <t xml:space="preserve">    Loaded Hourly Rate</t>
        </is>
      </c>
      <c r="C78" s="6" t="n">
        <v>46.15</v>
      </c>
      <c r="D78" t="inlineStr">
        <is>
          <t>MEDIUM</t>
        </is>
      </c>
      <c r="E78" s="35" t="inlineStr">
        <is>
          <t>Blended loaded hourly rate</t>
        </is>
      </c>
      <c r="F78" s="35" t="inlineStr">
        <is>
          <t>ESTIMATE</t>
        </is>
      </c>
    </row>
    <row r="79">
      <c r="B79" t="inlineStr">
        <is>
          <t xml:space="preserve">    Annual Hours</t>
        </is>
      </c>
      <c r="C79" s="5" t="n">
        <v>2080</v>
      </c>
      <c r="D79" t="inlineStr">
        <is>
          <t>HIGH</t>
        </is>
      </c>
      <c r="E79" s="35" t="inlineStr">
        <is>
          <t>Standard 40hr/week × 52 weeks</t>
        </is>
      </c>
      <c r="F79" s="35" t="inlineStr">
        <is>
          <t>STANDARD</t>
        </is>
      </c>
    </row>
    <row r="80">
      <c r="B80" t="inlineStr">
        <is>
          <t xml:space="preserve">    Productivity Gain Pct</t>
        </is>
      </c>
      <c r="C80" s="6" t="n">
        <v>0.2</v>
      </c>
      <c r="D80" t="inlineStr">
        <is>
          <t>LOW</t>
        </is>
      </c>
      <c r="E80" s="35" t="inlineStr">
        <is>
          <t>20% productivity gain from eliminating 30-50 app context switches (pain point: 30-50 applications per transaction), providing unified Member 360 view (currently unavailable), and reducing 12-week new hire training time</t>
        </is>
      </c>
      <c r="F80" s="35" t="inlineStr">
        <is>
          <t>BENCHMARK</t>
        </is>
      </c>
    </row>
    <row r="81">
      <c r="B81" t="inlineStr">
        <is>
          <t xml:space="preserve">    Backbase Impact</t>
        </is>
      </c>
      <c r="C81" s="6" t="n">
        <v>0.15</v>
      </c>
      <c r="D81" t="inlineStr">
        <is>
          <t>LOW</t>
        </is>
      </c>
      <c r="E81" s="35" t="inlineStr">
        <is>
          <t>Backbase Employee Workbench captures 15% of productivity gain. Unified interface replaces multi-app workflow but behavioral change and adoption limit early impact.</t>
        </is>
      </c>
      <c r="F81" s="35" t="inlineStr">
        <is>
          <t>BENCHMARK</t>
        </is>
      </c>
    </row>
    <row r="82">
      <c r="B82" t="inlineStr">
        <is>
          <t xml:space="preserve">    Baseline Annual</t>
        </is>
      </c>
      <c r="C82" s="34">
        <f>C77 * C78 * C79 * C80</f>
        <v/>
      </c>
    </row>
    <row r="83">
      <c r="B83" t="inlineStr">
        <is>
          <t xml:space="preserve">    Annual Benefit (Steady State)</t>
        </is>
      </c>
      <c r="C83" s="45">
        <f>C82*C81</f>
        <v/>
      </c>
    </row>
    <row r="86">
      <c r="B86" s="29" t="inlineStr">
        <is>
          <t>L8 — IT Platform Consolidation</t>
        </is>
      </c>
    </row>
    <row r="87">
      <c r="B87" s="44" t="inlineStr">
        <is>
          <t xml:space="preserve">  Legacy Platform Decommission</t>
        </is>
      </c>
    </row>
    <row r="88">
      <c r="B88" t="inlineStr">
        <is>
          <t xml:space="preserve">    Platforms Replaced</t>
        </is>
      </c>
      <c r="C88" s="5" t="n">
        <v>3</v>
      </c>
      <c r="D88" t="inlineStr">
        <is>
          <t>HIGH</t>
        </is>
      </c>
      <c r="E88" s="35" t="inlineStr">
        <is>
          <t>Corillian (Replace), MX Mobile (Replace), Mulesoft ESB (Retire → Azure APIM)</t>
        </is>
      </c>
      <c r="F88" s="35" t="inlineStr">
        <is>
          <t>CLIENT DATA (IT-App Rationalization)</t>
        </is>
      </c>
    </row>
    <row r="89">
      <c r="B89" t="inlineStr">
        <is>
          <t xml:space="preserve">    Avg Annual Platform Cost</t>
        </is>
      </c>
      <c r="C89" s="6" t="n">
        <v>1000000</v>
      </c>
      <c r="D89" t="inlineStr">
        <is>
          <t>LOW</t>
        </is>
      </c>
      <c r="E89" s="35" t="inlineStr">
        <is>
          <t>Average annual cost per platform (license + maintenance + integration support). No actual license costs provided in questionnaire — CRITICAL DATA GAP.</t>
        </is>
      </c>
      <c r="F89" s="35" t="inlineStr">
        <is>
          <t>ESTIMATE</t>
        </is>
      </c>
    </row>
    <row r="90">
      <c r="B90" t="inlineStr">
        <is>
          <t xml:space="preserve">    Backbase Impact</t>
        </is>
      </c>
      <c r="C90" s="6" t="n">
        <v>0.45</v>
      </c>
      <c r="D90" t="inlineStr">
        <is>
          <t>MEDIUM</t>
        </is>
      </c>
      <c r="E90" s="35" t="inlineStr">
        <is>
          <t>Backbase replaces Corillian and MX directly (high capture), Mulesoft ESB partially replaced by Backbase integration layer. 45% reflects that some costs persist during parallel-run period.</t>
        </is>
      </c>
      <c r="F90" s="35" t="inlineStr">
        <is>
          <t>BENCHMARK</t>
        </is>
      </c>
    </row>
    <row r="91">
      <c r="B91" t="inlineStr">
        <is>
          <t xml:space="preserve">    Baseline Annual</t>
        </is>
      </c>
      <c r="C91" s="34">
        <f>C88 * C89</f>
        <v/>
      </c>
    </row>
    <row r="92">
      <c r="B92" t="inlineStr">
        <is>
          <t xml:space="preserve">    Annual Benefit (Steady State)</t>
        </is>
      </c>
      <c r="C92" s="45">
        <f>C91*C90</f>
        <v/>
      </c>
    </row>
    <row r="96">
      <c r="B96" s="13" t="inlineStr">
        <is>
          <t>ACTIVE BACKBASE IMPACTS (auto-selected from scenario)</t>
        </is>
      </c>
    </row>
    <row r="97">
      <c r="B97" t="inlineStr">
        <is>
          <t>Branch Deflection</t>
        </is>
      </c>
      <c r="C97" s="24">
        <f>INDEX('Scenario Data'!$C$24:$E$24,1,'Cashflows'!$C$5)</f>
        <v/>
      </c>
    </row>
    <row r="98">
      <c r="B98" t="inlineStr">
        <is>
          <t>Call Deflection</t>
        </is>
      </c>
      <c r="C98" s="24">
        <f>INDEX('Scenario Data'!$C$25:$E$25,1,'Cashflows'!$C$5)</f>
        <v/>
      </c>
    </row>
    <row r="99">
      <c r="B99" t="inlineStr">
        <is>
          <t>Churn Reduction</t>
        </is>
      </c>
      <c r="C99" s="24">
        <f>INDEX('Scenario Data'!$C$26:$E$26,1,'Cashflows'!$C$5)</f>
        <v/>
      </c>
    </row>
    <row r="100">
      <c r="B100" t="inlineStr">
        <is>
          <t>Cross Sell Uplift</t>
        </is>
      </c>
      <c r="C100" s="24">
        <f>INDEX('Scenario Data'!$C$27:$E$27,1,'Cashflows'!$C$5)</f>
        <v/>
      </c>
    </row>
    <row r="101">
      <c r="B101" t="inlineStr">
        <is>
          <t>Employee Productivity</t>
        </is>
      </c>
      <c r="C101" s="24">
        <f>INDEX('Scenario Data'!$C$28:$E$28,1,'Cashflows'!$C$5)</f>
        <v/>
      </c>
    </row>
    <row r="102">
      <c r="B102" t="inlineStr">
        <is>
          <t>It Consolidation</t>
        </is>
      </c>
      <c r="C102" s="24">
        <f>INDEX('Scenario Data'!$C$29:$E$29,1,'Cashflows'!$C$5)</f>
        <v/>
      </c>
    </row>
    <row r="103">
      <c r="B103" t="inlineStr">
        <is>
          <t>Loan Conversion</t>
        </is>
      </c>
      <c r="C103" s="24">
        <f>INDEX('Scenario Data'!$C$30:$E$30,1,'Cashflows'!$C$5)</f>
        <v/>
      </c>
    </row>
    <row r="104">
      <c r="B104" t="inlineStr">
        <is>
          <t>Membership Conversion</t>
        </is>
      </c>
      <c r="C104" s="24">
        <f>INDEX('Scenario Data'!$C$31:$E$31,1,'Cashflows'!$C$5)</f>
        <v/>
      </c>
    </row>
    <row r="107">
      <c r="B107" s="13" t="inlineStr">
        <is>
          <t>INVESTMENT</t>
        </is>
      </c>
    </row>
    <row r="108">
      <c r="B108" s="3" t="inlineStr">
        <is>
          <t>License</t>
        </is>
      </c>
    </row>
    <row r="109">
      <c r="B109" t="inlineStr">
        <is>
          <t xml:space="preserve">  Year 1</t>
        </is>
      </c>
      <c r="C109" s="46" t="n">
        <v>1000000</v>
      </c>
    </row>
    <row r="110">
      <c r="B110" t="inlineStr">
        <is>
          <t xml:space="preserve">  Year 2</t>
        </is>
      </c>
      <c r="C110" s="46" t="n">
        <v>1000000</v>
      </c>
    </row>
    <row r="111">
      <c r="B111" t="inlineStr">
        <is>
          <t xml:space="preserve">  Year 3</t>
        </is>
      </c>
      <c r="C111" s="46" t="n">
        <v>1000000</v>
      </c>
    </row>
    <row r="112">
      <c r="B112" t="inlineStr">
        <is>
          <t xml:space="preserve">  Year 4</t>
        </is>
      </c>
      <c r="C112" s="46" t="n">
        <v>1000000</v>
      </c>
    </row>
    <row r="113">
      <c r="B113" t="inlineStr">
        <is>
          <t xml:space="preserve">  Year 5</t>
        </is>
      </c>
      <c r="C113" s="46" t="n">
        <v>1000000</v>
      </c>
    </row>
    <row r="115">
      <c r="B115" s="3" t="inlineStr">
        <is>
          <t>Implementation</t>
        </is>
      </c>
    </row>
    <row r="116">
      <c r="B116" t="inlineStr">
        <is>
          <t xml:space="preserve">  Year 1</t>
        </is>
      </c>
      <c r="C116" s="46" t="n">
        <v>500000</v>
      </c>
    </row>
    <row r="117">
      <c r="B117" t="inlineStr">
        <is>
          <t xml:space="preserve">  Year 2</t>
        </is>
      </c>
      <c r="C117" s="46" t="n">
        <v>500000</v>
      </c>
    </row>
    <row r="118">
      <c r="B118" t="inlineStr">
        <is>
          <t xml:space="preserve">  Year 3</t>
        </is>
      </c>
      <c r="C118" s="46" t="n">
        <v>500000</v>
      </c>
    </row>
    <row r="119">
      <c r="B119" t="inlineStr">
        <is>
          <t xml:space="preserve">  Year 4</t>
        </is>
      </c>
      <c r="C119" s="46" t="n">
        <v>500000</v>
      </c>
    </row>
    <row r="120">
      <c r="B120" t="inlineStr">
        <is>
          <t xml:space="preserve">  Year 5</t>
        </is>
      </c>
      <c r="C120" s="46" t="n">
        <v>500000</v>
      </c>
    </row>
    <row r="123">
      <c r="B123" s="13" t="inlineStr">
        <is>
          <t>ACTIVE CURVES (auto-selected from scenario)</t>
        </is>
      </c>
    </row>
    <row r="124">
      <c r="B124" s="31" t="inlineStr">
        <is>
          <t>These cells use INDEX formulas — they update when you change the scenario on the Cashflows sheet.</t>
        </is>
      </c>
    </row>
    <row r="125">
      <c r="B125" s="3" t="inlineStr">
        <is>
          <t>Default — Implementation</t>
        </is>
      </c>
    </row>
    <row r="126">
      <c r="B126" t="inlineStr">
        <is>
          <t xml:space="preserve">  Year 1</t>
        </is>
      </c>
      <c r="C126" s="47">
        <f>INDEX('Scenario Data'!$C$9:$E$9,1,'Cashflows'!$C$5)</f>
        <v/>
      </c>
    </row>
    <row r="127">
      <c r="B127" t="inlineStr">
        <is>
          <t xml:space="preserve">  Year 2</t>
        </is>
      </c>
      <c r="C127" s="47">
        <f>INDEX('Scenario Data'!$C$10:$E$10,1,'Cashflows'!$C$5)</f>
        <v/>
      </c>
    </row>
    <row r="128">
      <c r="B128" t="inlineStr">
        <is>
          <t xml:space="preserve">  Year 3</t>
        </is>
      </c>
      <c r="C128" s="47">
        <f>INDEX('Scenario Data'!$C$11:$E$11,1,'Cashflows'!$C$5)</f>
        <v/>
      </c>
    </row>
    <row r="129">
      <c r="B129" t="inlineStr">
        <is>
          <t xml:space="preserve">  Year 4</t>
        </is>
      </c>
      <c r="C129" s="47">
        <f>INDEX('Scenario Data'!$C$12:$E$12,1,'Cashflows'!$C$5)</f>
        <v/>
      </c>
    </row>
    <row r="130">
      <c r="B130" t="inlineStr">
        <is>
          <t xml:space="preserve">  Year 5</t>
        </is>
      </c>
      <c r="C130" s="47">
        <f>INDEX('Scenario Data'!$C$13:$E$13,1,'Cashflows'!$C$5)</f>
        <v/>
      </c>
    </row>
    <row r="131">
      <c r="B131" s="3" t="inlineStr">
        <is>
          <t>Default — Effectiveness</t>
        </is>
      </c>
    </row>
    <row r="132">
      <c r="B132" t="inlineStr">
        <is>
          <t xml:space="preserve">  Year 1</t>
        </is>
      </c>
      <c r="C132" s="47">
        <f>INDEX('Scenario Data'!$C$17:$E$17,1,'Cashflows'!$C$5)</f>
        <v/>
      </c>
    </row>
    <row r="133">
      <c r="B133" t="inlineStr">
        <is>
          <t xml:space="preserve">  Year 2</t>
        </is>
      </c>
      <c r="C133" s="47">
        <f>INDEX('Scenario Data'!$C$18:$E$18,1,'Cashflows'!$C$5)</f>
        <v/>
      </c>
    </row>
    <row r="134">
      <c r="B134" t="inlineStr">
        <is>
          <t xml:space="preserve">  Year 3</t>
        </is>
      </c>
      <c r="C134" s="47">
        <f>INDEX('Scenario Data'!$C$19:$E$19,1,'Cashflows'!$C$5)</f>
        <v/>
      </c>
    </row>
    <row r="135">
      <c r="B135" t="inlineStr">
        <is>
          <t xml:space="preserve">  Year 4</t>
        </is>
      </c>
      <c r="C135" s="47">
        <f>INDEX('Scenario Data'!$C$20:$E$20,1,'Cashflows'!$C$5)</f>
        <v/>
      </c>
    </row>
    <row r="136">
      <c r="B136" t="inlineStr">
        <is>
          <t xml:space="preserve">  Year 5</t>
        </is>
      </c>
      <c r="C136" s="47">
        <f>INDEX('Scenario Data'!$C$21:$E$21,1,'Cashflows'!$C$5)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3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</cols>
  <sheetData>
    <row r="2">
      <c r="B2" s="9" t="inlineStr">
        <is>
          <t>Scenario Definitions</t>
        </is>
      </c>
    </row>
    <row r="3">
      <c r="B3" s="12" t="inlineStr">
        <is>
          <t>Edit values here to customize scenarios. All lever sheets reference this table.</t>
        </is>
      </c>
    </row>
    <row r="5">
      <c r="B5" s="16" t="inlineStr">
        <is>
          <t>Parameter</t>
        </is>
      </c>
      <c r="C5" s="16" t="inlineStr">
        <is>
          <t>Conservative</t>
        </is>
      </c>
      <c r="D5" s="16" t="inlineStr">
        <is>
          <t>Moderate</t>
        </is>
      </c>
      <c r="E5" s="16" t="inlineStr">
        <is>
          <t>Aggressive</t>
        </is>
      </c>
    </row>
    <row r="7">
      <c r="B7" s="13" t="inlineStr">
        <is>
          <t>IMPLEMENTATION CURVES</t>
        </is>
      </c>
    </row>
    <row r="8">
      <c r="B8" s="3" t="inlineStr">
        <is>
          <t>Default</t>
        </is>
      </c>
    </row>
    <row r="9">
      <c r="B9" t="inlineStr">
        <is>
          <t xml:space="preserve">  Year 1</t>
        </is>
      </c>
      <c r="C9" s="48" t="n">
        <v>0.1</v>
      </c>
      <c r="D9" s="48" t="n">
        <v>0.2</v>
      </c>
      <c r="E9" s="48" t="n">
        <v>0.3</v>
      </c>
    </row>
    <row r="10">
      <c r="B10" t="inlineStr">
        <is>
          <t xml:space="preserve">  Year 2</t>
        </is>
      </c>
      <c r="C10" s="48" t="n">
        <v>0.35</v>
      </c>
      <c r="D10" s="48" t="n">
        <v>0.55</v>
      </c>
      <c r="E10" s="48" t="n">
        <v>0.7</v>
      </c>
    </row>
    <row r="11">
      <c r="B11" t="inlineStr">
        <is>
          <t xml:space="preserve">  Year 3</t>
        </is>
      </c>
      <c r="C11" s="48" t="n">
        <v>0.6</v>
      </c>
      <c r="D11" s="48" t="n">
        <v>0.8</v>
      </c>
      <c r="E11" s="48" t="n">
        <v>0.9</v>
      </c>
    </row>
    <row r="12">
      <c r="B12" t="inlineStr">
        <is>
          <t xml:space="preserve">  Year 4</t>
        </is>
      </c>
      <c r="C12" s="48" t="n">
        <v>0.8</v>
      </c>
      <c r="D12" s="48" t="n">
        <v>0.95</v>
      </c>
      <c r="E12" s="48" t="n">
        <v>1</v>
      </c>
    </row>
    <row r="13">
      <c r="B13" t="inlineStr">
        <is>
          <t xml:space="preserve">  Year 5</t>
        </is>
      </c>
      <c r="C13" s="48" t="n">
        <v>0.9</v>
      </c>
      <c r="D13" s="48" t="n">
        <v>1</v>
      </c>
      <c r="E13" s="48" t="n">
        <v>1</v>
      </c>
    </row>
    <row r="15">
      <c r="B15" s="13" t="inlineStr">
        <is>
          <t>EFFECTIVENESS CURVES</t>
        </is>
      </c>
    </row>
    <row r="16">
      <c r="B16" s="3" t="inlineStr">
        <is>
          <t>Default</t>
        </is>
      </c>
    </row>
    <row r="17">
      <c r="B17" t="inlineStr">
        <is>
          <t xml:space="preserve">  Year 1</t>
        </is>
      </c>
      <c r="C17" s="48" t="n">
        <v>0.15</v>
      </c>
      <c r="D17" s="48" t="n">
        <v>0.25</v>
      </c>
      <c r="E17" s="48" t="n">
        <v>0.35</v>
      </c>
    </row>
    <row r="18">
      <c r="B18" t="inlineStr">
        <is>
          <t xml:space="preserve">  Year 2</t>
        </is>
      </c>
      <c r="C18" s="48" t="n">
        <v>0.35</v>
      </c>
      <c r="D18" s="48" t="n">
        <v>0.5</v>
      </c>
      <c r="E18" s="48" t="n">
        <v>0.6</v>
      </c>
    </row>
    <row r="19">
      <c r="B19" t="inlineStr">
        <is>
          <t xml:space="preserve">  Year 3</t>
        </is>
      </c>
      <c r="C19" s="48" t="n">
        <v>0.55</v>
      </c>
      <c r="D19" s="48" t="n">
        <v>0.75</v>
      </c>
      <c r="E19" s="48" t="n">
        <v>0.85</v>
      </c>
    </row>
    <row r="20">
      <c r="B20" t="inlineStr">
        <is>
          <t xml:space="preserve">  Year 4</t>
        </is>
      </c>
      <c r="C20" s="48" t="n">
        <v>0.7</v>
      </c>
      <c r="D20" s="48" t="n">
        <v>0.9</v>
      </c>
      <c r="E20" s="48" t="n">
        <v>0.95</v>
      </c>
    </row>
    <row r="21">
      <c r="B21" t="inlineStr">
        <is>
          <t xml:space="preserve">  Year 5</t>
        </is>
      </c>
      <c r="C21" s="48" t="n">
        <v>0.85</v>
      </c>
      <c r="D21" s="48" t="n">
        <v>1</v>
      </c>
      <c r="E21" s="48" t="n">
        <v>1</v>
      </c>
    </row>
    <row r="23">
      <c r="B23" s="13" t="inlineStr">
        <is>
          <t>BACKBASE IMPACTS</t>
        </is>
      </c>
    </row>
    <row r="24">
      <c r="B24" t="inlineStr">
        <is>
          <t>Branch Deflection</t>
        </is>
      </c>
      <c r="C24" s="43" t="n">
        <v>0.12</v>
      </c>
      <c r="D24" s="43" t="n">
        <v>0.22</v>
      </c>
      <c r="E24" s="43" t="n">
        <v>0.35</v>
      </c>
    </row>
    <row r="25">
      <c r="B25" t="inlineStr">
        <is>
          <t>Call Deflection</t>
        </is>
      </c>
      <c r="C25" s="43" t="n">
        <v>0.2</v>
      </c>
      <c r="D25" s="43" t="n">
        <v>0.35</v>
      </c>
      <c r="E25" s="43" t="n">
        <v>0.5</v>
      </c>
    </row>
    <row r="26">
      <c r="B26" t="inlineStr">
        <is>
          <t>Churn Reduction</t>
        </is>
      </c>
      <c r="C26" s="43" t="n">
        <v>0.08</v>
      </c>
      <c r="D26" s="43" t="n">
        <v>0.15</v>
      </c>
      <c r="E26" s="43" t="n">
        <v>0.2</v>
      </c>
    </row>
    <row r="27">
      <c r="B27" t="inlineStr">
        <is>
          <t>Cross Sell Uplift</t>
        </is>
      </c>
      <c r="C27" s="43" t="n">
        <v>0.1</v>
      </c>
      <c r="D27" s="43" t="n">
        <v>0.2</v>
      </c>
      <c r="E27" s="43" t="n">
        <v>0.3</v>
      </c>
    </row>
    <row r="28">
      <c r="B28" t="inlineStr">
        <is>
          <t>Employee Productivity</t>
        </is>
      </c>
      <c r="C28" s="43" t="n">
        <v>0.08</v>
      </c>
      <c r="D28" s="43" t="n">
        <v>0.15</v>
      </c>
      <c r="E28" s="43" t="n">
        <v>0.25</v>
      </c>
    </row>
    <row r="29">
      <c r="B29" t="inlineStr">
        <is>
          <t>It Consolidation</t>
        </is>
      </c>
      <c r="C29" s="43" t="n">
        <v>0.25</v>
      </c>
      <c r="D29" s="43" t="n">
        <v>0.45</v>
      </c>
      <c r="E29" s="43" t="n">
        <v>0.55</v>
      </c>
    </row>
    <row r="30">
      <c r="B30" t="inlineStr">
        <is>
          <t>Loan Conversion</t>
        </is>
      </c>
      <c r="C30" s="43" t="n">
        <v>0.12</v>
      </c>
      <c r="D30" s="43" t="n">
        <v>0.25</v>
      </c>
      <c r="E30" s="43" t="n">
        <v>0.35</v>
      </c>
    </row>
    <row r="31">
      <c r="B31" t="inlineStr">
        <is>
          <t>Membership Conversion</t>
        </is>
      </c>
      <c r="C31" s="43" t="n">
        <v>0.15</v>
      </c>
      <c r="D31" s="43" t="n">
        <v>0.3</v>
      </c>
      <c r="E31" s="43" t="n">
        <v>0.45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E14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2" customWidth="1" min="3" max="3"/>
    <col width="12" customWidth="1" min="4" max="4"/>
    <col width="55" customWidth="1" min="5" max="5"/>
  </cols>
  <sheetData>
    <row r="1">
      <c r="B1" s="9" t="inlineStr">
        <is>
          <t>Bank Profile</t>
        </is>
      </c>
    </row>
    <row r="3">
      <c r="B3" s="13" t="inlineStr">
        <is>
          <t>BANK IDENTITY</t>
        </is>
      </c>
    </row>
    <row r="4">
      <c r="B4" s="3" t="inlineStr">
        <is>
          <t>Bank Name</t>
        </is>
      </c>
      <c r="C4" t="inlineStr">
        <is>
          <t>BECU</t>
        </is>
      </c>
    </row>
    <row r="5">
      <c r="B5" s="3" t="inlineStr">
        <is>
          <t>Country</t>
        </is>
      </c>
      <c r="C5" t="inlineStr"/>
    </row>
    <row r="6">
      <c r="B6" s="3" t="inlineStr">
        <is>
          <t>Currency</t>
        </is>
      </c>
      <c r="C6" t="inlineStr">
        <is>
          <t>USD</t>
        </is>
      </c>
    </row>
    <row r="7">
      <c r="B7" s="3" t="inlineStr">
        <is>
          <t>Stock Ticker</t>
        </is>
      </c>
      <c r="C7" t="inlineStr">
        <is>
          <t>N/A</t>
        </is>
      </c>
    </row>
    <row r="8">
      <c r="B8" s="3" t="inlineStr">
        <is>
          <t>Report Year</t>
        </is>
      </c>
      <c r="C8" t="inlineStr"/>
    </row>
    <row r="9">
      <c r="B9" s="3" t="inlineStr">
        <is>
          <t>Data Sources</t>
        </is>
      </c>
      <c r="C9" t="inlineStr"/>
    </row>
    <row r="11">
      <c r="B11" s="3" t="inlineStr">
        <is>
          <t>Market Context Status</t>
        </is>
      </c>
      <c r="C11" s="6" t="inlineStr">
        <is>
          <t>NOT_RUN</t>
        </is>
      </c>
    </row>
    <row r="13">
      <c r="B13" s="13" t="inlineStr">
        <is>
          <t>KEY FINANCIAL METRICS</t>
        </is>
      </c>
    </row>
    <row r="14">
      <c r="B14" s="16" t="inlineStr">
        <is>
          <t>Metric</t>
        </is>
      </c>
      <c r="C14" s="16" t="inlineStr">
        <is>
          <t>Value</t>
        </is>
      </c>
      <c r="D14" s="16" t="inlineStr">
        <is>
          <t>Confidence</t>
        </is>
      </c>
      <c r="E14" s="16" t="inlineStr">
        <is>
          <t>Source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H17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35" customWidth="1" min="3" max="3"/>
    <col width="15" customWidth="1" min="4" max="4"/>
    <col width="12" customWidth="1" min="5" max="5"/>
    <col width="50" customWidth="1" min="6" max="6"/>
    <col width="20" customWidth="1" min="7" max="7"/>
    <col width="35" customWidth="1" min="8" max="8"/>
  </cols>
  <sheetData>
    <row r="1">
      <c r="B1" s="9" t="inlineStr">
        <is>
          <t>Assumptions Register</t>
        </is>
      </c>
    </row>
    <row r="3">
      <c r="B3" s="49" t="inlineStr">
        <is>
          <t>All assumptions documented with sources and validation owners</t>
        </is>
      </c>
    </row>
    <row r="5">
      <c r="B5" s="16" t="inlineStr">
        <is>
          <t>ID</t>
        </is>
      </c>
      <c r="C5" s="16" t="inlineStr">
        <is>
          <t>Assumption</t>
        </is>
      </c>
      <c r="D5" s="16" t="inlineStr">
        <is>
          <t>Value</t>
        </is>
      </c>
      <c r="E5" s="16" t="inlineStr">
        <is>
          <t>Conf.</t>
        </is>
      </c>
      <c r="F5" s="16" t="inlineStr">
        <is>
          <t>Source</t>
        </is>
      </c>
      <c r="G5" s="16" t="inlineStr">
        <is>
          <t>Owner</t>
        </is>
      </c>
      <c r="H5" s="16" t="inlineStr">
        <is>
          <t>Sensitivity</t>
        </is>
      </c>
    </row>
    <row r="6">
      <c r="B6" t="inlineStr">
        <is>
          <t>A1</t>
        </is>
      </c>
      <c r="C6" t="inlineStr">
        <is>
          <t>Total members remain at ~1.5M for baseline year</t>
        </is>
      </c>
      <c r="D6" s="5" t="inlineStr">
        <is>
          <t>1,500,000</t>
        </is>
      </c>
      <c r="E6" t="inlineStr">
        <is>
          <t>HIGH</t>
        </is>
      </c>
      <c r="F6" s="35" t="inlineStr">
        <is>
          <t>BECU 2024 Annual Report</t>
        </is>
      </c>
      <c r="G6" t="inlineStr"/>
      <c r="H6" s="35" t="inlineStr"/>
    </row>
    <row r="7">
      <c r="B7" t="inlineStr">
        <is>
          <t>A2</t>
        </is>
      </c>
      <c r="C7" t="inlineStr">
        <is>
          <t>Average revenue per member = $874</t>
        </is>
      </c>
      <c r="D7" s="5" t="inlineStr">
        <is>
          <t>$874</t>
        </is>
      </c>
      <c r="E7" t="inlineStr">
        <is>
          <t>HIGH</t>
        </is>
      </c>
      <c r="F7" s="35" t="inlineStr">
        <is>
          <t>Derived: ($1,094.5M NII + $216.3M non-interest) / 1.5M members</t>
        </is>
      </c>
      <c r="G7" t="inlineStr"/>
      <c r="H7" s="35" t="inlineStr"/>
    </row>
    <row r="8">
      <c r="B8" t="inlineStr">
        <is>
          <t>A3</t>
        </is>
      </c>
      <c r="C8" t="inlineStr">
        <is>
          <t>Member churn rate = 4.5%</t>
        </is>
      </c>
      <c r="D8" s="7" t="inlineStr">
        <is>
          <t>4.5%</t>
        </is>
      </c>
      <c r="E8" t="inlineStr">
        <is>
          <t>MEDIUM</t>
        </is>
      </c>
      <c r="F8" s="35" t="inlineStr">
        <is>
          <t>CLIENT DATA</t>
        </is>
      </c>
      <c r="G8" t="inlineStr"/>
      <c r="H8" s="35" t="inlineStr"/>
    </row>
    <row r="9">
      <c r="B9" t="inlineStr">
        <is>
          <t>A4</t>
        </is>
      </c>
      <c r="C9" t="inlineStr">
        <is>
          <t>Digital onboarding abandonment rate = 26.1%</t>
        </is>
      </c>
      <c r="D9" s="5" t="inlineStr">
        <is>
          <t>26.1%</t>
        </is>
      </c>
      <c r="E9" t="inlineStr">
        <is>
          <t>HIGH</t>
        </is>
      </c>
      <c r="F9" s="35" t="inlineStr">
        <is>
          <t>CLIENT DATA (Jeff — 2025)</t>
        </is>
      </c>
      <c r="G9" t="inlineStr"/>
      <c r="H9" s="35" t="inlineStr"/>
    </row>
    <row r="10">
      <c r="B10" t="inlineStr">
        <is>
          <t>A5</t>
        </is>
      </c>
      <c r="C10" t="inlineStr">
        <is>
          <t>Loan application abandonment rate = 30.2%</t>
        </is>
      </c>
      <c r="D10" s="5" t="inlineStr">
        <is>
          <t>30.2%</t>
        </is>
      </c>
      <c r="E10" t="inlineStr">
        <is>
          <t>HIGH</t>
        </is>
      </c>
      <c r="F10" s="35" t="inlineStr">
        <is>
          <t>CLIENT DATA (Jeff — 2025)</t>
        </is>
      </c>
      <c r="G10" t="inlineStr"/>
      <c r="H10" s="35" t="inlineStr"/>
    </row>
    <row r="11">
      <c r="B11" t="inlineStr">
        <is>
          <t>A6</t>
        </is>
      </c>
      <c r="C11" t="inlineStr">
        <is>
          <t>Contact center AHT = 434 seconds</t>
        </is>
      </c>
      <c r="D11" s="5" t="inlineStr">
        <is>
          <t>434 sec</t>
        </is>
      </c>
      <c r="E11" t="inlineStr">
        <is>
          <t>HIGH</t>
        </is>
      </c>
      <c r="F11" s="35" t="inlineStr">
        <is>
          <t>CLIENT DATA — Member Services 2025</t>
        </is>
      </c>
      <c r="G11" t="inlineStr"/>
      <c r="H11" s="35" t="inlineStr"/>
    </row>
    <row r="12">
      <c r="B12" t="inlineStr">
        <is>
          <t>A7</t>
        </is>
      </c>
      <c r="C12" t="inlineStr">
        <is>
          <t>Loaded hourly rate = $46.15/hr</t>
        </is>
      </c>
      <c r="D12" s="5" t="inlineStr">
        <is>
          <t>$46.15</t>
        </is>
      </c>
      <c r="E12" t="inlineStr">
        <is>
          <t>HIGH</t>
        </is>
      </c>
      <c r="F12" s="35" t="inlineStr">
        <is>
          <t>CLIENT DATA</t>
        </is>
      </c>
      <c r="G12" t="inlineStr"/>
      <c r="H12" s="35" t="inlineStr"/>
    </row>
    <row r="13">
      <c r="B13" t="inlineStr">
        <is>
          <t>A8</t>
        </is>
      </c>
      <c r="C13" t="inlineStr">
        <is>
          <t>Investment estimate = $20M</t>
        </is>
      </c>
      <c r="D13" s="6" t="inlineStr">
        <is>
          <t>$20M</t>
        </is>
      </c>
      <c r="E13" t="inlineStr">
        <is>
          <t>LOW</t>
        </is>
      </c>
      <c r="F13" s="35" t="inlineStr">
        <is>
          <t>ESTIMATE — no Backbase pricing</t>
        </is>
      </c>
      <c r="G13" t="inlineStr"/>
      <c r="H13" s="35" t="inlineStr"/>
    </row>
    <row r="14">
      <c r="B14" t="inlineStr">
        <is>
          <t>A9</t>
        </is>
      </c>
      <c r="C14" t="inlineStr">
        <is>
          <t>Average loan revenue = $500/loan/year</t>
        </is>
      </c>
      <c r="D14" s="6" t="inlineStr">
        <is>
          <t>$500</t>
        </is>
      </c>
      <c r="E14" t="inlineStr">
        <is>
          <t>LOW</t>
        </is>
      </c>
      <c r="F14" s="35" t="inlineStr">
        <is>
          <t>ESTIMATE</t>
        </is>
      </c>
      <c r="G14" t="inlineStr"/>
      <c r="H14" s="35" t="inlineStr"/>
    </row>
    <row r="15">
      <c r="B15" t="inlineStr">
        <is>
          <t>A10</t>
        </is>
      </c>
      <c r="C15" t="inlineStr">
        <is>
          <t>IT platform cost = $1M/platform/year</t>
        </is>
      </c>
      <c r="D15" s="6" t="inlineStr">
        <is>
          <t>$1M</t>
        </is>
      </c>
      <c r="E15" t="inlineStr">
        <is>
          <t>LOW</t>
        </is>
      </c>
      <c r="F15" s="35" t="inlineStr">
        <is>
          <t>ESTIMATE</t>
        </is>
      </c>
      <c r="G15" t="inlineStr"/>
      <c r="H15" s="35" t="inlineStr"/>
    </row>
    <row r="16">
      <c r="B16" t="inlineStr">
        <is>
          <t>A11</t>
        </is>
      </c>
      <c r="C16" t="inlineStr">
        <is>
          <t>Discount rate = 10%</t>
        </is>
      </c>
      <c r="D16" s="5" t="inlineStr">
        <is>
          <t>10%</t>
        </is>
      </c>
      <c r="E16" t="inlineStr">
        <is>
          <t>HIGH</t>
        </is>
      </c>
      <c r="F16" s="35" t="inlineStr">
        <is>
          <t>Standard WACC for credit unions</t>
        </is>
      </c>
      <c r="G16" t="inlineStr"/>
      <c r="H16" s="35" t="inlineStr"/>
    </row>
    <row r="17">
      <c r="B17" t="inlineStr">
        <is>
          <t>A12</t>
        </is>
      </c>
      <c r="C17" t="inlineStr">
        <is>
          <t>4% YoY member growth rate</t>
        </is>
      </c>
      <c r="D17" s="5" t="inlineStr">
        <is>
          <t>4%</t>
        </is>
      </c>
      <c r="E17" t="inlineStr">
        <is>
          <t>HIGH</t>
        </is>
      </c>
      <c r="F17" s="35" t="inlineStr">
        <is>
          <t>BECU 2024 Annual Report</t>
        </is>
      </c>
      <c r="G17" t="inlineStr"/>
      <c r="H17" s="3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F1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40" customWidth="1" min="3" max="3"/>
    <col width="12" customWidth="1" min="4" max="4"/>
    <col width="35" customWidth="1" min="5" max="5"/>
    <col width="45" customWidth="1" min="6" max="6"/>
  </cols>
  <sheetData>
    <row r="1">
      <c r="B1" s="9" t="inlineStr">
        <is>
          <t>Data Gaps — Required for Validation</t>
        </is>
      </c>
    </row>
    <row r="3">
      <c r="B3" s="50" t="inlineStr">
        <is>
          <t>These data points are CRITICAL for validating the ROI model.</t>
        </is>
      </c>
    </row>
    <row r="5">
      <c r="B5" s="16" t="inlineStr">
        <is>
          <t>ID</t>
        </is>
      </c>
      <c r="C5" s="16" t="inlineStr">
        <is>
          <t>Data Needed</t>
        </is>
      </c>
      <c r="D5" s="16" t="inlineStr">
        <is>
          <t>Priority</t>
        </is>
      </c>
      <c r="E5" s="16" t="inlineStr">
        <is>
          <t>Source</t>
        </is>
      </c>
      <c r="F5" s="16" t="inlineStr">
        <is>
          <t>Impact on Model</t>
        </is>
      </c>
    </row>
    <row r="6">
      <c r="B6" t="inlineStr">
        <is>
          <t>DG-001</t>
        </is>
      </c>
      <c r="C6" t="inlineStr"/>
      <c r="D6" s="51" t="inlineStr">
        <is>
          <t>CRITICAL</t>
        </is>
      </c>
      <c r="E6" t="inlineStr"/>
      <c r="F6" s="35" t="inlineStr">
        <is>
          <t>Determines break-even and ROI</t>
        </is>
      </c>
    </row>
    <row r="7">
      <c r="B7" t="inlineStr">
        <is>
          <t>DG-002</t>
        </is>
      </c>
      <c r="C7" t="inlineStr"/>
      <c r="D7" s="6" t="inlineStr">
        <is>
          <t>HIGH</t>
        </is>
      </c>
      <c r="E7" t="inlineStr"/>
      <c r="F7" s="35" t="inlineStr">
        <is>
          <t>L8 IT Consolidation lever accuracy</t>
        </is>
      </c>
    </row>
    <row r="8">
      <c r="B8" t="inlineStr">
        <is>
          <t>DG-003</t>
        </is>
      </c>
      <c r="C8" t="inlineStr"/>
      <c r="D8" t="inlineStr">
        <is>
          <t>MEDIUM</t>
        </is>
      </c>
      <c r="E8" t="inlineStr"/>
      <c r="F8" s="35" t="inlineStr">
        <is>
          <t>Potential additional cost avoidance lever</t>
        </is>
      </c>
    </row>
    <row r="9">
      <c r="B9" t="inlineStr">
        <is>
          <t>DG-004</t>
        </is>
      </c>
      <c r="C9" t="inlineStr"/>
      <c r="D9" t="inlineStr">
        <is>
          <t>MEDIUM</t>
        </is>
      </c>
      <c r="E9" t="inlineStr"/>
      <c r="F9" s="35" t="inlineStr">
        <is>
          <t>L4 cross-sell baseline accuracy</t>
        </is>
      </c>
    </row>
    <row r="10">
      <c r="B10" t="inlineStr">
        <is>
          <t>DG-005</t>
        </is>
      </c>
      <c r="C10" t="inlineStr"/>
      <c r="D10" s="6" t="inlineStr">
        <is>
          <t>HIGH</t>
        </is>
      </c>
      <c r="E10" t="inlineStr"/>
      <c r="F10" s="35" t="inlineStr">
        <is>
          <t>L2 loan origination lever accuracy</t>
        </is>
      </c>
    </row>
    <row r="11">
      <c r="B11" t="inlineStr">
        <is>
          <t>DG-006</t>
        </is>
      </c>
      <c r="C11" t="inlineStr"/>
      <c r="D11" t="inlineStr">
        <is>
          <t>MEDIUM</t>
        </is>
      </c>
      <c r="E11" t="inlineStr"/>
      <c r="F11" s="35" t="inlineStr">
        <is>
          <t>Could add activation lever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2026-02-26T08:06:44Z</dcterms:created>
  <dcterms:modified xsi:type="dcterms:W3CDTF">2026-02-26T08:06:44Z</dcterms:modified>
</cp:coreProperties>
</file>