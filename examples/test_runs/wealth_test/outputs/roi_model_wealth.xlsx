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ble of Contents" sheetId="3" state="visible" r:id="rId3"/>
    <sheet xmlns:r="http://schemas.openxmlformats.org/officeDocument/2006/relationships" name="Results Dashboard" sheetId="4" state="visible" r:id="rId4"/>
    <sheet xmlns:r="http://schemas.openxmlformats.org/officeDocument/2006/relationships" name="Cashflows" sheetId="5" state="visible" r:id="rId5"/>
    <sheet xmlns:r="http://schemas.openxmlformats.org/officeDocument/2006/relationships" name="Journey Analysis" sheetId="6" state="visible" r:id="rId6"/>
    <sheet xmlns:r="http://schemas.openxmlformats.org/officeDocument/2006/relationships" name="Servicing Analysis" sheetId="7" state="visible" r:id="rId7"/>
    <sheet xmlns:r="http://schemas.openxmlformats.org/officeDocument/2006/relationships" name="Journey Inputs" sheetId="8" state="visible" r:id="rId8"/>
    <sheet xmlns:r="http://schemas.openxmlformats.org/officeDocument/2006/relationships" name="Scenario Backup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Data Ga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"/>
  </numFmts>
  <fonts count="2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FF"/>
      <sz val="16"/>
    </font>
    <font/>
    <font>
      <b val="1"/>
      <color rgb="001A56FF"/>
      <sz val="24"/>
    </font>
    <font>
      <i val="1"/>
      <sz val="14"/>
    </font>
    <font>
      <b val="1"/>
    </font>
    <font>
      <b val="1"/>
      <sz val="12"/>
    </font>
    <font>
      <b val="1"/>
      <color rgb="001A56FF"/>
      <sz val="18"/>
    </font>
    <font>
      <b val="1"/>
      <color rgb="001A56FF"/>
    </font>
    <font>
      <b val="1"/>
      <color rgb="001A56FF"/>
      <sz val="12"/>
    </font>
    <font>
      <b val="1"/>
      <color rgb="00FFFFFF"/>
      <sz val="9"/>
    </font>
    <font>
      <i val="1"/>
      <color rgb="00666666"/>
      <sz val="10"/>
    </font>
    <font>
      <i val="1"/>
      <sz val="10"/>
    </font>
    <font>
      <b val="1"/>
      <color rgb="001A56FF"/>
      <sz val="14"/>
    </font>
    <font>
      <b val="1"/>
      <color rgb="00FFFFFF"/>
    </font>
    <font>
      <sz val="9"/>
    </font>
    <font>
      <i val="1"/>
    </font>
    <font>
      <i val="1"/>
      <color rgb="00666666"/>
      <sz val="9"/>
    </font>
    <font>
      <b val="1"/>
      <color rgb="0000B386"/>
    </font>
    <font>
      <b val="1"/>
      <color rgb="0000B386"/>
      <sz val="14"/>
    </font>
    <font>
      <color rgb="0000B386"/>
    </font>
    <font>
      <color rgb="00666666"/>
      <sz val="8"/>
    </font>
    <font>
      <b val="1"/>
      <sz val="14"/>
    </font>
    <font>
      <b val="1"/>
      <color rgb="00FF4444"/>
    </font>
    <font>
      <i val="1"/>
      <color rgb="00FF4444"/>
    </font>
  </fonts>
  <fills count="8">
    <fill>
      <patternFill/>
    </fill>
    <fill>
      <patternFill patternType="gray125"/>
    </fill>
    <fill>
      <patternFill patternType="solid">
        <fgColor rgb="002D3250"/>
      </patternFill>
    </fill>
    <fill>
      <patternFill patternType="solid">
        <fgColor rgb="00E8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0" borderId="1"/>
    <xf numFmtId="0" fontId="3" fillId="3" borderId="1"/>
  </cellStyleXfs>
  <cellXfs count="5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165" fontId="14" fillId="0" borderId="0" pivotButton="0" quotePrefix="0" xfId="0"/>
    <xf numFmtId="164" fontId="14" fillId="0" borderId="0" pivotButton="0" quotePrefix="0" xfId="0"/>
    <xf numFmtId="166" fontId="14" fillId="0" borderId="0" pivotButton="0" quotePrefix="0" xfId="0"/>
    <xf numFmtId="0" fontId="15" fillId="2" borderId="0" pivotButton="0" quotePrefix="0" xfId="0"/>
    <xf numFmtId="165" fontId="0" fillId="0" borderId="0" pivotButton="0" quotePrefix="0" xfId="0"/>
    <xf numFmtId="165" fontId="20" fillId="0" borderId="0" pivotButton="0" quotePrefix="0" xfId="0"/>
    <xf numFmtId="0" fontId="7" fillId="3" borderId="0" pivotButton="0" quotePrefix="0" xfId="0"/>
    <xf numFmtId="164" fontId="0" fillId="3" borderId="0" pivotButton="0" quotePrefix="0" xfId="0"/>
    <xf numFmtId="9" fontId="0" fillId="0" borderId="0" pivotButton="0" quotePrefix="0" xfId="0"/>
    <xf numFmtId="0" fontId="19" fillId="0" borderId="0" pivotButton="0" quotePrefix="0" xfId="0"/>
    <xf numFmtId="165" fontId="6" fillId="0" borderId="0" pivotButton="0" quotePrefix="0" xfId="0"/>
    <xf numFmtId="0" fontId="24" fillId="0" borderId="0" pivotButton="0" quotePrefix="0" xfId="0"/>
    <xf numFmtId="165" fontId="0" fillId="3" borderId="0" pivotButton="0" quotePrefix="0" xfId="0"/>
    <xf numFmtId="0" fontId="23" fillId="0" borderId="0" pivotButton="0" quotePrefix="0" xfId="0"/>
    <xf numFmtId="165" fontId="23" fillId="0" borderId="0" pivotButton="0" quotePrefix="0" xfId="0"/>
    <xf numFmtId="165" fontId="19" fillId="0" borderId="0" pivotButton="0" quotePrefix="0" xfId="0"/>
    <xf numFmtId="164" fontId="20" fillId="0" borderId="0" pivotButton="0" quotePrefix="0" xfId="0"/>
    <xf numFmtId="164" fontId="23" fillId="0" borderId="0" pivotButton="0" quotePrefix="0" xfId="0"/>
    <xf numFmtId="166" fontId="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0" fillId="0" borderId="0" pivotButton="0" quotePrefix="0" xfId="0"/>
    <xf numFmtId="3" fontId="0" fillId="3" borderId="0" pivotButton="0" quotePrefix="0" xfId="0"/>
    <xf numFmtId="9" fontId="0" fillId="6" borderId="0" pivotButton="0" quotePrefix="0" xfId="0"/>
    <xf numFmtId="165" fontId="21" fillId="0" borderId="0" pivotButton="0" quotePrefix="0" xfId="0"/>
    <xf numFmtId="0" fontId="22" fillId="0" borderId="0" pivotButton="0" quotePrefix="0" xfId="0"/>
    <xf numFmtId="3" fontId="6" fillId="0" borderId="0" pivotButton="0" quotePrefix="0" xfId="0"/>
    <xf numFmtId="0" fontId="13" fillId="0" borderId="0" pivotButton="0" quotePrefix="0" xfId="0"/>
    <xf numFmtId="3" fontId="0" fillId="5" borderId="0" pivotButton="0" quotePrefix="0" xfId="0"/>
    <xf numFmtId="0" fontId="16" fillId="0" borderId="0" pivotButton="0" quotePrefix="0" xfId="0"/>
    <xf numFmtId="0" fontId="11" fillId="2" borderId="0" pivotButton="0" quotePrefix="0" xfId="0"/>
    <xf numFmtId="9" fontId="0" fillId="3" borderId="0" pivotButton="0" quotePrefix="0" xfId="0"/>
    <xf numFmtId="0" fontId="25" fillId="0" borderId="0" pivotButton="0" quotePrefix="0" xfId="0"/>
    <xf numFmtId="0" fontId="6" fillId="7" borderId="0" pivotButton="0" quotePrefix="0" xfId="0"/>
  </cellXfs>
  <cellStyles count="4">
    <cellStyle name="Normal" xfId="0" builtinId="0" hidden="0"/>
    <cellStyle name="header_style" xfId="1" hidden="0"/>
    <cellStyle name="title_style" xfId="2" hidden="0"/>
    <cellStyle name="inpu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5">
      <c r="B5" s="1" t="inlineStr">
        <is>
          <t>Return on Investment Calculator</t>
        </is>
      </c>
    </row>
    <row r="7">
      <c r="B7" s="2" t="inlineStr">
        <is>
          <t>Value Consulting - Business Case</t>
        </is>
      </c>
    </row>
    <row r="10">
      <c r="B10" s="3" t="inlineStr">
        <is>
          <t>Client Name:</t>
        </is>
      </c>
      <c r="C10" t="inlineStr">
        <is>
          <t>EMEA Wealth Management Firm</t>
        </is>
      </c>
    </row>
    <row r="12">
      <c r="B12" s="3" t="inlineStr">
        <is>
          <t>Date:</t>
        </is>
      </c>
      <c r="C12" t="inlineStr">
        <is>
          <t>2026-02-06</t>
        </is>
      </c>
    </row>
    <row r="14">
      <c r="B14" s="3" t="inlineStr">
        <is>
          <t>Currency:</t>
        </is>
      </c>
      <c r="C14" t="inlineStr">
        <is>
          <t>USD</t>
        </is>
      </c>
    </row>
    <row r="16">
      <c r="B16" s="3" t="inlineStr">
        <is>
          <t>Analysis Period:</t>
        </is>
      </c>
      <c r="C16" t="inlineStr">
        <is>
          <t>5 Years</t>
        </is>
      </c>
    </row>
    <row r="18">
      <c r="B18" s="3" t="inlineStr">
        <is>
          <t>Selected Scenario:</t>
        </is>
      </c>
      <c r="C18" s="4" t="inlineStr">
        <is>
          <t>Moderate</t>
        </is>
      </c>
    </row>
    <row r="20">
      <c r="B20" s="3" t="inlineStr">
        <is>
          <t>Discount Rate:</t>
        </is>
      </c>
      <c r="C20" s="5" t="n">
        <v>0.08</v>
      </c>
    </row>
    <row r="24">
      <c r="B24" s="6" t="inlineStr">
        <is>
          <t>DATA SOURCE LEGEND</t>
        </is>
      </c>
    </row>
    <row r="26">
      <c r="B26" s="7" t="inlineStr">
        <is>
          <t>Green</t>
        </is>
      </c>
      <c r="C26" t="inlineStr">
        <is>
          <t>From transcript/client data</t>
        </is>
      </c>
    </row>
    <row r="27">
      <c r="B27" s="8" t="inlineStr">
        <is>
          <t>Yellow</t>
        </is>
      </c>
      <c r="C27" t="inlineStr">
        <is>
          <t>Estimate - requires validation</t>
        </is>
      </c>
    </row>
    <row r="28">
      <c r="B28" s="9" t="inlineStr">
        <is>
          <t>Blue</t>
        </is>
      </c>
      <c r="C28" t="inlineStr">
        <is>
          <t>Backbase benchmark</t>
        </is>
      </c>
    </row>
    <row r="29">
      <c r="B29" s="10" t="inlineStr">
        <is>
          <t>Red border</t>
        </is>
      </c>
      <c r="C29" t="inlineStr">
        <is>
          <t>Low confidence - critical validation</t>
        </is>
      </c>
    </row>
  </sheetData>
  <mergeCells count="2"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40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1" t="inlineStr">
        <is>
          <t>ROI Model Instructions</t>
        </is>
      </c>
    </row>
    <row r="4">
      <c r="B4" t="inlineStr"/>
    </row>
    <row r="5">
      <c r="B5" s="12" t="inlineStr">
        <is>
          <t>OVERVIEW</t>
        </is>
      </c>
    </row>
    <row r="6">
      <c r="B6" t="inlineStr">
        <is>
          <t>This ROI model calculates value by JOURNEY with LIVE FORMULAS.</t>
        </is>
      </c>
    </row>
    <row r="7">
      <c r="B7" t="inlineStr">
        <is>
          <t>All downstream calculations update automatically when inputs change.</t>
        </is>
      </c>
    </row>
    <row r="8">
      <c r="B8" t="inlineStr"/>
    </row>
    <row r="9">
      <c r="B9" s="12" t="inlineStr">
        <is>
          <t>HOW FORMULAS WORK</t>
        </is>
      </c>
    </row>
    <row r="10">
      <c r="B10" t="inlineStr">
        <is>
          <t>• Blue cells = Editable inputs (change these to update the model)</t>
        </is>
      </c>
    </row>
    <row r="11">
      <c r="B11" t="inlineStr">
        <is>
          <t>• White cells with formulas = Calculated automatically</t>
        </is>
      </c>
    </row>
    <row r="12">
      <c r="B12" t="inlineStr">
        <is>
          <t>• Change the Scenario on the Cashflows sheet to switch between Conservative/Moderate/Aggressive</t>
        </is>
      </c>
    </row>
    <row r="13">
      <c r="B13" t="inlineStr"/>
    </row>
    <row r="14">
      <c r="B14" s="12" t="inlineStr">
        <is>
          <t>JOURNEY-BASED ANALYSIS</t>
        </is>
      </c>
    </row>
    <row r="15">
      <c r="B15" t="inlineStr">
        <is>
          <t>• Customer Onboarding - Revenue uplift + Cost reduction from digital onboarding</t>
        </is>
      </c>
    </row>
    <row r="16">
      <c r="B16" t="inlineStr">
        <is>
          <t>• Loan Origination - Revenue uplift + Cost reduction from digital lending</t>
        </is>
      </c>
    </row>
    <row r="17">
      <c r="B17" t="inlineStr">
        <is>
          <t>• Customer Servicing - Cost avoidance from channel shift (Branch, Call Center, Back Office)</t>
        </is>
      </c>
    </row>
    <row r="18">
      <c r="B18" t="inlineStr"/>
    </row>
    <row r="19">
      <c r="B19" s="12" t="inlineStr">
        <is>
          <t>DATA CONFIDENCE LEVELS</t>
        </is>
      </c>
    </row>
    <row r="20">
      <c r="B20" t="inlineStr">
        <is>
          <t>• HIGH - Direct quote from transcript or validated client data</t>
        </is>
      </c>
    </row>
    <row r="21">
      <c r="B21" t="inlineStr">
        <is>
          <t>• MEDIUM - Inferred from transcript context or industry benchmark</t>
        </is>
      </c>
    </row>
    <row r="22">
      <c r="B22" t="inlineStr">
        <is>
          <t>• LOW - Estimate based on typical patterns - REQUIRES VALIDATION</t>
        </is>
      </c>
    </row>
    <row r="23">
      <c r="B23" t="inlineStr"/>
    </row>
    <row r="24">
      <c r="B24" s="12" t="inlineStr">
        <is>
          <t>SHEETS OVERVIEW</t>
        </is>
      </c>
    </row>
    <row r="25">
      <c r="B25" t="inlineStr">
        <is>
          <t>0. Bank Profile - Bank financial data from annual report (direct + derived metrics)</t>
        </is>
      </c>
    </row>
    <row r="26">
      <c r="B26" t="inlineStr">
        <is>
          <t>1. Results Dashboard - Summary metrics (auto-calculated from Cashflows)</t>
        </is>
      </c>
    </row>
    <row r="27">
      <c r="B27" t="inlineStr">
        <is>
          <t>2. Scenario Backup - Three scenario definitions (edit curves here)</t>
        </is>
      </c>
    </row>
    <row r="28">
      <c r="B28" t="inlineStr">
        <is>
          <t>3. Journey Inputs - All inputs with sources and confidence levels</t>
        </is>
      </c>
    </row>
    <row r="29">
      <c r="B29" t="inlineStr">
        <is>
          <t>4. Journey Analysis - Benefit calculations per journey</t>
        </is>
      </c>
    </row>
    <row r="30">
      <c r="B30" t="inlineStr">
        <is>
          <t>5. Servicing Analysis - Channel-by-channel cost avoidance with formulas</t>
        </is>
      </c>
    </row>
    <row r="31">
      <c r="B31" t="inlineStr">
        <is>
          <t>6. Cashflows - 5-year projection with scenario switching</t>
        </is>
      </c>
    </row>
    <row r="32">
      <c r="B32" t="inlineStr">
        <is>
          <t>7. Assumptions - Complete register with sources and owners</t>
        </is>
      </c>
    </row>
    <row r="33">
      <c r="B33" t="inlineStr">
        <is>
          <t>8. Data Gaps - Required data for validation</t>
        </is>
      </c>
    </row>
    <row r="34">
      <c r="B34" t="inlineStr"/>
    </row>
    <row r="35">
      <c r="B35" s="12" t="inlineStr">
        <is>
          <t>HOW TO USE</t>
        </is>
      </c>
    </row>
    <row r="36">
      <c r="B36" t="inlineStr">
        <is>
          <t>1. Review 'Data Gaps' sheet - these are CRITICAL inputs needed from client</t>
        </is>
      </c>
    </row>
    <row r="37">
      <c r="B37" t="inlineStr">
        <is>
          <t>2. Update input cells (blue) on Servicing Analysis and Journey Analysis</t>
        </is>
      </c>
    </row>
    <row r="38">
      <c r="B38" t="inlineStr">
        <is>
          <t>3. Change Scenario on Cashflows sheet to see Conservative/Moderate/Aggressive</t>
        </is>
      </c>
    </row>
    <row r="39">
      <c r="B39" t="inlineStr">
        <is>
          <t>4. All results update automatically via formulas</t>
        </is>
      </c>
    </row>
    <row r="40">
      <c r="B40" t="inlineStr">
        <is>
          <t>5. Review Assumptions sheet with client stakeholders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18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3">
      <c r="B3" s="11" t="inlineStr">
        <is>
          <t>Table of Contents</t>
        </is>
      </c>
    </row>
    <row r="5">
      <c r="B5" s="3" t="inlineStr">
        <is>
          <t>Section 1</t>
        </is>
      </c>
      <c r="C5" t="inlineStr">
        <is>
          <t>Results Dashboard</t>
        </is>
      </c>
    </row>
    <row r="6">
      <c r="B6" s="13" t="inlineStr"/>
      <c r="C6" t="inlineStr">
        <is>
          <t xml:space="preserve">  Return on Investment, NPV, IRR</t>
        </is>
      </c>
    </row>
    <row r="7">
      <c r="B7" s="3" t="inlineStr">
        <is>
          <t>Section 2</t>
        </is>
      </c>
      <c r="C7" t="inlineStr">
        <is>
          <t>Scenario Backup</t>
        </is>
      </c>
    </row>
    <row r="8">
      <c r="B8" s="13" t="inlineStr"/>
      <c r="C8" t="inlineStr">
        <is>
          <t xml:space="preserve">  Conservative / Moderate / Aggressive curves</t>
        </is>
      </c>
    </row>
    <row r="9">
      <c r="B9" s="3" t="inlineStr">
        <is>
          <t>Section 3</t>
        </is>
      </c>
      <c r="C9" t="inlineStr">
        <is>
          <t>Journey Inputs</t>
        </is>
      </c>
    </row>
    <row r="10">
      <c r="B10" s="13" t="inlineStr"/>
      <c r="C10" t="inlineStr">
        <is>
          <t xml:space="preserve">  All inputs with sources and confidence</t>
        </is>
      </c>
    </row>
    <row r="11">
      <c r="B11" s="3" t="inlineStr">
        <is>
          <t>Section 4</t>
        </is>
      </c>
      <c r="C11" t="inlineStr">
        <is>
          <t>Journey Analysis</t>
        </is>
      </c>
    </row>
    <row r="12">
      <c r="B12" s="13" t="inlineStr"/>
      <c r="C12" t="inlineStr">
        <is>
          <t xml:space="preserve">  Revenue + Cost benefit calculations (formulas)</t>
        </is>
      </c>
    </row>
    <row r="13">
      <c r="B13" s="3" t="inlineStr">
        <is>
          <t>Section 5</t>
        </is>
      </c>
      <c r="C13" t="inlineStr">
        <is>
          <t>Servicing Analysis</t>
        </is>
      </c>
    </row>
    <row r="14">
      <c r="B14" s="13" t="inlineStr"/>
      <c r="C14" t="inlineStr">
        <is>
          <t xml:space="preserve">  Branch / Call Center / Back Office (formulas)</t>
        </is>
      </c>
    </row>
    <row r="15">
      <c r="B15" s="3" t="inlineStr">
        <is>
          <t>Section 6</t>
        </is>
      </c>
      <c r="C15" t="inlineStr">
        <is>
          <t>Cash Flows</t>
        </is>
      </c>
    </row>
    <row r="16">
      <c r="B16" s="13" t="inlineStr"/>
      <c r="C16" t="inlineStr">
        <is>
          <t xml:space="preserve">  5-year projections with scenario switching</t>
        </is>
      </c>
    </row>
    <row r="17">
      <c r="B17" s="3" t="inlineStr">
        <is>
          <t>Section 7</t>
        </is>
      </c>
      <c r="C17" t="inlineStr">
        <is>
          <t>Assumptions &amp; Data Gaps</t>
        </is>
      </c>
    </row>
    <row r="18">
      <c r="B18" s="13" t="inlineStr"/>
      <c r="C18" t="inlineStr">
        <is>
          <t xml:space="preserve">  Assumptions Register + Validation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2">
      <c r="B2" s="11" t="inlineStr">
        <is>
          <t>Results Dashboard</t>
        </is>
      </c>
    </row>
    <row r="4">
      <c r="B4" s="14" t="inlineStr">
        <is>
          <t>Financial Metrics - 5 Year Projections</t>
        </is>
      </c>
    </row>
    <row r="5">
      <c r="B5" s="15" t="inlineStr">
        <is>
          <t>All values below are live formulas referencing the Cashflows sheet.</t>
        </is>
      </c>
    </row>
    <row r="7">
      <c r="B7" s="6" t="inlineStr">
        <is>
          <t>Total 5-Year Benefits</t>
        </is>
      </c>
      <c r="C7" s="16">
        <f>Cashflows!C31</f>
        <v/>
      </c>
    </row>
    <row r="9">
      <c r="B9" s="6" t="inlineStr">
        <is>
          <t>Total 5-Year Investment</t>
        </is>
      </c>
      <c r="C9" s="16">
        <f>Cashflows!C30</f>
        <v/>
      </c>
    </row>
    <row r="11">
      <c r="B11" s="6" t="inlineStr">
        <is>
          <t>Net Benefit</t>
        </is>
      </c>
      <c r="C11" s="16">
        <f>Cashflows!C32</f>
        <v/>
      </c>
    </row>
    <row r="13">
      <c r="B13" s="6" t="inlineStr">
        <is>
          <t>ROI</t>
        </is>
      </c>
      <c r="C13" s="17">
        <f>Cashflows!C33</f>
        <v/>
      </c>
    </row>
    <row r="15">
      <c r="B15" s="6" t="inlineStr">
        <is>
          <t>Net Present Value (NPV)</t>
        </is>
      </c>
      <c r="C15" s="16">
        <f>Cashflows!C34</f>
        <v/>
      </c>
    </row>
    <row r="17">
      <c r="B17" s="6" t="inlineStr">
        <is>
          <t>Internal Rate of Return (IRR)</t>
        </is>
      </c>
      <c r="C17" s="17">
        <f>Cashflows!C35</f>
        <v/>
      </c>
    </row>
    <row r="19">
      <c r="B19" s="6" t="inlineStr">
        <is>
          <t>Payback Period (years)</t>
        </is>
      </c>
      <c r="C19" s="18">
        <f>Cashflows!C36</f>
        <v/>
      </c>
    </row>
    <row r="22">
      <c r="B22" s="14" t="inlineStr">
        <is>
          <t>Benefits by Journey (Annual Steady State)</t>
        </is>
      </c>
    </row>
    <row r="24">
      <c r="B24" s="19" t="inlineStr">
        <is>
          <t>Journey</t>
        </is>
      </c>
      <c r="C24" s="19" t="inlineStr">
        <is>
          <t>Annual Benefit</t>
        </is>
      </c>
    </row>
    <row r="25">
      <c r="B25" t="inlineStr">
        <is>
          <t>HNW Client Onboarding</t>
        </is>
      </c>
      <c r="C25" s="20">
        <f>'Journey Analysis'!C19</f>
        <v/>
      </c>
    </row>
    <row r="26">
      <c r="B26" t="inlineStr">
        <is>
          <t>Digital Client Engagement</t>
        </is>
      </c>
      <c r="C26" s="20">
        <f>'Journey Analysis'!C29</f>
        <v/>
      </c>
    </row>
    <row r="27">
      <c r="B27" t="inlineStr">
        <is>
          <t>Customer Servicing</t>
        </is>
      </c>
      <c r="C27" s="20">
        <f>'Servicing Analysis'!H29</f>
        <v/>
      </c>
    </row>
    <row r="28">
      <c r="B28" s="3" t="inlineStr">
        <is>
          <t>TOTAL</t>
        </is>
      </c>
      <c r="C28" s="21">
        <f>SUM(C25:C27)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1" t="inlineStr">
        <is>
          <t>5 Year Cashflows &amp; ROI</t>
        </is>
      </c>
    </row>
    <row r="3">
      <c r="B3" s="3" t="inlineStr">
        <is>
          <t>Scenario:</t>
        </is>
      </c>
      <c r="C3" s="22" t="inlineStr">
        <is>
          <t>Moderate</t>
        </is>
      </c>
    </row>
    <row r="4">
      <c r="B4" s="3" t="inlineStr">
        <is>
          <t>Discount Rate (WACC):</t>
        </is>
      </c>
      <c r="C4" s="23" t="n">
        <v>0.08</v>
      </c>
    </row>
    <row r="6">
      <c r="B6" s="12" t="inlineStr">
        <is>
          <t>LOADING CURVES (Scenario-Driven)</t>
        </is>
      </c>
    </row>
    <row r="7">
      <c r="C7" s="19" t="inlineStr">
        <is>
          <t>Year 1</t>
        </is>
      </c>
      <c r="D7" s="19" t="inlineStr">
        <is>
          <t>Year 2</t>
        </is>
      </c>
      <c r="E7" s="19" t="inlineStr">
        <is>
          <t>Year 3</t>
        </is>
      </c>
      <c r="F7" s="19" t="inlineStr">
        <is>
          <t>Year 4</t>
        </is>
      </c>
      <c r="G7" s="19" t="inlineStr">
        <is>
          <t>Year 5</t>
        </is>
      </c>
    </row>
    <row r="8">
      <c r="B8" s="3" t="inlineStr">
        <is>
          <t>Implementation %</t>
        </is>
      </c>
      <c r="C8" s="24">
        <f>IF($C$3="Conservative",'Scenario Backup'!C5,IF($C$3="Moderate",'Scenario Backup'!C11,'Scenario Backup'!C17))</f>
        <v/>
      </c>
      <c r="D8" s="24">
        <f>IF($C$3="Conservative",'Scenario Backup'!D5,IF($C$3="Moderate",'Scenario Backup'!D11,'Scenario Backup'!D17))</f>
        <v/>
      </c>
      <c r="E8" s="24">
        <f>IF($C$3="Conservative",'Scenario Backup'!E5,IF($C$3="Moderate",'Scenario Backup'!E11,'Scenario Backup'!E17))</f>
        <v/>
      </c>
      <c r="F8" s="24">
        <f>IF($C$3="Conservative",'Scenario Backup'!F5,IF($C$3="Moderate",'Scenario Backup'!F11,'Scenario Backup'!F17))</f>
        <v/>
      </c>
      <c r="G8" s="24">
        <f>IF($C$3="Conservative",'Scenario Backup'!G5,IF($C$3="Moderate",'Scenario Backup'!G11,'Scenario Backup'!G17))</f>
        <v/>
      </c>
    </row>
    <row r="9">
      <c r="B9" s="3" t="inlineStr">
        <is>
          <t>Effectiveness %</t>
        </is>
      </c>
      <c r="C9" s="24">
        <f>IF($C$3="Conservative",'Scenario Backup'!C6,IF($C$3="Moderate",'Scenario Backup'!C12,'Scenario Backup'!C18))</f>
        <v/>
      </c>
      <c r="D9" s="24">
        <f>IF($C$3="Conservative",'Scenario Backup'!D6,IF($C$3="Moderate",'Scenario Backup'!D12,'Scenario Backup'!D18))</f>
        <v/>
      </c>
      <c r="E9" s="24">
        <f>IF($C$3="Conservative",'Scenario Backup'!E6,IF($C$3="Moderate",'Scenario Backup'!E12,'Scenario Backup'!E18))</f>
        <v/>
      </c>
      <c r="F9" s="24">
        <f>IF($C$3="Conservative",'Scenario Backup'!F6,IF($C$3="Moderate",'Scenario Backup'!F12,'Scenario Backup'!F18))</f>
        <v/>
      </c>
      <c r="G9" s="24">
        <f>IF($C$3="Conservative",'Scenario Backup'!G6,IF($C$3="Moderate",'Scenario Backup'!G12,'Scenario Backup'!G18))</f>
        <v/>
      </c>
    </row>
    <row r="10">
      <c r="B10" s="3" t="inlineStr">
        <is>
          <t>YoY Growth %</t>
        </is>
      </c>
      <c r="C10" s="24">
        <f>IF($C$3="Conservative",'Scenario Backup'!C7,IF($C$3="Moderate",'Scenario Backup'!C13,'Scenario Backup'!C19))</f>
        <v/>
      </c>
      <c r="D10" s="24">
        <f>IF($C$3="Conservative",'Scenario Backup'!D7,IF($C$3="Moderate",'Scenario Backup'!D13,'Scenario Backup'!D19))</f>
        <v/>
      </c>
      <c r="E10" s="24">
        <f>IF($C$3="Conservative",'Scenario Backup'!E7,IF($C$3="Moderate",'Scenario Backup'!E13,'Scenario Backup'!E19))</f>
        <v/>
      </c>
      <c r="F10" s="24">
        <f>IF($C$3="Conservative",'Scenario Backup'!F7,IF($C$3="Moderate",'Scenario Backup'!F13,'Scenario Backup'!F19))</f>
        <v/>
      </c>
      <c r="G10" s="24">
        <f>IF($C$3="Conservative",'Scenario Backup'!G7,IF($C$3="Moderate",'Scenario Backup'!G13,'Scenario Backup'!G19))</f>
        <v/>
      </c>
    </row>
    <row r="12">
      <c r="B12" s="25" t="inlineStr">
        <is>
          <t>CASH INFLOWS (Benefits)</t>
        </is>
      </c>
    </row>
    <row r="13">
      <c r="C13" s="19" t="inlineStr">
        <is>
          <t>Year 1</t>
        </is>
      </c>
      <c r="D13" s="19" t="inlineStr">
        <is>
          <t>Year 2</t>
        </is>
      </c>
      <c r="E13" s="19" t="inlineStr">
        <is>
          <t>Year 3</t>
        </is>
      </c>
      <c r="F13" s="19" t="inlineStr">
        <is>
          <t>Year 4</t>
        </is>
      </c>
      <c r="G13" s="19" t="inlineStr">
        <is>
          <t>Year 5</t>
        </is>
      </c>
      <c r="H13" s="19" t="inlineStr">
        <is>
          <t>Total</t>
        </is>
      </c>
    </row>
    <row r="14">
      <c r="B14" t="inlineStr">
        <is>
          <t>HNW Client Onboarding</t>
        </is>
      </c>
      <c r="C14" s="20">
        <f>'Journey Analysis'!$C$19*C$8*C$9*(1+C$10)</f>
        <v/>
      </c>
      <c r="D14" s="20">
        <f>'Journey Analysis'!$C$19*D$8*D$9*(1+D$10)</f>
        <v/>
      </c>
      <c r="E14" s="20">
        <f>'Journey Analysis'!$C$19*E$8*E$9*(1+E$10)</f>
        <v/>
      </c>
      <c r="F14" s="20">
        <f>'Journey Analysis'!$C$19*F$8*F$9*(1+F$10)</f>
        <v/>
      </c>
      <c r="G14" s="20">
        <f>'Journey Analysis'!$C$19*G$8*G$9*(1+G$10)</f>
        <v/>
      </c>
      <c r="H14" s="20">
        <f>SUM(C14:G14)</f>
        <v/>
      </c>
    </row>
    <row r="15">
      <c r="B15" t="inlineStr">
        <is>
          <t>Digital Client Engagement</t>
        </is>
      </c>
      <c r="C15" s="20">
        <f>'Journey Analysis'!$C$29*C$8*C$9*(1+C$10)</f>
        <v/>
      </c>
      <c r="D15" s="20">
        <f>'Journey Analysis'!$C$29*D$8*D$9*(1+D$10)</f>
        <v/>
      </c>
      <c r="E15" s="20">
        <f>'Journey Analysis'!$C$29*E$8*E$9*(1+E$10)</f>
        <v/>
      </c>
      <c r="F15" s="20">
        <f>'Journey Analysis'!$C$29*F$8*F$9*(1+F$10)</f>
        <v/>
      </c>
      <c r="G15" s="20">
        <f>'Journey Analysis'!$C$29*G$8*G$9*(1+G$10)</f>
        <v/>
      </c>
      <c r="H15" s="20">
        <f>SUM(C15:G15)</f>
        <v/>
      </c>
    </row>
    <row r="16">
      <c r="B16" t="inlineStr">
        <is>
          <t>Customer Servicing</t>
        </is>
      </c>
      <c r="C16" s="20">
        <f>'Servicing Analysis'!$H$29*C$8*C$9*(1+C$10)</f>
        <v/>
      </c>
      <c r="D16" s="20">
        <f>'Servicing Analysis'!$H$29*D$8*D$9*(1+D$10)</f>
        <v/>
      </c>
      <c r="E16" s="20">
        <f>'Servicing Analysis'!$H$29*E$8*E$9*(1+E$10)</f>
        <v/>
      </c>
      <c r="F16" s="20">
        <f>'Servicing Analysis'!$H$29*F$8*F$9*(1+F$10)</f>
        <v/>
      </c>
      <c r="G16" s="20">
        <f>'Servicing Analysis'!$H$29*G$8*G$9*(1+G$10)</f>
        <v/>
      </c>
      <c r="H16" s="20">
        <f>SUM(C16:G16)</f>
        <v/>
      </c>
    </row>
    <row r="17">
      <c r="B17" s="3" t="inlineStr">
        <is>
          <t>Total Cash Inflow</t>
        </is>
      </c>
      <c r="C17" s="26">
        <f>SUM(C14:C16)</f>
        <v/>
      </c>
      <c r="D17" s="26">
        <f>SUM(D14:D16)</f>
        <v/>
      </c>
      <c r="E17" s="26">
        <f>SUM(E14:E16)</f>
        <v/>
      </c>
      <c r="F17" s="26">
        <f>SUM(F14:F16)</f>
        <v/>
      </c>
      <c r="G17" s="26">
        <f>SUM(G14:G16)</f>
        <v/>
      </c>
      <c r="H17" s="26">
        <f>SUM(C17:G17)</f>
        <v/>
      </c>
    </row>
    <row r="19">
      <c r="B19" s="27" t="inlineStr">
        <is>
          <t>CASH OUTFLOWS (Investment)</t>
        </is>
      </c>
    </row>
    <row r="20">
      <c r="C20" s="19" t="inlineStr">
        <is>
          <t>Year 1</t>
        </is>
      </c>
      <c r="D20" s="19" t="inlineStr">
        <is>
          <t>Year 2</t>
        </is>
      </c>
      <c r="E20" s="19" t="inlineStr">
        <is>
          <t>Year 3</t>
        </is>
      </c>
      <c r="F20" s="19" t="inlineStr">
        <is>
          <t>Year 4</t>
        </is>
      </c>
      <c r="G20" s="19" t="inlineStr">
        <is>
          <t>Year 5</t>
        </is>
      </c>
      <c r="H20" s="19" t="inlineStr">
        <is>
          <t>Total</t>
        </is>
      </c>
    </row>
    <row r="21">
      <c r="B21" t="inlineStr">
        <is>
          <t>License</t>
        </is>
      </c>
      <c r="C21" s="28" t="n">
        <v>1500000</v>
      </c>
      <c r="D21" s="28" t="n">
        <v>2000000</v>
      </c>
      <c r="E21" s="28" t="n">
        <v>2000000</v>
      </c>
      <c r="F21" s="28" t="n">
        <v>2000000</v>
      </c>
      <c r="G21" s="28" t="n">
        <v>2000000</v>
      </c>
      <c r="H21" s="20">
        <f>SUM(C21:G21)</f>
        <v/>
      </c>
    </row>
    <row r="22">
      <c r="B22" t="inlineStr">
        <is>
          <t>Implementation</t>
        </is>
      </c>
      <c r="C22" s="28" t="n">
        <v>3500000</v>
      </c>
      <c r="D22" s="28" t="n">
        <v>1500000</v>
      </c>
      <c r="E22" s="28" t="n">
        <v>500000</v>
      </c>
      <c r="F22" s="28" t="n">
        <v>250000</v>
      </c>
      <c r="G22" s="28" t="n">
        <v>250000</v>
      </c>
      <c r="H22" s="20">
        <f>SUM(C22:G22)</f>
        <v/>
      </c>
    </row>
    <row r="23">
      <c r="B23" s="3" t="inlineStr">
        <is>
          <t>Total Cash Outflow</t>
        </is>
      </c>
      <c r="C23" s="26">
        <f>C21+C22</f>
        <v/>
      </c>
      <c r="D23" s="26">
        <f>D21+D22</f>
        <v/>
      </c>
      <c r="E23" s="26">
        <f>E21+E22</f>
        <v/>
      </c>
      <c r="F23" s="26">
        <f>F21+F22</f>
        <v/>
      </c>
      <c r="G23" s="26">
        <f>G21+G22</f>
        <v/>
      </c>
      <c r="H23" s="26">
        <f>SUM(C23:G23)</f>
        <v/>
      </c>
    </row>
    <row r="25">
      <c r="B25" s="29" t="inlineStr">
        <is>
          <t>NET CASHFLOW</t>
        </is>
      </c>
      <c r="C25" s="26">
        <f>C17-C23</f>
        <v/>
      </c>
      <c r="D25" s="26">
        <f>D17-D23</f>
        <v/>
      </c>
      <c r="E25" s="26">
        <f>E17-E23</f>
        <v/>
      </c>
      <c r="F25" s="26">
        <f>F17-F23</f>
        <v/>
      </c>
      <c r="G25" s="26">
        <f>G17-G23</f>
        <v/>
      </c>
      <c r="H25" s="30">
        <f>SUM(C25:G25)</f>
        <v/>
      </c>
    </row>
    <row r="26">
      <c r="B26" t="inlineStr">
        <is>
          <t>Cumulative Cashflow</t>
        </is>
      </c>
      <c r="C26" s="20">
        <f>C25</f>
        <v/>
      </c>
      <c r="D26" s="20">
        <f>C26+D25</f>
        <v/>
      </c>
      <c r="E26" s="20">
        <f>D26+E25</f>
        <v/>
      </c>
      <c r="F26" s="20">
        <f>E26+F25</f>
        <v/>
      </c>
      <c r="G26" s="20">
        <f>F26+G25</f>
        <v/>
      </c>
    </row>
    <row r="29">
      <c r="B29" s="14" t="inlineStr">
        <is>
          <t>FINANCIAL METRICS</t>
        </is>
      </c>
    </row>
    <row r="30">
      <c r="B30" t="inlineStr">
        <is>
          <t>Total 5-Year Investment</t>
        </is>
      </c>
      <c r="C30" s="26">
        <f>H23</f>
        <v/>
      </c>
    </row>
    <row r="31">
      <c r="B31" t="inlineStr">
        <is>
          <t>Total 5-Year Benefits</t>
        </is>
      </c>
      <c r="C31" s="26">
        <f>H17</f>
        <v/>
      </c>
    </row>
    <row r="32">
      <c r="B32" t="inlineStr">
        <is>
          <t>Net Benefit</t>
        </is>
      </c>
      <c r="C32" s="31">
        <f>C31-C30</f>
        <v/>
      </c>
    </row>
    <row r="33">
      <c r="B33" t="inlineStr">
        <is>
          <t>ROI</t>
        </is>
      </c>
      <c r="C33" s="32">
        <f>IF(C30=0,"",C32/C30)</f>
        <v/>
      </c>
    </row>
    <row r="34">
      <c r="B34" t="inlineStr">
        <is>
          <t>Net Present Value (NPV)</t>
        </is>
      </c>
      <c r="C34" s="21">
        <f>NPV($C$4,D25:G25)+C25</f>
        <v/>
      </c>
    </row>
    <row r="35">
      <c r="B35" t="inlineStr">
        <is>
          <t>Internal Rate of Return (IRR)</t>
        </is>
      </c>
      <c r="C35" s="33">
        <f>IFERROR(IRR(C25:G25),"N/A")</f>
        <v/>
      </c>
    </row>
    <row r="36">
      <c r="B36" t="inlineStr">
        <is>
          <t>Payback Period (years)</t>
        </is>
      </c>
      <c r="C36" s="34" t="n">
        <v>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B1" s="11" t="inlineStr">
        <is>
          <t>Journey Value Analysis</t>
        </is>
      </c>
    </row>
    <row r="3">
      <c r="B3" s="15" t="inlineStr">
        <is>
          <t>Annual steady-state benefit per journey. Yearly projections on Cashflows sheet.</t>
        </is>
      </c>
    </row>
    <row r="6">
      <c r="B6" s="14" t="inlineStr">
        <is>
          <t>HNW Client Onboarding</t>
        </is>
      </c>
    </row>
    <row r="8">
      <c r="B8" s="25" t="inlineStr">
        <is>
          <t>Revenue Generation</t>
        </is>
      </c>
    </row>
    <row r="9">
      <c r="B9" s="19" t="inlineStr">
        <is>
          <t>Driver</t>
        </is>
      </c>
      <c r="C9" s="19" t="inlineStr">
        <is>
          <t>Annual Benefit</t>
        </is>
      </c>
    </row>
    <row r="10">
      <c r="B10" t="inlineStr">
        <is>
          <t>Accelerate Time-to-Revenue for New Clients</t>
        </is>
      </c>
      <c r="C10" s="28" t="n">
        <v>461538</v>
      </c>
    </row>
    <row r="11">
      <c r="B11" t="inlineStr">
        <is>
          <t>Recover Abandoning Prospects</t>
        </is>
      </c>
      <c r="C11" s="28" t="n">
        <v>621000</v>
      </c>
    </row>
    <row r="12">
      <c r="B12" s="3" t="inlineStr">
        <is>
          <t>Revenue Generation Total</t>
        </is>
      </c>
      <c r="C12" s="26">
        <f>SUM(C10:C11)</f>
        <v/>
      </c>
    </row>
    <row r="14">
      <c r="B14" s="25" t="inlineStr">
        <is>
          <t>Cost Reduction</t>
        </is>
      </c>
    </row>
    <row r="15">
      <c r="B15" s="19" t="inlineStr">
        <is>
          <t>Driver</t>
        </is>
      </c>
      <c r="C15" s="19" t="inlineStr">
        <is>
          <t>Annual Benefit</t>
        </is>
      </c>
    </row>
    <row r="16">
      <c r="B16" t="inlineStr">
        <is>
          <t>Reduce Onboarding Processing Cost</t>
        </is>
      </c>
      <c r="C16" s="28" t="n">
        <v>576000</v>
      </c>
    </row>
    <row r="17">
      <c r="B17" s="3" t="inlineStr">
        <is>
          <t>Cost Reduction Total</t>
        </is>
      </c>
      <c r="C17" s="26">
        <f>SUM(C16:C16)</f>
        <v/>
      </c>
    </row>
    <row r="19">
      <c r="B19" s="6" t="inlineStr">
        <is>
          <t>HNW Client Onboarding - Total Annual Benefit</t>
        </is>
      </c>
      <c r="C19" s="21">
        <f>C12+C17</f>
        <v/>
      </c>
    </row>
    <row r="21">
      <c r="B21" s="14" t="inlineStr">
        <is>
          <t>Digital Client Engagement</t>
        </is>
      </c>
    </row>
    <row r="23">
      <c r="B23" s="25" t="inlineStr">
        <is>
          <t>Revenue Generation</t>
        </is>
      </c>
    </row>
    <row r="24">
      <c r="B24" s="19" t="inlineStr">
        <is>
          <t>Driver</t>
        </is>
      </c>
      <c r="C24" s="19" t="inlineStr">
        <is>
          <t>Annual Benefit</t>
        </is>
      </c>
    </row>
    <row r="25">
      <c r="B25" t="inlineStr">
        <is>
          <t>Improved Client Retention Through Digital Engagement</t>
        </is>
      </c>
      <c r="C25" s="28" t="n">
        <v>1800000</v>
      </c>
    </row>
    <row r="26">
      <c r="B26" t="inlineStr">
        <is>
          <t>Digital Cross-Sell and Share of Wallet</t>
        </is>
      </c>
      <c r="C26" s="28" t="n">
        <v>1200000</v>
      </c>
    </row>
    <row r="27">
      <c r="B27" s="3" t="inlineStr">
        <is>
          <t>Revenue Generation Total</t>
        </is>
      </c>
      <c r="C27" s="26">
        <f>SUM(C25:C26)</f>
        <v/>
      </c>
    </row>
    <row r="29">
      <c r="B29" s="6" t="inlineStr">
        <is>
          <t>Digital Client Engagement - Total Annual Benefit</t>
        </is>
      </c>
      <c r="C29" s="21">
        <f>C27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2" customWidth="1" min="5" max="5"/>
    <col width="18" customWidth="1" min="6" max="6"/>
    <col width="12" customWidth="1" min="7" max="7"/>
    <col width="18" customWidth="1" min="8" max="8"/>
    <col width="40" customWidth="1" min="9" max="9"/>
  </cols>
  <sheetData>
    <row r="1">
      <c r="B1" s="11" t="inlineStr">
        <is>
          <t>Customer Servicing - Channel Analysis</t>
        </is>
      </c>
    </row>
    <row r="3">
      <c r="B3" s="35" t="inlineStr">
        <is>
          <t>Evidence IDs: W5, W6</t>
        </is>
      </c>
    </row>
    <row r="4">
      <c r="B4" s="36" t="inlineStr">
        <is>
          <t>Baseline = Volume x Time x Rate (formula). Saved = Baseline x Impact (formula).</t>
        </is>
      </c>
    </row>
    <row r="6">
      <c r="B6" s="19" t="inlineStr">
        <is>
          <t>Task</t>
        </is>
      </c>
      <c r="C6" s="19" t="inlineStr">
        <is>
          <t>Volume</t>
        </is>
      </c>
      <c r="D6" s="19" t="inlineStr">
        <is>
          <t>Time (hrs)</t>
        </is>
      </c>
      <c r="E6" s="19" t="inlineStr">
        <is>
          <t>Rate</t>
        </is>
      </c>
      <c r="F6" s="19" t="inlineStr">
        <is>
          <t>Baseline</t>
        </is>
      </c>
      <c r="G6" s="19" t="inlineStr">
        <is>
          <t>Impact</t>
        </is>
      </c>
      <c r="H6" s="19" t="inlineStr">
        <is>
          <t>Saved</t>
        </is>
      </c>
      <c r="I6" s="19" t="inlineStr">
        <is>
          <t>Source</t>
        </is>
      </c>
    </row>
    <row r="8">
      <c r="B8" s="37" t="inlineStr">
        <is>
          <t>Portfolio Reporting</t>
        </is>
      </c>
    </row>
    <row r="9">
      <c r="B9" t="inlineStr">
        <is>
          <t>Client Performance Reports</t>
        </is>
      </c>
      <c r="C9" s="38" t="n">
        <v>32000</v>
      </c>
      <c r="D9" s="4" t="n">
        <v>0.75</v>
      </c>
      <c r="E9" s="28" t="n">
        <v>60</v>
      </c>
      <c r="F9" s="20">
        <f>C9*D9*E9</f>
        <v/>
      </c>
      <c r="G9" s="39" t="n">
        <v>0.6</v>
      </c>
      <c r="H9" s="40">
        <f>F9*G9</f>
        <v/>
      </c>
      <c r="I9" s="41" t="inlineStr">
        <is>
          <t>DERIVED - 8,000 clients x 4 quarterly reports = 32,000 reports/year.</t>
        </is>
      </c>
    </row>
    <row r="10">
      <c r="B10" t="inlineStr">
        <is>
          <t>Ad-Hoc Client Reports</t>
        </is>
      </c>
      <c r="C10" s="38" t="n">
        <v>5000</v>
      </c>
      <c r="D10" s="4" t="n">
        <v>0.5</v>
      </c>
      <c r="E10" s="28" t="n">
        <v>60</v>
      </c>
      <c r="F10" s="20">
        <f>C10*D10*E10</f>
        <v/>
      </c>
      <c r="G10" s="39" t="n">
        <v>0.5</v>
      </c>
      <c r="H10" s="40">
        <f>F10*G10</f>
        <v/>
      </c>
      <c r="I10" s="41" t="inlineStr">
        <is>
          <t>ESTIMATE - ~625 RMs requests per year across 50 RMs.</t>
        </is>
      </c>
    </row>
    <row r="11">
      <c r="B11" t="inlineStr">
        <is>
          <t>Investment Analysis &amp; Proposals</t>
        </is>
      </c>
      <c r="C11" s="38" t="n">
        <v>2500</v>
      </c>
      <c r="D11" s="4" t="n">
        <v>1.5</v>
      </c>
      <c r="E11" s="28" t="n">
        <v>60</v>
      </c>
      <c r="F11" s="20">
        <f>C11*D11*E11</f>
        <v/>
      </c>
      <c r="G11" s="39" t="n">
        <v>0.3</v>
      </c>
      <c r="H11" s="40">
        <f>F11*G11</f>
        <v/>
      </c>
      <c r="I11" s="41" t="inlineStr">
        <is>
          <t>ESTIMATE - ~50 per RM per year.</t>
        </is>
      </c>
    </row>
    <row r="12">
      <c r="B12" s="3" t="inlineStr">
        <is>
          <t>Portfolio Reporting Subtotal</t>
        </is>
      </c>
      <c r="C12" s="42">
        <f>SUM(C9:C11)</f>
        <v/>
      </c>
      <c r="F12" s="26">
        <f>SUM(F9:F11)</f>
        <v/>
      </c>
      <c r="H12" s="31">
        <f>SUM(H9:H11)</f>
        <v/>
      </c>
    </row>
    <row r="14">
      <c r="B14" s="37" t="inlineStr">
        <is>
          <t>Client Communications</t>
        </is>
      </c>
    </row>
    <row r="15">
      <c r="B15" t="inlineStr">
        <is>
          <t>Portfolio Inquiries (calls/emails)</t>
        </is>
      </c>
      <c r="C15" s="38" t="n">
        <v>18000</v>
      </c>
      <c r="D15" s="4" t="n">
        <v>0.25</v>
      </c>
      <c r="E15" s="28" t="n">
        <v>60</v>
      </c>
      <c r="F15" s="20">
        <f>C15*D15*E15</f>
        <v/>
      </c>
      <c r="G15" s="39" t="n">
        <v>0.7</v>
      </c>
      <c r="H15" s="40">
        <f>F15*G15</f>
        <v/>
      </c>
      <c r="I15" s="41" t="inlineStr">
        <is>
          <t>ESTIMATE - Avg 2.25 inquiries per client per year.</t>
        </is>
      </c>
    </row>
    <row r="16">
      <c r="B16" t="inlineStr">
        <is>
          <t>Transaction &amp; Trade Requests</t>
        </is>
      </c>
      <c r="C16" s="38" t="n">
        <v>14000</v>
      </c>
      <c r="D16" s="4" t="n">
        <v>0.33</v>
      </c>
      <c r="E16" s="28" t="n">
        <v>60</v>
      </c>
      <c r="F16" s="20">
        <f>C16*D16*E16</f>
        <v/>
      </c>
      <c r="G16" s="39" t="n">
        <v>0.4</v>
      </c>
      <c r="H16" s="40">
        <f>F16*G16</f>
        <v/>
      </c>
      <c r="I16" s="41" t="inlineStr">
        <is>
          <t>ESTIMATE - ~1.75 trade-related requests per client per year.</t>
        </is>
      </c>
    </row>
    <row r="17">
      <c r="B17" t="inlineStr">
        <is>
          <t>Document Requests &amp; Sharing</t>
        </is>
      </c>
      <c r="C17" s="38" t="n">
        <v>8000</v>
      </c>
      <c r="D17" s="4" t="n">
        <v>0.17</v>
      </c>
      <c r="E17" s="28" t="n">
        <v>60</v>
      </c>
      <c r="F17" s="20">
        <f>C17*D17*E17</f>
        <v/>
      </c>
      <c r="G17" s="39" t="n">
        <v>0.8</v>
      </c>
      <c r="H17" s="40">
        <f>F17*G17</f>
        <v/>
      </c>
      <c r="I17" s="41" t="inlineStr">
        <is>
          <t>ESTIMATE - 1 document request per client per year.</t>
        </is>
      </c>
    </row>
    <row r="18">
      <c r="B18" t="inlineStr">
        <is>
          <t>Meeting Preparation &amp; Follow-Up</t>
        </is>
      </c>
      <c r="C18" s="38" t="n">
        <v>8000</v>
      </c>
      <c r="D18" s="4" t="n">
        <v>0.5</v>
      </c>
      <c r="E18" s="28" t="n">
        <v>60</v>
      </c>
      <c r="F18" s="20">
        <f>C18*D18*E18</f>
        <v/>
      </c>
      <c r="G18" s="39" t="n">
        <v>0.35</v>
      </c>
      <c r="H18" s="40">
        <f>F18*G18</f>
        <v/>
      </c>
      <c r="I18" s="41" t="inlineStr">
        <is>
          <t>ESTIMATE - 1 annual review meeting per client.</t>
        </is>
      </c>
    </row>
    <row r="19">
      <c r="B19" s="3" t="inlineStr">
        <is>
          <t>Client Communications Subtotal</t>
        </is>
      </c>
      <c r="C19" s="42">
        <f>SUM(C15:C18)</f>
        <v/>
      </c>
      <c r="F19" s="26">
        <f>SUM(F15:F18)</f>
        <v/>
      </c>
      <c r="H19" s="31">
        <f>SUM(H15:H18)</f>
        <v/>
      </c>
    </row>
    <row r="21">
      <c r="B21" s="37" t="inlineStr">
        <is>
          <t>Operations &amp; Compliance</t>
        </is>
      </c>
    </row>
    <row r="22">
      <c r="B22" t="inlineStr">
        <is>
          <t>Periodic KYC/AML Reviews</t>
        </is>
      </c>
      <c r="C22" s="38" t="n">
        <v>4000</v>
      </c>
      <c r="D22" s="4" t="n">
        <v>1.5</v>
      </c>
      <c r="E22" s="28" t="n">
        <v>60</v>
      </c>
      <c r="F22" s="20">
        <f>C22*D22*E22</f>
        <v/>
      </c>
      <c r="G22" s="39" t="n">
        <v>0.4</v>
      </c>
      <c r="H22" s="40">
        <f>F22*G22</f>
        <v/>
      </c>
      <c r="I22" s="41" t="inlineStr">
        <is>
          <t>ESTIMATE - 50% of clients reviewed annually (risk-based).</t>
        </is>
      </c>
    </row>
    <row r="23">
      <c r="B23" t="inlineStr">
        <is>
          <t>Account Maintenance &amp; Updates</t>
        </is>
      </c>
      <c r="C23" s="38" t="n">
        <v>4000</v>
      </c>
      <c r="D23" s="4" t="n">
        <v>0.5</v>
      </c>
      <c r="E23" s="28" t="n">
        <v>60</v>
      </c>
      <c r="F23" s="20">
        <f>C23*D23*E23</f>
        <v/>
      </c>
      <c r="G23" s="39" t="n">
        <v>0.5</v>
      </c>
      <c r="H23" s="40">
        <f>F23*G23</f>
        <v/>
      </c>
      <c r="I23" s="41" t="inlineStr">
        <is>
          <t>ESTIMATE - Address changes, beneficiary updates, mandate changes.</t>
        </is>
      </c>
    </row>
    <row r="24">
      <c r="B24" t="inlineStr">
        <is>
          <t>Regulatory &amp; Compliance Documentation</t>
        </is>
      </c>
      <c r="C24" s="38" t="n">
        <v>3000</v>
      </c>
      <c r="D24" s="4" t="n">
        <v>1</v>
      </c>
      <c r="E24" s="28" t="n">
        <v>60</v>
      </c>
      <c r="F24" s="20">
        <f>C24*D24*E24</f>
        <v/>
      </c>
      <c r="G24" s="39" t="n">
        <v>0.35</v>
      </c>
      <c r="H24" s="40">
        <f>F24*G24</f>
        <v/>
      </c>
      <c r="I24" s="41" t="inlineStr">
        <is>
          <t>ESTIMATE - Suitability reports, best-execution records, MiFID compliance.</t>
        </is>
      </c>
    </row>
    <row r="25">
      <c r="B25" t="inlineStr">
        <is>
          <t>Data Entry &amp; Reconciliation</t>
        </is>
      </c>
      <c r="C25" s="38" t="n">
        <v>6000</v>
      </c>
      <c r="D25" s="4" t="n">
        <v>0.75</v>
      </c>
      <c r="E25" s="28" t="n">
        <v>60</v>
      </c>
      <c r="F25" s="20">
        <f>C25*D25*E25</f>
        <v/>
      </c>
      <c r="G25" s="39" t="n">
        <v>0.55</v>
      </c>
      <c r="H25" s="40">
        <f>F25*G25</f>
        <v/>
      </c>
      <c r="I25" s="41" t="inlineStr">
        <is>
          <t>ESTIMATE - CRM updates, portfolio system entries, manual reconciliations.</t>
        </is>
      </c>
    </row>
    <row r="26">
      <c r="B26" s="3" t="inlineStr">
        <is>
          <t>Operations &amp; Compliance Subtotal</t>
        </is>
      </c>
      <c r="C26" s="42">
        <f>SUM(C22:C25)</f>
        <v/>
      </c>
      <c r="F26" s="26">
        <f>SUM(F22:F25)</f>
        <v/>
      </c>
      <c r="H26" s="31">
        <f>SUM(H22:H25)</f>
        <v/>
      </c>
    </row>
    <row r="29">
      <c r="B29" s="29" t="inlineStr">
        <is>
          <t>TOTAL SERVICING</t>
        </is>
      </c>
      <c r="C29" s="42">
        <f>C12+C19+C26</f>
        <v/>
      </c>
      <c r="F29" s="26">
        <f>F12+F19+F26</f>
        <v/>
      </c>
      <c r="H29" s="21">
        <f>H12+H19+H26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6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2" customWidth="1" min="4" max="4"/>
    <col width="50" customWidth="1" min="5" max="5"/>
    <col width="20" customWidth="1" min="6" max="6"/>
  </cols>
  <sheetData>
    <row r="1">
      <c r="B1" s="11" t="inlineStr">
        <is>
          <t>Value Driver Inputs by Journey</t>
        </is>
      </c>
    </row>
    <row r="3">
      <c r="B3" s="43" t="inlineStr">
        <is>
          <t>Color coding: Green=Transcript, Yellow=Estimate, Blue=Benchmark</t>
        </is>
      </c>
    </row>
    <row r="5">
      <c r="B5" s="14" t="inlineStr">
        <is>
          <t>Basic Information</t>
        </is>
      </c>
    </row>
    <row r="6">
      <c r="B6" s="19" t="inlineStr">
        <is>
          <t>Input</t>
        </is>
      </c>
      <c r="C6" s="19" t="inlineStr">
        <is>
          <t>Value</t>
        </is>
      </c>
      <c r="D6" s="19" t="inlineStr">
        <is>
          <t>Conf.</t>
        </is>
      </c>
      <c r="E6" s="19" t="inlineStr">
        <is>
          <t>Source</t>
        </is>
      </c>
    </row>
    <row r="7">
      <c r="B7" t="inlineStr">
        <is>
          <t>Total Customers</t>
        </is>
      </c>
      <c r="C7" s="44" t="n">
        <v>8000</v>
      </c>
      <c r="D7" t="inlineStr">
        <is>
          <t>LOW</t>
        </is>
      </c>
      <c r="E7" s="45" t="inlineStr">
        <is>
          <t>PROVIDED - 8,000 HNW clients confirmed by client.</t>
        </is>
      </c>
    </row>
    <row r="8">
      <c r="B8" t="inlineStr">
        <is>
          <t>Annual Revenue</t>
        </is>
      </c>
      <c r="C8" s="44" t="n">
        <v>120000000</v>
      </c>
      <c r="D8" t="inlineStr">
        <is>
          <t>LOW</t>
        </is>
      </c>
      <c r="E8" s="45" t="inlineStr">
        <is>
          <t>DERIVED - 8,000 clients x $15,000 revenue/client = $120M.</t>
        </is>
      </c>
    </row>
    <row r="9">
      <c r="B9" t="inlineStr">
        <is>
          <t>Average FTE Rate/Hour</t>
        </is>
      </c>
      <c r="C9" s="44" t="n">
        <v>60</v>
      </c>
      <c r="D9" t="inlineStr">
        <is>
          <t>LOW</t>
        </is>
      </c>
      <c r="E9" s="45" t="inlineStr">
        <is>
          <t>DERIVED - RM cost $120K/year / 2,000 working hours = $60/hr. Used as primary rate since RM admin reduction is core value driver.</t>
        </is>
      </c>
    </row>
    <row r="12">
      <c r="B12" s="14" t="inlineStr">
        <is>
          <t>HNW Client Onboarding</t>
        </is>
      </c>
    </row>
    <row r="13">
      <c r="B13" s="35" t="inlineStr">
        <is>
          <t>Evidence from Discovery:</t>
        </is>
      </c>
    </row>
    <row r="14">
      <c r="B14" s="36" t="inlineStr">
        <is>
          <t xml:space="preserve">  "Current onboarding takes 3 weeks end-to-end — Client Input (W1)"</t>
        </is>
      </c>
    </row>
    <row r="15">
      <c r="B15" s="36" t="inlineStr">
        <is>
          <t xml:space="preserve">  "We lose prospects during the lengthy process — Client Input (W2)"</t>
        </is>
      </c>
    </row>
    <row r="17">
      <c r="B17" s="3" t="inlineStr">
        <is>
          <t>Revenue Drivers</t>
        </is>
      </c>
    </row>
    <row r="18">
      <c r="B18" s="12" t="inlineStr">
        <is>
          <t>Accelerate Time-to-Revenue for New Clients</t>
        </is>
      </c>
    </row>
    <row r="19">
      <c r="B19" t="inlineStr">
        <is>
          <t xml:space="preserve">  New Clients Per Year</t>
        </is>
      </c>
      <c r="C19" s="8" t="n">
        <v>800</v>
      </c>
      <c r="D19" t="inlineStr">
        <is>
          <t>MEDIUM</t>
        </is>
      </c>
      <c r="E19" s="45" t="inlineStr">
        <is>
          <t>ESTIMATE - 10% annual growth on 8,000 client base.</t>
        </is>
      </c>
    </row>
    <row r="20">
      <c r="B20" t="inlineStr">
        <is>
          <t xml:space="preserve">  Average Client Aum</t>
        </is>
      </c>
      <c r="C20" s="7" t="n">
        <v>1500000</v>
      </c>
      <c r="D20" t="inlineStr">
        <is>
          <t>HIGH</t>
        </is>
      </c>
      <c r="E20" s="45" t="inlineStr">
        <is>
          <t>DERIVED - $12B AUM / 8,000 clients = $1.5M average.</t>
        </is>
      </c>
    </row>
    <row r="21">
      <c r="B21" t="inlineStr">
        <is>
          <t xml:space="preserve">  Annual Fee Rate</t>
        </is>
      </c>
      <c r="C21" s="7" t="n">
        <v>0.01</v>
      </c>
      <c r="D21" t="inlineStr">
        <is>
          <t>HIGH</t>
        </is>
      </c>
      <c r="E21" s="45" t="inlineStr">
        <is>
          <t>DERIVED - $15,000 revenue / $1.5M AUM = 1.0% blended fee rate.</t>
        </is>
      </c>
    </row>
    <row r="22">
      <c r="B22" t="inlineStr">
        <is>
          <t xml:space="preserve">  Weeks Saved</t>
        </is>
      </c>
      <c r="C22" s="8" t="n">
        <v>2</v>
      </c>
      <c r="D22" t="inlineStr">
        <is>
          <t>MEDIUM</t>
        </is>
      </c>
      <c r="E22" s="45" t="inlineStr">
        <is>
          <t>TARGET - From 3 weeks to 1 week onboarding.</t>
        </is>
      </c>
    </row>
    <row r="23">
      <c r="B23" s="3" t="inlineStr">
        <is>
          <t xml:space="preserve">  Potential Annual Benefit</t>
        </is>
      </c>
      <c r="C23" s="31" t="n">
        <v>461538</v>
      </c>
    </row>
    <row r="24">
      <c r="B24" s="12" t="inlineStr">
        <is>
          <t>Recover Abandoning Prospects</t>
        </is>
      </c>
    </row>
    <row r="25">
      <c r="B25" t="inlineStr">
        <is>
          <t xml:space="preserve">  Annual Prospects</t>
        </is>
      </c>
      <c r="C25" s="8" t="n">
        <v>920</v>
      </c>
      <c r="D25" t="inlineStr">
        <is>
          <t>LOW</t>
        </is>
      </c>
      <c r="E25" s="45" t="inlineStr">
        <is>
          <t>ESTIMATE - 800 net new clients implies ~920 initial prospects (15% abandonment).</t>
        </is>
      </c>
    </row>
    <row r="26">
      <c r="B26" t="inlineStr">
        <is>
          <t xml:space="preserve">  Current Abandonment Rate</t>
        </is>
      </c>
      <c r="C26" s="8" t="n">
        <v>0.15</v>
      </c>
      <c r="D26" t="inlineStr">
        <is>
          <t>LOW</t>
        </is>
      </c>
      <c r="E26" s="45" t="inlineStr">
        <is>
          <t>ESTIMATE - 15% drop-off during 3-week onboarding for HNW segment.</t>
        </is>
      </c>
    </row>
    <row r="27">
      <c r="B27" t="inlineStr">
        <is>
          <t xml:space="preserve">  Backbase Recovery Rate</t>
        </is>
      </c>
      <c r="C27" s="9" t="n">
        <v>0.3</v>
      </c>
      <c r="D27" t="inlineStr">
        <is>
          <t>MEDIUM</t>
        </is>
      </c>
      <c r="E27" s="45" t="inlineStr">
        <is>
          <t>BACKBASE BENCHMARK - Digital onboarding recovers 25-35% of abandoning prospects.</t>
        </is>
      </c>
    </row>
    <row r="28">
      <c r="B28" t="inlineStr">
        <is>
          <t xml:space="preserve">  Revenue Per Client</t>
        </is>
      </c>
      <c r="C28" s="7" t="n">
        <v>15000</v>
      </c>
      <c r="D28" t="inlineStr">
        <is>
          <t>HIGH</t>
        </is>
      </c>
      <c r="E28" s="45" t="inlineStr">
        <is>
          <t>PROVIDED - $15,000 annual revenue per HNW client.</t>
        </is>
      </c>
    </row>
    <row r="29">
      <c r="B29" s="3" t="inlineStr">
        <is>
          <t xml:space="preserve">  Potential Annual Benefit</t>
        </is>
      </c>
      <c r="C29" s="31" t="n">
        <v>621000</v>
      </c>
    </row>
    <row r="31">
      <c r="B31" s="3" t="inlineStr">
        <is>
          <t>Cost Drivers</t>
        </is>
      </c>
    </row>
    <row r="32">
      <c r="B32" s="12" t="inlineStr">
        <is>
          <t>Reduce Onboarding Processing Cost</t>
        </is>
      </c>
    </row>
    <row r="33">
      <c r="B33" t="inlineStr">
        <is>
          <t xml:space="preserve">  Annual New Clients</t>
        </is>
      </c>
      <c r="C33" s="8" t="n">
        <v>800</v>
      </c>
      <c r="D33" t="inlineStr">
        <is>
          <t>MEDIUM</t>
        </is>
      </c>
      <c r="E33" s="45" t="inlineStr">
        <is>
          <t>Same as revenue driver.</t>
        </is>
      </c>
    </row>
    <row r="34">
      <c r="B34" t="inlineStr">
        <is>
          <t xml:space="preserve">  Current Processing Hours</t>
        </is>
      </c>
      <c r="C34" s="8" t="n">
        <v>20</v>
      </c>
      <c r="D34" t="inlineStr">
        <is>
          <t>LOW</t>
        </is>
      </c>
      <c r="E34" s="45" t="inlineStr">
        <is>
          <t>ESTIMATE - 3-week process: KYC checks (6h), document collection (4h), suitability review (3h), account setup (4h), portfolio transfer (3h).</t>
        </is>
      </c>
    </row>
    <row r="35">
      <c r="B35" t="inlineStr">
        <is>
          <t xml:space="preserve">  Target Processing Hours</t>
        </is>
      </c>
      <c r="C35" s="8" t="n">
        <v>8</v>
      </c>
      <c r="D35" t="inlineStr">
        <is>
          <t>LOW</t>
        </is>
      </c>
      <c r="E35" s="45" t="inlineStr">
        <is>
          <t>ESTIMATE - Digital-first: e-KYC (2h), digital doc upload (1h), automated suitability (1h), system setup (2h), portfolio transfer (2h).</t>
        </is>
      </c>
    </row>
    <row r="36">
      <c r="B36" t="inlineStr">
        <is>
          <t xml:space="preserve">  Fte Cost Per Hour</t>
        </is>
      </c>
      <c r="C36" s="7" t="n">
        <v>60</v>
      </c>
      <c r="D36" t="inlineStr">
        <is>
          <t>HIGH</t>
        </is>
      </c>
      <c r="E36" s="45" t="inlineStr">
        <is>
          <t>DERIVED - RM cost $120K/year / 2,000 hours = $60/hr.</t>
        </is>
      </c>
    </row>
    <row r="37">
      <c r="B37" s="3" t="inlineStr">
        <is>
          <t xml:space="preserve">  Potential Annual Benefit</t>
        </is>
      </c>
      <c r="C37" s="31" t="n">
        <v>576000</v>
      </c>
    </row>
    <row r="40">
      <c r="B40" s="14" t="inlineStr">
        <is>
          <t>Digital Client Engagement</t>
        </is>
      </c>
    </row>
    <row r="41">
      <c r="B41" s="35" t="inlineStr">
        <is>
          <t>Evidence from Discovery:</t>
        </is>
      </c>
    </row>
    <row r="42">
      <c r="B42" s="36" t="inlineStr">
        <is>
          <t xml:space="preserve">  "Our digital offering is poor — clients call RMs for basic portfolio questions — Client Input (W3)"</t>
        </is>
      </c>
    </row>
    <row r="43">
      <c r="B43" s="36" t="inlineStr">
        <is>
          <t xml:space="preserve">  "We need to improve digital engagement to retain next-gen wealth clients — Client Input (W4)"</t>
        </is>
      </c>
    </row>
    <row r="45">
      <c r="B45" s="3" t="inlineStr">
        <is>
          <t>Revenue Drivers</t>
        </is>
      </c>
    </row>
    <row r="46">
      <c r="B46" s="12" t="inlineStr">
        <is>
          <t>Improved Client Retention Through Digital Engagement</t>
        </is>
      </c>
    </row>
    <row r="47">
      <c r="B47" t="inlineStr">
        <is>
          <t xml:space="preserve">  Total Clients</t>
        </is>
      </c>
      <c r="C47" s="7" t="n">
        <v>8000</v>
      </c>
      <c r="D47" t="inlineStr">
        <is>
          <t>HIGH</t>
        </is>
      </c>
      <c r="E47" s="45" t="inlineStr">
        <is>
          <t>PROVIDED - 8,000 HNW clients.</t>
        </is>
      </c>
    </row>
    <row r="48">
      <c r="B48" t="inlineStr">
        <is>
          <t xml:space="preserve">  Current Annual Churn</t>
        </is>
      </c>
      <c r="C48" s="8" t="n">
        <v>0.05</v>
      </c>
      <c r="D48" t="inlineStr">
        <is>
          <t>LOW</t>
        </is>
      </c>
      <c r="E48" s="45" t="inlineStr">
        <is>
          <t>ESTIMATE - 5% annual attrition is typical for HNW segment without strong digital offering.</t>
        </is>
      </c>
    </row>
    <row r="49">
      <c r="B49" t="inlineStr">
        <is>
          <t xml:space="preserve">  Churn Reduction</t>
        </is>
      </c>
      <c r="C49" s="9" t="n">
        <v>0.015</v>
      </c>
      <c r="D49" t="inlineStr">
        <is>
          <t>MEDIUM</t>
        </is>
      </c>
      <c r="E49" s="45" t="inlineStr">
        <is>
          <t>BACKBASE BENCHMARK - Digital engagement reduces churn by 1-2 percentage points.</t>
        </is>
      </c>
    </row>
    <row r="50">
      <c r="B50" t="inlineStr">
        <is>
          <t xml:space="preserve">  Revenue Per Client</t>
        </is>
      </c>
      <c r="C50" s="7" t="n">
        <v>15000</v>
      </c>
      <c r="D50" t="inlineStr">
        <is>
          <t>HIGH</t>
        </is>
      </c>
      <c r="E50" s="45" t="inlineStr">
        <is>
          <t>PROVIDED - $15,000 revenue per client.</t>
        </is>
      </c>
    </row>
    <row r="51">
      <c r="B51" s="3" t="inlineStr">
        <is>
          <t xml:space="preserve">  Potential Annual Benefit</t>
        </is>
      </c>
      <c r="C51" s="31" t="n">
        <v>1800000</v>
      </c>
    </row>
    <row r="52">
      <c r="B52" s="12" t="inlineStr">
        <is>
          <t>Digital Cross-Sell and Share of Wallet</t>
        </is>
      </c>
    </row>
    <row r="53">
      <c r="B53" t="inlineStr">
        <is>
          <t xml:space="preserve">  Total Clients</t>
        </is>
      </c>
      <c r="C53" s="7" t="n">
        <v>8000</v>
      </c>
      <c r="D53" t="inlineStr">
        <is>
          <t>HIGH</t>
        </is>
      </c>
      <c r="E53" s="45" t="inlineStr">
        <is>
          <t>PROVIDED - 8,000 HNW clients.</t>
        </is>
      </c>
    </row>
    <row r="54">
      <c r="B54" t="inlineStr">
        <is>
          <t xml:space="preserve">  Cross Sell Success Rate</t>
        </is>
      </c>
      <c r="C54" s="8" t="n">
        <v>0.05</v>
      </c>
      <c r="D54" t="inlineStr">
        <is>
          <t>LOW</t>
        </is>
      </c>
      <c r="E54" s="45" t="inlineStr">
        <is>
          <t>ESTIMATE - 5% of clients adopt additional product via digital channel annually.</t>
        </is>
      </c>
    </row>
    <row r="55">
      <c r="B55" t="inlineStr">
        <is>
          <t xml:space="preserve">  Incremental Revenue Per Success</t>
        </is>
      </c>
      <c r="C55" s="8" t="n">
        <v>3000</v>
      </c>
      <c r="D55" t="inlineStr">
        <is>
          <t>LOW</t>
        </is>
      </c>
      <c r="E55" s="45" t="inlineStr">
        <is>
          <t>ESTIMATE - Incremental fee from additional product (advisory mandate, insurance, structured product).</t>
        </is>
      </c>
    </row>
    <row r="56">
      <c r="B56" s="3" t="inlineStr">
        <is>
          <t xml:space="preserve">  Potential Annual Benefit</t>
        </is>
      </c>
      <c r="C56" s="31" t="n">
        <v>1200000</v>
      </c>
    </row>
    <row r="59">
      <c r="B59" s="14" t="inlineStr">
        <is>
          <t>Customer Servicing Journey</t>
        </is>
      </c>
    </row>
    <row r="60">
      <c r="B60" s="35" t="inlineStr">
        <is>
          <t>Evidence from Discovery:</t>
        </is>
      </c>
    </row>
    <row r="61">
      <c r="B61" s="36" t="inlineStr">
        <is>
          <t xml:space="preserve">  "Our RMs spend 60% of their time on admin, target is 30% — Client Input (W5)"</t>
        </is>
      </c>
    </row>
    <row r="62">
      <c r="B62" s="36" t="inlineStr">
        <is>
          <t xml:space="preserve">  "Manual reporting is a huge time sink for the team — Client Input (W6)"</t>
        </is>
      </c>
    </row>
    <row r="64">
      <c r="B64" s="35" t="inlineStr">
        <is>
          <t>See 'Servicing Analysis' sheet for detailed breakdown by channel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1" t="inlineStr">
        <is>
          <t>Scenario Definitions</t>
        </is>
      </c>
    </row>
    <row r="4">
      <c r="B4" s="37" t="inlineStr">
        <is>
          <t>Conservative</t>
        </is>
      </c>
      <c r="C4" s="46" t="inlineStr">
        <is>
          <t>Year 1</t>
        </is>
      </c>
      <c r="D4" s="46" t="inlineStr">
        <is>
          <t>Year 2</t>
        </is>
      </c>
      <c r="E4" s="46" t="inlineStr">
        <is>
          <t>Year 3</t>
        </is>
      </c>
      <c r="F4" s="46" t="inlineStr">
        <is>
          <t>Year 4</t>
        </is>
      </c>
      <c r="G4" s="46" t="inlineStr">
        <is>
          <t>Year 5</t>
        </is>
      </c>
    </row>
    <row r="5">
      <c r="B5" s="3" t="inlineStr">
        <is>
          <t>Implementation %</t>
        </is>
      </c>
      <c r="C5" s="47" t="n">
        <v>0.15</v>
      </c>
      <c r="D5" s="47" t="n">
        <v>0.45</v>
      </c>
      <c r="E5" s="47" t="n">
        <v>0.7</v>
      </c>
      <c r="F5" s="47" t="n">
        <v>0.9</v>
      </c>
      <c r="G5" s="47" t="n">
        <v>1</v>
      </c>
    </row>
    <row r="6">
      <c r="B6" s="3" t="inlineStr">
        <is>
          <t>Effectiveness %</t>
        </is>
      </c>
      <c r="C6" s="47" t="n">
        <v>0.05</v>
      </c>
      <c r="D6" s="47" t="n">
        <v>0.2</v>
      </c>
      <c r="E6" s="47" t="n">
        <v>0.4</v>
      </c>
      <c r="F6" s="47" t="n">
        <v>0.65</v>
      </c>
      <c r="G6" s="47" t="n">
        <v>0.8</v>
      </c>
    </row>
    <row r="7">
      <c r="B7" s="3" t="inlineStr">
        <is>
          <t>YoY Growth %</t>
        </is>
      </c>
      <c r="C7" s="47" t="n">
        <v>0.05</v>
      </c>
      <c r="D7" s="47" t="n">
        <v>0.05</v>
      </c>
      <c r="E7" s="47" t="n">
        <v>0.05</v>
      </c>
      <c r="F7" s="47" t="n">
        <v>0.05</v>
      </c>
      <c r="G7" s="47" t="n">
        <v>0.05</v>
      </c>
    </row>
    <row r="10">
      <c r="B10" s="37" t="inlineStr">
        <is>
          <t>Moderate</t>
        </is>
      </c>
      <c r="C10" s="46" t="inlineStr">
        <is>
          <t>Year 1</t>
        </is>
      </c>
      <c r="D10" s="46" t="inlineStr">
        <is>
          <t>Year 2</t>
        </is>
      </c>
      <c r="E10" s="46" t="inlineStr">
        <is>
          <t>Year 3</t>
        </is>
      </c>
      <c r="F10" s="46" t="inlineStr">
        <is>
          <t>Year 4</t>
        </is>
      </c>
      <c r="G10" s="46" t="inlineStr">
        <is>
          <t>Year 5</t>
        </is>
      </c>
    </row>
    <row r="11">
      <c r="B11" s="3" t="inlineStr">
        <is>
          <t>Implementation %</t>
        </is>
      </c>
      <c r="C11" s="47" t="n">
        <v>0.25</v>
      </c>
      <c r="D11" s="47" t="n">
        <v>0.6</v>
      </c>
      <c r="E11" s="47" t="n">
        <v>0.85</v>
      </c>
      <c r="F11" s="47" t="n">
        <v>1</v>
      </c>
      <c r="G11" s="47" t="n">
        <v>1</v>
      </c>
    </row>
    <row r="12">
      <c r="B12" s="3" t="inlineStr">
        <is>
          <t>Effectiveness %</t>
        </is>
      </c>
      <c r="C12" s="47" t="n">
        <v>0.1</v>
      </c>
      <c r="D12" s="47" t="n">
        <v>0.35</v>
      </c>
      <c r="E12" s="47" t="n">
        <v>0.6</v>
      </c>
      <c r="F12" s="47" t="n">
        <v>0.8</v>
      </c>
      <c r="G12" s="47" t="n">
        <v>1</v>
      </c>
    </row>
    <row r="13">
      <c r="B13" s="3" t="inlineStr">
        <is>
          <t>YoY Growth %</t>
        </is>
      </c>
      <c r="C13" s="47" t="n">
        <v>0.05</v>
      </c>
      <c r="D13" s="47" t="n">
        <v>0.05</v>
      </c>
      <c r="E13" s="47" t="n">
        <v>0.05</v>
      </c>
      <c r="F13" s="47" t="n">
        <v>0.05</v>
      </c>
      <c r="G13" s="47" t="n">
        <v>0.05</v>
      </c>
    </row>
    <row r="16">
      <c r="B16" s="37" t="inlineStr">
        <is>
          <t>Aggressive</t>
        </is>
      </c>
      <c r="C16" s="46" t="inlineStr">
        <is>
          <t>Year 1</t>
        </is>
      </c>
      <c r="D16" s="46" t="inlineStr">
        <is>
          <t>Year 2</t>
        </is>
      </c>
      <c r="E16" s="46" t="inlineStr">
        <is>
          <t>Year 3</t>
        </is>
      </c>
      <c r="F16" s="46" t="inlineStr">
        <is>
          <t>Year 4</t>
        </is>
      </c>
      <c r="G16" s="46" t="inlineStr">
        <is>
          <t>Year 5</t>
        </is>
      </c>
    </row>
    <row r="17">
      <c r="B17" s="3" t="inlineStr">
        <is>
          <t>Implementation %</t>
        </is>
      </c>
      <c r="C17" s="47" t="n">
        <v>0.35</v>
      </c>
      <c r="D17" s="47" t="n">
        <v>0.75</v>
      </c>
      <c r="E17" s="47" t="n">
        <v>0.95</v>
      </c>
      <c r="F17" s="47" t="n">
        <v>1</v>
      </c>
      <c r="G17" s="47" t="n">
        <v>1</v>
      </c>
    </row>
    <row r="18">
      <c r="B18" s="3" t="inlineStr">
        <is>
          <t>Effectiveness %</t>
        </is>
      </c>
      <c r="C18" s="47" t="n">
        <v>0.2</v>
      </c>
      <c r="D18" s="47" t="n">
        <v>0.5</v>
      </c>
      <c r="E18" s="47" t="n">
        <v>0.75</v>
      </c>
      <c r="F18" s="47" t="n">
        <v>0.9</v>
      </c>
      <c r="G18" s="47" t="n">
        <v>1</v>
      </c>
    </row>
    <row r="19">
      <c r="B19" s="3" t="inlineStr">
        <is>
          <t>YoY Growth %</t>
        </is>
      </c>
      <c r="C19" s="47" t="n">
        <v>0.05</v>
      </c>
      <c r="D19" s="47" t="n">
        <v>0.05</v>
      </c>
      <c r="E19" s="47" t="n">
        <v>0.05</v>
      </c>
      <c r="F19" s="47" t="n">
        <v>0.05</v>
      </c>
      <c r="G19" s="47" t="n">
        <v>0.05</v>
      </c>
    </row>
    <row r="21">
      <c r="B21" s="15" t="inlineStr">
        <is>
          <t>Note: Edit curves above to adjust scenario assumptions.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1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5" customWidth="1" min="4" max="4"/>
    <col width="12" customWidth="1" min="5" max="5"/>
    <col width="50" customWidth="1" min="6" max="6"/>
    <col width="20" customWidth="1" min="7" max="7"/>
    <col width="35" customWidth="1" min="8" max="8"/>
  </cols>
  <sheetData>
    <row r="1">
      <c r="B1" s="11" t="inlineStr">
        <is>
          <t>Assumptions Register</t>
        </is>
      </c>
    </row>
    <row r="3">
      <c r="B3" s="35" t="inlineStr">
        <is>
          <t>All assumptions documented with sources and validation owners</t>
        </is>
      </c>
    </row>
    <row r="5">
      <c r="B5" s="19" t="inlineStr">
        <is>
          <t>ID</t>
        </is>
      </c>
      <c r="C5" s="19" t="inlineStr">
        <is>
          <t>Assumption</t>
        </is>
      </c>
      <c r="D5" s="19" t="inlineStr">
        <is>
          <t>Value</t>
        </is>
      </c>
      <c r="E5" s="19" t="inlineStr">
        <is>
          <t>Conf.</t>
        </is>
      </c>
      <c r="F5" s="19" t="inlineStr">
        <is>
          <t>Source</t>
        </is>
      </c>
      <c r="G5" s="19" t="inlineStr">
        <is>
          <t>Owner</t>
        </is>
      </c>
      <c r="H5" s="19" t="inlineStr">
        <is>
          <t>Sensitivity</t>
        </is>
      </c>
    </row>
    <row r="6">
      <c r="B6" t="inlineStr">
        <is>
          <t>W-A1</t>
        </is>
      </c>
      <c r="C6" t="inlineStr">
        <is>
          <t>HNW Client Base</t>
        </is>
      </c>
      <c r="D6" s="7" t="inlineStr">
        <is>
          <t>8,000 clients</t>
        </is>
      </c>
      <c r="E6" t="inlineStr">
        <is>
          <t>HIGH</t>
        </is>
      </c>
      <c r="F6" s="45" t="inlineStr">
        <is>
          <t>PROVIDED - Client confirmed.</t>
        </is>
      </c>
      <c r="G6" t="inlineStr">
        <is>
          <t>Client</t>
        </is>
      </c>
      <c r="H6" s="45" t="inlineStr">
        <is>
          <t>HIGH - Affects all per-client calculations</t>
        </is>
      </c>
    </row>
    <row r="7">
      <c r="B7" t="inlineStr">
        <is>
          <t>W-A2</t>
        </is>
      </c>
      <c r="C7" t="inlineStr">
        <is>
          <t>Assets Under Management</t>
        </is>
      </c>
      <c r="D7" s="7" t="inlineStr">
        <is>
          <t>$12,000,000,000</t>
        </is>
      </c>
      <c r="E7" t="inlineStr">
        <is>
          <t>HIGH</t>
        </is>
      </c>
      <c r="F7" s="45" t="inlineStr">
        <is>
          <t>PROVIDED - Client confirmed $12B AUM.</t>
        </is>
      </c>
      <c r="G7" t="inlineStr">
        <is>
          <t>Client</t>
        </is>
      </c>
      <c r="H7" s="45" t="inlineStr">
        <is>
          <t>HIGH - Determines average AUM per client and fee income</t>
        </is>
      </c>
    </row>
    <row r="8">
      <c r="B8" t="inlineStr">
        <is>
          <t>W-A3</t>
        </is>
      </c>
      <c r="C8" t="inlineStr">
        <is>
          <t>Revenue per Client</t>
        </is>
      </c>
      <c r="D8" s="7" t="inlineStr">
        <is>
          <t>$15,000/year</t>
        </is>
      </c>
      <c r="E8" t="inlineStr">
        <is>
          <t>HIGH</t>
        </is>
      </c>
      <c r="F8" s="45" t="inlineStr">
        <is>
          <t>PROVIDED - Client confirmed.</t>
        </is>
      </c>
      <c r="G8" t="inlineStr">
        <is>
          <t>Finance</t>
        </is>
      </c>
      <c r="H8" s="45" t="inlineStr">
        <is>
          <t>HIGH - Core financial metric for retention and cross-sell benefits</t>
        </is>
      </c>
    </row>
    <row r="9">
      <c r="B9" t="inlineStr">
        <is>
          <t>W-A4</t>
        </is>
      </c>
      <c r="C9" t="inlineStr">
        <is>
          <t>Number of Relationship Managers</t>
        </is>
      </c>
      <c r="D9" s="7" t="inlineStr">
        <is>
          <t>50 RMs</t>
        </is>
      </c>
      <c r="E9" t="inlineStr">
        <is>
          <t>HIGH</t>
        </is>
      </c>
      <c r="F9" s="45" t="inlineStr">
        <is>
          <t>PROVIDED - Client confirmed.</t>
        </is>
      </c>
      <c r="G9" t="inlineStr">
        <is>
          <t>Client</t>
        </is>
      </c>
      <c r="H9" s="45" t="inlineStr">
        <is>
          <t>HIGH - Defines total admin hours available for reduction</t>
        </is>
      </c>
    </row>
    <row r="10">
      <c r="B10" t="inlineStr">
        <is>
          <t>W-A5</t>
        </is>
      </c>
      <c r="C10" t="inlineStr">
        <is>
          <t>RM Fully Loaded Cost</t>
        </is>
      </c>
      <c r="D10" s="7" t="inlineStr">
        <is>
          <t>$120,000/year ($60/hr)</t>
        </is>
      </c>
      <c r="E10" t="inlineStr">
        <is>
          <t>HIGH</t>
        </is>
      </c>
      <c r="F10" s="45" t="inlineStr">
        <is>
          <t>PROVIDED - Client confirmed $120K/year per RM.</t>
        </is>
      </c>
      <c r="G10" t="inlineStr">
        <is>
          <t>Finance/HR</t>
        </is>
      </c>
      <c r="H10" s="45" t="inlineStr">
        <is>
          <t>HIGH - Affects all servicing cost calculations</t>
        </is>
      </c>
    </row>
    <row r="11">
      <c r="B11" t="inlineStr">
        <is>
          <t>W-A6</t>
        </is>
      </c>
      <c r="C11" t="inlineStr">
        <is>
          <t>Current Admin Time Ratio</t>
        </is>
      </c>
      <c r="D11" s="7" t="inlineStr">
        <is>
          <t>60% of RM time</t>
        </is>
      </c>
      <c r="E11" t="inlineStr">
        <is>
          <t>HIGH</t>
        </is>
      </c>
      <c r="F11" s="45" t="inlineStr">
        <is>
          <t>PROVIDED - Client confirmed RMs spend 60% on admin.</t>
        </is>
      </c>
      <c r="G11" t="inlineStr">
        <is>
          <t>Client</t>
        </is>
      </c>
      <c r="H11" s="45" t="inlineStr">
        <is>
          <t>HIGH - Defines baseline for admin reduction</t>
        </is>
      </c>
    </row>
    <row r="12">
      <c r="B12" t="inlineStr">
        <is>
          <t>W-A7</t>
        </is>
      </c>
      <c r="C12" t="inlineStr">
        <is>
          <t>Target Admin Time Ratio</t>
        </is>
      </c>
      <c r="D12" s="7" t="inlineStr">
        <is>
          <t>30% of RM time</t>
        </is>
      </c>
      <c r="E12" t="inlineStr">
        <is>
          <t>HIGH</t>
        </is>
      </c>
      <c r="F12" s="45" t="inlineStr">
        <is>
          <t>PROVIDED - Client target.</t>
        </is>
      </c>
      <c r="G12" t="inlineStr">
        <is>
          <t>Client</t>
        </is>
      </c>
      <c r="H12" s="45" t="inlineStr">
        <is>
          <t>HIGH - Defines benefit ceiling for admin reduction</t>
        </is>
      </c>
    </row>
    <row r="13">
      <c r="B13" t="inlineStr">
        <is>
          <t>W-A8</t>
        </is>
      </c>
      <c r="C13" t="inlineStr">
        <is>
          <t>Current Onboarding Cycle</t>
        </is>
      </c>
      <c r="D13" s="7" t="inlineStr">
        <is>
          <t>3 weeks</t>
        </is>
      </c>
      <c r="E13" t="inlineStr">
        <is>
          <t>HIGH</t>
        </is>
      </c>
      <c r="F13" s="45" t="inlineStr">
        <is>
          <t>PROVIDED - Client confirmed 3-week onboarding.</t>
        </is>
      </c>
      <c r="G13" t="inlineStr">
        <is>
          <t>Operations</t>
        </is>
      </c>
      <c r="H13" s="45" t="inlineStr">
        <is>
          <t>HIGH - Core driver of onboarding time-to-revenue benefit</t>
        </is>
      </c>
    </row>
    <row r="14">
      <c r="B14" t="inlineStr">
        <is>
          <t>W-A9</t>
        </is>
      </c>
      <c r="C14" t="inlineStr">
        <is>
          <t>Annual Client Churn Rate</t>
        </is>
      </c>
      <c r="D14" s="8" t="inlineStr">
        <is>
          <t>5%</t>
        </is>
      </c>
      <c r="E14" t="inlineStr">
        <is>
          <t>LOW</t>
        </is>
      </c>
      <c r="F14" s="45" t="inlineStr">
        <is>
          <t>ESTIMATE - Typical HNW churn without strong digital offering. REQUIRES VALIDATION.</t>
        </is>
      </c>
      <c r="G14" t="inlineStr">
        <is>
          <t>Head of Client Services</t>
        </is>
      </c>
      <c r="H14" s="45" t="inlineStr">
        <is>
          <t>HIGH - Core driver of retention benefit</t>
        </is>
      </c>
    </row>
    <row r="15">
      <c r="B15" t="inlineStr">
        <is>
          <t>W-A10</t>
        </is>
      </c>
      <c r="C15" t="inlineStr">
        <is>
          <t>New Client Acquisition Rate</t>
        </is>
      </c>
      <c r="D15" s="8" t="inlineStr">
        <is>
          <t>800/year (10% growth)</t>
        </is>
      </c>
      <c r="E15" t="inlineStr">
        <is>
          <t>LOW</t>
        </is>
      </c>
      <c r="F15" s="45" t="inlineStr">
        <is>
          <t>ESTIMATE - Based on typical HNW growth rates.</t>
        </is>
      </c>
      <c r="G15" t="inlineStr">
        <is>
          <t>Head of Client Acquisition</t>
        </is>
      </c>
      <c r="H15" s="45" t="inlineStr">
        <is>
          <t>MEDIUM - Affects onboarding benefit sizing</t>
        </is>
      </c>
    </row>
    <row r="16">
      <c r="B16" t="inlineStr">
        <is>
          <t>W-A11</t>
        </is>
      </c>
      <c r="C16" t="inlineStr">
        <is>
          <t>Blended Fee Rate on AUM</t>
        </is>
      </c>
      <c r="D16" s="7" t="inlineStr">
        <is>
          <t>1.0%</t>
        </is>
      </c>
      <c r="E16" t="inlineStr">
        <is>
          <t>HIGH</t>
        </is>
      </c>
      <c r="F16" s="45" t="inlineStr">
        <is>
          <t>DERIVED - $15,000 revenue / $1.5M average AUM.</t>
        </is>
      </c>
      <c r="G16" t="inlineStr">
        <is>
          <t>Finance</t>
        </is>
      </c>
      <c r="H16" s="45" t="inlineStr">
        <is>
          <t>MEDIUM - Affects time-to-revenue calculation</t>
        </is>
      </c>
    </row>
    <row r="17">
      <c r="B17" t="inlineStr">
        <is>
          <t>W-A12</t>
        </is>
      </c>
      <c r="C17" t="inlineStr">
        <is>
          <t>Cross-Sell Success Rate</t>
        </is>
      </c>
      <c r="D17" s="8" t="inlineStr">
        <is>
          <t>5% of clients annually</t>
        </is>
      </c>
      <c r="E17" t="inlineStr">
        <is>
          <t>LOW</t>
        </is>
      </c>
      <c r="F17" s="45" t="inlineStr">
        <is>
          <t>ESTIMATE - Conservative assumption for digital cross-sell. REQUIRES VALIDATION.</t>
        </is>
      </c>
      <c r="G17" t="inlineStr">
        <is>
          <t>Head of Products</t>
        </is>
      </c>
      <c r="H17" s="45" t="inlineStr">
        <is>
          <t>MEDIUM - Defines cross-sell revenue uplift</t>
        </is>
      </c>
    </row>
    <row r="18">
      <c r="B18" t="inlineStr">
        <is>
          <t>W-A13</t>
        </is>
      </c>
      <c r="C18" t="inlineStr">
        <is>
          <t>Implementation Timeline</t>
        </is>
      </c>
      <c r="D18" s="9" t="inlineStr">
        <is>
          <t>25-60-85-100-100%</t>
        </is>
      </c>
      <c r="E18" t="inlineStr">
        <is>
          <t>MEDIUM</t>
        </is>
      </c>
      <c r="F18" s="45" t="inlineStr">
        <is>
          <t>BACKBASE BENCHMARK - Wealth management adoption curve, slower than retail.</t>
        </is>
      </c>
      <c r="G18" t="inlineStr">
        <is>
          <t>Value Consulting</t>
        </is>
      </c>
      <c r="H18" s="45" t="inlineStr">
        <is>
          <t>MEDIUM - Affects timing of benefit realization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</cols>
  <sheetData>
    <row r="1">
      <c r="B1" s="11" t="inlineStr">
        <is>
          <t>Data Gaps - Required for Validation</t>
        </is>
      </c>
    </row>
    <row r="3">
      <c r="B3" s="48" t="inlineStr">
        <is>
          <t>These data points are CRITICAL for validating the ROI model. Prioritize obtaining this data from the client.</t>
        </is>
      </c>
    </row>
    <row r="5">
      <c r="B5" s="19" t="inlineStr">
        <is>
          <t>ID</t>
        </is>
      </c>
      <c r="C5" s="19" t="inlineStr">
        <is>
          <t>Data Needed</t>
        </is>
      </c>
      <c r="D5" s="19" t="inlineStr">
        <is>
          <t>Priority</t>
        </is>
      </c>
      <c r="E5" s="19" t="inlineStr">
        <is>
          <t>Source</t>
        </is>
      </c>
      <c r="F5" s="19" t="inlineStr">
        <is>
          <t>Impact on Model</t>
        </is>
      </c>
    </row>
    <row r="6">
      <c r="B6" t="inlineStr">
        <is>
          <t>WDG1</t>
        </is>
      </c>
      <c r="C6" t="inlineStr">
        <is>
          <t>Actual client attrition rate and reasons</t>
        </is>
      </c>
      <c r="D6" s="49" t="inlineStr">
        <is>
          <t>CRITICAL</t>
        </is>
      </c>
      <c r="E6" t="inlineStr">
        <is>
          <t>CRM / Client Services reporting</t>
        </is>
      </c>
      <c r="F6" s="45" t="inlineStr">
        <is>
          <t>Core input for retention benefit — currently estimated at 5%</t>
        </is>
      </c>
    </row>
    <row r="7">
      <c r="B7" t="inlineStr">
        <is>
          <t>WDG2</t>
        </is>
      </c>
      <c r="C7" t="inlineStr">
        <is>
          <t>RM time allocation breakdown by activity</t>
        </is>
      </c>
      <c r="D7" s="49" t="inlineStr">
        <is>
          <t>CRITICAL</t>
        </is>
      </c>
      <c r="E7" t="inlineStr">
        <is>
          <t>RM time study or CRM activity logs</t>
        </is>
      </c>
      <c r="F7" s="45" t="inlineStr">
        <is>
          <t>Validates the 60% admin baseline and sizes each servicing task correctly</t>
        </is>
      </c>
    </row>
    <row r="8">
      <c r="B8" t="inlineStr">
        <is>
          <t>WDG3</t>
        </is>
      </c>
      <c r="C8" t="inlineStr">
        <is>
          <t>Client onboarding funnel data (prospects, drop-offs, completion rate)</t>
        </is>
      </c>
      <c r="D8" s="8" t="inlineStr">
        <is>
          <t>HIGH</t>
        </is>
      </c>
      <c r="E8" t="inlineStr">
        <is>
          <t>CRM / onboarding system</t>
        </is>
      </c>
      <c r="F8" s="45" t="inlineStr">
        <is>
          <t>Sizes the prospect recovery benefit — abandonment rate currently estimated</t>
        </is>
      </c>
    </row>
    <row r="9">
      <c r="B9" t="inlineStr">
        <is>
          <t>WDG4</t>
        </is>
      </c>
      <c r="C9" t="inlineStr">
        <is>
          <t>Actual onboarding processing hours per client</t>
        </is>
      </c>
      <c r="D9" s="8" t="inlineStr">
        <is>
          <t>HIGH</t>
        </is>
      </c>
      <c r="E9" t="inlineStr">
        <is>
          <t>Operations team / process timing study</t>
        </is>
      </c>
      <c r="F9" s="45" t="inlineStr">
        <is>
          <t>Sizes onboarding cost reduction — currently estimated at 20 hours</t>
        </is>
      </c>
    </row>
    <row r="10">
      <c r="B10" t="inlineStr">
        <is>
          <t>WDG5</t>
        </is>
      </c>
      <c r="C10" t="inlineStr">
        <is>
          <t>Report generation volume and time per report by type</t>
        </is>
      </c>
      <c r="D10" s="8" t="inlineStr">
        <is>
          <t>HIGH</t>
        </is>
      </c>
      <c r="E10" t="inlineStr">
        <is>
          <t>Portfolio management team / reporting system logs</t>
        </is>
      </c>
      <c r="F10" s="45" t="inlineStr">
        <is>
          <t>Core input for portfolio reporting automation benefit</t>
        </is>
      </c>
    </row>
    <row r="11">
      <c r="B11" t="inlineStr">
        <is>
          <t>WDG6</t>
        </is>
      </c>
      <c r="C11" t="inlineStr">
        <is>
          <t>Client inquiry volume by channel (calls, emails, portal)</t>
        </is>
      </c>
      <c r="D11" s="8" t="inlineStr">
        <is>
          <t>HIGH</t>
        </is>
      </c>
      <c r="E11" t="inlineStr">
        <is>
          <t>CRM / telephony system</t>
        </is>
      </c>
      <c r="F11" s="45" t="inlineStr">
        <is>
          <t>Validates client communications servicing volumes</t>
        </is>
      </c>
    </row>
    <row r="12">
      <c r="B12" t="inlineStr">
        <is>
          <t>WDG7</t>
        </is>
      </c>
      <c r="C12" t="inlineStr">
        <is>
          <t>Current digital adoption rate among HNW clients</t>
        </is>
      </c>
      <c r="D12" t="inlineStr">
        <is>
          <t>MEDIUM</t>
        </is>
      </c>
      <c r="E12" t="inlineStr">
        <is>
          <t>Digital analytics / client portal usage data</t>
        </is>
      </c>
      <c r="F12" s="45" t="inlineStr">
        <is>
          <t>Defines baseline for digital engagement improvement</t>
        </is>
      </c>
    </row>
    <row r="13">
      <c r="B13" t="inlineStr">
        <is>
          <t>WDG8</t>
        </is>
      </c>
      <c r="C13" t="inlineStr">
        <is>
          <t>Cross-sell success rate and incremental revenue per product</t>
        </is>
      </c>
      <c r="D13" t="inlineStr">
        <is>
          <t>MEDIUM</t>
        </is>
      </c>
      <c r="E13" t="inlineStr">
        <is>
          <t>Product management / CRM</t>
        </is>
      </c>
      <c r="F13" s="45" t="inlineStr">
        <is>
          <t>Validates cross-sell benefit — currently estimated</t>
        </is>
      </c>
    </row>
    <row r="14">
      <c r="B14" t="inlineStr">
        <is>
          <t>WDG9</t>
        </is>
      </c>
      <c r="C14" t="inlineStr">
        <is>
          <t>Compliance and KYC review frequency and effort per client</t>
        </is>
      </c>
      <c r="D14" t="inlineStr">
        <is>
          <t>MEDIUM</t>
        </is>
      </c>
      <c r="E14" t="inlineStr">
        <is>
          <t>Compliance team</t>
        </is>
      </c>
      <c r="F14" s="45" t="inlineStr">
        <is>
          <t>Validates operations &amp; compliance servicing volumes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2026-02-06T10:35:52Z</dcterms:created>
  <dcterms:modified xmlns:dcterms="http://purl.org/dc/terms/" xmlns:xsi="http://www.w3.org/2001/XMLSchema-instance" xsi:type="dcterms:W3CDTF">2026-02-06T10:35:52Z</dcterms:modified>
</cp:coreProperties>
</file>