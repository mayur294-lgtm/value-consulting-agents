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Results Dashboard" sheetId="4" state="visible" r:id="rId4"/>
    <sheet xmlns:r="http://schemas.openxmlformats.org/officeDocument/2006/relationships" name="Cashflows" sheetId="5" state="visible" r:id="rId5"/>
    <sheet xmlns:r="http://schemas.openxmlformats.org/officeDocument/2006/relationships" name="Journey Analysis" sheetId="6" state="visible" r:id="rId6"/>
    <sheet xmlns:r="http://schemas.openxmlformats.org/officeDocument/2006/relationships" name="Servicing Analysis" sheetId="7" state="visible" r:id="rId7"/>
    <sheet xmlns:r="http://schemas.openxmlformats.org/officeDocument/2006/relationships" name="Journey Inputs" sheetId="8" state="visible" r:id="rId8"/>
    <sheet xmlns:r="http://schemas.openxmlformats.org/officeDocument/2006/relationships" name="Scenario Backup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Bank Profile" sheetId="11" state="visible" r:id="rId11"/>
    <sheet xmlns:r="http://schemas.openxmlformats.org/officeDocument/2006/relationships" name="Data Ga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"/>
  </numFmts>
  <fonts count="2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b val="1"/>
      <color rgb="001A56FF"/>
      <sz val="14"/>
    </font>
    <font>
      <b val="1"/>
      <color rgb="00FFFFFF"/>
    </font>
    <font>
      <sz val="9"/>
    </font>
    <font>
      <color rgb="00666666"/>
      <sz val="9"/>
    </font>
    <font>
      <b val="1"/>
      <color rgb="00FF4444"/>
      <sz val="14"/>
    </font>
    <font>
      <b val="1"/>
      <color rgb="001A56FF"/>
      <sz val="12"/>
    </font>
    <font>
      <b val="1"/>
      <color rgb="00FFFFFF"/>
      <sz val="9"/>
    </font>
    <font>
      <i val="1"/>
      <color rgb="00666666"/>
      <sz val="10"/>
    </font>
    <font>
      <i val="1"/>
      <sz val="10"/>
    </font>
    <font>
      <i val="1"/>
    </font>
    <font>
      <i val="1"/>
      <color rgb="00666666"/>
      <sz val="9"/>
    </font>
    <font>
      <b val="1"/>
      <color rgb="0000B386"/>
    </font>
    <font>
      <b val="1"/>
      <color rgb="0000B386"/>
      <sz val="14"/>
    </font>
    <font>
      <color rgb="0000B386"/>
    </font>
    <font>
      <color rgb="00666666"/>
      <sz val="8"/>
    </font>
    <font>
      <b val="1"/>
      <sz val="14"/>
    </font>
    <font>
      <b val="1"/>
      <color rgb="00FF4444"/>
    </font>
    <font>
      <b val="1"/>
      <sz val="11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6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3" fontId="27" fillId="0" borderId="0" pivotButton="0" quotePrefix="0" xfId="0"/>
    <xf numFmtId="165" fontId="27" fillId="0" borderId="0" pivotButton="0" quotePrefix="0" xfId="0"/>
    <xf numFmtId="164" fontId="27" fillId="0" borderId="0" pivotButton="0" quotePrefix="0" xfId="0"/>
    <xf numFmtId="166" fontId="27" fillId="0" borderId="0" pivotButton="0" quotePrefix="0" xfId="0"/>
    <xf numFmtId="0" fontId="17" fillId="0" borderId="0" pivotButton="0" quotePrefix="0" xfId="0"/>
    <xf numFmtId="165" fontId="10" fillId="0" borderId="0" pivotButton="0" quotePrefix="0" xfId="0"/>
    <xf numFmtId="164" fontId="10" fillId="0" borderId="0" pivotButton="0" quotePrefix="0" xfId="0"/>
    <xf numFmtId="167" fontId="10" fillId="0" borderId="0" pivotButton="0" quotePrefix="0" xfId="0"/>
    <xf numFmtId="165" fontId="0" fillId="0" borderId="0" pivotButton="0" quotePrefix="0" xfId="0"/>
    <xf numFmtId="165" fontId="22" fillId="0" borderId="0" pivotButton="0" quotePrefix="0" xfId="0"/>
    <xf numFmtId="0" fontId="7" fillId="3" borderId="0" pivotButton="0" quotePrefix="0" xfId="0"/>
    <xf numFmtId="164" fontId="0" fillId="3" borderId="0" pivotButton="0" quotePrefix="0" xfId="0"/>
    <xf numFmtId="9" fontId="0" fillId="0" borderId="0" pivotButton="0" quotePrefix="0" xfId="0"/>
    <xf numFmtId="0" fontId="21" fillId="0" borderId="0" pivotButton="0" quotePrefix="0" xfId="0"/>
    <xf numFmtId="165" fontId="6" fillId="0" borderId="0" pivotButton="0" quotePrefix="0" xfId="0"/>
    <xf numFmtId="0" fontId="26" fillId="0" borderId="0" pivotButton="0" quotePrefix="0" xfId="0"/>
    <xf numFmtId="165" fontId="0" fillId="3" borderId="0" pivotButton="0" quotePrefix="0" xfId="0"/>
    <xf numFmtId="0" fontId="25" fillId="0" borderId="0" pivotButton="0" quotePrefix="0" xfId="0"/>
    <xf numFmtId="165" fontId="25" fillId="0" borderId="0" pivotButton="0" quotePrefix="0" xfId="0"/>
    <xf numFmtId="165" fontId="21" fillId="0" borderId="0" pivotButton="0" quotePrefix="0" xfId="0"/>
    <xf numFmtId="164" fontId="22" fillId="0" borderId="0" pivotButton="0" quotePrefix="0" xfId="0"/>
    <xf numFmtId="164" fontId="25" fillId="0" borderId="0" pivotButton="0" quotePrefix="0" xfId="0"/>
    <xf numFmtId="167" fontId="6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5" fillId="0" borderId="0" pivotButton="0" quotePrefix="0" xfId="0"/>
    <xf numFmtId="3" fontId="0" fillId="3" borderId="0" pivotButton="0" quotePrefix="0" xfId="0"/>
    <xf numFmtId="166" fontId="0" fillId="0" borderId="0" pivotButton="0" quotePrefix="0" xfId="0"/>
    <xf numFmtId="9" fontId="0" fillId="6" borderId="0" pivotButton="0" quotePrefix="0" xfId="0"/>
    <xf numFmtId="165" fontId="23" fillId="0" borderId="0" pivotButton="0" quotePrefix="0" xfId="0"/>
    <xf numFmtId="0" fontId="24" fillId="0" borderId="0" pivotButton="0" quotePrefix="0" xfId="0"/>
    <xf numFmtId="3" fontId="6" fillId="0" borderId="0" pivotButton="0" quotePrefix="0" xfId="0"/>
    <xf numFmtId="0" fontId="18" fillId="0" borderId="0" pivotButton="0" quotePrefix="0" xfId="0"/>
    <xf numFmtId="3" fontId="0" fillId="5" borderId="0" pivotButton="0" quotePrefix="0" xfId="0"/>
    <xf numFmtId="0" fontId="12" fillId="0" borderId="0" pivotButton="0" quotePrefix="0" xfId="0"/>
    <xf numFmtId="0" fontId="16" fillId="2" borderId="0" pivotButton="0" quotePrefix="0" xfId="0"/>
    <xf numFmtId="9" fontId="0" fillId="3" borderId="0" pivotButton="0" quotePrefix="0" xfId="0"/>
    <xf numFmtId="3" fontId="0" fillId="4" borderId="0" pivotButton="0" quotePrefix="0" xfId="0"/>
    <xf numFmtId="10" fontId="0" fillId="4" borderId="0" pivotButton="0" quotePrefix="0" xfId="0"/>
    <xf numFmtId="3" fontId="0" fillId="7" borderId="0" pivotButton="0" quotePrefix="0" xfId="0"/>
    <xf numFmtId="4" fontId="0" fillId="5" borderId="0" pivotButton="0" quotePrefix="0" xfId="0"/>
    <xf numFmtId="0" fontId="1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4" fillId="0" borderId="0" pivotButton="0" quotePrefix="0" xfId="0"/>
    <xf numFmtId="0" fontId="6" fillId="5" borderId="0" pivotButton="0" quotePrefix="0" xfId="0"/>
    <xf numFmtId="0" fontId="28" fillId="0" borderId="0" pivotButton="0" quotePrefix="0" xfId="0"/>
    <xf numFmtId="0" fontId="6" fillId="7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SeABank Vietnam</t>
        </is>
      </c>
    </row>
    <row r="12">
      <c r="B12" s="3" t="inlineStr">
        <is>
          <t>Date:</t>
        </is>
      </c>
      <c r="C12" t="inlineStr">
        <is>
          <t>2026-02-06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s="4" t="inlineStr">
        <is>
          <t>Moderate</t>
        </is>
      </c>
    </row>
    <row r="20">
      <c r="B20" s="3" t="inlineStr">
        <is>
          <t>Discount Rate:</t>
        </is>
      </c>
      <c r="C20" s="5" t="n">
        <v>0.1</v>
      </c>
    </row>
    <row r="24">
      <c r="B24" s="6" t="inlineStr">
        <is>
          <t>DATA SOURCE LEGEND</t>
        </is>
      </c>
    </row>
    <row r="26">
      <c r="B26" s="7" t="inlineStr">
        <is>
          <t>Green</t>
        </is>
      </c>
      <c r="C26" t="inlineStr">
        <is>
          <t>From transcript/client data</t>
        </is>
      </c>
    </row>
    <row r="27">
      <c r="B27" s="8" t="inlineStr">
        <is>
          <t>Yellow</t>
        </is>
      </c>
      <c r="C27" t="inlineStr">
        <is>
          <t>Estimate - requires validation</t>
        </is>
      </c>
    </row>
    <row r="28">
      <c r="B28" s="9" t="inlineStr">
        <is>
          <t>Blue</t>
        </is>
      </c>
      <c r="C28" t="inlineStr">
        <is>
          <t>Backbase benchmark</t>
        </is>
      </c>
    </row>
    <row r="29">
      <c r="B29" s="10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1" t="inlineStr">
        <is>
          <t>ROI Model Instructions</t>
        </is>
      </c>
    </row>
    <row r="4">
      <c r="B4" t="inlineStr"/>
    </row>
    <row r="5">
      <c r="B5" s="12" t="inlineStr">
        <is>
          <t>OVERVIEW</t>
        </is>
      </c>
    </row>
    <row r="6">
      <c r="B6" t="inlineStr">
        <is>
          <t>This ROI model calculates value by JOURNEY with LIVE FORMULAS.</t>
        </is>
      </c>
    </row>
    <row r="7">
      <c r="B7" t="inlineStr">
        <is>
          <t>All downstream calculations update automatically when inputs change.</t>
        </is>
      </c>
    </row>
    <row r="8">
      <c r="B8" t="inlineStr"/>
    </row>
    <row r="9">
      <c r="B9" s="12" t="inlineStr">
        <is>
          <t>HOW FORMULAS WORK</t>
        </is>
      </c>
    </row>
    <row r="10">
      <c r="B10" t="inlineStr">
        <is>
          <t>• Blue cells = Editable inputs (change these to update the model)</t>
        </is>
      </c>
    </row>
    <row r="11">
      <c r="B11" t="inlineStr">
        <is>
          <t>• White cells with formulas = Calculated automatically</t>
        </is>
      </c>
    </row>
    <row r="12">
      <c r="B12" t="inlineStr">
        <is>
          <t>• Change the Scenario on the Cashflows sheet to switch between Conservative/Moderate/Aggressive</t>
        </is>
      </c>
    </row>
    <row r="13">
      <c r="B13" t="inlineStr"/>
    </row>
    <row r="14">
      <c r="B14" s="12" t="inlineStr">
        <is>
          <t>JOURNEY-BASED ANALYSIS</t>
        </is>
      </c>
    </row>
    <row r="15">
      <c r="B15" t="inlineStr">
        <is>
          <t>• Customer Onboarding - Revenue uplift + Cost reduction from digital onboarding</t>
        </is>
      </c>
    </row>
    <row r="16">
      <c r="B16" t="inlineStr">
        <is>
          <t>• Loan Origination - Revenue uplift + Cost reduction from digital lending</t>
        </is>
      </c>
    </row>
    <row r="17">
      <c r="B17" t="inlineStr">
        <is>
          <t>• Customer Servicing - Cost avoidance from channel shift (Branch, Call Center, Back Office)</t>
        </is>
      </c>
    </row>
    <row r="18">
      <c r="B18" t="inlineStr"/>
    </row>
    <row r="19">
      <c r="B19" s="12" t="inlineStr">
        <is>
          <t>DATA CONFIDENCE LEVELS</t>
        </is>
      </c>
    </row>
    <row r="20">
      <c r="B20" t="inlineStr">
        <is>
          <t>• HIGH - Direct quote from transcript or validated client data</t>
        </is>
      </c>
    </row>
    <row r="21">
      <c r="B21" t="inlineStr">
        <is>
          <t>• MEDIUM - Inferred from transcript context or industry benchmark</t>
        </is>
      </c>
    </row>
    <row r="22">
      <c r="B22" t="inlineStr">
        <is>
          <t>• LOW - Estimate based on typical patterns - REQUIRES VALIDATION</t>
        </is>
      </c>
    </row>
    <row r="23">
      <c r="B23" t="inlineStr"/>
    </row>
    <row r="24">
      <c r="B24" s="12" t="inlineStr">
        <is>
          <t>SHEETS OVERVIEW</t>
        </is>
      </c>
    </row>
    <row r="25">
      <c r="B25" t="inlineStr">
        <is>
          <t>0. Bank Profile - Bank financial data from annual report (direct + derived metrics)</t>
        </is>
      </c>
    </row>
    <row r="26">
      <c r="B26" t="inlineStr">
        <is>
          <t>1. Results Dashboard - Summary metrics (auto-calculated from Cashflows)</t>
        </is>
      </c>
    </row>
    <row r="27">
      <c r="B27" t="inlineStr">
        <is>
          <t>2. Scenario Backup - Three scenario definitions (edit curves here)</t>
        </is>
      </c>
    </row>
    <row r="28">
      <c r="B28" t="inlineStr">
        <is>
          <t>3. Journey Inputs - All inputs with sources and confidence levels</t>
        </is>
      </c>
    </row>
    <row r="29">
      <c r="B29" t="inlineStr">
        <is>
          <t>4. Journey Analysis - Benefit calculations per journey</t>
        </is>
      </c>
    </row>
    <row r="30">
      <c r="B30" t="inlineStr">
        <is>
          <t>5. Servicing Analysis - Channel-by-channel cost avoidance with formulas</t>
        </is>
      </c>
    </row>
    <row r="31">
      <c r="B31" t="inlineStr">
        <is>
          <t>6. Cashflows - 5-year projection with scenario switching</t>
        </is>
      </c>
    </row>
    <row r="32">
      <c r="B32" t="inlineStr">
        <is>
          <t>7. Assumptions - Complete register with sources and owners</t>
        </is>
      </c>
    </row>
    <row r="33">
      <c r="B33" t="inlineStr">
        <is>
          <t>8. Data Gaps - Required data for validation</t>
        </is>
      </c>
    </row>
    <row r="34">
      <c r="B34" t="inlineStr"/>
    </row>
    <row r="35">
      <c r="B35" s="12" t="inlineStr">
        <is>
          <t>HOW TO USE</t>
        </is>
      </c>
    </row>
    <row r="36">
      <c r="B36" t="inlineStr">
        <is>
          <t>1. Review 'Data Gaps' sheet - these are CRITICAL inputs needed from client</t>
        </is>
      </c>
    </row>
    <row r="37">
      <c r="B37" t="inlineStr">
        <is>
          <t>2. Update input cells (blue) on Servicing Analysis and Journey Analysis</t>
        </is>
      </c>
    </row>
    <row r="38">
      <c r="B38" t="inlineStr">
        <is>
          <t>3. Change Scenario on Cashflows sheet to see Conservative/Moderate/Aggressive</t>
        </is>
      </c>
    </row>
    <row r="39">
      <c r="B39" t="inlineStr">
        <is>
          <t>4. All results update automatically via formulas</t>
        </is>
      </c>
    </row>
    <row r="40">
      <c r="B40" t="inlineStr">
        <is>
          <t>5. Review Assumptions sheet with client stakeholders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20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11" t="inlineStr">
        <is>
          <t>Table of Contents</t>
        </is>
      </c>
    </row>
    <row r="5">
      <c r="B5" s="3" t="inlineStr">
        <is>
          <t>Section 1</t>
        </is>
      </c>
      <c r="C5" t="inlineStr">
        <is>
          <t>Bank Profile</t>
        </is>
      </c>
    </row>
    <row r="6">
      <c r="B6" s="13" t="inlineStr"/>
      <c r="C6" t="inlineStr">
        <is>
          <t xml:space="preserve">  Bank financial data from public sources (direct + derived metrics)</t>
        </is>
      </c>
    </row>
    <row r="7">
      <c r="B7" s="3" t="inlineStr">
        <is>
          <t>Section 2</t>
        </is>
      </c>
      <c r="C7" t="inlineStr">
        <is>
          <t>Results Dashboard</t>
        </is>
      </c>
    </row>
    <row r="8">
      <c r="B8" s="13" t="inlineStr"/>
      <c r="C8" t="inlineStr">
        <is>
          <t xml:space="preserve">  Return on Investment, NPV, IRR</t>
        </is>
      </c>
    </row>
    <row r="9">
      <c r="B9" s="3" t="inlineStr">
        <is>
          <t>Section 3</t>
        </is>
      </c>
      <c r="C9" t="inlineStr">
        <is>
          <t>Scenario Backup</t>
        </is>
      </c>
    </row>
    <row r="10">
      <c r="B10" s="13" t="inlineStr"/>
      <c r="C10" t="inlineStr">
        <is>
          <t xml:space="preserve">  Conservative / Moderate / Aggressive curves</t>
        </is>
      </c>
    </row>
    <row r="11">
      <c r="B11" s="3" t="inlineStr">
        <is>
          <t>Section 4</t>
        </is>
      </c>
      <c r="C11" t="inlineStr">
        <is>
          <t>Journey Inputs</t>
        </is>
      </c>
    </row>
    <row r="12">
      <c r="B12" s="13" t="inlineStr"/>
      <c r="C12" t="inlineStr">
        <is>
          <t xml:space="preserve">  All inputs with sources and confidence</t>
        </is>
      </c>
    </row>
    <row r="13">
      <c r="B13" s="3" t="inlineStr">
        <is>
          <t>Section 5</t>
        </is>
      </c>
      <c r="C13" t="inlineStr">
        <is>
          <t>Journey Analysis</t>
        </is>
      </c>
    </row>
    <row r="14">
      <c r="B14" s="13" t="inlineStr"/>
      <c r="C14" t="inlineStr">
        <is>
          <t xml:space="preserve">  Revenue + Cost benefit calculations (formulas)</t>
        </is>
      </c>
    </row>
    <row r="15">
      <c r="B15" s="3" t="inlineStr">
        <is>
          <t>Section 6</t>
        </is>
      </c>
      <c r="C15" t="inlineStr">
        <is>
          <t>Servicing Analysis</t>
        </is>
      </c>
    </row>
    <row r="16">
      <c r="B16" s="13" t="inlineStr"/>
      <c r="C16" t="inlineStr">
        <is>
          <t xml:space="preserve">  Branch / Call Center / Back Office (formulas)</t>
        </is>
      </c>
    </row>
    <row r="17">
      <c r="B17" s="3" t="inlineStr">
        <is>
          <t>Section 7</t>
        </is>
      </c>
      <c r="C17" t="inlineStr">
        <is>
          <t>Cash Flows</t>
        </is>
      </c>
    </row>
    <row r="18">
      <c r="B18" s="13" t="inlineStr"/>
      <c r="C18" t="inlineStr">
        <is>
          <t xml:space="preserve">  5-year projections with scenario switching</t>
        </is>
      </c>
    </row>
    <row r="19">
      <c r="B19" s="3" t="inlineStr">
        <is>
          <t>Section 8</t>
        </is>
      </c>
      <c r="C19" t="inlineStr">
        <is>
          <t>Assumptions &amp; Data Gaps</t>
        </is>
      </c>
    </row>
    <row r="20">
      <c r="B20" s="13" t="inlineStr"/>
      <c r="C20" t="inlineStr">
        <is>
          <t xml:space="preserve">  Assumptions Register + Validation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2">
      <c r="B2" s="11" t="inlineStr">
        <is>
          <t>Results Dashboard</t>
        </is>
      </c>
    </row>
    <row r="4">
      <c r="B4" s="14" t="inlineStr">
        <is>
          <t>Bank Overview (from Bank Profile)</t>
        </is>
      </c>
    </row>
    <row r="5">
      <c r="B5" s="15" t="inlineStr">
        <is>
          <t>Metric</t>
        </is>
      </c>
      <c r="C5" s="15" t="inlineStr">
        <is>
          <t>Value</t>
        </is>
      </c>
    </row>
    <row r="6">
      <c r="B6" t="inlineStr">
        <is>
          <t>Total Customers</t>
        </is>
      </c>
      <c r="C6" s="16">
        <f>'Bank Profile'!$C$14</f>
        <v/>
      </c>
    </row>
    <row r="7">
      <c r="B7" t="inlineStr">
        <is>
          <t>Annual Revenue</t>
        </is>
      </c>
      <c r="C7" s="17">
        <f>'Bank Profile'!$C$15</f>
        <v/>
      </c>
    </row>
    <row r="8">
      <c r="B8" t="inlineStr">
        <is>
          <t>Cost-to-Income Ratio</t>
        </is>
      </c>
      <c r="C8" s="18">
        <f>'Bank Profile'!$C$17</f>
        <v/>
      </c>
    </row>
    <row r="9">
      <c r="B9" t="inlineStr">
        <is>
          <t>Total FTE</t>
        </is>
      </c>
      <c r="C9" s="16">
        <f>'Bank Profile'!$C$18</f>
        <v/>
      </c>
    </row>
    <row r="10">
      <c r="B10" t="inlineStr">
        <is>
          <t>FTE Rate ($/hr)</t>
        </is>
      </c>
      <c r="C10" s="19">
        <f>'Bank Profile'!$C$23</f>
        <v/>
      </c>
    </row>
    <row r="12">
      <c r="B12" s="14" t="inlineStr">
        <is>
          <t>Financial Metrics - 5 Year Projections</t>
        </is>
      </c>
    </row>
    <row r="13">
      <c r="B13" s="20" t="inlineStr">
        <is>
          <t>All values below are live formulas referencing the Cashflows sheet.</t>
        </is>
      </c>
    </row>
    <row r="15">
      <c r="B15" s="6" t="inlineStr">
        <is>
          <t>Total 5-Year Benefits</t>
        </is>
      </c>
      <c r="C15" s="21">
        <f>Cashflows!C31</f>
        <v/>
      </c>
    </row>
    <row r="17">
      <c r="B17" s="6" t="inlineStr">
        <is>
          <t>Total 5-Year Investment</t>
        </is>
      </c>
      <c r="C17" s="21">
        <f>Cashflows!C30</f>
        <v/>
      </c>
    </row>
    <row r="19">
      <c r="B19" s="6" t="inlineStr">
        <is>
          <t>Net Benefit</t>
        </is>
      </c>
      <c r="C19" s="21">
        <f>Cashflows!C32</f>
        <v/>
      </c>
    </row>
    <row r="21">
      <c r="B21" s="6" t="inlineStr">
        <is>
          <t>ROI</t>
        </is>
      </c>
      <c r="C21" s="22">
        <f>Cashflows!C33</f>
        <v/>
      </c>
    </row>
    <row r="23">
      <c r="B23" s="6" t="inlineStr">
        <is>
          <t>Net Present Value (NPV)</t>
        </is>
      </c>
      <c r="C23" s="21">
        <f>Cashflows!C34</f>
        <v/>
      </c>
    </row>
    <row r="25">
      <c r="B25" s="6" t="inlineStr">
        <is>
          <t>Internal Rate of Return (IRR)</t>
        </is>
      </c>
      <c r="C25" s="22">
        <f>Cashflows!C35</f>
        <v/>
      </c>
    </row>
    <row r="27">
      <c r="B27" s="6" t="inlineStr">
        <is>
          <t>Payback Period (years)</t>
        </is>
      </c>
      <c r="C27" s="23">
        <f>Cashflows!C36</f>
        <v/>
      </c>
    </row>
    <row r="30">
      <c r="B30" s="14" t="inlineStr">
        <is>
          <t>Benefits by Journey (Annual Steady State)</t>
        </is>
      </c>
    </row>
    <row r="32">
      <c r="B32" s="15" t="inlineStr">
        <is>
          <t>Journey</t>
        </is>
      </c>
      <c r="C32" s="15" t="inlineStr">
        <is>
          <t>Annual Benefit</t>
        </is>
      </c>
    </row>
    <row r="33">
      <c r="B33" t="inlineStr">
        <is>
          <t>Digital Customer Onboarding (CASA)</t>
        </is>
      </c>
      <c r="C33" s="24">
        <f>'Journey Analysis'!C18</f>
        <v/>
      </c>
    </row>
    <row r="34">
      <c r="B34" t="inlineStr">
        <is>
          <t>Loan Origination (Personal &amp; SME)</t>
        </is>
      </c>
      <c r="C34" s="24">
        <f>'Journey Analysis'!C32</f>
        <v/>
      </c>
    </row>
    <row r="35">
      <c r="B35" t="inlineStr">
        <is>
          <t>Customer Servicing</t>
        </is>
      </c>
      <c r="C35" s="24">
        <f>'Servicing Analysis'!H27</f>
        <v/>
      </c>
    </row>
    <row r="36">
      <c r="B36" s="3" t="inlineStr">
        <is>
          <t>TOTAL</t>
        </is>
      </c>
      <c r="C36" s="25">
        <f>SUM(C33:C35)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1" t="inlineStr">
        <is>
          <t>5 Year Cashflows &amp; ROI</t>
        </is>
      </c>
    </row>
    <row r="3">
      <c r="B3" s="3" t="inlineStr">
        <is>
          <t>Scenario:</t>
        </is>
      </c>
      <c r="C3" s="26" t="inlineStr">
        <is>
          <t>Moderate</t>
        </is>
      </c>
    </row>
    <row r="4">
      <c r="B4" s="3" t="inlineStr">
        <is>
          <t>Discount Rate (WACC):</t>
        </is>
      </c>
      <c r="C4" s="27" t="n">
        <v>0.1</v>
      </c>
    </row>
    <row r="6">
      <c r="B6" s="12" t="inlineStr">
        <is>
          <t>LOADING CURVES (Scenario-Driven)</t>
        </is>
      </c>
    </row>
    <row r="7">
      <c r="C7" s="15" t="inlineStr">
        <is>
          <t>Year 1</t>
        </is>
      </c>
      <c r="D7" s="15" t="inlineStr">
        <is>
          <t>Year 2</t>
        </is>
      </c>
      <c r="E7" s="15" t="inlineStr">
        <is>
          <t>Year 3</t>
        </is>
      </c>
      <c r="F7" s="15" t="inlineStr">
        <is>
          <t>Year 4</t>
        </is>
      </c>
      <c r="G7" s="15" t="inlineStr">
        <is>
          <t>Year 5</t>
        </is>
      </c>
    </row>
    <row r="8">
      <c r="B8" s="3" t="inlineStr">
        <is>
          <t>Implementation %</t>
        </is>
      </c>
      <c r="C8" s="28">
        <f>IF($C$3="Conservative",'Scenario Backup'!C5,IF($C$3="Moderate",'Scenario Backup'!C11,'Scenario Backup'!C17))</f>
        <v/>
      </c>
      <c r="D8" s="28">
        <f>IF($C$3="Conservative",'Scenario Backup'!D5,IF($C$3="Moderate",'Scenario Backup'!D11,'Scenario Backup'!D17))</f>
        <v/>
      </c>
      <c r="E8" s="28">
        <f>IF($C$3="Conservative",'Scenario Backup'!E5,IF($C$3="Moderate",'Scenario Backup'!E11,'Scenario Backup'!E17))</f>
        <v/>
      </c>
      <c r="F8" s="28">
        <f>IF($C$3="Conservative",'Scenario Backup'!F5,IF($C$3="Moderate",'Scenario Backup'!F11,'Scenario Backup'!F17))</f>
        <v/>
      </c>
      <c r="G8" s="28">
        <f>IF($C$3="Conservative",'Scenario Backup'!G5,IF($C$3="Moderate",'Scenario Backup'!G11,'Scenario Backup'!G17))</f>
        <v/>
      </c>
    </row>
    <row r="9">
      <c r="B9" s="3" t="inlineStr">
        <is>
          <t>Effectiveness %</t>
        </is>
      </c>
      <c r="C9" s="28">
        <f>IF($C$3="Conservative",'Scenario Backup'!C6,IF($C$3="Moderate",'Scenario Backup'!C12,'Scenario Backup'!C18))</f>
        <v/>
      </c>
      <c r="D9" s="28">
        <f>IF($C$3="Conservative",'Scenario Backup'!D6,IF($C$3="Moderate",'Scenario Backup'!D12,'Scenario Backup'!D18))</f>
        <v/>
      </c>
      <c r="E9" s="28">
        <f>IF($C$3="Conservative",'Scenario Backup'!E6,IF($C$3="Moderate",'Scenario Backup'!E12,'Scenario Backup'!E18))</f>
        <v/>
      </c>
      <c r="F9" s="28">
        <f>IF($C$3="Conservative",'Scenario Backup'!F6,IF($C$3="Moderate",'Scenario Backup'!F12,'Scenario Backup'!F18))</f>
        <v/>
      </c>
      <c r="G9" s="28">
        <f>IF($C$3="Conservative",'Scenario Backup'!G6,IF($C$3="Moderate",'Scenario Backup'!G12,'Scenario Backup'!G18))</f>
        <v/>
      </c>
    </row>
    <row r="10">
      <c r="B10" s="3" t="inlineStr">
        <is>
          <t>YoY Growth %</t>
        </is>
      </c>
      <c r="C10" s="28">
        <f>IF($C$3="Conservative",'Scenario Backup'!C7,IF($C$3="Moderate",'Scenario Backup'!C13,'Scenario Backup'!C19))</f>
        <v/>
      </c>
      <c r="D10" s="28">
        <f>IF($C$3="Conservative",'Scenario Backup'!D7,IF($C$3="Moderate",'Scenario Backup'!D13,'Scenario Backup'!D19))</f>
        <v/>
      </c>
      <c r="E10" s="28">
        <f>IF($C$3="Conservative",'Scenario Backup'!E7,IF($C$3="Moderate",'Scenario Backup'!E13,'Scenario Backup'!E19))</f>
        <v/>
      </c>
      <c r="F10" s="28">
        <f>IF($C$3="Conservative",'Scenario Backup'!F7,IF($C$3="Moderate",'Scenario Backup'!F13,'Scenario Backup'!F19))</f>
        <v/>
      </c>
      <c r="G10" s="28">
        <f>IF($C$3="Conservative",'Scenario Backup'!G7,IF($C$3="Moderate",'Scenario Backup'!G13,'Scenario Backup'!G19))</f>
        <v/>
      </c>
    </row>
    <row r="12">
      <c r="B12" s="29" t="inlineStr">
        <is>
          <t>CASH INFLOWS (Benefits)</t>
        </is>
      </c>
    </row>
    <row r="13">
      <c r="C13" s="15" t="inlineStr">
        <is>
          <t>Year 1</t>
        </is>
      </c>
      <c r="D13" s="15" t="inlineStr">
        <is>
          <t>Year 2</t>
        </is>
      </c>
      <c r="E13" s="15" t="inlineStr">
        <is>
          <t>Year 3</t>
        </is>
      </c>
      <c r="F13" s="15" t="inlineStr">
        <is>
          <t>Year 4</t>
        </is>
      </c>
      <c r="G13" s="15" t="inlineStr">
        <is>
          <t>Year 5</t>
        </is>
      </c>
      <c r="H13" s="15" t="inlineStr">
        <is>
          <t>Total</t>
        </is>
      </c>
    </row>
    <row r="14">
      <c r="B14" t="inlineStr">
        <is>
          <t>Digital Customer Onboarding (CASA)</t>
        </is>
      </c>
      <c r="C14" s="24">
        <f>'Journey Analysis'!$C$18*C$8*C$9*(1+C$10)</f>
        <v/>
      </c>
      <c r="D14" s="24">
        <f>'Journey Analysis'!$C$18*D$8*D$9*(1+D$10)</f>
        <v/>
      </c>
      <c r="E14" s="24">
        <f>'Journey Analysis'!$C$18*E$8*E$9*(1+E$10)</f>
        <v/>
      </c>
      <c r="F14" s="24">
        <f>'Journey Analysis'!$C$18*F$8*F$9*(1+F$10)</f>
        <v/>
      </c>
      <c r="G14" s="24">
        <f>'Journey Analysis'!$C$18*G$8*G$9*(1+G$10)</f>
        <v/>
      </c>
      <c r="H14" s="24">
        <f>SUM(C14:G14)</f>
        <v/>
      </c>
    </row>
    <row r="15">
      <c r="B15" t="inlineStr">
        <is>
          <t>Loan Origination (Personal &amp; SME)</t>
        </is>
      </c>
      <c r="C15" s="24">
        <f>'Journey Analysis'!$C$32*C$8*C$9*(1+C$10)</f>
        <v/>
      </c>
      <c r="D15" s="24">
        <f>'Journey Analysis'!$C$32*D$8*D$9*(1+D$10)</f>
        <v/>
      </c>
      <c r="E15" s="24">
        <f>'Journey Analysis'!$C$32*E$8*E$9*(1+E$10)</f>
        <v/>
      </c>
      <c r="F15" s="24">
        <f>'Journey Analysis'!$C$32*F$8*F$9*(1+F$10)</f>
        <v/>
      </c>
      <c r="G15" s="24">
        <f>'Journey Analysis'!$C$32*G$8*G$9*(1+G$10)</f>
        <v/>
      </c>
      <c r="H15" s="24">
        <f>SUM(C15:G15)</f>
        <v/>
      </c>
    </row>
    <row r="16">
      <c r="B16" t="inlineStr">
        <is>
          <t>Customer Servicing</t>
        </is>
      </c>
      <c r="C16" s="24">
        <f>'Servicing Analysis'!$H$27*C$8*C$9*(1+C$10)</f>
        <v/>
      </c>
      <c r="D16" s="24">
        <f>'Servicing Analysis'!$H$27*D$8*D$9*(1+D$10)</f>
        <v/>
      </c>
      <c r="E16" s="24">
        <f>'Servicing Analysis'!$H$27*E$8*E$9*(1+E$10)</f>
        <v/>
      </c>
      <c r="F16" s="24">
        <f>'Servicing Analysis'!$H$27*F$8*F$9*(1+F$10)</f>
        <v/>
      </c>
      <c r="G16" s="24">
        <f>'Servicing Analysis'!$H$27*G$8*G$9*(1+G$10)</f>
        <v/>
      </c>
      <c r="H16" s="24">
        <f>SUM(C16:G16)</f>
        <v/>
      </c>
    </row>
    <row r="17">
      <c r="B17" s="3" t="inlineStr">
        <is>
          <t>Total Cash Inflow</t>
        </is>
      </c>
      <c r="C17" s="30">
        <f>SUM(C14:C16)</f>
        <v/>
      </c>
      <c r="D17" s="30">
        <f>SUM(D14:D16)</f>
        <v/>
      </c>
      <c r="E17" s="30">
        <f>SUM(E14:E16)</f>
        <v/>
      </c>
      <c r="F17" s="30">
        <f>SUM(F14:F16)</f>
        <v/>
      </c>
      <c r="G17" s="30">
        <f>SUM(G14:G16)</f>
        <v/>
      </c>
      <c r="H17" s="30">
        <f>SUM(C17:G17)</f>
        <v/>
      </c>
    </row>
    <row r="19">
      <c r="B19" s="31" t="inlineStr">
        <is>
          <t>CASH OUTFLOWS (Investment)</t>
        </is>
      </c>
    </row>
    <row r="20">
      <c r="C20" s="15" t="inlineStr">
        <is>
          <t>Year 1</t>
        </is>
      </c>
      <c r="D20" s="15" t="inlineStr">
        <is>
          <t>Year 2</t>
        </is>
      </c>
      <c r="E20" s="15" t="inlineStr">
        <is>
          <t>Year 3</t>
        </is>
      </c>
      <c r="F20" s="15" t="inlineStr">
        <is>
          <t>Year 4</t>
        </is>
      </c>
      <c r="G20" s="15" t="inlineStr">
        <is>
          <t>Year 5</t>
        </is>
      </c>
      <c r="H20" s="15" t="inlineStr">
        <is>
          <t>Total</t>
        </is>
      </c>
    </row>
    <row r="21">
      <c r="B21" t="inlineStr">
        <is>
          <t>License</t>
        </is>
      </c>
      <c r="C21" s="32" t="n">
        <v>1200000</v>
      </c>
      <c r="D21" s="32" t="n">
        <v>1500000</v>
      </c>
      <c r="E21" s="32" t="n">
        <v>1500000</v>
      </c>
      <c r="F21" s="32" t="n">
        <v>1500000</v>
      </c>
      <c r="G21" s="32" t="n">
        <v>1500000</v>
      </c>
      <c r="H21" s="24">
        <f>SUM(C21:G21)</f>
        <v/>
      </c>
    </row>
    <row r="22">
      <c r="B22" t="inlineStr">
        <is>
          <t>Implementation</t>
        </is>
      </c>
      <c r="C22" s="32" t="n">
        <v>4000000</v>
      </c>
      <c r="D22" s="32" t="n">
        <v>1500000</v>
      </c>
      <c r="E22" s="32" t="n">
        <v>500000</v>
      </c>
      <c r="F22" s="32" t="n">
        <v>500000</v>
      </c>
      <c r="G22" s="32" t="n">
        <v>500000</v>
      </c>
      <c r="H22" s="24">
        <f>SUM(C22:G22)</f>
        <v/>
      </c>
    </row>
    <row r="23">
      <c r="B23" s="3" t="inlineStr">
        <is>
          <t>Total Cash Outflow</t>
        </is>
      </c>
      <c r="C23" s="30">
        <f>C21+C22</f>
        <v/>
      </c>
      <c r="D23" s="30">
        <f>D21+D22</f>
        <v/>
      </c>
      <c r="E23" s="30">
        <f>E21+E22</f>
        <v/>
      </c>
      <c r="F23" s="30">
        <f>F21+F22</f>
        <v/>
      </c>
      <c r="G23" s="30">
        <f>G21+G22</f>
        <v/>
      </c>
      <c r="H23" s="30">
        <f>SUM(C23:G23)</f>
        <v/>
      </c>
    </row>
    <row r="25">
      <c r="B25" s="33" t="inlineStr">
        <is>
          <t>NET CASHFLOW</t>
        </is>
      </c>
      <c r="C25" s="30">
        <f>C17-C23</f>
        <v/>
      </c>
      <c r="D25" s="30">
        <f>D17-D23</f>
        <v/>
      </c>
      <c r="E25" s="30">
        <f>E17-E23</f>
        <v/>
      </c>
      <c r="F25" s="30">
        <f>F17-F23</f>
        <v/>
      </c>
      <c r="G25" s="30">
        <f>G17-G23</f>
        <v/>
      </c>
      <c r="H25" s="34">
        <f>SUM(C25:G25)</f>
        <v/>
      </c>
    </row>
    <row r="26">
      <c r="B26" t="inlineStr">
        <is>
          <t>Cumulative Cashflow</t>
        </is>
      </c>
      <c r="C26" s="24">
        <f>C25</f>
        <v/>
      </c>
      <c r="D26" s="24">
        <f>C26+D25</f>
        <v/>
      </c>
      <c r="E26" s="24">
        <f>D26+E25</f>
        <v/>
      </c>
      <c r="F26" s="24">
        <f>E26+F25</f>
        <v/>
      </c>
      <c r="G26" s="24">
        <f>F26+G25</f>
        <v/>
      </c>
    </row>
    <row r="29">
      <c r="B29" s="14" t="inlineStr">
        <is>
          <t>FINANCIAL METRICS</t>
        </is>
      </c>
    </row>
    <row r="30">
      <c r="B30" t="inlineStr">
        <is>
          <t>Total 5-Year Investment</t>
        </is>
      </c>
      <c r="C30" s="30">
        <f>H23</f>
        <v/>
      </c>
    </row>
    <row r="31">
      <c r="B31" t="inlineStr">
        <is>
          <t>Total 5-Year Benefits</t>
        </is>
      </c>
      <c r="C31" s="30">
        <f>H17</f>
        <v/>
      </c>
    </row>
    <row r="32">
      <c r="B32" t="inlineStr">
        <is>
          <t>Net Benefit</t>
        </is>
      </c>
      <c r="C32" s="35">
        <f>C31-C30</f>
        <v/>
      </c>
    </row>
    <row r="33">
      <c r="B33" t="inlineStr">
        <is>
          <t>ROI</t>
        </is>
      </c>
      <c r="C33" s="36">
        <f>IF(C30=0,"",C32/C30)</f>
        <v/>
      </c>
    </row>
    <row r="34">
      <c r="B34" t="inlineStr">
        <is>
          <t>Net Present Value (NPV)</t>
        </is>
      </c>
      <c r="C34" s="25">
        <f>NPV($C$4,D25:G25)+C25</f>
        <v/>
      </c>
    </row>
    <row r="35">
      <c r="B35" t="inlineStr">
        <is>
          <t>Internal Rate of Return (IRR)</t>
        </is>
      </c>
      <c r="C35" s="37">
        <f>IFERROR(IRR(C25:G25),"N/A")</f>
        <v/>
      </c>
    </row>
    <row r="36">
      <c r="B36" t="inlineStr">
        <is>
          <t>Payback Period (years)</t>
        </is>
      </c>
      <c r="C36" s="38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3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B1" s="11" t="inlineStr">
        <is>
          <t>Journey Value Analysis</t>
        </is>
      </c>
    </row>
    <row r="3">
      <c r="B3" s="20" t="inlineStr">
        <is>
          <t>Annual steady-state benefit per journey. Yearly projections on Cashflows sheet.</t>
        </is>
      </c>
    </row>
    <row r="6">
      <c r="B6" s="14" t="inlineStr">
        <is>
          <t>Digital Customer Onboarding (CASA)</t>
        </is>
      </c>
    </row>
    <row r="8">
      <c r="B8" s="29" t="inlineStr">
        <is>
          <t>Revenue Generation</t>
        </is>
      </c>
    </row>
    <row r="9">
      <c r="B9" s="15" t="inlineStr">
        <is>
          <t>Driver</t>
        </is>
      </c>
      <c r="C9" s="15" t="inlineStr">
        <is>
          <t>Annual Benefit</t>
        </is>
      </c>
    </row>
    <row r="10">
      <c r="B10" t="inlineStr">
        <is>
          <t>Increase Customer Conversion - Digital Channel</t>
        </is>
      </c>
      <c r="C10" s="32" t="n">
        <v>3960000</v>
      </c>
    </row>
    <row r="11">
      <c r="B11" s="3" t="inlineStr">
        <is>
          <t>Revenue Generation Total</t>
        </is>
      </c>
      <c r="C11" s="30">
        <f>SUM(C10:C10)</f>
        <v/>
      </c>
    </row>
    <row r="13">
      <c r="B13" s="29" t="inlineStr">
        <is>
          <t>Cost Reduction</t>
        </is>
      </c>
    </row>
    <row r="14">
      <c r="B14" s="15" t="inlineStr">
        <is>
          <t>Driver</t>
        </is>
      </c>
      <c r="C14" s="15" t="inlineStr">
        <is>
          <t>Annual Benefit</t>
        </is>
      </c>
    </row>
    <row r="15">
      <c r="B15" t="inlineStr">
        <is>
          <t>Reduce Onboarding Processing Cost</t>
        </is>
      </c>
      <c r="C15" s="32" t="n">
        <v>12600000</v>
      </c>
    </row>
    <row r="16">
      <c r="B16" s="3" t="inlineStr">
        <is>
          <t>Cost Reduction Total</t>
        </is>
      </c>
      <c r="C16" s="30">
        <f>SUM(C15:C15)</f>
        <v/>
      </c>
    </row>
    <row r="18">
      <c r="B18" s="6" t="inlineStr">
        <is>
          <t>Digital Customer Onboarding (CASA) - Total Annual Benefit</t>
        </is>
      </c>
      <c r="C18" s="25">
        <f>C11+C16</f>
        <v/>
      </c>
    </row>
    <row r="20">
      <c r="B20" s="14" t="inlineStr">
        <is>
          <t>Loan Origination (Personal &amp; SME)</t>
        </is>
      </c>
    </row>
    <row r="22">
      <c r="B22" s="29" t="inlineStr">
        <is>
          <t>Revenue Generation</t>
        </is>
      </c>
    </row>
    <row r="23">
      <c r="B23" s="15" t="inlineStr">
        <is>
          <t>Driver</t>
        </is>
      </c>
      <c r="C23" s="15" t="inlineStr">
        <is>
          <t>Annual Benefit</t>
        </is>
      </c>
    </row>
    <row r="24">
      <c r="B24" t="inlineStr">
        <is>
          <t>Increase Loan Application Conversion</t>
        </is>
      </c>
      <c r="C24" s="32" t="n">
        <v>7200000</v>
      </c>
    </row>
    <row r="25">
      <c r="B25" s="3" t="inlineStr">
        <is>
          <t>Revenue Generation Total</t>
        </is>
      </c>
      <c r="C25" s="30">
        <f>SUM(C24:C24)</f>
        <v/>
      </c>
    </row>
    <row r="27">
      <c r="B27" s="29" t="inlineStr">
        <is>
          <t>Cost Reduction</t>
        </is>
      </c>
    </row>
    <row r="28">
      <c r="B28" s="15" t="inlineStr">
        <is>
          <t>Driver</t>
        </is>
      </c>
      <c r="C28" s="15" t="inlineStr">
        <is>
          <t>Annual Benefit</t>
        </is>
      </c>
    </row>
    <row r="29">
      <c r="B29" t="inlineStr">
        <is>
          <t>Reduce Loan Processing Cost</t>
        </is>
      </c>
      <c r="C29" s="32" t="n">
        <v>2700000</v>
      </c>
    </row>
    <row r="30">
      <c r="B30" s="3" t="inlineStr">
        <is>
          <t>Cost Reduction Total</t>
        </is>
      </c>
      <c r="C30" s="30">
        <f>SUM(C29:C29)</f>
        <v/>
      </c>
    </row>
    <row r="32">
      <c r="B32" s="6" t="inlineStr">
        <is>
          <t>Loan Origination (Personal &amp; SME) - Total Annual Benefit</t>
        </is>
      </c>
      <c r="C32" s="25">
        <f>C25+C30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2" customWidth="1" min="7" max="7"/>
    <col width="18" customWidth="1" min="8" max="8"/>
    <col width="40" customWidth="1" min="9" max="9"/>
  </cols>
  <sheetData>
    <row r="1">
      <c r="B1" s="11" t="inlineStr">
        <is>
          <t>Customer Servicing - Channel Analysis</t>
        </is>
      </c>
    </row>
    <row r="3">
      <c r="B3" s="39" t="inlineStr">
        <is>
          <t>Evidence IDs: E5</t>
        </is>
      </c>
    </row>
    <row r="4">
      <c r="B4" s="40" t="inlineStr">
        <is>
          <t>Baseline = Volume x Time x Rate (formula). Saved = Baseline x Impact (formula).</t>
        </is>
      </c>
    </row>
    <row r="6">
      <c r="B6" s="15" t="inlineStr">
        <is>
          <t>Task</t>
        </is>
      </c>
      <c r="C6" s="15" t="inlineStr">
        <is>
          <t>Volume</t>
        </is>
      </c>
      <c r="D6" s="15" t="inlineStr">
        <is>
          <t>Time (hrs)</t>
        </is>
      </c>
      <c r="E6" s="15" t="inlineStr">
        <is>
          <t>Rate</t>
        </is>
      </c>
      <c r="F6" s="15" t="inlineStr">
        <is>
          <t>Baseline</t>
        </is>
      </c>
      <c r="G6" s="15" t="inlineStr">
        <is>
          <t>Impact</t>
        </is>
      </c>
      <c r="H6" s="15" t="inlineStr">
        <is>
          <t>Saved</t>
        </is>
      </c>
      <c r="I6" s="15" t="inlineStr">
        <is>
          <t>Source</t>
        </is>
      </c>
    </row>
    <row r="8">
      <c r="B8" s="41" t="inlineStr">
        <is>
          <t>Branch</t>
        </is>
      </c>
    </row>
    <row r="9">
      <c r="B9" t="inlineStr">
        <is>
          <t>Balance &amp; Account Inquiry</t>
        </is>
      </c>
      <c r="C9" s="42" t="n">
        <v>150000</v>
      </c>
      <c r="D9" s="4" t="n">
        <v>0.1</v>
      </c>
      <c r="E9" s="43">
        <f>'Bank Profile'!$C$23</f>
        <v/>
      </c>
      <c r="F9" s="24">
        <f>C9*D9*E9</f>
        <v/>
      </c>
      <c r="G9" s="44" t="n">
        <v>0.7</v>
      </c>
      <c r="H9" s="45">
        <f>F9*G9</f>
        <v/>
      </c>
      <c r="I9" s="46" t="inlineStr">
        <is>
          <t>ESTIMATE - 30% of customers visit branch annually.</t>
        </is>
      </c>
    </row>
    <row r="10">
      <c r="B10" t="inlineStr">
        <is>
          <t>Statement &amp; Document Requests</t>
        </is>
      </c>
      <c r="C10" s="42" t="n">
        <v>100000</v>
      </c>
      <c r="D10" s="4" t="n">
        <v>0.17</v>
      </c>
      <c r="E10" s="43">
        <f>'Bank Profile'!$C$23</f>
        <v/>
      </c>
      <c r="F10" s="24">
        <f>C10*D10*E10</f>
        <v/>
      </c>
      <c r="G10" s="44" t="n">
        <v>0.8</v>
      </c>
      <c r="H10" s="45">
        <f>F10*G10</f>
        <v/>
      </c>
      <c r="I10" s="46" t="inlineStr">
        <is>
          <t>ESTIMATE - 20% of customers request statements in branch.</t>
        </is>
      </c>
    </row>
    <row r="11">
      <c r="B11" t="inlineStr">
        <is>
          <t>Card Services</t>
        </is>
      </c>
      <c r="C11" s="42" t="n">
        <v>50000</v>
      </c>
      <c r="D11" s="4" t="n">
        <v>0.17</v>
      </c>
      <c r="E11" s="43">
        <f>'Bank Profile'!$C$23</f>
        <v/>
      </c>
      <c r="F11" s="24">
        <f>C11*D11*E11</f>
        <v/>
      </c>
      <c r="G11" s="44" t="n">
        <v>0.85</v>
      </c>
      <c r="H11" s="45">
        <f>F11*G11</f>
        <v/>
      </c>
      <c r="I11" s="46" t="inlineStr">
        <is>
          <t>ESTIMATE - Card-related branch visits.</t>
        </is>
      </c>
    </row>
    <row r="12">
      <c r="B12" s="3" t="inlineStr">
        <is>
          <t>Branch Subtotal</t>
        </is>
      </c>
      <c r="C12" s="47">
        <f>SUM(C9:C11)</f>
        <v/>
      </c>
      <c r="F12" s="30">
        <f>SUM(F9:F11)</f>
        <v/>
      </c>
      <c r="H12" s="35">
        <f>SUM(H9:H11)</f>
        <v/>
      </c>
    </row>
    <row r="14">
      <c r="B14" s="41" t="inlineStr">
        <is>
          <t>Call Center</t>
        </is>
      </c>
    </row>
    <row r="15">
      <c r="B15" t="inlineStr">
        <is>
          <t>Balance &amp; Account Inquiry</t>
        </is>
      </c>
      <c r="C15" s="42" t="n">
        <v>400000</v>
      </c>
      <c r="D15" s="4" t="n">
        <v>0.08</v>
      </c>
      <c r="E15" s="43">
        <f>'Bank Profile'!$C$23</f>
        <v/>
      </c>
      <c r="F15" s="24">
        <f>C15*D15*E15</f>
        <v/>
      </c>
      <c r="G15" s="44" t="n">
        <v>0.7</v>
      </c>
      <c r="H15" s="45">
        <f>F15*G15</f>
        <v/>
      </c>
      <c r="I15" s="46" t="inlineStr">
        <is>
          <t>ESTIMATE - High call volume for simple inquiries.</t>
        </is>
      </c>
    </row>
    <row r="16">
      <c r="B16" t="inlineStr">
        <is>
          <t>Statement Requests</t>
        </is>
      </c>
      <c r="C16" s="42" t="n">
        <v>200000</v>
      </c>
      <c r="D16" s="4" t="n">
        <v>0.1</v>
      </c>
      <c r="E16" s="43">
        <f>'Bank Profile'!$C$23</f>
        <v/>
      </c>
      <c r="F16" s="24">
        <f>C16*D16*E16</f>
        <v/>
      </c>
      <c r="G16" s="44" t="n">
        <v>0.85</v>
      </c>
      <c r="H16" s="45">
        <f>F16*G16</f>
        <v/>
      </c>
      <c r="I16" s="46" t="inlineStr">
        <is>
          <t>ESTIMATE - Frequent call reason.</t>
        </is>
      </c>
    </row>
    <row r="17">
      <c r="B17" t="inlineStr">
        <is>
          <t>Card Services</t>
        </is>
      </c>
      <c r="C17" s="42" t="n">
        <v>150000</v>
      </c>
      <c r="D17" s="4" t="n">
        <v>0.12</v>
      </c>
      <c r="E17" s="43">
        <f>'Bank Profile'!$C$23</f>
        <v/>
      </c>
      <c r="F17" s="24">
        <f>C17*D17*E17</f>
        <v/>
      </c>
      <c r="G17" s="44" t="n">
        <v>0.9</v>
      </c>
      <c r="H17" s="45">
        <f>F17*G17</f>
        <v/>
      </c>
      <c r="I17" s="46" t="inlineStr">
        <is>
          <t>ESTIMATE - Emergency and routine card calls.</t>
        </is>
      </c>
    </row>
    <row r="18">
      <c r="B18" t="inlineStr">
        <is>
          <t>Transaction Inquiries</t>
        </is>
      </c>
      <c r="C18" s="42" t="n">
        <v>300000</v>
      </c>
      <c r="D18" s="4" t="n">
        <v>0.15</v>
      </c>
      <c r="E18" s="43">
        <f>'Bank Profile'!$C$23</f>
        <v/>
      </c>
      <c r="F18" s="24">
        <f>C18*D18*E18</f>
        <v/>
      </c>
      <c r="G18" s="44" t="n">
        <v>0.55</v>
      </c>
      <c r="H18" s="45">
        <f>F18*G18</f>
        <v/>
      </c>
      <c r="I18" s="46" t="inlineStr">
        <is>
          <t>ESTIMATE - Common call reason.</t>
        </is>
      </c>
    </row>
    <row r="19">
      <c r="B19" s="3" t="inlineStr">
        <is>
          <t>Call Center Subtotal</t>
        </is>
      </c>
      <c r="C19" s="47">
        <f>SUM(C15:C18)</f>
        <v/>
      </c>
      <c r="F19" s="30">
        <f>SUM(F15:F18)</f>
        <v/>
      </c>
      <c r="H19" s="35">
        <f>SUM(H15:H18)</f>
        <v/>
      </c>
    </row>
    <row r="21">
      <c r="B21" s="41" t="inlineStr">
        <is>
          <t>Back Office</t>
        </is>
      </c>
    </row>
    <row r="22">
      <c r="B22" t="inlineStr">
        <is>
          <t>Document Processing</t>
        </is>
      </c>
      <c r="C22" s="42" t="n">
        <v>80000</v>
      </c>
      <c r="D22" s="4" t="n">
        <v>0.5</v>
      </c>
      <c r="E22" s="43">
        <f>'Bank Profile'!$C$23</f>
        <v/>
      </c>
      <c r="F22" s="24">
        <f>C22*D22*E22</f>
        <v/>
      </c>
      <c r="G22" s="44" t="n">
        <v>0.5</v>
      </c>
      <c r="H22" s="45">
        <f>F22*G22</f>
        <v/>
      </c>
      <c r="I22" s="46" t="inlineStr">
        <is>
          <t>ESTIMATE - Follow-up document handling.</t>
        </is>
      </c>
    </row>
    <row r="23">
      <c r="B23" t="inlineStr">
        <is>
          <t>Account Maintenance</t>
        </is>
      </c>
      <c r="C23" s="42" t="n">
        <v>60000</v>
      </c>
      <c r="D23" s="4" t="n">
        <v>0.33</v>
      </c>
      <c r="E23" s="43">
        <f>'Bank Profile'!$C$23</f>
        <v/>
      </c>
      <c r="F23" s="24">
        <f>C23*D23*E23</f>
        <v/>
      </c>
      <c r="G23" s="44" t="n">
        <v>0.4</v>
      </c>
      <c r="H23" s="45">
        <f>F23*G23</f>
        <v/>
      </c>
      <c r="I23" s="46" t="inlineStr">
        <is>
          <t>ESTIMATE - Changes requiring back office.</t>
        </is>
      </c>
    </row>
    <row r="24">
      <c r="B24" s="3" t="inlineStr">
        <is>
          <t>Back Office Subtotal</t>
        </is>
      </c>
      <c r="C24" s="47">
        <f>SUM(C22:C23)</f>
        <v/>
      </c>
      <c r="F24" s="30">
        <f>SUM(F22:F23)</f>
        <v/>
      </c>
      <c r="H24" s="35">
        <f>SUM(H22:H23)</f>
        <v/>
      </c>
    </row>
    <row r="27">
      <c r="B27" s="33" t="inlineStr">
        <is>
          <t>TOTAL SERVICING</t>
        </is>
      </c>
      <c r="C27" s="47">
        <f>C12+C19+C24</f>
        <v/>
      </c>
      <c r="F27" s="30">
        <f>F12+F19+F24</f>
        <v/>
      </c>
      <c r="H27" s="25">
        <f>H12+H19+H24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6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2" customWidth="1" min="4" max="4"/>
    <col width="50" customWidth="1" min="5" max="5"/>
    <col width="20" customWidth="1" min="6" max="6"/>
  </cols>
  <sheetData>
    <row r="1">
      <c r="B1" s="11" t="inlineStr">
        <is>
          <t>Value Driver Inputs by Journey</t>
        </is>
      </c>
    </row>
    <row r="3">
      <c r="B3" s="48" t="inlineStr">
        <is>
          <t>Color coding: Green=Transcript, Yellow=Estimate, Blue=Benchmark</t>
        </is>
      </c>
    </row>
    <row r="5">
      <c r="B5" s="14" t="inlineStr">
        <is>
          <t>Basic Information</t>
        </is>
      </c>
    </row>
    <row r="6">
      <c r="B6" s="15" t="inlineStr">
        <is>
          <t>Input</t>
        </is>
      </c>
      <c r="C6" s="15" t="inlineStr">
        <is>
          <t>Value</t>
        </is>
      </c>
      <c r="D6" s="15" t="inlineStr">
        <is>
          <t>Conf.</t>
        </is>
      </c>
      <c r="E6" s="15" t="inlineStr">
        <is>
          <t>Source</t>
        </is>
      </c>
    </row>
    <row r="7">
      <c r="B7" t="inlineStr">
        <is>
          <t>Total Customers</t>
        </is>
      </c>
      <c r="C7" s="49" t="n">
        <v>500000</v>
      </c>
      <c r="D7" t="inlineStr">
        <is>
          <t>LOW</t>
        </is>
      </c>
      <c r="E7" s="50" t="inlineStr">
        <is>
          <t>PROVIDED - Client confirmed 500,000 retail customers.</t>
        </is>
      </c>
    </row>
    <row r="8">
      <c r="B8" t="inlineStr">
        <is>
          <t>Annual Revenue</t>
        </is>
      </c>
      <c r="C8" s="49" t="n">
        <v>200000000</v>
      </c>
      <c r="D8" t="inlineStr">
        <is>
          <t>LOW</t>
        </is>
      </c>
      <c r="E8" s="50" t="inlineStr">
        <is>
          <t>PROVIDED - Client confirmed $200M annual revenue.</t>
        </is>
      </c>
    </row>
    <row r="9">
      <c r="B9" t="inlineStr">
        <is>
          <t>Average FTE Rate/Hour</t>
        </is>
      </c>
      <c r="C9" s="49" t="n">
        <v>20</v>
      </c>
      <c r="D9" t="inlineStr">
        <is>
          <t>LOW</t>
        </is>
      </c>
      <c r="E9" s="50" t="inlineStr">
        <is>
          <t>ESTIMATE - SEA regional loaded cost. REQUIRES VALIDATION with Finance.</t>
        </is>
      </c>
    </row>
    <row r="12">
      <c r="B12" s="14" t="inlineStr">
        <is>
          <t>Digital Customer Onboarding (CASA)</t>
        </is>
      </c>
    </row>
    <row r="13">
      <c r="B13" s="39" t="inlineStr">
        <is>
          <t>Evidence from Discovery:</t>
        </is>
      </c>
    </row>
    <row r="14">
      <c r="B14" s="40" t="inlineStr">
        <is>
          <t xml:space="preserve">  "Current onboarding takes 5 days - Client Input (E1)"</t>
        </is>
      </c>
    </row>
    <row r="15">
      <c r="B15" s="40" t="inlineStr">
        <is>
          <t xml:space="preserve">  "Target is same-day digital onboarding - Client Input (E2)"</t>
        </is>
      </c>
    </row>
    <row r="17">
      <c r="B17" s="3" t="inlineStr">
        <is>
          <t>Revenue Drivers</t>
        </is>
      </c>
    </row>
    <row r="18">
      <c r="B18" s="12" t="inlineStr">
        <is>
          <t>Increase Customer Conversion - Digital Channel</t>
        </is>
      </c>
    </row>
    <row r="19">
      <c r="B19" t="inlineStr">
        <is>
          <t xml:space="preserve">  Monthly Digital Applications</t>
        </is>
      </c>
      <c r="C19" s="8" t="n">
        <v>15000</v>
      </c>
      <c r="D19" t="inlineStr">
        <is>
          <t>MEDIUM</t>
        </is>
      </c>
      <c r="E19" s="50" t="inlineStr">
        <is>
          <t>ESTIMATE - Based on 500K customers, 3.6% annual growth implies ~180K new customers/year, 80% start digitally.</t>
        </is>
      </c>
    </row>
    <row r="20">
      <c r="B20" t="inlineStr">
        <is>
          <t xml:space="preserve">  Current Abandonment Rate</t>
        </is>
      </c>
      <c r="C20" s="8" t="n">
        <v>0.55</v>
      </c>
      <c r="D20" t="inlineStr">
        <is>
          <t>MEDIUM</t>
        </is>
      </c>
      <c r="E20" s="50" t="inlineStr">
        <is>
          <t>ESTIMATE - 5-day process typically sees 50-60% abandonment. Using 55%.</t>
        </is>
      </c>
    </row>
    <row r="21">
      <c r="B21" t="inlineStr">
        <is>
          <t xml:space="preserve">  Average First Year Revenue</t>
        </is>
      </c>
      <c r="C21" s="7" t="n">
        <v>400</v>
      </c>
      <c r="D21" t="inlineStr">
        <is>
          <t>HIGH</t>
        </is>
      </c>
      <c r="E21" s="50" t="inlineStr">
        <is>
          <t>DERIVED - $200M revenue / 500K customers = $400/customer.</t>
        </is>
      </c>
    </row>
    <row r="22">
      <c r="B22" t="inlineStr">
        <is>
          <t xml:space="preserve">  Backbase Impact</t>
        </is>
      </c>
      <c r="C22" s="9" t="n">
        <v>0.1</v>
      </c>
      <c r="D22" t="inlineStr">
        <is>
          <t>MEDIUM</t>
        </is>
      </c>
      <c r="E22" s="50" t="inlineStr">
        <is>
          <t>BACKBASE BENCHMARK - Same-day onboarding typically improves conversion by 8-12%.</t>
        </is>
      </c>
    </row>
    <row r="23">
      <c r="B23" s="3" t="inlineStr">
        <is>
          <t xml:space="preserve">  Potential Annual Benefit</t>
        </is>
      </c>
      <c r="C23" s="35" t="n">
        <v>3960000</v>
      </c>
    </row>
    <row r="25">
      <c r="B25" s="3" t="inlineStr">
        <is>
          <t>Cost Drivers</t>
        </is>
      </c>
    </row>
    <row r="26">
      <c r="B26" s="12" t="inlineStr">
        <is>
          <t>Reduce Onboarding Processing Cost</t>
        </is>
      </c>
    </row>
    <row r="27">
      <c r="B27" t="inlineStr">
        <is>
          <t xml:space="preserve">  Annual Applications</t>
        </is>
      </c>
      <c r="C27" s="8" t="n">
        <v>180000</v>
      </c>
      <c r="D27" t="inlineStr">
        <is>
          <t>MEDIUM</t>
        </is>
      </c>
      <c r="E27" s="50" t="inlineStr">
        <is>
          <t>ESTIMATE - 15K monthly applications * 12 months.</t>
        </is>
      </c>
    </row>
    <row r="28">
      <c r="B28" t="inlineStr">
        <is>
          <t xml:space="preserve">  Current Processing Hours</t>
        </is>
      </c>
      <c r="C28" s="8" t="n">
        <v>4</v>
      </c>
      <c r="D28" t="inlineStr">
        <is>
          <t>LOW</t>
        </is>
      </c>
      <c r="E28" s="50" t="inlineStr">
        <is>
          <t>ESTIMATE - 5-day process implies significant manual work. 4 hours of FTE time per application.</t>
        </is>
      </c>
    </row>
    <row r="29">
      <c r="B29" t="inlineStr">
        <is>
          <t xml:space="preserve">  Target Processing Hours</t>
        </is>
      </c>
      <c r="C29" s="8" t="n">
        <v>0.5</v>
      </c>
      <c r="D29" t="inlineStr">
        <is>
          <t>MEDIUM</t>
        </is>
      </c>
      <c r="E29" s="50" t="inlineStr">
        <is>
          <t>ESTIMATE - Same-day digital reduces to 30 min review/approval.</t>
        </is>
      </c>
    </row>
    <row r="30">
      <c r="B30" t="inlineStr">
        <is>
          <t xml:space="preserve">  Fte Cost Per Hour</t>
        </is>
      </c>
      <c r="C30" s="8" t="n">
        <v>20</v>
      </c>
      <c r="D30" t="inlineStr">
        <is>
          <t>LOW</t>
        </is>
      </c>
      <c r="E30" s="50" t="inlineStr">
        <is>
          <t>ESTIMATE - SEA regional loaded cost.</t>
        </is>
      </c>
    </row>
    <row r="31">
      <c r="B31" s="3" t="inlineStr">
        <is>
          <t xml:space="preserve">  Potential Annual Benefit</t>
        </is>
      </c>
      <c r="C31" s="35" t="n">
        <v>12600000</v>
      </c>
    </row>
    <row r="34">
      <c r="B34" s="14" t="inlineStr">
        <is>
          <t>Loan Origination (Personal &amp; SME)</t>
        </is>
      </c>
    </row>
    <row r="35">
      <c r="B35" s="39" t="inlineStr">
        <is>
          <t>Evidence from Discovery:</t>
        </is>
      </c>
    </row>
    <row r="36">
      <c r="B36" s="40" t="inlineStr">
        <is>
          <t xml:space="preserve">  "Want to improve loan origination process - Client Input (E3)"</t>
        </is>
      </c>
    </row>
    <row r="37">
      <c r="B37" s="40" t="inlineStr">
        <is>
          <t xml:space="preserve">  "Loans tied to digital experience improvements - Client Input (E4)"</t>
        </is>
      </c>
    </row>
    <row r="39">
      <c r="B39" s="3" t="inlineStr">
        <is>
          <t>Revenue Drivers</t>
        </is>
      </c>
    </row>
    <row r="40">
      <c r="B40" s="12" t="inlineStr">
        <is>
          <t>Increase Loan Application Conversion</t>
        </is>
      </c>
    </row>
    <row r="41">
      <c r="B41" t="inlineStr">
        <is>
          <t xml:space="preserve">  Annual Loan Applications</t>
        </is>
      </c>
      <c r="C41" s="8" t="n">
        <v>75000</v>
      </c>
      <c r="D41" t="inlineStr">
        <is>
          <t>LOW</t>
        </is>
      </c>
      <c r="E41" s="50" t="inlineStr">
        <is>
          <t>ESTIMATE - Based on 500K customers, ~15% apply for loans annually.</t>
        </is>
      </c>
    </row>
    <row r="42">
      <c r="B42" t="inlineStr">
        <is>
          <t xml:space="preserve">  Current Conversion Rate</t>
        </is>
      </c>
      <c r="C42" s="8" t="n">
        <v>0.4</v>
      </c>
      <c r="D42" t="inlineStr">
        <is>
          <t>LOW</t>
        </is>
      </c>
      <c r="E42" s="50" t="inlineStr">
        <is>
          <t>ESTIMATE - Industry average for traditional loan processes is 35-45%.</t>
        </is>
      </c>
    </row>
    <row r="43">
      <c r="B43" t="inlineStr">
        <is>
          <t xml:space="preserve">  Average Loan Revenue</t>
        </is>
      </c>
      <c r="C43" s="8" t="n">
        <v>800</v>
      </c>
      <c r="D43" t="inlineStr">
        <is>
          <t>LOW</t>
        </is>
      </c>
      <c r="E43" s="50" t="inlineStr">
        <is>
          <t>ESTIMATE - Average interest income + fees per approved loan (Year 1).</t>
        </is>
      </c>
    </row>
    <row r="44">
      <c r="B44" t="inlineStr">
        <is>
          <t xml:space="preserve">  Backbase Impact</t>
        </is>
      </c>
      <c r="C44" s="9" t="n">
        <v>0.2</v>
      </c>
      <c r="D44" t="inlineStr">
        <is>
          <t>MEDIUM</t>
        </is>
      </c>
      <c r="E44" s="50" t="inlineStr">
        <is>
          <t>BACKBASE BENCHMARK - Digital loan origination improves conversion by 15-25%.</t>
        </is>
      </c>
    </row>
    <row r="45">
      <c r="B45" s="3" t="inlineStr">
        <is>
          <t xml:space="preserve">  Potential Annual Benefit</t>
        </is>
      </c>
      <c r="C45" s="35" t="n">
        <v>7200000</v>
      </c>
    </row>
    <row r="47">
      <c r="B47" s="3" t="inlineStr">
        <is>
          <t>Cost Drivers</t>
        </is>
      </c>
    </row>
    <row r="48">
      <c r="B48" s="12" t="inlineStr">
        <is>
          <t>Reduce Loan Processing Cost</t>
        </is>
      </c>
    </row>
    <row r="49">
      <c r="B49" t="inlineStr">
        <is>
          <t xml:space="preserve">  Annual Loan Applications</t>
        </is>
      </c>
      <c r="C49" s="8" t="n">
        <v>75000</v>
      </c>
      <c r="D49" t="inlineStr">
        <is>
          <t>LOW</t>
        </is>
      </c>
      <c r="E49" s="50" t="inlineStr">
        <is>
          <t>ESTIMATE - Same as revenue driver.</t>
        </is>
      </c>
    </row>
    <row r="50">
      <c r="B50" t="inlineStr">
        <is>
          <t xml:space="preserve">  Current Processing Hours</t>
        </is>
      </c>
      <c r="C50" s="8" t="n">
        <v>6</v>
      </c>
      <c r="D50" t="inlineStr">
        <is>
          <t>LOW</t>
        </is>
      </c>
      <c r="E50" s="50" t="inlineStr">
        <is>
          <t>ESTIMATE - Traditional loan requires credit check, verification, underwriting.</t>
        </is>
      </c>
    </row>
    <row r="51">
      <c r="B51" t="inlineStr">
        <is>
          <t xml:space="preserve">  Fte Cost Per Hour</t>
        </is>
      </c>
      <c r="C51" s="8" t="n">
        <v>20</v>
      </c>
      <c r="D51" t="inlineStr">
        <is>
          <t>LOW</t>
        </is>
      </c>
      <c r="E51" s="50" t="inlineStr">
        <is>
          <t>ESTIMATE - SEA regional loaded cost.</t>
        </is>
      </c>
    </row>
    <row r="52">
      <c r="B52" t="inlineStr">
        <is>
          <t xml:space="preserve">  Backbase Impact</t>
        </is>
      </c>
      <c r="C52" s="9" t="n">
        <v>0.3</v>
      </c>
      <c r="D52" t="inlineStr">
        <is>
          <t>MEDIUM</t>
        </is>
      </c>
      <c r="E52" s="50" t="inlineStr">
        <is>
          <t>BACKBASE BENCHMARK - 30% reduction with automated decisioning and digital docs.</t>
        </is>
      </c>
    </row>
    <row r="53">
      <c r="B53" s="3" t="inlineStr">
        <is>
          <t xml:space="preserve">  Potential Annual Benefit</t>
        </is>
      </c>
      <c r="C53" s="35" t="n">
        <v>2700000</v>
      </c>
    </row>
    <row r="56">
      <c r="B56" s="14" t="inlineStr">
        <is>
          <t>Customer Servicing Journey</t>
        </is>
      </c>
    </row>
    <row r="57">
      <c r="B57" s="39" t="inlineStr">
        <is>
          <t>Evidence from Discovery:</t>
        </is>
      </c>
    </row>
    <row r="58">
      <c r="B58" s="40" t="inlineStr">
        <is>
          <t xml:space="preserve">  "Servicing tied to digital transformation - Client Input (E5)"</t>
        </is>
      </c>
    </row>
    <row r="60">
      <c r="B60" s="39" t="inlineStr">
        <is>
          <t>See 'Servicing Analysis' sheet for detailed breakdown by channel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1" t="inlineStr">
        <is>
          <t>Scenario Definitions</t>
        </is>
      </c>
    </row>
    <row r="4">
      <c r="B4" s="41" t="inlineStr">
        <is>
          <t>Conservative</t>
        </is>
      </c>
      <c r="C4" s="51" t="inlineStr">
        <is>
          <t>Year 1</t>
        </is>
      </c>
      <c r="D4" s="51" t="inlineStr">
        <is>
          <t>Year 2</t>
        </is>
      </c>
      <c r="E4" s="51" t="inlineStr">
        <is>
          <t>Year 3</t>
        </is>
      </c>
      <c r="F4" s="51" t="inlineStr">
        <is>
          <t>Year 4</t>
        </is>
      </c>
      <c r="G4" s="51" t="inlineStr">
        <is>
          <t>Year 5</t>
        </is>
      </c>
    </row>
    <row r="5">
      <c r="B5" s="3" t="inlineStr">
        <is>
          <t>Implementation %</t>
        </is>
      </c>
      <c r="C5" s="52" t="n">
        <v>0.2</v>
      </c>
      <c r="D5" s="52" t="n">
        <v>0.6</v>
      </c>
      <c r="E5" s="52" t="n">
        <v>0.8</v>
      </c>
      <c r="F5" s="52" t="n">
        <v>0.9</v>
      </c>
      <c r="G5" s="52" t="n">
        <v>1</v>
      </c>
    </row>
    <row r="6">
      <c r="B6" s="3" t="inlineStr">
        <is>
          <t>Effectiveness %</t>
        </is>
      </c>
      <c r="C6" s="52" t="n">
        <v>0.1</v>
      </c>
      <c r="D6" s="52" t="n">
        <v>0.25</v>
      </c>
      <c r="E6" s="52" t="n">
        <v>0.45</v>
      </c>
      <c r="F6" s="52" t="n">
        <v>0.7</v>
      </c>
      <c r="G6" s="52" t="n">
        <v>0.85</v>
      </c>
    </row>
    <row r="7">
      <c r="B7" s="3" t="inlineStr">
        <is>
          <t>YoY Growth %</t>
        </is>
      </c>
      <c r="C7" s="52" t="n">
        <v>0.08</v>
      </c>
      <c r="D7" s="52" t="n">
        <v>0.08</v>
      </c>
      <c r="E7" s="52" t="n">
        <v>0.08</v>
      </c>
      <c r="F7" s="52" t="n">
        <v>0.08</v>
      </c>
      <c r="G7" s="52" t="n">
        <v>0.08</v>
      </c>
    </row>
    <row r="10">
      <c r="B10" s="41" t="inlineStr">
        <is>
          <t>Moderate</t>
        </is>
      </c>
      <c r="C10" s="51" t="inlineStr">
        <is>
          <t>Year 1</t>
        </is>
      </c>
      <c r="D10" s="51" t="inlineStr">
        <is>
          <t>Year 2</t>
        </is>
      </c>
      <c r="E10" s="51" t="inlineStr">
        <is>
          <t>Year 3</t>
        </is>
      </c>
      <c r="F10" s="51" t="inlineStr">
        <is>
          <t>Year 4</t>
        </is>
      </c>
      <c r="G10" s="51" t="inlineStr">
        <is>
          <t>Year 5</t>
        </is>
      </c>
    </row>
    <row r="11">
      <c r="B11" s="3" t="inlineStr">
        <is>
          <t>Implementation %</t>
        </is>
      </c>
      <c r="C11" s="52" t="n">
        <v>0.3</v>
      </c>
      <c r="D11" s="52" t="n">
        <v>0.7</v>
      </c>
      <c r="E11" s="52" t="n">
        <v>0.9</v>
      </c>
      <c r="F11" s="52" t="n">
        <v>1</v>
      </c>
      <c r="G11" s="52" t="n">
        <v>1</v>
      </c>
    </row>
    <row r="12">
      <c r="B12" s="3" t="inlineStr">
        <is>
          <t>Effectiveness %</t>
        </is>
      </c>
      <c r="C12" s="52" t="n">
        <v>0.15</v>
      </c>
      <c r="D12" s="52" t="n">
        <v>0.4</v>
      </c>
      <c r="E12" s="52" t="n">
        <v>0.65</v>
      </c>
      <c r="F12" s="52" t="n">
        <v>0.85</v>
      </c>
      <c r="G12" s="52" t="n">
        <v>1</v>
      </c>
    </row>
    <row r="13">
      <c r="B13" s="3" t="inlineStr">
        <is>
          <t>YoY Growth %</t>
        </is>
      </c>
      <c r="C13" s="52" t="n">
        <v>0.08</v>
      </c>
      <c r="D13" s="52" t="n">
        <v>0.08</v>
      </c>
      <c r="E13" s="52" t="n">
        <v>0.08</v>
      </c>
      <c r="F13" s="52" t="n">
        <v>0.08</v>
      </c>
      <c r="G13" s="52" t="n">
        <v>0.08</v>
      </c>
    </row>
    <row r="16">
      <c r="B16" s="41" t="inlineStr">
        <is>
          <t>Aggressive</t>
        </is>
      </c>
      <c r="C16" s="51" t="inlineStr">
        <is>
          <t>Year 1</t>
        </is>
      </c>
      <c r="D16" s="51" t="inlineStr">
        <is>
          <t>Year 2</t>
        </is>
      </c>
      <c r="E16" s="51" t="inlineStr">
        <is>
          <t>Year 3</t>
        </is>
      </c>
      <c r="F16" s="51" t="inlineStr">
        <is>
          <t>Year 4</t>
        </is>
      </c>
      <c r="G16" s="51" t="inlineStr">
        <is>
          <t>Year 5</t>
        </is>
      </c>
    </row>
    <row r="17">
      <c r="B17" s="3" t="inlineStr">
        <is>
          <t>Implementation %</t>
        </is>
      </c>
      <c r="C17" s="52" t="n">
        <v>0.4</v>
      </c>
      <c r="D17" s="52" t="n">
        <v>0.8</v>
      </c>
      <c r="E17" s="52" t="n">
        <v>0.95</v>
      </c>
      <c r="F17" s="52" t="n">
        <v>1</v>
      </c>
      <c r="G17" s="52" t="n">
        <v>1</v>
      </c>
    </row>
    <row r="18">
      <c r="B18" s="3" t="inlineStr">
        <is>
          <t>Effectiveness %</t>
        </is>
      </c>
      <c r="C18" s="52" t="n">
        <v>0.25</v>
      </c>
      <c r="D18" s="52" t="n">
        <v>0.5</v>
      </c>
      <c r="E18" s="52" t="n">
        <v>0.75</v>
      </c>
      <c r="F18" s="52" t="n">
        <v>0.9</v>
      </c>
      <c r="G18" s="52" t="n">
        <v>1</v>
      </c>
    </row>
    <row r="19">
      <c r="B19" s="3" t="inlineStr">
        <is>
          <t>YoY Growth %</t>
        </is>
      </c>
      <c r="C19" s="52" t="n">
        <v>0.08</v>
      </c>
      <c r="D19" s="52" t="n">
        <v>0.08</v>
      </c>
      <c r="E19" s="52" t="n">
        <v>0.08</v>
      </c>
      <c r="F19" s="52" t="n">
        <v>0.08</v>
      </c>
      <c r="G19" s="52" t="n">
        <v>0.08</v>
      </c>
    </row>
    <row r="21">
      <c r="B21" s="20" t="inlineStr">
        <is>
          <t>Note: Edit curves above to adjust scenario assumptions.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11" t="inlineStr">
        <is>
          <t>Assumptions Register</t>
        </is>
      </c>
    </row>
    <row r="3">
      <c r="B3" s="39" t="inlineStr">
        <is>
          <t>All assumptions documented with sources and validation owners</t>
        </is>
      </c>
    </row>
    <row r="5">
      <c r="B5" s="15" t="inlineStr">
        <is>
          <t>ID</t>
        </is>
      </c>
      <c r="C5" s="15" t="inlineStr">
        <is>
          <t>Assumption</t>
        </is>
      </c>
      <c r="D5" s="15" t="inlineStr">
        <is>
          <t>Value</t>
        </is>
      </c>
      <c r="E5" s="15" t="inlineStr">
        <is>
          <t>Conf.</t>
        </is>
      </c>
      <c r="F5" s="15" t="inlineStr">
        <is>
          <t>Source</t>
        </is>
      </c>
      <c r="G5" s="15" t="inlineStr">
        <is>
          <t>Owner</t>
        </is>
      </c>
      <c r="H5" s="15" t="inlineStr">
        <is>
          <t>Sensitivity</t>
        </is>
      </c>
    </row>
    <row r="6">
      <c r="B6" t="inlineStr">
        <is>
          <t>A1</t>
        </is>
      </c>
      <c r="C6" t="inlineStr">
        <is>
          <t>Total Customer Base</t>
        </is>
      </c>
      <c r="D6" s="7" t="inlineStr">
        <is>
          <t>500,000</t>
        </is>
      </c>
      <c r="E6" t="inlineStr">
        <is>
          <t>HIGH</t>
        </is>
      </c>
      <c r="F6" s="50" t="inlineStr">
        <is>
          <t>PROVIDED - Client confirmed.</t>
        </is>
      </c>
      <c r="G6" t="inlineStr">
        <is>
          <t>Client</t>
        </is>
      </c>
      <c r="H6" s="50" t="inlineStr">
        <is>
          <t>HIGH - Affects all per-customer calculations</t>
        </is>
      </c>
    </row>
    <row r="7">
      <c r="B7" t="inlineStr">
        <is>
          <t>A2</t>
        </is>
      </c>
      <c r="C7" t="inlineStr">
        <is>
          <t>Annual Revenue</t>
        </is>
      </c>
      <c r="D7" s="7" t="inlineStr">
        <is>
          <t>$200,000,000</t>
        </is>
      </c>
      <c r="E7" t="inlineStr">
        <is>
          <t>HIGH</t>
        </is>
      </c>
      <c r="F7" s="50" t="inlineStr">
        <is>
          <t>PROVIDED - Client confirmed.</t>
        </is>
      </c>
      <c r="G7" t="inlineStr">
        <is>
          <t>Client</t>
        </is>
      </c>
      <c r="H7" s="50" t="inlineStr">
        <is>
          <t>HIGH - Core financial metric</t>
        </is>
      </c>
    </row>
    <row r="8">
      <c r="B8" t="inlineStr">
        <is>
          <t>A3</t>
        </is>
      </c>
      <c r="C8" t="inlineStr">
        <is>
          <t>Cost-to-Income Ratio</t>
        </is>
      </c>
      <c r="D8" s="7" t="inlineStr">
        <is>
          <t>65%</t>
        </is>
      </c>
      <c r="E8" t="inlineStr">
        <is>
          <t>HIGH</t>
        </is>
      </c>
      <c r="F8" s="50" t="inlineStr">
        <is>
          <t>PROVIDED - Client confirmed.</t>
        </is>
      </c>
      <c r="G8" t="inlineStr">
        <is>
          <t>Client</t>
        </is>
      </c>
      <c r="H8" s="50" t="inlineStr">
        <is>
          <t>MEDIUM - Defines cost structure</t>
        </is>
      </c>
    </row>
    <row r="9">
      <c r="B9" t="inlineStr">
        <is>
          <t>A4</t>
        </is>
      </c>
      <c r="C9" t="inlineStr">
        <is>
          <t>Current Onboarding Time</t>
        </is>
      </c>
      <c r="D9" s="7" t="inlineStr">
        <is>
          <t>5 days</t>
        </is>
      </c>
      <c r="E9" t="inlineStr">
        <is>
          <t>HIGH</t>
        </is>
      </c>
      <c r="F9" s="50" t="inlineStr">
        <is>
          <t>PROVIDED - Client confirmed.</t>
        </is>
      </c>
      <c r="G9" t="inlineStr">
        <is>
          <t>Client</t>
        </is>
      </c>
      <c r="H9" s="50" t="inlineStr">
        <is>
          <t>HIGH - Core improvement driver</t>
        </is>
      </c>
    </row>
    <row r="10">
      <c r="B10" t="inlineStr">
        <is>
          <t>A5</t>
        </is>
      </c>
      <c r="C10" t="inlineStr">
        <is>
          <t>Target Onboarding Time</t>
        </is>
      </c>
      <c r="D10" s="7" t="inlineStr">
        <is>
          <t>Same day</t>
        </is>
      </c>
      <c r="E10" t="inlineStr">
        <is>
          <t>HIGH</t>
        </is>
      </c>
      <c r="F10" s="50" t="inlineStr">
        <is>
          <t>PROVIDED - Client confirmed target.</t>
        </is>
      </c>
      <c r="G10" t="inlineStr">
        <is>
          <t>Client</t>
        </is>
      </c>
      <c r="H10" s="50" t="inlineStr">
        <is>
          <t>HIGH - Defines benefit potential</t>
        </is>
      </c>
    </row>
    <row r="11">
      <c r="B11" t="inlineStr">
        <is>
          <t>A6</t>
        </is>
      </c>
      <c r="C11" t="inlineStr">
        <is>
          <t>Monthly Digital Applications</t>
        </is>
      </c>
      <c r="D11" s="9" t="inlineStr">
        <is>
          <t>15,000</t>
        </is>
      </c>
      <c r="E11" t="inlineStr">
        <is>
          <t>MEDIUM</t>
        </is>
      </c>
      <c r="F11" s="50" t="inlineStr">
        <is>
          <t>ESTIMATE - Based on customer base and typical growth rates.</t>
        </is>
      </c>
      <c r="G11" t="inlineStr">
        <is>
          <t>Digital Lead</t>
        </is>
      </c>
      <c r="H11" s="50" t="inlineStr">
        <is>
          <t>HIGH - Core driver of onboarding benefits</t>
        </is>
      </c>
    </row>
    <row r="12">
      <c r="B12" t="inlineStr">
        <is>
          <t>A7</t>
        </is>
      </c>
      <c r="C12" t="inlineStr">
        <is>
          <t>Digital Abandonment Rate</t>
        </is>
      </c>
      <c r="D12" s="9" t="inlineStr">
        <is>
          <t>55%</t>
        </is>
      </c>
      <c r="E12" t="inlineStr">
        <is>
          <t>MEDIUM</t>
        </is>
      </c>
      <c r="F12" s="50" t="inlineStr">
        <is>
          <t>ESTIMATE - 5-day process typically sees 50-60% abandonment.</t>
        </is>
      </c>
      <c r="G12" t="inlineStr">
        <is>
          <t>Digital Lead</t>
        </is>
      </c>
      <c r="H12" s="50" t="inlineStr">
        <is>
          <t>HIGH - Defines improvement headroom</t>
        </is>
      </c>
    </row>
    <row r="13">
      <c r="B13" t="inlineStr">
        <is>
          <t>A8</t>
        </is>
      </c>
      <c r="C13" t="inlineStr">
        <is>
          <t>Loaded FTE Cost per Hour</t>
        </is>
      </c>
      <c r="D13" s="8" t="inlineStr">
        <is>
          <t>$20</t>
        </is>
      </c>
      <c r="E13" t="inlineStr">
        <is>
          <t>LOW</t>
        </is>
      </c>
      <c r="F13" s="50" t="inlineStr">
        <is>
          <t>ESTIMATE - SEA regional average.</t>
        </is>
      </c>
      <c r="G13" t="inlineStr">
        <is>
          <t>Finance/HR</t>
        </is>
      </c>
      <c r="H13" s="50" t="inlineStr">
        <is>
          <t>HIGH - Affects all cost calculations</t>
        </is>
      </c>
    </row>
    <row r="14">
      <c r="B14" t="inlineStr">
        <is>
          <t>A9</t>
        </is>
      </c>
      <c r="C14" t="inlineStr">
        <is>
          <t>Annual Loan Applications</t>
        </is>
      </c>
      <c r="D14" s="8" t="inlineStr">
        <is>
          <t>75,000</t>
        </is>
      </c>
      <c r="E14" t="inlineStr">
        <is>
          <t>LOW</t>
        </is>
      </c>
      <c r="F14" s="50" t="inlineStr">
        <is>
          <t>ESTIMATE - 15% of customers apply for loans annually.</t>
        </is>
      </c>
      <c r="G14" t="inlineStr">
        <is>
          <t>Lending Head</t>
        </is>
      </c>
      <c r="H14" s="50" t="inlineStr">
        <is>
          <t>HIGH - Core driver of loan origination benefits</t>
        </is>
      </c>
    </row>
    <row r="15">
      <c r="B15" t="inlineStr">
        <is>
          <t>A10</t>
        </is>
      </c>
      <c r="C15" t="inlineStr">
        <is>
          <t>Implementation Timeline</t>
        </is>
      </c>
      <c r="D15" s="9" t="inlineStr">
        <is>
          <t>30-70-90-100-100%</t>
        </is>
      </c>
      <c r="E15" t="inlineStr">
        <is>
          <t>MEDIUM</t>
        </is>
      </c>
      <c r="F15" s="50" t="inlineStr">
        <is>
          <t>BACKBASE BENCHMARK - Accelerated curve for same-day target.</t>
        </is>
      </c>
      <c r="G15" t="inlineStr">
        <is>
          <t>Value Consulting</t>
        </is>
      </c>
      <c r="H15" s="50" t="inlineStr">
        <is>
          <t>MEDIUM - Affects timing of benefits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4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4" customWidth="1" min="4" max="4"/>
    <col width="60" customWidth="1" min="5" max="5"/>
    <col width="40" customWidth="1" min="6" max="6"/>
  </cols>
  <sheetData>
    <row r="1">
      <c r="B1" s="11" t="inlineStr">
        <is>
          <t>Bank Profile</t>
        </is>
      </c>
    </row>
    <row r="3">
      <c r="B3" s="14" t="inlineStr">
        <is>
          <t>Bank Identity</t>
        </is>
      </c>
    </row>
    <row r="4">
      <c r="B4" s="15" t="inlineStr">
        <is>
          <t>Field</t>
        </is>
      </c>
      <c r="C4" s="15" t="inlineStr">
        <is>
          <t>Value</t>
        </is>
      </c>
      <c r="E4" s="15" t="inlineStr">
        <is>
          <t>Source</t>
        </is>
      </c>
    </row>
    <row r="5">
      <c r="B5" s="3" t="inlineStr">
        <is>
          <t>Bank Name</t>
        </is>
      </c>
      <c r="C5" t="inlineStr">
        <is>
          <t>Southeast Asia Commercial Joint Stock Bank (SeABank)</t>
        </is>
      </c>
    </row>
    <row r="6">
      <c r="B6" s="3" t="inlineStr">
        <is>
          <t>Country</t>
        </is>
      </c>
      <c r="C6" t="inlineStr">
        <is>
          <t>Vietnam</t>
        </is>
      </c>
    </row>
    <row r="7">
      <c r="B7" s="3" t="inlineStr">
        <is>
          <t>Currency</t>
        </is>
      </c>
      <c r="C7" t="inlineStr">
        <is>
          <t>VND</t>
        </is>
      </c>
    </row>
    <row r="8">
      <c r="B8" s="3" t="inlineStr">
        <is>
          <t>Stock Ticker</t>
        </is>
      </c>
      <c r="C8" t="inlineStr">
        <is>
          <t>SSB (Ho Chi Minh Stock Exchange / HoSE)</t>
        </is>
      </c>
    </row>
    <row r="9">
      <c r="B9" s="3" t="inlineStr">
        <is>
          <t>Report Year</t>
        </is>
      </c>
      <c r="C9" t="n">
        <v>2024</v>
      </c>
    </row>
    <row r="10">
      <c r="B10" s="3" t="inlineStr">
        <is>
          <t>Report Source</t>
        </is>
      </c>
      <c r="C10" t="inlineStr">
        <is>
          <t>Annual Report 2024 + FY2024 Results Press Release</t>
        </is>
      </c>
    </row>
    <row r="12">
      <c r="B12" s="14" t="inlineStr">
        <is>
          <t>Key Financial Metrics (Direct)</t>
        </is>
      </c>
    </row>
    <row r="13">
      <c r="B13" s="15" t="inlineStr">
        <is>
          <t>Metric</t>
        </is>
      </c>
      <c r="C13" s="15" t="inlineStr">
        <is>
          <t>Value</t>
        </is>
      </c>
      <c r="D13" s="15" t="inlineStr">
        <is>
          <t>Confidence</t>
        </is>
      </c>
      <c r="E13" s="15" t="inlineStr">
        <is>
          <t>Source</t>
        </is>
      </c>
    </row>
    <row r="14">
      <c r="B14" s="3" t="inlineStr">
        <is>
          <t>Total Customers</t>
        </is>
      </c>
      <c r="C14" s="53" t="n">
        <v>3000000</v>
      </c>
      <c r="D14" t="inlineStr">
        <is>
          <t>HIGH</t>
        </is>
      </c>
      <c r="E14" s="50" t="inlineStr">
        <is>
          <t>SeABank Best Workplace 2024 — '3M+ customers'</t>
        </is>
      </c>
    </row>
    <row r="15">
      <c r="B15" s="3" t="inlineStr">
        <is>
          <t>Annual Revenue</t>
        </is>
      </c>
      <c r="C15" s="53" t="n">
        <v>490000000</v>
      </c>
      <c r="D15" t="inlineStr">
        <is>
          <t>HIGH</t>
        </is>
      </c>
      <c r="E15" s="50" t="inlineStr">
        <is>
          <t>FY2024 Results — TOI VND 12,409B (~US$490M)</t>
        </is>
      </c>
    </row>
    <row r="16">
      <c r="B16" s="3" t="inlineStr">
        <is>
          <t>Operating Costs</t>
        </is>
      </c>
      <c r="C16" s="49" t="n">
        <v>163000000</v>
      </c>
      <c r="D16" t="inlineStr">
        <is>
          <t>MEDIUM</t>
        </is>
      </c>
      <c r="E16" s="50" t="inlineStr">
        <is>
          <t>DERIVED: TOI $490M x CIR 33.28% = ~$163M</t>
        </is>
      </c>
    </row>
    <row r="17">
      <c r="B17" s="3" t="inlineStr">
        <is>
          <t>Cost-to-Income Ratio</t>
        </is>
      </c>
      <c r="C17" s="54" t="n">
        <v>0.3328</v>
      </c>
      <c r="D17" t="inlineStr">
        <is>
          <t>HIGH</t>
        </is>
      </c>
      <c r="E17" s="50" t="inlineStr">
        <is>
          <t>FY2024 Results — CIR 33.28%</t>
        </is>
      </c>
    </row>
    <row r="18">
      <c r="B18" s="3" t="inlineStr">
        <is>
          <t>Total FTE</t>
        </is>
      </c>
      <c r="C18" s="53" t="n">
        <v>5500</v>
      </c>
      <c r="D18" t="inlineStr">
        <is>
          <t>HIGH</t>
        </is>
      </c>
      <c r="E18" s="50" t="inlineStr">
        <is>
          <t>SeABank Best Workplace 2024 — 'over 5,500 official employees'</t>
        </is>
      </c>
    </row>
    <row r="19">
      <c r="B19" s="3" t="inlineStr">
        <is>
          <t>Staff Costs (Annual)</t>
        </is>
      </c>
      <c r="C19" s="55" t="n">
        <v>97800000</v>
      </c>
      <c r="D19" t="inlineStr">
        <is>
          <t>LOW</t>
        </is>
      </c>
      <c r="E19" s="50" t="inlineStr">
        <is>
          <t>ESTIMATED: OpEx $163M x 60% staff ratio = ~$97.8M (typical for VN banks)</t>
        </is>
      </c>
    </row>
    <row r="21">
      <c r="B21" s="14" t="inlineStr">
        <is>
          <t>Derived Metrics</t>
        </is>
      </c>
    </row>
    <row r="22">
      <c r="B22" s="15" t="inlineStr">
        <is>
          <t>Metric</t>
        </is>
      </c>
      <c r="C22" s="15" t="inlineStr">
        <is>
          <t>Value</t>
        </is>
      </c>
      <c r="D22" s="15" t="inlineStr">
        <is>
          <t>Confidence</t>
        </is>
      </c>
      <c r="E22" s="15" t="inlineStr">
        <is>
          <t>Derivation</t>
        </is>
      </c>
      <c r="F22" s="15" t="inlineStr">
        <is>
          <t>Formula</t>
        </is>
      </c>
    </row>
    <row r="23">
      <c r="B23" s="3" t="inlineStr">
        <is>
          <t>Average FTE Rate / Hour</t>
        </is>
      </c>
      <c r="C23" s="56">
        <f>IFERROR(C19/C18/2000,0)</f>
        <v/>
      </c>
      <c r="D23" t="inlineStr">
        <is>
          <t>MEDIUM</t>
        </is>
      </c>
      <c r="E23" s="50" t="inlineStr">
        <is>
          <t>Staff Costs / Total FTE / 2,000 working hours</t>
        </is>
      </c>
      <c r="F23" s="57">
        <f>C19/C18/2000</f>
        <v/>
      </c>
    </row>
    <row r="24">
      <c r="B24" s="3" t="inlineStr">
        <is>
          <t>Average Revenue / Customer</t>
        </is>
      </c>
      <c r="C24" s="49">
        <f>IFERROR(C15/C14,0)</f>
        <v/>
      </c>
      <c r="D24" t="inlineStr">
        <is>
          <t>MEDIUM</t>
        </is>
      </c>
      <c r="E24" s="50" t="inlineStr">
        <is>
          <t>Annual Revenue / Total Customers</t>
        </is>
      </c>
      <c r="F24" s="57">
        <f>C15/C14</f>
        <v/>
      </c>
    </row>
    <row r="25">
      <c r="B25" s="3" t="inlineStr">
        <is>
          <t>Cost per FTE (Annual)</t>
        </is>
      </c>
      <c r="C25" s="49">
        <f>IFERROR(C19/C18,0)</f>
        <v/>
      </c>
      <c r="D25" t="inlineStr">
        <is>
          <t>MEDIUM</t>
        </is>
      </c>
      <c r="E25" s="50" t="inlineStr">
        <is>
          <t>Staff Costs / Total FTE</t>
        </is>
      </c>
      <c r="F25" s="57">
        <f>C19/C18</f>
        <v/>
      </c>
    </row>
    <row r="26">
      <c r="B26" s="3" t="inlineStr">
        <is>
          <t>OpEx per Customer</t>
        </is>
      </c>
      <c r="C26" s="49">
        <f>IFERROR(C16/C14,0)</f>
        <v/>
      </c>
      <c r="D26" t="inlineStr">
        <is>
          <t>MEDIUM</t>
        </is>
      </c>
      <c r="E26" s="50" t="inlineStr">
        <is>
          <t>Operating Costs / Total Customers</t>
        </is>
      </c>
      <c r="F26" s="57">
        <f>C16/C14</f>
        <v/>
      </c>
    </row>
    <row r="28">
      <c r="B28" s="14" t="inlineStr">
        <is>
          <t>Additional Context</t>
        </is>
      </c>
    </row>
    <row r="29">
      <c r="B29" s="15" t="inlineStr">
        <is>
          <t>Metric</t>
        </is>
      </c>
      <c r="C29" s="15" t="inlineStr">
        <is>
          <t>Value</t>
        </is>
      </c>
      <c r="E29" s="15" t="inlineStr">
        <is>
          <t>Source</t>
        </is>
      </c>
    </row>
    <row r="30">
      <c r="B30" t="inlineStr">
        <is>
          <t>Total Assets</t>
        </is>
      </c>
      <c r="C30" s="58" t="n">
        <v>12850000000</v>
      </c>
      <c r="E30" s="50" t="inlineStr">
        <is>
          <t>FY2024 Results — VND 325,699B (~US$12.85B), +22% YoY</t>
        </is>
      </c>
    </row>
    <row r="31">
      <c r="B31" t="inlineStr">
        <is>
          <t>Total Loans</t>
        </is>
      </c>
      <c r="C31" s="58" t="n">
        <v>8260000000</v>
      </c>
      <c r="E31" s="50" t="inlineStr">
        <is>
          <t>FY2024 Results — Credit outstanding VND 209,355B (~US$8.26B)</t>
        </is>
      </c>
    </row>
    <row r="32">
      <c r="B32" t="inlineStr">
        <is>
          <t>Total Deposits</t>
        </is>
      </c>
      <c r="C32" s="58" t="n">
        <v>8520000000</v>
      </c>
      <c r="E32" s="50" t="inlineStr">
        <is>
          <t>FY2024 Results — Total mobilization VND 215,984B (~US$8.52B)</t>
        </is>
      </c>
    </row>
    <row r="33">
      <c r="B33" t="inlineStr">
        <is>
          <t>Number of Branches</t>
        </is>
      </c>
      <c r="C33" s="58" t="n">
        <v>181</v>
      </c>
      <c r="E33" s="50" t="inlineStr">
        <is>
          <t>SeABank Best Workplace 2024 — 181 transaction points nationwide</t>
        </is>
      </c>
    </row>
    <row r="34">
      <c r="B34" t="inlineStr">
        <is>
          <t>Digital Active Users</t>
        </is>
      </c>
      <c r="C34" s="58" t="n">
        <v>4000000</v>
      </c>
      <c r="E34" s="50" t="inlineStr">
        <is>
          <t>FY2024 Results — Nearly 4M digital users</t>
        </is>
      </c>
    </row>
    <row r="35">
      <c r="B35" t="inlineStr">
        <is>
          <t>NPL Ratio</t>
        </is>
      </c>
      <c r="C35" s="59" t="n">
        <v>0.0189</v>
      </c>
      <c r="E35" s="50" t="inlineStr">
        <is>
          <t>FY2024 Results — NPL ratio 1.89%</t>
        </is>
      </c>
    </row>
    <row r="36">
      <c r="B36" t="inlineStr">
        <is>
          <t>Return on Equity (ROE)</t>
        </is>
      </c>
      <c r="C36" s="59" t="n">
        <v>0.1475</v>
      </c>
      <c r="E36" s="50" t="inlineStr">
        <is>
          <t>FY2024 Results — ROE 14.75%</t>
        </is>
      </c>
    </row>
    <row r="37">
      <c r="B37" t="inlineStr">
        <is>
          <t>Return on Assets (ROA)</t>
        </is>
      </c>
      <c r="C37" s="59" t="n">
        <v>0.0163</v>
      </c>
      <c r="E37" s="50" t="inlineStr">
        <is>
          <t>FY2024 Results — ROA 1.63%</t>
        </is>
      </c>
    </row>
    <row r="38">
      <c r="B38" t="inlineStr">
        <is>
          <t>CASA Balance</t>
        </is>
      </c>
      <c r="C38" s="58" t="n">
        <v>1290000000</v>
      </c>
      <c r="E38" s="50" t="inlineStr">
        <is>
          <t>FY2024 Results — CASA VND 32,658B (~US$1.29B), +96% YoY</t>
        </is>
      </c>
    </row>
    <row r="39">
      <c r="B39" t="inlineStr">
        <is>
          <t>Digital Transactions</t>
        </is>
      </c>
      <c r="C39" s="58" t="n">
        <v>52600000</v>
      </c>
      <c r="E39" s="50" t="inlineStr">
        <is>
          <t>FY2024 Results — 52.6M digital transactions, +160% YoY</t>
        </is>
      </c>
    </row>
    <row r="40">
      <c r="B40" t="inlineStr">
        <is>
          <t>Charter Capital</t>
        </is>
      </c>
      <c r="C40" s="58" t="n">
        <v>1120000000</v>
      </c>
      <c r="E40" s="50" t="inlineStr">
        <is>
          <t>FY2024 Results — Charter capital VND 28,350B (~US$1.12B)</t>
        </is>
      </c>
    </row>
    <row r="43">
      <c r="B43" s="60" t="inlineStr">
        <is>
          <t>Data Gaps (from Bank Profile)</t>
        </is>
      </c>
    </row>
    <row r="44">
      <c r="B44" s="15" t="inlineStr">
        <is>
          <t>Metric</t>
        </is>
      </c>
      <c r="C44" s="15" t="inlineStr">
        <is>
          <t>Priority</t>
        </is>
      </c>
      <c r="E44" s="15" t="inlineStr">
        <is>
          <t>Impact</t>
        </is>
      </c>
      <c r="F44" s="15" t="inlineStr">
        <is>
          <t>Where to Obtain</t>
        </is>
      </c>
    </row>
    <row r="45">
      <c r="B45" t="inlineStr">
        <is>
          <t>Staff Costs (exact)</t>
        </is>
      </c>
      <c r="C45" s="61" t="inlineStr">
        <is>
          <t>HIGH</t>
        </is>
      </c>
      <c r="E45" s="50" t="inlineStr">
        <is>
          <t>Required to derive accurate FTE hourly rate — core input for servicing analysis</t>
        </is>
      </c>
      <c r="F45" s="50" t="inlineStr">
        <is>
          <t>Annual Report PDF — Income Statement or Notes to Accounts</t>
        </is>
      </c>
    </row>
    <row r="46">
      <c r="B46" t="inlineStr">
        <is>
          <t>Net Interest Income</t>
        </is>
      </c>
      <c r="C46" t="inlineStr">
        <is>
          <t>MEDIUM</t>
        </is>
      </c>
      <c r="E46" s="50" t="inlineStr">
        <is>
          <t>Revenue composition context — needed for fee income vs interest income split</t>
        </is>
      </c>
      <c r="F46" s="50" t="inlineStr">
        <is>
          <t>Annual Report PDF — Income Statement</t>
        </is>
      </c>
    </row>
    <row r="47">
      <c r="B47" t="inlineStr">
        <is>
          <t>Onboarding Cycle Time</t>
        </is>
      </c>
      <c r="C47" s="61" t="inlineStr">
        <is>
          <t>HIGH</t>
        </is>
      </c>
      <c r="E47" s="50" t="inlineStr">
        <is>
          <t>Core input for onboarding benefit sizing — not in public reports</t>
        </is>
      </c>
      <c r="F47" s="50" t="inlineStr">
        <is>
          <t>Client interview — Operations Lead</t>
        </is>
      </c>
    </row>
    <row r="48">
      <c r="B48" t="inlineStr">
        <is>
          <t>Call Center Volume</t>
        </is>
      </c>
      <c r="C48" s="61" t="inlineStr">
        <is>
          <t>HIGH</t>
        </is>
      </c>
      <c r="E48" s="50" t="inlineStr">
        <is>
          <t>Core input for servicing cost avoidance — not in public reports</t>
        </is>
      </c>
      <c r="F48" s="50" t="inlineStr">
        <is>
          <t>Client interview — Call Center Manager</t>
        </is>
      </c>
    </row>
    <row r="49">
      <c r="B49" t="inlineStr">
        <is>
          <t>Loan Processing Time</t>
        </is>
      </c>
      <c r="C49" s="61" t="inlineStr">
        <is>
          <t>HIGH</t>
        </is>
      </c>
      <c r="E49" s="50" t="inlineStr">
        <is>
          <t>Core input for loan origination benefits — not in public reports</t>
        </is>
      </c>
      <c r="F49" s="50" t="inlineStr">
        <is>
          <t>Client interview — Credit Operations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11" t="inlineStr">
        <is>
          <t>Data Gaps - Required for Validation</t>
        </is>
      </c>
    </row>
    <row r="3">
      <c r="B3" s="62" t="inlineStr">
        <is>
          <t>These data points are CRITICAL for validating the ROI model. Prioritize obtaining this data from the client.</t>
        </is>
      </c>
    </row>
    <row r="5">
      <c r="B5" s="15" t="inlineStr">
        <is>
          <t>ID</t>
        </is>
      </c>
      <c r="C5" s="15" t="inlineStr">
        <is>
          <t>Data Needed</t>
        </is>
      </c>
      <c r="D5" s="15" t="inlineStr">
        <is>
          <t>Priority</t>
        </is>
      </c>
      <c r="E5" s="15" t="inlineStr">
        <is>
          <t>Source</t>
        </is>
      </c>
      <c r="F5" s="15" t="inlineStr">
        <is>
          <t>Impact on Model</t>
        </is>
      </c>
    </row>
    <row r="6">
      <c r="B6" t="inlineStr">
        <is>
          <t>DG1</t>
        </is>
      </c>
      <c r="C6" t="inlineStr">
        <is>
          <t>Actual digital application volume by channel</t>
        </is>
      </c>
      <c r="D6" s="63" t="inlineStr">
        <is>
          <t>CRITICAL</t>
        </is>
      </c>
      <c r="E6" t="inlineStr">
        <is>
          <t>Digital analytics / core banking</t>
        </is>
      </c>
      <c r="F6" s="50" t="inlineStr">
        <is>
          <t>Core input for onboarding benefit sizing</t>
        </is>
      </c>
    </row>
    <row r="7">
      <c r="B7" t="inlineStr">
        <is>
          <t>DG2</t>
        </is>
      </c>
      <c r="C7" t="inlineStr">
        <is>
          <t>Current onboarding completion/abandonment rate</t>
        </is>
      </c>
      <c r="D7" s="63" t="inlineStr">
        <is>
          <t>CRITICAL</t>
        </is>
      </c>
      <c r="E7" t="inlineStr">
        <is>
          <t>Journey analytics / funnel data</t>
        </is>
      </c>
      <c r="F7" s="50" t="inlineStr">
        <is>
          <t>Defines improvement headroom</t>
        </is>
      </c>
    </row>
    <row r="8">
      <c r="B8" t="inlineStr">
        <is>
          <t>DG3</t>
        </is>
      </c>
      <c r="C8" t="inlineStr">
        <is>
          <t>Loan application volume and conversion rates</t>
        </is>
      </c>
      <c r="D8" s="63" t="inlineStr">
        <is>
          <t>CRITICAL</t>
        </is>
      </c>
      <c r="E8" t="inlineStr">
        <is>
          <t>Lending system / credit operations</t>
        </is>
      </c>
      <c r="F8" s="50" t="inlineStr">
        <is>
          <t>Core input for loan origination benefits</t>
        </is>
      </c>
    </row>
    <row r="9">
      <c r="B9" t="inlineStr">
        <is>
          <t>DG4</t>
        </is>
      </c>
      <c r="C9" t="inlineStr">
        <is>
          <t>Processing time per onboarding application</t>
        </is>
      </c>
      <c r="D9" s="8" t="inlineStr">
        <is>
          <t>HIGH</t>
        </is>
      </c>
      <c r="E9" t="inlineStr">
        <is>
          <t>Operations / process timing</t>
        </is>
      </c>
      <c r="F9" s="50" t="inlineStr">
        <is>
          <t>Sizes processing cost reduction</t>
        </is>
      </c>
    </row>
    <row r="10">
      <c r="B10" t="inlineStr">
        <is>
          <t>DG5</t>
        </is>
      </c>
      <c r="C10" t="inlineStr">
        <is>
          <t>Call center volume by request type</t>
        </is>
      </c>
      <c r="D10" s="8" t="inlineStr">
        <is>
          <t>HIGH</t>
        </is>
      </c>
      <c r="E10" t="inlineStr">
        <is>
          <t>Call center reporting system</t>
        </is>
      </c>
      <c r="F10" s="50" t="inlineStr">
        <is>
          <t>Core input for servicing cost avoidance</t>
        </is>
      </c>
    </row>
    <row r="11">
      <c r="B11" t="inlineStr">
        <is>
          <t>DG6</t>
        </is>
      </c>
      <c r="C11" t="inlineStr">
        <is>
          <t>Loaded FTE costs by role</t>
        </is>
      </c>
      <c r="D11" s="8" t="inlineStr">
        <is>
          <t>HIGH</t>
        </is>
      </c>
      <c r="E11" t="inlineStr">
        <is>
          <t>HR / Finance</t>
        </is>
      </c>
      <c r="F11" s="50" t="inlineStr">
        <is>
          <t>Affects all labor cost calculations</t>
        </is>
      </c>
    </row>
    <row r="12">
      <c r="B12" t="inlineStr">
        <is>
          <t>DG7</t>
        </is>
      </c>
      <c r="C12" t="inlineStr">
        <is>
          <t>Current digital adoption rate</t>
        </is>
      </c>
      <c r="D12" t="inlineStr">
        <is>
          <t>MEDIUM</t>
        </is>
      </c>
      <c r="E12" t="inlineStr">
        <is>
          <t>Digital analytics</t>
        </is>
      </c>
      <c r="F12" s="50" t="inlineStr">
        <is>
          <t>Defines baseline for channel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2026-02-06T10:35:52Z</dcterms:created>
  <dcterms:modified xmlns:dcterms="http://purl.org/dc/terms/" xmlns:xsi="http://www.w3.org/2001/XMLSchema-instance" xsi:type="dcterms:W3CDTF">2026-02-06T10:35:52Z</dcterms:modified>
</cp:coreProperties>
</file>