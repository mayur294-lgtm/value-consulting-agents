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Page" sheetId="1" r:id="rId5"/>
    <sheet state="visible" name="Instructions" sheetId="2" r:id="rId6"/>
    <sheet state="visible" name="Table of Contents" sheetId="3" r:id="rId7"/>
    <sheet state="hidden" name="Results Dashboard" sheetId="4" r:id="rId8"/>
    <sheet state="visible" name="Customer Phases - Inputs and As" sheetId="5" r:id="rId9"/>
    <sheet state="visible" name="Customer &amp; Loan Acquisition - A" sheetId="6" r:id="rId10"/>
    <sheet state="visible" name="Servicing - Analysis" sheetId="7" r:id="rId11"/>
    <sheet state="hidden" name="Extra Tables  Parking lot" sheetId="8" r:id="rId12"/>
    <sheet state="visible" name="IT Cost Savings - Inputs and An" sheetId="9" r:id="rId13"/>
    <sheet state="visible" name="Cashflows - Analysis" sheetId="10" r:id="rId14"/>
    <sheet state="visible" name="Working sheets&gt;&gt;" sheetId="11" r:id="rId15"/>
    <sheet state="visible" name="Annual report data" sheetId="12" r:id="rId16"/>
    <sheet state="visible" name="Sheet8" sheetId="13" r:id="rId17"/>
    <sheet state="visible" name="Sheet7" sheetId="14" r:id="rId18"/>
    <sheet state="visible" name="Funnel stats" sheetId="15" r:id="rId19"/>
    <sheet state="hidden" name="Cost Components" sheetId="16" r:id="rId20"/>
    <sheet state="hidden" name="1.2 Servicing" sheetId="17" r:id="rId21"/>
    <sheet state="hidden" name="3 Results" sheetId="18" r:id="rId22"/>
    <sheet state="hidden" name="Sheet1" sheetId="19" r:id="rId23"/>
  </sheets>
  <definedNames>
    <definedName name="xrate">#REF!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tc={0c89e3fb-95b6-464e-b39e-d6adf0c3061d}</author>
    <author>tc={31d2d995-2228-4bb6-8e22-284da105edba}</author>
    <author>tc={5644d135-d50a-4eb7-8bd2-0eac241c3780}</author>
    <author>tc={5f318061-3cf7-440d-b451-c687c6282723}</author>
    <author>tc={89aa735f-2750-459a-b633-545f208dfdcb}</author>
    <author>tc={8c012f33-462b-498a-8b31-bb5935d1f958}</author>
    <author>tc={98ebdb37-7cc9-4125-b378-daac1bfc98c9}</author>
    <author>tc={b616ef53-118e-41cf-a04d-6b9100d1fee9}</author>
  </authors>
  <commentList>
    <comment authorId="0" xr:uid="{0c89e3fb-95b6-464e-b39e-d6adf0c3061d}" ref="F39">
      <text>
        <t xml:space="preserve">[Threaded comment]
 Your version of Excel allows you to read this threaded comment; however, any edits to it will get removed if the file is opened in a newer version of Excel. Learn more: https://go.microsoft.com/fwlink/?linkid=870924
Comment:
	Reduced by 25% of original to remove potential impact of CLO
</t>
      </text>
    </comment>
    <comment authorId="1" xr:uid="{31d2d995-2228-4bb6-8e22-284da105edba}" ref="F13">
      <text>
        <t xml:space="preserve">[Threaded comment]
 Your version of Excel allows you to read this threaded comment; however, any edits to it will get removed if the file is opened in a newer version of Excel. Learn more: https://go.microsoft.com/fwlink/?linkid=870924
Comment:
	From annual report, considering 3.6M customers
NII + Fee Income - $3.03
TOI - $139
</t>
      </text>
    </comment>
    <comment authorId="2" xr:uid="{5644d135-d50a-4eb7-8bd2-0eac241c3780}" ref="C45">
      <text>
        <t xml:space="preserve">[Threaded comment]
 Your version of Excel allows you to read this threaded comment; however, any edits to it will get removed if the file is opened in a newer version of Excel. Learn more: https://go.microsoft.com/fwlink/?linkid=870924
Comment:
	Reduced by 25% of original to remove potential impact of CLO
</t>
      </text>
    </comment>
    <comment authorId="3" xr:uid="{5f318061-3cf7-440d-b451-c687c6282723}" ref="I39">
      <text>
        <t xml:space="preserve">[Threaded comment]
 Your version of Excel allows you to read this threaded comment; however, any edits to it will get removed if the file is opened in a newer version of Excel. Learn more: https://go.microsoft.com/fwlink/?linkid=870924
Comment:
	Reduced by 25% of original to remove potential impact of CLO
</t>
      </text>
    </comment>
    <comment authorId="4" xr:uid="{89aa735f-2750-459a-b633-545f208dfdcb}" ref="F14">
      <text>
        <t xml:space="preserve">[Threaded comment]
 Your version of Excel allows you to read this threaded comment; however, any edits to it will get removed if the file is opened in a newer version of Excel. Learn more: https://go.microsoft.com/fwlink/?linkid=870924
Comment:
	250 working days, 8 hours a day
</t>
      </text>
    </comment>
    <comment authorId="5" xr:uid="{8c012f33-462b-498a-8b31-bb5935d1f958}" ref="C39">
      <text>
        <t xml:space="preserve">[Threaded comment]
 Your version of Excel allows you to read this threaded comment; however, any edits to it will get removed if the file is opened in a newer version of Excel. Learn more: https://go.microsoft.com/fwlink/?linkid=870924
Comment:
	Reduced by 25% of original to remove potential impact of CLO
</t>
      </text>
    </comment>
    <comment authorId="6" xr:uid="{98ebdb37-7cc9-4125-b378-daac1bfc98c9}" ref="F45">
      <text>
        <t xml:space="preserve">[Threaded comment]
 Your version of Excel allows you to read this threaded comment; however, any edits to it will get removed if the file is opened in a newer version of Excel. Learn more: https://go.microsoft.com/fwlink/?linkid=870924
Comment:
	Reduced by 25% of original to remove potential impact of CLO
</t>
      </text>
    </comment>
    <comment authorId="7" xr:uid="{b616ef53-118e-41cf-a04d-6b9100d1fee9}" ref="I45">
      <text>
        <t xml:space="preserve">[Threaded comment]
 Your version of Excel allows you to read this threaded comment; however, any edits to it will get removed if the file is opened in a newer version of Excel. Learn more: https://go.microsoft.com/fwlink/?linkid=870924
Comment:
	Reduced by 25% of original to remove potential impact of CLO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tc={10274375-df85-4f2c-9ca2-e481b1d55ba2}</author>
    <author>tc={365f4bb7-a7bc-4f9f-81e6-00e362fa6c37}</author>
    <author>tc={70bf359d-87e4-415d-bf79-e4a0a30901e0}</author>
    <author>tc={8b06aec3-d73a-4098-a733-df30b26e686a}</author>
  </authors>
  <commentList>
    <comment authorId="0" xr:uid="{10274375-df85-4f2c-9ca2-e481b1d55ba2}" ref="I34">
      <text>
        <t xml:space="preserve">[Threaded comment]
 Your version of Excel allows you to read this threaded comment; however, any edits to it will get removed if the file is opened in a newer version of Excel. Learn more: https://go.microsoft.com/fwlink/?linkid=870924
Comment:
	CLO is considered from Y2 for this project
</t>
      </text>
    </comment>
    <comment authorId="1" xr:uid="{365f4bb7-a7bc-4f9f-81e6-00e362fa6c37}" ref="I33">
      <text>
        <t xml:space="preserve">[Threaded comment]
 Your version of Excel allows you to read this threaded comment; however, any edits to it will get removed if the file is opened in a newer version of Excel. Learn more: https://go.microsoft.com/fwlink/?linkid=870924
Comment:
	CLO is considered from Y2 for this project
</t>
      </text>
    </comment>
    <comment authorId="2" xr:uid="{70bf359d-87e4-415d-bf79-e4a0a30901e0}" ref="I38">
      <text>
        <t xml:space="preserve">[Threaded comment]
 Your version of Excel allows you to read this threaded comment; however, any edits to it will get removed if the file is opened in a newer version of Excel. Learn more: https://go.microsoft.com/fwlink/?linkid=870924
Comment:
	CLO is considered from Y2 for this project
</t>
      </text>
    </comment>
    <comment authorId="3" xr:uid="{8b06aec3-d73a-4098-a733-df30b26e686a}" ref="B122">
      <text>
        <t xml:space="preserve">[Threaded comment]
 Your version of Excel allows you to read this threaded comment; however, any edits to it will get removed if the file is opened in a newer version of Excel. Learn more: https://go.microsoft.com/fwlink/?linkid=870924
Comment:
	@shyam@backbase.com this is the model
Assigned to shyam@backbase.com
</t>
      </text>
    </comment>
  </commentList>
</comments>
</file>

<file path=xl/sharedStrings.xml><?xml version="1.0" encoding="utf-8"?>
<sst xmlns="http://schemas.openxmlformats.org/spreadsheetml/2006/main" count="1370" uniqueCount="680">
  <si>
    <t xml:space="preserve">Return on Investment Calculator </t>
  </si>
  <si>
    <t>Client Name:</t>
  </si>
  <si>
    <t>Seabank</t>
  </si>
  <si>
    <t>Date:</t>
  </si>
  <si>
    <t>Value Consulting - Business Case</t>
  </si>
  <si>
    <t>Return on Investment Instructions</t>
  </si>
  <si>
    <t>Overview:</t>
  </si>
  <si>
    <t xml:space="preserve">This tool will be used to derive the Return on investment (ROI) for purchasing and implementing Backbase as a solution for the bank. Backbase value consulting team will use this ROI calculation tool to develop a business case for a given engagement. 
</t>
  </si>
  <si>
    <t>Purpose:</t>
  </si>
  <si>
    <t xml:space="preserve">ROI is a performance measure used to evaluate the efficiency and profitability of an investment through directly measuring the amount of return on a particular investment. In other words ROI shows how well an investment has performed, relative to the cost of it. We have developed this model to standardize the approach for calculating ROI and reducing efforts due to the interlinked functionalities between sheets, therefore, users will spend less time building the necessary analysis, rather inputs would be inserted in given cells and the sheet will automatically calculate the final ROI. </t>
  </si>
  <si>
    <t>Who should use this tool</t>
  </si>
  <si>
    <t>This tool is expected to be filled and used by value consulting team members</t>
  </si>
  <si>
    <t>Cell Instructions and Legends</t>
  </si>
  <si>
    <r>
      <rPr>
        <rFont val="Arial"/>
        <color theme="1"/>
        <sz val="12.0"/>
      </rPr>
      <t>The ROI tool is designed to help end users calculate the return on investment for implementing backbase as a solution. This model aims save time and effort while calculating the final ROI for a potential opportunity. The way to use the this model is explained below: 
The sheet structure is of two main categories "</t>
    </r>
    <r>
      <rPr>
        <rFont val="Arial"/>
        <b/>
        <color theme="1"/>
        <sz val="12.0"/>
      </rPr>
      <t>Inputs</t>
    </r>
    <r>
      <rPr>
        <rFont val="Arial"/>
        <color theme="1"/>
        <sz val="12.0"/>
      </rPr>
      <t>" and "</t>
    </r>
    <r>
      <rPr>
        <rFont val="Arial"/>
        <b/>
        <color theme="1"/>
        <sz val="12.0"/>
      </rPr>
      <t>Analysis</t>
    </r>
    <r>
      <rPr>
        <rFont val="Arial"/>
        <color theme="1"/>
        <sz val="12.0"/>
      </rPr>
      <t xml:space="preserve">". In the </t>
    </r>
    <r>
      <rPr>
        <rFont val="Arial"/>
        <b/>
        <color theme="1"/>
        <sz val="12.0"/>
      </rPr>
      <t>inputs</t>
    </r>
    <r>
      <rPr>
        <rFont val="Arial"/>
        <color theme="1"/>
        <sz val="12.0"/>
      </rPr>
      <t xml:space="preserve"> sections, it is expected to be manually filled in order to populate the </t>
    </r>
    <r>
      <rPr>
        <rFont val="Arial"/>
        <b/>
        <color theme="1"/>
        <sz val="12.0"/>
      </rPr>
      <t>analysis</t>
    </r>
    <r>
      <rPr>
        <rFont val="Arial"/>
        <color theme="1"/>
        <sz val="12.0"/>
      </rPr>
      <t xml:space="preserve">. Hence, the </t>
    </r>
    <r>
      <rPr>
        <rFont val="Arial"/>
        <b/>
        <color theme="1"/>
        <sz val="12.0"/>
      </rPr>
      <t>Analysis</t>
    </r>
    <r>
      <rPr>
        <rFont val="Arial"/>
        <color theme="1"/>
        <sz val="12.0"/>
      </rPr>
      <t xml:space="preserve"> sections is automatically populated. Inputs are often gathered during or after a workshop session, however, some inputs follow an assumption based approach. In the "</t>
    </r>
    <r>
      <rPr>
        <rFont val="Arial"/>
        <b/>
        <color theme="1"/>
        <sz val="12.0"/>
      </rPr>
      <t>Inputs</t>
    </r>
    <r>
      <rPr>
        <rFont val="Arial"/>
        <color theme="1"/>
        <sz val="12.0"/>
      </rPr>
      <t xml:space="preserve">" section, there will be three legends introduced in order to differentiate between types of </t>
    </r>
    <r>
      <rPr>
        <rFont val="Arial"/>
        <b/>
        <color theme="1"/>
        <sz val="12.0"/>
      </rPr>
      <t>inputs</t>
    </r>
    <r>
      <rPr>
        <rFont val="Arial"/>
        <color theme="1"/>
        <sz val="12.0"/>
      </rPr>
      <t xml:space="preserve"> as follows:
    A- </t>
    </r>
    <r>
      <rPr>
        <rFont val="Arial"/>
        <b/>
        <color theme="1"/>
        <sz val="12.0"/>
      </rPr>
      <t>"Required information"</t>
    </r>
    <r>
      <rPr>
        <rFont val="Arial"/>
        <color theme="1"/>
        <sz val="12.0"/>
      </rPr>
      <t xml:space="preserve"> this field is information given by the customer during or after conducting the workshop session.
    B- </t>
    </r>
    <r>
      <rPr>
        <rFont val="Arial"/>
        <b/>
        <color theme="1"/>
        <sz val="12.0"/>
      </rPr>
      <t>"Calculated Information"</t>
    </r>
    <r>
      <rPr>
        <rFont val="Arial"/>
        <color theme="1"/>
        <sz val="12.0"/>
      </rPr>
      <t xml:space="preserve"> this field is automatically generated through a specific formula.
    D- </t>
    </r>
    <r>
      <rPr>
        <rFont val="Arial"/>
        <b/>
        <color theme="1"/>
        <sz val="12.0"/>
      </rPr>
      <t>"Assumption"</t>
    </r>
    <r>
      <rPr>
        <rFont val="Arial"/>
        <color theme="1"/>
        <sz val="12.0"/>
      </rPr>
      <t xml:space="preserve"> this field will be assumed by the user based on best practice experience. </t>
    </r>
  </si>
  <si>
    <t xml:space="preserve">Sheet Instructions </t>
  </si>
  <si>
    <t>Input Sheet</t>
  </si>
  <si>
    <r>
      <rPr>
        <rFont val="Calibri"/>
        <b/>
        <color rgb="FF000000"/>
        <sz val="14.0"/>
      </rPr>
      <t>First section</t>
    </r>
    <r>
      <rPr>
        <rFont val="Calibri"/>
        <color rgb="FF000000"/>
        <sz val="14.0"/>
      </rPr>
      <t xml:space="preserve"> in "input" sheet will cover information about the customer such as name, revenue and industry. 
</t>
    </r>
    <r>
      <rPr>
        <rFont val="Calibri"/>
        <b/>
        <color rgb="FF000000"/>
        <sz val="14.0"/>
      </rPr>
      <t>Second section</t>
    </r>
    <r>
      <rPr>
        <rFont val="Calibri"/>
        <color rgb="FF000000"/>
        <sz val="14.0"/>
      </rPr>
      <t xml:space="preserve"> in "input" sheet covers Backbase loading and effectiveness on customer value drivers, loyalty, retention, and customer servicing. The inputs in this section are based on educated assumptions that should be backed by a sane market study and previous engagements.
</t>
    </r>
    <r>
      <rPr>
        <rFont val="Calibri"/>
        <b/>
        <color rgb="FF000000"/>
        <sz val="14.0"/>
      </rPr>
      <t>Third section</t>
    </r>
    <r>
      <rPr>
        <rFont val="Calibri"/>
        <color rgb="FF000000"/>
        <sz val="14.0"/>
      </rPr>
      <t xml:space="preserve"> in "input" sheet covers inputs and assumptions pertaining to potential cost reduction due to digital implementation (reduction in physical channel visits) and revenue generation (through customer conversion, loyalty, and retention). For this section to be filled, workshops have to be conducted with the client in order to derive the needed information.</t>
    </r>
  </si>
  <si>
    <t>Cost Reduction and Revenue Generation Sheet</t>
  </si>
  <si>
    <r>
      <rPr>
        <rFont val="Calibri"/>
        <color rgb="FF000000"/>
        <sz val="14.0"/>
      </rPr>
      <t xml:space="preserve">In this section, a detailed analysis of all inputs from the previous section </t>
    </r>
    <r>
      <rPr>
        <rFont val="Calibri"/>
        <b/>
        <color rgb="FF000000"/>
        <sz val="14.0"/>
      </rPr>
      <t>"Input"</t>
    </r>
    <r>
      <rPr>
        <rFont val="Calibri"/>
        <color rgb="FF000000"/>
        <sz val="14.0"/>
      </rPr>
      <t xml:space="preserve"> sheet will be displayed. This sheet will provide a breakdown view of the following details:
- Value drivers behind cost reduction in customer acquisition, loan origination, and customer servicing
-  Value drivers behind revenue generation in customer acquisition and loan origination.
Note: this sheet will be automatically generated.</t>
    </r>
  </si>
  <si>
    <t xml:space="preserve">Servicing-Subsection Sheet </t>
  </si>
  <si>
    <t>This sheet will provide a breakdown view of customer servicing details. According to customer inputs and best practices, the type of services will be displayed in a list under 3 journeys:
- Branch
- Call Center 
- Back-office
Note: this sheet will be automatically generated.</t>
  </si>
  <si>
    <t xml:space="preserve">Cash Flows Sheet </t>
  </si>
  <si>
    <t>In the "Cash Flows" section a final calculation of cash flows "cash inflows and cash outflows" followed by Payback period, Net present Value, Return on Investment, and Internal Rate of Return will presented. Note: this sheet will automatically generate the aforementioned outputs based on all the inputs from "input" sheet.</t>
  </si>
  <si>
    <t xml:space="preserve">Table of Contents </t>
  </si>
  <si>
    <t>Section 1</t>
  </si>
  <si>
    <t>Results Dashboard</t>
  </si>
  <si>
    <t xml:space="preserve">Return on Investment </t>
  </si>
  <si>
    <t>Net Present Value</t>
  </si>
  <si>
    <t>Payback Period</t>
  </si>
  <si>
    <t>Section 2</t>
  </si>
  <si>
    <t xml:space="preserve">Value Driver Inputs </t>
  </si>
  <si>
    <t xml:space="preserve">Customer Onboarding </t>
  </si>
  <si>
    <t xml:space="preserve">Loan Origination </t>
  </si>
  <si>
    <t xml:space="preserve">Loyalty and Retention </t>
  </si>
  <si>
    <t>Servicing Inputs</t>
  </si>
  <si>
    <t>Section 3</t>
  </si>
  <si>
    <t xml:space="preserve">Value Driver Analysis </t>
  </si>
  <si>
    <t>Section 4</t>
  </si>
  <si>
    <t xml:space="preserve">Servicing Analysis </t>
  </si>
  <si>
    <t xml:space="preserve">Branch </t>
  </si>
  <si>
    <t>Call Center</t>
  </si>
  <si>
    <t>Back Office</t>
  </si>
  <si>
    <t xml:space="preserve">Impact on Customer Onboarding </t>
  </si>
  <si>
    <t>Section 5</t>
  </si>
  <si>
    <t>IT Cost Savings - Estimation &amp; Analysis</t>
  </si>
  <si>
    <t xml:space="preserve">Impact on Loan Origination </t>
  </si>
  <si>
    <t xml:space="preserve">Impact on Loyalty and Retention </t>
  </si>
  <si>
    <t xml:space="preserve">Impact on Customer Servicing </t>
  </si>
  <si>
    <t>Section 6</t>
  </si>
  <si>
    <t xml:space="preserve">Cash Flows </t>
  </si>
  <si>
    <t>Projection Inflows</t>
  </si>
  <si>
    <t>Projection Outflows</t>
  </si>
  <si>
    <r>
      <rPr>
        <rFont val="Libre Franklin"/>
        <b/>
        <color rgb="FFFFFFFF"/>
        <sz val="42.0"/>
      </rPr>
      <t xml:space="preserve">Financial Metrics </t>
    </r>
    <r>
      <rPr>
        <rFont val="Libre Franklin"/>
        <b/>
        <color rgb="FFFFFFFF"/>
        <sz val="18.0"/>
      </rPr>
      <t>5 Year Projections</t>
    </r>
  </si>
  <si>
    <t>Revenues</t>
  </si>
  <si>
    <t xml:space="preserve">Costs </t>
  </si>
  <si>
    <t>Return on Investment (ROI)</t>
  </si>
  <si>
    <t>Net Present Value (NPV)</t>
  </si>
  <si>
    <t>Internal Rate of Return (IRR)</t>
  </si>
  <si>
    <t>Payback Period in Years</t>
  </si>
  <si>
    <t xml:space="preserve">Backbase VC - Business Case </t>
  </si>
  <si>
    <t xml:space="preserve">Customer Phases - Inputs and Assumptions </t>
  </si>
  <si>
    <t>Required info</t>
  </si>
  <si>
    <t>Calculation</t>
  </si>
  <si>
    <t>Assumptions / Backbase benchmarks</t>
  </si>
  <si>
    <t>CCurr</t>
  </si>
  <si>
    <t xml:space="preserve">Basic Information </t>
  </si>
  <si>
    <t xml:space="preserve">Initial Data </t>
  </si>
  <si>
    <t>Customer Name</t>
  </si>
  <si>
    <t>Ave. revenue / customer</t>
  </si>
  <si>
    <t>Product Penetration</t>
  </si>
  <si>
    <t>Industry</t>
  </si>
  <si>
    <t>Banking</t>
  </si>
  <si>
    <t>Average FTE rate/ hour</t>
  </si>
  <si>
    <t>Total Staff Costs</t>
  </si>
  <si>
    <t>Revenue 2024</t>
  </si>
  <si>
    <t>Total customers</t>
  </si>
  <si>
    <t>currency conversion rate (VND to USD)</t>
  </si>
  <si>
    <t>Total FTE</t>
  </si>
  <si>
    <t>Backbase Loading and Effectiveness on Customer/Loan Acquisition</t>
  </si>
  <si>
    <t xml:space="preserve">Backbase Loading and Effectiveness on Customer Servicing </t>
  </si>
  <si>
    <t>Year 1</t>
  </si>
  <si>
    <t>Year 2</t>
  </si>
  <si>
    <t>Year 3</t>
  </si>
  <si>
    <t>Year 4</t>
  </si>
  <si>
    <t>Year 5</t>
  </si>
  <si>
    <t xml:space="preserve">Backbase Implementation  </t>
  </si>
  <si>
    <t>Backbase Effectiveness (Adoption Rate)</t>
  </si>
  <si>
    <t xml:space="preserve">Year on Year Growth </t>
  </si>
  <si>
    <t xml:space="preserve">Backbase Loading and Effectiveness on Customer Churn </t>
  </si>
  <si>
    <t xml:space="preserve">Backbase Loading and Effectiveness on Product Penetration </t>
  </si>
  <si>
    <t>total CCs</t>
  </si>
  <si>
    <t>Customer Onboarding (CASA)</t>
  </si>
  <si>
    <t xml:space="preserve">USL Loan Acquisition </t>
  </si>
  <si>
    <t>Loyalty &amp; Retention</t>
  </si>
  <si>
    <t>CLO</t>
  </si>
  <si>
    <t>Servicing Journey Names: Retail and SME</t>
  </si>
  <si>
    <t>Increase Customer Conversion in website</t>
  </si>
  <si>
    <t>Improve Customer Churn</t>
  </si>
  <si>
    <t>Activation / Dormancy Reduction</t>
  </si>
  <si>
    <t>Branch</t>
  </si>
  <si>
    <t>Back-Office</t>
  </si>
  <si>
    <t xml:space="preserve">Impact </t>
  </si>
  <si>
    <t>Customers that start onboarding</t>
  </si>
  <si>
    <t>From Sebank:
Android: 153,108
 IOS: 361,339</t>
  </si>
  <si>
    <t>Intent to Purchase Lending Product (personal loans)</t>
  </si>
  <si>
    <t>Assumption: 3x total new customers</t>
  </si>
  <si>
    <t>Total number of current active customers</t>
  </si>
  <si>
    <t>Seabank data</t>
  </si>
  <si>
    <t>Total Number of New Customers</t>
  </si>
  <si>
    <t>Service</t>
  </si>
  <si>
    <t xml:space="preserve">Volume </t>
  </si>
  <si>
    <t>Time Spent in HR</t>
  </si>
  <si>
    <t>Backbase Impact</t>
  </si>
  <si>
    <t>Notes</t>
  </si>
  <si>
    <t>Assumption: Volumes in branch taken for comparable VN bank; capped at 70% accounting for difference in # of branches and customer base</t>
  </si>
  <si>
    <t>Assumption: 5x of actual customers ordered CC online</t>
  </si>
  <si>
    <t xml:space="preserve">Current Customer Leakage (%) - includes Activation leakage </t>
  </si>
  <si>
    <t xml:space="preserve">Data from Seabank:
Q4/2024: 52,075 user
2025: 65,699 user </t>
  </si>
  <si>
    <t xml:space="preserve">Current Customer Leakage (%) </t>
  </si>
  <si>
    <t>Customer Churn</t>
  </si>
  <si>
    <t>Current Activation Rate</t>
  </si>
  <si>
    <t>From SeABank</t>
  </si>
  <si>
    <t>Accounts &amp; Balance</t>
  </si>
  <si>
    <t>Volumes in branch assumed for lack of accurate data from Seabank</t>
  </si>
  <si>
    <t>Average Income per Customer</t>
  </si>
  <si>
    <t>From seabank</t>
  </si>
  <si>
    <t>Number of inactive customers</t>
  </si>
  <si>
    <t>Account Statement</t>
  </si>
  <si>
    <t>Assumption: Integrated digital onboarding solution (with A/C funding will remove friction in the onboarding process across branch/digital channels)</t>
  </si>
  <si>
    <t>Transaction Dispute</t>
  </si>
  <si>
    <t xml:space="preserve"> </t>
  </si>
  <si>
    <t>Transfers</t>
  </si>
  <si>
    <t>Data from seabank</t>
  </si>
  <si>
    <t>Increase Customer Conversion in Direct (Branch) Sales - Branch onboarding</t>
  </si>
  <si>
    <t>Increase Customer Conversion in Direct (Branch) Sales. Branch Lending Origination</t>
  </si>
  <si>
    <t>Increase Product Penetration</t>
  </si>
  <si>
    <t>Product Cross / Upsell</t>
  </si>
  <si>
    <t>internal transfers</t>
  </si>
  <si>
    <t>No of Visits/Year</t>
  </si>
  <si>
    <t>Of 193K accounts opened in branch, there is 20% leakage i.e., 5-10% customers who failed to open because they did not like the process and 5-10% that inquired but were not interested in a product</t>
  </si>
  <si>
    <t>Assumption: 2x new loans</t>
  </si>
  <si>
    <t>Total number of current customers</t>
  </si>
  <si>
    <t>Total Customer Base</t>
  </si>
  <si>
    <t>Debit Card Ordering</t>
  </si>
  <si>
    <t>Current Customer Leakage (%) - Activation leakage</t>
  </si>
  <si>
    <t>Assumption</t>
  </si>
  <si>
    <t xml:space="preserve">Digital Inactive Customers </t>
  </si>
  <si>
    <t>of which, already purchase 2nd product</t>
  </si>
  <si>
    <t>Assumption, 18% of active base would already buy the second product</t>
  </si>
  <si>
    <t>Card block</t>
  </si>
  <si>
    <t>Customers who were rejected or dropped out of the process</t>
  </si>
  <si>
    <t>Average Income per Additional Product</t>
  </si>
  <si>
    <t>Assumption: for every 10 deposit products sold, 1 loan product is sold</t>
  </si>
  <si>
    <t>Income per additional product</t>
  </si>
  <si>
    <t>Cards PIN reset</t>
  </si>
  <si>
    <r>
      <rPr>
        <rFont val="Inter"/>
        <b/>
        <color theme="1"/>
        <sz val="10.0"/>
      </rPr>
      <t>Assumption</t>
    </r>
    <r>
      <rPr>
        <rFont val="Inter"/>
        <color theme="1"/>
        <sz val="10.0"/>
      </rPr>
      <t>: Due to better CX , 5% customers activate</t>
    </r>
  </si>
  <si>
    <t>Based on backbase impact in increasing origination at comparable banks; global average</t>
  </si>
  <si>
    <t>Bundled products during onboarding</t>
  </si>
  <si>
    <t>Impact assumption: 0.3-0.5 additional product are sold per customer, given current penetration at 2.53</t>
  </si>
  <si>
    <t>Card limit change</t>
  </si>
  <si>
    <t>Assumption: integrated digital loan origination solution will help employee to service prospects more efficiently, and increase conversion.</t>
  </si>
  <si>
    <t>Credit card order request</t>
  </si>
  <si>
    <t>Reduce Branch Visits</t>
  </si>
  <si>
    <t>FTE Hourly Rate $</t>
  </si>
  <si>
    <t>Marketing Efficiency</t>
  </si>
  <si>
    <t>Deposit products enquiry</t>
  </si>
  <si>
    <t>No of Visits/Calls/Tasks/Year</t>
  </si>
  <si>
    <r>
      <rPr>
        <rFont val="Inter"/>
        <b/>
        <color theme="1"/>
        <sz val="10.0"/>
      </rPr>
      <t>Assumption</t>
    </r>
    <r>
      <rPr>
        <rFont val="Inter"/>
        <color theme="1"/>
        <sz val="10.0"/>
      </rPr>
      <t>: ±1/3 loans was actually approved/disbursed; = branch walk-ins x3 of approved loans.</t>
    </r>
  </si>
  <si>
    <t>Number of Marketing FTE</t>
  </si>
  <si>
    <t>Bill payments</t>
  </si>
  <si>
    <r>
      <rPr>
        <rFont val="Inter"/>
        <b/>
        <color rgb="FFFFFFFF"/>
        <sz val="10.0"/>
      </rPr>
      <t>Assumption</t>
    </r>
    <r>
      <rPr>
        <rFont val="Inter"/>
        <color rgb="FFFFFFFF"/>
        <sz val="10.0"/>
      </rPr>
      <t>: ±1/3 loans was actually approved/disbursed; = branch walk-ins x3 of approved loans.</t>
    </r>
  </si>
  <si>
    <t xml:space="preserve">Average Time Spent /Interaction (hours) </t>
  </si>
  <si>
    <t>Assuming 20 mins, 15 mins for account opening + time spent to consult &amp; potential wait time</t>
  </si>
  <si>
    <t xml:space="preserve">Average Time Spent per Interaction (hours) </t>
  </si>
  <si>
    <t>Total average processing time per one personal loan disbursed.</t>
  </si>
  <si>
    <t>Cost/FTE</t>
  </si>
  <si>
    <t>International Transfers</t>
  </si>
  <si>
    <t>Average FTE Costs per Hour (USD)</t>
  </si>
  <si>
    <t>Calculated</t>
  </si>
  <si>
    <t>Hour to Mins</t>
  </si>
  <si>
    <t>Reduction in effort of manual campaign planning</t>
  </si>
  <si>
    <t>Customer Details Update / KYC details</t>
  </si>
  <si>
    <t>30% customers move to digital</t>
  </si>
  <si>
    <t>Assuming 30% move to digital</t>
  </si>
  <si>
    <t>Credit card info inquiry (&amp; other CC servicing)</t>
  </si>
  <si>
    <t>Loan Servicing</t>
  </si>
  <si>
    <t>Reduce effort @ branch visits</t>
  </si>
  <si>
    <t>Average Time Spent per Interaction (hour)</t>
  </si>
  <si>
    <t>Total</t>
  </si>
  <si>
    <t>Manual data entry effort</t>
  </si>
  <si>
    <t>Calls per customer</t>
  </si>
  <si>
    <t>Branch visits per customer</t>
  </si>
  <si>
    <t>Reduce Call Center Calls for Deposit products - Cost Avoidance Lever</t>
  </si>
  <si>
    <t>Reduce Call Center Calls for Lending products - Cost Avoidance Lever</t>
  </si>
  <si>
    <t>Back office tasks per customer</t>
  </si>
  <si>
    <t>NA</t>
  </si>
  <si>
    <t>assuming 0.56 calls per application</t>
  </si>
  <si>
    <t>Prospects can differentiate and compare between the products easier during an integrated onboarding journey online, reducing number of inquiry calls</t>
  </si>
  <si>
    <t>Prospects can track and trace application online, thus reducing calls to customer care</t>
  </si>
  <si>
    <t>Reduce Back Office Tasks for Deposit products - Cost Avoidance Lever</t>
  </si>
  <si>
    <t>Reduce Back Office Tasks for Lending products - Cost Avoidance Lever</t>
  </si>
  <si>
    <t>Reduce Back Office Tasks for CC products - Cost Avoidance Lever</t>
  </si>
  <si>
    <t>Assuming prospect always submits an application &amp; BO reviews every application.</t>
  </si>
  <si>
    <t>average processing time per application</t>
  </si>
  <si>
    <t>STP will reduce manual processing effort</t>
  </si>
  <si>
    <t xml:space="preserve">Yearly Accounts Opened </t>
  </si>
  <si>
    <t>Yearly Loans Acquired</t>
  </si>
  <si>
    <t>Yearly CC Acquired</t>
  </si>
  <si>
    <t>No of accounts opened yearly</t>
  </si>
  <si>
    <t>From SeABank - Growth in customers from 2023-24 was 20%</t>
  </si>
  <si>
    <t>No of loans acquired yearly</t>
  </si>
  <si>
    <t>No of CC acquired yearly</t>
  </si>
  <si>
    <t>Out of which digitally</t>
  </si>
  <si>
    <t>From seabank: 5K overdraft + 2.5K CC</t>
  </si>
  <si>
    <t>Proportion Digital</t>
  </si>
  <si>
    <t>From SeABank - activation is 18%</t>
  </si>
  <si>
    <t>Assumption: proportion of digital inquiries</t>
  </si>
  <si>
    <t xml:space="preserve">Yearly growth in account opening </t>
  </si>
  <si>
    <t xml:space="preserve">Yearly growth in loan acquisition  </t>
  </si>
  <si>
    <t>Comparable banks in VN is 30% loan growth, Conservative estimate 20%</t>
  </si>
  <si>
    <t xml:space="preserve">Yearly growth in CC acquisition  </t>
  </si>
  <si>
    <t>As per AR 2021, 30% CAGR for CASA &amp; loans growth, for conservative estimates we have considered 17% for CC</t>
  </si>
  <si>
    <t xml:space="preserve">Anticipated Growth in Costs </t>
  </si>
  <si>
    <t xml:space="preserve">Yearly growth in costs </t>
  </si>
  <si>
    <t>Increase in staff costs FY23-24</t>
  </si>
  <si>
    <t>Baseline Data - Lending products</t>
  </si>
  <si>
    <t>Website visits Jan-Mar 2023</t>
  </si>
  <si>
    <t>(similarweb)</t>
  </si>
  <si>
    <t>Annual - Derived</t>
  </si>
  <si>
    <t>x4</t>
  </si>
  <si>
    <t>Intent to purchase lending product</t>
  </si>
  <si>
    <t>high-lvl website traffic analysis</t>
  </si>
  <si>
    <t>Purchased product</t>
  </si>
  <si>
    <t>Leakage absolute</t>
  </si>
  <si>
    <t>Top/down funnel leakage (%)</t>
  </si>
  <si>
    <t xml:space="preserve">Backbase VC-Business Case </t>
  </si>
  <si>
    <t xml:space="preserve">Customer and Loan Acquisition Analysis </t>
  </si>
  <si>
    <t xml:space="preserve">Calculated Info </t>
  </si>
  <si>
    <t>Assumptions</t>
  </si>
  <si>
    <t>Customer Acquisition - Onboarding Value Drivers</t>
  </si>
  <si>
    <t xml:space="preserve">Total </t>
  </si>
  <si>
    <t xml:space="preserve">Data Detail </t>
  </si>
  <si>
    <t>Sum of Customer Onboarding Value Drivers</t>
  </si>
  <si>
    <t>Customer Onboarding (Cost Reduction + Revenue Improvement)</t>
  </si>
  <si>
    <t>Total Revenue Generation - Customer Acquisition</t>
  </si>
  <si>
    <t xml:space="preserve">Increase Revenue </t>
  </si>
  <si>
    <t>Revenue Generation and Cost Reduction</t>
  </si>
  <si>
    <t>Average Income per New Customer</t>
  </si>
  <si>
    <t>Website Visits - Intention to Purchase Product</t>
  </si>
  <si>
    <t xml:space="preserve">New Customers Acquired </t>
  </si>
  <si>
    <t>Current Customer Leakage (%)</t>
  </si>
  <si>
    <t>Current absolute leakage rate due to non-activation &amp; non-completion of application</t>
  </si>
  <si>
    <t>Income form New Customers Acquired</t>
  </si>
  <si>
    <t>Average Income/Customer</t>
  </si>
  <si>
    <t xml:space="preserve">Reduce Costs </t>
  </si>
  <si>
    <t xml:space="preserve">Baseline </t>
  </si>
  <si>
    <t>Customers Leakage Value (visits x leakage x revenue/product)</t>
  </si>
  <si>
    <t>Number of Physical Interactions and Tasks</t>
  </si>
  <si>
    <t>Post implementation % customers can be converted from leaked out due to digital</t>
  </si>
  <si>
    <t>Number of Physical Interactions and Tasks Converted to Digital</t>
  </si>
  <si>
    <t>Potential Annual benefits</t>
  </si>
  <si>
    <t>Net more income that can be generated due to higher digital conversions</t>
  </si>
  <si>
    <t>Cost Saved</t>
  </si>
  <si>
    <t>Current Customer Leakage #</t>
  </si>
  <si>
    <t>Total No of Customer who could have been converted</t>
  </si>
  <si>
    <t>USL Origination (Cost Reduction + Revenue Improvement)</t>
  </si>
  <si>
    <t>Net More Customers Acquired</t>
  </si>
  <si>
    <t>No of customer who could be converted after applying Backbase impact</t>
  </si>
  <si>
    <t>Increase Customer Conversion in Branch sales</t>
  </si>
  <si>
    <t xml:space="preserve">Revenue Generation </t>
  </si>
  <si>
    <t>Customer visiting branch;</t>
  </si>
  <si>
    <t xml:space="preserve">New Loans Acquisitions </t>
  </si>
  <si>
    <t>Current absolute leakage rate including activation leakage</t>
  </si>
  <si>
    <t>Income form New Loans Acquisitions</t>
  </si>
  <si>
    <t>Customers Leakage Value</t>
  </si>
  <si>
    <t>Assumption: Integrated digital onboarding solution will remove friction in the onboarding process across branch/digital channels</t>
  </si>
  <si>
    <t>Net more income that can be generated due to higher conversions</t>
  </si>
  <si>
    <t>No of Customer who could have been converted</t>
  </si>
  <si>
    <t>CLO (Cost Reduction + Revenue Improvement)</t>
  </si>
  <si>
    <t xml:space="preserve">Total Cost Benefit - Customer Acquisition </t>
  </si>
  <si>
    <t>Average Income per Customer (Additional)</t>
  </si>
  <si>
    <t>Cost Reduction</t>
  </si>
  <si>
    <t>Reactivate Dorman Customers</t>
  </si>
  <si>
    <t>Volume of physical interactions or back office tasks created</t>
  </si>
  <si>
    <t>Product cross sell and upsell</t>
  </si>
  <si>
    <t>Time spent on 1 visit, call or task</t>
  </si>
  <si>
    <t>Average FTE Costs/Hour (USD)</t>
  </si>
  <si>
    <t>assumed employee cost per hour</t>
  </si>
  <si>
    <t>Improve marketing team's operational efficiency</t>
  </si>
  <si>
    <t>Total monetary value spent on interactions</t>
  </si>
  <si>
    <t>Post Implementation due to digital adoption traffic will move to digital channels</t>
  </si>
  <si>
    <t>Net costs that can be saved</t>
  </si>
  <si>
    <t>Customer Loyalty and Retention</t>
  </si>
  <si>
    <t>Net Decrease in Traffic/Year</t>
  </si>
  <si>
    <t>No of interactions moved to digital</t>
  </si>
  <si>
    <t xml:space="preserve">Improve Customer Churn </t>
  </si>
  <si>
    <t>Reduce Back Office Tasks</t>
  </si>
  <si>
    <t xml:space="preserve">Cost Reduction </t>
  </si>
  <si>
    <t xml:space="preserve">Increase Product Penetration </t>
  </si>
  <si>
    <t xml:space="preserve">Customer Servicing </t>
  </si>
  <si>
    <t>Average Time Spent /Interaction (hour)</t>
  </si>
  <si>
    <t>Cost Avoidance</t>
  </si>
  <si>
    <t>Based on average monthly salary</t>
  </si>
  <si>
    <t xml:space="preserve">Total monetary value spent on interactions </t>
  </si>
  <si>
    <t>[Table not relevant for this analysis)</t>
  </si>
  <si>
    <t>Revenue Benefits With and Without Backbase</t>
  </si>
  <si>
    <t>With BB</t>
  </si>
  <si>
    <t>Number of Customers Acquired</t>
  </si>
  <si>
    <t xml:space="preserve">Without Backbase </t>
  </si>
  <si>
    <t>With Backbase</t>
  </si>
  <si>
    <t>Revenue generated without Backbase</t>
  </si>
  <si>
    <t xml:space="preserve">Based on  average monthly salary </t>
  </si>
  <si>
    <t>Revenue generated with Backbase</t>
  </si>
  <si>
    <t xml:space="preserve">Total amount of value spent on interactions </t>
  </si>
  <si>
    <t>Loans Acquired</t>
  </si>
  <si>
    <t>Net Decrease in eBranch calls</t>
  </si>
  <si>
    <t>Reduce Call Center Calls</t>
  </si>
  <si>
    <t>CC Acquired</t>
  </si>
  <si>
    <t xml:space="preserve">Based on data provided average monthly salary </t>
  </si>
  <si>
    <t>Cost Reduction Benefits With and Without Backbase</t>
  </si>
  <si>
    <t>Net Decrease in Call volume/Year</t>
  </si>
  <si>
    <t xml:space="preserve">Reduce Costs for Account Opening </t>
  </si>
  <si>
    <t>Loans Acquisition</t>
  </si>
  <si>
    <t>Sum of Loan Origination Value Drivers</t>
  </si>
  <si>
    <t xml:space="preserve">Total Revenue Generation - Loan Acquisition </t>
  </si>
  <si>
    <t xml:space="preserve">Reduce Costs for Loan Acquisition </t>
  </si>
  <si>
    <t>Increase Customer Conversion - preapproved</t>
  </si>
  <si>
    <t>Customer do not proceed from product page</t>
  </si>
  <si>
    <t>Average Loan Income/Customer</t>
  </si>
  <si>
    <t xml:space="preserve">Average income from 1 customer </t>
  </si>
  <si>
    <t xml:space="preserve">Total Customer Leakage Value </t>
  </si>
  <si>
    <t>Interested customer/prospects would proceed with online loan origination if given possibility to</t>
  </si>
  <si>
    <t>Reduce Costs to Serve for banking operations</t>
  </si>
  <si>
    <t>Potential Annual benefits - Backbase</t>
  </si>
  <si>
    <t>Net More Loans Sold</t>
  </si>
  <si>
    <t>Cost Avoidance - Totals, for Deck</t>
  </si>
  <si>
    <t>Increase Customer Conversion in branch sales</t>
  </si>
  <si>
    <t>Intending to open a loan</t>
  </si>
  <si>
    <t>check</t>
  </si>
  <si>
    <t xml:space="preserve">Customers Leakage Value </t>
  </si>
  <si>
    <t>Revenue Generation - Fee Income - Uplift Transactions on Digital</t>
  </si>
  <si>
    <t>Additional Transactions with Backbase - New Customers</t>
  </si>
  <si>
    <t>Additional Transactions with Backbase - Existing Customers</t>
  </si>
  <si>
    <r>
      <rPr>
        <rFont val="Libre Franklin"/>
        <color rgb="FF999999"/>
        <sz val="10.0"/>
      </rPr>
      <t xml:space="preserve">Additional Transactions with Backbase - </t>
    </r>
    <r>
      <rPr>
        <rFont val="Libre Franklin"/>
        <b/>
        <color rgb="FF999999"/>
        <sz val="10.0"/>
      </rPr>
      <t>TOTAL</t>
    </r>
  </si>
  <si>
    <t>Value in USD</t>
  </si>
  <si>
    <t>Total Cost Benefit - Loan Acquisition</t>
  </si>
  <si>
    <t>Time spent on1 visit, call or task</t>
  </si>
  <si>
    <t>Without BB</t>
  </si>
  <si>
    <t>total disbursed loans via Branch.</t>
  </si>
  <si>
    <t xml:space="preserve"> traffic will move to integrated digital channels after implementation</t>
  </si>
  <si>
    <t>Prospects can differentiate and compare between the products easier during an integrated loan origination journey online, reducing number of inquiry calls</t>
  </si>
  <si>
    <t>Net Decrease in Calls/Year</t>
  </si>
  <si>
    <t>Volume of physical interactions or back office tasks created; assuming every loan request creates back-office validation task</t>
  </si>
  <si>
    <t># of tasks decrease</t>
  </si>
  <si>
    <t>CLO Value Drivers</t>
  </si>
  <si>
    <t>Sum of CLO Value Drivers</t>
  </si>
  <si>
    <t>Total Revenue Increase - Increased Sales</t>
  </si>
  <si>
    <t>Reactivate Dormant Cusotmers</t>
  </si>
  <si>
    <t>New Customers Acquired / Yr</t>
  </si>
  <si>
    <t>Number of New Customers in the last year</t>
  </si>
  <si>
    <t>Current Dormancy Rate</t>
  </si>
  <si>
    <t>Current account activation rate</t>
  </si>
  <si>
    <t>Average Income / Customer</t>
  </si>
  <si>
    <t>Customers that would now become active</t>
  </si>
  <si>
    <t>Income that could be generated from reactivating customers</t>
  </si>
  <si>
    <t>Net more products sold</t>
  </si>
  <si>
    <t>No of customer that can be reactivated with CLO</t>
  </si>
  <si>
    <t>Product Cross Sell / Upsell</t>
  </si>
  <si>
    <t>Number of customers</t>
  </si>
  <si>
    <t>Current customer base</t>
  </si>
  <si>
    <t>Customers with 1 additional product already</t>
  </si>
  <si>
    <t>Exclude customers that may already have 1 additional product</t>
  </si>
  <si>
    <t>Income per additional Product</t>
  </si>
  <si>
    <t>Potential additioanal income per product sold</t>
  </si>
  <si>
    <t>0.3 - 0.5 products / customer - base split on the basis of this range</t>
  </si>
  <si>
    <t>Assumption: Improved marketing / targeting marketing will result in increased product penetration</t>
  </si>
  <si>
    <t>Customers with only 1 product</t>
  </si>
  <si>
    <t>Addressable base</t>
  </si>
  <si>
    <t>Total Cost Benefit - Operational Efficiency</t>
  </si>
  <si>
    <t>Improve Marketing Team's efficiency</t>
  </si>
  <si>
    <t>Cost that could be saved on non-value added tasks in campaing creation</t>
  </si>
  <si>
    <t>Number of marketing FTEs</t>
  </si>
  <si>
    <t>Cost / FTE / Year</t>
  </si>
  <si>
    <t>Improved efficiency in creating, iterating and deploying campaigns with CLO</t>
  </si>
  <si>
    <t xml:space="preserve">Customer Loyalty and Retention </t>
  </si>
  <si>
    <t>Loyalty and Retention - Annual Benefits</t>
  </si>
  <si>
    <t>Customers leaving bank every year</t>
  </si>
  <si>
    <t>Average income per customer; Assuming every 4th customer has a loan from product penetration perspective; transactions fee income not taken into account as it's difficult to quantify with available data.</t>
  </si>
  <si>
    <t>Annual Value Customers closing accounts/leaving</t>
  </si>
  <si>
    <t>Due to higher digital engagement , customers retained</t>
  </si>
  <si>
    <t>Net more income that can be generated due to retaining and engaging leaving customers</t>
  </si>
  <si>
    <t>No of customers who don't use digital platform today</t>
  </si>
  <si>
    <t>Average Income /Upsell Additional Product</t>
  </si>
  <si>
    <t>Assumption: for every 10 deposit products sold, we sell 1 loan product</t>
  </si>
  <si>
    <t>If we were to sell an additional product to every inactive customer</t>
  </si>
  <si>
    <t>Due to backbase digital engagement , 1 in 10 inactive customers get engaged and buy at least 1 additional product</t>
  </si>
  <si>
    <t>Net more income created due to upsell and cross sell</t>
  </si>
  <si>
    <t>Current Product Penetration</t>
  </si>
  <si>
    <t>Current ratio of products per customer</t>
  </si>
  <si>
    <t xml:space="preserve">Servicing </t>
  </si>
  <si>
    <t>Sum of Servicing Value Drivers</t>
  </si>
  <si>
    <t xml:space="preserve">Reduce Cost associated to FO , MO , BO by decreasing  physical interactions </t>
  </si>
  <si>
    <t>See details in 1.2 Servicing</t>
  </si>
  <si>
    <t>Servicing Analysis</t>
  </si>
  <si>
    <t>Servicing Journey Names</t>
  </si>
  <si>
    <t>Yearly Volume</t>
  </si>
  <si>
    <t>Time Spent/Visit (HR)</t>
  </si>
  <si>
    <t>Baseline (Annual Cost)</t>
  </si>
  <si>
    <t xml:space="preserve">Backbase Impact </t>
  </si>
  <si>
    <t>After Impact</t>
  </si>
  <si>
    <t>Internal Transfers</t>
  </si>
  <si>
    <t>Inter Bank Transfers</t>
  </si>
  <si>
    <t xml:space="preserve">  </t>
  </si>
  <si>
    <t xml:space="preserve">Type of Service </t>
  </si>
  <si>
    <t xml:space="preserve">Total Yearly Volume </t>
  </si>
  <si>
    <t>Time Spent (Hrs)</t>
  </si>
  <si>
    <t>Total Reduction in Interactions</t>
  </si>
  <si>
    <t>FTE Blended Rate</t>
  </si>
  <si>
    <t>Cost Avoidance (USD)</t>
  </si>
  <si>
    <t>Full Cost</t>
  </si>
  <si>
    <t>Total Savings</t>
  </si>
  <si>
    <t>Net Income per Product</t>
  </si>
  <si>
    <t>Upsell Income per Product</t>
  </si>
  <si>
    <t>total digitally inactive customers</t>
  </si>
  <si>
    <t>Retail</t>
  </si>
  <si>
    <t>SME*</t>
  </si>
  <si>
    <t>SME</t>
  </si>
  <si>
    <t xml:space="preserve">- 24/7 interbank transfer: </t>
  </si>
  <si>
    <t>Deposit Products</t>
  </si>
  <si>
    <t>Income /Customer*</t>
  </si>
  <si>
    <t xml:space="preserve">- Regular interbank transfer: </t>
  </si>
  <si>
    <t>Legend</t>
  </si>
  <si>
    <t>Lending Products</t>
  </si>
  <si>
    <t>Upsell Income /Customer*</t>
  </si>
  <si>
    <t xml:space="preserve">- Internal transfer: </t>
  </si>
  <si>
    <t>Assumed figure / extrapolated</t>
  </si>
  <si>
    <t>Average Income Per Product</t>
  </si>
  <si>
    <t>Average Income Per Segment</t>
  </si>
  <si>
    <t>Data from HPB</t>
  </si>
  <si>
    <t xml:space="preserve">- Billing: </t>
  </si>
  <si>
    <t xml:space="preserve">- QR payment: </t>
  </si>
  <si>
    <t xml:space="preserve">- Topup: </t>
  </si>
  <si>
    <t>ORIGINAL SERVICING CALCULATION - Retail + SME</t>
  </si>
  <si>
    <t>CC orders per month</t>
  </si>
  <si>
    <t>Digital</t>
  </si>
  <si>
    <t>back-office not involved</t>
  </si>
  <si>
    <t>Assumed as 1.7% of total service requests (HBR article on disputes), every dispute creates back-office task</t>
  </si>
  <si>
    <t>-</t>
  </si>
  <si>
    <t>assuming 80% digital transfers;</t>
  </si>
  <si>
    <t>using benchmarks - assuming 10% of all NTBs request for debit card</t>
  </si>
  <si>
    <t xml:space="preserve"> back-office in review &amp; appraisal</t>
  </si>
  <si>
    <t>back-office involved in review appraisal, card ordering/mailing</t>
  </si>
  <si>
    <t>Assumption: x2 product information inquiries in CC vs branch</t>
  </si>
  <si>
    <t>Assumption: x2 product information inquiries in branch vs CC</t>
  </si>
  <si>
    <t>Assuming 10% of servicing requests require BO involvement (ex: request to change schedule)</t>
  </si>
  <si>
    <t>Total interactions</t>
  </si>
  <si>
    <t>Revenue Growth</t>
  </si>
  <si>
    <t>New Customer Onboarding</t>
  </si>
  <si>
    <t>Lending Origination (USL)</t>
  </si>
  <si>
    <t>CC Origination</t>
  </si>
  <si>
    <t>Customer Retention</t>
  </si>
  <si>
    <t>Product Upsell</t>
  </si>
  <si>
    <t>Cost Avoidance / Savings</t>
  </si>
  <si>
    <t>New Customer Onboarding cost</t>
  </si>
  <si>
    <t>Loan Origination Cost (USL)</t>
  </si>
  <si>
    <t>CC Origination Cost</t>
  </si>
  <si>
    <t>Daily banking Servicing Cost</t>
  </si>
  <si>
    <t>Total Annual Benefits</t>
  </si>
  <si>
    <t>ROI (w/Cost)</t>
  </si>
  <si>
    <t>Backbase Benefits</t>
  </si>
  <si>
    <t>Lending Origination</t>
  </si>
  <si>
    <t>loans</t>
  </si>
  <si>
    <t>Increase Engagement</t>
  </si>
  <si>
    <t>Account opening cost</t>
  </si>
  <si>
    <t>Loan Origination Cost</t>
  </si>
  <si>
    <t>Servicing Cost</t>
  </si>
  <si>
    <t>Costs: Licenses and Implementation</t>
  </si>
  <si>
    <t>Costs</t>
  </si>
  <si>
    <t> License Cost</t>
  </si>
  <si>
    <t>Implementation Cost</t>
  </si>
  <si>
    <t>Total Annual Cost</t>
  </si>
  <si>
    <t>Net Annual Cash Flows</t>
  </si>
  <si>
    <t>Return on Investment</t>
  </si>
  <si>
    <t>Annual Return</t>
  </si>
  <si>
    <t>Net Present Value of Cash flows (@ 10%)</t>
  </si>
  <si>
    <t>Payback period (years)</t>
  </si>
  <si>
    <t>ROI</t>
  </si>
  <si>
    <t xml:space="preserve">IT Cost Saving Analysis </t>
  </si>
  <si>
    <t>System Name</t>
  </si>
  <si>
    <t xml:space="preserve">Customer licenses Costs
</t>
  </si>
  <si>
    <t>Implementation costs</t>
  </si>
  <si>
    <t>Year</t>
  </si>
  <si>
    <t>Total Costs Saved (BB Effectiveness Applied)</t>
  </si>
  <si>
    <t xml:space="preserve">Customer licenses
</t>
  </si>
  <si>
    <t>Cashflows</t>
  </si>
  <si>
    <t>Discount Rate</t>
  </si>
  <si>
    <t>NPV</t>
  </si>
  <si>
    <t>Total Yearly Cash Inflow</t>
  </si>
  <si>
    <t>Customer Onboarding Revenue Generation</t>
  </si>
  <si>
    <t>Loan Origination Revenue Generation</t>
  </si>
  <si>
    <t>CLO Revenue Generation</t>
  </si>
  <si>
    <t xml:space="preserve">Payback Period </t>
  </si>
  <si>
    <t xml:space="preserve">Customer Onboarding Cost Reduction </t>
  </si>
  <si>
    <t>IRR</t>
  </si>
  <si>
    <t xml:space="preserve">Loan Origination Cost Reduction </t>
  </si>
  <si>
    <t>CLO Cost Reduction</t>
  </si>
  <si>
    <t>Total Cash Outflow</t>
  </si>
  <si>
    <t xml:space="preserve">Implementation costs (ITSS)
</t>
  </si>
  <si>
    <t xml:space="preserve">Manage and Hosting Costs </t>
  </si>
  <si>
    <t>Total Cash Flows</t>
  </si>
  <si>
    <t xml:space="preserve">Present Value </t>
  </si>
  <si>
    <t>Closing Balance</t>
  </si>
  <si>
    <t xml:space="preserve">Implementation costs 
</t>
  </si>
  <si>
    <t>Present Value  @ 10%</t>
  </si>
  <si>
    <t>TOTAL  RB+EB</t>
  </si>
  <si>
    <t>RB:Total Yearly Cash Inflow</t>
  </si>
  <si>
    <t>EB:Total Yearly Cash Inflow</t>
  </si>
  <si>
    <t>Total Cash Inflow RB+EB</t>
  </si>
  <si>
    <t>EB data - copy from EB sheet</t>
  </si>
  <si>
    <t>Net Cash Flow</t>
  </si>
  <si>
    <t>Rough working sheet</t>
  </si>
  <si>
    <t>Source: Annual report, specified if other</t>
  </si>
  <si>
    <t>Currency Units: VND millions</t>
  </si>
  <si>
    <t>Currency Conversion</t>
  </si>
  <si>
    <t>VND/USD</t>
  </si>
  <si>
    <r>
      <rPr>
        <rFont val="Calibri"/>
        <b/>
        <color theme="1"/>
      </rPr>
      <t xml:space="preserve">VND </t>
    </r>
    <r>
      <rPr>
        <rFont val="Calibri"/>
        <b/>
        <color theme="1"/>
      </rPr>
      <t>millions</t>
    </r>
  </si>
  <si>
    <r>
      <rPr>
        <rFont val="Calibri"/>
        <b/>
        <color theme="1"/>
      </rPr>
      <t xml:space="preserve">USD </t>
    </r>
    <r>
      <rPr>
        <rFont val="Calibri"/>
        <b/>
        <color theme="1"/>
      </rPr>
      <t>actuals</t>
    </r>
  </si>
  <si>
    <t>Inputs from Annual report</t>
  </si>
  <si>
    <t>YoY change</t>
  </si>
  <si>
    <t>CAGR 22-24</t>
  </si>
  <si>
    <t>Impact sense check</t>
  </si>
  <si>
    <t>Operating Income - considered in ROI model</t>
  </si>
  <si>
    <t>Break-up</t>
  </si>
  <si>
    <t>NII</t>
  </si>
  <si>
    <t>Fee and Commission</t>
  </si>
  <si>
    <t>Forex</t>
  </si>
  <si>
    <t>Trading securities</t>
  </si>
  <si>
    <t>Inv. Securities</t>
  </si>
  <si>
    <t>Other Income</t>
  </si>
  <si>
    <t>Cap contribution</t>
  </si>
  <si>
    <t>Operating Expenses</t>
  </si>
  <si>
    <t>Staff costs</t>
  </si>
  <si>
    <t>Total Operating Income as reported</t>
  </si>
  <si>
    <t>Computations</t>
  </si>
  <si>
    <t>Customers</t>
  </si>
  <si>
    <t>Growth rate</t>
  </si>
  <si>
    <t>New customers</t>
  </si>
  <si>
    <t>Digitally onboarded</t>
  </si>
  <si>
    <t>In branch</t>
  </si>
  <si>
    <t>Interests</t>
  </si>
  <si>
    <t>Leakage</t>
  </si>
  <si>
    <t>Opened accounts</t>
  </si>
  <si>
    <t>BB Impact</t>
  </si>
  <si>
    <t>Opened account after BB</t>
  </si>
  <si>
    <t>Inputs from Annual report 2023, 2024</t>
  </si>
  <si>
    <t>Growth Rates</t>
  </si>
  <si>
    <r>
      <rPr>
        <rFont val="Calibri"/>
        <b/>
        <color theme="1"/>
      </rPr>
      <t xml:space="preserve">VND </t>
    </r>
    <r>
      <rPr>
        <rFont val="Calibri"/>
        <b/>
        <color theme="1"/>
      </rPr>
      <t>millions</t>
    </r>
  </si>
  <si>
    <t>CAGR</t>
  </si>
  <si>
    <t>2022-23</t>
  </si>
  <si>
    <t>2023-24</t>
  </si>
  <si>
    <t>2022-24</t>
  </si>
  <si>
    <t>Operating Income - considered in financial model</t>
  </si>
  <si>
    <t>Sum of:</t>
  </si>
  <si>
    <t>Net Interest Income</t>
  </si>
  <si>
    <t>Net Fee and Commission</t>
  </si>
  <si>
    <t>Funnel Stats for SeABank</t>
  </si>
  <si>
    <t>Source: SeABank Data</t>
  </si>
  <si>
    <t>Q4 2024</t>
  </si>
  <si>
    <t>Annual</t>
  </si>
  <si>
    <t>Leakage in #</t>
  </si>
  <si>
    <t>CAC (Benchmark)</t>
  </si>
  <si>
    <t>CAC (Assumed for traditional bank)</t>
  </si>
  <si>
    <t xml:space="preserve">Value loss / customer </t>
  </si>
  <si>
    <t>App downloaded</t>
  </si>
  <si>
    <t>Register</t>
  </si>
  <si>
    <t>ID, OTP</t>
  </si>
  <si>
    <t>Opened account</t>
  </si>
  <si>
    <t>Leakage from lack of follow up</t>
  </si>
  <si>
    <t>Average Balance per customer Industry Benchmark</t>
  </si>
  <si>
    <t>Source: Industry report during similar exercise for VN customer</t>
  </si>
  <si>
    <t>Balance / customer</t>
  </si>
  <si>
    <t>Considering realistic customer activation rate</t>
  </si>
  <si>
    <t>CASA Balance</t>
  </si>
  <si>
    <t>VND</t>
  </si>
  <si>
    <t>USD</t>
  </si>
  <si>
    <t>Number of Active Customers</t>
  </si>
  <si>
    <t>MSB</t>
  </si>
  <si>
    <t>MB</t>
  </si>
  <si>
    <t>Techom</t>
  </si>
  <si>
    <t>VPBank</t>
  </si>
  <si>
    <t>TPBank</t>
  </si>
  <si>
    <t>Customer Activation Rate (Assumed)</t>
  </si>
  <si>
    <t>Simple Average</t>
  </si>
  <si>
    <t>Weighted Average</t>
  </si>
  <si>
    <t>Totals</t>
  </si>
  <si>
    <r>
      <rPr>
        <rFont val="Arial"/>
        <color theme="1"/>
      </rPr>
      <t xml:space="preserve">Projected # users - </t>
    </r>
    <r>
      <rPr>
        <rFont val="Arial"/>
        <b/>
        <color theme="1"/>
      </rPr>
      <t>RETAIL</t>
    </r>
  </si>
  <si>
    <r>
      <rPr>
        <rFont val="Arial"/>
        <b/>
        <color theme="1"/>
      </rPr>
      <t>Retail</t>
    </r>
    <r>
      <rPr>
        <rFont val="Arial"/>
        <color theme="1"/>
      </rPr>
      <t xml:space="preserve"> banking license</t>
    </r>
  </si>
  <si>
    <r>
      <rPr>
        <rFont val="Arial"/>
        <color theme="1"/>
      </rPr>
      <t xml:space="preserve">Digital Onboarding license - </t>
    </r>
    <r>
      <rPr>
        <rFont val="Arial"/>
        <b/>
        <color theme="1"/>
      </rPr>
      <t>retail</t>
    </r>
  </si>
  <si>
    <r>
      <rPr>
        <rFont val="Arial"/>
        <color theme="1"/>
      </rPr>
      <t xml:space="preserve">Digital Lending license - </t>
    </r>
    <r>
      <rPr>
        <rFont val="Arial"/>
        <b/>
        <color theme="1"/>
      </rPr>
      <t>retail</t>
    </r>
  </si>
  <si>
    <t>License cost per year</t>
  </si>
  <si>
    <t>Implementation cost per year</t>
  </si>
  <si>
    <t>Investment / Net Cash Outflow</t>
  </si>
  <si>
    <t>Discounted Net Cash Flow</t>
  </si>
  <si>
    <t>WACC</t>
  </si>
  <si>
    <t>Benefits</t>
  </si>
  <si>
    <t>Time Spent/Visit (Mins)</t>
  </si>
  <si>
    <t>ABK FTE/Hr rate (US$)</t>
  </si>
  <si>
    <t xml:space="preserve"> $             -  </t>
  </si>
  <si>
    <t>ABK Internal Transfers</t>
  </si>
  <si>
    <t>Intra Bank Transfers</t>
  </si>
  <si>
    <t>Link Payment</t>
  </si>
  <si>
    <t>Bill Pay</t>
  </si>
  <si>
    <t>Cheque Ordering</t>
  </si>
  <si>
    <t>Cheque Deposits</t>
  </si>
  <si>
    <t>Cards Management</t>
  </si>
  <si>
    <t>Customer Details Update</t>
  </si>
  <si>
    <t>KYC</t>
  </si>
  <si>
    <t>Online Banking Related</t>
  </si>
  <si>
    <t>Results</t>
  </si>
  <si>
    <t xml:space="preserve">CUSTOMER NAME: </t>
  </si>
  <si>
    <t xml:space="preserve">BCP </t>
  </si>
  <si>
    <t>VC NAME:</t>
  </si>
  <si>
    <t xml:space="preserve">Nathalia Secin </t>
  </si>
  <si>
    <t>Financial Flows &amp; Business Economics</t>
  </si>
  <si>
    <t>Licences</t>
  </si>
  <si>
    <t>Implementation</t>
  </si>
  <si>
    <t xml:space="preserve">Manage Hosting </t>
  </si>
  <si>
    <t>Manage Service</t>
  </si>
  <si>
    <t xml:space="preserve">Thousand USD </t>
  </si>
  <si>
    <t>Total Benefits</t>
  </si>
  <si>
    <t xml:space="preserve">Total investment </t>
  </si>
  <si>
    <t>Financial Investment Evaluation Metrics</t>
  </si>
  <si>
    <t xml:space="preserve">How to read it </t>
  </si>
  <si>
    <t xml:space="preserve">Return on Invesment ( Investment/Benefits) </t>
  </si>
  <si>
    <t xml:space="preserve">Payback period </t>
  </si>
  <si>
    <t>Time to recover the investment.The smallest the better.</t>
  </si>
  <si>
    <t>Investments</t>
  </si>
  <si>
    <r>
      <rPr>
        <rFont val="Calibri"/>
        <color theme="1"/>
        <sz val="11.0"/>
      </rPr>
      <t>NPV</t>
    </r>
    <r>
      <rPr>
        <rFont val="Calibri"/>
        <color rgb="FF3F3F3F"/>
        <sz val="10.0"/>
      </rPr>
      <t xml:space="preserve"> </t>
    </r>
    <r>
      <rPr>
        <rFont val="Calibri"/>
        <color rgb="FF3F3F3F"/>
        <sz val="9.0"/>
      </rPr>
      <t xml:space="preserve">(Net Present Value) </t>
    </r>
  </si>
  <si>
    <t>If positive it will be attractive. The greater the better.</t>
  </si>
  <si>
    <t>Net Flow</t>
  </si>
  <si>
    <r>
      <rPr>
        <rFont val="Calibri"/>
        <color theme="1"/>
        <sz val="11.0"/>
      </rPr>
      <t xml:space="preserve">IRR </t>
    </r>
    <r>
      <rPr>
        <rFont val="Calibri"/>
        <color rgb="FF3F3F3F"/>
        <sz val="9.0"/>
      </rPr>
      <t>(Internal Return Rate)</t>
    </r>
  </si>
  <si>
    <t>Discount rate in wich NPV=0 ; the greater the better</t>
  </si>
  <si>
    <t>Cumulative Net Cash Flow</t>
  </si>
  <si>
    <r>
      <rPr>
        <rFont val="Calibri"/>
        <color theme="1"/>
        <sz val="11.0"/>
      </rPr>
      <t xml:space="preserve">  WAAC</t>
    </r>
    <r>
      <rPr>
        <rFont val="Calibri"/>
        <color theme="1"/>
        <sz val="9.0"/>
      </rPr>
      <t xml:space="preserve"> </t>
    </r>
    <r>
      <rPr>
        <rFont val="Calibri"/>
        <color rgb="FF3F3F3F"/>
        <sz val="9.0"/>
      </rPr>
      <t>(Weighted Average Cost of Capital)</t>
    </r>
  </si>
  <si>
    <t>Discount rate. Average, validate with customer</t>
  </si>
  <si>
    <t>Payback</t>
  </si>
  <si>
    <t>Parent</t>
  </si>
  <si>
    <t>Driver</t>
  </si>
  <si>
    <t>Baseline</t>
  </si>
  <si>
    <t>Impact</t>
  </si>
  <si>
    <t>Benefit</t>
  </si>
  <si>
    <t>Baseline formula</t>
  </si>
  <si>
    <t xml:space="preserve">Year 4 </t>
  </si>
  <si>
    <t>Revenue</t>
  </si>
  <si>
    <t>AO</t>
  </si>
  <si>
    <t xml:space="preserve">Increase new customers per year by providing self service capabilities </t>
  </si>
  <si>
    <t># of accounts open per year* average income/customer</t>
  </si>
  <si>
    <t xml:space="preserve">Reduce customer leakage by increasing digital channel </t>
  </si>
  <si>
    <t># of aplications*leakage*average income/customer</t>
  </si>
  <si>
    <t xml:space="preserve">Servicing ( payments , disputes) </t>
  </si>
  <si>
    <t xml:space="preserve">Reduce customer churn </t>
  </si>
  <si>
    <t xml:space="preserve">Number of customers*customer Churn*average income per customer </t>
  </si>
  <si>
    <t xml:space="preserve">Cost </t>
  </si>
  <si>
    <t>Reduce customer onboarding cost 
(branch, back office, paper based processes) by increasing self service</t>
  </si>
  <si>
    <t>#calls/tasks</t>
  </si>
  <si>
    <t>Reduce customer servicing cost - Disputes
(reducing call center, branch , back office)</t>
  </si>
  <si>
    <t>Benfits</t>
  </si>
  <si>
    <t>Subscription</t>
  </si>
  <si>
    <t>Data</t>
  </si>
  <si>
    <t xml:space="preserve">Revenue </t>
  </si>
  <si>
    <t xml:space="preserve">Customer Churn </t>
  </si>
  <si>
    <t>**</t>
  </si>
  <si>
    <t>Current Customer Leakage (%) in new account applications</t>
  </si>
  <si>
    <t>Average # of account opening aplications</t>
  </si>
  <si>
    <t>Average # of accounts opened in a year</t>
  </si>
  <si>
    <t>Transactions D</t>
  </si>
  <si>
    <t xml:space="preserve">Cost call Center </t>
  </si>
  <si>
    <t xml:space="preserve">Based on data provided 850 KD average monthly salary </t>
  </si>
  <si>
    <t xml:space="preserve">Cost Branch </t>
  </si>
  <si>
    <t xml:space="preserve">On Boarding </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</si>
</sst>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mmm yyyy"/>
    <numFmt numFmtId="165" formatCode="_-&quot;$&quot;* #,##0_-;\-&quot;$&quot;* #,##0_-;_-&quot;$&quot;* &quot;-&quot;??_-;_-@"/>
    <numFmt numFmtId="166" formatCode="#,##0.000000000"/>
    <numFmt numFmtId="167" formatCode="_(* #,##0_);_(* \(#,##0\);_(* &quot;-&quot;??_);_(@_)"/>
    <numFmt numFmtId="168" formatCode="_(* #,##0.00_);_(* \(#,##0.00\);_(* &quot;-&quot;??.00_);_(@_)"/>
    <numFmt numFmtId="169" formatCode="&quot;$&quot;#,##0.00"/>
    <numFmt numFmtId="170" formatCode="0.0%"/>
    <numFmt numFmtId="171" formatCode="_(* #,##0.0_);_(* \(#,##0.0\);_(* &quot;-&quot;??_);_(@_)"/>
    <numFmt numFmtId="172" formatCode="[$$]#,##0.00"/>
    <numFmt numFmtId="173" formatCode="_(* #,##0.00_);_(* \(#,##0.00\);_(* &quot;-&quot;??_);_(@_)"/>
    <numFmt numFmtId="174" formatCode="[$€]#,##0.00"/>
    <numFmt numFmtId="175" formatCode="&quot;$&quot;#,##0"/>
    <numFmt numFmtId="176" formatCode="&quot;$&quot;#,##0.0"/>
    <numFmt numFmtId="177" formatCode="[$€]#,##0"/>
    <numFmt numFmtId="178" formatCode="_(&quot;$&quot;* #,##0_);_(&quot;$&quot;* \(#,##0\);_(&quot;$&quot;* &quot;-&quot;??_);_(@_)"/>
    <numFmt numFmtId="179" formatCode="#,##0[$ ₫]"/>
    <numFmt numFmtId="180" formatCode="_(&quot;$&quot;* #,##0.00_);_(&quot;$&quot;* \(#,##0.00\);_(&quot;$&quot;* &quot;-&quot;??_);_(@_)"/>
  </numFmts>
  <fonts count="203">
    <font>
      <sz val="11.0"/>
      <color theme="1"/>
      <name val="Calibri"/>
      <scheme val="minor"/>
    </font>
    <font>
      <color theme="1"/>
      <name val="Calibri"/>
    </font>
    <font>
      <color theme="1"/>
      <name val="Inter"/>
    </font>
    <font>
      <b/>
      <i/>
      <color theme="1"/>
      <name val="Inter"/>
    </font>
    <font>
      <b/>
      <sz val="24.0"/>
      <color rgb="FF0000FF"/>
      <name val="Inter"/>
    </font>
    <font>
      <b/>
      <i/>
      <sz val="16.0"/>
      <color theme="1"/>
      <name val="Inter"/>
    </font>
    <font>
      <i/>
      <sz val="16.0"/>
      <color theme="1"/>
      <name val="Inter"/>
    </font>
    <font>
      <sz val="16.0"/>
      <color theme="1"/>
      <name val="Inter"/>
    </font>
    <font>
      <sz val="16.0"/>
      <color theme="1"/>
      <name val="Calibri"/>
    </font>
    <font>
      <b/>
      <sz val="11.0"/>
      <color rgb="FF0B5394"/>
      <name val="Arial"/>
    </font>
    <font>
      <sz val="28.0"/>
      <color theme="1"/>
      <name val="Source Sans Pro"/>
    </font>
    <font/>
    <font>
      <color theme="1"/>
      <name val="Arial"/>
    </font>
    <font>
      <b/>
      <sz val="12.0"/>
      <color theme="1"/>
      <name val="Arial"/>
    </font>
    <font>
      <sz val="12.0"/>
      <color theme="1"/>
      <name val="Arial"/>
    </font>
    <font>
      <sz val="14.0"/>
      <color rgb="FF000000"/>
      <name val="Calibri"/>
    </font>
    <font>
      <b/>
      <sz val="24.0"/>
      <color rgb="FF0098E3"/>
      <name val="Calibri"/>
    </font>
    <font>
      <b/>
      <sz val="26.0"/>
      <color rgb="FF0098E3"/>
      <name val="Calibri"/>
    </font>
    <font>
      <sz val="18.0"/>
      <color theme="1"/>
      <name val="Calibri"/>
    </font>
    <font>
      <b/>
      <sz val="14.0"/>
      <color rgb="FF172CC3"/>
      <name val="Calibri"/>
    </font>
    <font>
      <b/>
      <sz val="18.0"/>
      <color rgb="FF434343"/>
      <name val="Calibri"/>
    </font>
    <font>
      <b/>
      <sz val="8.0"/>
      <color rgb="FF3D85C6"/>
      <name val="Calibri"/>
    </font>
    <font>
      <b/>
      <sz val="14.0"/>
      <color rgb="FFFFFFFF"/>
      <name val="Libre Franklin"/>
    </font>
    <font>
      <b/>
      <sz val="42.0"/>
      <color rgb="FFFFFFFF"/>
      <name val="Libre Franklin"/>
    </font>
    <font>
      <b/>
      <i/>
      <sz val="14.0"/>
      <color rgb="FFFFFFFF"/>
      <name val="Libre Franklin"/>
    </font>
    <font>
      <b/>
      <sz val="24.0"/>
      <color rgb="FFFFFFFF"/>
      <name val="Libre Franklin"/>
    </font>
    <font>
      <b/>
      <sz val="18.0"/>
      <color rgb="FFFFFFFF"/>
      <name val="Libre Franklin"/>
    </font>
    <font>
      <b/>
      <sz val="36.0"/>
      <color rgb="FFFFFFFF"/>
      <name val="Libre Franklin"/>
    </font>
    <font>
      <sz val="10.0"/>
      <color theme="1"/>
      <name val="Inter"/>
    </font>
    <font>
      <b/>
      <sz val="10.0"/>
      <color theme="1"/>
      <name val="Raleway"/>
    </font>
    <font>
      <color rgb="FFFFFFFF"/>
      <name val="Calibri"/>
    </font>
    <font>
      <sz val="10.0"/>
      <color rgb="FFFFFFFF"/>
      <name val="Inter"/>
    </font>
    <font>
      <b/>
      <sz val="16.0"/>
      <color rgb="FF0B5394"/>
      <name val="Inter"/>
    </font>
    <font>
      <b/>
      <sz val="12.0"/>
      <color rgb="FFFFFFFF"/>
      <name val="Inter"/>
    </font>
    <font>
      <b/>
      <sz val="11.0"/>
      <color rgb="FF0B5394"/>
      <name val="Inter"/>
    </font>
    <font>
      <sz val="12.0"/>
      <color theme="1"/>
      <name val="Inter"/>
    </font>
    <font>
      <b/>
      <sz val="18.0"/>
      <color theme="1"/>
      <name val="Inter"/>
    </font>
    <font>
      <sz val="18.0"/>
      <color theme="1"/>
      <name val="Inter"/>
    </font>
    <font>
      <b/>
      <sz val="12.0"/>
      <color rgb="FF434343"/>
      <name val="Inter"/>
    </font>
    <font>
      <sz val="10.0"/>
      <color rgb="FF434343"/>
      <name val="Inter"/>
    </font>
    <font>
      <b/>
      <sz val="22.0"/>
      <color rgb="FFFFFFFF"/>
      <name val="Inter"/>
    </font>
    <font>
      <b/>
      <sz val="12.0"/>
      <color theme="1"/>
      <name val="Inter"/>
    </font>
    <font>
      <b/>
      <i/>
      <sz val="11.0"/>
      <color theme="1"/>
      <name val="Raleway"/>
    </font>
    <font>
      <b/>
      <sz val="12.0"/>
      <color rgb="FF000000"/>
      <name val="Inter"/>
    </font>
    <font>
      <b/>
      <i/>
      <color theme="1"/>
      <name val="Raleway"/>
    </font>
    <font>
      <sz val="10.0"/>
      <color rgb="FF000000"/>
      <name val="Inter"/>
    </font>
    <font>
      <b/>
      <sz val="11.0"/>
      <color rgb="FF434343"/>
      <name val="Inter"/>
    </font>
    <font>
      <b/>
      <sz val="9.0"/>
      <color rgb="FFFFFFFF"/>
      <name val="Inter"/>
    </font>
    <font>
      <b/>
      <sz val="9.0"/>
      <color rgb="FF434343"/>
      <name val="Inter"/>
    </font>
    <font>
      <b/>
      <sz val="9.0"/>
      <color rgb="FF434343"/>
      <name val="Raleway"/>
    </font>
    <font>
      <color rgb="FFFFFFFF"/>
      <name val="Calibri"/>
      <scheme val="minor"/>
    </font>
    <font>
      <color theme="1"/>
      <name val="Calibri"/>
      <scheme val="minor"/>
    </font>
    <font>
      <b/>
      <sz val="10.0"/>
      <color rgb="FFFFFFFF"/>
      <name val="Inter"/>
    </font>
    <font>
      <b/>
      <sz val="10.0"/>
      <color rgb="FFFFFFFF"/>
      <name val="Raleway"/>
    </font>
    <font>
      <b/>
      <i/>
      <sz val="11.0"/>
      <color rgb="FF0000FF"/>
      <name val="Raleway"/>
    </font>
    <font>
      <sz val="11.0"/>
      <color theme="1"/>
      <name val="Calibri"/>
    </font>
    <font>
      <sz val="10.0"/>
      <color theme="1"/>
      <name val="Arial"/>
    </font>
    <font>
      <b/>
      <sz val="8.0"/>
      <color rgb="FFFFFFFF"/>
      <name val="Inter"/>
    </font>
    <font>
      <i/>
      <sz val="10.0"/>
      <color rgb="FF000000"/>
      <name val="Raleway"/>
    </font>
    <font>
      <i/>
      <sz val="10.0"/>
      <color theme="1"/>
      <name val="Raleway"/>
    </font>
    <font>
      <sz val="10.0"/>
      <color theme="1"/>
      <name val="Calibri"/>
    </font>
    <font>
      <i/>
      <sz val="10.0"/>
      <color rgb="FF434343"/>
      <name val="Raleway"/>
    </font>
    <font>
      <sz val="10.0"/>
      <color rgb="FF434343"/>
      <name val="Calibri"/>
    </font>
    <font>
      <b/>
      <sz val="10.0"/>
      <color theme="1"/>
      <name val="Inter"/>
    </font>
    <font>
      <i/>
      <sz val="10.0"/>
      <color rgb="FFFF0000"/>
      <name val="Raleway"/>
    </font>
    <font>
      <b/>
      <sz val="10.0"/>
      <color rgb="FF000000"/>
      <name val="Raleway"/>
    </font>
    <font>
      <b/>
      <color theme="1"/>
      <name val="Calibri"/>
    </font>
    <font>
      <b/>
      <color rgb="FFFF0000"/>
      <name val="Calibri"/>
    </font>
    <font>
      <b/>
      <sz val="11.0"/>
      <color rgb="FF66CC00"/>
      <name val="Inter"/>
    </font>
    <font>
      <b/>
      <sz val="10.0"/>
      <color rgb="FFFF0000"/>
      <name val="Inter"/>
    </font>
    <font>
      <sz val="11.0"/>
      <color theme="1"/>
      <name val="Inter"/>
    </font>
    <font>
      <sz val="10.0"/>
      <color theme="1"/>
      <name val="Libre Franklin"/>
    </font>
    <font>
      <sz val="10.0"/>
      <color rgb="FFFFFFFF"/>
      <name val="Libre Franklin"/>
    </font>
    <font>
      <sz val="10.0"/>
      <color theme="0"/>
      <name val="Inter"/>
    </font>
    <font>
      <b/>
      <sz val="11.0"/>
      <color theme="1"/>
      <name val="Inter"/>
    </font>
    <font>
      <b/>
      <sz val="11.0"/>
      <color theme="1"/>
      <name val="Raleway"/>
    </font>
    <font>
      <sz val="11.0"/>
      <color theme="1"/>
      <name val="Arial"/>
    </font>
    <font>
      <b/>
      <color theme="1"/>
      <name val="Inter"/>
    </font>
    <font>
      <sz val="11.0"/>
      <color theme="1"/>
      <name val="Libre Franklin"/>
    </font>
    <font>
      <b/>
      <i/>
      <sz val="11.0"/>
      <color theme="1"/>
      <name val="Libre Franklin"/>
    </font>
    <font>
      <color theme="1"/>
      <name val="Libre Franklin"/>
    </font>
    <font>
      <b/>
      <sz val="16.0"/>
      <color rgb="FF0B5394"/>
      <name val="Libre Franklin"/>
    </font>
    <font>
      <b/>
      <sz val="11.0"/>
      <color rgb="FF0B5394"/>
      <name val="Libre Franklin"/>
    </font>
    <font>
      <sz val="8.0"/>
      <color theme="1"/>
      <name val="Libre Franklin"/>
    </font>
    <font>
      <i/>
      <sz val="24.0"/>
      <color theme="1"/>
      <name val="Libre Franklin"/>
    </font>
    <font>
      <sz val="12.0"/>
      <color theme="1"/>
      <name val="Libre Franklin"/>
    </font>
    <font>
      <b/>
      <sz val="18.0"/>
      <color theme="1"/>
      <name val="Libre Franklin"/>
    </font>
    <font>
      <b/>
      <u/>
      <sz val="22.0"/>
      <color theme="1"/>
      <name val="Libre Franklin"/>
    </font>
    <font>
      <sz val="18.0"/>
      <color theme="1"/>
      <name val="Libre Franklin"/>
    </font>
    <font>
      <b/>
      <i/>
      <color theme="1"/>
      <name val="Libre Franklin"/>
    </font>
    <font>
      <b/>
      <sz val="16.0"/>
      <color rgb="FFFFFFFF"/>
      <name val="Libre Franklin"/>
    </font>
    <font>
      <b/>
      <i/>
      <sz val="16.0"/>
      <color rgb="FFFFFFFF"/>
      <name val="Libre Franklin"/>
    </font>
    <font>
      <b/>
      <sz val="12.0"/>
      <color rgb="FFFFFFFF"/>
      <name val="Libre Franklin"/>
    </font>
    <font>
      <b/>
      <i/>
      <sz val="14.0"/>
      <color rgb="FF000000"/>
      <name val="Libre Franklin"/>
    </font>
    <font>
      <i/>
      <sz val="9.0"/>
      <color theme="1"/>
      <name val="Libre Franklin"/>
    </font>
    <font>
      <b/>
      <sz val="9.0"/>
      <color rgb="FFFFFFFF"/>
      <name val="Libre Franklin"/>
    </font>
    <font>
      <b/>
      <i/>
      <sz val="11.0"/>
      <color rgb="FF000000"/>
      <name val="Libre Franklin"/>
    </font>
    <font>
      <b/>
      <sz val="11.0"/>
      <color rgb="FFFFFFFF"/>
      <name val="Libre Franklin"/>
    </font>
    <font>
      <b/>
      <sz val="10.0"/>
      <color rgb="FFFFFFFF"/>
      <name val="Libre Franklin"/>
    </font>
    <font>
      <b/>
      <sz val="10.0"/>
      <color rgb="FF0000FF"/>
      <name val="Libre Franklin"/>
    </font>
    <font>
      <sz val="10.0"/>
      <color rgb="FF0000FF"/>
      <name val="Libre Franklin"/>
    </font>
    <font>
      <i/>
      <sz val="10.0"/>
      <color rgb="FF000000"/>
      <name val="Libre Franklin"/>
    </font>
    <font>
      <sz val="10.0"/>
      <color theme="0"/>
      <name val="Libre Franklin"/>
    </font>
    <font>
      <b/>
      <sz val="10.0"/>
      <color theme="0"/>
      <name val="Libre Franklin"/>
    </font>
    <font>
      <b/>
      <i/>
      <sz val="10.0"/>
      <color rgb="FF000000"/>
      <name val="Libre Franklin"/>
    </font>
    <font>
      <b/>
      <sz val="11.0"/>
      <color rgb="FF000000"/>
      <name val="Libre Franklin"/>
    </font>
    <font>
      <sz val="10.0"/>
      <color rgb="FF000000"/>
      <name val="Libre Franklin"/>
    </font>
    <font>
      <b/>
      <sz val="12.0"/>
      <color theme="0"/>
      <name val="Libre Franklin"/>
    </font>
    <font>
      <b/>
      <sz val="12.0"/>
      <color rgb="FF999999"/>
      <name val="Libre Franklin"/>
    </font>
    <font>
      <sz val="11.0"/>
      <color rgb="FFFFFFFF"/>
      <name val="Libre Franklin"/>
    </font>
    <font>
      <b/>
      <sz val="11.0"/>
      <color rgb="FF999999"/>
      <name val="Libre Franklin"/>
    </font>
    <font>
      <b/>
      <sz val="10.0"/>
      <color rgb="FF999999"/>
      <name val="Libre Franklin"/>
    </font>
    <font>
      <sz val="10.0"/>
      <color rgb="FF999999"/>
      <name val="Libre Franklin"/>
    </font>
    <font>
      <b/>
      <sz val="16.0"/>
      <color theme="0"/>
      <name val="Libre Franklin"/>
    </font>
    <font>
      <b/>
      <i/>
      <sz val="16.0"/>
      <color rgb="FF000000"/>
      <name val="Libre Franklin"/>
    </font>
    <font>
      <b/>
      <sz val="14.0"/>
      <color theme="0"/>
      <name val="Libre Franklin"/>
    </font>
    <font>
      <sz val="11.0"/>
      <color rgb="FF274E13"/>
      <name val="Libre Franklin"/>
    </font>
    <font>
      <sz val="11.0"/>
      <color rgb="FF000000"/>
      <name val="Libre Franklin"/>
    </font>
    <font>
      <i/>
      <sz val="11.0"/>
      <color rgb="FF000000"/>
      <name val="Libre Franklin"/>
    </font>
    <font>
      <b/>
      <color rgb="FF999999"/>
      <name val="Calibri"/>
      <scheme val="minor"/>
    </font>
    <font>
      <color rgb="FF999999"/>
      <name val="Calibri"/>
      <scheme val="minor"/>
    </font>
    <font>
      <u/>
      <sz val="11.0"/>
      <color theme="0"/>
      <name val="Libre Franklin"/>
    </font>
    <font>
      <sz val="8.0"/>
      <color theme="1"/>
      <name val="Inter"/>
    </font>
    <font>
      <i/>
      <sz val="24.0"/>
      <color theme="1"/>
      <name val="Inter"/>
    </font>
    <font>
      <b/>
      <u/>
      <sz val="22.0"/>
      <color theme="1"/>
      <name val="Inter"/>
    </font>
    <font>
      <b/>
      <sz val="14.0"/>
      <color rgb="FFFFFFFF"/>
      <name val="Inter"/>
    </font>
    <font>
      <b/>
      <i/>
      <sz val="14.0"/>
      <color rgb="FFFFFFFF"/>
      <name val="Raleway"/>
    </font>
    <font>
      <sz val="10.0"/>
      <color rgb="FF000000"/>
      <name val="Calibri"/>
    </font>
    <font>
      <b/>
      <i/>
      <sz val="12.0"/>
      <color rgb="FFFFFFFF"/>
      <name val="Raleway"/>
    </font>
    <font>
      <i/>
      <sz val="11.0"/>
      <color rgb="FF0000FF"/>
      <name val="Raleway"/>
    </font>
    <font>
      <b/>
      <sz val="10.0"/>
      <color rgb="FF000000"/>
      <name val="Calibri"/>
    </font>
    <font>
      <i/>
      <sz val="11.0"/>
      <color theme="1"/>
      <name val="&quot;Libre Franklin&quot;"/>
    </font>
    <font>
      <i/>
      <sz val="11.0"/>
      <color rgb="FF0000FF"/>
      <name val="Libre Franklin"/>
    </font>
    <font>
      <b/>
      <i/>
      <sz val="11.0"/>
      <color rgb="FFFFFFFF"/>
      <name val="Libre Franklin"/>
    </font>
    <font>
      <sz val="12.0"/>
      <color theme="1"/>
      <name val="Calibri"/>
    </font>
    <font>
      <b/>
      <i/>
      <sz val="12.0"/>
      <color rgb="FF0000FF"/>
      <name val="Raleway"/>
    </font>
    <font>
      <sz val="14.0"/>
      <color theme="1"/>
      <name val="Libre Franklin"/>
    </font>
    <font>
      <sz val="14.0"/>
      <color theme="1"/>
      <name val="Calibri"/>
      <scheme val="minor"/>
    </font>
    <font>
      <b/>
      <color theme="1"/>
      <name val="Calibri"/>
      <scheme val="minor"/>
    </font>
    <font>
      <color rgb="FFFF0000"/>
      <name val="Calibri"/>
      <scheme val="minor"/>
    </font>
    <font>
      <b/>
      <color theme="1"/>
      <name val="Arial"/>
    </font>
    <font>
      <color theme="9"/>
      <name val="Calibri"/>
      <scheme val="minor"/>
    </font>
    <font>
      <sz val="10.0"/>
      <color rgb="FFFF0000"/>
      <name val="Raleway"/>
    </font>
    <font>
      <i/>
      <sz val="10.0"/>
      <color theme="9"/>
      <name val="Raleway"/>
    </font>
    <font>
      <i/>
      <sz val="10.0"/>
      <color rgb="FF66CC00"/>
      <name val="Raleway"/>
    </font>
    <font>
      <b/>
      <color theme="1"/>
      <name val="Libre Franklin"/>
    </font>
    <font>
      <b/>
      <sz val="18.0"/>
      <color rgb="FF000000"/>
      <name val="Libre Franklin"/>
    </font>
    <font>
      <sz val="16.0"/>
      <color rgb="FF000000"/>
      <name val="Libre Franklin"/>
    </font>
    <font>
      <b/>
      <sz val="16.0"/>
      <color rgb="FF000000"/>
      <name val="Libre Franklin"/>
    </font>
    <font>
      <b/>
      <sz val="18.0"/>
      <color theme="1"/>
      <name val="Calibri"/>
    </font>
    <font>
      <b/>
      <sz val="18.0"/>
      <color theme="1"/>
      <name val="&quot;Libre Franklin&quot;"/>
    </font>
    <font>
      <b/>
      <sz val="18.0"/>
      <color rgb="FFFFFFFF"/>
      <name val="&quot;Libre Franklin&quot;"/>
    </font>
    <font>
      <sz val="18.0"/>
      <color theme="1"/>
      <name val="&quot;Libre Franklin&quot;"/>
    </font>
    <font>
      <sz val="16.0"/>
      <color theme="1"/>
      <name val="&quot;Libre Franklin&quot;"/>
    </font>
    <font>
      <b/>
      <sz val="16.0"/>
      <color theme="1"/>
      <name val="&quot;Libre Franklin&quot;"/>
    </font>
    <font>
      <color rgb="FF000000"/>
      <name val="Calibri"/>
    </font>
    <font>
      <sz val="11.0"/>
      <color rgb="FF000000"/>
      <name val="Inter"/>
    </font>
    <font>
      <b/>
      <i/>
      <sz val="11.0"/>
      <color rgb="FF000000"/>
      <name val="Raleway"/>
    </font>
    <font>
      <b/>
      <sz val="14.0"/>
      <color rgb="FF000000"/>
      <name val="Inter"/>
    </font>
    <font>
      <sz val="11.0"/>
      <color rgb="FF000000"/>
      <name val="Calibri"/>
    </font>
    <font>
      <b/>
      <color rgb="FFFFFFFF"/>
      <name val="Calibri"/>
    </font>
    <font>
      <b/>
      <sz val="12.0"/>
      <color rgb="FF0000FF"/>
      <name val="Inter"/>
    </font>
    <font>
      <b/>
      <i/>
      <sz val="11.0"/>
      <color rgb="FFFFFFFF"/>
      <name val="Raleway"/>
    </font>
    <font>
      <sz val="11.0"/>
      <color rgb="FF434343"/>
      <name val="Inter"/>
    </font>
    <font>
      <sz val="9.0"/>
      <color rgb="FF000000"/>
      <name val="Calibri"/>
    </font>
    <font>
      <b/>
      <u/>
      <sz val="22.0"/>
      <color theme="1"/>
      <name val="Inter"/>
    </font>
    <font>
      <b/>
      <sz val="11.0"/>
      <color theme="1"/>
      <name val="&quot;Libre Franklin&quot;"/>
    </font>
    <font>
      <b/>
      <sz val="11.0"/>
      <color rgb="FFFFFFFF"/>
      <name val="Inter"/>
    </font>
    <font>
      <b/>
      <sz val="11.0"/>
      <color rgb="FF0000FF"/>
      <name val="Libre Franklin"/>
    </font>
    <font>
      <b/>
      <sz val="14.0"/>
      <color rgb="FF000000"/>
      <name val="Libre Franklin"/>
    </font>
    <font>
      <b/>
      <i/>
      <sz val="11.0"/>
      <color rgb="FFFFFFFF"/>
      <name val="&quot;Libre Franklin&quot;"/>
    </font>
    <font>
      <sz val="11.0"/>
      <color rgb="FF434343"/>
      <name val="Libre Franklin"/>
    </font>
    <font>
      <b/>
      <i/>
      <sz val="11.0"/>
      <color theme="1"/>
      <name val="&quot;Libre Franklin&quot;"/>
    </font>
    <font>
      <b/>
      <sz val="11.0"/>
      <color rgb="FF0000FF"/>
      <name val="&quot;Libre Franklin&quot;"/>
    </font>
    <font>
      <sz val="11.0"/>
      <color rgb="FF666666"/>
      <name val="Libre Franklin"/>
    </font>
    <font>
      <b/>
      <i/>
      <sz val="11.0"/>
      <color rgb="FF666666"/>
      <name val="&quot;Libre Franklin&quot;"/>
    </font>
    <font>
      <b/>
      <i/>
      <sz val="11.0"/>
      <color rgb="FF666666"/>
      <name val="Raleway"/>
    </font>
    <font>
      <sz val="11.0"/>
      <color rgb="FF666666"/>
      <name val="Calibri"/>
    </font>
    <font>
      <color rgb="FF666666"/>
      <name val="Calibri"/>
    </font>
    <font>
      <b/>
      <sz val="11.0"/>
      <color rgb="FF666666"/>
      <name val="&quot;Libre Franklin&quot;"/>
    </font>
    <font>
      <b/>
      <sz val="14.0"/>
      <color rgb="FF666666"/>
      <name val="&quot;Libre Franklin&quot;"/>
    </font>
    <font>
      <sz val="11.0"/>
      <color rgb="FF666666"/>
      <name val="&quot;Libre Franklin&quot;"/>
    </font>
    <font>
      <b/>
      <sz val="12.0"/>
      <color theme="1"/>
      <name val="Calibri"/>
      <scheme val="minor"/>
    </font>
    <font>
      <b/>
      <sz val="14.0"/>
      <color rgb="FFEA4335"/>
      <name val="Arial"/>
    </font>
    <font>
      <b/>
      <sz val="9.0"/>
      <color rgb="FF000000"/>
      <name val="Calibri"/>
    </font>
    <font>
      <b/>
      <sz val="10.0"/>
      <color rgb="FF000000"/>
      <name val="Arial"/>
    </font>
    <font>
      <b/>
      <sz val="16.0"/>
      <color rgb="FF0B5394"/>
      <name val="Arial"/>
    </font>
    <font>
      <b/>
      <sz val="10.0"/>
      <color rgb="FFFFFFFF"/>
      <name val="Corbel"/>
    </font>
    <font>
      <sz val="12.0"/>
      <color rgb="FF000000"/>
      <name val="Calibri"/>
    </font>
    <font>
      <sz val="9.0"/>
      <color rgb="FF000000"/>
      <name val="Arial"/>
    </font>
    <font>
      <b/>
      <sz val="18.0"/>
      <color rgb="FF000000"/>
      <name val="Calibri"/>
    </font>
    <font>
      <b/>
      <sz val="12.0"/>
      <color rgb="FF000000"/>
      <name val="Calibri"/>
    </font>
    <font>
      <sz val="11.0"/>
      <color rgb="FF3F3F3F"/>
      <name val="Calibri"/>
    </font>
    <font>
      <i/>
      <u/>
      <sz val="12.0"/>
      <color theme="1"/>
      <name val="Calibri"/>
    </font>
    <font>
      <b/>
      <sz val="11.0"/>
      <color theme="0"/>
      <name val="Calibri"/>
    </font>
    <font>
      <b/>
      <sz val="11.0"/>
      <color theme="1"/>
      <name val="Calibri"/>
    </font>
    <font>
      <b/>
      <sz val="12.0"/>
      <color theme="1"/>
      <name val="Calibri"/>
    </font>
    <font>
      <b/>
      <sz val="12.0"/>
      <color rgb="FF595959"/>
      <name val="Calibri"/>
    </font>
    <font>
      <sz val="16.0"/>
      <color theme="6"/>
      <name val="Calibri"/>
    </font>
    <font>
      <b/>
      <sz val="10.0"/>
      <color theme="1"/>
      <name val="Calibri"/>
    </font>
    <font>
      <sz val="10.0"/>
      <color rgb="FF181E41"/>
      <name val="Arial"/>
    </font>
    <font>
      <sz val="14.0"/>
      <color rgb="FF181E41"/>
      <name val="Arial"/>
    </font>
    <font>
      <i/>
      <sz val="9.0"/>
      <color theme="1"/>
      <name val="Calibri"/>
    </font>
  </fonts>
  <fills count="41">
    <fill>
      <patternFill patternType="none"/>
    </fill>
    <fill>
      <patternFill patternType="lightGray"/>
    </fill>
    <fill>
      <patternFill patternType="solid">
        <fgColor rgb="FFFFFFFF"/>
        <bgColor rgb="FFFFFFFF"/>
      </patternFill>
    </fill>
    <fill>
      <patternFill patternType="solid">
        <fgColor rgb="FF44546A"/>
        <bgColor rgb="FF44546A"/>
      </patternFill>
    </fill>
    <fill>
      <patternFill patternType="solid">
        <fgColor rgb="FF141E3D"/>
        <bgColor rgb="FF141E3D"/>
      </patternFill>
    </fill>
    <fill>
      <patternFill patternType="solid">
        <fgColor rgb="FF000092"/>
        <bgColor rgb="FF000092"/>
      </patternFill>
    </fill>
    <fill>
      <patternFill patternType="solid">
        <fgColor rgb="FF000000"/>
        <bgColor rgb="FF000000"/>
      </patternFill>
    </fill>
    <fill>
      <patternFill patternType="solid">
        <fgColor rgb="FF0000FF"/>
        <bgColor rgb="FF0000FF"/>
      </patternFill>
    </fill>
    <fill>
      <patternFill patternType="solid">
        <fgColor rgb="FFCFE2F3"/>
        <bgColor rgb="FFCFE2F3"/>
      </patternFill>
    </fill>
    <fill>
      <patternFill patternType="solid">
        <fgColor rgb="FFF3F3F3"/>
        <bgColor rgb="FFF3F3F3"/>
      </patternFill>
    </fill>
    <fill>
      <patternFill patternType="solid">
        <fgColor rgb="FFF9CB9C"/>
        <bgColor rgb="FFF9CB9C"/>
      </patternFill>
    </fill>
    <fill>
      <patternFill patternType="solid">
        <fgColor rgb="FF434343"/>
        <bgColor rgb="FF434343"/>
      </patternFill>
    </fill>
    <fill>
      <patternFill patternType="solid">
        <fgColor rgb="FF990000"/>
        <bgColor rgb="FF990000"/>
      </patternFill>
    </fill>
    <fill>
      <patternFill patternType="solid">
        <fgColor rgb="FF666666"/>
        <bgColor rgb="FF666666"/>
      </patternFill>
    </fill>
    <fill>
      <patternFill patternType="solid">
        <fgColor rgb="FFFFCC99"/>
        <bgColor rgb="FFFFCC99"/>
      </patternFill>
    </fill>
    <fill>
      <patternFill patternType="solid">
        <fgColor rgb="FF7F7F7F"/>
        <bgColor rgb="FF7F7F7F"/>
      </patternFill>
    </fill>
    <fill>
      <patternFill patternType="solid">
        <fgColor rgb="FFEFEFEF"/>
        <bgColor rgb="FFEFEFEF"/>
      </patternFill>
    </fill>
    <fill>
      <patternFill patternType="solid">
        <fgColor rgb="FFCC0000"/>
        <bgColor rgb="FFCC0000"/>
      </patternFill>
    </fill>
    <fill>
      <patternFill patternType="solid">
        <fgColor rgb="FFF4CCCC"/>
        <bgColor rgb="FFF4CCCC"/>
      </patternFill>
    </fill>
    <fill>
      <patternFill patternType="solid">
        <fgColor rgb="FF999999"/>
        <bgColor rgb="FF999999"/>
      </patternFill>
    </fill>
    <fill>
      <patternFill patternType="solid">
        <fgColor rgb="FF660000"/>
        <bgColor rgb="FF660000"/>
      </patternFill>
    </fill>
    <fill>
      <patternFill patternType="solid">
        <fgColor rgb="FFCCCCCC"/>
        <bgColor rgb="FFCCCCCC"/>
      </patternFill>
    </fill>
    <fill>
      <patternFill patternType="solid">
        <fgColor rgb="FF172CC3"/>
        <bgColor rgb="FF172CC3"/>
      </patternFill>
    </fill>
    <fill>
      <patternFill patternType="solid">
        <fgColor rgb="FFEA4335"/>
        <bgColor rgb="FFEA4335"/>
      </patternFill>
    </fill>
    <fill>
      <patternFill patternType="solid">
        <fgColor rgb="FF6AA84F"/>
        <bgColor rgb="FF6AA84F"/>
      </patternFill>
    </fill>
    <fill>
      <patternFill patternType="solid">
        <fgColor rgb="FFF1C232"/>
        <bgColor rgb="FFF1C232"/>
      </patternFill>
    </fill>
    <fill>
      <patternFill patternType="solid">
        <fgColor rgb="FF66CC00"/>
        <bgColor rgb="FF66CC00"/>
      </patternFill>
    </fill>
    <fill>
      <patternFill patternType="solid">
        <fgColor rgb="FFFF0000"/>
        <bgColor rgb="FFFF0000"/>
      </patternFill>
    </fill>
    <fill>
      <patternFill patternType="solid">
        <fgColor rgb="FFFFFF00"/>
        <bgColor rgb="FFFFFF00"/>
      </patternFill>
    </fill>
    <fill>
      <patternFill patternType="solid">
        <fgColor rgb="FFB7E1CD"/>
        <bgColor rgb="FFB7E1CD"/>
      </patternFill>
    </fill>
    <fill>
      <patternFill patternType="solid">
        <fgColor rgb="FFA5A5A5"/>
        <bgColor rgb="FFA5A5A5"/>
      </patternFill>
    </fill>
    <fill>
      <patternFill patternType="solid">
        <fgColor rgb="FFEEF1FB"/>
        <bgColor rgb="FFEEF1FB"/>
      </patternFill>
    </fill>
    <fill>
      <patternFill patternType="solid">
        <fgColor rgb="FFA3FE47"/>
        <bgColor rgb="FFA3FE47"/>
      </patternFill>
    </fill>
    <fill>
      <patternFill patternType="solid">
        <fgColor rgb="FFD8D8D8"/>
        <bgColor rgb="FFD8D8D8"/>
      </patternFill>
    </fill>
    <fill>
      <patternFill patternType="solid">
        <fgColor rgb="FFD8DFF4"/>
        <bgColor rgb="FFD8DFF4"/>
      </patternFill>
    </fill>
    <fill>
      <patternFill patternType="solid">
        <fgColor rgb="FF92D050"/>
        <bgColor rgb="FF92D050"/>
      </patternFill>
    </fill>
    <fill>
      <patternFill patternType="solid">
        <fgColor rgb="FF525252"/>
        <bgColor rgb="FF525252"/>
      </patternFill>
    </fill>
    <fill>
      <patternFill patternType="solid">
        <fgColor theme="4"/>
        <bgColor theme="4"/>
      </patternFill>
    </fill>
    <fill>
      <patternFill patternType="solid">
        <fgColor rgb="FFF2F2F2"/>
        <bgColor rgb="FFF2F2F2"/>
      </patternFill>
    </fill>
    <fill>
      <patternFill patternType="solid">
        <fgColor rgb="FFCDD8E3"/>
        <bgColor rgb="FFCDD8E3"/>
      </patternFill>
    </fill>
    <fill>
      <patternFill patternType="solid">
        <fgColor theme="5"/>
        <bgColor theme="5"/>
      </patternFill>
    </fill>
  </fills>
  <borders count="126">
    <border/>
    <border>
      <left style="thin">
        <color rgb="FFFFFFFF"/>
      </left>
      <right style="thin">
        <color rgb="FFFFFFFF"/>
      </right>
      <top style="thin">
        <color rgb="FFFFFFFF"/>
      </top>
      <bottom style="thin">
        <color rgb="FFFFFFFF"/>
      </bottom>
    </border>
    <border>
      <left/>
      <right/>
      <top/>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141E3D"/>
      </left>
      <right style="thin">
        <color rgb="FF141E3D"/>
      </right>
      <top style="thin">
        <color rgb="FF141E3D"/>
      </top>
      <bottom style="thin">
        <color rgb="FF141E3D"/>
      </bottom>
    </border>
    <border>
      <left style="thin">
        <color rgb="FF141E3D"/>
      </left>
      <right style="thin">
        <color rgb="FF141E3D"/>
      </right>
      <top style="thin">
        <color rgb="FF141E3D"/>
      </top>
    </border>
    <border>
      <left style="thin">
        <color rgb="FF141E3D"/>
      </left>
      <top style="thin">
        <color rgb="FF141E3D"/>
      </top>
      <bottom style="thin">
        <color rgb="FF141E3D"/>
      </bottom>
    </border>
    <border>
      <right style="thin">
        <color rgb="FF141E3D"/>
      </right>
    </border>
    <border>
      <left style="thin">
        <color rgb="FF141E3D"/>
      </left>
      <right style="thin">
        <color rgb="FF141E3D"/>
      </right>
    </border>
    <border>
      <left style="thin">
        <color rgb="FF0000FF"/>
      </left>
      <right style="thin">
        <color rgb="FF0000FF"/>
      </right>
      <top style="thin">
        <color rgb="FF0000FF"/>
      </top>
      <bottom style="thin">
        <color rgb="FF0000FF"/>
      </bottom>
    </border>
    <border>
      <left style="thin">
        <color rgb="FF141E3D"/>
      </left>
    </border>
    <border>
      <right style="thin">
        <color rgb="FF141E3D"/>
      </right>
      <bottom style="thin">
        <color rgb="FF141E3D"/>
      </bottom>
    </border>
    <border>
      <left style="thin">
        <color rgb="FF141E3D"/>
      </left>
      <bottom style="thin">
        <color rgb="FF141E3D"/>
      </bottom>
    </border>
    <border>
      <bottom style="thin">
        <color rgb="FF141E3D"/>
      </bottom>
    </border>
    <border>
      <left style="thin">
        <color rgb="FF141E3D"/>
      </left>
      <right style="thin">
        <color rgb="FF141E3D"/>
      </right>
      <bottom style="thin">
        <color rgb="FF141E3D"/>
      </bottom>
    </border>
    <border>
      <right style="thin">
        <color rgb="FF141E3D"/>
      </right>
      <top style="thin">
        <color rgb="FF141E3D"/>
      </top>
      <bottom style="thin">
        <color rgb="FF141E3D"/>
      </bottom>
    </border>
    <border>
      <left style="thin">
        <color rgb="FFFFFFFF"/>
      </left>
      <right style="thin">
        <color rgb="FFFFFFFF"/>
      </right>
      <top style="thin">
        <color rgb="FFFFFFFF"/>
      </top>
    </border>
    <border>
      <left/>
      <right/>
      <top/>
    </border>
    <border>
      <left style="thin">
        <color rgb="FFFFFFFF"/>
      </left>
      <right style="thin">
        <color rgb="FFFFFFFF"/>
      </right>
      <bottom style="thin">
        <color rgb="FFFFFFFF"/>
      </bottom>
    </border>
    <border>
      <left style="thin">
        <color rgb="FFFFFFFF"/>
      </left>
      <right style="thin">
        <color rgb="FFFFFFFF"/>
      </right>
    </border>
    <border>
      <left style="thin">
        <color rgb="FFD9D9D9"/>
      </left>
      <top style="thin">
        <color rgb="FFD9D9D9"/>
      </top>
    </border>
    <border>
      <left style="thin">
        <color rgb="FFD9D9D9"/>
      </left>
    </border>
    <border>
      <left style="thin">
        <color rgb="FFD9D9D9"/>
      </left>
      <right style="hair">
        <color rgb="FFA5A5A5"/>
      </right>
      <top style="hair">
        <color rgb="FFA5A5A5"/>
      </top>
      <bottom style="hair">
        <color rgb="FFA5A5A5"/>
      </bottom>
    </border>
    <border>
      <left style="hair">
        <color rgb="FFA5A5A5"/>
      </left>
      <right style="hair">
        <color rgb="FFA5A5A5"/>
      </right>
      <top style="hair">
        <color rgb="FFA5A5A5"/>
      </top>
      <bottom style="hair">
        <color rgb="FFA5A5A5"/>
      </bottom>
    </border>
    <border>
      <left style="hair">
        <color rgb="FFA5A5A5"/>
      </left>
      <right style="hair">
        <color rgb="FFA5A5A5"/>
      </right>
      <bottom style="hair">
        <color rgb="FFA5A5A5"/>
      </bottom>
    </border>
    <border>
      <left style="thin">
        <color rgb="FFD9D9D9"/>
      </left>
      <right style="hair">
        <color rgb="FFA5A5A5"/>
      </right>
      <top style="hair">
        <color rgb="FFA5A5A5"/>
      </top>
      <bottom style="thin">
        <color rgb="FFD9D9D9"/>
      </bottom>
    </border>
    <border>
      <left/>
      <top/>
      <bottom style="thin">
        <color rgb="FFFFFFFF"/>
      </bottom>
    </border>
    <border>
      <top/>
      <bottom style="thin">
        <color rgb="FFFFFFFF"/>
      </bottom>
    </border>
    <border>
      <right style="thin">
        <color rgb="FFFFFFFF"/>
      </right>
      <top/>
      <bottom style="thin">
        <color rgb="FFFFFFFF"/>
      </bottom>
    </border>
    <border>
      <right style="thin">
        <color rgb="FFFFFFFF"/>
      </right>
      <top style="thin">
        <color rgb="FFFFFFFF"/>
      </top>
    </border>
    <border>
      <right style="thin">
        <color rgb="FFFFFFFF"/>
      </right>
    </border>
    <border>
      <left style="thin">
        <color rgb="FFFFFFFF"/>
      </left>
      <bottom style="thin">
        <color rgb="FFFFFFFF"/>
      </bottom>
    </border>
    <border>
      <left style="thin">
        <color rgb="FFFFFFFF"/>
      </left>
      <top style="thin">
        <color rgb="FFFFFFFF"/>
      </top>
    </border>
    <border>
      <left style="thin">
        <color rgb="FFB7B7B7"/>
      </left>
      <top style="thin">
        <color rgb="FFB7B7B7"/>
      </top>
      <bottom style="thin">
        <color rgb="FFFFFFFF"/>
      </bottom>
    </border>
    <border>
      <right style="thin">
        <color rgb="FFB7B7B7"/>
      </right>
      <top style="thin">
        <color rgb="FFB7B7B7"/>
      </top>
      <bottom style="thin">
        <color rgb="FFFFFFFF"/>
      </bottom>
    </border>
    <border>
      <bottom style="thin">
        <color rgb="FFFFFFFF"/>
      </bottom>
    </border>
    <border>
      <left style="thin">
        <color rgb="FFB7B7B7"/>
      </left>
      <right style="hair">
        <color rgb="FFA5A5A5"/>
      </right>
      <bottom style="hair">
        <color rgb="FFA5A5A5"/>
      </bottom>
    </border>
    <border>
      <left style="hair">
        <color rgb="FFA5A5A5"/>
      </left>
      <right style="thin">
        <color rgb="FFB7B7B7"/>
      </right>
      <bottom style="hair">
        <color rgb="FFA5A5A5"/>
      </bottom>
    </border>
    <border>
      <left style="hair">
        <color rgb="FFA5A5A5"/>
      </left>
      <right style="thin">
        <color rgb="FFB7B7B7"/>
      </right>
      <top style="hair">
        <color rgb="FFA5A5A5"/>
      </top>
      <bottom style="hair">
        <color rgb="FFA5A5A5"/>
      </bottom>
    </border>
    <border>
      <left style="thin">
        <color rgb="FFB7B7B7"/>
      </left>
      <right style="hair">
        <color rgb="FFA5A5A5"/>
      </right>
      <top style="hair">
        <color rgb="FFA5A5A5"/>
      </top>
      <bottom style="hair">
        <color rgb="FFA5A5A5"/>
      </bottom>
    </border>
    <border>
      <left style="thin">
        <color rgb="FFB7B7B7"/>
      </left>
      <right style="hair">
        <color rgb="FFA5A5A5"/>
      </right>
      <top style="hair">
        <color rgb="FFA5A5A5"/>
      </top>
      <bottom style="thin">
        <color rgb="FFB7B7B7"/>
      </bottom>
    </border>
    <border>
      <left style="hair">
        <color rgb="FFA5A5A5"/>
      </left>
      <right style="thin">
        <color rgb="FFB7B7B7"/>
      </right>
      <top style="hair">
        <color rgb="FFA5A5A5"/>
      </top>
      <bottom style="thin">
        <color rgb="FFB7B7B7"/>
      </bottom>
    </border>
    <border>
      <left style="thin">
        <color rgb="FFB7B7B7"/>
      </left>
      <right style="hair">
        <color rgb="FFA5A5A5"/>
      </right>
      <top style="hair">
        <color rgb="FFA5A5A5"/>
      </top>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hair">
        <color rgb="FFA5A5A5"/>
      </left>
      <right style="hair">
        <color rgb="FFA5A5A5"/>
      </right>
      <top style="hair">
        <color rgb="FFA5A5A5"/>
      </top>
    </border>
    <border>
      <left style="thin">
        <color rgb="FFB7B7B7"/>
      </left>
      <top style="thin">
        <color rgb="FFB7B7B7"/>
      </top>
    </border>
    <border>
      <left style="hair">
        <color rgb="FFA5A5A5"/>
      </left>
      <right style="thin">
        <color rgb="FFB7B7B7"/>
      </right>
      <top style="hair">
        <color rgb="FFA5A5A5"/>
      </top>
    </border>
    <border>
      <left style="thin">
        <color rgb="FFB7B7B7"/>
      </left>
      <right/>
      <top style="thin">
        <color rgb="FFB7B7B7"/>
      </top>
      <bottom/>
    </border>
    <border>
      <top style="thin">
        <color rgb="FFB7B7B7"/>
      </top>
    </border>
    <border>
      <left style="hair">
        <color rgb="FFA5A5A5"/>
      </left>
      <right style="hair">
        <color rgb="FFA5A5A5"/>
      </right>
      <top style="hair">
        <color rgb="FFA5A5A5"/>
      </top>
      <bottom style="thin">
        <color rgb="FFB7B7B7"/>
      </bottom>
    </border>
    <border>
      <left style="hair">
        <color rgb="FF999999"/>
      </left>
      <right style="hair">
        <color rgb="FF999999"/>
      </right>
      <top style="hair">
        <color rgb="FF999999"/>
      </top>
      <bottom style="hair">
        <color rgb="FF999999"/>
      </bottom>
    </border>
    <border>
      <right style="thin">
        <color rgb="FFB7B7B7"/>
      </right>
      <top style="hair">
        <color rgb="FFA5A5A5"/>
      </top>
      <bottom style="hair">
        <color rgb="FFA5A5A5"/>
      </bottom>
    </border>
    <border>
      <left style="thin">
        <color rgb="FFFFFFFF"/>
      </left>
    </border>
    <border>
      <left style="thin">
        <color rgb="FFB7B7B7"/>
      </left>
      <right style="thin">
        <color rgb="FFFFFFFF"/>
      </right>
      <top style="thin">
        <color rgb="FFB7B7B7"/>
      </top>
      <bottom/>
    </border>
    <border>
      <left style="thin">
        <color rgb="FFFFFFFF"/>
      </left>
      <right style="thin">
        <color rgb="FFFFFFFF"/>
      </right>
      <top style="thin">
        <color rgb="FFB7B7B7"/>
      </top>
      <bottom/>
    </border>
    <border>
      <left style="thin">
        <color rgb="FFFFFFFF"/>
      </left>
      <right/>
      <top style="thin">
        <color rgb="FFB7B7B7"/>
      </top>
      <bottom/>
    </border>
    <border>
      <left style="thin">
        <color rgb="FFB7B7B7"/>
      </left>
    </border>
    <border>
      <left style="thin">
        <color rgb="FFB7B7B7"/>
      </left>
      <top style="hair">
        <color rgb="FFA5A5A5"/>
      </top>
      <bottom style="hair">
        <color rgb="FFA5A5A5"/>
      </bottom>
    </border>
    <border>
      <left style="dotted">
        <color rgb="FF000000"/>
      </left>
      <right style="dotted">
        <color rgb="FF000000"/>
      </right>
      <top style="dotted">
        <color rgb="FF000000"/>
      </top>
      <bottom style="dotted">
        <color rgb="FF000000"/>
      </bottom>
    </border>
    <border>
      <left style="thin">
        <color rgb="FFB7B7B7"/>
      </left>
      <top style="hair">
        <color rgb="FFA5A5A5"/>
      </top>
      <bottom style="thin">
        <color rgb="FFB7B7B7"/>
      </bottom>
    </border>
    <border>
      <left/>
      <top/>
      <bottom/>
    </border>
    <border>
      <left/>
      <top/>
    </border>
    <border>
      <left/>
      <right/>
    </border>
    <border>
      <top style="thin">
        <color rgb="FFB7B7B7"/>
      </top>
      <bottom style="thin">
        <color rgb="FFFFFFFF"/>
      </bottom>
    </border>
    <border>
      <top style="thin">
        <color rgb="FF000000"/>
      </top>
    </border>
    <border>
      <left style="thin">
        <color rgb="FFFFFFFF"/>
      </left>
      <right style="thin">
        <color rgb="FFFFFFFF"/>
      </right>
      <top style="medium">
        <color rgb="FF000000"/>
      </top>
      <bottom style="thin">
        <color rgb="FFFFFFFF"/>
      </bottom>
    </border>
    <border>
      <right style="thin">
        <color rgb="FFFFFFFF"/>
      </right>
      <bottom style="thin">
        <color rgb="FFFFFFFF"/>
      </bottom>
    </border>
    <border>
      <right style="thin">
        <color rgb="FFEFEFEF"/>
      </right>
      <bottom style="thin">
        <color rgb="FFFFFFFF"/>
      </bottom>
    </border>
    <border>
      <right style="thin">
        <color rgb="FFEFEFEF"/>
      </right>
      <bottom style="medium">
        <color rgb="FF000000"/>
      </bottom>
    </border>
    <border>
      <right style="thin">
        <color rgb="FFFFFFFF"/>
      </right>
      <bottom style="medium">
        <color rgb="FF000000"/>
      </bottom>
    </border>
    <border>
      <left/>
    </border>
    <border>
      <left style="medium">
        <color rgb="FF000000"/>
      </left>
      <top style="medium">
        <color rgb="FF000000"/>
      </top>
    </border>
    <border>
      <right style="thin">
        <color rgb="FFFFFFFF"/>
      </right>
      <top style="medium">
        <color rgb="FF000000"/>
      </top>
      <bottom style="thin">
        <color rgb="FFFFFFFF"/>
      </bottom>
    </border>
    <border>
      <right style="medium">
        <color rgb="FF000000"/>
      </right>
      <top style="medium">
        <color rgb="FF000000"/>
      </top>
      <bottom style="thin">
        <color rgb="FFFFFFFF"/>
      </bottom>
    </border>
    <border>
      <left style="medium">
        <color rgb="FF000000"/>
      </left>
      <top/>
    </border>
    <border>
      <right style="medium">
        <color rgb="FF000000"/>
      </right>
      <top style="thin">
        <color rgb="FFFFFFFF"/>
      </top>
      <bottom style="thin">
        <color rgb="FFFFFFFF"/>
      </bottom>
    </border>
    <border>
      <left style="thin">
        <color rgb="FFFFFFFF"/>
      </left>
      <right style="medium">
        <color rgb="FF000000"/>
      </right>
      <top style="thin">
        <color rgb="FFFFFFFF"/>
      </top>
      <bottom style="thin">
        <color rgb="FFFFFFFF"/>
      </bottom>
    </border>
    <border>
      <left style="medium">
        <color rgb="FF000000"/>
      </left>
      <right style="thin">
        <color rgb="FFFFFFFF"/>
      </right>
      <top style="thin">
        <color rgb="FFFFFFFF"/>
      </top>
      <bottom style="thin">
        <color rgb="FFFFFFFF"/>
      </bottom>
    </border>
    <border>
      <right style="medium">
        <color rgb="FF000000"/>
      </right>
    </border>
    <border>
      <right style="medium">
        <color rgb="FF000000"/>
      </right>
      <top style="thin">
        <color rgb="FFB7B7B7"/>
      </top>
    </border>
    <border>
      <left style="medium">
        <color rgb="FF000000"/>
      </left>
      <right style="thin">
        <color rgb="FFFFFFFF"/>
      </right>
      <top style="thin">
        <color rgb="FFFFFFFF"/>
      </top>
      <bottom style="medium">
        <color rgb="FF000000"/>
      </bottom>
    </border>
    <border>
      <bottom style="medium">
        <color rgb="FF000000"/>
      </bottom>
    </border>
    <border>
      <right style="medium">
        <color rgb="FF000000"/>
      </right>
      <bottom style="medium">
        <color rgb="FF000000"/>
      </bottom>
    </border>
    <border>
      <top style="thin">
        <color rgb="FFFFFFFF"/>
      </top>
    </border>
    <border>
      <right style="thin">
        <color rgb="FFFFFFFF"/>
      </right>
      <top style="thin">
        <color rgb="FFB7B7B7"/>
      </top>
      <bottom style="thin">
        <color rgb="FFB7B7B7"/>
      </bottom>
    </border>
    <border>
      <bottom style="thin">
        <color rgb="FFB7B7B7"/>
      </bottom>
    </border>
    <border>
      <right style="thin">
        <color rgb="FFFFFFFF"/>
      </right>
      <bottom style="thin">
        <color rgb="FFB7B7B7"/>
      </bottom>
    </border>
    <border>
      <left style="thin">
        <color rgb="FF000000"/>
      </left>
      <right style="thin">
        <color rgb="FF000000"/>
      </right>
      <bottom style="thin">
        <color rgb="FF000000"/>
      </bottom>
    </border>
    <border>
      <left style="thin">
        <color rgb="FF000000"/>
      </left>
      <right style="thin">
        <color rgb="FF000000"/>
      </right>
      <bottom style="medium">
        <color rgb="FF000000"/>
      </bottom>
    </border>
    <border>
      <right style="thin">
        <color rgb="FF000000"/>
      </right>
      <bottom style="medium">
        <color rgb="FF000000"/>
      </bottom>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
      <top style="thin">
        <color rgb="FFA5A5A5"/>
      </top>
      <bottom style="thin">
        <color rgb="FFA5A5A5"/>
      </bottom>
    </border>
    <border>
      <right style="thin">
        <color rgb="FFA5A5A5"/>
      </right>
      <top style="thin">
        <color rgb="FFA5A5A5"/>
      </top>
      <bottom style="thin">
        <color rgb="FFA5A5A5"/>
      </bottom>
    </border>
    <border>
      <left style="thin">
        <color rgb="FF999999"/>
      </left>
      <right/>
      <top style="thin">
        <color rgb="FF999999"/>
      </top>
      <bottom style="thin">
        <color rgb="FF999999"/>
      </bottom>
    </border>
    <border>
      <left/>
      <right style="thin">
        <color rgb="FF999999"/>
      </right>
      <top/>
      <bottom style="thin">
        <color rgb="FF999999"/>
      </bottom>
    </border>
    <border>
      <left/>
      <right style="thin">
        <color rgb="FF999999"/>
      </right>
      <top style="thin">
        <color rgb="FF999999"/>
      </top>
      <bottom style="thin">
        <color rgb="FF999999"/>
      </bottom>
    </border>
    <border>
      <left style="thin">
        <color rgb="FF999999"/>
      </left>
      <right/>
      <top/>
      <bottom style="thin">
        <color rgb="FF999999"/>
      </bottom>
    </border>
    <border>
      <left style="thin">
        <color theme="1"/>
      </left>
      <top style="thin">
        <color theme="1"/>
      </top>
      <bottom style="thin">
        <color theme="1"/>
      </bottom>
    </border>
    <border>
      <left/>
      <right/>
      <top style="thin">
        <color theme="1"/>
      </top>
      <bottom style="thin">
        <color theme="1"/>
      </bottom>
    </border>
    <border>
      <left/>
      <right style="thin">
        <color theme="1"/>
      </right>
      <top style="thin">
        <color theme="1"/>
      </top>
      <bottom style="thin">
        <color theme="1"/>
      </bottom>
    </border>
    <border>
      <left style="thin">
        <color theme="4"/>
      </left>
      <top style="double">
        <color theme="4"/>
      </top>
      <bottom style="double">
        <color theme="4"/>
      </bottom>
    </border>
    <border>
      <left/>
      <right/>
      <top style="double">
        <color theme="4"/>
      </top>
      <bottom style="double">
        <color theme="4"/>
      </bottom>
    </border>
    <border>
      <left/>
      <right style="thin">
        <color theme="4"/>
      </right>
      <top style="double">
        <color theme="4"/>
      </top>
      <bottom style="double">
        <color theme="4"/>
      </bottom>
    </border>
    <border>
      <left/>
      <right/>
      <top/>
      <bottom style="double">
        <color theme="4"/>
      </bottom>
    </border>
    <border>
      <left/>
      <right style="thin">
        <color theme="4"/>
      </right>
      <top/>
      <bottom style="double">
        <color theme="4"/>
      </bottom>
    </border>
    <border>
      <left style="thin">
        <color theme="4"/>
      </left>
      <top style="double">
        <color theme="4"/>
      </top>
      <bottom style="thin">
        <color theme="4"/>
      </bottom>
    </border>
    <border>
      <left/>
      <right/>
      <top style="double">
        <color theme="4"/>
      </top>
      <bottom style="thin">
        <color theme="4"/>
      </bottom>
    </border>
    <border>
      <top style="thin">
        <color theme="4"/>
      </top>
      <bottom style="thin">
        <color theme="4"/>
      </bottom>
    </border>
    <border>
      <left/>
      <right/>
      <top style="thin">
        <color theme="4"/>
      </top>
      <bottom style="thin">
        <color theme="4"/>
      </bottom>
    </border>
    <border>
      <top style="thin">
        <color rgb="FF536EC8"/>
      </top>
      <bottom style="thin">
        <color rgb="FF000000"/>
      </bottom>
    </border>
    <border>
      <left/>
      <right/>
      <top style="thin">
        <color rgb="FF536EC8"/>
      </top>
      <bottom style="thin">
        <color rgb="FF000000"/>
      </bottom>
    </border>
    <border>
      <left/>
      <right/>
      <top style="thin">
        <color theme="5"/>
      </top>
      <bottom/>
    </border>
    <border>
      <left/>
      <right style="thin">
        <color theme="5"/>
      </right>
      <top style="thin">
        <color theme="5"/>
      </top>
      <bottom/>
    </border>
    <border>
      <left style="thin">
        <color theme="5"/>
      </left>
      <top style="double">
        <color theme="5"/>
      </top>
      <bottom style="thin">
        <color theme="5"/>
      </bottom>
    </border>
    <border>
      <left/>
      <right/>
      <top style="double">
        <color theme="5"/>
      </top>
      <bottom style="thin">
        <color theme="5"/>
      </bottom>
    </border>
    <border>
      <left/>
      <right style="thin">
        <color theme="5"/>
      </right>
      <top style="double">
        <color theme="5"/>
      </top>
      <bottom style="thin">
        <color theme="5"/>
      </bottom>
    </border>
    <border>
      <top style="thin">
        <color theme="5"/>
      </top>
      <bottom style="thin">
        <color theme="5"/>
      </bottom>
    </border>
    <border>
      <left/>
      <right/>
      <top style="thin">
        <color theme="5"/>
      </top>
      <bottom style="thin">
        <color theme="5"/>
      </bottom>
    </border>
  </borders>
  <cellStyleXfs count="1">
    <xf borderId="0" fillId="0" fontId="0" numFmtId="0" applyAlignment="1" applyFont="1"/>
  </cellStyleXfs>
  <cellXfs count="941">
    <xf borderId="0" fillId="0" fontId="0" numFmtId="0" xfId="0" applyAlignment="1" applyFont="1">
      <alignment readingOrder="0" shrinkToFit="0" vertical="bottom" wrapText="0"/>
    </xf>
    <xf borderId="1" fillId="0" fontId="1" numFmtId="0" xfId="0" applyBorder="1" applyFont="1"/>
    <xf borderId="1" fillId="0" fontId="2" numFmtId="0" xfId="0" applyBorder="1" applyFont="1"/>
    <xf borderId="1" fillId="0" fontId="3" numFmtId="0" xfId="0" applyBorder="1" applyFont="1"/>
    <xf borderId="1" fillId="0" fontId="4" numFmtId="0" xfId="0" applyBorder="1" applyFont="1"/>
    <xf borderId="1" fillId="0" fontId="5" numFmtId="0" xfId="0" applyBorder="1" applyFont="1"/>
    <xf borderId="1" fillId="0" fontId="6" numFmtId="0" xfId="0" applyBorder="1" applyFont="1"/>
    <xf borderId="1" fillId="0" fontId="6" numFmtId="0" xfId="0" applyAlignment="1" applyBorder="1" applyFont="1">
      <alignment readingOrder="0"/>
    </xf>
    <xf borderId="0" fillId="0" fontId="7" numFmtId="0" xfId="0" applyFont="1"/>
    <xf borderId="1" fillId="0" fontId="8" numFmtId="0" xfId="0" applyBorder="1" applyFont="1"/>
    <xf borderId="1" fillId="0" fontId="6" numFmtId="164" xfId="0" applyAlignment="1" applyBorder="1" applyFont="1" applyNumberFormat="1">
      <alignment readingOrder="0"/>
    </xf>
    <xf borderId="2" fillId="2" fontId="9" numFmtId="0" xfId="0" applyAlignment="1" applyBorder="1" applyFill="1" applyFont="1">
      <alignment shrinkToFit="0" wrapText="0"/>
    </xf>
    <xf borderId="3" fillId="0" fontId="10" numFmtId="0" xfId="0" applyAlignment="1" applyBorder="1" applyFont="1">
      <alignment horizontal="center" shrinkToFit="0" wrapText="1"/>
    </xf>
    <xf borderId="4" fillId="0" fontId="11" numFmtId="0" xfId="0" applyBorder="1" applyFont="1"/>
    <xf borderId="5" fillId="0" fontId="11" numFmtId="0" xfId="0" applyBorder="1" applyFont="1"/>
    <xf borderId="1" fillId="0" fontId="12" numFmtId="0" xfId="0" applyBorder="1" applyFont="1"/>
    <xf borderId="0" fillId="3" fontId="12" numFmtId="0" xfId="0" applyAlignment="1" applyFill="1" applyFont="1">
      <alignment vertical="top"/>
    </xf>
    <xf borderId="6" fillId="3" fontId="12" numFmtId="0" xfId="0" applyAlignment="1" applyBorder="1" applyFont="1">
      <alignment vertical="top"/>
    </xf>
    <xf borderId="7" fillId="3" fontId="12" numFmtId="0" xfId="0" applyAlignment="1" applyBorder="1" applyFont="1">
      <alignment vertical="top"/>
    </xf>
    <xf borderId="7" fillId="3" fontId="12" numFmtId="0" xfId="0" applyAlignment="1" applyBorder="1" applyFont="1">
      <alignment vertical="bottom"/>
    </xf>
    <xf borderId="8" fillId="0" fontId="13" numFmtId="0" xfId="0" applyAlignment="1" applyBorder="1" applyFont="1">
      <alignment shrinkToFit="0" vertical="center" wrapText="1"/>
    </xf>
    <xf borderId="6" fillId="0" fontId="14" numFmtId="0" xfId="0" applyAlignment="1" applyBorder="1" applyFont="1">
      <alignment shrinkToFit="0" vertical="center" wrapText="1"/>
    </xf>
    <xf borderId="6" fillId="0" fontId="11" numFmtId="0" xfId="0" applyBorder="1" applyFont="1"/>
    <xf borderId="6" fillId="0" fontId="14" numFmtId="0" xfId="0" applyAlignment="1" applyBorder="1" applyFont="1">
      <alignment readingOrder="0" shrinkToFit="0" vertical="center" wrapText="1"/>
    </xf>
    <xf borderId="7" fillId="0" fontId="13" numFmtId="0" xfId="0" applyAlignment="1" applyBorder="1" applyFont="1">
      <alignment shrinkToFit="0" vertical="center" wrapText="1"/>
    </xf>
    <xf borderId="9" fillId="2" fontId="15" numFmtId="0" xfId="0" applyAlignment="1" applyBorder="1" applyFont="1">
      <alignment horizontal="left" readingOrder="0" shrinkToFit="0" vertical="center" wrapText="1"/>
    </xf>
    <xf borderId="7" fillId="0" fontId="11" numFmtId="0" xfId="0" applyBorder="1" applyFont="1"/>
    <xf borderId="9" fillId="2" fontId="15" numFmtId="0" xfId="0" applyAlignment="1" applyBorder="1" applyFont="1">
      <alignment horizontal="left" shrinkToFit="0" vertical="center" wrapText="1"/>
    </xf>
    <xf borderId="8" fillId="0" fontId="11" numFmtId="0" xfId="0" applyBorder="1" applyFont="1"/>
    <xf borderId="8" fillId="0" fontId="13" numFmtId="0" xfId="0" applyAlignment="1" applyBorder="1" applyFont="1">
      <alignment readingOrder="0" shrinkToFit="0" vertical="center" wrapText="1"/>
    </xf>
    <xf borderId="1" fillId="0" fontId="1" numFmtId="0" xfId="0" applyAlignment="1" applyBorder="1" applyFont="1">
      <alignment horizontal="center" vertical="center"/>
    </xf>
    <xf borderId="1" fillId="0" fontId="16" numFmtId="0" xfId="0" applyAlignment="1" applyBorder="1" applyFont="1">
      <alignment horizontal="left" vertical="center"/>
    </xf>
    <xf borderId="1" fillId="0" fontId="17" numFmtId="0" xfId="0" applyAlignment="1" applyBorder="1" applyFont="1">
      <alignment horizontal="left" vertical="center"/>
    </xf>
    <xf borderId="1" fillId="0" fontId="18" numFmtId="0" xfId="0" applyAlignment="1" applyBorder="1" applyFont="1">
      <alignment horizontal="left" vertical="center"/>
    </xf>
    <xf borderId="1" fillId="0" fontId="19" numFmtId="0" xfId="0" applyAlignment="1" applyBorder="1" applyFont="1">
      <alignment horizontal="right" vertical="center"/>
    </xf>
    <xf borderId="1" fillId="0" fontId="20" numFmtId="0" xfId="0" applyAlignment="1" applyBorder="1" applyFont="1">
      <alignment horizontal="left" vertical="center"/>
    </xf>
    <xf borderId="1" fillId="0" fontId="21" numFmtId="0" xfId="0" applyAlignment="1" applyBorder="1" applyFont="1">
      <alignment horizontal="left" vertical="center"/>
    </xf>
    <xf borderId="1" fillId="0" fontId="20" numFmtId="0" xfId="0" applyAlignment="1" applyBorder="1" applyFont="1">
      <alignment horizontal="left" shrinkToFit="0" vertical="center" wrapText="1"/>
    </xf>
    <xf borderId="1" fillId="0" fontId="20" numFmtId="0" xfId="0" applyAlignment="1" applyBorder="1" applyFont="1">
      <alignment horizontal="left" readingOrder="0" vertical="center"/>
    </xf>
    <xf borderId="10" fillId="4" fontId="22" numFmtId="0" xfId="0" applyAlignment="1" applyBorder="1" applyFill="1" applyFont="1">
      <alignment horizontal="center" vertical="center"/>
    </xf>
    <xf borderId="11" fillId="4" fontId="22" numFmtId="0" xfId="0" applyAlignment="1" applyBorder="1" applyFont="1">
      <alignment horizontal="center" vertical="center"/>
    </xf>
    <xf borderId="0" fillId="4" fontId="22" numFmtId="0" xfId="0" applyAlignment="1" applyFont="1">
      <alignment horizontal="center" vertical="center"/>
    </xf>
    <xf borderId="12" fillId="4" fontId="22" numFmtId="0" xfId="0" applyAlignment="1" applyBorder="1" applyFont="1">
      <alignment horizontal="center" vertical="center"/>
    </xf>
    <xf borderId="0" fillId="5" fontId="23" numFmtId="0" xfId="0" applyAlignment="1" applyFill="1" applyFont="1">
      <alignment horizontal="center" vertical="center"/>
    </xf>
    <xf borderId="0" fillId="6" fontId="22" numFmtId="0" xfId="0" applyAlignment="1" applyFill="1" applyFont="1">
      <alignment horizontal="center" vertical="center"/>
    </xf>
    <xf borderId="13" fillId="6" fontId="22" numFmtId="0" xfId="0" applyAlignment="1" applyBorder="1" applyFont="1">
      <alignment horizontal="center" vertical="center"/>
    </xf>
    <xf borderId="14" fillId="6" fontId="22" numFmtId="0" xfId="0" applyAlignment="1" applyBorder="1" applyFont="1">
      <alignment horizontal="center" vertical="center"/>
    </xf>
    <xf borderId="14" fillId="4" fontId="22" numFmtId="0" xfId="0" applyAlignment="1" applyBorder="1" applyFont="1">
      <alignment horizontal="center" vertical="center"/>
    </xf>
    <xf borderId="15" fillId="7" fontId="24" numFmtId="0" xfId="0" applyAlignment="1" applyBorder="1" applyFill="1" applyFont="1">
      <alignment horizontal="center" vertical="center"/>
    </xf>
    <xf borderId="15" fillId="7" fontId="22" numFmtId="0" xfId="0" applyAlignment="1" applyBorder="1" applyFont="1">
      <alignment horizontal="center" vertical="center"/>
    </xf>
    <xf borderId="16" fillId="7" fontId="25" numFmtId="0" xfId="0" applyAlignment="1" applyBorder="1" applyFont="1">
      <alignment horizontal="center" vertical="center"/>
    </xf>
    <xf borderId="13" fillId="0" fontId="11" numFmtId="0" xfId="0" applyBorder="1" applyFont="1"/>
    <xf borderId="0" fillId="4" fontId="25" numFmtId="0" xfId="0" applyAlignment="1" applyFont="1">
      <alignment horizontal="center" vertical="center"/>
    </xf>
    <xf borderId="15" fillId="7" fontId="26" numFmtId="0" xfId="0" applyAlignment="1" applyBorder="1" applyFont="1">
      <alignment horizontal="center" vertical="center"/>
    </xf>
    <xf borderId="17" fillId="4" fontId="22" numFmtId="0" xfId="0" applyAlignment="1" applyBorder="1" applyFont="1">
      <alignment horizontal="center" vertical="center"/>
    </xf>
    <xf borderId="18" fillId="0" fontId="11" numFmtId="0" xfId="0" applyBorder="1" applyFont="1"/>
    <xf borderId="19" fillId="0" fontId="11" numFmtId="0" xfId="0" applyBorder="1" applyFont="1"/>
    <xf borderId="17" fillId="0" fontId="11" numFmtId="0" xfId="0" applyBorder="1" applyFont="1"/>
    <xf borderId="20" fillId="4" fontId="22" numFmtId="0" xfId="0" applyAlignment="1" applyBorder="1" applyFont="1">
      <alignment horizontal="center" vertical="center"/>
    </xf>
    <xf borderId="19" fillId="4" fontId="25" numFmtId="0" xfId="0" applyAlignment="1" applyBorder="1" applyFont="1">
      <alignment horizontal="center" vertical="center"/>
    </xf>
    <xf borderId="17" fillId="4" fontId="25" numFmtId="0" xfId="0" applyAlignment="1" applyBorder="1" applyFont="1">
      <alignment horizontal="center" vertical="center"/>
    </xf>
    <xf borderId="15" fillId="7" fontId="27" numFmtId="165" xfId="0" applyAlignment="1" applyBorder="1" applyFont="1" applyNumberFormat="1">
      <alignment horizontal="center" vertical="center"/>
    </xf>
    <xf borderId="21" fillId="4" fontId="22" numFmtId="0" xfId="0" applyAlignment="1" applyBorder="1" applyFont="1">
      <alignment horizontal="center" vertical="center"/>
    </xf>
    <xf borderId="15" fillId="7" fontId="1" numFmtId="0" xfId="0" applyBorder="1" applyFont="1"/>
    <xf borderId="15" fillId="7" fontId="27" numFmtId="9" xfId="0" applyAlignment="1" applyBorder="1" applyFont="1" applyNumberFormat="1">
      <alignment horizontal="center" vertical="center"/>
    </xf>
    <xf borderId="15" fillId="7" fontId="27" numFmtId="4" xfId="0" applyAlignment="1" applyBorder="1" applyFont="1" applyNumberFormat="1">
      <alignment horizontal="center" vertical="center"/>
    </xf>
    <xf borderId="1" fillId="0" fontId="28" numFmtId="0" xfId="0" applyAlignment="1" applyBorder="1" applyFont="1">
      <alignment vertical="center"/>
    </xf>
    <xf borderId="1" fillId="0" fontId="29" numFmtId="0" xfId="0" applyAlignment="1" applyBorder="1" applyFont="1">
      <alignment vertical="center"/>
    </xf>
    <xf borderId="1" fillId="2" fontId="28" numFmtId="0" xfId="0" applyAlignment="1" applyBorder="1" applyFont="1">
      <alignment vertical="center"/>
    </xf>
    <xf borderId="3" fillId="0" fontId="28" numFmtId="0" xfId="0" applyAlignment="1" applyBorder="1" applyFont="1">
      <alignment vertical="center"/>
    </xf>
    <xf borderId="5" fillId="2" fontId="30" numFmtId="0" xfId="0" applyBorder="1" applyFont="1"/>
    <xf borderId="5" fillId="0" fontId="31" numFmtId="0" xfId="0" applyAlignment="1" applyBorder="1" applyFont="1">
      <alignment vertical="center"/>
    </xf>
    <xf borderId="2" fillId="2" fontId="32" numFmtId="0" xfId="0" applyAlignment="1" applyBorder="1" applyFont="1">
      <alignment readingOrder="0" shrinkToFit="0" wrapText="1"/>
    </xf>
    <xf borderId="22" fillId="2" fontId="33" numFmtId="0" xfId="0" applyAlignment="1" applyBorder="1" applyFont="1">
      <alignment horizontal="center" vertical="center"/>
    </xf>
    <xf borderId="3" fillId="2" fontId="28" numFmtId="0" xfId="0" applyAlignment="1" applyBorder="1" applyFont="1">
      <alignment vertical="center"/>
    </xf>
    <xf borderId="5" fillId="2" fontId="31" numFmtId="0" xfId="0" applyAlignment="1" applyBorder="1" applyFont="1">
      <alignment vertical="center"/>
    </xf>
    <xf borderId="22" fillId="2" fontId="28" numFmtId="0" xfId="0" applyAlignment="1" applyBorder="1" applyFont="1">
      <alignment vertical="center"/>
    </xf>
    <xf borderId="23" fillId="2" fontId="34" numFmtId="0" xfId="0" applyAlignment="1" applyBorder="1" applyFont="1">
      <alignment shrinkToFit="0" wrapText="1"/>
    </xf>
    <xf borderId="1" fillId="2" fontId="34" numFmtId="0" xfId="0" applyAlignment="1" applyBorder="1" applyFont="1">
      <alignment shrinkToFit="0" wrapText="1"/>
    </xf>
    <xf borderId="1" fillId="0" fontId="35" numFmtId="0" xfId="0" applyAlignment="1" applyBorder="1" applyFont="1">
      <alignment readingOrder="0" shrinkToFit="0" wrapText="1"/>
    </xf>
    <xf borderId="1" fillId="8" fontId="36" numFmtId="0" xfId="0" applyAlignment="1" applyBorder="1" applyFill="1" applyFont="1">
      <alignment shrinkToFit="0" wrapText="1"/>
    </xf>
    <xf borderId="1" fillId="2" fontId="33" numFmtId="0" xfId="0" applyAlignment="1" applyBorder="1" applyFont="1">
      <alignment horizontal="center" vertical="center"/>
    </xf>
    <xf borderId="1" fillId="9" fontId="37" numFmtId="0" xfId="0" applyAlignment="1" applyBorder="1" applyFill="1" applyFont="1">
      <alignment shrinkToFit="0" wrapText="1"/>
    </xf>
    <xf borderId="1" fillId="10" fontId="37" numFmtId="0" xfId="0" applyAlignment="1" applyBorder="1" applyFill="1" applyFont="1">
      <alignment shrinkToFit="0" wrapText="1"/>
    </xf>
    <xf borderId="22" fillId="2" fontId="33" numFmtId="0" xfId="0" applyAlignment="1" applyBorder="1" applyFont="1">
      <alignment horizontal="center" readingOrder="0" vertical="center"/>
    </xf>
    <xf borderId="0" fillId="11" fontId="28" numFmtId="0" xfId="0" applyAlignment="1" applyFill="1" applyFont="1">
      <alignment vertical="center"/>
    </xf>
    <xf borderId="0" fillId="11" fontId="33" numFmtId="0" xfId="0" applyAlignment="1" applyFont="1">
      <alignment horizontal="center" vertical="center"/>
    </xf>
    <xf borderId="0" fillId="11" fontId="31" numFmtId="0" xfId="0" applyAlignment="1" applyFont="1">
      <alignment vertical="center"/>
    </xf>
    <xf borderId="24" fillId="2" fontId="28" numFmtId="0" xfId="0" applyAlignment="1" applyBorder="1" applyFont="1">
      <alignment vertical="center"/>
    </xf>
    <xf borderId="25" fillId="2" fontId="38" numFmtId="0" xfId="0" applyAlignment="1" applyBorder="1" applyFont="1">
      <alignment horizontal="center" vertical="center"/>
    </xf>
    <xf borderId="25" fillId="2" fontId="39" numFmtId="0" xfId="0" applyAlignment="1" applyBorder="1" applyFont="1">
      <alignment vertical="center"/>
    </xf>
    <xf borderId="1" fillId="2" fontId="38" numFmtId="0" xfId="0" applyAlignment="1" applyBorder="1" applyFont="1">
      <alignment horizontal="center" vertical="center"/>
    </xf>
    <xf borderId="1" fillId="2" fontId="39" numFmtId="0" xfId="0" applyAlignment="1" applyBorder="1" applyFont="1">
      <alignment vertical="center"/>
    </xf>
    <xf borderId="26" fillId="12" fontId="40" numFmtId="0" xfId="0" applyAlignment="1" applyBorder="1" applyFill="1" applyFont="1">
      <alignment readingOrder="0" shrinkToFit="0" wrapText="0"/>
    </xf>
    <xf borderId="1" fillId="2" fontId="1" numFmtId="0" xfId="0" applyBorder="1" applyFont="1"/>
    <xf borderId="3" fillId="2" fontId="1" numFmtId="0" xfId="0" applyBorder="1" applyFont="1"/>
    <xf borderId="27" fillId="0" fontId="41" numFmtId="0" xfId="0" applyAlignment="1" applyBorder="1" applyFont="1">
      <alignment readingOrder="0" shrinkToFit="0" wrapText="1"/>
    </xf>
    <xf borderId="0" fillId="0" fontId="42" numFmtId="0" xfId="0" applyAlignment="1" applyFont="1">
      <alignment horizontal="center" shrinkToFit="0" wrapText="1"/>
    </xf>
    <xf borderId="5" fillId="2" fontId="38" numFmtId="0" xfId="0" applyAlignment="1" applyBorder="1" applyFont="1">
      <alignment horizontal="center" vertical="center"/>
    </xf>
    <xf borderId="1" fillId="2" fontId="43" numFmtId="0" xfId="0" applyAlignment="1" applyBorder="1" applyFont="1">
      <alignment horizontal="center" vertical="center"/>
    </xf>
    <xf borderId="28" fillId="0" fontId="28" numFmtId="0" xfId="0" applyAlignment="1" applyBorder="1" applyFont="1">
      <alignment readingOrder="0" shrinkToFit="0" vertical="center" wrapText="1"/>
    </xf>
    <xf borderId="28" fillId="0" fontId="28" numFmtId="0" xfId="0" applyAlignment="1" applyBorder="1" applyFont="1">
      <alignment shrinkToFit="0" vertical="center" wrapText="1"/>
    </xf>
    <xf borderId="29" fillId="8" fontId="44" numFmtId="49" xfId="0" applyAlignment="1" applyBorder="1" applyFont="1" applyNumberFormat="1">
      <alignment horizontal="right" readingOrder="0" shrinkToFit="0" wrapText="1"/>
    </xf>
    <xf borderId="29" fillId="8" fontId="44" numFmtId="4" xfId="0" applyAlignment="1" applyBorder="1" applyFont="1" applyNumberFormat="1">
      <alignment horizontal="right" readingOrder="0" shrinkToFit="0" wrapText="1"/>
    </xf>
    <xf borderId="1" fillId="2" fontId="43" numFmtId="0" xfId="0" applyAlignment="1" applyBorder="1" applyFont="1">
      <alignment horizontal="center" readingOrder="0" vertical="center"/>
    </xf>
    <xf borderId="30" fillId="8" fontId="44" numFmtId="49" xfId="0" applyAlignment="1" applyBorder="1" applyFont="1" applyNumberFormat="1">
      <alignment horizontal="right" shrinkToFit="0" wrapText="1"/>
    </xf>
    <xf borderId="31" fillId="0" fontId="28" numFmtId="0" xfId="0" applyAlignment="1" applyBorder="1" applyFont="1">
      <alignment readingOrder="0" shrinkToFit="0" vertical="center" wrapText="1"/>
    </xf>
    <xf borderId="25" fillId="2" fontId="28" numFmtId="0" xfId="0" applyAlignment="1" applyBorder="1" applyFont="1">
      <alignment vertical="center"/>
    </xf>
    <xf borderId="29" fillId="8" fontId="44" numFmtId="166" xfId="0" applyAlignment="1" applyBorder="1" applyFont="1" applyNumberFormat="1">
      <alignment horizontal="right" readingOrder="0" shrinkToFit="0" wrapText="1"/>
    </xf>
    <xf borderId="1" fillId="2" fontId="45" numFmtId="0" xfId="0" applyAlignment="1" applyBorder="1" applyFont="1">
      <alignment vertical="center"/>
    </xf>
    <xf borderId="0" fillId="11" fontId="39" numFmtId="0" xfId="0" applyAlignment="1" applyFont="1">
      <alignment vertical="center"/>
    </xf>
    <xf borderId="0" fillId="11" fontId="46" numFmtId="0" xfId="0" applyAlignment="1" applyFont="1">
      <alignment shrinkToFit="0" wrapText="1"/>
    </xf>
    <xf borderId="0" fillId="11" fontId="38" numFmtId="0" xfId="0" applyAlignment="1" applyFont="1">
      <alignment horizontal="center" vertical="center"/>
    </xf>
    <xf borderId="0" fillId="2" fontId="34" numFmtId="0" xfId="0" applyAlignment="1" applyFont="1">
      <alignment shrinkToFit="0" wrapText="1"/>
    </xf>
    <xf borderId="24" fillId="2" fontId="39" numFmtId="0" xfId="0" applyAlignment="1" applyBorder="1" applyFont="1">
      <alignment vertical="center"/>
    </xf>
    <xf borderId="25" fillId="2" fontId="33" numFmtId="0" xfId="0" applyAlignment="1" applyBorder="1" applyFont="1">
      <alignment horizontal="center" vertical="center"/>
    </xf>
    <xf borderId="32" fillId="2" fontId="34" numFmtId="0" xfId="0" applyAlignment="1" applyBorder="1" applyFont="1">
      <alignment readingOrder="0" shrinkToFit="0" wrapText="0"/>
    </xf>
    <xf borderId="33" fillId="0" fontId="11" numFmtId="0" xfId="0" applyBorder="1" applyFont="1"/>
    <xf borderId="34" fillId="0" fontId="11" numFmtId="0" xfId="0" applyBorder="1" applyFont="1"/>
    <xf borderId="33" fillId="2" fontId="34" numFmtId="0" xfId="0" applyAlignment="1" applyBorder="1" applyFont="1">
      <alignment shrinkToFit="0" wrapText="0"/>
    </xf>
    <xf borderId="1" fillId="2" fontId="46" numFmtId="0" xfId="0" applyAlignment="1" applyBorder="1" applyFont="1">
      <alignment shrinkToFit="0" wrapText="1"/>
    </xf>
    <xf borderId="35" fillId="12" fontId="47" numFmtId="0" xfId="0" applyAlignment="1" applyBorder="1" applyFont="1">
      <alignment horizontal="center" vertical="center"/>
    </xf>
    <xf borderId="1" fillId="2" fontId="47" numFmtId="0" xfId="0" applyAlignment="1" applyBorder="1" applyFont="1">
      <alignment horizontal="center" vertical="center"/>
    </xf>
    <xf borderId="1" fillId="2" fontId="48" numFmtId="0" xfId="0" applyAlignment="1" applyBorder="1" applyFont="1">
      <alignment horizontal="right" vertical="center"/>
    </xf>
    <xf borderId="35" fillId="10" fontId="49" numFmtId="9" xfId="0" applyAlignment="1" applyBorder="1" applyFont="1" applyNumberFormat="1">
      <alignment horizontal="center" readingOrder="0" vertical="center"/>
    </xf>
    <xf borderId="1" fillId="10" fontId="49" numFmtId="9" xfId="0" applyAlignment="1" applyBorder="1" applyFont="1" applyNumberFormat="1">
      <alignment horizontal="center" readingOrder="0" vertical="center"/>
    </xf>
    <xf borderId="22" fillId="10" fontId="49" numFmtId="9" xfId="0" applyAlignment="1" applyBorder="1" applyFont="1" applyNumberFormat="1">
      <alignment horizontal="center" readingOrder="0" vertical="center"/>
    </xf>
    <xf borderId="1" fillId="2" fontId="49" numFmtId="9" xfId="0" applyAlignment="1" applyBorder="1" applyFont="1" applyNumberFormat="1">
      <alignment horizontal="center" vertical="center"/>
    </xf>
    <xf borderId="35" fillId="10" fontId="49" numFmtId="9" xfId="0" applyAlignment="1" applyBorder="1" applyFont="1" applyNumberFormat="1">
      <alignment horizontal="center"/>
    </xf>
    <xf borderId="1" fillId="10" fontId="49" numFmtId="9" xfId="0" applyAlignment="1" applyBorder="1" applyFont="1" applyNumberFormat="1">
      <alignment horizontal="center"/>
    </xf>
    <xf borderId="22" fillId="10" fontId="49" numFmtId="9" xfId="0" applyAlignment="1" applyBorder="1" applyFont="1" applyNumberFormat="1">
      <alignment horizontal="center"/>
    </xf>
    <xf borderId="35" fillId="2" fontId="38" numFmtId="0" xfId="0" applyAlignment="1" applyBorder="1" applyFont="1">
      <alignment horizontal="center" vertical="center"/>
    </xf>
    <xf borderId="3" fillId="2" fontId="34" numFmtId="0" xfId="0" applyAlignment="1" applyBorder="1" applyFont="1">
      <alignment horizontal="left" shrinkToFit="0" wrapText="0"/>
    </xf>
    <xf borderId="0" fillId="0" fontId="50" numFmtId="0" xfId="0" applyFont="1"/>
    <xf borderId="0" fillId="0" fontId="51" numFmtId="1" xfId="0" applyAlignment="1" applyFont="1" applyNumberFormat="1">
      <alignment readingOrder="0"/>
    </xf>
    <xf borderId="1" fillId="2" fontId="28" numFmtId="0" xfId="0" applyAlignment="1" applyBorder="1" applyFont="1">
      <alignment readingOrder="0" vertical="center"/>
    </xf>
    <xf borderId="24" fillId="2" fontId="38" numFmtId="0" xfId="0" applyAlignment="1" applyBorder="1" applyFont="1">
      <alignment horizontal="center" vertical="center"/>
    </xf>
    <xf borderId="36" fillId="2" fontId="38" numFmtId="0" xfId="0" applyAlignment="1" applyBorder="1" applyFont="1">
      <alignment horizontal="center" vertical="center"/>
    </xf>
    <xf borderId="37" fillId="2" fontId="28" numFmtId="0" xfId="0" applyAlignment="1" applyBorder="1" applyFont="1">
      <alignment vertical="center"/>
    </xf>
    <xf borderId="0" fillId="2" fontId="31" numFmtId="0" xfId="0" applyAlignment="1" applyFont="1">
      <alignment vertical="center"/>
    </xf>
    <xf borderId="0" fillId="2" fontId="28" numFmtId="0" xfId="0" applyAlignment="1" applyFont="1">
      <alignment vertical="center"/>
    </xf>
    <xf borderId="38" fillId="12" fontId="33" numFmtId="0" xfId="0" applyAlignment="1" applyBorder="1" applyFont="1">
      <alignment horizontal="center" readingOrder="0" vertical="center"/>
    </xf>
    <xf borderId="35" fillId="0" fontId="11" numFmtId="0" xfId="0" applyBorder="1" applyFont="1"/>
    <xf borderId="38" fillId="12" fontId="33" numFmtId="0" xfId="0" applyAlignment="1" applyBorder="1" applyFont="1">
      <alignment horizontal="center" vertical="center"/>
    </xf>
    <xf borderId="3" fillId="12" fontId="33" numFmtId="0" xfId="0" applyAlignment="1" applyBorder="1" applyFont="1">
      <alignment horizontal="center" readingOrder="0" vertical="center"/>
    </xf>
    <xf borderId="0" fillId="0" fontId="28" numFmtId="0" xfId="0" applyAlignment="1" applyFont="1">
      <alignment vertical="center"/>
    </xf>
    <xf borderId="22" fillId="2" fontId="52" numFmtId="0" xfId="0" applyAlignment="1" applyBorder="1" applyFont="1">
      <alignment horizontal="left" shrinkToFit="0" vertical="center" wrapText="1"/>
    </xf>
    <xf borderId="22" fillId="2" fontId="53" numFmtId="0" xfId="0" applyAlignment="1" applyBorder="1" applyFont="1">
      <alignment horizontal="left" shrinkToFit="0" vertical="center" wrapText="1"/>
    </xf>
    <xf borderId="1" fillId="2" fontId="33" numFmtId="0" xfId="0" applyAlignment="1" applyBorder="1" applyFont="1">
      <alignment horizontal="left" shrinkToFit="0" vertical="center" wrapText="1"/>
    </xf>
    <xf borderId="1" fillId="2" fontId="54" numFmtId="3" xfId="0" applyAlignment="1" applyBorder="1" applyFont="1" applyNumberFormat="1">
      <alignment horizontal="center" shrinkToFit="0" vertical="center" wrapText="1"/>
    </xf>
    <xf borderId="39" fillId="13" fontId="52" numFmtId="0" xfId="0" applyAlignment="1" applyBorder="1" applyFill="1" applyFont="1">
      <alignment horizontal="left" shrinkToFit="0" vertical="center" wrapText="1"/>
    </xf>
    <xf borderId="40" fillId="0" fontId="11" numFmtId="0" xfId="0" applyBorder="1" applyFont="1"/>
    <xf borderId="4" fillId="0" fontId="28" numFmtId="0" xfId="0" applyAlignment="1" applyBorder="1" applyFont="1">
      <alignment vertical="center"/>
    </xf>
    <xf borderId="39" fillId="13" fontId="52" numFmtId="0" xfId="0" applyAlignment="1" applyBorder="1" applyFont="1">
      <alignment horizontal="left" readingOrder="0" shrinkToFit="0" vertical="center" wrapText="1"/>
    </xf>
    <xf borderId="3" fillId="13" fontId="33" numFmtId="0" xfId="0" applyAlignment="1" applyBorder="1" applyFont="1">
      <alignment horizontal="center" shrinkToFit="0" vertical="center" wrapText="1"/>
    </xf>
    <xf borderId="41" fillId="13" fontId="33" numFmtId="0" xfId="0" applyAlignment="1" applyBorder="1" applyFont="1">
      <alignment horizontal="center" shrinkToFit="0" vertical="center" wrapText="1"/>
    </xf>
    <xf borderId="41" fillId="0" fontId="11" numFmtId="0" xfId="0" applyBorder="1" applyFont="1"/>
    <xf borderId="1" fillId="13" fontId="33" numFmtId="0" xfId="0" applyAlignment="1" applyBorder="1" applyFont="1">
      <alignment horizontal="center" shrinkToFit="0" vertical="center" wrapText="1"/>
    </xf>
    <xf borderId="1" fillId="13" fontId="55" numFmtId="0" xfId="0" applyAlignment="1" applyBorder="1" applyFont="1">
      <alignment vertical="bottom"/>
    </xf>
    <xf borderId="4" fillId="0" fontId="31" numFmtId="0" xfId="0" applyAlignment="1" applyBorder="1" applyFont="1">
      <alignment vertical="center"/>
    </xf>
    <xf borderId="42" fillId="0" fontId="28" numFmtId="0" xfId="0" applyAlignment="1" applyBorder="1" applyFont="1">
      <alignment readingOrder="0" shrinkToFit="0" vertical="center" wrapText="1"/>
    </xf>
    <xf borderId="43" fillId="8" fontId="29" numFmtId="167" xfId="0" applyAlignment="1" applyBorder="1" applyFont="1" applyNumberFormat="1">
      <alignment readingOrder="0" shrinkToFit="0" vertical="center" wrapText="1"/>
    </xf>
    <xf borderId="0" fillId="0" fontId="56" numFmtId="0" xfId="0" applyAlignment="1" applyFont="1">
      <alignment horizontal="right" readingOrder="0" shrinkToFit="0" vertical="center" wrapText="1"/>
    </xf>
    <xf borderId="44" fillId="10" fontId="29" numFmtId="167" xfId="0" applyAlignment="1" applyBorder="1" applyFont="1" applyNumberFormat="1">
      <alignment shrinkToFit="0" vertical="center" wrapText="1"/>
    </xf>
    <xf borderId="4" fillId="0" fontId="28" numFmtId="0" xfId="0" applyAlignment="1" applyBorder="1" applyFont="1">
      <alignment readingOrder="0" shrinkToFit="0" vertical="center" wrapText="1"/>
    </xf>
    <xf borderId="45" fillId="0" fontId="28" numFmtId="0" xfId="0" applyAlignment="1" applyBorder="1" applyFont="1">
      <alignment readingOrder="0" shrinkToFit="0" vertical="center" wrapText="1"/>
    </xf>
    <xf borderId="44" fillId="9" fontId="29" numFmtId="167" xfId="0" applyAlignment="1" applyBorder="1" applyFont="1" applyNumberFormat="1">
      <alignment readingOrder="0" shrinkToFit="0" vertical="center" wrapText="1"/>
    </xf>
    <xf borderId="5" fillId="0" fontId="28" numFmtId="0" xfId="0" applyAlignment="1" applyBorder="1" applyFont="1">
      <alignment readingOrder="0" vertical="center"/>
    </xf>
    <xf borderId="1" fillId="13" fontId="33" numFmtId="0" xfId="0" applyAlignment="1" applyBorder="1" applyFont="1">
      <alignment horizontal="left" shrinkToFit="0" vertical="center" wrapText="1"/>
    </xf>
    <xf borderId="1" fillId="13" fontId="57" numFmtId="3" xfId="0" applyAlignment="1" applyBorder="1" applyFont="1" applyNumberFormat="1">
      <alignment horizontal="center" shrinkToFit="0" vertical="center" wrapText="1"/>
    </xf>
    <xf borderId="24" fillId="13" fontId="57" numFmtId="3" xfId="0" applyAlignment="1" applyBorder="1" applyFont="1" applyNumberFormat="1">
      <alignment horizontal="center" shrinkToFit="0" vertical="bottom" wrapText="1"/>
    </xf>
    <xf borderId="3" fillId="0" fontId="28" numFmtId="0" xfId="0" applyAlignment="1" applyBorder="1" applyFont="1">
      <alignment readingOrder="0" shrinkToFit="0" vertical="center" wrapText="1"/>
    </xf>
    <xf borderId="4" fillId="0" fontId="31" numFmtId="0" xfId="0" applyAlignment="1" applyBorder="1" applyFont="1">
      <alignment readingOrder="0" shrinkToFit="0" vertical="center" wrapText="1"/>
    </xf>
    <xf borderId="44" fillId="8" fontId="29" numFmtId="10" xfId="0" applyAlignment="1" applyBorder="1" applyFont="1" applyNumberFormat="1">
      <alignment readingOrder="0" shrinkToFit="0" vertical="center" wrapText="1"/>
    </xf>
    <xf borderId="4" fillId="0" fontId="28" numFmtId="0" xfId="0" applyAlignment="1" applyBorder="1" applyFont="1">
      <alignment readingOrder="0" vertical="center"/>
    </xf>
    <xf borderId="45" fillId="0" fontId="28" numFmtId="0" xfId="0" applyAlignment="1" applyBorder="1" applyFont="1">
      <alignment shrinkToFit="0" vertical="center" wrapText="1"/>
    </xf>
    <xf borderId="44" fillId="9" fontId="29" numFmtId="10" xfId="0" applyAlignment="1" applyBorder="1" applyFont="1" applyNumberFormat="1">
      <alignment shrinkToFit="0" vertical="center" wrapText="1"/>
    </xf>
    <xf borderId="44" fillId="10" fontId="29" numFmtId="10" xfId="0" applyAlignment="1" applyBorder="1" applyFont="1" applyNumberFormat="1">
      <alignment readingOrder="0" shrinkToFit="0" vertical="center" wrapText="1"/>
    </xf>
    <xf borderId="0" fillId="0" fontId="51" numFmtId="0" xfId="0" applyAlignment="1" applyFont="1">
      <alignment readingOrder="0"/>
    </xf>
    <xf borderId="42" fillId="0" fontId="28" numFmtId="0" xfId="0" applyAlignment="1" applyBorder="1" applyFont="1">
      <alignment shrinkToFit="0" vertical="center" wrapText="1"/>
    </xf>
    <xf borderId="30" fillId="10" fontId="58" numFmtId="167" xfId="0" applyAlignment="1" applyBorder="1" applyFont="1" applyNumberFormat="1">
      <alignment readingOrder="0" shrinkToFit="0" vertical="center" wrapText="1"/>
    </xf>
    <xf borderId="30" fillId="10" fontId="59" numFmtId="168" xfId="0" applyAlignment="1" applyBorder="1" applyFont="1" applyNumberFormat="1">
      <alignment readingOrder="0" shrinkToFit="0" vertical="center" wrapText="1"/>
    </xf>
    <xf borderId="29" fillId="8" fontId="58" numFmtId="167" xfId="0" applyAlignment="1" applyBorder="1" applyFont="1" applyNumberFormat="1">
      <alignment shrinkToFit="0" vertical="center" wrapText="1"/>
    </xf>
    <xf borderId="29" fillId="8" fontId="59" numFmtId="168" xfId="0" applyAlignment="1" applyBorder="1" applyFont="1" applyNumberFormat="1">
      <alignment shrinkToFit="0" vertical="center" wrapText="1"/>
    </xf>
    <xf borderId="29" fillId="8" fontId="59" numFmtId="167" xfId="0" applyAlignment="1" applyBorder="1" applyFont="1" applyNumberFormat="1">
      <alignment readingOrder="0" shrinkToFit="0" vertical="center" wrapText="1"/>
    </xf>
    <xf borderId="30" fillId="8" fontId="59" numFmtId="4" xfId="0" applyAlignment="1" applyBorder="1" applyFont="1" applyNumberFormat="1">
      <alignment shrinkToFit="0" vertical="center" wrapText="1"/>
    </xf>
    <xf borderId="30" fillId="10" fontId="60" numFmtId="9" xfId="0" applyAlignment="1" applyBorder="1" applyFont="1" applyNumberFormat="1">
      <alignment horizontal="center" readingOrder="0" vertical="center"/>
    </xf>
    <xf borderId="30" fillId="10" fontId="60" numFmtId="0" xfId="0" applyAlignment="1" applyBorder="1" applyFont="1">
      <alignment horizontal="center" readingOrder="0" shrinkToFit="0" vertical="center" wrapText="1"/>
    </xf>
    <xf borderId="1" fillId="0" fontId="28" numFmtId="10" xfId="0" applyAlignment="1" applyBorder="1" applyFont="1" applyNumberFormat="1">
      <alignment vertical="center"/>
    </xf>
    <xf borderId="3" fillId="0" fontId="28" numFmtId="10" xfId="0" applyAlignment="1" applyBorder="1" applyFont="1" applyNumberFormat="1">
      <alignment vertical="center"/>
    </xf>
    <xf borderId="4" fillId="0" fontId="31" numFmtId="0" xfId="0" applyAlignment="1" applyBorder="1" applyFont="1">
      <alignment readingOrder="0" vertical="center"/>
    </xf>
    <xf borderId="46" fillId="0" fontId="28" numFmtId="0" xfId="0" applyAlignment="1" applyBorder="1" applyFont="1">
      <alignment shrinkToFit="0" vertical="center" wrapText="1"/>
    </xf>
    <xf borderId="47" fillId="8" fontId="29" numFmtId="169" xfId="0" applyAlignment="1" applyBorder="1" applyFont="1" applyNumberFormat="1">
      <alignment readingOrder="0" shrinkToFit="0" vertical="center" wrapText="1"/>
    </xf>
    <xf borderId="47" fillId="8" fontId="29" numFmtId="4" xfId="0" applyAlignment="1" applyBorder="1" applyFont="1" applyNumberFormat="1">
      <alignment shrinkToFit="0" vertical="center" wrapText="1"/>
    </xf>
    <xf borderId="5" fillId="0" fontId="28" numFmtId="0" xfId="0" applyAlignment="1" applyBorder="1" applyFont="1">
      <alignment readingOrder="0" shrinkToFit="0" vertical="center" wrapText="1"/>
    </xf>
    <xf borderId="46" fillId="0" fontId="28" numFmtId="0" xfId="0" applyAlignment="1" applyBorder="1" applyFont="1">
      <alignment readingOrder="0" shrinkToFit="0" vertical="center" wrapText="1"/>
    </xf>
    <xf borderId="0" fillId="0" fontId="51" numFmtId="0" xfId="0" applyAlignment="1" applyFont="1">
      <alignment readingOrder="0" shrinkToFit="0" wrapText="1"/>
    </xf>
    <xf borderId="29" fillId="10" fontId="60" numFmtId="9" xfId="0" applyAlignment="1" applyBorder="1" applyFont="1" applyNumberFormat="1">
      <alignment horizontal="center" readingOrder="0" vertical="center"/>
    </xf>
    <xf borderId="47" fillId="10" fontId="29" numFmtId="170" xfId="0" applyAlignment="1" applyBorder="1" applyFont="1" applyNumberFormat="1">
      <alignment readingOrder="0" shrinkToFit="0" vertical="center" wrapText="1"/>
    </xf>
    <xf borderId="4" fillId="2" fontId="28" numFmtId="0" xfId="0" applyAlignment="1" applyBorder="1" applyFont="1">
      <alignment readingOrder="0" shrinkToFit="0" vertical="center" wrapText="1"/>
    </xf>
    <xf borderId="47" fillId="10" fontId="29" numFmtId="9" xfId="0" applyAlignment="1" applyBorder="1" applyFont="1" applyNumberFormat="1">
      <alignment readingOrder="0" shrinkToFit="0" vertical="center" wrapText="1"/>
    </xf>
    <xf borderId="4" fillId="2" fontId="28" numFmtId="0" xfId="0" applyAlignment="1" applyBorder="1" applyFont="1">
      <alignment vertical="center"/>
    </xf>
    <xf borderId="5" fillId="0" fontId="28" numFmtId="0" xfId="0" applyAlignment="1" applyBorder="1" applyFont="1">
      <alignment vertical="center"/>
    </xf>
    <xf borderId="4" fillId="2" fontId="31" numFmtId="0" xfId="0" applyAlignment="1" applyBorder="1" applyFont="1">
      <alignment vertical="center"/>
    </xf>
    <xf borderId="25" fillId="2" fontId="52" numFmtId="0" xfId="0" applyAlignment="1" applyBorder="1" applyFont="1">
      <alignment horizontal="left" shrinkToFit="0" vertical="center" wrapText="1"/>
    </xf>
    <xf borderId="25" fillId="2" fontId="53" numFmtId="0" xfId="0" applyAlignment="1" applyBorder="1" applyFont="1">
      <alignment horizontal="left" shrinkToFit="0" vertical="center" wrapText="1"/>
    </xf>
    <xf borderId="30" fillId="10" fontId="59" numFmtId="168" xfId="0" applyAlignment="1" applyBorder="1" applyFont="1" applyNumberFormat="1">
      <alignment shrinkToFit="0" vertical="center" wrapText="1"/>
    </xf>
    <xf borderId="29" fillId="10" fontId="60" numFmtId="0" xfId="0" applyAlignment="1" applyBorder="1" applyFont="1">
      <alignment horizontal="center" readingOrder="0" shrinkToFit="0" vertical="center" wrapText="1"/>
    </xf>
    <xf borderId="45" fillId="11" fontId="39" numFmtId="0" xfId="0" applyAlignment="1" applyBorder="1" applyFont="1">
      <alignment readingOrder="0" shrinkToFit="0" vertical="center" wrapText="1"/>
    </xf>
    <xf borderId="30" fillId="11" fontId="61" numFmtId="167" xfId="0" applyAlignment="1" applyBorder="1" applyFont="1" applyNumberFormat="1">
      <alignment shrinkToFit="0" vertical="center" wrapText="1"/>
    </xf>
    <xf borderId="30" fillId="11" fontId="61" numFmtId="168" xfId="0" applyAlignment="1" applyBorder="1" applyFont="1" applyNumberFormat="1">
      <alignment shrinkToFit="0" vertical="center" wrapText="1"/>
    </xf>
    <xf borderId="29" fillId="11" fontId="61" numFmtId="167" xfId="0" applyAlignment="1" applyBorder="1" applyFont="1" applyNumberFormat="1">
      <alignment shrinkToFit="0" vertical="center" wrapText="1"/>
    </xf>
    <xf borderId="29" fillId="11" fontId="61" numFmtId="168" xfId="0" applyAlignment="1" applyBorder="1" applyFont="1" applyNumberFormat="1">
      <alignment shrinkToFit="0" vertical="center" wrapText="1"/>
    </xf>
    <xf borderId="29" fillId="11" fontId="61" numFmtId="167" xfId="0" applyAlignment="1" applyBorder="1" applyFont="1" applyNumberFormat="1">
      <alignment readingOrder="0" shrinkToFit="0" vertical="center" wrapText="1"/>
    </xf>
    <xf borderId="30" fillId="11" fontId="61" numFmtId="4" xfId="0" applyAlignment="1" applyBorder="1" applyFont="1" applyNumberFormat="1">
      <alignment shrinkToFit="0" vertical="center" wrapText="1"/>
    </xf>
    <xf borderId="29" fillId="11" fontId="62" numFmtId="9" xfId="0" applyAlignment="1" applyBorder="1" applyFont="1" applyNumberFormat="1">
      <alignment horizontal="center" readingOrder="0" vertical="center"/>
    </xf>
    <xf borderId="29" fillId="11" fontId="62" numFmtId="9" xfId="0" applyAlignment="1" applyBorder="1" applyFont="1" applyNumberFormat="1">
      <alignment horizontal="center" shrinkToFit="0" vertical="center" wrapText="1"/>
    </xf>
    <xf borderId="43" fillId="14" fontId="29" numFmtId="167" xfId="0" applyAlignment="1" applyBorder="1" applyFill="1" applyFont="1" applyNumberFormat="1">
      <alignment readingOrder="0" shrinkToFit="0" vertical="center" wrapText="1"/>
    </xf>
    <xf borderId="44" fillId="8" fontId="29" numFmtId="168" xfId="0" applyAlignment="1" applyBorder="1" applyFont="1" applyNumberFormat="1">
      <alignment readingOrder="0" shrinkToFit="0" vertical="center" wrapText="1"/>
    </xf>
    <xf borderId="44" fillId="8" fontId="29" numFmtId="167" xfId="0" applyAlignment="1" applyBorder="1" applyFont="1" applyNumberFormat="1">
      <alignment readingOrder="0" shrinkToFit="0" vertical="center" wrapText="1"/>
    </xf>
    <xf borderId="44" fillId="14" fontId="29" numFmtId="9" xfId="0" applyAlignment="1" applyBorder="1" applyFont="1" applyNumberFormat="1">
      <alignment readingOrder="0" shrinkToFit="0" vertical="center" wrapText="1"/>
    </xf>
    <xf borderId="47" fillId="9" fontId="29" numFmtId="9" xfId="0" applyAlignment="1" applyBorder="1" applyFont="1" applyNumberFormat="1">
      <alignment readingOrder="0" shrinkToFit="0" vertical="center" wrapText="1"/>
    </xf>
    <xf borderId="44" fillId="9" fontId="29" numFmtId="167" xfId="0" applyAlignment="1" applyBorder="1" applyFont="1" applyNumberFormat="1">
      <alignment shrinkToFit="0" vertical="center" wrapText="1"/>
    </xf>
    <xf borderId="30" fillId="10" fontId="58" numFmtId="167" xfId="0" applyAlignment="1" applyBorder="1" applyFont="1" applyNumberFormat="1">
      <alignment shrinkToFit="0" vertical="center" wrapText="1"/>
    </xf>
    <xf borderId="47" fillId="10" fontId="29" numFmtId="169" xfId="0" applyAlignment="1" applyBorder="1" applyFont="1" applyNumberFormat="1">
      <alignment shrinkToFit="0" vertical="center" wrapText="1"/>
    </xf>
    <xf borderId="4" fillId="2" fontId="31" numFmtId="0" xfId="0" applyAlignment="1" applyBorder="1" applyFont="1">
      <alignment readingOrder="0" shrinkToFit="0" vertical="center" wrapText="1"/>
    </xf>
    <xf borderId="48" fillId="0" fontId="28" numFmtId="0" xfId="0" applyAlignment="1" applyBorder="1" applyFont="1">
      <alignment readingOrder="0" shrinkToFit="0" vertical="center" wrapText="1"/>
    </xf>
    <xf borderId="43" fillId="14" fontId="29" numFmtId="167" xfId="0" applyAlignment="1" applyBorder="1" applyFont="1" applyNumberFormat="1">
      <alignment shrinkToFit="0" vertical="center" wrapText="1"/>
    </xf>
    <xf borderId="44" fillId="10" fontId="29" numFmtId="167" xfId="0" applyAlignment="1" applyBorder="1" applyFont="1" applyNumberFormat="1">
      <alignment readingOrder="0" shrinkToFit="0" vertical="center" wrapText="1"/>
    </xf>
    <xf borderId="43" fillId="14" fontId="29" numFmtId="168" xfId="0" applyAlignment="1" applyBorder="1" applyFont="1" applyNumberFormat="1">
      <alignment shrinkToFit="0" vertical="center" wrapText="1"/>
    </xf>
    <xf borderId="44" fillId="8" fontId="29" numFmtId="171" xfId="0" applyAlignment="1" applyBorder="1" applyFont="1" applyNumberFormat="1">
      <alignment shrinkToFit="0" vertical="center" wrapText="1"/>
    </xf>
    <xf borderId="49" fillId="9" fontId="29" numFmtId="172" xfId="0" applyAlignment="1" applyBorder="1" applyFont="1" applyNumberFormat="1">
      <alignment horizontal="center" readingOrder="0" shrinkToFit="0" vertical="center" wrapText="1"/>
    </xf>
    <xf borderId="50" fillId="0" fontId="11" numFmtId="0" xfId="0" applyBorder="1" applyFont="1"/>
    <xf borderId="44" fillId="9" fontId="29" numFmtId="3" xfId="0" applyAlignment="1" applyBorder="1" applyFont="1" applyNumberFormat="1">
      <alignment readingOrder="0" shrinkToFit="0" vertical="center" wrapText="1"/>
    </xf>
    <xf borderId="5" fillId="0" fontId="31" numFmtId="0" xfId="0" applyAlignment="1" applyBorder="1" applyFont="1">
      <alignment readingOrder="0" shrinkToFit="0" vertical="center" wrapText="1"/>
    </xf>
    <xf borderId="47" fillId="9" fontId="29" numFmtId="169" xfId="0" applyAlignment="1" applyBorder="1" applyFont="1" applyNumberFormat="1">
      <alignment readingOrder="0" shrinkToFit="0" vertical="center" wrapText="1"/>
    </xf>
    <xf borderId="47" fillId="9" fontId="29" numFmtId="173" xfId="0" applyAlignment="1" applyBorder="1" applyFont="1" applyNumberFormat="1">
      <alignment readingOrder="0" shrinkToFit="0" vertical="center" wrapText="1"/>
    </xf>
    <xf borderId="49" fillId="8" fontId="29" numFmtId="167" xfId="0" applyAlignment="1" applyBorder="1" applyFont="1" applyNumberFormat="1">
      <alignment horizontal="center" shrinkToFit="0" vertical="center" wrapText="1"/>
    </xf>
    <xf borderId="50" fillId="8" fontId="29" numFmtId="167" xfId="0" applyAlignment="1" applyBorder="1" applyFont="1" applyNumberFormat="1">
      <alignment horizontal="center" shrinkToFit="0" vertical="center" wrapText="1"/>
    </xf>
    <xf borderId="5" fillId="2" fontId="28" numFmtId="0" xfId="0" applyAlignment="1" applyBorder="1" applyFont="1">
      <alignment readingOrder="0" vertical="center"/>
    </xf>
    <xf borderId="5" fillId="2" fontId="31" numFmtId="0" xfId="0" applyAlignment="1" applyBorder="1" applyFont="1">
      <alignment readingOrder="0" vertical="center"/>
    </xf>
    <xf borderId="1" fillId="0" fontId="63" numFmtId="0" xfId="0" applyAlignment="1" applyBorder="1" applyFont="1">
      <alignment readingOrder="0" vertical="center"/>
    </xf>
    <xf borderId="51" fillId="8" fontId="64" numFmtId="167" xfId="0" applyAlignment="1" applyBorder="1" applyFont="1" applyNumberFormat="1">
      <alignment readingOrder="0" shrinkToFit="0" vertical="center" wrapText="1"/>
    </xf>
    <xf borderId="29" fillId="8" fontId="64" numFmtId="3" xfId="0" applyAlignment="1" applyBorder="1" applyFont="1" applyNumberFormat="1">
      <alignment shrinkToFit="0" vertical="center" wrapText="1"/>
    </xf>
    <xf borderId="29" fillId="8" fontId="59" numFmtId="4" xfId="0" applyAlignment="1" applyBorder="1" applyFont="1" applyNumberFormat="1">
      <alignment shrinkToFit="0" vertical="center" wrapText="1"/>
    </xf>
    <xf borderId="30" fillId="10" fontId="60" numFmtId="9" xfId="0" applyAlignment="1" applyBorder="1" applyFont="1" applyNumberFormat="1">
      <alignment horizontal="center" shrinkToFit="0" vertical="center" wrapText="1"/>
    </xf>
    <xf borderId="45" fillId="0" fontId="45" numFmtId="0" xfId="0" applyAlignment="1" applyBorder="1" applyFont="1">
      <alignment shrinkToFit="0" vertical="center" wrapText="1"/>
    </xf>
    <xf borderId="44" fillId="10" fontId="65" numFmtId="167" xfId="0" applyAlignment="1" applyBorder="1" applyFont="1" applyNumberFormat="1">
      <alignment readingOrder="0" shrinkToFit="0" vertical="center" wrapText="1"/>
    </xf>
    <xf borderId="43" fillId="8" fontId="29" numFmtId="168" xfId="0" applyAlignment="1" applyBorder="1" applyFont="1" applyNumberFormat="1">
      <alignment shrinkToFit="0" vertical="center" wrapText="1"/>
    </xf>
    <xf borderId="44" fillId="10" fontId="65" numFmtId="173" xfId="0" applyAlignment="1" applyBorder="1" applyFont="1" applyNumberFormat="1">
      <alignment shrinkToFit="0" vertical="center" wrapText="1"/>
    </xf>
    <xf borderId="1" fillId="0" fontId="66" numFmtId="0" xfId="0" applyAlignment="1" applyBorder="1" applyFont="1">
      <alignment readingOrder="0"/>
    </xf>
    <xf borderId="1" fillId="0" fontId="67" numFmtId="167" xfId="0" applyAlignment="1" applyBorder="1" applyFont="1" applyNumberFormat="1">
      <alignment readingOrder="0" vertical="center"/>
    </xf>
    <xf borderId="1" fillId="0" fontId="66" numFmtId="0" xfId="0" applyAlignment="1" applyBorder="1" applyFont="1">
      <alignment vertical="center"/>
    </xf>
    <xf borderId="1" fillId="0" fontId="68" numFmtId="167" xfId="0" applyAlignment="1" applyBorder="1" applyFont="1" applyNumberFormat="1">
      <alignment readingOrder="0" vertical="center"/>
    </xf>
    <xf borderId="1" fillId="0" fontId="63" numFmtId="0" xfId="0" applyAlignment="1" applyBorder="1" applyFont="1">
      <alignment vertical="center"/>
    </xf>
    <xf borderId="1" fillId="0" fontId="69" numFmtId="167" xfId="0" applyAlignment="1" applyBorder="1" applyFont="1" applyNumberFormat="1">
      <alignment readingOrder="0" vertical="center"/>
    </xf>
    <xf borderId="1" fillId="2" fontId="70" numFmtId="0" xfId="0" applyAlignment="1" applyBorder="1" applyFont="1">
      <alignment readingOrder="0" vertical="center"/>
    </xf>
    <xf borderId="46" fillId="0" fontId="45" numFmtId="0" xfId="0" applyAlignment="1" applyBorder="1" applyFont="1">
      <alignment readingOrder="0" shrinkToFit="0" vertical="center" wrapText="1"/>
    </xf>
    <xf borderId="47" fillId="9" fontId="65" numFmtId="173" xfId="0" applyAlignment="1" applyBorder="1" applyFont="1" applyNumberFormat="1">
      <alignment readingOrder="0" shrinkToFit="0" vertical="center" wrapText="1"/>
    </xf>
    <xf borderId="4" fillId="2" fontId="45" numFmtId="0" xfId="0" applyAlignment="1" applyBorder="1" applyFont="1">
      <alignment readingOrder="0" vertical="center"/>
    </xf>
    <xf borderId="46" fillId="0" fontId="45" numFmtId="0" xfId="0" applyAlignment="1" applyBorder="1" applyFont="1">
      <alignment shrinkToFit="0" vertical="center" wrapText="1"/>
    </xf>
    <xf borderId="47" fillId="10" fontId="65" numFmtId="9" xfId="0" applyAlignment="1" applyBorder="1" applyFont="1" applyNumberFormat="1">
      <alignment readingOrder="0" shrinkToFit="0" vertical="center" wrapText="1"/>
    </xf>
    <xf borderId="5" fillId="2" fontId="28" numFmtId="0" xfId="0" applyAlignment="1" applyBorder="1" applyFont="1">
      <alignment vertical="center"/>
    </xf>
    <xf borderId="1" fillId="0" fontId="1" numFmtId="0" xfId="0" applyAlignment="1" applyBorder="1" applyFont="1">
      <alignment readingOrder="0"/>
    </xf>
    <xf borderId="0" fillId="0" fontId="51" numFmtId="0" xfId="0" applyFont="1"/>
    <xf borderId="44" fillId="8" fontId="29" numFmtId="173" xfId="0" applyAlignment="1" applyBorder="1" applyFont="1" applyNumberFormat="1">
      <alignment readingOrder="0" shrinkToFit="0" vertical="center" wrapText="1"/>
    </xf>
    <xf borderId="44" fillId="8" fontId="29" numFmtId="173" xfId="0" applyAlignment="1" applyBorder="1" applyFont="1" applyNumberFormat="1">
      <alignment shrinkToFit="0" vertical="center" wrapText="1"/>
    </xf>
    <xf borderId="47" fillId="8" fontId="29" numFmtId="173" xfId="0" applyAlignment="1" applyBorder="1" applyFont="1" applyNumberFormat="1">
      <alignment readingOrder="0" shrinkToFit="0" vertical="center" wrapText="1"/>
    </xf>
    <xf borderId="44" fillId="8" fontId="29" numFmtId="167" xfId="0" applyAlignment="1" applyBorder="1" applyFont="1" applyNumberFormat="1">
      <alignment shrinkToFit="0" vertical="center" wrapText="1"/>
    </xf>
    <xf borderId="5" fillId="0" fontId="31" numFmtId="0" xfId="0" applyAlignment="1" applyBorder="1" applyFont="1">
      <alignment readingOrder="0" vertical="center"/>
    </xf>
    <xf borderId="24" fillId="2" fontId="29" numFmtId="0" xfId="0" applyAlignment="1" applyBorder="1" applyFont="1">
      <alignment vertical="center"/>
    </xf>
    <xf borderId="0" fillId="0" fontId="50" numFmtId="0" xfId="0" applyAlignment="1" applyFont="1">
      <alignment readingOrder="0" shrinkToFit="0" wrapText="1"/>
    </xf>
    <xf borderId="47" fillId="9" fontId="29" numFmtId="3" xfId="0" applyAlignment="1" applyBorder="1" applyFont="1" applyNumberFormat="1">
      <alignment readingOrder="0" shrinkToFit="0" vertical="center" wrapText="1"/>
    </xf>
    <xf borderId="1" fillId="0" fontId="28" numFmtId="0" xfId="0" applyAlignment="1" applyBorder="1" applyFont="1">
      <alignment readingOrder="0" shrinkToFit="0" vertical="center" wrapText="1"/>
    </xf>
    <xf borderId="47" fillId="8" fontId="29" numFmtId="3" xfId="0" applyAlignment="1" applyBorder="1" applyFont="1" applyNumberFormat="1">
      <alignment readingOrder="0" shrinkToFit="0" vertical="center" wrapText="1"/>
    </xf>
    <xf borderId="1" fillId="0" fontId="63" numFmtId="2" xfId="0" applyAlignment="1" applyBorder="1" applyFont="1" applyNumberFormat="1">
      <alignment vertical="center"/>
    </xf>
    <xf borderId="5" fillId="0" fontId="52" numFmtId="2" xfId="0" applyAlignment="1" applyBorder="1" applyFont="1" applyNumberFormat="1">
      <alignment vertical="center"/>
    </xf>
    <xf borderId="1" fillId="0" fontId="28" numFmtId="0" xfId="0" applyAlignment="1" applyBorder="1" applyFont="1">
      <alignment readingOrder="0" vertical="center"/>
    </xf>
    <xf borderId="47" fillId="8" fontId="29" numFmtId="9" xfId="0" applyAlignment="1" applyBorder="1" applyFont="1" applyNumberFormat="1">
      <alignment readingOrder="0" shrinkToFit="0" vertical="center" wrapText="1"/>
    </xf>
    <xf borderId="47" fillId="8" fontId="29" numFmtId="9" xfId="0" applyAlignment="1" applyBorder="1" applyFont="1" applyNumberFormat="1">
      <alignment shrinkToFit="0" vertical="center" wrapText="1"/>
    </xf>
    <xf borderId="47" fillId="8" fontId="29" numFmtId="10" xfId="0" applyAlignment="1" applyBorder="1" applyFont="1" applyNumberFormat="1">
      <alignment readingOrder="0" shrinkToFit="0" vertical="center" wrapText="1"/>
    </xf>
    <xf borderId="1" fillId="0" fontId="71" numFmtId="0" xfId="0" applyAlignment="1" applyBorder="1" applyFont="1">
      <alignment readingOrder="0" shrinkToFit="0" vertical="center" wrapText="1"/>
    </xf>
    <xf borderId="5" fillId="0" fontId="72" numFmtId="0" xfId="0" applyAlignment="1" applyBorder="1" applyFont="1">
      <alignment readingOrder="0" shrinkToFit="0" vertical="center" wrapText="1"/>
    </xf>
    <xf borderId="0" fillId="0" fontId="53" numFmtId="0" xfId="0" applyAlignment="1" applyFont="1">
      <alignment vertical="center"/>
    </xf>
    <xf borderId="0" fillId="0" fontId="73" numFmtId="0" xfId="0" applyAlignment="1" applyFont="1">
      <alignment vertical="center"/>
    </xf>
    <xf borderId="0" fillId="0" fontId="29" numFmtId="0" xfId="0" applyAlignment="1" applyFont="1">
      <alignment vertical="center"/>
    </xf>
    <xf borderId="0" fillId="0" fontId="74" numFmtId="0" xfId="0" applyAlignment="1" applyFont="1">
      <alignment horizontal="right" vertical="bottom"/>
    </xf>
    <xf borderId="0" fillId="0" fontId="75" numFmtId="3" xfId="0" applyAlignment="1" applyFont="1" applyNumberFormat="1">
      <alignment horizontal="right" vertical="bottom"/>
    </xf>
    <xf borderId="0" fillId="0" fontId="55" numFmtId="0" xfId="0" applyAlignment="1" applyFont="1">
      <alignment vertical="bottom"/>
    </xf>
    <xf borderId="0" fillId="0" fontId="63" numFmtId="0" xfId="0" applyAlignment="1" applyFont="1">
      <alignment readingOrder="0" shrinkToFit="0" vertical="center" wrapText="1"/>
    </xf>
    <xf borderId="5" fillId="2" fontId="1" numFmtId="0" xfId="0" applyBorder="1" applyFont="1"/>
    <xf borderId="0" fillId="0" fontId="41" numFmtId="0" xfId="0" applyAlignment="1" applyFont="1">
      <alignment horizontal="center"/>
    </xf>
    <xf borderId="0" fillId="0" fontId="55" numFmtId="0" xfId="0" applyFont="1"/>
    <xf borderId="0" fillId="0" fontId="76" numFmtId="0" xfId="0" applyAlignment="1" applyFont="1">
      <alignment readingOrder="0" shrinkToFit="0" vertical="top" wrapText="1"/>
    </xf>
    <xf borderId="0" fillId="0" fontId="12" numFmtId="3" xfId="0" applyAlignment="1" applyFont="1" applyNumberFormat="1">
      <alignment horizontal="right" readingOrder="0"/>
    </xf>
    <xf borderId="0" fillId="0" fontId="2" numFmtId="174" xfId="0" applyAlignment="1" applyFont="1" applyNumberFormat="1">
      <alignment horizontal="right" readingOrder="0"/>
    </xf>
    <xf borderId="0" fillId="0" fontId="76" numFmtId="0" xfId="0" applyAlignment="1" applyFont="1">
      <alignment shrinkToFit="0" vertical="top" wrapText="1"/>
    </xf>
    <xf borderId="0" fillId="0" fontId="12" numFmtId="3" xfId="0" applyAlignment="1" applyFont="1" applyNumberFormat="1">
      <alignment horizontal="right"/>
    </xf>
    <xf borderId="0" fillId="0" fontId="2" numFmtId="174" xfId="0" applyAlignment="1" applyFont="1" applyNumberFormat="1">
      <alignment horizontal="right"/>
    </xf>
    <xf borderId="0" fillId="0" fontId="12" numFmtId="4" xfId="0" applyAlignment="1" applyFont="1" applyNumberFormat="1">
      <alignment horizontal="right"/>
    </xf>
    <xf borderId="0" fillId="0" fontId="77" numFmtId="2" xfId="0" applyAlignment="1" applyFont="1" applyNumberFormat="1">
      <alignment horizontal="right"/>
    </xf>
    <xf borderId="0" fillId="0" fontId="28" numFmtId="0" xfId="0" applyAlignment="1" applyFont="1">
      <alignment readingOrder="0" vertical="center"/>
    </xf>
    <xf borderId="24" fillId="0" fontId="28" numFmtId="0" xfId="0" applyAlignment="1" applyBorder="1" applyFont="1">
      <alignment vertical="center"/>
    </xf>
    <xf borderId="24" fillId="0" fontId="29" numFmtId="0" xfId="0" applyAlignment="1" applyBorder="1" applyFont="1">
      <alignment vertical="center"/>
    </xf>
    <xf borderId="37" fillId="0" fontId="28" numFmtId="0" xfId="0" applyAlignment="1" applyBorder="1" applyFont="1">
      <alignment vertical="center"/>
    </xf>
    <xf borderId="0" fillId="0" fontId="78" numFmtId="0" xfId="0" applyAlignment="1" applyFont="1">
      <alignment shrinkToFit="0" wrapText="1"/>
    </xf>
    <xf borderId="0" fillId="0" fontId="78" numFmtId="0" xfId="0" applyAlignment="1" applyFont="1">
      <alignment horizontal="left" shrinkToFit="0" wrapText="1"/>
    </xf>
    <xf borderId="0" fillId="0" fontId="79" numFmtId="0" xfId="0" applyAlignment="1" applyFont="1">
      <alignment shrinkToFit="0" wrapText="1"/>
    </xf>
    <xf borderId="0" fillId="0" fontId="80" numFmtId="0" xfId="0" applyFont="1"/>
    <xf borderId="2" fillId="2" fontId="81" numFmtId="0" xfId="0" applyAlignment="1" applyBorder="1" applyFont="1">
      <alignment horizontal="left" shrinkToFit="0" wrapText="1"/>
    </xf>
    <xf borderId="2" fillId="2" fontId="82" numFmtId="0" xfId="0" applyAlignment="1" applyBorder="1" applyFont="1">
      <alignment horizontal="left" shrinkToFit="0" wrapText="1"/>
    </xf>
    <xf borderId="2" fillId="15" fontId="78" numFmtId="0" xfId="0" applyAlignment="1" applyBorder="1" applyFill="1" applyFont="1">
      <alignment shrinkToFit="0" wrapText="1"/>
    </xf>
    <xf borderId="2" fillId="15" fontId="78" numFmtId="0" xfId="0" applyAlignment="1" applyBorder="1" applyFont="1">
      <alignment horizontal="left" shrinkToFit="0" wrapText="1"/>
    </xf>
    <xf borderId="2" fillId="15" fontId="79" numFmtId="165" xfId="0" applyAlignment="1" applyBorder="1" applyFont="1" applyNumberFormat="1">
      <alignment shrinkToFit="0" wrapText="1"/>
    </xf>
    <xf borderId="2" fillId="15" fontId="83" numFmtId="3" xfId="0" applyAlignment="1" applyBorder="1" applyFont="1" applyNumberFormat="1">
      <alignment shrinkToFit="0" wrapText="1"/>
    </xf>
    <xf borderId="0" fillId="0" fontId="84" numFmtId="0" xfId="0" applyAlignment="1" applyFont="1">
      <alignment horizontal="left" shrinkToFit="0" wrapText="1"/>
    </xf>
    <xf borderId="0" fillId="0" fontId="85" numFmtId="0" xfId="0" applyAlignment="1" applyFont="1">
      <alignment readingOrder="0" shrinkToFit="0" wrapText="1"/>
    </xf>
    <xf borderId="0" fillId="8" fontId="86" numFmtId="0" xfId="0" applyAlignment="1" applyFont="1">
      <alignment shrinkToFit="0" wrapText="1"/>
    </xf>
    <xf borderId="0" fillId="2" fontId="86" numFmtId="0" xfId="0" applyAlignment="1" applyFont="1">
      <alignment shrinkToFit="0" wrapText="1"/>
    </xf>
    <xf borderId="0" fillId="0" fontId="87" numFmtId="0" xfId="0" applyAlignment="1" applyFont="1">
      <alignment horizontal="left" shrinkToFit="0" wrapText="1"/>
    </xf>
    <xf borderId="0" fillId="0" fontId="85" numFmtId="0" xfId="0" applyAlignment="1" applyFont="1">
      <alignment shrinkToFit="0" wrapText="1"/>
    </xf>
    <xf borderId="0" fillId="16" fontId="88" numFmtId="0" xfId="0" applyAlignment="1" applyFill="1" applyFont="1">
      <alignment shrinkToFit="0" wrapText="1"/>
    </xf>
    <xf borderId="0" fillId="2" fontId="88" numFmtId="0" xfId="0" applyAlignment="1" applyFont="1">
      <alignment shrinkToFit="0" wrapText="1"/>
    </xf>
    <xf borderId="0" fillId="0" fontId="88" numFmtId="0" xfId="0" applyAlignment="1" applyFont="1">
      <alignment horizontal="left" shrinkToFit="0" wrapText="1"/>
    </xf>
    <xf borderId="0" fillId="10" fontId="88" numFmtId="0" xfId="0" applyAlignment="1" applyFont="1">
      <alignment shrinkToFit="0" wrapText="1"/>
    </xf>
    <xf borderId="0" fillId="0" fontId="89" numFmtId="0" xfId="0" applyFont="1"/>
    <xf borderId="0" fillId="0" fontId="80" numFmtId="0" xfId="0" applyFont="1"/>
    <xf borderId="23" fillId="15" fontId="78" numFmtId="0" xfId="0" applyAlignment="1" applyBorder="1" applyFont="1">
      <alignment horizontal="left" shrinkToFit="0" wrapText="1"/>
    </xf>
    <xf borderId="23" fillId="15" fontId="79" numFmtId="165" xfId="0" applyAlignment="1" applyBorder="1" applyFont="1" applyNumberFormat="1">
      <alignment shrinkToFit="0" wrapText="1"/>
    </xf>
    <xf borderId="23" fillId="15" fontId="83" numFmtId="3" xfId="0" applyAlignment="1" applyBorder="1" applyFont="1" applyNumberFormat="1">
      <alignment shrinkToFit="0" wrapText="1"/>
    </xf>
    <xf borderId="0" fillId="0" fontId="78" numFmtId="0" xfId="0" applyAlignment="1" applyFont="1">
      <alignment shrinkToFit="0" vertical="center" wrapText="1"/>
    </xf>
    <xf borderId="0" fillId="0" fontId="71" numFmtId="0" xfId="0" applyAlignment="1" applyFont="1">
      <alignment horizontal="left" shrinkToFit="0" vertical="center" wrapText="1"/>
    </xf>
    <xf borderId="52" fillId="17" fontId="90" numFmtId="0" xfId="0" applyAlignment="1" applyBorder="1" applyFill="1" applyFont="1">
      <alignment horizontal="left" shrinkToFit="0" wrapText="1"/>
    </xf>
    <xf borderId="52" fillId="17" fontId="91" numFmtId="0" xfId="0" applyAlignment="1" applyBorder="1" applyFont="1">
      <alignment horizontal="center" shrinkToFit="0" wrapText="1"/>
    </xf>
    <xf borderId="52" fillId="17" fontId="90" numFmtId="0" xfId="0" applyAlignment="1" applyBorder="1" applyFont="1">
      <alignment horizontal="center" shrinkToFit="0" wrapText="1"/>
    </xf>
    <xf borderId="52" fillId="17" fontId="90" numFmtId="0" xfId="0" applyAlignment="1" applyBorder="1" applyFont="1">
      <alignment shrinkToFit="0" wrapText="1"/>
    </xf>
    <xf borderId="0" fillId="12" fontId="92" numFmtId="0" xfId="0" applyAlignment="1" applyFont="1">
      <alignment horizontal="center" vertical="center"/>
    </xf>
    <xf borderId="35" fillId="12" fontId="92" numFmtId="0" xfId="0" applyAlignment="1" applyBorder="1" applyFont="1">
      <alignment horizontal="center" readingOrder="0" vertical="center"/>
    </xf>
    <xf borderId="52" fillId="6" fontId="22" numFmtId="0" xfId="0" applyAlignment="1" applyBorder="1" applyFont="1">
      <alignment horizontal="left" readingOrder="0" shrinkToFit="0" wrapText="1"/>
    </xf>
    <xf borderId="0" fillId="0" fontId="93" numFmtId="175" xfId="0" applyAlignment="1" applyFont="1" applyNumberFormat="1">
      <alignment shrinkToFit="0" wrapText="1"/>
    </xf>
    <xf borderId="53" fillId="0" fontId="94" numFmtId="0" xfId="0" applyAlignment="1" applyBorder="1" applyFont="1">
      <alignment horizontal="center" shrinkToFit="0" vertical="center" wrapText="1"/>
    </xf>
    <xf borderId="53" fillId="0" fontId="94" numFmtId="0" xfId="0" applyAlignment="1" applyBorder="1" applyFont="1">
      <alignment horizontal="left" shrinkToFit="0" vertical="center" wrapText="1"/>
    </xf>
    <xf borderId="35" fillId="17" fontId="95" numFmtId="0" xfId="0" applyAlignment="1" applyBorder="1" applyFont="1">
      <alignment horizontal="center" vertical="center"/>
    </xf>
    <xf borderId="0" fillId="17" fontId="92" numFmtId="175" xfId="0" applyAlignment="1" applyFont="1" applyNumberFormat="1">
      <alignment horizontal="left"/>
    </xf>
    <xf borderId="0" fillId="4" fontId="92" numFmtId="0" xfId="0" applyAlignment="1" applyFont="1">
      <alignment horizontal="left" readingOrder="0"/>
    </xf>
    <xf borderId="0" fillId="0" fontId="96" numFmtId="175" xfId="0" applyAlignment="1" applyFont="1" applyNumberFormat="1">
      <alignment shrinkToFit="0" wrapText="1"/>
    </xf>
    <xf borderId="43" fillId="0" fontId="94" numFmtId="0" xfId="0" applyAlignment="1" applyBorder="1" applyFont="1">
      <alignment horizontal="center" shrinkToFit="0" vertical="center" wrapText="1"/>
    </xf>
    <xf borderId="43" fillId="0" fontId="94" numFmtId="0" xfId="0" applyAlignment="1" applyBorder="1" applyFont="1">
      <alignment horizontal="left" shrinkToFit="0" vertical="center" wrapText="1"/>
    </xf>
    <xf borderId="54" fillId="13" fontId="97" numFmtId="0" xfId="0" applyAlignment="1" applyBorder="1" applyFont="1">
      <alignment horizontal="left" shrinkToFit="0" wrapText="1"/>
    </xf>
    <xf borderId="54" fillId="13" fontId="98" numFmtId="175" xfId="0" applyAlignment="1" applyBorder="1" applyFont="1" applyNumberFormat="1">
      <alignment horizontal="left" shrinkToFit="0" wrapText="1"/>
    </xf>
    <xf borderId="1" fillId="0" fontId="78" numFmtId="0" xfId="0" applyAlignment="1" applyBorder="1" applyFont="1">
      <alignment shrinkToFit="0" wrapText="1"/>
    </xf>
    <xf borderId="52" fillId="4" fontId="92" numFmtId="0" xfId="0" applyAlignment="1" applyBorder="1" applyFont="1">
      <alignment horizontal="left" shrinkToFit="0" wrapText="1"/>
    </xf>
    <xf borderId="55" fillId="0" fontId="96" numFmtId="175" xfId="0" applyAlignment="1" applyBorder="1" applyFont="1" applyNumberFormat="1">
      <alignment shrinkToFit="0" wrapText="1"/>
    </xf>
    <xf borderId="44" fillId="0" fontId="94" numFmtId="0" xfId="0" applyAlignment="1" applyBorder="1" applyFont="1">
      <alignment horizontal="center" shrinkToFit="0" vertical="center" wrapText="1"/>
    </xf>
    <xf borderId="44" fillId="0" fontId="94" numFmtId="0" xfId="0" applyAlignment="1" applyBorder="1" applyFont="1">
      <alignment horizontal="left" shrinkToFit="0" vertical="center" wrapText="1"/>
    </xf>
    <xf borderId="45" fillId="0" fontId="71" numFmtId="0" xfId="0" applyAlignment="1" applyBorder="1" applyFont="1">
      <alignment shrinkToFit="0" vertical="center" wrapText="1"/>
    </xf>
    <xf borderId="45" fillId="16" fontId="99" numFmtId="175" xfId="0" applyAlignment="1" applyBorder="1" applyFont="1" applyNumberFormat="1">
      <alignment shrinkToFit="0" vertical="center" wrapText="1"/>
    </xf>
    <xf borderId="45" fillId="16" fontId="100" numFmtId="175" xfId="0" applyAlignment="1" applyBorder="1" applyFont="1" applyNumberFormat="1">
      <alignment shrinkToFit="0" vertical="center" wrapText="1"/>
    </xf>
    <xf borderId="45" fillId="4" fontId="72" numFmtId="0" xfId="0" applyAlignment="1" applyBorder="1" applyFont="1">
      <alignment horizontal="left" readingOrder="0" shrinkToFit="0" vertical="center" wrapText="1"/>
    </xf>
    <xf borderId="29" fillId="0" fontId="101" numFmtId="167" xfId="0" applyAlignment="1" applyBorder="1" applyFont="1" applyNumberFormat="1">
      <alignment shrinkToFit="0" vertical="center" wrapText="1"/>
    </xf>
    <xf borderId="44" fillId="0" fontId="94" numFmtId="0" xfId="0" applyAlignment="1" applyBorder="1" applyFont="1">
      <alignment horizontal="left" readingOrder="0" shrinkToFit="0" vertical="center" wrapText="1"/>
    </xf>
    <xf borderId="45" fillId="16" fontId="99" numFmtId="3" xfId="0" applyAlignment="1" applyBorder="1" applyFont="1" applyNumberFormat="1">
      <alignment shrinkToFit="0" vertical="center" wrapText="1"/>
    </xf>
    <xf borderId="45" fillId="16" fontId="100" numFmtId="3" xfId="0" applyAlignment="1" applyBorder="1" applyFont="1" applyNumberFormat="1">
      <alignment shrinkToFit="0" vertical="center" wrapText="1"/>
    </xf>
    <xf borderId="29" fillId="0" fontId="101" numFmtId="9" xfId="0" applyAlignment="1" applyBorder="1" applyFont="1" applyNumberFormat="1">
      <alignment shrinkToFit="0" vertical="center" wrapText="1"/>
    </xf>
    <xf borderId="45" fillId="4" fontId="102" numFmtId="0" xfId="0" applyAlignment="1" applyBorder="1" applyFont="1">
      <alignment horizontal="left" shrinkToFit="0" vertical="center" wrapText="1"/>
    </xf>
    <xf borderId="29" fillId="0" fontId="101" numFmtId="175" xfId="0" applyAlignment="1" applyBorder="1" applyFont="1" applyNumberFormat="1">
      <alignment shrinkToFit="0" vertical="center" wrapText="1"/>
    </xf>
    <xf borderId="45" fillId="4" fontId="103" numFmtId="0" xfId="0" applyAlignment="1" applyBorder="1" applyFont="1">
      <alignment horizontal="left" shrinkToFit="0" vertical="center" wrapText="1"/>
    </xf>
    <xf borderId="35" fillId="17" fontId="95" numFmtId="0" xfId="0" applyAlignment="1" applyBorder="1" applyFont="1">
      <alignment horizontal="center" readingOrder="0" vertical="center"/>
    </xf>
    <xf borderId="46" fillId="4" fontId="102" numFmtId="0" xfId="0" applyAlignment="1" applyBorder="1" applyFont="1">
      <alignment horizontal="left" shrinkToFit="0" vertical="center" wrapText="1"/>
    </xf>
    <xf borderId="56" fillId="0" fontId="104" numFmtId="167" xfId="0" applyAlignment="1" applyBorder="1" applyFont="1" applyNumberFormat="1">
      <alignment shrinkToFit="0" vertical="center" wrapText="1"/>
    </xf>
    <xf borderId="52" fillId="4" fontId="92" numFmtId="0" xfId="0" applyAlignment="1" applyBorder="1" applyFont="1">
      <alignment horizontal="left" readingOrder="0" shrinkToFit="0" wrapText="1"/>
    </xf>
    <xf borderId="56" fillId="0" fontId="104" numFmtId="175" xfId="0" applyAlignment="1" applyBorder="1" applyFont="1" applyNumberFormat="1">
      <alignment shrinkToFit="0" vertical="center" wrapText="1"/>
    </xf>
    <xf borderId="48" fillId="4" fontId="102" numFmtId="0" xfId="0" applyAlignment="1" applyBorder="1" applyFont="1">
      <alignment horizontal="left" shrinkToFit="0" vertical="center" wrapText="1"/>
    </xf>
    <xf borderId="51" fillId="0" fontId="101" numFmtId="167" xfId="0" applyAlignment="1" applyBorder="1" applyFont="1" applyNumberFormat="1">
      <alignment shrinkToFit="0" vertical="center" wrapText="1"/>
    </xf>
    <xf borderId="54" fillId="2" fontId="105" numFmtId="0" xfId="0" applyAlignment="1" applyBorder="1" applyFont="1">
      <alignment horizontal="left" shrinkToFit="0" wrapText="1"/>
    </xf>
    <xf borderId="57" fillId="4" fontId="92" numFmtId="0" xfId="0" applyAlignment="1" applyBorder="1" applyFont="1">
      <alignment horizontal="left" readingOrder="0" shrinkToFit="0" wrapText="1"/>
    </xf>
    <xf borderId="57" fillId="0" fontId="96" numFmtId="175" xfId="0" applyAlignment="1" applyBorder="1" applyFont="1" applyNumberFormat="1">
      <alignment shrinkToFit="0" wrapText="1"/>
    </xf>
    <xf borderId="58" fillId="0" fontId="94" numFmtId="0" xfId="0" applyAlignment="1" applyBorder="1" applyFont="1">
      <alignment horizontal="center" shrinkToFit="0" vertical="center" wrapText="1"/>
    </xf>
    <xf borderId="45" fillId="2" fontId="106" numFmtId="0" xfId="0" applyAlignment="1" applyBorder="1" applyFont="1">
      <alignment readingOrder="0" shrinkToFit="0" vertical="center" wrapText="1"/>
    </xf>
    <xf borderId="57" fillId="4" fontId="102" numFmtId="0" xfId="0" applyAlignment="1" applyBorder="1" applyFont="1">
      <alignment horizontal="left" shrinkToFit="0" vertical="center" wrapText="1"/>
    </xf>
    <xf borderId="57" fillId="0" fontId="101" numFmtId="167" xfId="0" applyAlignment="1" applyBorder="1" applyFont="1" applyNumberFormat="1">
      <alignment shrinkToFit="0" vertical="center" wrapText="1"/>
    </xf>
    <xf borderId="57" fillId="0" fontId="101" numFmtId="4" xfId="0" applyAlignment="1" applyBorder="1" applyFont="1" applyNumberFormat="1">
      <alignment shrinkToFit="0" vertical="center" wrapText="1"/>
    </xf>
    <xf borderId="57" fillId="4" fontId="72" numFmtId="0" xfId="0" applyAlignment="1" applyBorder="1" applyFont="1">
      <alignment horizontal="left" readingOrder="0" shrinkToFit="0" vertical="center" wrapText="1"/>
    </xf>
    <xf borderId="57" fillId="4" fontId="103" numFmtId="0" xfId="0" applyAlignment="1" applyBorder="1" applyFont="1">
      <alignment horizontal="left" shrinkToFit="0" vertical="center" wrapText="1"/>
    </xf>
    <xf borderId="57" fillId="0" fontId="101" numFmtId="175" xfId="0" applyAlignment="1" applyBorder="1" applyFont="1" applyNumberFormat="1">
      <alignment shrinkToFit="0" vertical="center" wrapText="1"/>
    </xf>
    <xf borderId="45" fillId="2" fontId="106" numFmtId="0" xfId="0" applyAlignment="1" applyBorder="1" applyFont="1">
      <alignment shrinkToFit="0" vertical="center" wrapText="1"/>
    </xf>
    <xf borderId="57" fillId="0" fontId="101" numFmtId="9" xfId="0" applyAlignment="1" applyBorder="1" applyFont="1" applyNumberFormat="1">
      <alignment shrinkToFit="0" vertical="center" wrapText="1"/>
    </xf>
    <xf borderId="0" fillId="17" fontId="92" numFmtId="175" xfId="0" applyFont="1" applyNumberFormat="1"/>
    <xf borderId="57" fillId="0" fontId="101" numFmtId="0" xfId="0" applyAlignment="1" applyBorder="1" applyFont="1">
      <alignment shrinkToFit="0" vertical="center" wrapText="1"/>
    </xf>
    <xf borderId="57" fillId="18" fontId="107" numFmtId="0" xfId="0" applyAlignment="1" applyBorder="1" applyFill="1" applyFont="1">
      <alignment horizontal="left" shrinkToFit="0" wrapText="1"/>
    </xf>
    <xf borderId="57" fillId="18" fontId="96" numFmtId="169" xfId="0" applyAlignment="1" applyBorder="1" applyFont="1" applyNumberFormat="1">
      <alignment shrinkToFit="0" wrapText="1"/>
    </xf>
    <xf borderId="58" fillId="18" fontId="94" numFmtId="0" xfId="0" applyAlignment="1" applyBorder="1" applyFont="1">
      <alignment horizontal="center" shrinkToFit="0" vertical="center" wrapText="1"/>
    </xf>
    <xf borderId="44" fillId="18" fontId="94" numFmtId="0" xfId="0" applyAlignment="1" applyBorder="1" applyFont="1">
      <alignment horizontal="left" shrinkToFit="0" vertical="center" wrapText="1"/>
    </xf>
    <xf borderId="57" fillId="18" fontId="102" numFmtId="0" xfId="0" applyAlignment="1" applyBorder="1" applyFont="1">
      <alignment horizontal="left" shrinkToFit="0" vertical="center" wrapText="1"/>
    </xf>
    <xf borderId="57" fillId="18" fontId="101" numFmtId="167" xfId="0" applyAlignment="1" applyBorder="1" applyFont="1" applyNumberFormat="1">
      <alignment shrinkToFit="0" vertical="center" wrapText="1"/>
    </xf>
    <xf borderId="57" fillId="18" fontId="101" numFmtId="4" xfId="0" applyAlignment="1" applyBorder="1" applyFont="1" applyNumberFormat="1">
      <alignment shrinkToFit="0" vertical="center" wrapText="1"/>
    </xf>
    <xf borderId="44" fillId="18" fontId="94" numFmtId="0" xfId="0" applyAlignment="1" applyBorder="1" applyFont="1">
      <alignment horizontal="left" readingOrder="0" shrinkToFit="0" vertical="center" wrapText="1"/>
    </xf>
    <xf borderId="57" fillId="18" fontId="72" numFmtId="0" xfId="0" applyAlignment="1" applyBorder="1" applyFont="1">
      <alignment horizontal="left" readingOrder="0" shrinkToFit="0" vertical="center" wrapText="1"/>
    </xf>
    <xf borderId="57" fillId="18" fontId="101" numFmtId="168" xfId="0" applyAlignment="1" applyBorder="1" applyFont="1" applyNumberFormat="1">
      <alignment shrinkToFit="0" vertical="center" wrapText="1"/>
    </xf>
    <xf borderId="57" fillId="18" fontId="103" numFmtId="0" xfId="0" applyAlignment="1" applyBorder="1" applyFont="1">
      <alignment horizontal="left" shrinkToFit="0" vertical="center" wrapText="1"/>
    </xf>
    <xf borderId="57" fillId="18" fontId="101" numFmtId="169" xfId="0" applyAlignment="1" applyBorder="1" applyFont="1" applyNumberFormat="1">
      <alignment shrinkToFit="0" vertical="center" wrapText="1"/>
    </xf>
    <xf borderId="57" fillId="18" fontId="101" numFmtId="9" xfId="0" applyAlignment="1" applyBorder="1" applyFont="1" applyNumberFormat="1">
      <alignment shrinkToFit="0" vertical="center" wrapText="1"/>
    </xf>
    <xf borderId="0" fillId="0" fontId="78" numFmtId="0" xfId="0" applyAlignment="1" applyFont="1">
      <alignment readingOrder="0" shrinkToFit="0" wrapText="1"/>
    </xf>
    <xf borderId="36" fillId="19" fontId="108" numFmtId="0" xfId="0" applyAlignment="1" applyBorder="1" applyFill="1" applyFont="1">
      <alignment horizontal="center" vertical="center"/>
    </xf>
    <xf borderId="25" fillId="19" fontId="108" numFmtId="0" xfId="0" applyAlignment="1" applyBorder="1" applyFont="1">
      <alignment horizontal="center" vertical="center"/>
    </xf>
    <xf borderId="59" fillId="19" fontId="108" numFmtId="0" xfId="0" applyAlignment="1" applyBorder="1" applyFont="1">
      <alignment horizontal="center" vertical="center"/>
    </xf>
    <xf borderId="0" fillId="0" fontId="109" numFmtId="0" xfId="0" applyAlignment="1" applyFont="1">
      <alignment shrinkToFit="0" wrapText="1"/>
    </xf>
    <xf borderId="57" fillId="18" fontId="104" numFmtId="3" xfId="0" applyAlignment="1" applyBorder="1" applyFont="1" applyNumberFormat="1">
      <alignment shrinkToFit="0" vertical="center" wrapText="1"/>
    </xf>
    <xf borderId="60" fillId="19" fontId="110" numFmtId="0" xfId="0" applyAlignment="1" applyBorder="1" applyFont="1">
      <alignment horizontal="left" shrinkToFit="0" wrapText="1"/>
    </xf>
    <xf borderId="61" fillId="19" fontId="111" numFmtId="0" xfId="0" applyAlignment="1" applyBorder="1" applyFont="1">
      <alignment horizontal="left" shrinkToFit="0" wrapText="1"/>
    </xf>
    <xf borderId="62" fillId="19" fontId="111" numFmtId="0" xfId="0" applyAlignment="1" applyBorder="1" applyFont="1">
      <alignment horizontal="left" shrinkToFit="0" wrapText="1"/>
    </xf>
    <xf borderId="0" fillId="0" fontId="109" numFmtId="3" xfId="0" applyAlignment="1" applyFont="1" applyNumberFormat="1">
      <alignment shrinkToFit="0" wrapText="1"/>
    </xf>
    <xf borderId="45" fillId="19" fontId="112" numFmtId="0" xfId="0" applyAlignment="1" applyBorder="1" applyFont="1">
      <alignment shrinkToFit="0" vertical="center" wrapText="1"/>
    </xf>
    <xf borderId="45" fillId="19" fontId="111" numFmtId="3" xfId="0" applyAlignment="1" applyBorder="1" applyFont="1" applyNumberFormat="1">
      <alignment shrinkToFit="0" vertical="center" wrapText="1"/>
    </xf>
    <xf borderId="45" fillId="19" fontId="112" numFmtId="3" xfId="0" applyAlignment="1" applyBorder="1" applyFont="1" applyNumberFormat="1">
      <alignment shrinkToFit="0" vertical="center" wrapText="1"/>
    </xf>
    <xf borderId="45" fillId="19" fontId="111" numFmtId="175" xfId="0" applyAlignment="1" applyBorder="1" applyFont="1" applyNumberFormat="1">
      <alignment shrinkToFit="0" vertical="center" wrapText="1"/>
    </xf>
    <xf borderId="45" fillId="19" fontId="112" numFmtId="175" xfId="0" applyAlignment="1" applyBorder="1" applyFont="1" applyNumberFormat="1">
      <alignment shrinkToFit="0" vertical="center" wrapText="1"/>
    </xf>
    <xf borderId="57" fillId="0" fontId="101" numFmtId="169" xfId="0" applyAlignment="1" applyBorder="1" applyFont="1" applyNumberFormat="1">
      <alignment shrinkToFit="0" vertical="center" wrapText="1"/>
    </xf>
    <xf borderId="0" fillId="0" fontId="78" numFmtId="176" xfId="0" applyAlignment="1" applyFont="1" applyNumberFormat="1">
      <alignment shrinkToFit="0" wrapText="1"/>
    </xf>
    <xf borderId="57" fillId="18" fontId="96" numFmtId="175" xfId="0" applyAlignment="1" applyBorder="1" applyFont="1" applyNumberFormat="1">
      <alignment shrinkToFit="0" wrapText="1"/>
    </xf>
    <xf borderId="60" fillId="19" fontId="110" numFmtId="0" xfId="0" applyAlignment="1" applyBorder="1" applyFont="1">
      <alignment horizontal="left" readingOrder="0" shrinkToFit="0" wrapText="1"/>
    </xf>
    <xf borderId="0" fillId="0" fontId="78" numFmtId="175" xfId="0" applyAlignment="1" applyFont="1" applyNumberFormat="1">
      <alignment shrinkToFit="0" wrapText="1"/>
    </xf>
    <xf borderId="57" fillId="18" fontId="101" numFmtId="175" xfId="0" applyAlignment="1" applyBorder="1" applyFont="1" applyNumberFormat="1">
      <alignment shrinkToFit="0" vertical="center" wrapText="1"/>
    </xf>
    <xf borderId="0" fillId="18" fontId="80" numFmtId="0" xfId="0" applyFont="1"/>
    <xf borderId="57" fillId="18" fontId="101" numFmtId="177" xfId="0" applyAlignment="1" applyBorder="1" applyFont="1" applyNumberFormat="1">
      <alignment shrinkToFit="0" vertical="center" wrapText="1"/>
    </xf>
    <xf borderId="57" fillId="18" fontId="101" numFmtId="3" xfId="0" applyAlignment="1" applyBorder="1" applyFont="1" applyNumberFormat="1">
      <alignment shrinkToFit="0" vertical="center" wrapText="1"/>
    </xf>
    <xf borderId="63" fillId="4" fontId="113" numFmtId="0" xfId="0" applyAlignment="1" applyBorder="1" applyFont="1">
      <alignment horizontal="left" shrinkToFit="0" wrapText="1"/>
    </xf>
    <xf borderId="63" fillId="0" fontId="114" numFmtId="0" xfId="0" applyAlignment="1" applyBorder="1" applyFont="1">
      <alignment horizontal="center" shrinkToFit="0" wrapText="1"/>
    </xf>
    <xf borderId="45" fillId="19" fontId="111" numFmtId="176" xfId="0" applyAlignment="1" applyBorder="1" applyFont="1" applyNumberFormat="1">
      <alignment shrinkToFit="0" vertical="center" wrapText="1"/>
    </xf>
    <xf borderId="45" fillId="19" fontId="112" numFmtId="176" xfId="0" applyAlignment="1" applyBorder="1" applyFont="1" applyNumberFormat="1">
      <alignment shrinkToFit="0" vertical="center" wrapText="1"/>
    </xf>
    <xf borderId="52" fillId="4" fontId="115" numFmtId="0" xfId="0" applyAlignment="1" applyBorder="1" applyFont="1">
      <alignment horizontal="left" readingOrder="0" shrinkToFit="0" wrapText="1"/>
    </xf>
    <xf borderId="63" fillId="4" fontId="92" numFmtId="0" xfId="0" applyAlignment="1" applyBorder="1" applyFont="1">
      <alignment horizontal="left" readingOrder="0" shrinkToFit="0" wrapText="1"/>
    </xf>
    <xf borderId="0" fillId="0" fontId="116" numFmtId="175" xfId="0" applyAlignment="1" applyFont="1" applyNumberFormat="1">
      <alignment shrinkToFit="0" wrapText="1"/>
    </xf>
    <xf borderId="0" fillId="0" fontId="117" numFmtId="0" xfId="0" applyAlignment="1" applyFont="1">
      <alignment readingOrder="0" shrinkToFit="0" wrapText="1"/>
    </xf>
    <xf borderId="55" fillId="0" fontId="118" numFmtId="175" xfId="0" applyAlignment="1" applyBorder="1" applyFont="1" applyNumberFormat="1">
      <alignment shrinkToFit="0" wrapText="1"/>
    </xf>
    <xf borderId="61" fillId="19" fontId="111" numFmtId="175" xfId="0" applyAlignment="1" applyBorder="1" applyFont="1" applyNumberFormat="1">
      <alignment horizontal="left" shrinkToFit="0" wrapText="1"/>
    </xf>
    <xf borderId="62" fillId="19" fontId="111" numFmtId="175" xfId="0" applyAlignment="1" applyBorder="1" applyFont="1" applyNumberFormat="1">
      <alignment horizontal="left" shrinkToFit="0" wrapText="1"/>
    </xf>
    <xf borderId="46" fillId="4" fontId="72" numFmtId="0" xfId="0" applyAlignment="1" applyBorder="1" applyFont="1">
      <alignment horizontal="left" readingOrder="0" shrinkToFit="0" vertical="center" wrapText="1"/>
    </xf>
    <xf borderId="51" fillId="0" fontId="101" numFmtId="3" xfId="0" applyAlignment="1" applyBorder="1" applyFont="1" applyNumberFormat="1">
      <alignment shrinkToFit="0" vertical="center" wrapText="1"/>
    </xf>
    <xf borderId="0" fillId="0" fontId="117" numFmtId="3" xfId="0" applyAlignment="1" applyFont="1" applyNumberFormat="1">
      <alignment shrinkToFit="0" wrapText="1"/>
    </xf>
    <xf borderId="0" fillId="19" fontId="119" numFmtId="0" xfId="0" applyAlignment="1" applyFont="1">
      <alignment horizontal="right" readingOrder="0"/>
    </xf>
    <xf borderId="0" fillId="19" fontId="120" numFmtId="175" xfId="0" applyFont="1" applyNumberFormat="1"/>
    <xf borderId="0" fillId="0" fontId="109" numFmtId="175" xfId="0" applyAlignment="1" applyFont="1" applyNumberFormat="1">
      <alignment shrinkToFit="0" wrapText="1"/>
    </xf>
    <xf borderId="0" fillId="19" fontId="120" numFmtId="0" xfId="0" applyFont="1"/>
    <xf borderId="61" fillId="19" fontId="111" numFmtId="0" xfId="0" applyAlignment="1" applyBorder="1" applyFont="1">
      <alignment horizontal="left" readingOrder="0" shrinkToFit="0" wrapText="1"/>
    </xf>
    <xf borderId="62" fillId="19" fontId="111" numFmtId="0" xfId="0" applyAlignment="1" applyBorder="1" applyFont="1">
      <alignment horizontal="left" readingOrder="0" shrinkToFit="0" wrapText="1"/>
    </xf>
    <xf borderId="45" fillId="19" fontId="112" numFmtId="0" xfId="0" applyAlignment="1" applyBorder="1" applyFont="1">
      <alignment readingOrder="0" shrinkToFit="0" vertical="center" wrapText="1"/>
    </xf>
    <xf borderId="46" fillId="4" fontId="102" numFmtId="0" xfId="0" applyAlignment="1" applyBorder="1" applyFont="1">
      <alignment horizontal="left" readingOrder="0" shrinkToFit="0" vertical="center" wrapText="1"/>
    </xf>
    <xf borderId="51" fillId="0" fontId="104" numFmtId="3" xfId="0" applyAlignment="1" applyBorder="1" applyFont="1" applyNumberFormat="1">
      <alignment shrinkToFit="0" vertical="center" wrapText="1"/>
    </xf>
    <xf borderId="9" fillId="0" fontId="96" numFmtId="175" xfId="0" applyAlignment="1" applyBorder="1" applyFont="1" applyNumberFormat="1">
      <alignment shrinkToFit="0" wrapText="1"/>
    </xf>
    <xf borderId="52" fillId="4" fontId="107" numFmtId="0" xfId="0" applyAlignment="1" applyBorder="1" applyFont="1">
      <alignment horizontal="left" shrinkToFit="0" wrapText="1"/>
    </xf>
    <xf borderId="0" fillId="0" fontId="117" numFmtId="1" xfId="0" applyAlignment="1" applyFont="1" applyNumberFormat="1">
      <alignment shrinkToFit="0" wrapText="1"/>
    </xf>
    <xf borderId="0" fillId="0" fontId="118" numFmtId="3" xfId="0" applyAlignment="1" applyFont="1" applyNumberFormat="1">
      <alignment shrinkToFit="0" wrapText="1"/>
    </xf>
    <xf borderId="0" fillId="0" fontId="80" numFmtId="169" xfId="0" applyFont="1" applyNumberFormat="1"/>
    <xf borderId="55" fillId="0" fontId="118" numFmtId="4" xfId="0" applyAlignment="1" applyBorder="1" applyFont="1" applyNumberFormat="1">
      <alignment shrinkToFit="0" wrapText="1"/>
    </xf>
    <xf borderId="0" fillId="0" fontId="117" numFmtId="0" xfId="0" applyAlignment="1" applyFont="1">
      <alignment shrinkToFit="0" wrapText="1"/>
    </xf>
    <xf borderId="29" fillId="0" fontId="104" numFmtId="175" xfId="0" applyAlignment="1" applyBorder="1" applyFont="1" applyNumberFormat="1">
      <alignment shrinkToFit="0" vertical="center" wrapText="1"/>
    </xf>
    <xf borderId="29" fillId="0" fontId="101" numFmtId="3" xfId="0" applyAlignment="1" applyBorder="1" applyFont="1" applyNumberFormat="1">
      <alignment shrinkToFit="0" vertical="center" wrapText="1"/>
    </xf>
    <xf borderId="56" fillId="0" fontId="101" numFmtId="168" xfId="0" applyAlignment="1" applyBorder="1" applyFont="1" applyNumberFormat="1">
      <alignment shrinkToFit="0" vertical="center" wrapText="1"/>
    </xf>
    <xf borderId="29" fillId="0" fontId="101" numFmtId="168" xfId="0" applyAlignment="1" applyBorder="1" applyFont="1" applyNumberFormat="1">
      <alignment shrinkToFit="0" vertical="center" wrapText="1"/>
    </xf>
    <xf borderId="64" fillId="4" fontId="102" numFmtId="0" xfId="0" applyAlignment="1" applyBorder="1" applyFont="1">
      <alignment horizontal="left" shrinkToFit="0" vertical="center" wrapText="1"/>
    </xf>
    <xf borderId="65" fillId="0" fontId="118" numFmtId="175" xfId="0" applyAlignment="1" applyBorder="1" applyFont="1" applyNumberFormat="1">
      <alignment shrinkToFit="0" wrapText="1"/>
    </xf>
    <xf borderId="65" fillId="0" fontId="118" numFmtId="10" xfId="0" applyAlignment="1" applyBorder="1" applyFont="1" applyNumberFormat="1">
      <alignment shrinkToFit="0" wrapText="1"/>
    </xf>
    <xf borderId="65" fillId="0" fontId="101" numFmtId="169" xfId="0" applyAlignment="1" applyBorder="1" applyFont="1" applyNumberFormat="1">
      <alignment shrinkToFit="0" vertical="center" wrapText="1"/>
    </xf>
    <xf borderId="66" fillId="4" fontId="72" numFmtId="0" xfId="0" applyAlignment="1" applyBorder="1" applyFont="1">
      <alignment horizontal="left" readingOrder="0" shrinkToFit="0" vertical="center" wrapText="1"/>
    </xf>
    <xf borderId="65" fillId="0" fontId="101" numFmtId="4" xfId="0" applyAlignment="1" applyBorder="1" applyFont="1" applyNumberFormat="1">
      <alignment shrinkToFit="0" vertical="center" wrapText="1"/>
    </xf>
    <xf borderId="65" fillId="0" fontId="104" numFmtId="175" xfId="0" applyAlignment="1" applyBorder="1" applyFont="1" applyNumberFormat="1">
      <alignment shrinkToFit="0" vertical="center" wrapText="1"/>
    </xf>
    <xf borderId="65" fillId="0" fontId="101" numFmtId="3" xfId="0" applyAlignment="1" applyBorder="1" applyFont="1" applyNumberFormat="1">
      <alignment shrinkToFit="0" vertical="center" wrapText="1"/>
    </xf>
    <xf borderId="64" fillId="4" fontId="72" numFmtId="0" xfId="0" applyAlignment="1" applyBorder="1" applyFont="1">
      <alignment horizontal="left" readingOrder="0" shrinkToFit="0" vertical="center" wrapText="1"/>
    </xf>
    <xf borderId="65" fillId="0" fontId="101" numFmtId="175" xfId="0" applyAlignment="1" applyBorder="1" applyFont="1" applyNumberFormat="1">
      <alignment shrinkToFit="0" vertical="center" wrapText="1"/>
    </xf>
    <xf borderId="64" fillId="4" fontId="103" numFmtId="0" xfId="0" applyAlignment="1" applyBorder="1" applyFont="1">
      <alignment horizontal="left" shrinkToFit="0" vertical="center" wrapText="1"/>
    </xf>
    <xf borderId="65" fillId="0" fontId="118" numFmtId="9" xfId="0" applyAlignment="1" applyBorder="1" applyFont="1" applyNumberFormat="1">
      <alignment shrinkToFit="0" wrapText="1"/>
    </xf>
    <xf borderId="63" fillId="4" fontId="90" numFmtId="0" xfId="0" applyAlignment="1" applyBorder="1" applyFont="1">
      <alignment horizontal="left" readingOrder="0" shrinkToFit="0" wrapText="1"/>
    </xf>
    <xf borderId="63" fillId="2" fontId="114" numFmtId="0" xfId="0" applyAlignment="1" applyBorder="1" applyFont="1">
      <alignment horizontal="center" shrinkToFit="0" wrapText="1"/>
    </xf>
    <xf borderId="52" fillId="18" fontId="90" numFmtId="0" xfId="0" applyAlignment="1" applyBorder="1" applyFont="1">
      <alignment horizontal="center" shrinkToFit="0" wrapText="1"/>
    </xf>
    <xf borderId="52" fillId="4" fontId="22" numFmtId="0" xfId="0" applyAlignment="1" applyBorder="1" applyFont="1">
      <alignment horizontal="left" readingOrder="0" shrinkToFit="0" wrapText="1"/>
    </xf>
    <xf borderId="0" fillId="2" fontId="93" numFmtId="175" xfId="0" applyAlignment="1" applyFont="1" applyNumberFormat="1">
      <alignment shrinkToFit="0" wrapText="1"/>
    </xf>
    <xf borderId="44" fillId="18" fontId="94" numFmtId="0" xfId="0" applyAlignment="1" applyBorder="1" applyFont="1">
      <alignment horizontal="center" shrinkToFit="0" vertical="center" wrapText="1"/>
    </xf>
    <xf borderId="44" fillId="2" fontId="94" numFmtId="0" xfId="0" applyAlignment="1" applyBorder="1" applyFont="1">
      <alignment horizontal="left" shrinkToFit="0" vertical="center" wrapText="1"/>
    </xf>
    <xf borderId="0" fillId="2" fontId="96" numFmtId="175" xfId="0" applyAlignment="1" applyFont="1" applyNumberFormat="1">
      <alignment shrinkToFit="0" wrapText="1"/>
    </xf>
    <xf borderId="55" fillId="2" fontId="118" numFmtId="175" xfId="0" applyAlignment="1" applyBorder="1" applyFont="1" applyNumberFormat="1">
      <alignment shrinkToFit="0" wrapText="1"/>
    </xf>
    <xf borderId="29" fillId="2" fontId="101" numFmtId="167" xfId="0" applyAlignment="1" applyBorder="1" applyFont="1" applyNumberFormat="1">
      <alignment shrinkToFit="0" vertical="center" wrapText="1"/>
    </xf>
    <xf borderId="44" fillId="2" fontId="94" numFmtId="0" xfId="0" applyAlignment="1" applyBorder="1" applyFont="1">
      <alignment horizontal="left" readingOrder="0" shrinkToFit="0" vertical="center" wrapText="1"/>
    </xf>
    <xf borderId="29" fillId="2" fontId="101" numFmtId="9" xfId="0" applyAlignment="1" applyBorder="1" applyFont="1" applyNumberFormat="1">
      <alignment shrinkToFit="0" vertical="center" wrapText="1"/>
    </xf>
    <xf borderId="29" fillId="2" fontId="101" numFmtId="176" xfId="0" applyAlignment="1" applyBorder="1" applyFont="1" applyNumberFormat="1">
      <alignment shrinkToFit="0" vertical="center" wrapText="1"/>
    </xf>
    <xf borderId="29" fillId="2" fontId="101" numFmtId="175" xfId="0" applyAlignment="1" applyBorder="1" applyFont="1" applyNumberFormat="1">
      <alignment shrinkToFit="0" vertical="center" wrapText="1"/>
    </xf>
    <xf borderId="56" fillId="2" fontId="104" numFmtId="175" xfId="0" applyAlignment="1" applyBorder="1" applyFont="1" applyNumberFormat="1">
      <alignment shrinkToFit="0" vertical="center" wrapText="1"/>
    </xf>
    <xf borderId="51" fillId="2" fontId="101" numFmtId="3" xfId="0" applyAlignment="1" applyBorder="1" applyFont="1" applyNumberFormat="1">
      <alignment shrinkToFit="0" vertical="center" wrapText="1"/>
    </xf>
    <xf borderId="55" fillId="2" fontId="96" numFmtId="175" xfId="0" applyAlignment="1" applyBorder="1" applyFont="1" applyNumberFormat="1">
      <alignment shrinkToFit="0" wrapText="1"/>
    </xf>
    <xf borderId="44" fillId="2" fontId="94" numFmtId="0" xfId="0" applyAlignment="1" applyBorder="1" applyFont="1">
      <alignment horizontal="center" shrinkToFit="0" vertical="center" wrapText="1"/>
    </xf>
    <xf borderId="45" fillId="4" fontId="98" numFmtId="0" xfId="0" applyAlignment="1" applyBorder="1" applyFont="1">
      <alignment horizontal="left" readingOrder="0" shrinkToFit="0" vertical="center" wrapText="1"/>
    </xf>
    <xf borderId="58" fillId="2" fontId="94" numFmtId="0" xfId="0" applyAlignment="1" applyBorder="1" applyFont="1">
      <alignment horizontal="center" shrinkToFit="0" vertical="center" wrapText="1"/>
    </xf>
    <xf borderId="0" fillId="2" fontId="118" numFmtId="3" xfId="0" applyAlignment="1" applyFont="1" applyNumberFormat="1">
      <alignment shrinkToFit="0" wrapText="1"/>
    </xf>
    <xf borderId="29" fillId="2" fontId="101" numFmtId="3" xfId="0" applyAlignment="1" applyBorder="1" applyFont="1" applyNumberFormat="1">
      <alignment shrinkToFit="0" vertical="center" wrapText="1"/>
    </xf>
    <xf borderId="29" fillId="2" fontId="104" numFmtId="175" xfId="0" applyAlignment="1" applyBorder="1" applyFont="1" applyNumberFormat="1">
      <alignment shrinkToFit="0" vertical="center" wrapText="1"/>
    </xf>
    <xf borderId="52" fillId="4" fontId="113" numFmtId="0" xfId="0" applyAlignment="1" applyBorder="1" applyFont="1">
      <alignment horizontal="left" readingOrder="0" shrinkToFit="0" wrapText="1"/>
    </xf>
    <xf borderId="65" fillId="0" fontId="101" numFmtId="168" xfId="0" applyAlignment="1" applyBorder="1" applyFont="1" applyNumberFormat="1">
      <alignment shrinkToFit="0" vertical="center" wrapText="1"/>
    </xf>
    <xf borderId="55" fillId="17" fontId="90" numFmtId="0" xfId="0" applyAlignment="1" applyBorder="1" applyFont="1">
      <alignment horizontal="center" shrinkToFit="0" wrapText="1"/>
    </xf>
    <xf borderId="65" fillId="0" fontId="101" numFmtId="10" xfId="0" applyAlignment="1" applyBorder="1" applyFont="1" applyNumberFormat="1">
      <alignment shrinkToFit="0" vertical="center" wrapText="1"/>
    </xf>
    <xf borderId="65" fillId="0" fontId="101" numFmtId="9" xfId="0" applyAlignment="1" applyBorder="1" applyFont="1" applyNumberFormat="1">
      <alignment shrinkToFit="0" vertical="center" wrapText="1"/>
    </xf>
    <xf borderId="66" fillId="4" fontId="102" numFmtId="0" xfId="0" applyAlignment="1" applyBorder="1" applyFont="1">
      <alignment horizontal="left" shrinkToFit="0" vertical="center" wrapText="1"/>
    </xf>
    <xf quotePrefix="1" borderId="44" fillId="0" fontId="94" numFmtId="0" xfId="0" applyAlignment="1" applyBorder="1" applyFont="1">
      <alignment horizontal="left" shrinkToFit="0" vertical="center" wrapText="1"/>
    </xf>
    <xf borderId="65" fillId="0" fontId="101" numFmtId="168" xfId="0" applyAlignment="1" applyBorder="1" applyFont="1" applyNumberFormat="1">
      <alignment readingOrder="0" shrinkToFit="0" vertical="center" wrapText="1"/>
    </xf>
    <xf borderId="52" fillId="4" fontId="113" numFmtId="0" xfId="0" applyAlignment="1" applyBorder="1" applyFont="1">
      <alignment horizontal="left" shrinkToFit="0" wrapText="1"/>
    </xf>
    <xf borderId="65" fillId="0" fontId="101" numFmtId="165" xfId="0" applyAlignment="1" applyBorder="1" applyFont="1" applyNumberFormat="1">
      <alignment shrinkToFit="0" vertical="center" wrapText="1"/>
    </xf>
    <xf borderId="0" fillId="4" fontId="107" numFmtId="0" xfId="0" applyAlignment="1" applyFont="1">
      <alignment horizontal="left" readingOrder="0" shrinkToFit="0" wrapText="1"/>
    </xf>
    <xf borderId="0" fillId="0" fontId="121" numFmtId="0" xfId="0" applyAlignment="1" applyFont="1">
      <alignment horizontal="left" shrinkToFit="0" wrapText="1"/>
    </xf>
    <xf borderId="0" fillId="20" fontId="90" numFmtId="0" xfId="0" applyAlignment="1" applyFill="1" applyFont="1">
      <alignment horizontal="left" shrinkToFit="0" wrapText="1"/>
    </xf>
    <xf borderId="0" fillId="20" fontId="90" numFmtId="0" xfId="0" applyAlignment="1" applyFont="1">
      <alignment horizontal="center" shrinkToFit="0" wrapText="1"/>
    </xf>
    <xf borderId="0" fillId="20" fontId="90" numFmtId="0" xfId="0" applyAlignment="1" applyFont="1">
      <alignment shrinkToFit="0" wrapText="1"/>
    </xf>
    <xf borderId="52" fillId="20" fontId="90" numFmtId="0" xfId="0" applyAlignment="1" applyBorder="1" applyFont="1">
      <alignment horizontal="left" shrinkToFit="0" wrapText="1"/>
    </xf>
    <xf borderId="52" fillId="20" fontId="90" numFmtId="0" xfId="0" applyAlignment="1" applyBorder="1" applyFont="1">
      <alignment horizontal="center" shrinkToFit="0" wrapText="1"/>
    </xf>
    <xf borderId="52" fillId="20" fontId="90" numFmtId="0" xfId="0" applyAlignment="1" applyBorder="1" applyFont="1">
      <alignment shrinkToFit="0" wrapText="1"/>
    </xf>
    <xf borderId="0" fillId="0" fontId="96" numFmtId="165" xfId="0" applyAlignment="1" applyFont="1" applyNumberFormat="1">
      <alignment shrinkToFit="0" wrapText="1"/>
    </xf>
    <xf borderId="29" fillId="0" fontId="101" numFmtId="165" xfId="0" applyAlignment="1" applyBorder="1" applyFont="1" applyNumberFormat="1">
      <alignment shrinkToFit="0" vertical="center" wrapText="1"/>
    </xf>
    <xf borderId="56" fillId="0" fontId="101" numFmtId="165" xfId="0" applyAlignment="1" applyBorder="1" applyFont="1" applyNumberFormat="1">
      <alignment shrinkToFit="0" vertical="center" wrapText="1"/>
    </xf>
    <xf borderId="9" fillId="0" fontId="96" numFmtId="177" xfId="0" applyAlignment="1" applyBorder="1" applyFont="1" applyNumberFormat="1">
      <alignment shrinkToFit="0" wrapText="1"/>
    </xf>
    <xf borderId="55" fillId="0" fontId="118" numFmtId="177" xfId="0" applyAlignment="1" applyBorder="1" applyFont="1" applyNumberFormat="1">
      <alignment shrinkToFit="0" wrapText="1"/>
    </xf>
    <xf borderId="56" fillId="0" fontId="101" numFmtId="0" xfId="0" applyAlignment="1" applyBorder="1" applyFont="1">
      <alignment shrinkToFit="0" vertical="center" wrapText="1"/>
    </xf>
    <xf borderId="52" fillId="0" fontId="114" numFmtId="0" xfId="0" applyAlignment="1" applyBorder="1" applyFont="1">
      <alignment horizontal="center" shrinkToFit="0" wrapText="1"/>
    </xf>
    <xf borderId="0" fillId="0" fontId="93" numFmtId="165" xfId="0" applyAlignment="1" applyFont="1" applyNumberFormat="1">
      <alignment shrinkToFit="0" wrapText="1"/>
    </xf>
    <xf borderId="55" fillId="0" fontId="118" numFmtId="165" xfId="0" applyAlignment="1" applyBorder="1" applyFont="1" applyNumberFormat="1">
      <alignment shrinkToFit="0" wrapText="1"/>
    </xf>
    <xf borderId="56" fillId="0" fontId="101" numFmtId="173" xfId="0" applyAlignment="1" applyBorder="1" applyFont="1" applyNumberFormat="1">
      <alignment shrinkToFit="0" vertical="center" wrapText="1"/>
    </xf>
    <xf borderId="0" fillId="0" fontId="118" numFmtId="165" xfId="0" applyAlignment="1" applyFont="1" applyNumberFormat="1">
      <alignment shrinkToFit="0" wrapText="1"/>
    </xf>
    <xf borderId="0" fillId="0" fontId="80" numFmtId="0" xfId="0" applyAlignment="1" applyFont="1">
      <alignment horizontal="left"/>
    </xf>
    <xf borderId="0" fillId="0" fontId="51" numFmtId="0" xfId="0" applyAlignment="1" applyFont="1">
      <alignment horizontal="left"/>
    </xf>
    <xf borderId="0" fillId="0" fontId="70" numFmtId="0" xfId="0" applyAlignment="1" applyFont="1">
      <alignment shrinkToFit="0" wrapText="1"/>
    </xf>
    <xf borderId="1" fillId="0" fontId="42" numFmtId="0" xfId="0" applyAlignment="1" applyBorder="1" applyFont="1">
      <alignment shrinkToFit="0" wrapText="1"/>
    </xf>
    <xf borderId="1" fillId="0" fontId="70" numFmtId="0" xfId="0" applyAlignment="1" applyBorder="1" applyFont="1">
      <alignment shrinkToFit="0" wrapText="1"/>
    </xf>
    <xf borderId="67" fillId="2" fontId="32" numFmtId="0" xfId="0" applyAlignment="1" applyBorder="1" applyFont="1">
      <alignment shrinkToFit="0" wrapText="0"/>
    </xf>
    <xf borderId="68" fillId="2" fontId="34" numFmtId="0" xfId="0" applyAlignment="1" applyBorder="1" applyFont="1">
      <alignment shrinkToFit="0" wrapText="0"/>
    </xf>
    <xf borderId="2" fillId="15" fontId="70" numFmtId="0" xfId="0" applyAlignment="1" applyBorder="1" applyFont="1">
      <alignment shrinkToFit="0" wrapText="1"/>
    </xf>
    <xf borderId="69" fillId="15" fontId="70" numFmtId="0" xfId="0" applyAlignment="1" applyBorder="1" applyFont="1">
      <alignment shrinkToFit="0" wrapText="1"/>
    </xf>
    <xf borderId="69" fillId="15" fontId="42" numFmtId="165" xfId="0" applyAlignment="1" applyBorder="1" applyFont="1" applyNumberFormat="1">
      <alignment shrinkToFit="0" wrapText="1"/>
    </xf>
    <xf borderId="69" fillId="15" fontId="122" numFmtId="3" xfId="0" applyAlignment="1" applyBorder="1" applyFont="1" applyNumberFormat="1">
      <alignment shrinkToFit="0" wrapText="1"/>
    </xf>
    <xf borderId="1" fillId="0" fontId="123" numFmtId="0" xfId="0" applyAlignment="1" applyBorder="1" applyFont="1">
      <alignment shrinkToFit="0" wrapText="1"/>
    </xf>
    <xf borderId="1" fillId="2" fontId="36" numFmtId="0" xfId="0" applyAlignment="1" applyBorder="1" applyFont="1">
      <alignment shrinkToFit="0" wrapText="1"/>
    </xf>
    <xf borderId="1" fillId="0" fontId="124" numFmtId="0" xfId="0" applyAlignment="1" applyBorder="1" applyFont="1">
      <alignment shrinkToFit="0" wrapText="1"/>
    </xf>
    <xf borderId="1" fillId="0" fontId="35" numFmtId="0" xfId="0" applyAlignment="1" applyBorder="1" applyFont="1">
      <alignment shrinkToFit="0" wrapText="1"/>
    </xf>
    <xf borderId="1" fillId="16" fontId="37" numFmtId="0" xfId="0" applyAlignment="1" applyBorder="1" applyFont="1">
      <alignment shrinkToFit="0" wrapText="1"/>
    </xf>
    <xf borderId="1" fillId="2" fontId="37" numFmtId="0" xfId="0" applyAlignment="1" applyBorder="1" applyFont="1">
      <alignment shrinkToFit="0" wrapText="1"/>
    </xf>
    <xf borderId="1" fillId="0" fontId="37" numFmtId="0" xfId="0" applyAlignment="1" applyBorder="1" applyFont="1">
      <alignment shrinkToFit="0" wrapText="1"/>
    </xf>
    <xf borderId="1" fillId="0" fontId="44" numFmtId="0" xfId="0" applyBorder="1" applyFont="1"/>
    <xf borderId="23" fillId="15" fontId="70" numFmtId="0" xfId="0" applyAlignment="1" applyBorder="1" applyFont="1">
      <alignment shrinkToFit="0" wrapText="1"/>
    </xf>
    <xf borderId="1" fillId="0" fontId="70" numFmtId="0" xfId="0" applyAlignment="1" applyBorder="1" applyFont="1">
      <alignment shrinkToFit="0" vertical="center" wrapText="1"/>
    </xf>
    <xf borderId="1" fillId="2" fontId="125" numFmtId="0" xfId="0" applyAlignment="1" applyBorder="1" applyFont="1">
      <alignment shrinkToFit="0" vertical="center" wrapText="1"/>
    </xf>
    <xf borderId="1" fillId="2" fontId="126" numFmtId="0" xfId="0" applyAlignment="1" applyBorder="1" applyFont="1">
      <alignment horizontal="center" shrinkToFit="0" vertical="center" wrapText="1"/>
    </xf>
    <xf borderId="1" fillId="2" fontId="125" numFmtId="0" xfId="0" applyAlignment="1" applyBorder="1" applyFont="1">
      <alignment horizontal="center" shrinkToFit="0" vertical="center" wrapText="1"/>
    </xf>
    <xf borderId="1" fillId="2" fontId="60" numFmtId="167" xfId="0" applyAlignment="1" applyBorder="1" applyFont="1" applyNumberFormat="1">
      <alignment vertical="center"/>
    </xf>
    <xf borderId="1" fillId="2" fontId="127" numFmtId="165" xfId="0" applyAlignment="1" applyBorder="1" applyFont="1" applyNumberFormat="1">
      <alignment shrinkToFit="0" wrapText="1"/>
    </xf>
    <xf borderId="1" fillId="2" fontId="55" numFmtId="0" xfId="0" applyBorder="1" applyFont="1"/>
    <xf borderId="1" fillId="2" fontId="60" numFmtId="173" xfId="0" applyAlignment="1" applyBorder="1" applyFont="1" applyNumberFormat="1">
      <alignment vertical="center"/>
    </xf>
    <xf borderId="63" fillId="17" fontId="33" numFmtId="0" xfId="0" applyAlignment="1" applyBorder="1" applyFont="1">
      <alignment shrinkToFit="0" vertical="center" wrapText="1"/>
    </xf>
    <xf borderId="63" fillId="17" fontId="128" numFmtId="0" xfId="0" applyAlignment="1" applyBorder="1" applyFont="1">
      <alignment horizontal="center" shrinkToFit="0" vertical="center" wrapText="1"/>
    </xf>
    <xf borderId="63" fillId="17" fontId="33" numFmtId="0" xfId="0" applyAlignment="1" applyBorder="1" applyFont="1">
      <alignment horizontal="center" shrinkToFit="0" vertical="center" wrapText="1"/>
    </xf>
    <xf borderId="52" fillId="6" fontId="33" numFmtId="0" xfId="0" applyAlignment="1" applyBorder="1" applyFont="1">
      <alignment horizontal="left" shrinkToFit="0" vertical="center" wrapText="1"/>
    </xf>
    <xf borderId="55" fillId="16" fontId="54" numFmtId="3" xfId="0" applyAlignment="1" applyBorder="1" applyFont="1" applyNumberFormat="1">
      <alignment horizontal="center" shrinkToFit="0" vertical="center" wrapText="1"/>
    </xf>
    <xf borderId="55" fillId="16" fontId="54" numFmtId="177" xfId="0" applyAlignment="1" applyBorder="1" applyFont="1" applyNumberFormat="1">
      <alignment shrinkToFit="0" vertical="center" wrapText="1"/>
    </xf>
    <xf borderId="55" fillId="16" fontId="54" numFmtId="175" xfId="0" applyAlignment="1" applyBorder="1" applyFont="1" applyNumberFormat="1">
      <alignment shrinkToFit="0" vertical="center" wrapText="1"/>
    </xf>
    <xf borderId="55" fillId="16" fontId="54" numFmtId="165" xfId="0" applyAlignment="1" applyBorder="1" applyFont="1" applyNumberFormat="1">
      <alignment shrinkToFit="0" vertical="center" wrapText="1"/>
    </xf>
    <xf borderId="39" fillId="13" fontId="33" numFmtId="0" xfId="0" applyAlignment="1" applyBorder="1" applyFont="1">
      <alignment horizontal="left" shrinkToFit="0" vertical="center" wrapText="1"/>
    </xf>
    <xf borderId="70" fillId="13" fontId="57" numFmtId="3" xfId="0" applyAlignment="1" applyBorder="1" applyFont="1" applyNumberFormat="1">
      <alignment horizontal="center" shrinkToFit="0" vertical="center" wrapText="1"/>
    </xf>
    <xf borderId="70" fillId="13" fontId="57" numFmtId="177" xfId="0" applyAlignment="1" applyBorder="1" applyFont="1" applyNumberFormat="1">
      <alignment horizontal="left" shrinkToFit="0" vertical="center" wrapText="1"/>
    </xf>
    <xf borderId="70" fillId="13" fontId="57" numFmtId="175" xfId="0" applyAlignment="1" applyBorder="1" applyFont="1" applyNumberFormat="1">
      <alignment horizontal="left" shrinkToFit="0" vertical="center" wrapText="1"/>
    </xf>
    <xf borderId="70" fillId="13" fontId="57" numFmtId="0" xfId="0" applyAlignment="1" applyBorder="1" applyFont="1">
      <alignment horizontal="left" shrinkToFit="0" vertical="center" wrapText="1"/>
    </xf>
    <xf borderId="55" fillId="16" fontId="129" numFmtId="3" xfId="0" applyAlignment="1" applyBorder="1" applyFont="1" applyNumberFormat="1">
      <alignment shrinkToFit="0" wrapText="1"/>
    </xf>
    <xf borderId="55" fillId="16" fontId="129" numFmtId="4" xfId="0" applyAlignment="1" applyBorder="1" applyFont="1" applyNumberFormat="1">
      <alignment shrinkToFit="0" wrapText="1"/>
    </xf>
    <xf borderId="0" fillId="16" fontId="129" numFmtId="177" xfId="0" applyAlignment="1" applyFont="1" applyNumberFormat="1">
      <alignment shrinkToFit="0" wrapText="1"/>
    </xf>
    <xf borderId="0" fillId="16" fontId="129" numFmtId="175" xfId="0" applyAlignment="1" applyFont="1" applyNumberFormat="1">
      <alignment shrinkToFit="0" wrapText="1"/>
    </xf>
    <xf borderId="29" fillId="10" fontId="60" numFmtId="9" xfId="0" applyAlignment="1" applyBorder="1" applyFont="1" applyNumberFormat="1">
      <alignment horizontal="center" vertical="center"/>
    </xf>
    <xf borderId="1" fillId="2" fontId="130" numFmtId="165" xfId="0" applyAlignment="1" applyBorder="1" applyFont="1" applyNumberFormat="1">
      <alignment shrinkToFit="0" wrapText="1"/>
    </xf>
    <xf borderId="1" fillId="2" fontId="130" numFmtId="167" xfId="0" applyAlignment="1" applyBorder="1" applyFont="1" applyNumberFormat="1">
      <alignment shrinkToFit="0" wrapText="1"/>
    </xf>
    <xf borderId="63" fillId="0" fontId="28" numFmtId="0" xfId="0" applyAlignment="1" applyBorder="1" applyFont="1">
      <alignment readingOrder="0" shrinkToFit="0" vertical="center" wrapText="1"/>
    </xf>
    <xf borderId="55" fillId="16" fontId="129" numFmtId="3" xfId="0" applyAlignment="1" applyBorder="1" applyFont="1" applyNumberFormat="1">
      <alignment readingOrder="0" shrinkToFit="0" wrapText="1"/>
    </xf>
    <xf borderId="48" fillId="0" fontId="28" numFmtId="0" xfId="0" applyAlignment="1" applyBorder="1" applyFont="1">
      <alignment readingOrder="0" shrinkToFit="0" vertical="center" wrapText="1"/>
    </xf>
    <xf borderId="45" fillId="0" fontId="28" numFmtId="0" xfId="0" applyAlignment="1" applyBorder="1" applyFont="1">
      <alignment readingOrder="0" shrinkToFit="0" vertical="center" wrapText="1"/>
    </xf>
    <xf borderId="52" fillId="4" fontId="92" numFmtId="0" xfId="0" applyAlignment="1" applyBorder="1" applyFont="1">
      <alignment horizontal="center" shrinkToFit="0" vertical="center" wrapText="1"/>
    </xf>
    <xf borderId="52" fillId="4" fontId="92" numFmtId="0" xfId="0" applyAlignment="1" applyBorder="1" applyFont="1">
      <alignment horizontal="center" readingOrder="0" shrinkToFit="0" vertical="center" wrapText="1"/>
    </xf>
    <xf borderId="55" fillId="16" fontId="118" numFmtId="3" xfId="0" applyAlignment="1" applyBorder="1" applyFont="1" applyNumberFormat="1">
      <alignment horizontal="center" shrinkToFit="0" wrapText="1"/>
    </xf>
    <xf borderId="0" fillId="16" fontId="131" numFmtId="4" xfId="0" applyAlignment="1" applyFont="1" applyNumberFormat="1">
      <alignment horizontal="center" shrinkToFit="0" vertical="bottom" wrapText="1"/>
    </xf>
    <xf borderId="0" fillId="16" fontId="132" numFmtId="9" xfId="0" applyAlignment="1" applyFont="1" applyNumberFormat="1">
      <alignment horizontal="center" shrinkToFit="0" wrapText="1"/>
    </xf>
    <xf borderId="0" fillId="16" fontId="118" numFmtId="3" xfId="0" applyAlignment="1" applyFont="1" applyNumberFormat="1">
      <alignment horizontal="center" shrinkToFit="0" wrapText="1"/>
    </xf>
    <xf borderId="0" fillId="16" fontId="118" numFmtId="4" xfId="0" applyAlignment="1" applyFont="1" applyNumberFormat="1">
      <alignment horizontal="center" shrinkToFit="0" wrapText="1"/>
    </xf>
    <xf borderId="0" fillId="16" fontId="118" numFmtId="175" xfId="0" applyAlignment="1" applyFont="1" applyNumberFormat="1">
      <alignment horizontal="center" shrinkToFit="0" wrapText="1"/>
    </xf>
    <xf borderId="45" fillId="18" fontId="28" numFmtId="0" xfId="0" applyAlignment="1" applyBorder="1" applyFont="1">
      <alignment shrinkToFit="0" vertical="center" wrapText="1"/>
    </xf>
    <xf borderId="55" fillId="18" fontId="118" numFmtId="3" xfId="0" applyAlignment="1" applyBorder="1" applyFont="1" applyNumberFormat="1">
      <alignment horizontal="center" readingOrder="0" shrinkToFit="0" wrapText="1"/>
    </xf>
    <xf borderId="0" fillId="18" fontId="131" numFmtId="4" xfId="0" applyAlignment="1" applyFont="1" applyNumberFormat="1">
      <alignment horizontal="center" shrinkToFit="0" vertical="bottom" wrapText="1"/>
    </xf>
    <xf borderId="0" fillId="18" fontId="132" numFmtId="9" xfId="0" applyAlignment="1" applyFont="1" applyNumberFormat="1">
      <alignment horizontal="center" shrinkToFit="0" wrapText="1"/>
    </xf>
    <xf borderId="0" fillId="18" fontId="118" numFmtId="3" xfId="0" applyAlignment="1" applyFont="1" applyNumberFormat="1">
      <alignment horizontal="center" shrinkToFit="0" wrapText="1"/>
    </xf>
    <xf borderId="0" fillId="18" fontId="118" numFmtId="4" xfId="0" applyAlignment="1" applyFont="1" applyNumberFormat="1">
      <alignment horizontal="center" shrinkToFit="0" wrapText="1"/>
    </xf>
    <xf borderId="0" fillId="18" fontId="118" numFmtId="175" xfId="0" applyAlignment="1" applyFont="1" applyNumberFormat="1">
      <alignment horizontal="center" shrinkToFit="0" wrapText="1"/>
    </xf>
    <xf borderId="0" fillId="0" fontId="51" numFmtId="175" xfId="0" applyFont="1" applyNumberFormat="1"/>
    <xf borderId="48" fillId="18" fontId="28" numFmtId="0" xfId="0" applyAlignment="1" applyBorder="1" applyFont="1">
      <alignment readingOrder="0" shrinkToFit="0" vertical="center" wrapText="1"/>
    </xf>
    <xf borderId="55" fillId="4" fontId="133" numFmtId="165" xfId="0" applyAlignment="1" applyBorder="1" applyFont="1" applyNumberFormat="1">
      <alignment shrinkToFit="0" vertical="center" wrapText="1"/>
    </xf>
    <xf borderId="55" fillId="4" fontId="133" numFmtId="3" xfId="0" applyAlignment="1" applyBorder="1" applyFont="1" applyNumberFormat="1">
      <alignment shrinkToFit="0" vertical="center" wrapText="1"/>
    </xf>
    <xf borderId="55" fillId="4" fontId="133" numFmtId="10" xfId="0" applyAlignment="1" applyBorder="1" applyFont="1" applyNumberFormat="1">
      <alignment shrinkToFit="0" vertical="center" wrapText="1"/>
    </xf>
    <xf borderId="55" fillId="4" fontId="133" numFmtId="175" xfId="0" applyAlignment="1" applyBorder="1" applyFont="1" applyNumberFormat="1">
      <alignment shrinkToFit="0" vertical="center" wrapText="1"/>
    </xf>
    <xf borderId="0" fillId="0" fontId="51" numFmtId="4" xfId="0" applyFont="1" applyNumberFormat="1"/>
    <xf borderId="1" fillId="2" fontId="134" numFmtId="0" xfId="0" applyBorder="1" applyFont="1"/>
    <xf borderId="35" fillId="12" fontId="33" numFmtId="0" xfId="0" applyAlignment="1" applyBorder="1" applyFont="1">
      <alignment horizontal="center" vertical="center"/>
    </xf>
    <xf borderId="55" fillId="16" fontId="135" numFmtId="178" xfId="0" applyAlignment="1" applyBorder="1" applyFont="1" applyNumberFormat="1">
      <alignment shrinkToFit="0" wrapText="1"/>
    </xf>
    <xf borderId="6" fillId="0" fontId="136" numFmtId="0" xfId="0" applyAlignment="1" applyBorder="1" applyFont="1">
      <alignment horizontal="center" readingOrder="0" shrinkToFit="0" wrapText="1"/>
    </xf>
    <xf borderId="6" fillId="0" fontId="136" numFmtId="0" xfId="0" applyAlignment="1" applyBorder="1" applyFont="1">
      <alignment horizontal="center" readingOrder="0"/>
    </xf>
    <xf borderId="0" fillId="0" fontId="137" numFmtId="0" xfId="0" applyAlignment="1" applyFont="1">
      <alignment shrinkToFit="0" wrapText="1"/>
    </xf>
    <xf quotePrefix="1" borderId="0" fillId="0" fontId="12" numFmtId="0" xfId="0" applyAlignment="1" applyFont="1">
      <alignment vertical="bottom"/>
    </xf>
    <xf borderId="0" fillId="0" fontId="12" numFmtId="3" xfId="0" applyAlignment="1" applyFont="1" applyNumberFormat="1">
      <alignment horizontal="right" vertical="bottom"/>
    </xf>
    <xf borderId="0" fillId="0" fontId="136" numFmtId="0" xfId="0" applyAlignment="1" applyFont="1">
      <alignment readingOrder="0"/>
    </xf>
    <xf borderId="0" fillId="0" fontId="136" numFmtId="169" xfId="0" applyAlignment="1" applyFont="1" applyNumberFormat="1">
      <alignment horizontal="center" readingOrder="0"/>
    </xf>
    <xf borderId="0" fillId="0" fontId="136" numFmtId="174" xfId="0" applyAlignment="1" applyFont="1" applyNumberFormat="1">
      <alignment horizontal="center" readingOrder="0"/>
    </xf>
    <xf borderId="0" fillId="0" fontId="138" numFmtId="0" xfId="0" applyAlignment="1" applyFont="1">
      <alignment readingOrder="0"/>
    </xf>
    <xf borderId="6" fillId="0" fontId="136" numFmtId="174" xfId="0" applyAlignment="1" applyBorder="1" applyFont="1" applyNumberFormat="1">
      <alignment horizontal="center" readingOrder="0"/>
    </xf>
    <xf borderId="0" fillId="0" fontId="139" numFmtId="0" xfId="0" applyAlignment="1" applyFont="1">
      <alignment readingOrder="0"/>
    </xf>
    <xf borderId="71" fillId="0" fontId="136" numFmtId="0" xfId="0" applyAlignment="1" applyBorder="1" applyFont="1">
      <alignment horizontal="center" readingOrder="0"/>
    </xf>
    <xf borderId="71" fillId="0" fontId="11" numFmtId="0" xfId="0" applyBorder="1" applyFont="1"/>
    <xf borderId="0" fillId="0" fontId="137" numFmtId="0" xfId="0" applyFont="1"/>
    <xf borderId="0" fillId="0" fontId="12" numFmtId="0" xfId="0" applyAlignment="1" applyFont="1">
      <alignment vertical="bottom"/>
    </xf>
    <xf borderId="0" fillId="0" fontId="140" numFmtId="3" xfId="0" applyAlignment="1" applyFont="1" applyNumberFormat="1">
      <alignment horizontal="right" vertical="bottom"/>
    </xf>
    <xf borderId="0" fillId="0" fontId="141" numFmtId="0" xfId="0" applyAlignment="1" applyFont="1">
      <alignment readingOrder="0"/>
    </xf>
    <xf borderId="0" fillId="0" fontId="51" numFmtId="1" xfId="0" applyFont="1" applyNumberFormat="1"/>
    <xf borderId="4" fillId="13" fontId="33" numFmtId="0" xfId="0" applyAlignment="1" applyBorder="1" applyFont="1">
      <alignment horizontal="center" readingOrder="0" shrinkToFit="0" vertical="center" wrapText="1"/>
    </xf>
    <xf borderId="3" fillId="13" fontId="33" numFmtId="0" xfId="0" applyAlignment="1" applyBorder="1" applyFont="1">
      <alignment horizontal="center" readingOrder="0" shrinkToFit="0" vertical="center" wrapText="1"/>
    </xf>
    <xf borderId="30" fillId="8" fontId="64" numFmtId="167" xfId="0" applyAlignment="1" applyBorder="1" applyFont="1" applyNumberFormat="1">
      <alignment shrinkToFit="0" vertical="center" wrapText="1"/>
    </xf>
    <xf borderId="30" fillId="8" fontId="59" numFmtId="168" xfId="0" applyAlignment="1" applyBorder="1" applyFont="1" applyNumberFormat="1">
      <alignment shrinkToFit="0" vertical="center" wrapText="1"/>
    </xf>
    <xf borderId="29" fillId="8" fontId="142" numFmtId="167" xfId="0" applyAlignment="1" applyBorder="1" applyFont="1" applyNumberFormat="1">
      <alignment readingOrder="0" shrinkToFit="0" vertical="center" wrapText="1"/>
    </xf>
    <xf borderId="29" fillId="8" fontId="64" numFmtId="167" xfId="0" applyAlignment="1" applyBorder="1" applyFont="1" applyNumberFormat="1">
      <alignment shrinkToFit="0" vertical="center" wrapText="1"/>
    </xf>
    <xf borderId="30" fillId="8" fontId="64" numFmtId="167" xfId="0" applyAlignment="1" applyBorder="1" applyFont="1" applyNumberFormat="1">
      <alignment readingOrder="0" shrinkToFit="0" vertical="center" wrapText="1"/>
    </xf>
    <xf borderId="29" fillId="8" fontId="59" numFmtId="168" xfId="0" applyAlignment="1" applyBorder="1" applyFont="1" applyNumberFormat="1">
      <alignment readingOrder="0" shrinkToFit="0" vertical="center" wrapText="1"/>
    </xf>
    <xf borderId="29" fillId="8" fontId="64" numFmtId="167" xfId="0" applyAlignment="1" applyBorder="1" applyFont="1" applyNumberFormat="1">
      <alignment readingOrder="0" shrinkToFit="0" vertical="center" wrapText="1"/>
    </xf>
    <xf borderId="29" fillId="10" fontId="60" numFmtId="9" xfId="0" applyAlignment="1" applyBorder="1" applyFont="1" applyNumberFormat="1">
      <alignment horizontal="center" shrinkToFit="0" vertical="center" wrapText="1"/>
    </xf>
    <xf borderId="29" fillId="8" fontId="143" numFmtId="167" xfId="0" applyAlignment="1" applyBorder="1" applyFont="1" applyNumberFormat="1">
      <alignment readingOrder="0" shrinkToFit="0" vertical="center" wrapText="1"/>
    </xf>
    <xf borderId="29" fillId="8" fontId="144" numFmtId="167" xfId="0" applyAlignment="1" applyBorder="1" applyFont="1" applyNumberFormat="1">
      <alignment readingOrder="0" shrinkToFit="0" vertical="center" wrapText="1"/>
    </xf>
    <xf borderId="0" fillId="0" fontId="51" numFmtId="3" xfId="0" applyFont="1" applyNumberFormat="1"/>
    <xf borderId="29" fillId="8" fontId="64" numFmtId="1" xfId="0" applyAlignment="1" applyBorder="1" applyFont="1" applyNumberFormat="1">
      <alignment readingOrder="0" shrinkToFit="0" vertical="center" wrapText="1"/>
    </xf>
    <xf borderId="51" fillId="8" fontId="143" numFmtId="167" xfId="0" applyAlignment="1" applyBorder="1" applyFont="1" applyNumberFormat="1">
      <alignment readingOrder="0" shrinkToFit="0" vertical="center" wrapText="1"/>
    </xf>
    <xf borderId="51" fillId="8" fontId="144" numFmtId="167" xfId="0" applyAlignment="1" applyBorder="1" applyFont="1" applyNumberFormat="1">
      <alignment readingOrder="0" shrinkToFit="0" vertical="center" wrapText="1"/>
    </xf>
    <xf borderId="29" fillId="8" fontId="59" numFmtId="4" xfId="0" applyAlignment="1" applyBorder="1" applyFont="1" applyNumberFormat="1">
      <alignment readingOrder="0" shrinkToFit="0" vertical="center" wrapText="1"/>
    </xf>
    <xf borderId="29" fillId="10" fontId="60" numFmtId="9" xfId="0" applyAlignment="1" applyBorder="1" applyFont="1" applyNumberFormat="1">
      <alignment horizontal="center" readingOrder="0" shrinkToFit="0" vertical="center" wrapText="1"/>
    </xf>
    <xf borderId="0" fillId="0" fontId="51" numFmtId="0" xfId="0" applyAlignment="1" applyFont="1">
      <alignment shrinkToFit="0" wrapText="1"/>
    </xf>
    <xf borderId="0" fillId="0" fontId="51" numFmtId="179" xfId="0" applyAlignment="1" applyFont="1" applyNumberFormat="1">
      <alignment readingOrder="0"/>
    </xf>
    <xf borderId="0" fillId="0" fontId="51" numFmtId="10" xfId="0" applyFont="1" applyNumberFormat="1"/>
    <xf borderId="1" fillId="0" fontId="145" numFmtId="0" xfId="0" applyAlignment="1" applyBorder="1" applyFont="1">
      <alignment readingOrder="0"/>
    </xf>
    <xf borderId="1" fillId="21" fontId="146" numFmtId="0" xfId="0" applyAlignment="1" applyBorder="1" applyFill="1" applyFont="1">
      <alignment horizontal="center" readingOrder="0" vertical="center"/>
    </xf>
    <xf borderId="1" fillId="21" fontId="146" numFmtId="0" xfId="0" applyAlignment="1" applyBorder="1" applyFont="1">
      <alignment horizontal="center" vertical="center"/>
    </xf>
    <xf borderId="1" fillId="0" fontId="86" numFmtId="0" xfId="0" applyAlignment="1" applyBorder="1" applyFont="1">
      <alignment readingOrder="0"/>
    </xf>
    <xf borderId="3" fillId="22" fontId="26" numFmtId="178" xfId="0" applyAlignment="1" applyBorder="1" applyFill="1" applyFont="1" applyNumberFormat="1">
      <alignment horizontal="center" readingOrder="0" shrinkToFit="0" vertical="center" wrapText="1"/>
    </xf>
    <xf borderId="1" fillId="13" fontId="26" numFmtId="0" xfId="0" applyAlignment="1" applyBorder="1" applyFont="1">
      <alignment horizontal="left" readingOrder="0" shrinkToFit="0" wrapText="1"/>
    </xf>
    <xf borderId="1" fillId="0" fontId="147" numFmtId="175" xfId="0" applyAlignment="1" applyBorder="1" applyFont="1" applyNumberFormat="1">
      <alignment horizontal="right" shrinkToFit="0" vertical="center" wrapText="1"/>
    </xf>
    <xf borderId="1" fillId="0" fontId="148" numFmtId="175" xfId="0" applyAlignment="1" applyBorder="1" applyFont="1" applyNumberFormat="1">
      <alignment horizontal="right" shrinkToFit="0" vertical="center" wrapText="1"/>
    </xf>
    <xf borderId="1" fillId="0" fontId="97" numFmtId="0" xfId="0" applyAlignment="1" applyBorder="1" applyFont="1">
      <alignment horizontal="left" readingOrder="0" shrinkToFit="0" wrapText="1"/>
    </xf>
    <xf borderId="3" fillId="23" fontId="26" numFmtId="175" xfId="0" applyAlignment="1" applyBorder="1" applyFill="1" applyFont="1" applyNumberFormat="1">
      <alignment horizontal="center" readingOrder="0" shrinkToFit="0" vertical="center" wrapText="1"/>
    </xf>
    <xf borderId="22" fillId="0" fontId="147" numFmtId="175" xfId="0" applyAlignment="1" applyBorder="1" applyFont="1" applyNumberFormat="1">
      <alignment horizontal="right" shrinkToFit="0" vertical="center" wrapText="1"/>
    </xf>
    <xf borderId="22" fillId="0" fontId="148" numFmtId="175" xfId="0" applyAlignment="1" applyBorder="1" applyFont="1" applyNumberFormat="1">
      <alignment horizontal="right" shrinkToFit="0" vertical="center" wrapText="1"/>
    </xf>
    <xf borderId="1" fillId="0" fontId="146" numFmtId="0" xfId="0" applyAlignment="1" applyBorder="1" applyFont="1">
      <alignment horizontal="right" readingOrder="0" vertical="center"/>
    </xf>
    <xf borderId="72" fillId="0" fontId="146" numFmtId="175" xfId="0" applyAlignment="1" applyBorder="1" applyFont="1" applyNumberFormat="1">
      <alignment horizontal="right"/>
    </xf>
    <xf borderId="72" fillId="24" fontId="26" numFmtId="175" xfId="0" applyAlignment="1" applyBorder="1" applyFill="1" applyFont="1" applyNumberFormat="1">
      <alignment horizontal="right"/>
    </xf>
    <xf borderId="41" fillId="0" fontId="149" numFmtId="0" xfId="0" applyAlignment="1" applyBorder="1" applyFont="1">
      <alignment vertical="bottom"/>
    </xf>
    <xf borderId="41" fillId="0" fontId="55" numFmtId="0" xfId="0" applyAlignment="1" applyBorder="1" applyFont="1">
      <alignment vertical="bottom"/>
    </xf>
    <xf borderId="24" fillId="0" fontId="55" numFmtId="0" xfId="0" applyAlignment="1" applyBorder="1" applyFont="1">
      <alignment vertical="bottom"/>
    </xf>
    <xf borderId="73" fillId="21" fontId="150" numFmtId="0" xfId="0" applyAlignment="1" applyBorder="1" applyFont="1">
      <alignment horizontal="center" vertical="bottom"/>
    </xf>
    <xf borderId="41" fillId="22" fontId="151" numFmtId="178" xfId="0" applyAlignment="1" applyBorder="1" applyFont="1" applyNumberFormat="1">
      <alignment horizontal="center" shrinkToFit="0" vertical="bottom" wrapText="1"/>
    </xf>
    <xf borderId="73" fillId="0" fontId="11" numFmtId="0" xfId="0" applyBorder="1" applyFont="1"/>
    <xf borderId="36" fillId="16" fontId="152" numFmtId="0" xfId="0" applyAlignment="1" applyBorder="1" applyFont="1">
      <alignment horizontal="center" shrinkToFit="0" vertical="center" wrapText="1"/>
    </xf>
    <xf borderId="24" fillId="13" fontId="151" numFmtId="0" xfId="0" applyAlignment="1" applyBorder="1" applyFont="1">
      <alignment shrinkToFit="0" vertical="bottom" wrapText="1"/>
    </xf>
    <xf borderId="74" fillId="0" fontId="153" numFmtId="177" xfId="0" applyAlignment="1" applyBorder="1" applyFont="1" applyNumberFormat="1">
      <alignment horizontal="right" shrinkToFit="0" wrapText="1"/>
    </xf>
    <xf borderId="73" fillId="0" fontId="153" numFmtId="177" xfId="0" applyAlignment="1" applyBorder="1" applyFont="1" applyNumberFormat="1">
      <alignment horizontal="right" shrinkToFit="0" wrapText="1"/>
    </xf>
    <xf borderId="36" fillId="0" fontId="11" numFmtId="0" xfId="0" applyBorder="1" applyFont="1"/>
    <xf borderId="41" fillId="25" fontId="151" numFmtId="178" xfId="0" applyAlignment="1" applyBorder="1" applyFill="1" applyFont="1" applyNumberFormat="1">
      <alignment horizontal="center" shrinkToFit="0" vertical="bottom" wrapText="1"/>
    </xf>
    <xf borderId="75" fillId="0" fontId="153" numFmtId="177" xfId="0" applyAlignment="1" applyBorder="1" applyFont="1" applyNumberFormat="1">
      <alignment horizontal="right" shrinkToFit="0" wrapText="1"/>
    </xf>
    <xf borderId="76" fillId="0" fontId="153" numFmtId="177" xfId="0" applyAlignment="1" applyBorder="1" applyFont="1" applyNumberFormat="1">
      <alignment horizontal="right" shrinkToFit="0" wrapText="1"/>
    </xf>
    <xf borderId="0" fillId="0" fontId="55" numFmtId="0" xfId="0" applyAlignment="1" applyFont="1">
      <alignment vertical="center"/>
    </xf>
    <xf borderId="24" fillId="0" fontId="150" numFmtId="0" xfId="0" applyAlignment="1" applyBorder="1" applyFont="1">
      <alignment shrinkToFit="0" vertical="bottom" wrapText="0"/>
    </xf>
    <xf borderId="73" fillId="0" fontId="150" numFmtId="177" xfId="0" applyAlignment="1" applyBorder="1" applyFont="1" applyNumberFormat="1">
      <alignment horizontal="right" vertical="bottom"/>
    </xf>
    <xf borderId="74" fillId="0" fontId="154" numFmtId="177" xfId="0" applyAlignment="1" applyBorder="1" applyFont="1" applyNumberFormat="1">
      <alignment horizontal="right" shrinkToFit="0" wrapText="1"/>
    </xf>
    <xf borderId="0" fillId="0" fontId="55" numFmtId="0" xfId="0" applyAlignment="1" applyFont="1">
      <alignment vertical="bottom"/>
    </xf>
    <xf borderId="41" fillId="23" fontId="151" numFmtId="178" xfId="0" applyAlignment="1" applyBorder="1" applyFont="1" applyNumberFormat="1">
      <alignment horizontal="center" shrinkToFit="0" vertical="bottom" wrapText="1"/>
    </xf>
    <xf borderId="36" fillId="0" fontId="55" numFmtId="0" xfId="0" applyAlignment="1" applyBorder="1" applyFont="1">
      <alignment vertical="center"/>
    </xf>
    <xf borderId="24" fillId="0" fontId="150" numFmtId="0" xfId="0" applyAlignment="1" applyBorder="1" applyFont="1">
      <alignment horizontal="right" vertical="bottom"/>
    </xf>
    <xf borderId="41" fillId="26" fontId="151" numFmtId="178" xfId="0" applyAlignment="1" applyBorder="1" applyFill="1" applyFont="1" applyNumberFormat="1">
      <alignment horizontal="center" shrinkToFit="0" vertical="bottom" wrapText="1"/>
    </xf>
    <xf borderId="36" fillId="16" fontId="152" numFmtId="0" xfId="0" applyAlignment="1" applyBorder="1" applyFont="1">
      <alignment horizontal="center" readingOrder="0" shrinkToFit="0" vertical="center" wrapText="1"/>
    </xf>
    <xf borderId="0" fillId="0" fontId="55" numFmtId="0" xfId="0" applyAlignment="1" applyFont="1">
      <alignment horizontal="right" vertical="bottom"/>
    </xf>
    <xf borderId="0" fillId="0" fontId="55" numFmtId="9" xfId="0" applyAlignment="1" applyFont="1" applyNumberFormat="1">
      <alignment horizontal="right" vertical="bottom"/>
    </xf>
    <xf borderId="0" fillId="0" fontId="51" numFmtId="177" xfId="0" applyFont="1" applyNumberFormat="1"/>
    <xf borderId="77" fillId="15" fontId="70" numFmtId="0" xfId="0" applyAlignment="1" applyBorder="1" applyFont="1">
      <alignment shrinkToFit="0" wrapText="1"/>
    </xf>
    <xf borderId="1" fillId="2" fontId="155" numFmtId="0" xfId="0" applyBorder="1" applyFont="1"/>
    <xf borderId="1" fillId="0" fontId="156" numFmtId="0" xfId="0" applyAlignment="1" applyBorder="1" applyFont="1">
      <alignment shrinkToFit="0" wrapText="1"/>
    </xf>
    <xf borderId="1" fillId="0" fontId="157" numFmtId="0" xfId="0" applyAlignment="1" applyBorder="1" applyFont="1">
      <alignment shrinkToFit="0" wrapText="1"/>
    </xf>
    <xf borderId="1" fillId="0" fontId="156" numFmtId="0" xfId="0" applyAlignment="1" applyBorder="1" applyFont="1">
      <alignment shrinkToFit="0" vertical="center" wrapText="1"/>
    </xf>
    <xf borderId="1" fillId="0" fontId="155" numFmtId="0" xfId="0" applyBorder="1" applyFont="1"/>
    <xf borderId="1" fillId="2" fontId="158" numFmtId="0" xfId="0" applyAlignment="1" applyBorder="1" applyFont="1">
      <alignment shrinkToFit="0" vertical="center" wrapText="1"/>
    </xf>
    <xf borderId="1" fillId="2" fontId="159" numFmtId="0" xfId="0" applyBorder="1" applyFont="1"/>
    <xf borderId="1" fillId="2" fontId="127" numFmtId="167" xfId="0" applyAlignment="1" applyBorder="1" applyFont="1" applyNumberFormat="1">
      <alignment vertical="center"/>
    </xf>
    <xf borderId="1" fillId="2" fontId="127" numFmtId="173" xfId="0" applyAlignment="1" applyBorder="1" applyFont="1" applyNumberFormat="1">
      <alignment vertical="center"/>
    </xf>
    <xf borderId="1" fillId="2" fontId="46" numFmtId="0" xfId="0" applyAlignment="1" applyBorder="1" applyFont="1">
      <alignment horizontal="right" readingOrder="0" vertical="center"/>
    </xf>
    <xf borderId="0" fillId="27" fontId="160" numFmtId="0" xfId="0" applyAlignment="1" applyFill="1" applyFont="1">
      <alignment horizontal="center" vertical="center"/>
    </xf>
    <xf borderId="1" fillId="27" fontId="160" numFmtId="0" xfId="0" applyAlignment="1" applyBorder="1" applyFont="1">
      <alignment horizontal="center" vertical="center"/>
    </xf>
    <xf borderId="1" fillId="2" fontId="46" numFmtId="0" xfId="0" applyAlignment="1" applyBorder="1" applyFont="1">
      <alignment horizontal="right" vertical="center"/>
    </xf>
    <xf borderId="55" fillId="8" fontId="157" numFmtId="165" xfId="0" applyAlignment="1" applyBorder="1" applyFont="1" applyNumberFormat="1">
      <alignment shrinkToFit="0" vertical="center" wrapText="1"/>
    </xf>
    <xf borderId="55" fillId="16" fontId="54" numFmtId="180" xfId="0" applyAlignment="1" applyBorder="1" applyFont="1" applyNumberFormat="1">
      <alignment readingOrder="0" shrinkToFit="0" vertical="center" wrapText="1"/>
    </xf>
    <xf borderId="55" fillId="16" fontId="54" numFmtId="180" xfId="0" applyAlignment="1" applyBorder="1" applyFont="1" applyNumberFormat="1">
      <alignment shrinkToFit="0" vertical="center" wrapText="1"/>
    </xf>
    <xf borderId="1" fillId="27" fontId="155" numFmtId="0" xfId="0" applyBorder="1" applyFont="1"/>
    <xf borderId="1" fillId="2" fontId="161" numFmtId="0" xfId="0" applyAlignment="1" applyBorder="1" applyFont="1">
      <alignment horizontal="right" shrinkToFit="0" vertical="center" wrapText="1"/>
    </xf>
    <xf borderId="1" fillId="13" fontId="162" numFmtId="165" xfId="0" applyAlignment="1" applyBorder="1" applyFont="1" applyNumberFormat="1">
      <alignment shrinkToFit="0" vertical="center" wrapText="1"/>
    </xf>
    <xf borderId="1" fillId="2" fontId="163" numFmtId="0" xfId="0" applyAlignment="1" applyBorder="1" applyFont="1">
      <alignment horizontal="right" vertical="center"/>
    </xf>
    <xf borderId="0" fillId="13" fontId="162" numFmtId="165" xfId="0" applyAlignment="1" applyFont="1" applyNumberFormat="1">
      <alignment shrinkToFit="0" vertical="center" wrapText="1"/>
    </xf>
    <xf borderId="0" fillId="16" fontId="54" numFmtId="178" xfId="0" applyAlignment="1" applyFont="1" applyNumberFormat="1">
      <alignment shrinkToFit="0" vertical="center" wrapText="1"/>
    </xf>
    <xf borderId="1" fillId="2" fontId="163" numFmtId="0" xfId="0" applyAlignment="1" applyBorder="1" applyFont="1">
      <alignment horizontal="right" readingOrder="0" vertical="center"/>
    </xf>
    <xf borderId="55" fillId="13" fontId="162" numFmtId="165" xfId="0" applyAlignment="1" applyBorder="1" applyFont="1" applyNumberFormat="1">
      <alignment shrinkToFit="0" vertical="center" wrapText="1"/>
    </xf>
    <xf borderId="55" fillId="16" fontId="54" numFmtId="178" xfId="0" applyAlignment="1" applyBorder="1" applyFont="1" applyNumberFormat="1">
      <alignment shrinkToFit="0" vertical="center" wrapText="1"/>
    </xf>
    <xf borderId="1" fillId="2" fontId="1" numFmtId="0" xfId="0" applyAlignment="1" applyBorder="1" applyFont="1">
      <alignment vertical="center"/>
    </xf>
    <xf borderId="0" fillId="0" fontId="70" numFmtId="0" xfId="0" applyAlignment="1" applyFont="1">
      <alignment shrinkToFit="0" vertical="center" wrapText="1"/>
    </xf>
    <xf borderId="1" fillId="0" fontId="42" numFmtId="0" xfId="0" applyAlignment="1" applyBorder="1" applyFont="1">
      <alignment shrinkToFit="0" vertical="center" wrapText="1"/>
    </xf>
    <xf borderId="67" fillId="2" fontId="32" numFmtId="0" xfId="0" applyAlignment="1" applyBorder="1" applyFont="1">
      <alignment shrinkToFit="0" vertical="center" wrapText="1"/>
    </xf>
    <xf borderId="68" fillId="2" fontId="34" numFmtId="0" xfId="0" applyAlignment="1" applyBorder="1" applyFont="1">
      <alignment shrinkToFit="0" vertical="center" wrapText="1"/>
    </xf>
    <xf borderId="2" fillId="15" fontId="70" numFmtId="0" xfId="0" applyAlignment="1" applyBorder="1" applyFont="1">
      <alignment shrinkToFit="0" vertical="center" wrapText="1"/>
    </xf>
    <xf borderId="69" fillId="15" fontId="70" numFmtId="0" xfId="0" applyAlignment="1" applyBorder="1" applyFont="1">
      <alignment shrinkToFit="0" vertical="center" wrapText="1"/>
    </xf>
    <xf borderId="69" fillId="15" fontId="42" numFmtId="165" xfId="0" applyAlignment="1" applyBorder="1" applyFont="1" applyNumberFormat="1">
      <alignment shrinkToFit="0" vertical="center" wrapText="1"/>
    </xf>
    <xf borderId="69" fillId="15" fontId="122" numFmtId="3" xfId="0" applyAlignment="1" applyBorder="1" applyFont="1" applyNumberFormat="1">
      <alignment shrinkToFit="0" vertical="center" wrapText="1"/>
    </xf>
    <xf borderId="1" fillId="0" fontId="123" numFmtId="0" xfId="0" applyAlignment="1" applyBorder="1" applyFont="1">
      <alignment shrinkToFit="0" vertical="center" wrapText="1"/>
    </xf>
    <xf borderId="1" fillId="2" fontId="55" numFmtId="0" xfId="0" applyAlignment="1" applyBorder="1" applyFont="1">
      <alignment vertical="center"/>
    </xf>
    <xf borderId="3" fillId="2" fontId="127" numFmtId="0" xfId="0" applyAlignment="1" applyBorder="1" applyFont="1">
      <alignment horizontal="center" shrinkToFit="0" vertical="center" wrapText="1"/>
    </xf>
    <xf borderId="1" fillId="0" fontId="35" numFmtId="0" xfId="0" applyAlignment="1" applyBorder="1" applyFont="1">
      <alignment readingOrder="0" shrinkToFit="0" vertical="center" wrapText="1"/>
    </xf>
    <xf borderId="1" fillId="8" fontId="36" numFmtId="0" xfId="0" applyAlignment="1" applyBorder="1" applyFont="1">
      <alignment shrinkToFit="0" vertical="center" wrapText="1"/>
    </xf>
    <xf borderId="1" fillId="2" fontId="36" numFmtId="0" xfId="0" applyAlignment="1" applyBorder="1" applyFont="1">
      <alignment shrinkToFit="0" vertical="center" wrapText="1"/>
    </xf>
    <xf borderId="1" fillId="0" fontId="35" numFmtId="0" xfId="0" applyAlignment="1" applyBorder="1" applyFont="1">
      <alignment shrinkToFit="0" vertical="center" wrapText="1"/>
    </xf>
    <xf borderId="1" fillId="2" fontId="164" numFmtId="0" xfId="0" applyAlignment="1" applyBorder="1" applyFont="1">
      <alignment shrinkToFit="0" vertical="center" wrapText="1"/>
    </xf>
    <xf borderId="1" fillId="2" fontId="127" numFmtId="0" xfId="0" applyAlignment="1" applyBorder="1" applyFont="1">
      <alignment horizontal="center" shrinkToFit="0" vertical="center" wrapText="1"/>
    </xf>
    <xf borderId="1" fillId="0" fontId="165" numFmtId="0" xfId="0" applyAlignment="1" applyBorder="1" applyFont="1">
      <alignment shrinkToFit="0" vertical="center" wrapText="1"/>
    </xf>
    <xf borderId="1" fillId="16" fontId="37" numFmtId="0" xfId="0" applyAlignment="1" applyBorder="1" applyFont="1">
      <alignment shrinkToFit="0" vertical="center" wrapText="1"/>
    </xf>
    <xf borderId="1" fillId="2" fontId="37" numFmtId="0" xfId="0" applyAlignment="1" applyBorder="1" applyFont="1">
      <alignment shrinkToFit="0" vertical="center" wrapText="1"/>
    </xf>
    <xf borderId="1" fillId="2" fontId="127" numFmtId="165" xfId="0" applyAlignment="1" applyBorder="1" applyFont="1" applyNumberFormat="1">
      <alignment shrinkToFit="0" vertical="center" wrapText="1"/>
    </xf>
    <xf borderId="1" fillId="2" fontId="60" numFmtId="9" xfId="0" applyAlignment="1" applyBorder="1" applyFont="1" applyNumberFormat="1">
      <alignment horizontal="center" vertical="center"/>
    </xf>
    <xf borderId="1" fillId="2" fontId="127" numFmtId="175" xfId="0" applyAlignment="1" applyBorder="1" applyFont="1" applyNumberFormat="1">
      <alignment shrinkToFit="0" vertical="center" wrapText="1"/>
    </xf>
    <xf borderId="1" fillId="0" fontId="37" numFmtId="0" xfId="0" applyAlignment="1" applyBorder="1" applyFont="1">
      <alignment shrinkToFit="0" vertical="center" wrapText="1"/>
    </xf>
    <xf borderId="1" fillId="10" fontId="37" numFmtId="0" xfId="0" applyAlignment="1" applyBorder="1" applyFont="1">
      <alignment shrinkToFit="0" vertical="center" wrapText="1"/>
    </xf>
    <xf borderId="1" fillId="0" fontId="44" numFmtId="0" xfId="0" applyAlignment="1" applyBorder="1" applyFont="1">
      <alignment vertical="center"/>
    </xf>
    <xf borderId="1" fillId="0" fontId="2" numFmtId="0" xfId="0" applyAlignment="1" applyBorder="1" applyFont="1">
      <alignment vertical="center"/>
    </xf>
    <xf borderId="23" fillId="15" fontId="70" numFmtId="0" xfId="0" applyAlignment="1" applyBorder="1" applyFont="1">
      <alignment shrinkToFit="0" vertical="center" wrapText="1"/>
    </xf>
    <xf borderId="68" fillId="2" fontId="34" numFmtId="0" xfId="0" applyAlignment="1" applyBorder="1" applyFont="1">
      <alignment horizontal="right" shrinkToFit="0" vertical="center" wrapText="1"/>
    </xf>
    <xf borderId="5" fillId="21" fontId="166" numFmtId="0" xfId="0" applyAlignment="1" applyBorder="1" applyFont="1">
      <alignment horizontal="center"/>
    </xf>
    <xf borderId="1" fillId="0" fontId="1" numFmtId="0" xfId="0" applyAlignment="1" applyBorder="1" applyFont="1">
      <alignment vertical="center"/>
    </xf>
    <xf borderId="35" fillId="12" fontId="167" numFmtId="0" xfId="0" applyAlignment="1" applyBorder="1" applyFont="1">
      <alignment horizontal="center" vertical="center"/>
    </xf>
    <xf borderId="68" fillId="2" fontId="168" numFmtId="0" xfId="0" applyAlignment="1" applyBorder="1" applyFont="1">
      <alignment horizontal="right" shrinkToFit="0" vertical="center" wrapText="1"/>
    </xf>
    <xf borderId="55" fillId="11" fontId="162" numFmtId="165" xfId="0" applyAlignment="1" applyBorder="1" applyFont="1" applyNumberFormat="1">
      <alignment shrinkToFit="0" vertical="center" wrapText="1"/>
    </xf>
    <xf borderId="1" fillId="2" fontId="162" numFmtId="165" xfId="0" applyAlignment="1" applyBorder="1" applyFont="1" applyNumberFormat="1">
      <alignment shrinkToFit="0" vertical="center" wrapText="1"/>
    </xf>
    <xf borderId="68" fillId="2" fontId="169" numFmtId="0" xfId="0" applyAlignment="1" applyBorder="1" applyFont="1">
      <alignment horizontal="right" shrinkToFit="0" vertical="center" wrapText="1"/>
    </xf>
    <xf borderId="5" fillId="5" fontId="170" numFmtId="175" xfId="0" applyAlignment="1" applyBorder="1" applyFont="1" applyNumberFormat="1">
      <alignment horizontal="right" shrinkToFit="0" wrapText="1"/>
    </xf>
    <xf borderId="55" fillId="16" fontId="54" numFmtId="9" xfId="0" applyAlignment="1" applyBorder="1" applyFont="1" applyNumberFormat="1">
      <alignment readingOrder="0" shrinkToFit="0" vertical="center" wrapText="1"/>
    </xf>
    <xf borderId="0" fillId="13" fontId="162" numFmtId="170" xfId="0" applyAlignment="1" applyFont="1" applyNumberFormat="1">
      <alignment shrinkToFit="0" vertical="center" wrapText="1"/>
    </xf>
    <xf borderId="1" fillId="2" fontId="168" numFmtId="0" xfId="0" applyAlignment="1" applyBorder="1" applyFont="1">
      <alignment horizontal="right" vertical="center"/>
    </xf>
    <xf borderId="1" fillId="7" fontId="162" numFmtId="175" xfId="0" applyAlignment="1" applyBorder="1" applyFont="1" applyNumberFormat="1">
      <alignment shrinkToFit="0" vertical="center" wrapText="1"/>
    </xf>
    <xf borderId="1" fillId="2" fontId="1" numFmtId="175" xfId="0" applyAlignment="1" applyBorder="1" applyFont="1" applyNumberFormat="1">
      <alignment vertical="center"/>
    </xf>
    <xf borderId="1" fillId="2" fontId="171" numFmtId="0" xfId="0" applyAlignment="1" applyBorder="1" applyFont="1">
      <alignment horizontal="right" shrinkToFit="0" vertical="center" wrapText="1"/>
    </xf>
    <xf borderId="0" fillId="16" fontId="54" numFmtId="175" xfId="0" applyAlignment="1" applyFont="1" applyNumberFormat="1">
      <alignment shrinkToFit="0" vertical="center" wrapText="1"/>
    </xf>
    <xf borderId="0" fillId="13" fontId="162" numFmtId="175" xfId="0" applyAlignment="1" applyFont="1" applyNumberFormat="1">
      <alignment shrinkToFit="0" vertical="center" wrapText="1"/>
    </xf>
    <xf borderId="55" fillId="13" fontId="162" numFmtId="175" xfId="0" applyAlignment="1" applyBorder="1" applyFont="1" applyNumberFormat="1">
      <alignment shrinkToFit="0" vertical="center" wrapText="1"/>
    </xf>
    <xf borderId="1" fillId="2" fontId="171" numFmtId="0" xfId="0" applyAlignment="1" applyBorder="1" applyFont="1">
      <alignment horizontal="right" readingOrder="0" shrinkToFit="0" vertical="center" wrapText="1"/>
    </xf>
    <xf borderId="1" fillId="2" fontId="171" numFmtId="0" xfId="0" applyAlignment="1" applyBorder="1" applyFont="1">
      <alignment horizontal="right" readingOrder="0" vertical="center"/>
    </xf>
    <xf borderId="1" fillId="2" fontId="168" numFmtId="0" xfId="0" applyAlignment="1" applyBorder="1" applyFont="1">
      <alignment horizontal="right" shrinkToFit="0" vertical="center" wrapText="1"/>
    </xf>
    <xf borderId="36" fillId="7" fontId="170" numFmtId="175" xfId="0" applyAlignment="1" applyBorder="1" applyFont="1" applyNumberFormat="1">
      <alignment horizontal="right" shrinkToFit="0" wrapText="1"/>
    </xf>
    <xf borderId="55" fillId="11" fontId="162" numFmtId="4" xfId="0" applyAlignment="1" applyBorder="1" applyFont="1" applyNumberFormat="1">
      <alignment shrinkToFit="0" vertical="center" wrapText="1"/>
    </xf>
    <xf borderId="55" fillId="2" fontId="162" numFmtId="165" xfId="0" applyAlignment="1" applyBorder="1" applyFont="1" applyNumberFormat="1">
      <alignment shrinkToFit="0" vertical="center" wrapText="1"/>
    </xf>
    <xf borderId="0" fillId="0" fontId="172" numFmtId="175" xfId="0" applyAlignment="1" applyFont="1" applyNumberFormat="1">
      <alignment horizontal="right" shrinkToFit="0" wrapText="1"/>
    </xf>
    <xf borderId="55" fillId="11" fontId="162" numFmtId="170" xfId="0" applyAlignment="1" applyBorder="1" applyFont="1" applyNumberFormat="1">
      <alignment shrinkToFit="0" vertical="center" wrapText="1"/>
    </xf>
    <xf borderId="1" fillId="2" fontId="171" numFmtId="0" xfId="0" applyAlignment="1" applyBorder="1" applyFont="1">
      <alignment horizontal="right" vertical="center"/>
    </xf>
    <xf borderId="1" fillId="6" fontId="162" numFmtId="175" xfId="0" applyAlignment="1" applyBorder="1" applyFont="1" applyNumberFormat="1">
      <alignment shrinkToFit="0" vertical="center" wrapText="1"/>
    </xf>
    <xf borderId="1" fillId="2" fontId="80" numFmtId="0" xfId="0" applyAlignment="1" applyBorder="1" applyFont="1">
      <alignment vertical="center"/>
    </xf>
    <xf borderId="68" fillId="2" fontId="169" numFmtId="0" xfId="0" applyAlignment="1" applyBorder="1" applyFont="1">
      <alignment horizontal="right" readingOrder="0" shrinkToFit="0" vertical="center" wrapText="1"/>
    </xf>
    <xf borderId="1" fillId="2" fontId="78" numFmtId="0" xfId="0" applyAlignment="1" applyBorder="1" applyFont="1">
      <alignment vertical="center"/>
    </xf>
    <xf borderId="22" fillId="0" fontId="1" numFmtId="0" xfId="0" applyAlignment="1" applyBorder="1" applyFont="1">
      <alignment vertical="center"/>
    </xf>
    <xf borderId="22" fillId="2" fontId="55" numFmtId="0" xfId="0" applyAlignment="1" applyBorder="1" applyFont="1">
      <alignment vertical="center"/>
    </xf>
    <xf borderId="3" fillId="2" fontId="1" numFmtId="0" xfId="0" applyAlignment="1" applyBorder="1" applyFont="1">
      <alignment vertical="center"/>
    </xf>
    <xf borderId="78" fillId="2" fontId="34" numFmtId="0" xfId="0" applyAlignment="1" applyBorder="1" applyFont="1">
      <alignment horizontal="right" shrinkToFit="0" vertical="center" wrapText="1"/>
    </xf>
    <xf borderId="79" fillId="21" fontId="166" numFmtId="0" xfId="0" applyAlignment="1" applyBorder="1" applyFont="1">
      <alignment horizontal="center"/>
    </xf>
    <xf borderId="80" fillId="21" fontId="166" numFmtId="0" xfId="0" applyAlignment="1" applyBorder="1" applyFont="1">
      <alignment horizontal="center"/>
    </xf>
    <xf borderId="5" fillId="2" fontId="1" numFmtId="0" xfId="0" applyAlignment="1" applyBorder="1" applyFont="1">
      <alignment vertical="center"/>
    </xf>
    <xf borderId="81" fillId="2" fontId="169" numFmtId="0" xfId="0" applyAlignment="1" applyBorder="1" applyFont="1">
      <alignment horizontal="right" shrinkToFit="0" vertical="center" wrapText="1"/>
    </xf>
    <xf borderId="82" fillId="5" fontId="170" numFmtId="175" xfId="0" applyAlignment="1" applyBorder="1" applyFont="1" applyNumberFormat="1">
      <alignment horizontal="right" shrinkToFit="0" wrapText="1"/>
    </xf>
    <xf borderId="83" fillId="6" fontId="162" numFmtId="175" xfId="0" applyAlignment="1" applyBorder="1" applyFont="1" applyNumberFormat="1">
      <alignment shrinkToFit="0" vertical="center" wrapText="1"/>
    </xf>
    <xf borderId="84" fillId="2" fontId="171" numFmtId="0" xfId="0" applyAlignment="1" applyBorder="1" applyFont="1">
      <alignment horizontal="right" vertical="center"/>
    </xf>
    <xf borderId="85" fillId="13" fontId="162" numFmtId="175" xfId="0" applyAlignment="1" applyBorder="1" applyFont="1" applyNumberFormat="1">
      <alignment shrinkToFit="0" vertical="center" wrapText="1"/>
    </xf>
    <xf borderId="84" fillId="2" fontId="171" numFmtId="0" xfId="0" applyAlignment="1" applyBorder="1" applyFont="1">
      <alignment horizontal="right" readingOrder="0" vertical="center"/>
    </xf>
    <xf borderId="86" fillId="13" fontId="162" numFmtId="175" xfId="0" applyAlignment="1" applyBorder="1" applyFont="1" applyNumberFormat="1">
      <alignment shrinkToFit="0" vertical="center" wrapText="1"/>
    </xf>
    <xf borderId="81" fillId="2" fontId="169" numFmtId="0" xfId="0" applyAlignment="1" applyBorder="1" applyFont="1">
      <alignment horizontal="right" readingOrder="0" shrinkToFit="0" vertical="center" wrapText="1"/>
    </xf>
    <xf borderId="87" fillId="2" fontId="168" numFmtId="0" xfId="0" applyAlignment="1" applyBorder="1" applyFont="1">
      <alignment horizontal="right" readingOrder="0" vertical="center"/>
    </xf>
    <xf borderId="88" fillId="16" fontId="54" numFmtId="175" xfId="0" applyAlignment="1" applyBorder="1" applyFont="1" applyNumberFormat="1">
      <alignment shrinkToFit="0" vertical="center" wrapText="1"/>
    </xf>
    <xf borderId="89" fillId="13" fontId="162" numFmtId="175" xfId="0" applyAlignment="1" applyBorder="1" applyFont="1" applyNumberFormat="1">
      <alignment shrinkToFit="0" vertical="center" wrapText="1"/>
    </xf>
    <xf borderId="24" fillId="2" fontId="1" numFmtId="0" xfId="0" applyAlignment="1" applyBorder="1" applyFont="1">
      <alignment vertical="center"/>
    </xf>
    <xf borderId="1" fillId="2" fontId="1" numFmtId="0" xfId="0" applyAlignment="1" applyBorder="1" applyFont="1">
      <alignment readingOrder="0" vertical="center"/>
    </xf>
    <xf borderId="90" fillId="2" fontId="173" numFmtId="0" xfId="0" applyAlignment="1" applyBorder="1" applyFont="1">
      <alignment horizontal="right" shrinkToFit="0" wrapText="1"/>
    </xf>
    <xf borderId="91" fillId="11" fontId="162" numFmtId="165" xfId="0" applyAlignment="1" applyBorder="1" applyFont="1" applyNumberFormat="1">
      <alignment horizontal="right" shrinkToFit="0" wrapText="1"/>
    </xf>
    <xf borderId="5" fillId="2" fontId="55" numFmtId="165" xfId="0" applyBorder="1" applyFont="1" applyNumberFormat="1"/>
    <xf borderId="84" fillId="13" fontId="174" numFmtId="0" xfId="0" applyAlignment="1" applyBorder="1" applyFont="1">
      <alignment horizontal="right" vertical="center"/>
    </xf>
    <xf borderId="0" fillId="13" fontId="175" numFmtId="175" xfId="0" applyAlignment="1" applyFont="1" applyNumberFormat="1">
      <alignment horizontal="right" readingOrder="0" shrinkToFit="0" wrapText="1"/>
    </xf>
    <xf borderId="85" fillId="13" fontId="176" numFmtId="175" xfId="0" applyAlignment="1" applyBorder="1" applyFont="1" applyNumberFormat="1">
      <alignment shrinkToFit="0" vertical="center" wrapText="1"/>
    </xf>
    <xf borderId="59" fillId="2" fontId="173" numFmtId="0" xfId="0" applyAlignment="1" applyBorder="1" applyFont="1">
      <alignment horizontal="right" shrinkToFit="0" wrapText="1"/>
    </xf>
    <xf borderId="92" fillId="11" fontId="162" numFmtId="165" xfId="0" applyAlignment="1" applyBorder="1" applyFont="1" applyNumberFormat="1">
      <alignment horizontal="right" shrinkToFit="0" wrapText="1"/>
    </xf>
    <xf borderId="93" fillId="13" fontId="162" numFmtId="175" xfId="0" applyAlignment="1" applyBorder="1" applyFont="1" applyNumberFormat="1">
      <alignment horizontal="center" readingOrder="0" shrinkToFit="0" wrapText="1"/>
    </xf>
    <xf borderId="82" fillId="6" fontId="162" numFmtId="175" xfId="0" applyAlignment="1" applyBorder="1" applyFont="1" applyNumberFormat="1">
      <alignment shrinkToFit="0" vertical="center" wrapText="1"/>
    </xf>
    <xf borderId="92" fillId="11" fontId="162" numFmtId="4" xfId="0" applyAlignment="1" applyBorder="1" applyFont="1" applyNumberFormat="1">
      <alignment horizontal="right" shrinkToFit="0" wrapText="1"/>
    </xf>
    <xf borderId="73" fillId="2" fontId="55" numFmtId="165" xfId="0" applyBorder="1" applyFont="1" applyNumberFormat="1"/>
    <xf borderId="36" fillId="11" fontId="162" numFmtId="170" xfId="0" applyAlignment="1" applyBorder="1" applyFont="1" applyNumberFormat="1">
      <alignment horizontal="center" shrinkToFit="0" wrapText="1"/>
    </xf>
    <xf borderId="73" fillId="2" fontId="55" numFmtId="0" xfId="0" applyBorder="1" applyFont="1"/>
    <xf borderId="22" fillId="2" fontId="1" numFmtId="0" xfId="0" applyAlignment="1" applyBorder="1" applyFont="1">
      <alignment vertical="center"/>
    </xf>
    <xf borderId="0" fillId="13" fontId="177" numFmtId="0" xfId="0" applyAlignment="1" applyFont="1">
      <alignment readingOrder="0" vertical="bottom"/>
    </xf>
    <xf borderId="0" fillId="13" fontId="178" numFmtId="0" xfId="0" applyAlignment="1" applyFont="1">
      <alignment vertical="center"/>
    </xf>
    <xf borderId="0" fillId="13" fontId="177" numFmtId="0" xfId="0" applyAlignment="1" applyFont="1">
      <alignment vertical="bottom"/>
    </xf>
    <xf borderId="0" fillId="13" fontId="179" numFmtId="0" xfId="0" applyAlignment="1" applyFont="1">
      <alignment horizontal="center" readingOrder="0"/>
    </xf>
    <xf borderId="0" fillId="13" fontId="179" numFmtId="0" xfId="0" applyAlignment="1" applyFont="1">
      <alignment horizontal="center"/>
    </xf>
    <xf borderId="0" fillId="13" fontId="180" numFmtId="0" xfId="0" applyAlignment="1" applyFont="1">
      <alignment horizontal="right" readingOrder="0" shrinkToFit="0" wrapText="1"/>
    </xf>
    <xf borderId="0" fillId="13" fontId="175" numFmtId="175" xfId="0" applyAlignment="1" applyFont="1" applyNumberFormat="1">
      <alignment horizontal="right" shrinkToFit="0" wrapText="1"/>
    </xf>
    <xf borderId="0" fillId="13" fontId="181" numFmtId="0" xfId="0" applyAlignment="1" applyFont="1">
      <alignment horizontal="right" readingOrder="0"/>
    </xf>
    <xf borderId="0" fillId="13" fontId="177" numFmtId="175" xfId="0" applyFont="1" applyNumberFormat="1"/>
    <xf borderId="0" fillId="13" fontId="179" numFmtId="0" xfId="0" applyAlignment="1" applyFont="1">
      <alignment horizontal="right" readingOrder="0"/>
    </xf>
    <xf borderId="0" fillId="0" fontId="182" numFmtId="0" xfId="0" applyFont="1"/>
    <xf borderId="0" fillId="0" fontId="182" numFmtId="0" xfId="0" applyAlignment="1" applyFont="1">
      <alignment readingOrder="0"/>
    </xf>
    <xf borderId="0" fillId="9" fontId="138" numFmtId="0" xfId="0" applyFont="1"/>
    <xf borderId="0" fillId="9" fontId="138" numFmtId="0" xfId="0" applyAlignment="1" applyFont="1">
      <alignment readingOrder="0"/>
    </xf>
    <xf borderId="0" fillId="0" fontId="51" numFmtId="3" xfId="0" applyAlignment="1" applyFont="1" applyNumberFormat="1">
      <alignment readingOrder="0"/>
    </xf>
    <xf borderId="0" fillId="0" fontId="138" numFmtId="0" xfId="0" applyFont="1"/>
    <xf borderId="0" fillId="0" fontId="138" numFmtId="3" xfId="0" applyAlignment="1" applyFont="1" applyNumberFormat="1">
      <alignment readingOrder="0"/>
    </xf>
    <xf borderId="0" fillId="0" fontId="138" numFmtId="10" xfId="0" applyFont="1" applyNumberFormat="1"/>
    <xf borderId="0" fillId="0" fontId="138" numFmtId="3" xfId="0" applyFont="1" applyNumberFormat="1"/>
    <xf borderId="0" fillId="0" fontId="138" numFmtId="10" xfId="0" applyAlignment="1" applyFont="1" applyNumberFormat="1">
      <alignment readingOrder="0"/>
    </xf>
    <xf borderId="0" fillId="0" fontId="56" numFmtId="3" xfId="0" applyAlignment="1" applyFont="1" applyNumberFormat="1">
      <alignment horizontal="right" readingOrder="0" shrinkToFit="0" wrapText="1"/>
    </xf>
    <xf borderId="0" fillId="0" fontId="51" numFmtId="9" xfId="0" applyAlignment="1" applyFont="1" applyNumberFormat="1">
      <alignment readingOrder="0"/>
    </xf>
    <xf borderId="0" fillId="28" fontId="51" numFmtId="0" xfId="0" applyAlignment="1" applyFill="1" applyFont="1">
      <alignment readingOrder="0"/>
    </xf>
    <xf borderId="0" fillId="0" fontId="51" numFmtId="10" xfId="0" applyAlignment="1" applyFont="1" applyNumberFormat="1">
      <alignment readingOrder="0"/>
    </xf>
    <xf borderId="0" fillId="0" fontId="138" numFmtId="0" xfId="0" applyAlignment="1" applyFont="1">
      <alignment readingOrder="0" shrinkToFit="0" wrapText="1"/>
    </xf>
    <xf borderId="0" fillId="0" fontId="56" numFmtId="0" xfId="0" applyAlignment="1" applyFont="1">
      <alignment readingOrder="0" shrinkToFit="0" wrapText="1"/>
    </xf>
    <xf borderId="0" fillId="0" fontId="51" numFmtId="4" xfId="0" applyAlignment="1" applyFont="1" applyNumberFormat="1">
      <alignment readingOrder="0"/>
    </xf>
    <xf borderId="0" fillId="9" fontId="51" numFmtId="0" xfId="0" applyAlignment="1" applyFont="1">
      <alignment readingOrder="0"/>
    </xf>
    <xf borderId="0" fillId="9" fontId="51" numFmtId="0" xfId="0" applyFont="1"/>
    <xf borderId="6" fillId="0" fontId="12" numFmtId="0" xfId="0" applyAlignment="1" applyBorder="1" applyFont="1">
      <alignment vertical="bottom"/>
    </xf>
    <xf borderId="94" fillId="0" fontId="12" numFmtId="0" xfId="0" applyAlignment="1" applyBorder="1" applyFont="1">
      <alignment vertical="bottom"/>
    </xf>
    <xf borderId="8" fillId="0" fontId="140" numFmtId="0" xfId="0" applyAlignment="1" applyBorder="1" applyFont="1">
      <alignment horizontal="right" readingOrder="0" vertical="bottom"/>
    </xf>
    <xf borderId="8" fillId="0" fontId="140" numFmtId="0" xfId="0" applyAlignment="1" applyBorder="1" applyFont="1">
      <alignment horizontal="right" vertical="bottom"/>
    </xf>
    <xf borderId="94" fillId="0" fontId="12" numFmtId="0" xfId="0" applyAlignment="1" applyBorder="1" applyFont="1">
      <alignment readingOrder="0" shrinkToFit="0" vertical="bottom" wrapText="1"/>
    </xf>
    <xf borderId="8" fillId="0" fontId="12" numFmtId="3" xfId="0" applyAlignment="1" applyBorder="1" applyFont="1" applyNumberFormat="1">
      <alignment horizontal="right" readingOrder="0" vertical="bottom"/>
    </xf>
    <xf borderId="8" fillId="0" fontId="12" numFmtId="178" xfId="0" applyAlignment="1" applyBorder="1" applyFont="1" applyNumberFormat="1">
      <alignment horizontal="right" vertical="bottom"/>
    </xf>
    <xf borderId="8" fillId="0" fontId="12" numFmtId="178" xfId="0" applyAlignment="1" applyBorder="1" applyFont="1" applyNumberFormat="1">
      <alignment horizontal="right" readingOrder="0" vertical="bottom"/>
    </xf>
    <xf borderId="95" fillId="0" fontId="12" numFmtId="0" xfId="0" applyAlignment="1" applyBorder="1" applyFont="1">
      <alignment readingOrder="0" shrinkToFit="0" vertical="bottom" wrapText="1"/>
    </xf>
    <xf borderId="96" fillId="0" fontId="12" numFmtId="178" xfId="0" applyAlignment="1" applyBorder="1" applyFont="1" applyNumberFormat="1">
      <alignment horizontal="right" readingOrder="0" vertical="bottom"/>
    </xf>
    <xf borderId="96" fillId="0" fontId="12" numFmtId="178" xfId="0" applyAlignment="1" applyBorder="1" applyFont="1" applyNumberFormat="1">
      <alignment horizontal="right" vertical="bottom"/>
    </xf>
    <xf borderId="94" fillId="0" fontId="140" numFmtId="0" xfId="0" applyAlignment="1" applyBorder="1" applyFont="1">
      <alignment shrinkToFit="0" vertical="bottom" wrapText="1"/>
    </xf>
    <xf borderId="0" fillId="0" fontId="51" numFmtId="178" xfId="0" applyFont="1" applyNumberFormat="1"/>
    <xf borderId="9" fillId="0" fontId="76" numFmtId="178" xfId="0" applyAlignment="1" applyBorder="1" applyFont="1" applyNumberFormat="1">
      <alignment horizontal="right" vertical="bottom"/>
    </xf>
    <xf borderId="8" fillId="0" fontId="140" numFmtId="178" xfId="0" applyAlignment="1" applyBorder="1" applyFont="1" applyNumberFormat="1">
      <alignment horizontal="right" vertical="bottom"/>
    </xf>
    <xf borderId="8" fillId="0" fontId="140" numFmtId="175" xfId="0" applyAlignment="1" applyBorder="1" applyFont="1" applyNumberFormat="1">
      <alignment horizontal="right" shrinkToFit="0" vertical="bottom" wrapText="1"/>
    </xf>
    <xf borderId="8" fillId="0" fontId="183" numFmtId="175" xfId="0" applyAlignment="1" applyBorder="1" applyFont="1" applyNumberFormat="1">
      <alignment horizontal="right" shrinkToFit="0" vertical="bottom" wrapText="1"/>
    </xf>
    <xf borderId="0" fillId="29" fontId="140" numFmtId="169" xfId="0" applyAlignment="1" applyFill="1" applyFont="1" applyNumberFormat="1">
      <alignment horizontal="right" shrinkToFit="0" vertical="bottom" wrapText="1"/>
    </xf>
    <xf borderId="8" fillId="0" fontId="140" numFmtId="9" xfId="0" applyAlignment="1" applyBorder="1" applyFont="1" applyNumberFormat="1">
      <alignment horizontal="right" readingOrder="0" shrinkToFit="0" vertical="bottom" wrapText="1"/>
    </xf>
    <xf borderId="8" fillId="0" fontId="12" numFmtId="0" xfId="0" applyAlignment="1" applyBorder="1" applyFont="1">
      <alignment vertical="bottom"/>
    </xf>
    <xf borderId="0" fillId="0" fontId="1" numFmtId="0" xfId="0" applyFont="1"/>
    <xf borderId="97" fillId="0" fontId="60" numFmtId="0" xfId="0" applyAlignment="1" applyBorder="1" applyFont="1">
      <alignment vertical="center"/>
    </xf>
    <xf borderId="98" fillId="9" fontId="127" numFmtId="0" xfId="0" applyAlignment="1" applyBorder="1" applyFont="1">
      <alignment horizontal="center" shrinkToFit="0" vertical="center" wrapText="1"/>
    </xf>
    <xf borderId="99" fillId="0" fontId="11" numFmtId="0" xfId="0" applyBorder="1" applyFont="1"/>
    <xf borderId="100" fillId="0" fontId="11" numFmtId="0" xfId="0" applyBorder="1" applyFont="1"/>
    <xf borderId="98" fillId="30" fontId="127" numFmtId="0" xfId="0" applyAlignment="1" applyBorder="1" applyFill="1" applyFont="1">
      <alignment horizontal="center" shrinkToFit="0" vertical="center" wrapText="1"/>
    </xf>
    <xf borderId="97" fillId="0" fontId="164" numFmtId="0" xfId="0" applyAlignment="1" applyBorder="1" applyFont="1">
      <alignment shrinkToFit="0" vertical="center" wrapText="1"/>
    </xf>
    <xf borderId="97" fillId="31" fontId="184" numFmtId="0" xfId="0" applyAlignment="1" applyBorder="1" applyFill="1" applyFont="1">
      <alignment shrinkToFit="0" vertical="center" wrapText="1"/>
    </xf>
    <xf borderId="97" fillId="9" fontId="127" numFmtId="0" xfId="0" applyAlignment="1" applyBorder="1" applyFont="1">
      <alignment horizontal="center" shrinkToFit="0" vertical="center" wrapText="1"/>
    </xf>
    <xf borderId="97" fillId="31" fontId="164" numFmtId="0" xfId="0" applyAlignment="1" applyBorder="1" applyFont="1">
      <alignment shrinkToFit="0" vertical="center" wrapText="1"/>
    </xf>
    <xf borderId="97" fillId="32" fontId="127" numFmtId="0" xfId="0" applyAlignment="1" applyBorder="1" applyFill="1" applyFont="1">
      <alignment horizontal="center" shrinkToFit="0" vertical="center" wrapText="1"/>
    </xf>
    <xf borderId="29" fillId="14" fontId="60" numFmtId="167" xfId="0" applyAlignment="1" applyBorder="1" applyFont="1" applyNumberFormat="1">
      <alignment vertical="center"/>
    </xf>
    <xf borderId="97" fillId="33" fontId="127" numFmtId="165" xfId="0" applyAlignment="1" applyBorder="1" applyFill="1" applyFont="1" applyNumberFormat="1">
      <alignment shrinkToFit="0" wrapText="1"/>
    </xf>
    <xf borderId="29" fillId="14" fontId="60" numFmtId="173" xfId="0" applyAlignment="1" applyBorder="1" applyFont="1" applyNumberFormat="1">
      <alignment vertical="center"/>
    </xf>
    <xf borderId="29" fillId="34" fontId="60" numFmtId="9" xfId="0" applyAlignment="1" applyBorder="1" applyFill="1" applyFont="1" applyNumberFormat="1">
      <alignment horizontal="center" vertical="center"/>
    </xf>
    <xf borderId="97" fillId="33" fontId="127" numFmtId="175" xfId="0" applyAlignment="1" applyBorder="1" applyFont="1" applyNumberFormat="1">
      <alignment shrinkToFit="0" wrapText="1"/>
    </xf>
    <xf borderId="97" fillId="0" fontId="185" numFmtId="0" xfId="0" applyAlignment="1" applyBorder="1" applyFont="1">
      <alignment shrinkToFit="0" wrapText="1"/>
    </xf>
    <xf borderId="97" fillId="31" fontId="130" numFmtId="167" xfId="0" applyAlignment="1" applyBorder="1" applyFont="1" applyNumberFormat="1">
      <alignment shrinkToFit="0" wrapText="1"/>
    </xf>
    <xf borderId="97" fillId="31" fontId="130" numFmtId="165" xfId="0" applyAlignment="1" applyBorder="1" applyFont="1" applyNumberFormat="1">
      <alignment shrinkToFit="0" wrapText="1"/>
    </xf>
    <xf borderId="0" fillId="0" fontId="55" numFmtId="165" xfId="0" applyFont="1" applyNumberFormat="1"/>
    <xf borderId="97" fillId="35" fontId="130" numFmtId="165" xfId="0" applyAlignment="1" applyBorder="1" applyFill="1" applyFont="1" applyNumberFormat="1">
      <alignment shrinkToFit="0" wrapText="1"/>
    </xf>
    <xf borderId="0" fillId="0" fontId="1" numFmtId="165" xfId="0" applyFont="1" applyNumberFormat="1"/>
    <xf borderId="0" fillId="0" fontId="1" numFmtId="9" xfId="0" applyFont="1" applyNumberFormat="1"/>
    <xf borderId="0" fillId="0" fontId="1" numFmtId="3" xfId="0" applyFont="1" applyNumberFormat="1"/>
    <xf borderId="0" fillId="0" fontId="134" numFmtId="0" xfId="0" applyFont="1"/>
    <xf borderId="2" fillId="2" fontId="186" numFmtId="0" xfId="0" applyBorder="1" applyFont="1"/>
    <xf borderId="2" fillId="2" fontId="9" numFmtId="0" xfId="0" applyBorder="1" applyFont="1"/>
    <xf borderId="101" fillId="36" fontId="187" numFmtId="0" xfId="0" applyAlignment="1" applyBorder="1" applyFill="1" applyFont="1">
      <alignment horizontal="left"/>
    </xf>
    <xf borderId="102" fillId="36" fontId="188" numFmtId="0" xfId="0" applyBorder="1" applyFont="1"/>
    <xf borderId="103" fillId="2" fontId="189" numFmtId="0" xfId="0" applyBorder="1" applyFont="1"/>
    <xf borderId="104" fillId="36" fontId="187" numFmtId="0" xfId="0" applyAlignment="1" applyBorder="1" applyFont="1">
      <alignment horizontal="left"/>
    </xf>
    <xf borderId="0" fillId="0" fontId="149" numFmtId="0" xfId="0" applyFont="1"/>
    <xf borderId="0" fillId="0" fontId="190" numFmtId="0" xfId="0" applyFont="1"/>
    <xf borderId="0" fillId="0" fontId="191" numFmtId="0" xfId="0" applyFont="1"/>
    <xf borderId="0" fillId="0" fontId="192" numFmtId="0" xfId="0" applyFont="1"/>
    <xf borderId="0" fillId="0" fontId="193" numFmtId="0" xfId="0" applyAlignment="1" applyFont="1">
      <alignment horizontal="left"/>
    </xf>
    <xf borderId="2" fillId="37" fontId="194" numFmtId="0" xfId="0" applyAlignment="1" applyBorder="1" applyFill="1" applyFont="1">
      <alignment horizontal="center" vertical="center"/>
    </xf>
    <xf borderId="105" fillId="0" fontId="195" numFmtId="0" xfId="0" applyBorder="1" applyFont="1"/>
    <xf borderId="106" fillId="38" fontId="195" numFmtId="167" xfId="0" applyBorder="1" applyFill="1" applyFont="1" applyNumberFormat="1"/>
    <xf borderId="107" fillId="39" fontId="196" numFmtId="165" xfId="0" applyBorder="1" applyFill="1" applyFont="1" applyNumberFormat="1"/>
    <xf borderId="106" fillId="14" fontId="195" numFmtId="167" xfId="0" applyBorder="1" applyFont="1" applyNumberFormat="1"/>
    <xf borderId="0" fillId="0" fontId="195" numFmtId="0" xfId="0" applyFont="1"/>
    <xf borderId="0" fillId="0" fontId="134" numFmtId="167" xfId="0" applyFont="1" applyNumberFormat="1"/>
    <xf borderId="108" fillId="0" fontId="195" numFmtId="0" xfId="0" applyBorder="1" applyFont="1"/>
    <xf borderId="109" fillId="38" fontId="195" numFmtId="165" xfId="0" applyBorder="1" applyFont="1" applyNumberFormat="1"/>
    <xf borderId="110" fillId="39" fontId="196" numFmtId="165" xfId="0" applyBorder="1" applyFont="1" applyNumberFormat="1"/>
    <xf borderId="0" fillId="0" fontId="197" numFmtId="0" xfId="0" applyFont="1"/>
    <xf borderId="0" fillId="0" fontId="134" numFmtId="0" xfId="0" applyAlignment="1" applyFont="1">
      <alignment horizontal="right"/>
    </xf>
    <xf borderId="0" fillId="0" fontId="198" numFmtId="165" xfId="0" applyAlignment="1" applyFont="1" applyNumberFormat="1">
      <alignment horizontal="left"/>
    </xf>
    <xf borderId="41" fillId="0" fontId="55" numFmtId="10" xfId="0" applyAlignment="1" applyBorder="1" applyFont="1" applyNumberFormat="1">
      <alignment horizontal="right" vertical="center"/>
    </xf>
    <xf borderId="29" fillId="33" fontId="60" numFmtId="9" xfId="0" applyBorder="1" applyFont="1" applyNumberFormat="1"/>
    <xf borderId="29" fillId="33" fontId="60" numFmtId="2" xfId="0" applyBorder="1" applyFont="1" applyNumberFormat="1"/>
    <xf borderId="111" fillId="38" fontId="195" numFmtId="165" xfId="0" applyBorder="1" applyFont="1" applyNumberFormat="1"/>
    <xf borderId="112" fillId="39" fontId="196" numFmtId="165" xfId="0" applyBorder="1" applyFont="1" applyNumberFormat="1"/>
    <xf borderId="29" fillId="33" fontId="60" numFmtId="165" xfId="0" applyBorder="1" applyFont="1" applyNumberFormat="1"/>
    <xf borderId="113" fillId="0" fontId="134" numFmtId="0" xfId="0" applyBorder="1" applyFont="1"/>
    <xf borderId="114" fillId="38" fontId="134" numFmtId="165" xfId="0" applyBorder="1" applyFont="1" applyNumberFormat="1"/>
    <xf borderId="0" fillId="0" fontId="134" numFmtId="165" xfId="0" applyFont="1" applyNumberFormat="1"/>
    <xf borderId="115" fillId="0" fontId="134" numFmtId="0" xfId="0" applyBorder="1" applyFont="1"/>
    <xf borderId="116" fillId="38" fontId="134" numFmtId="165" xfId="0" applyBorder="1" applyFont="1" applyNumberFormat="1"/>
    <xf borderId="29" fillId="14" fontId="60" numFmtId="9" xfId="0" applyBorder="1" applyFont="1" applyNumberFormat="1"/>
    <xf borderId="117" fillId="0" fontId="199" numFmtId="2" xfId="0" applyAlignment="1" applyBorder="1" applyFont="1" applyNumberFormat="1">
      <alignment horizontal="left" vertical="center"/>
    </xf>
    <xf borderId="118" fillId="33" fontId="199" numFmtId="2" xfId="0" applyAlignment="1" applyBorder="1" applyFont="1" applyNumberFormat="1">
      <alignment horizontal="right" vertical="center"/>
    </xf>
    <xf borderId="0" fillId="0" fontId="55" numFmtId="9" xfId="0" applyFont="1" applyNumberFormat="1"/>
    <xf borderId="0" fillId="0" fontId="55" numFmtId="0" xfId="0" applyAlignment="1" applyFont="1">
      <alignment vertical="center"/>
    </xf>
    <xf borderId="0" fillId="0" fontId="200" numFmtId="0" xfId="0" applyAlignment="1" applyFont="1">
      <alignment horizontal="left" readingOrder="1" vertical="center"/>
    </xf>
    <xf borderId="0" fillId="0" fontId="55" numFmtId="165" xfId="0" applyAlignment="1" applyFont="1" applyNumberFormat="1">
      <alignment vertical="center"/>
    </xf>
    <xf borderId="0" fillId="0" fontId="55" numFmtId="9" xfId="0" applyAlignment="1" applyFont="1" applyNumberFormat="1">
      <alignment horizontal="center" vertical="center"/>
    </xf>
    <xf borderId="0" fillId="0" fontId="55" numFmtId="9" xfId="0" applyAlignment="1" applyFont="1" applyNumberFormat="1">
      <alignment vertical="center"/>
    </xf>
    <xf borderId="0" fillId="0" fontId="55" numFmtId="167" xfId="0" applyAlignment="1" applyFont="1" applyNumberFormat="1">
      <alignment vertical="center"/>
    </xf>
    <xf borderId="0" fillId="0" fontId="200" numFmtId="0" xfId="0" applyAlignment="1" applyFont="1">
      <alignment horizontal="left" readingOrder="1" shrinkToFit="0" vertical="center" wrapText="1"/>
    </xf>
    <xf borderId="0" fillId="0" fontId="195" numFmtId="167" xfId="0" applyAlignment="1" applyFont="1" applyNumberFormat="1">
      <alignment vertical="center"/>
    </xf>
    <xf borderId="0" fillId="0" fontId="201" numFmtId="0" xfId="0" applyAlignment="1" applyFont="1">
      <alignment horizontal="left" readingOrder="1" vertical="center"/>
    </xf>
    <xf borderId="0" fillId="0" fontId="55" numFmtId="167" xfId="0" applyFont="1" applyNumberFormat="1"/>
    <xf borderId="0" fillId="0" fontId="196" numFmtId="0" xfId="0" applyFont="1"/>
    <xf borderId="119" fillId="40" fontId="194" numFmtId="0" xfId="0" applyAlignment="1" applyBorder="1" applyFill="1" applyFont="1">
      <alignment horizontal="center" vertical="center"/>
    </xf>
    <xf borderId="120" fillId="40" fontId="194" numFmtId="0" xfId="0" applyAlignment="1" applyBorder="1" applyFont="1">
      <alignment horizontal="center" vertical="center"/>
    </xf>
    <xf borderId="121" fillId="0" fontId="195" numFmtId="0" xfId="0" applyBorder="1" applyFont="1"/>
    <xf borderId="122" fillId="33" fontId="195" numFmtId="165" xfId="0" applyBorder="1" applyFont="1" applyNumberFormat="1"/>
    <xf borderId="123" fillId="39" fontId="196" numFmtId="165" xfId="0" applyBorder="1" applyFont="1" applyNumberFormat="1"/>
    <xf borderId="124" fillId="0" fontId="55" numFmtId="0" xfId="0" applyBorder="1" applyFont="1"/>
    <xf borderId="125" fillId="33" fontId="55" numFmtId="165" xfId="0" applyBorder="1" applyFont="1" applyNumberFormat="1"/>
    <xf borderId="29" fillId="0" fontId="60" numFmtId="0" xfId="0" applyAlignment="1" applyBorder="1" applyFont="1">
      <alignment vertical="center"/>
    </xf>
    <xf borderId="0" fillId="0" fontId="55" numFmtId="10" xfId="0" applyFont="1" applyNumberFormat="1"/>
    <xf borderId="29" fillId="14" fontId="60" numFmtId="10" xfId="0" applyAlignment="1" applyBorder="1" applyFont="1" applyNumberFormat="1">
      <alignment vertical="center"/>
    </xf>
    <xf borderId="0" fillId="0" fontId="55" numFmtId="173" xfId="0" applyFont="1" applyNumberFormat="1"/>
    <xf borderId="29" fillId="14" fontId="60" numFmtId="0" xfId="0" applyAlignment="1" applyBorder="1" applyFont="1">
      <alignment vertical="center"/>
    </xf>
    <xf borderId="29" fillId="14" fontId="60" numFmtId="9" xfId="0" applyAlignment="1" applyBorder="1" applyFont="1" applyNumberFormat="1">
      <alignment vertical="center"/>
    </xf>
    <xf borderId="29" fillId="0" fontId="202"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FFFF"/>
                </a:solidFill>
                <a:latin typeface="Arial"/>
              </a:defRPr>
            </a:pPr>
            <a:r>
              <a:rPr b="1" i="0" sz="2000">
                <a:solidFill>
                  <a:srgbClr val="FFFFFF"/>
                </a:solidFill>
                <a:latin typeface="Arial"/>
              </a:rPr>
              <a:t>Number of Customers Acquired </a:t>
            </a:r>
          </a:p>
        </c:rich>
      </c:tx>
      <c:overlay val="0"/>
    </c:title>
    <c:plotArea>
      <c:layout/>
      <c:lineChart>
        <c:ser>
          <c:idx val="0"/>
          <c:order val="0"/>
          <c:tx>
            <c:strRef>
              <c:f>'Customer &amp; Loan Acquisition - A'!$J$76</c:f>
            </c:strRef>
          </c:tx>
          <c:spPr>
            <a:ln cmpd="sng" w="19050">
              <a:solidFill>
                <a:srgbClr val="00FFFF">
                  <a:alpha val="100000"/>
                </a:srgbClr>
              </a:solidFill>
            </a:ln>
          </c:spPr>
          <c:marker>
            <c:symbol val="circle"/>
            <c:size val="10"/>
            <c:spPr>
              <a:solidFill>
                <a:srgbClr val="00FFFF">
                  <a:alpha val="100000"/>
                </a:srgbClr>
              </a:solidFill>
              <a:ln cmpd="sng">
                <a:solidFill>
                  <a:srgbClr val="00FFFF">
                    <a:alpha val="100000"/>
                  </a:srgbClr>
                </a:solidFill>
              </a:ln>
            </c:spPr>
          </c:marker>
          <c:dLbls>
            <c:numFmt formatCode="General" sourceLinked="1"/>
            <c:txPr>
              <a:bodyPr/>
              <a:lstStyle/>
              <a:p>
                <a:pPr lvl="0">
                  <a:defRPr b="1" i="0"/>
                </a:pPr>
              </a:p>
            </c:txPr>
            <c:showLegendKey val="0"/>
            <c:showVal val="1"/>
            <c:showCatName val="0"/>
            <c:showSerName val="0"/>
            <c:showPercent val="0"/>
            <c:showBubbleSize val="0"/>
          </c:dLbls>
          <c:errBars>
            <c:errDir val="y"/>
            <c:errBarType val="both"/>
            <c:errValType val="percentage"/>
            <c:noEndCap val="0"/>
            <c:val val="10.0"/>
          </c:errBars>
          <c:cat>
            <c:strRef>
              <c:f>'Customer &amp; Loan Acquisition - A'!$I$77:$I$88</c:f>
            </c:strRef>
          </c:cat>
          <c:val>
            <c:numRef>
              <c:f>'Customer &amp; Loan Acquisition - A'!$J$77:$J$88</c:f>
              <c:numCache/>
            </c:numRef>
          </c:val>
          <c:smooth val="0"/>
        </c:ser>
        <c:ser>
          <c:idx val="1"/>
          <c:order val="1"/>
          <c:tx>
            <c:strRef>
              <c:f>'Customer &amp; Loan Acquisition - A'!$K$76</c:f>
            </c:strRef>
          </c:tx>
          <c:spPr>
            <a:ln cmpd="sng" w="19050">
              <a:solidFill>
                <a:srgbClr val="00FF00">
                  <a:alpha val="100000"/>
                </a:srgbClr>
              </a:solidFill>
            </a:ln>
          </c:spPr>
          <c:marker>
            <c:symbol val="circle"/>
            <c:size val="10"/>
            <c:spPr>
              <a:solidFill>
                <a:srgbClr val="00FF00">
                  <a:alpha val="100000"/>
                </a:srgbClr>
              </a:solidFill>
              <a:ln cmpd="sng">
                <a:solidFill>
                  <a:srgbClr val="00FF00">
                    <a:alpha val="100000"/>
                  </a:srgbClr>
                </a:solidFill>
              </a:ln>
            </c:spPr>
          </c:marker>
          <c:dLbls>
            <c:numFmt formatCode="General" sourceLinked="1"/>
            <c:txPr>
              <a:bodyPr/>
              <a:lstStyle/>
              <a:p>
                <a:pPr lvl="0">
                  <a:defRPr b="1" i="0" sz="1600"/>
                </a:pPr>
              </a:p>
            </c:txPr>
            <c:showLegendKey val="0"/>
            <c:showVal val="1"/>
            <c:showCatName val="0"/>
            <c:showSerName val="0"/>
            <c:showPercent val="0"/>
            <c:showBubbleSize val="0"/>
          </c:dLbls>
          <c:cat>
            <c:strRef>
              <c:f>'Customer &amp; Loan Acquisition - A'!$I$77:$I$88</c:f>
            </c:strRef>
          </c:cat>
          <c:val>
            <c:numRef>
              <c:f>'Customer &amp; Loan Acquisition - A'!$K$77:$K$88</c:f>
              <c:numCache/>
            </c:numRef>
          </c:val>
          <c:smooth val="0"/>
        </c:ser>
        <c:axId val="1947920400"/>
        <c:axId val="1520500783"/>
      </c:lineChart>
      <c:catAx>
        <c:axId val="19479204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200">
                <a:solidFill>
                  <a:srgbClr val="FFFFFF"/>
                </a:solidFill>
                <a:latin typeface="+mn-lt"/>
              </a:defRPr>
            </a:pPr>
          </a:p>
        </c:txPr>
        <c:crossAx val="1520500783"/>
      </c:catAx>
      <c:valAx>
        <c:axId val="15205007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400">
                <a:solidFill>
                  <a:srgbClr val="FFFFFF"/>
                </a:solidFill>
                <a:latin typeface="+mn-lt"/>
              </a:defRPr>
            </a:pPr>
          </a:p>
        </c:txPr>
        <c:crossAx val="1947920400"/>
      </c:valAx>
    </c:plotArea>
    <c:legend>
      <c:legendPos val="r"/>
      <c:overlay val="0"/>
      <c:txPr>
        <a:bodyPr/>
        <a:lstStyle/>
        <a:p>
          <a:pPr lvl="0">
            <a:defRPr b="0" i="0">
              <a:solidFill>
                <a:srgbClr val="FFFFFF"/>
              </a:solidFill>
              <a:latin typeface="Arial"/>
            </a:defRPr>
          </a:pPr>
        </a:p>
      </c:txPr>
    </c:legend>
    <c:plotVisOnly val="1"/>
  </c:chart>
  <c:spPr>
    <a:solidFill>
      <a:schemeClr val="accent1"/>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FFFF"/>
                </a:solidFill>
                <a:latin typeface="+mn-lt"/>
              </a:defRPr>
            </a:pPr>
            <a:r>
              <a:rPr b="1" i="0" sz="2000">
                <a:solidFill>
                  <a:srgbClr val="FFFFFF"/>
                </a:solidFill>
                <a:latin typeface="+mn-lt"/>
              </a:rPr>
              <a:t>Revenue Generated From Customer Acquisition </a:t>
            </a:r>
          </a:p>
        </c:rich>
      </c:tx>
      <c:overlay val="0"/>
    </c:title>
    <c:plotArea>
      <c:layout/>
      <c:lineChart>
        <c:ser>
          <c:idx val="0"/>
          <c:order val="0"/>
          <c:tx>
            <c:strRef>
              <c:f>'Customer &amp; Loan Acquisition - A'!$J$90</c:f>
            </c:strRef>
          </c:tx>
          <c:spPr>
            <a:ln cmpd="sng">
              <a:solidFill>
                <a:srgbClr val="00FFFF"/>
              </a:solidFill>
            </a:ln>
          </c:spPr>
          <c:marker>
            <c:symbol val="circle"/>
            <c:size val="10"/>
            <c:spPr>
              <a:solidFill>
                <a:srgbClr val="00FFFF"/>
              </a:solidFill>
              <a:ln cmpd="sng">
                <a:solidFill>
                  <a:srgbClr val="00FFFF"/>
                </a:solidFill>
              </a:ln>
            </c:spPr>
          </c:marker>
          <c:dLbls>
            <c:numFmt formatCode="General" sourceLinked="1"/>
            <c:txPr>
              <a:bodyPr/>
              <a:lstStyle/>
              <a:p>
                <a:pPr lvl="0">
                  <a:defRPr b="1" i="0"/>
                </a:pPr>
              </a:p>
            </c:txPr>
            <c:showLegendKey val="0"/>
            <c:showVal val="1"/>
            <c:showCatName val="0"/>
            <c:showSerName val="0"/>
            <c:showPercent val="0"/>
            <c:showBubbleSize val="0"/>
          </c:dLbls>
          <c:cat>
            <c:strRef>
              <c:f>'Customer &amp; Loan Acquisition - A'!$I$91:$I$96</c:f>
            </c:strRef>
          </c:cat>
          <c:val>
            <c:numRef>
              <c:f>'Customer &amp; Loan Acquisition - A'!$J$91:$J$96</c:f>
              <c:numCache/>
            </c:numRef>
          </c:val>
          <c:smooth val="0"/>
        </c:ser>
        <c:ser>
          <c:idx val="1"/>
          <c:order val="1"/>
          <c:tx>
            <c:strRef>
              <c:f>'Customer &amp; Loan Acquisition - A'!$K$90</c:f>
            </c:strRef>
          </c:tx>
          <c:spPr>
            <a:ln cmpd="sng">
              <a:solidFill>
                <a:srgbClr val="00FF00"/>
              </a:solidFill>
            </a:ln>
          </c:spPr>
          <c:marker>
            <c:symbol val="circle"/>
            <c:size val="10"/>
            <c:spPr>
              <a:solidFill>
                <a:srgbClr val="00FF00"/>
              </a:solidFill>
              <a:ln cmpd="sng">
                <a:solidFill>
                  <a:srgbClr val="00FF00"/>
                </a:solidFill>
              </a:ln>
            </c:spPr>
          </c:marker>
          <c:dLbls>
            <c:numFmt formatCode="General" sourceLinked="1"/>
            <c:txPr>
              <a:bodyPr/>
              <a:lstStyle/>
              <a:p>
                <a:pPr lvl="0">
                  <a:defRPr b="1" i="0" sz="1600"/>
                </a:pPr>
              </a:p>
            </c:txPr>
            <c:showLegendKey val="0"/>
            <c:showVal val="1"/>
            <c:showCatName val="0"/>
            <c:showSerName val="0"/>
            <c:showPercent val="0"/>
            <c:showBubbleSize val="0"/>
          </c:dLbls>
          <c:cat>
            <c:strRef>
              <c:f>'Customer &amp; Loan Acquisition - A'!$I$91:$I$96</c:f>
            </c:strRef>
          </c:cat>
          <c:val>
            <c:numRef>
              <c:f>'Customer &amp; Loan Acquisition - A'!$K$91:$K$96</c:f>
              <c:numCache/>
            </c:numRef>
          </c:val>
          <c:smooth val="0"/>
        </c:ser>
        <c:axId val="759769411"/>
        <c:axId val="1116925062"/>
      </c:lineChart>
      <c:catAx>
        <c:axId val="7597694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FFFFFF"/>
                </a:solidFill>
                <a:latin typeface="+mn-lt"/>
              </a:defRPr>
            </a:pPr>
          </a:p>
        </c:txPr>
        <c:crossAx val="1116925062"/>
      </c:catAx>
      <c:valAx>
        <c:axId val="11169250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400">
                <a:solidFill>
                  <a:srgbClr val="FFFFFF"/>
                </a:solidFill>
                <a:latin typeface="+mn-lt"/>
              </a:defRPr>
            </a:pPr>
          </a:p>
        </c:txPr>
        <c:crossAx val="759769411"/>
      </c:valAx>
    </c:plotArea>
    <c:legend>
      <c:legendPos val="r"/>
      <c:overlay val="0"/>
      <c:txPr>
        <a:bodyPr/>
        <a:lstStyle/>
        <a:p>
          <a:pPr lvl="0">
            <a:defRPr b="0" i="0">
              <a:solidFill>
                <a:srgbClr val="FFFFFF"/>
              </a:solidFill>
              <a:latin typeface="+mn-lt"/>
            </a:defRPr>
          </a:pPr>
        </a:p>
      </c:txPr>
    </c:legend>
    <c:plotVisOnly val="1"/>
  </c:chart>
  <c:spPr>
    <a:solidFill>
      <a:schemeClr val="accent1"/>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FFFF"/>
                </a:solidFill>
                <a:latin typeface="+mn-lt"/>
              </a:defRPr>
            </a:pPr>
            <a:r>
              <a:rPr b="1" i="0" sz="2000">
                <a:solidFill>
                  <a:srgbClr val="FFFFFF"/>
                </a:solidFill>
                <a:latin typeface="+mn-lt"/>
              </a:rPr>
              <a:t>Number of Loan Acquired </a:t>
            </a:r>
          </a:p>
        </c:rich>
      </c:tx>
      <c:overlay val="0"/>
    </c:title>
    <c:plotArea>
      <c:layout/>
      <c:lineChart>
        <c:ser>
          <c:idx val="0"/>
          <c:order val="0"/>
          <c:tx>
            <c:strRef>
              <c:f>'Customer &amp; Loan Acquisition - A'!$M$76</c:f>
            </c:strRef>
          </c:tx>
          <c:spPr>
            <a:ln cmpd="sng">
              <a:solidFill>
                <a:srgbClr val="00FFFF"/>
              </a:solidFill>
            </a:ln>
          </c:spPr>
          <c:marker>
            <c:symbol val="circle"/>
            <c:size val="10"/>
            <c:spPr>
              <a:solidFill>
                <a:srgbClr val="00FFFF"/>
              </a:solidFill>
              <a:ln cmpd="sng">
                <a:solidFill>
                  <a:srgbClr val="00FFFF"/>
                </a:solidFill>
              </a:ln>
            </c:spPr>
          </c:marker>
          <c:dLbls>
            <c:numFmt formatCode="General" sourceLinked="1"/>
            <c:txPr>
              <a:bodyPr/>
              <a:lstStyle/>
              <a:p>
                <a:pPr lvl="0">
                  <a:defRPr b="1" i="0"/>
                </a:pPr>
              </a:p>
            </c:txPr>
            <c:showLegendKey val="0"/>
            <c:showVal val="1"/>
            <c:showCatName val="0"/>
            <c:showSerName val="0"/>
            <c:showPercent val="0"/>
            <c:showBubbleSize val="0"/>
          </c:dLbls>
          <c:cat>
            <c:strRef>
              <c:f>'Customer &amp; Loan Acquisition - A'!$L$77:$L$88</c:f>
            </c:strRef>
          </c:cat>
          <c:val>
            <c:numRef>
              <c:f>'Customer &amp; Loan Acquisition - A'!$M$77:$M$88</c:f>
              <c:numCache/>
            </c:numRef>
          </c:val>
          <c:smooth val="0"/>
        </c:ser>
        <c:ser>
          <c:idx val="1"/>
          <c:order val="1"/>
          <c:tx>
            <c:strRef>
              <c:f>'Customer &amp; Loan Acquisition - A'!$N$50</c:f>
            </c:strRef>
          </c:tx>
          <c:spPr>
            <a:ln cmpd="sng" w="19050">
              <a:solidFill>
                <a:srgbClr val="00FF00">
                  <a:alpha val="100000"/>
                </a:srgbClr>
              </a:solidFill>
            </a:ln>
          </c:spPr>
          <c:marker>
            <c:symbol val="circle"/>
            <c:size val="10"/>
            <c:spPr>
              <a:solidFill>
                <a:srgbClr val="00FF00">
                  <a:alpha val="100000"/>
                </a:srgbClr>
              </a:solidFill>
              <a:ln cmpd="sng">
                <a:solidFill>
                  <a:srgbClr val="00FF00">
                    <a:alpha val="100000"/>
                  </a:srgbClr>
                </a:solidFill>
              </a:ln>
            </c:spPr>
          </c:marker>
          <c:dLbls>
            <c:numFmt formatCode="General" sourceLinked="1"/>
            <c:txPr>
              <a:bodyPr/>
              <a:lstStyle/>
              <a:p>
                <a:pPr lvl="0">
                  <a:defRPr b="1" i="0" sz="1600"/>
                </a:pPr>
              </a:p>
            </c:txPr>
            <c:showLegendKey val="0"/>
            <c:showVal val="1"/>
            <c:showCatName val="0"/>
            <c:showSerName val="0"/>
            <c:showPercent val="0"/>
            <c:showBubbleSize val="0"/>
          </c:dLbls>
          <c:cat>
            <c:strRef>
              <c:f>'Customer &amp; Loan Acquisition - A'!$L$77:$L$88</c:f>
            </c:strRef>
          </c:cat>
          <c:val>
            <c:numRef>
              <c:f>'Customer &amp; Loan Acquisition - A'!$N$51:$N$79</c:f>
              <c:numCache/>
            </c:numRef>
          </c:val>
          <c:smooth val="0"/>
        </c:ser>
        <c:axId val="2044909186"/>
        <c:axId val="1719711376"/>
      </c:lineChart>
      <c:catAx>
        <c:axId val="20449091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FFFFFF"/>
                </a:solidFill>
                <a:latin typeface="+mn-lt"/>
              </a:defRPr>
            </a:pPr>
          </a:p>
        </c:txPr>
        <c:crossAx val="1719711376"/>
      </c:catAx>
      <c:valAx>
        <c:axId val="17197113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400">
                <a:solidFill>
                  <a:srgbClr val="FFFFFF"/>
                </a:solidFill>
                <a:latin typeface="+mn-lt"/>
              </a:defRPr>
            </a:pPr>
          </a:p>
        </c:txPr>
        <c:crossAx val="2044909186"/>
      </c:valAx>
    </c:plotArea>
    <c:legend>
      <c:legendPos val="r"/>
      <c:overlay val="0"/>
      <c:txPr>
        <a:bodyPr/>
        <a:lstStyle/>
        <a:p>
          <a:pPr lvl="0">
            <a:defRPr b="0" i="0">
              <a:solidFill>
                <a:srgbClr val="FFFFFF"/>
              </a:solidFill>
              <a:latin typeface="+mn-lt"/>
            </a:defRPr>
          </a:pPr>
        </a:p>
      </c:txPr>
    </c:legend>
    <c:plotVisOnly val="1"/>
  </c:chart>
  <c:spPr>
    <a:solidFill>
      <a:schemeClr val="accent1"/>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FFFF"/>
                </a:solidFill>
                <a:latin typeface="+mn-lt"/>
              </a:defRPr>
            </a:pPr>
            <a:r>
              <a:rPr b="1" i="0" sz="2000">
                <a:solidFill>
                  <a:srgbClr val="FFFFFF"/>
                </a:solidFill>
                <a:latin typeface="+mn-lt"/>
              </a:rPr>
              <a:t>Revenue Generated From Loan Acquisition</a:t>
            </a:r>
          </a:p>
        </c:rich>
      </c:tx>
      <c:overlay val="0"/>
    </c:title>
    <c:plotArea>
      <c:layout/>
      <c:lineChart>
        <c:ser>
          <c:idx val="0"/>
          <c:order val="0"/>
          <c:tx>
            <c:strRef>
              <c:f>'Customer &amp; Loan Acquisition - A'!$M$90</c:f>
            </c:strRef>
          </c:tx>
          <c:spPr>
            <a:ln cmpd="sng">
              <a:solidFill>
                <a:srgbClr val="00FFFF"/>
              </a:solidFill>
            </a:ln>
          </c:spPr>
          <c:marker>
            <c:symbol val="circle"/>
            <c:size val="10"/>
            <c:spPr>
              <a:solidFill>
                <a:srgbClr val="00FFFF"/>
              </a:solidFill>
              <a:ln cmpd="sng">
                <a:solidFill>
                  <a:srgbClr val="00FFFF"/>
                </a:solidFill>
              </a:ln>
            </c:spPr>
          </c:marker>
          <c:dLbls>
            <c:numFmt formatCode="General" sourceLinked="1"/>
            <c:txPr>
              <a:bodyPr/>
              <a:lstStyle/>
              <a:p>
                <a:pPr lvl="0">
                  <a:defRPr b="1" i="0"/>
                </a:pPr>
              </a:p>
            </c:txPr>
            <c:showLegendKey val="0"/>
            <c:showVal val="1"/>
            <c:showCatName val="0"/>
            <c:showSerName val="0"/>
            <c:showPercent val="0"/>
            <c:showBubbleSize val="0"/>
          </c:dLbls>
          <c:cat>
            <c:strRef>
              <c:f>'Customer &amp; Loan Acquisition - A'!$L$91:$L$96</c:f>
            </c:strRef>
          </c:cat>
          <c:val>
            <c:numRef>
              <c:f>'Customer &amp; Loan Acquisition - A'!$M$91:$M$96</c:f>
              <c:numCache/>
            </c:numRef>
          </c:val>
          <c:smooth val="0"/>
        </c:ser>
        <c:ser>
          <c:idx val="1"/>
          <c:order val="1"/>
          <c:tx>
            <c:strRef>
              <c:f>'Customer &amp; Loan Acquisition - A'!$N$81</c:f>
            </c:strRef>
          </c:tx>
          <c:spPr>
            <a:ln cmpd="sng">
              <a:solidFill>
                <a:srgbClr val="00FF00"/>
              </a:solidFill>
            </a:ln>
          </c:spPr>
          <c:marker>
            <c:symbol val="circle"/>
            <c:size val="10"/>
            <c:spPr>
              <a:solidFill>
                <a:srgbClr val="00FF00"/>
              </a:solidFill>
              <a:ln cmpd="sng">
                <a:solidFill>
                  <a:srgbClr val="00FF00"/>
                </a:solidFill>
              </a:ln>
            </c:spPr>
          </c:marker>
          <c:dLbls>
            <c:numFmt formatCode="General" sourceLinked="1"/>
            <c:txPr>
              <a:bodyPr/>
              <a:lstStyle/>
              <a:p>
                <a:pPr lvl="0">
                  <a:defRPr b="1" i="0" sz="1600"/>
                </a:pPr>
              </a:p>
            </c:txPr>
            <c:showLegendKey val="0"/>
            <c:showVal val="1"/>
            <c:showCatName val="0"/>
            <c:showSerName val="0"/>
            <c:showPercent val="0"/>
            <c:showBubbleSize val="0"/>
          </c:dLbls>
          <c:cat>
            <c:strRef>
              <c:f>'Customer &amp; Loan Acquisition - A'!$L$91:$L$96</c:f>
            </c:strRef>
          </c:cat>
          <c:val>
            <c:numRef>
              <c:f>'Customer &amp; Loan Acquisition - A'!$N$82:$N$87</c:f>
              <c:numCache/>
            </c:numRef>
          </c:val>
          <c:smooth val="0"/>
        </c:ser>
        <c:axId val="246249614"/>
        <c:axId val="1170907591"/>
      </c:lineChart>
      <c:catAx>
        <c:axId val="2462496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FFFFFF"/>
                </a:solidFill>
                <a:latin typeface="+mn-lt"/>
              </a:defRPr>
            </a:pPr>
          </a:p>
        </c:txPr>
        <c:crossAx val="1170907591"/>
      </c:catAx>
      <c:valAx>
        <c:axId val="11709075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400">
                <a:solidFill>
                  <a:srgbClr val="FFFFFF"/>
                </a:solidFill>
                <a:latin typeface="+mn-lt"/>
              </a:defRPr>
            </a:pPr>
          </a:p>
        </c:txPr>
        <c:crossAx val="246249614"/>
      </c:valAx>
    </c:plotArea>
    <c:legend>
      <c:legendPos val="r"/>
      <c:overlay val="0"/>
      <c:txPr>
        <a:bodyPr/>
        <a:lstStyle/>
        <a:p>
          <a:pPr lvl="0">
            <a:defRPr b="0" i="0">
              <a:solidFill>
                <a:srgbClr val="FFFFFF"/>
              </a:solidFill>
              <a:latin typeface="+mn-lt"/>
            </a:defRPr>
          </a:pPr>
        </a:p>
      </c:txPr>
    </c:legend>
    <c:plotVisOnly val="1"/>
  </c:chart>
  <c:spPr>
    <a:solidFill>
      <a:schemeClr val="accent1"/>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FFFF"/>
                </a:solidFill>
                <a:latin typeface="+mn-lt"/>
              </a:defRPr>
            </a:pPr>
            <a:r>
              <a:rPr b="1" i="0" sz="2000">
                <a:solidFill>
                  <a:srgbClr val="FFFFFF"/>
                </a:solidFill>
                <a:latin typeface="+mn-lt"/>
              </a:rPr>
              <a:t>Customer Acquisition Costs </a:t>
            </a:r>
          </a:p>
        </c:rich>
      </c:tx>
      <c:overlay val="0"/>
    </c:title>
    <c:plotArea>
      <c:layout/>
      <c:lineChart>
        <c:ser>
          <c:idx val="0"/>
          <c:order val="0"/>
          <c:tx>
            <c:strRef>
              <c:f>'Customer &amp; Loan Acquisition - A'!$J$96</c:f>
            </c:strRef>
          </c:tx>
          <c:spPr>
            <a:ln cmpd="sng">
              <a:solidFill>
                <a:srgbClr val="00FFFF"/>
              </a:solidFill>
            </a:ln>
          </c:spPr>
          <c:marker>
            <c:symbol val="circle"/>
            <c:size val="10"/>
            <c:spPr>
              <a:solidFill>
                <a:srgbClr val="00FFFF"/>
              </a:solidFill>
              <a:ln cmpd="sng">
                <a:solidFill>
                  <a:srgbClr val="00FFFF"/>
                </a:solidFill>
              </a:ln>
            </c:spPr>
          </c:marker>
          <c:dLbls>
            <c:numFmt formatCode="General" sourceLinked="1"/>
            <c:txPr>
              <a:bodyPr/>
              <a:lstStyle/>
              <a:p>
                <a:pPr lvl="0">
                  <a:defRPr b="1" i="0"/>
                </a:pPr>
              </a:p>
            </c:txPr>
            <c:showLegendKey val="0"/>
            <c:showVal val="1"/>
            <c:showCatName val="0"/>
            <c:showSerName val="0"/>
            <c:showPercent val="0"/>
            <c:showBubbleSize val="0"/>
          </c:dLbls>
          <c:cat>
            <c:strRef>
              <c:f>'Customer &amp; Loan Acquisition - A'!$I$97:$I$101</c:f>
            </c:strRef>
          </c:cat>
          <c:val>
            <c:numRef>
              <c:f>'Customer &amp; Loan Acquisition - A'!$J$97:$J$101</c:f>
              <c:numCache/>
            </c:numRef>
          </c:val>
          <c:smooth val="0"/>
        </c:ser>
        <c:ser>
          <c:idx val="1"/>
          <c:order val="1"/>
          <c:tx>
            <c:strRef>
              <c:f>'Customer &amp; Loan Acquisition - A'!$K$96</c:f>
            </c:strRef>
          </c:tx>
          <c:spPr>
            <a:ln cmpd="sng">
              <a:solidFill>
                <a:srgbClr val="00FF00"/>
              </a:solidFill>
            </a:ln>
          </c:spPr>
          <c:marker>
            <c:symbol val="circle"/>
            <c:size val="10"/>
            <c:spPr>
              <a:solidFill>
                <a:srgbClr val="00FF00"/>
              </a:solidFill>
              <a:ln cmpd="sng">
                <a:solidFill>
                  <a:srgbClr val="00FF00"/>
                </a:solidFill>
              </a:ln>
            </c:spPr>
          </c:marker>
          <c:dLbls>
            <c:numFmt formatCode="General" sourceLinked="1"/>
            <c:txPr>
              <a:bodyPr/>
              <a:lstStyle/>
              <a:p>
                <a:pPr lvl="0">
                  <a:defRPr b="1" i="0" sz="1600"/>
                </a:pPr>
              </a:p>
            </c:txPr>
            <c:showLegendKey val="0"/>
            <c:showVal val="1"/>
            <c:showCatName val="0"/>
            <c:showSerName val="0"/>
            <c:showPercent val="0"/>
            <c:showBubbleSize val="0"/>
          </c:dLbls>
          <c:cat>
            <c:strRef>
              <c:f>'Customer &amp; Loan Acquisition - A'!$I$97:$I$101</c:f>
            </c:strRef>
          </c:cat>
          <c:val>
            <c:numRef>
              <c:f>'Customer &amp; Loan Acquisition - A'!$K$97:$K$101</c:f>
              <c:numCache/>
            </c:numRef>
          </c:val>
          <c:smooth val="0"/>
        </c:ser>
        <c:axId val="554285146"/>
        <c:axId val="925901787"/>
      </c:lineChart>
      <c:catAx>
        <c:axId val="5542851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FFFFFF"/>
                </a:solidFill>
                <a:latin typeface="+mn-lt"/>
              </a:defRPr>
            </a:pPr>
          </a:p>
        </c:txPr>
        <c:crossAx val="925901787"/>
      </c:catAx>
      <c:valAx>
        <c:axId val="925901787"/>
        <c:scaling>
          <c:orientation val="minMax"/>
          <c:max val="20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400">
                <a:solidFill>
                  <a:srgbClr val="FFFFFF"/>
                </a:solidFill>
                <a:latin typeface="+mn-lt"/>
              </a:defRPr>
            </a:pPr>
          </a:p>
        </c:txPr>
        <c:crossAx val="554285146"/>
      </c:valAx>
    </c:plotArea>
    <c:legend>
      <c:legendPos val="r"/>
      <c:overlay val="0"/>
      <c:txPr>
        <a:bodyPr/>
        <a:lstStyle/>
        <a:p>
          <a:pPr lvl="0">
            <a:defRPr b="0" i="0">
              <a:solidFill>
                <a:srgbClr val="FFFFFF"/>
              </a:solidFill>
              <a:latin typeface="+mn-lt"/>
            </a:defRPr>
          </a:pPr>
        </a:p>
      </c:txPr>
    </c:legend>
    <c:plotVisOnly val="1"/>
  </c:chart>
  <c:spPr>
    <a:solidFill>
      <a:schemeClr val="accent1"/>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000">
                <a:solidFill>
                  <a:srgbClr val="FFFFFF"/>
                </a:solidFill>
                <a:latin typeface="+mn-lt"/>
              </a:defRPr>
            </a:pPr>
            <a:r>
              <a:rPr b="1" i="0" sz="2000">
                <a:solidFill>
                  <a:srgbClr val="FFFFFF"/>
                </a:solidFill>
                <a:latin typeface="+mn-lt"/>
              </a:rPr>
              <a:t>Loan Acquisition Costs </a:t>
            </a:r>
          </a:p>
        </c:rich>
      </c:tx>
      <c:overlay val="0"/>
    </c:title>
    <c:plotArea>
      <c:layout/>
      <c:lineChart>
        <c:ser>
          <c:idx val="0"/>
          <c:order val="0"/>
          <c:tx>
            <c:strRef>
              <c:f>'Customer &amp; Loan Acquisition - A'!$M$96</c:f>
            </c:strRef>
          </c:tx>
          <c:spPr>
            <a:ln cmpd="sng">
              <a:solidFill>
                <a:srgbClr val="00FFFF"/>
              </a:solidFill>
            </a:ln>
          </c:spPr>
          <c:marker>
            <c:symbol val="circle"/>
            <c:size val="10"/>
            <c:spPr>
              <a:solidFill>
                <a:srgbClr val="00FFFF"/>
              </a:solidFill>
              <a:ln cmpd="sng">
                <a:solidFill>
                  <a:srgbClr val="00FFFF"/>
                </a:solidFill>
              </a:ln>
            </c:spPr>
          </c:marker>
          <c:dLbls>
            <c:numFmt formatCode="General" sourceLinked="1"/>
            <c:txPr>
              <a:bodyPr/>
              <a:lstStyle/>
              <a:p>
                <a:pPr lvl="0">
                  <a:defRPr b="1" i="0"/>
                </a:pPr>
              </a:p>
            </c:txPr>
            <c:showLegendKey val="0"/>
            <c:showVal val="1"/>
            <c:showCatName val="0"/>
            <c:showSerName val="0"/>
            <c:showPercent val="0"/>
            <c:showBubbleSize val="0"/>
          </c:dLbls>
          <c:cat>
            <c:strRef>
              <c:f>'Customer &amp; Loan Acquisition - A'!$L$97:$L$101</c:f>
            </c:strRef>
          </c:cat>
          <c:val>
            <c:numRef>
              <c:f>'Customer &amp; Loan Acquisition - A'!$M$97:$M$101</c:f>
              <c:numCache/>
            </c:numRef>
          </c:val>
          <c:smooth val="0"/>
        </c:ser>
        <c:ser>
          <c:idx val="1"/>
          <c:order val="1"/>
          <c:tx>
            <c:strRef>
              <c:f>'Customer &amp; Loan Acquisition - A'!$N$87</c:f>
            </c:strRef>
          </c:tx>
          <c:spPr>
            <a:ln cmpd="sng">
              <a:solidFill>
                <a:srgbClr val="00FF00"/>
              </a:solidFill>
            </a:ln>
          </c:spPr>
          <c:marker>
            <c:symbol val="circle"/>
            <c:size val="10"/>
            <c:spPr>
              <a:solidFill>
                <a:srgbClr val="00FF00"/>
              </a:solidFill>
              <a:ln cmpd="sng">
                <a:solidFill>
                  <a:srgbClr val="00FF00"/>
                </a:solidFill>
              </a:ln>
            </c:spPr>
          </c:marker>
          <c:dLbls>
            <c:numFmt formatCode="General" sourceLinked="1"/>
            <c:txPr>
              <a:bodyPr/>
              <a:lstStyle/>
              <a:p>
                <a:pPr lvl="0">
                  <a:defRPr b="0" i="0" sz="1600"/>
                </a:pPr>
              </a:p>
            </c:txPr>
            <c:showLegendKey val="0"/>
            <c:showVal val="1"/>
            <c:showCatName val="0"/>
            <c:showSerName val="0"/>
            <c:showPercent val="0"/>
            <c:showBubbleSize val="0"/>
          </c:dLbls>
          <c:cat>
            <c:strRef>
              <c:f>'Customer &amp; Loan Acquisition - A'!$L$97:$L$101</c:f>
            </c:strRef>
          </c:cat>
          <c:val>
            <c:numRef>
              <c:f>'Customer &amp; Loan Acquisition - A'!$N$88:$N$92</c:f>
              <c:numCache/>
            </c:numRef>
          </c:val>
          <c:smooth val="0"/>
        </c:ser>
        <c:axId val="692753611"/>
        <c:axId val="1113532406"/>
      </c:lineChart>
      <c:catAx>
        <c:axId val="6927536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FFFFFF"/>
                </a:solidFill>
                <a:latin typeface="+mn-lt"/>
              </a:defRPr>
            </a:pPr>
          </a:p>
        </c:txPr>
        <c:crossAx val="1113532406"/>
      </c:catAx>
      <c:valAx>
        <c:axId val="1113532406"/>
        <c:scaling>
          <c:orientation val="minMax"/>
          <c:max val="25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400">
                <a:solidFill>
                  <a:srgbClr val="FFFFFF"/>
                </a:solidFill>
                <a:latin typeface="+mn-lt"/>
              </a:defRPr>
            </a:pPr>
          </a:p>
        </c:txPr>
        <c:crossAx val="692753611"/>
      </c:valAx>
    </c:plotArea>
    <c:legend>
      <c:legendPos val="r"/>
      <c:overlay val="0"/>
      <c:txPr>
        <a:bodyPr/>
        <a:lstStyle/>
        <a:p>
          <a:pPr lvl="0">
            <a:defRPr b="0" i="0">
              <a:solidFill>
                <a:srgbClr val="FFFFFF"/>
              </a:solidFill>
              <a:latin typeface="+mn-lt"/>
            </a:defRPr>
          </a:pPr>
        </a:p>
      </c:txPr>
    </c:legend>
    <c:plotVisOnly val="1"/>
  </c:chart>
  <c:spPr>
    <a:solidFill>
      <a:schemeClr val="accent1"/>
    </a:solidFill>
  </c:spPr>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Task id="{3b403c5b-29ee-4dec-917f-ed6b2022fe18}">
    <Anchor>
      <Comment id="{8b06aec3-d73a-4098-a733-df30b26e686a}"/>
    </Anchor>
    <History>
      <Event time="2025-10-27T11:59:53.00" id="{911fb3b8-5b52-4fc5-84fa-7750ba7e2821}">
        <Attribution userId="placeholder@email.com" userName="Mariam Titus George" userProvider="google-sheets"/>
        <Anchor>
          <Comment id="{8b06aec3-d73a-4098-a733-df30b26e686a}"/>
        </Anchor>
        <Create/>
      </Event>
      <Event time="2025-10-27T11:59:53.00" id="{1353cc58-149d-4e07-9337-454f113498fc}">
        <Attribution userId="placeholder@email.com" userName="Mariam Titus George" userProvider="google-sheets"/>
        <Anchor>
          <Comment id="{8b06aec3-d73a-4098-a733-df30b26e686a}"/>
        </Anchor>
        <Assign userId="shyam@backbase.com" userName="shyam@backbase.com"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428625</xdr:colOff>
      <xdr:row>5</xdr:row>
      <xdr:rowOff>19050</xdr:rowOff>
    </xdr:from>
    <xdr:ext cx="4619625" cy="819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142875</xdr:colOff>
      <xdr:row>6</xdr:row>
      <xdr:rowOff>28575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923925</xdr:colOff>
      <xdr:row>6</xdr:row>
      <xdr:rowOff>28575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152400</xdr:colOff>
      <xdr:row>15</xdr:row>
      <xdr:rowOff>85725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933450</xdr:colOff>
      <xdr:row>15</xdr:row>
      <xdr:rowOff>95250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17</xdr:col>
      <xdr:colOff>0</xdr:colOff>
      <xdr:row>6</xdr:row>
      <xdr:rowOff>28575</xdr:rowOff>
    </xdr:from>
    <xdr:ext cx="969645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17</xdr:col>
      <xdr:colOff>0</xdr:colOff>
      <xdr:row>15</xdr:row>
      <xdr:rowOff>85725</xdr:rowOff>
    </xdr:from>
    <xdr:ext cx="9696450" cy="35337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800100</xdr:colOff>
      <xdr:row>15</xdr:row>
      <xdr:rowOff>142875</xdr:rowOff>
    </xdr:from>
    <xdr:ext cx="7534275" cy="4572000"/>
    <xdr:grpSp>
      <xdr:nvGrpSpPr>
        <xdr:cNvPr id="2" name="Shape 2"/>
        <xdr:cNvGrpSpPr/>
      </xdr:nvGrpSpPr>
      <xdr:grpSpPr>
        <a:xfrm>
          <a:off x="1578863" y="1494000"/>
          <a:ext cx="7534276" cy="4572000"/>
          <a:chOff x="1578863" y="1494000"/>
          <a:chExt cx="7534276" cy="4572000"/>
        </a:xfrm>
      </xdr:grpSpPr>
      <xdr:grpSp>
        <xdr:nvGrpSpPr>
          <xdr:cNvPr id="3" name="Shape 3"/>
          <xdr:cNvGrpSpPr/>
        </xdr:nvGrpSpPr>
        <xdr:grpSpPr>
          <a:xfrm>
            <a:off x="1578863" y="1494000"/>
            <a:ext cx="7534276" cy="4572000"/>
            <a:chOff x="1578863" y="1494000"/>
            <a:chExt cx="7534265" cy="4571990"/>
          </a:xfrm>
        </xdr:grpSpPr>
        <xdr:sp>
          <xdr:nvSpPr>
            <xdr:cNvPr id="4" name="Shape 4"/>
            <xdr:cNvSpPr/>
          </xdr:nvSpPr>
          <xdr:spPr>
            <a:xfrm>
              <a:off x="1578863" y="1494000"/>
              <a:ext cx="7534250" cy="45719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1578864" y="1494000"/>
              <a:ext cx="7534264" cy="4571990"/>
              <a:chOff x="10690988" y="4524084"/>
              <a:chExt cx="6262675" cy="4542600"/>
            </a:xfrm>
          </xdr:grpSpPr>
          <xdr:sp>
            <xdr:nvSpPr>
              <xdr:cNvPr id="6" name="Shape 6"/>
              <xdr:cNvSpPr/>
            </xdr:nvSpPr>
            <xdr:spPr>
              <a:xfrm>
                <a:off x="10690988" y="4524084"/>
                <a:ext cx="6262675" cy="4542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xdr:cNvGrpSpPr/>
            </xdr:nvGrpSpPr>
            <xdr:grpSpPr>
              <a:xfrm>
                <a:off x="10690989" y="4524084"/>
                <a:ext cx="6177500" cy="3932860"/>
                <a:chOff x="9882053" y="6539520"/>
                <a:chExt cx="5836831" cy="3345072"/>
              </a:xfrm>
            </xdr:grpSpPr>
            <xdr:sp>
              <xdr:nvSpPr>
                <xdr:cNvPr id="8" name="Shape 8"/>
                <xdr:cNvSpPr/>
              </xdr:nvSpPr>
              <xdr:spPr>
                <a:xfrm>
                  <a:off x="9882053" y="6539520"/>
                  <a:ext cx="3000000" cy="3000000"/>
                </a:xfrm>
                <a:prstGeom prst="rect">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9" name="Shape 9"/>
                <xdr:cNvSpPr txBox="1"/>
              </xdr:nvSpPr>
              <xdr:spPr>
                <a:xfrm rot="5400000">
                  <a:off x="15058949" y="7757161"/>
                  <a:ext cx="1065577" cy="254294"/>
                </a:xfrm>
                <a:prstGeom prst="rect">
                  <a:avLst/>
                </a:prstGeom>
                <a:noFill/>
                <a:ln>
                  <a:noFill/>
                </a:ln>
              </xdr:spPr>
              <xdr:txBody>
                <a:bodyPr anchorCtr="0" anchor="ctr" bIns="45700" lIns="91425" spcFirstLastPara="1" rIns="91425" wrap="square" tIns="45700">
                  <a:spAutoFit/>
                </a:bodyPr>
                <a:lstStyle/>
                <a:p>
                  <a:pPr indent="0" lvl="0" marL="0" marR="0" rtl="0" algn="ctr">
                    <a:lnSpc>
                      <a:spcPct val="100000"/>
                    </a:lnSpc>
                    <a:spcBef>
                      <a:spcPts val="0"/>
                    </a:spcBef>
                    <a:spcAft>
                      <a:spcPts val="0"/>
                    </a:spcAft>
                    <a:buClr>
                      <a:srgbClr val="000000"/>
                    </a:buClr>
                    <a:buSzPts val="1200"/>
                    <a:buFont typeface="Arial"/>
                    <a:buNone/>
                  </a:pPr>
                  <a:r>
                    <a:rPr b="0" i="0" lang="en-US" sz="1200" u="none" cap="none" strike="noStrike">
                      <a:solidFill>
                        <a:srgbClr val="000000"/>
                      </a:solidFill>
                      <a:latin typeface="Arial"/>
                      <a:ea typeface="Arial"/>
                      <a:cs typeface="Arial"/>
                      <a:sym typeface="Arial"/>
                    </a:rPr>
                    <a:t>Benefits</a:t>
                  </a:r>
                  <a:endParaRPr sz="1200"/>
                </a:p>
              </xdr:txBody>
            </xdr:sp>
            <xdr:sp>
              <xdr:nvSpPr>
                <xdr:cNvPr id="10" name="Shape 10"/>
                <xdr:cNvSpPr txBox="1"/>
              </xdr:nvSpPr>
              <xdr:spPr>
                <a:xfrm rot="5400000">
                  <a:off x="14916472" y="9094028"/>
                  <a:ext cx="1326834" cy="254294"/>
                </a:xfrm>
                <a:prstGeom prst="rect">
                  <a:avLst/>
                </a:prstGeom>
                <a:noFill/>
                <a:ln>
                  <a:noFill/>
                </a:ln>
              </xdr:spPr>
              <xdr:txBody>
                <a:bodyPr anchorCtr="0" anchor="ctr" bIns="45700" lIns="91425" spcFirstLastPara="1" rIns="91425" wrap="square" tIns="45700">
                  <a:spAutoFit/>
                </a:bodyPr>
                <a:lstStyle/>
                <a:p>
                  <a:pPr indent="0" lvl="0" marL="0" marR="0" rtl="0" algn="ctr">
                    <a:lnSpc>
                      <a:spcPct val="100000"/>
                    </a:lnSpc>
                    <a:spcBef>
                      <a:spcPts val="0"/>
                    </a:spcBef>
                    <a:spcAft>
                      <a:spcPts val="0"/>
                    </a:spcAft>
                    <a:buClr>
                      <a:srgbClr val="000000"/>
                    </a:buClr>
                    <a:buSzPts val="1200"/>
                    <a:buFont typeface="Arial"/>
                    <a:buNone/>
                  </a:pPr>
                  <a:r>
                    <a:rPr b="0" i="0" lang="en-US" sz="1200" u="none" cap="none" strike="noStrike">
                      <a:solidFill>
                        <a:srgbClr val="000000"/>
                      </a:solidFill>
                      <a:latin typeface="Arial"/>
                      <a:ea typeface="Arial"/>
                      <a:cs typeface="Arial"/>
                      <a:sym typeface="Arial"/>
                    </a:rPr>
                    <a:t>Investments</a:t>
                  </a:r>
                  <a:endParaRPr sz="1200"/>
                </a:p>
              </xdr:txBody>
            </xdr:sp>
          </xdr:grpSp>
          <xdr:sp>
            <xdr:nvSpPr>
              <xdr:cNvPr id="11" name="Shape 11"/>
              <xdr:cNvSpPr txBox="1"/>
            </xdr:nvSpPr>
            <xdr:spPr>
              <a:xfrm>
                <a:off x="10877825" y="4936434"/>
                <a:ext cx="2497106" cy="239769"/>
              </a:xfrm>
              <a:prstGeom prst="rect">
                <a:avLst/>
              </a:prstGeom>
              <a:noFill/>
              <a:ln>
                <a:noFill/>
              </a:ln>
            </xdr:spPr>
            <xdr:txBody>
              <a:bodyPr anchorCtr="0" anchor="t" bIns="45700" lIns="91425" spcFirstLastPara="1" rIns="91425" wrap="square" tIns="45700">
                <a:spAutoFit/>
              </a:bodyPr>
              <a:lstStyle/>
              <a:p>
                <a:pPr indent="0" lvl="0" marL="0" marR="0" rtl="0" algn="l">
                  <a:lnSpc>
                    <a:spcPct val="100000"/>
                  </a:lnSpc>
                  <a:spcBef>
                    <a:spcPts val="0"/>
                  </a:spcBef>
                  <a:spcAft>
                    <a:spcPts val="0"/>
                  </a:spcAft>
                  <a:buClr>
                    <a:srgbClr val="565656"/>
                  </a:buClr>
                  <a:buSzPts val="1000"/>
                  <a:buFont typeface="Arial"/>
                  <a:buNone/>
                </a:pPr>
                <a:r>
                  <a:rPr b="0" i="1" lang="en-US" sz="1000" u="none" cap="none" strike="noStrike">
                    <a:solidFill>
                      <a:srgbClr val="565656"/>
                    </a:solidFill>
                    <a:latin typeface="Arial"/>
                    <a:ea typeface="Arial"/>
                    <a:cs typeface="Arial"/>
                    <a:sym typeface="Arial"/>
                  </a:rPr>
                  <a:t>Currency: Thousand USD </a:t>
                </a:r>
                <a:endParaRPr sz="1000"/>
              </a:p>
            </xdr:txBody>
          </xdr:sp>
        </xdr:grpSp>
      </xdr:grpSp>
    </xdr:grpSp>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iam Titus George" id="{dbe25f54-b280-42fa-8a57-b9a6ee87db86}" providerId="google-sheets"/>
  <x18tc:person displayName="shyam@backbase.com" id="{03454b85-38ed-4f39-a446-c1922945cfb9}" userId="shyam@backbase.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203065"/>
      </a:accent1>
      <a:accent2>
        <a:srgbClr val="304898"/>
      </a:accent2>
      <a:accent3>
        <a:srgbClr val="4060CA"/>
      </a:accent3>
      <a:accent4>
        <a:srgbClr val="6680D5"/>
      </a:accent4>
      <a:accent5>
        <a:srgbClr val="B3BFEA"/>
      </a:accent5>
      <a:accent6>
        <a:srgbClr val="66CC00"/>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3" dT="2025-06-27T03:27:14.00" personId="{dbe25f54-b280-42fa-8a57-b9a6ee87db86}" id="{31d2d995-2228-4bb6-8e22-284da105edba}" done="0">
    <x18tc:text xml:space="preserve">From annual report, considering 3.6M customers
NII + Fee Income - $3.03
TOI - $139</x18tc:text>
  </x18tc:threadedComment>
  <x18tc:threadedComment ref="I45" dT="2025-07-01T04:08:21.00" personId="{dbe25f54-b280-42fa-8a57-b9a6ee87db86}" id="{b616ef53-118e-41cf-a04d-6b9100d1fee9}" done="0">
    <x18tc:text xml:space="preserve">Reduced by 25% of original to remove potential impact of CLO</x18tc:text>
  </x18tc:threadedComment>
  <x18tc:threadedComment ref="F39" dT="2025-07-01T04:07:21.00" personId="{dbe25f54-b280-42fa-8a57-b9a6ee87db86}" id="{0c89e3fb-95b6-464e-b39e-d6adf0c3061d}" done="0">
    <x18tc:text xml:space="preserve">Reduced by 25% of original to remove potential impact of CLO</x18tc:text>
  </x18tc:threadedComment>
  <x18tc:threadedComment ref="C39" dT="2025-07-01T04:05:46.00" personId="{dbe25f54-b280-42fa-8a57-b9a6ee87db86}" id="{8c012f33-462b-498a-8b31-bb5935d1f958}" done="0">
    <x18tc:text xml:space="preserve">Reduced by 25% of original to remove potential impact of CLO</x18tc:text>
  </x18tc:threadedComment>
  <x18tc:threadedComment ref="F45" dT="2025-07-01T04:07:45.00" personId="{dbe25f54-b280-42fa-8a57-b9a6ee87db86}" id="{98ebdb37-7cc9-4125-b378-daac1bfc98c9}" done="0">
    <x18tc:text xml:space="preserve">Reduced by 25% of original to remove potential impact of CLO</x18tc:text>
  </x18tc:threadedComment>
  <x18tc:threadedComment ref="F14" dT="2025-06-27T13:06:41.00" personId="{dbe25f54-b280-42fa-8a57-b9a6ee87db86}" id="{89aa735f-2750-459a-b633-545f208dfdcb}" done="0">
    <x18tc:text xml:space="preserve">250 working days, 8 hours a day</x18tc:text>
  </x18tc:threadedComment>
  <x18tc:threadedComment ref="I39" dT="2025-07-01T04:08:01.00" personId="{dbe25f54-b280-42fa-8a57-b9a6ee87db86}" id="{5f318061-3cf7-440d-b451-c687c6282723}" done="0">
    <x18tc:text xml:space="preserve">Reduced by 25% of original to remove potential impact of CLO</x18tc:text>
  </x18tc:threadedComment>
  <x18tc:threadedComment ref="C45" dT="2025-07-01T04:06:48.00" personId="{dbe25f54-b280-42fa-8a57-b9a6ee87db86}" id="{5644d135-d50a-4eb7-8bd2-0eac241c3780}" done="0">
    <x18tc:text xml:space="preserve">Reduced by 25% of original to remove potential impact of CLO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33" dT="2025-07-01T04:11:34.00" personId="{dbe25f54-b280-42fa-8a57-b9a6ee87db86}" id="{365f4bb7-a7bc-4f9f-81e6-00e362fa6c37}" done="0">
    <x18tc:text xml:space="preserve">CLO is considered from Y2 for this project</x18tc:text>
  </x18tc:threadedComment>
  <x18tc:threadedComment ref="B122" dT="2025-10-27T11:59:53.00" personId="{dbe25f54-b280-42fa-8a57-b9a6ee87db86}" id="{8b06aec3-d73a-4098-a733-df30b26e686a}" done="0">
    <x18tc:text xml:space="preserve">@shyam@backbase.com this is the model
Assigned to shyam@backbase.com</x18tc:text>
    <x18tc:mentions>
      <x18tc:mention mentionpersonId="{03454b85-38ed-4f39-a446-c1922945cfb9}" mentionId="{96f7ece1-877d-46d2-adeb-4de94e9f5398}" startIndex="0" length="19"/>
    </x18tc:mentions>
  </x18tc:threadedComment>
  <x18tc:threadedComment ref="I34" dT="2025-07-01T04:11:42.00" personId="{dbe25f54-b280-42fa-8a57-b9a6ee87db86}" id="{10274375-df85-4f2c-9ca2-e481b1d55ba2}" done="0">
    <x18tc:text xml:space="preserve">CLO is considered from Y2 for this project</x18tc:text>
  </x18tc:threadedComment>
  <x18tc:threadedComment ref="I38" dT="2025-07-01T04:11:45.00" personId="{dbe25f54-b280-42fa-8a57-b9a6ee87db86}" id="{70bf359d-87e4-415d-bf79-e4a0a30901e0}" done="0">
    <x18tc:text xml:space="preserve">CLO is considered from Y2 for this project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57"/>
    <col customWidth="1" min="2" max="2" width="8.14"/>
    <col customWidth="1" min="3" max="3" width="24.43"/>
    <col customWidth="1" min="4" max="4" width="29.29"/>
    <col customWidth="1" min="5" max="5" width="34.86"/>
    <col customWidth="1" min="6" max="6" width="10.71"/>
    <col customWidth="1" hidden="1" min="8" max="24" width="14.43"/>
  </cols>
  <sheetData>
    <row r="1">
      <c r="A1" s="1"/>
      <c r="B1" s="1"/>
      <c r="C1" s="1"/>
      <c r="D1" s="1"/>
      <c r="E1" s="1"/>
      <c r="F1" s="1"/>
      <c r="G1" s="1"/>
      <c r="H1" s="1"/>
      <c r="I1" s="1"/>
      <c r="J1" s="1"/>
      <c r="K1" s="1"/>
      <c r="L1" s="1"/>
      <c r="M1" s="1"/>
      <c r="N1" s="1"/>
      <c r="O1" s="1"/>
      <c r="P1" s="1"/>
      <c r="Q1" s="1"/>
      <c r="R1" s="1"/>
      <c r="S1" s="1"/>
      <c r="T1" s="1"/>
      <c r="U1" s="1"/>
    </row>
    <row r="2">
      <c r="A2" s="1"/>
      <c r="B2" s="1"/>
      <c r="C2" s="1"/>
      <c r="D2" s="1"/>
      <c r="E2" s="1"/>
      <c r="F2" s="1"/>
      <c r="G2" s="1"/>
      <c r="H2" s="1"/>
      <c r="I2" s="1"/>
      <c r="J2" s="1"/>
      <c r="K2" s="1"/>
      <c r="L2" s="1"/>
      <c r="M2" s="1"/>
      <c r="N2" s="1"/>
      <c r="O2" s="1"/>
      <c r="P2" s="1"/>
      <c r="Q2" s="1"/>
      <c r="R2" s="1"/>
      <c r="S2" s="1"/>
      <c r="T2" s="1"/>
      <c r="U2" s="1"/>
    </row>
    <row r="3">
      <c r="A3" s="1"/>
      <c r="B3" s="1"/>
      <c r="C3" s="1"/>
      <c r="D3" s="1"/>
      <c r="E3" s="1"/>
      <c r="F3" s="1"/>
      <c r="G3" s="1"/>
      <c r="H3" s="1"/>
      <c r="I3" s="1"/>
      <c r="J3" s="1"/>
      <c r="K3" s="1"/>
      <c r="L3" s="1"/>
      <c r="M3" s="1"/>
      <c r="N3" s="1"/>
      <c r="O3" s="1"/>
      <c r="P3" s="1"/>
      <c r="Q3" s="1"/>
      <c r="R3" s="1"/>
      <c r="S3" s="1"/>
      <c r="T3" s="1"/>
      <c r="U3" s="1"/>
    </row>
    <row r="4">
      <c r="A4" s="1"/>
      <c r="B4" s="1"/>
      <c r="C4" s="1"/>
      <c r="D4" s="1"/>
      <c r="E4" s="1"/>
      <c r="F4" s="1"/>
      <c r="G4" s="1"/>
      <c r="H4" s="1"/>
      <c r="I4" s="1"/>
      <c r="J4" s="1"/>
      <c r="K4" s="1"/>
      <c r="L4" s="1"/>
      <c r="M4" s="1"/>
      <c r="N4" s="1"/>
      <c r="O4" s="1"/>
      <c r="P4" s="1"/>
      <c r="Q4" s="1"/>
      <c r="R4" s="1"/>
      <c r="S4" s="1"/>
      <c r="T4" s="1"/>
      <c r="U4" s="1"/>
    </row>
    <row r="5">
      <c r="A5" s="1"/>
      <c r="B5" s="1"/>
      <c r="C5" s="1"/>
      <c r="D5" s="1"/>
      <c r="E5" s="1"/>
      <c r="F5" s="1"/>
      <c r="G5" s="1"/>
      <c r="H5" s="1"/>
      <c r="I5" s="1"/>
      <c r="J5" s="1"/>
      <c r="K5" s="1"/>
      <c r="L5" s="1"/>
      <c r="M5" s="1"/>
      <c r="N5" s="1"/>
      <c r="O5" s="1"/>
      <c r="P5" s="1"/>
      <c r="Q5" s="1"/>
      <c r="R5" s="1"/>
      <c r="S5" s="1"/>
      <c r="T5" s="1"/>
      <c r="U5" s="1"/>
    </row>
    <row r="6">
      <c r="A6" s="1"/>
      <c r="B6" s="1"/>
      <c r="C6" s="1"/>
      <c r="D6" s="1"/>
      <c r="E6" s="1"/>
      <c r="F6" s="1"/>
      <c r="G6" s="1"/>
      <c r="H6" s="1"/>
      <c r="I6" s="1"/>
      <c r="J6" s="1"/>
      <c r="K6" s="1"/>
      <c r="L6" s="1"/>
      <c r="M6" s="1"/>
      <c r="N6" s="1"/>
      <c r="O6" s="1"/>
      <c r="P6" s="1"/>
      <c r="Q6" s="1"/>
      <c r="R6" s="1"/>
      <c r="S6" s="1"/>
      <c r="T6" s="1"/>
      <c r="U6" s="1"/>
    </row>
    <row r="7">
      <c r="A7" s="1"/>
      <c r="B7" s="1"/>
      <c r="C7" s="1"/>
      <c r="D7" s="1"/>
      <c r="E7" s="1"/>
      <c r="F7" s="1"/>
      <c r="G7" s="1"/>
      <c r="H7" s="1"/>
      <c r="I7" s="1"/>
      <c r="J7" s="1"/>
      <c r="K7" s="1"/>
      <c r="L7" s="1"/>
      <c r="M7" s="1"/>
      <c r="N7" s="1"/>
      <c r="O7" s="1"/>
      <c r="P7" s="1"/>
      <c r="Q7" s="1"/>
      <c r="R7" s="1"/>
      <c r="S7" s="1"/>
      <c r="T7" s="1"/>
      <c r="U7" s="1"/>
    </row>
    <row r="8">
      <c r="A8" s="1"/>
      <c r="C8" s="1"/>
      <c r="D8" s="1"/>
      <c r="E8" s="1"/>
      <c r="F8" s="1"/>
      <c r="G8" s="1"/>
      <c r="H8" s="1"/>
      <c r="I8" s="1"/>
      <c r="J8" s="1"/>
      <c r="K8" s="1"/>
      <c r="L8" s="1"/>
      <c r="M8" s="1"/>
      <c r="N8" s="1"/>
      <c r="O8" s="1"/>
      <c r="P8" s="1"/>
      <c r="Q8" s="1"/>
      <c r="R8" s="1"/>
      <c r="S8" s="1"/>
      <c r="T8" s="1"/>
      <c r="U8" s="1"/>
    </row>
    <row r="9">
      <c r="A9" s="1"/>
      <c r="C9" s="1"/>
      <c r="D9" s="1"/>
      <c r="E9" s="1"/>
      <c r="F9" s="1"/>
      <c r="G9" s="1"/>
      <c r="H9" s="1"/>
      <c r="I9" s="1"/>
      <c r="J9" s="1"/>
      <c r="K9" s="1"/>
      <c r="L9" s="1"/>
      <c r="M9" s="1"/>
      <c r="N9" s="1"/>
      <c r="O9" s="1"/>
      <c r="P9" s="1"/>
      <c r="Q9" s="1"/>
      <c r="R9" s="1"/>
      <c r="S9" s="1"/>
      <c r="T9" s="1"/>
      <c r="U9" s="1"/>
      <c r="V9" s="1"/>
      <c r="W9" s="1"/>
      <c r="X9" s="1"/>
    </row>
    <row r="10">
      <c r="A10" s="1"/>
      <c r="C10" s="2"/>
      <c r="D10" s="1"/>
      <c r="E10" s="1"/>
      <c r="F10" s="1"/>
      <c r="G10" s="1"/>
      <c r="H10" s="1"/>
      <c r="I10" s="1"/>
      <c r="J10" s="1"/>
      <c r="K10" s="1"/>
      <c r="L10" s="1"/>
      <c r="M10" s="1"/>
      <c r="N10" s="1"/>
      <c r="O10" s="1"/>
      <c r="P10" s="1"/>
      <c r="Q10" s="1"/>
      <c r="R10" s="1"/>
      <c r="S10" s="1"/>
      <c r="T10" s="1"/>
      <c r="U10" s="1"/>
      <c r="V10" s="1"/>
      <c r="W10" s="1"/>
      <c r="X10" s="1"/>
    </row>
    <row r="11">
      <c r="A11" s="1"/>
      <c r="C11" s="2"/>
      <c r="D11" s="1"/>
      <c r="E11" s="1"/>
      <c r="F11" s="1"/>
      <c r="G11" s="1"/>
      <c r="H11" s="1"/>
      <c r="I11" s="1"/>
      <c r="J11" s="1"/>
      <c r="K11" s="1"/>
      <c r="L11" s="1"/>
      <c r="M11" s="1"/>
      <c r="N11" s="1"/>
      <c r="O11" s="1"/>
      <c r="P11" s="1"/>
      <c r="Q11" s="1"/>
      <c r="R11" s="1"/>
      <c r="S11" s="1"/>
      <c r="T11" s="1"/>
      <c r="U11" s="1"/>
      <c r="V11" s="1"/>
      <c r="W11" s="1"/>
      <c r="X11" s="1"/>
    </row>
    <row r="12">
      <c r="A12" s="1"/>
      <c r="C12" s="2"/>
      <c r="D12" s="1"/>
      <c r="E12" s="1"/>
      <c r="F12" s="1"/>
      <c r="G12" s="1"/>
      <c r="H12" s="1"/>
      <c r="I12" s="1"/>
      <c r="J12" s="1"/>
      <c r="K12" s="1"/>
      <c r="L12" s="1"/>
      <c r="M12" s="1"/>
      <c r="N12" s="1"/>
      <c r="O12" s="1"/>
      <c r="P12" s="1"/>
      <c r="Q12" s="1"/>
      <c r="R12" s="1"/>
      <c r="S12" s="1"/>
      <c r="T12" s="1"/>
      <c r="U12" s="1"/>
      <c r="V12" s="1"/>
      <c r="W12" s="1"/>
      <c r="X12" s="1"/>
    </row>
    <row r="13">
      <c r="A13" s="1"/>
      <c r="B13" s="3"/>
      <c r="C13" s="4" t="s">
        <v>0</v>
      </c>
      <c r="D13" s="1"/>
      <c r="E13" s="1"/>
      <c r="F13" s="1"/>
      <c r="G13" s="1"/>
      <c r="H13" s="1"/>
      <c r="I13" s="1"/>
      <c r="J13" s="1"/>
      <c r="K13" s="1"/>
      <c r="L13" s="1"/>
      <c r="M13" s="1"/>
      <c r="N13" s="1"/>
      <c r="O13" s="1"/>
      <c r="P13" s="1"/>
      <c r="Q13" s="1"/>
      <c r="R13" s="1"/>
      <c r="S13" s="1"/>
      <c r="T13" s="1"/>
      <c r="U13" s="1"/>
      <c r="V13" s="1"/>
      <c r="W13" s="1"/>
      <c r="X13" s="1"/>
    </row>
    <row r="14">
      <c r="A14" s="1"/>
      <c r="B14" s="3"/>
      <c r="C14" s="1"/>
      <c r="D14" s="1"/>
      <c r="E14" s="1"/>
      <c r="F14" s="1"/>
      <c r="G14" s="1"/>
      <c r="H14" s="1"/>
      <c r="I14" s="1"/>
      <c r="J14" s="1"/>
      <c r="K14" s="1"/>
      <c r="L14" s="1"/>
      <c r="M14" s="1"/>
      <c r="N14" s="1"/>
      <c r="O14" s="1"/>
      <c r="P14" s="1"/>
      <c r="Q14" s="1"/>
      <c r="R14" s="1"/>
      <c r="S14" s="1"/>
      <c r="T14" s="1"/>
      <c r="U14" s="1"/>
      <c r="V14" s="1"/>
      <c r="W14" s="1"/>
      <c r="X14" s="1"/>
    </row>
    <row r="15">
      <c r="A15" s="1"/>
      <c r="B15" s="2"/>
      <c r="C15" s="5"/>
      <c r="D15" s="6"/>
      <c r="E15" s="1"/>
      <c r="F15" s="1"/>
      <c r="G15" s="1"/>
      <c r="H15" s="1"/>
      <c r="I15" s="1"/>
      <c r="J15" s="1"/>
      <c r="K15" s="1"/>
      <c r="L15" s="1"/>
      <c r="M15" s="1"/>
      <c r="N15" s="1"/>
      <c r="O15" s="1"/>
      <c r="P15" s="1"/>
      <c r="Q15" s="1"/>
      <c r="R15" s="1"/>
      <c r="S15" s="1"/>
      <c r="T15" s="1"/>
      <c r="U15" s="1"/>
      <c r="V15" s="1"/>
      <c r="W15" s="1"/>
      <c r="X15" s="1"/>
    </row>
    <row r="16">
      <c r="A16" s="1"/>
      <c r="B16" s="2"/>
      <c r="C16" s="5" t="s">
        <v>1</v>
      </c>
      <c r="D16" s="7" t="s">
        <v>2</v>
      </c>
      <c r="E16" s="1"/>
      <c r="F16" s="1"/>
      <c r="G16" s="1"/>
      <c r="H16" s="1"/>
      <c r="I16" s="1"/>
      <c r="J16" s="1"/>
      <c r="K16" s="1"/>
      <c r="L16" s="1"/>
      <c r="M16" s="1"/>
      <c r="N16" s="1"/>
      <c r="O16" s="1"/>
      <c r="P16" s="1"/>
      <c r="Q16" s="1"/>
      <c r="R16" s="1"/>
      <c r="S16" s="1"/>
      <c r="T16" s="1"/>
      <c r="U16" s="1"/>
      <c r="V16" s="1"/>
      <c r="W16" s="1"/>
      <c r="X16" s="1"/>
    </row>
    <row r="17">
      <c r="A17" s="1"/>
      <c r="B17" s="1"/>
      <c r="C17" s="8"/>
      <c r="D17" s="9"/>
      <c r="E17" s="1"/>
      <c r="F17" s="1"/>
      <c r="G17" s="1"/>
      <c r="H17" s="1"/>
      <c r="I17" s="1"/>
      <c r="J17" s="1"/>
      <c r="K17" s="1"/>
      <c r="L17" s="1"/>
      <c r="M17" s="1"/>
      <c r="N17" s="1"/>
      <c r="O17" s="1"/>
      <c r="P17" s="1"/>
      <c r="Q17" s="1"/>
      <c r="R17" s="1"/>
      <c r="S17" s="1"/>
      <c r="T17" s="1"/>
      <c r="U17" s="1"/>
      <c r="V17" s="1"/>
      <c r="W17" s="1"/>
      <c r="X17" s="1"/>
    </row>
    <row r="18">
      <c r="A18" s="1"/>
      <c r="B18" s="1"/>
      <c r="C18" s="5" t="s">
        <v>3</v>
      </c>
      <c r="D18" s="10">
        <v>45809.0</v>
      </c>
      <c r="E18" s="1"/>
      <c r="F18" s="1"/>
      <c r="G18" s="1"/>
      <c r="H18" s="1"/>
      <c r="I18" s="1"/>
      <c r="J18" s="1"/>
      <c r="K18" s="1"/>
      <c r="L18" s="1"/>
      <c r="M18" s="1"/>
      <c r="N18" s="1"/>
      <c r="O18" s="1"/>
      <c r="P18" s="1"/>
      <c r="Q18" s="1"/>
      <c r="R18" s="1"/>
      <c r="S18" s="1"/>
      <c r="T18" s="1"/>
      <c r="U18" s="1"/>
      <c r="V18" s="1"/>
      <c r="W18" s="1"/>
      <c r="X18" s="1"/>
    </row>
    <row r="19">
      <c r="A19" s="1"/>
      <c r="B19" s="1"/>
      <c r="C19" s="1"/>
      <c r="D19" s="1"/>
      <c r="E19" s="1"/>
      <c r="F19" s="1"/>
      <c r="G19" s="1"/>
      <c r="H19" s="1"/>
      <c r="I19" s="1"/>
      <c r="J19" s="1"/>
      <c r="K19" s="1"/>
      <c r="L19" s="1"/>
      <c r="M19" s="1"/>
      <c r="N19" s="1"/>
      <c r="O19" s="1"/>
      <c r="P19" s="1"/>
      <c r="Q19" s="1"/>
      <c r="R19" s="1"/>
      <c r="S19" s="1"/>
      <c r="T19" s="1"/>
      <c r="U19" s="1"/>
      <c r="V19" s="1"/>
      <c r="W19" s="1"/>
      <c r="X19" s="1"/>
    </row>
    <row r="20">
      <c r="A20" s="1"/>
      <c r="B20" s="1"/>
      <c r="C20" s="1"/>
      <c r="D20" s="1"/>
      <c r="E20" s="1"/>
      <c r="F20" s="1"/>
      <c r="G20" s="1"/>
      <c r="H20" s="1"/>
      <c r="I20" s="1"/>
      <c r="J20" s="1"/>
      <c r="K20" s="1"/>
      <c r="L20" s="1"/>
      <c r="M20" s="1"/>
      <c r="N20" s="1"/>
      <c r="O20" s="1"/>
      <c r="P20" s="1"/>
      <c r="Q20" s="1"/>
      <c r="R20" s="1"/>
      <c r="S20" s="1"/>
      <c r="T20" s="1"/>
      <c r="U20" s="1"/>
      <c r="V20" s="1"/>
      <c r="W20" s="1"/>
      <c r="X20" s="1"/>
    </row>
    <row r="21" ht="15.75" customHeight="1">
      <c r="A21" s="1"/>
      <c r="B21" s="1"/>
      <c r="C21" s="11" t="s">
        <v>4</v>
      </c>
      <c r="D21" s="1"/>
      <c r="E21" s="1"/>
      <c r="F21" s="1"/>
      <c r="G21" s="1"/>
      <c r="H21" s="1"/>
      <c r="I21" s="1"/>
      <c r="J21" s="1"/>
      <c r="K21" s="1"/>
      <c r="L21" s="1"/>
      <c r="M21" s="1"/>
      <c r="N21" s="1"/>
      <c r="O21" s="1"/>
      <c r="P21" s="1"/>
      <c r="Q21" s="1"/>
      <c r="R21" s="1"/>
      <c r="S21" s="1"/>
      <c r="T21" s="1"/>
      <c r="U21" s="1"/>
      <c r="V21" s="1"/>
      <c r="W21" s="1"/>
      <c r="X21" s="1"/>
    </row>
    <row r="22" ht="15.75" customHeight="1">
      <c r="A22" s="1"/>
      <c r="B22" s="1"/>
      <c r="C22" s="1"/>
      <c r="D22" s="1"/>
      <c r="E22" s="1"/>
      <c r="F22" s="1"/>
      <c r="G22" s="1"/>
      <c r="H22" s="1"/>
      <c r="I22" s="1"/>
      <c r="J22" s="1"/>
      <c r="K22" s="1"/>
      <c r="L22" s="1"/>
      <c r="M22" s="1"/>
      <c r="N22" s="1"/>
      <c r="O22" s="1"/>
      <c r="P22" s="1"/>
      <c r="Q22" s="1"/>
      <c r="R22" s="1"/>
      <c r="S22" s="1"/>
      <c r="T22" s="1"/>
      <c r="U22" s="1"/>
      <c r="V22" s="1"/>
      <c r="W22" s="1"/>
      <c r="X22" s="1"/>
    </row>
    <row r="23" ht="15.75" customHeight="1">
      <c r="A23" s="1"/>
      <c r="B23" s="1"/>
      <c r="D23" s="1"/>
      <c r="E23" s="1"/>
      <c r="F23" s="1"/>
      <c r="G23" s="1"/>
      <c r="H23" s="1"/>
      <c r="I23" s="1"/>
      <c r="J23" s="1"/>
      <c r="K23" s="1"/>
      <c r="L23" s="1"/>
      <c r="M23" s="1"/>
      <c r="N23" s="1"/>
      <c r="O23" s="1"/>
      <c r="P23" s="1"/>
      <c r="Q23" s="1"/>
      <c r="R23" s="1"/>
      <c r="S23" s="1"/>
      <c r="T23" s="1"/>
      <c r="U23" s="1"/>
      <c r="V23" s="1"/>
      <c r="W23" s="1"/>
      <c r="X23" s="1"/>
    </row>
    <row r="24" ht="15.75" customHeight="1">
      <c r="A24" s="1"/>
      <c r="B24" s="1"/>
      <c r="C24" s="1"/>
      <c r="D24" s="1"/>
      <c r="E24" s="1"/>
      <c r="F24" s="1"/>
      <c r="G24" s="1"/>
      <c r="H24" s="1"/>
      <c r="I24" s="1"/>
      <c r="J24" s="1"/>
      <c r="K24" s="1"/>
      <c r="L24" s="1"/>
      <c r="M24" s="1"/>
      <c r="N24" s="1"/>
      <c r="O24" s="1"/>
      <c r="P24" s="1"/>
      <c r="Q24" s="1"/>
      <c r="R24" s="1"/>
      <c r="S24" s="1"/>
      <c r="T24" s="1"/>
      <c r="U24" s="1"/>
      <c r="V24" s="1"/>
      <c r="W24" s="1"/>
      <c r="X24" s="1"/>
    </row>
    <row r="25" ht="15.75" customHeight="1">
      <c r="A25" s="1"/>
      <c r="B25" s="1"/>
      <c r="C25" s="1"/>
      <c r="D25" s="1"/>
      <c r="E25" s="1"/>
      <c r="F25" s="1"/>
      <c r="G25" s="1"/>
      <c r="H25" s="1"/>
      <c r="I25" s="1"/>
      <c r="J25" s="1"/>
      <c r="K25" s="1"/>
      <c r="L25" s="1"/>
      <c r="M25" s="1"/>
      <c r="N25" s="1"/>
      <c r="O25" s="1"/>
      <c r="P25" s="1"/>
      <c r="Q25" s="1"/>
      <c r="R25" s="1"/>
      <c r="S25" s="1"/>
      <c r="T25" s="1"/>
      <c r="U25" s="1"/>
      <c r="V25" s="1"/>
      <c r="W25" s="1"/>
      <c r="X25" s="1"/>
    </row>
    <row r="26" ht="15.75" customHeight="1">
      <c r="A26" s="1"/>
      <c r="B26" s="1"/>
      <c r="C26" s="1"/>
      <c r="D26" s="1"/>
      <c r="E26" s="1"/>
      <c r="F26" s="1"/>
      <c r="G26" s="1"/>
      <c r="H26" s="1"/>
      <c r="I26" s="1"/>
      <c r="J26" s="1"/>
      <c r="K26" s="1"/>
      <c r="L26" s="1"/>
      <c r="M26" s="1"/>
      <c r="N26" s="1"/>
      <c r="O26" s="1"/>
      <c r="P26" s="1"/>
      <c r="Q26" s="1"/>
      <c r="R26" s="1"/>
      <c r="S26" s="1"/>
      <c r="T26" s="1"/>
      <c r="U26" s="1"/>
      <c r="V26" s="1"/>
      <c r="W26" s="1"/>
      <c r="X26" s="1"/>
    </row>
    <row r="27" ht="15.75" hidden="1" customHeight="1">
      <c r="A27" s="1"/>
      <c r="B27" s="1"/>
      <c r="C27" s="1"/>
      <c r="D27" s="1"/>
      <c r="E27" s="1"/>
      <c r="F27" s="1"/>
      <c r="G27" s="1"/>
      <c r="H27" s="1"/>
      <c r="I27" s="1"/>
      <c r="J27" s="1"/>
      <c r="K27" s="1"/>
      <c r="L27" s="1"/>
      <c r="M27" s="1"/>
      <c r="N27" s="1"/>
      <c r="O27" s="1"/>
      <c r="P27" s="1"/>
      <c r="Q27" s="1"/>
      <c r="R27" s="1"/>
      <c r="S27" s="1"/>
      <c r="T27" s="1"/>
      <c r="U27" s="1"/>
      <c r="V27" s="1"/>
      <c r="W27" s="1"/>
      <c r="X27" s="1"/>
    </row>
    <row r="28" ht="15.75" hidden="1" customHeight="1">
      <c r="A28" s="1"/>
      <c r="B28" s="1"/>
      <c r="C28" s="1"/>
      <c r="D28" s="1"/>
      <c r="E28" s="1"/>
      <c r="F28" s="1"/>
      <c r="G28" s="1"/>
      <c r="H28" s="1"/>
      <c r="I28" s="1"/>
      <c r="J28" s="1"/>
      <c r="K28" s="1"/>
      <c r="L28" s="1"/>
      <c r="M28" s="1"/>
      <c r="N28" s="1"/>
      <c r="O28" s="1"/>
      <c r="P28" s="1"/>
      <c r="Q28" s="1"/>
      <c r="R28" s="1"/>
      <c r="S28" s="1"/>
      <c r="T28" s="1"/>
      <c r="U28" s="1"/>
      <c r="V28" s="1"/>
      <c r="W28" s="1"/>
      <c r="X28" s="1"/>
    </row>
    <row r="29" ht="15.75" hidden="1" customHeight="1">
      <c r="A29" s="1"/>
      <c r="B29" s="1"/>
      <c r="C29" s="1"/>
      <c r="D29" s="1"/>
      <c r="E29" s="1"/>
      <c r="F29" s="1"/>
      <c r="G29" s="1"/>
      <c r="H29" s="1"/>
      <c r="I29" s="1"/>
      <c r="J29" s="1"/>
      <c r="K29" s="1"/>
      <c r="L29" s="1"/>
      <c r="M29" s="1"/>
      <c r="N29" s="1"/>
      <c r="O29" s="1"/>
      <c r="P29" s="1"/>
      <c r="Q29" s="1"/>
      <c r="R29" s="1"/>
      <c r="S29" s="1"/>
      <c r="T29" s="1"/>
      <c r="U29" s="1"/>
      <c r="V29" s="1"/>
      <c r="W29" s="1"/>
      <c r="X29" s="1"/>
    </row>
    <row r="30" ht="15.75" hidden="1" customHeight="1">
      <c r="A30" s="1"/>
      <c r="B30" s="1"/>
      <c r="C30" s="1"/>
      <c r="D30" s="1"/>
      <c r="E30" s="1"/>
      <c r="F30" s="1"/>
      <c r="G30" s="1"/>
      <c r="H30" s="1"/>
      <c r="I30" s="1"/>
      <c r="J30" s="1"/>
      <c r="K30" s="1"/>
      <c r="L30" s="1"/>
      <c r="M30" s="1"/>
      <c r="N30" s="1"/>
      <c r="O30" s="1"/>
      <c r="P30" s="1"/>
      <c r="Q30" s="1"/>
      <c r="R30" s="1"/>
      <c r="S30" s="1"/>
      <c r="T30" s="1"/>
      <c r="U30" s="1"/>
      <c r="V30" s="1"/>
      <c r="W30" s="1"/>
      <c r="X30" s="1"/>
    </row>
    <row r="31" ht="15.75" hidden="1" customHeight="1">
      <c r="A31" s="1"/>
      <c r="B31" s="1"/>
      <c r="C31" s="1"/>
      <c r="D31" s="1"/>
      <c r="E31" s="1"/>
      <c r="F31" s="1"/>
      <c r="G31" s="1"/>
      <c r="H31" s="1"/>
      <c r="I31" s="1"/>
      <c r="J31" s="1"/>
      <c r="K31" s="1"/>
      <c r="L31" s="1"/>
      <c r="M31" s="1"/>
      <c r="N31" s="1"/>
      <c r="O31" s="1"/>
      <c r="P31" s="1"/>
      <c r="Q31" s="1"/>
      <c r="R31" s="1"/>
      <c r="S31" s="1"/>
      <c r="T31" s="1"/>
      <c r="U31" s="1"/>
      <c r="V31" s="1"/>
      <c r="W31" s="1"/>
      <c r="X31" s="1"/>
    </row>
    <row r="32" ht="15.75" hidden="1" customHeight="1">
      <c r="A32" s="1"/>
      <c r="B32" s="1"/>
      <c r="C32" s="1"/>
      <c r="D32" s="1"/>
      <c r="E32" s="1"/>
      <c r="F32" s="1"/>
      <c r="G32" s="1"/>
      <c r="H32" s="1"/>
      <c r="I32" s="1"/>
      <c r="J32" s="1"/>
      <c r="K32" s="1"/>
      <c r="L32" s="1"/>
      <c r="M32" s="1"/>
      <c r="N32" s="1"/>
      <c r="O32" s="1"/>
      <c r="P32" s="1"/>
      <c r="Q32" s="1"/>
      <c r="R32" s="1"/>
      <c r="S32" s="1"/>
      <c r="T32" s="1"/>
      <c r="U32" s="1"/>
      <c r="V32" s="1"/>
      <c r="W32" s="1"/>
      <c r="X32" s="1"/>
    </row>
    <row r="33" ht="15.75" hidden="1" customHeight="1">
      <c r="A33" s="1"/>
      <c r="B33" s="1"/>
      <c r="C33" s="1"/>
      <c r="D33" s="1"/>
      <c r="E33" s="1"/>
      <c r="F33" s="1"/>
      <c r="G33" s="1"/>
      <c r="H33" s="1"/>
      <c r="I33" s="1"/>
      <c r="J33" s="1"/>
      <c r="K33" s="1"/>
      <c r="L33" s="1"/>
      <c r="M33" s="1"/>
      <c r="N33" s="1"/>
      <c r="O33" s="1"/>
      <c r="P33" s="1"/>
      <c r="Q33" s="1"/>
      <c r="R33" s="1"/>
      <c r="S33" s="1"/>
      <c r="T33" s="1"/>
      <c r="U33" s="1"/>
      <c r="V33" s="1"/>
      <c r="W33" s="1"/>
      <c r="X33" s="1"/>
    </row>
    <row r="34" ht="15.75" hidden="1" customHeight="1">
      <c r="A34" s="1"/>
      <c r="B34" s="1"/>
      <c r="C34" s="1"/>
      <c r="D34" s="1"/>
      <c r="E34" s="1"/>
      <c r="F34" s="1"/>
      <c r="G34" s="1"/>
      <c r="H34" s="1"/>
      <c r="I34" s="1"/>
      <c r="J34" s="1"/>
      <c r="K34" s="1"/>
      <c r="L34" s="1"/>
      <c r="M34" s="1"/>
      <c r="N34" s="1"/>
      <c r="O34" s="1"/>
      <c r="P34" s="1"/>
      <c r="Q34" s="1"/>
      <c r="R34" s="1"/>
      <c r="S34" s="1"/>
      <c r="T34" s="1"/>
      <c r="U34" s="1"/>
      <c r="V34" s="1"/>
      <c r="W34" s="1"/>
      <c r="X34" s="1"/>
    </row>
    <row r="35" ht="15.75" hidden="1" customHeight="1">
      <c r="A35" s="1"/>
      <c r="B35" s="1"/>
      <c r="C35" s="1"/>
      <c r="D35" s="1"/>
      <c r="E35" s="1"/>
      <c r="F35" s="1"/>
      <c r="G35" s="1"/>
      <c r="H35" s="1"/>
      <c r="I35" s="1"/>
      <c r="J35" s="1"/>
      <c r="K35" s="1"/>
      <c r="L35" s="1"/>
      <c r="M35" s="1"/>
      <c r="N35" s="1"/>
      <c r="O35" s="1"/>
      <c r="P35" s="1"/>
      <c r="Q35" s="1"/>
      <c r="R35" s="1"/>
      <c r="S35" s="1"/>
      <c r="T35" s="1"/>
      <c r="U35" s="1"/>
      <c r="V35" s="1"/>
      <c r="W35" s="1"/>
      <c r="X35" s="1"/>
    </row>
    <row r="36" ht="15.75" hidden="1" customHeight="1">
      <c r="A36" s="1"/>
      <c r="B36" s="1"/>
      <c r="C36" s="1"/>
      <c r="D36" s="1"/>
      <c r="E36" s="1"/>
      <c r="F36" s="1"/>
      <c r="G36" s="1"/>
      <c r="H36" s="1"/>
      <c r="I36" s="1"/>
      <c r="J36" s="1"/>
      <c r="K36" s="1"/>
      <c r="L36" s="1"/>
      <c r="M36" s="1"/>
      <c r="N36" s="1"/>
      <c r="O36" s="1"/>
      <c r="P36" s="1"/>
      <c r="Q36" s="1"/>
      <c r="R36" s="1"/>
      <c r="S36" s="1"/>
      <c r="T36" s="1"/>
      <c r="U36" s="1"/>
      <c r="V36" s="1"/>
      <c r="W36" s="1"/>
      <c r="X36" s="1"/>
    </row>
    <row r="37" ht="15.75" hidden="1" customHeight="1">
      <c r="A37" s="1"/>
      <c r="B37" s="1"/>
      <c r="C37" s="1"/>
      <c r="D37" s="1"/>
      <c r="E37" s="1"/>
      <c r="F37" s="1"/>
      <c r="G37" s="1"/>
      <c r="H37" s="1"/>
      <c r="I37" s="1"/>
      <c r="J37" s="1"/>
      <c r="K37" s="1"/>
      <c r="L37" s="1"/>
      <c r="M37" s="1"/>
      <c r="N37" s="1"/>
      <c r="O37" s="1"/>
      <c r="P37" s="1"/>
      <c r="Q37" s="1"/>
      <c r="R37" s="1"/>
      <c r="S37" s="1"/>
      <c r="T37" s="1"/>
      <c r="U37" s="1"/>
      <c r="V37" s="1"/>
      <c r="W37" s="1"/>
      <c r="X37" s="1"/>
    </row>
    <row r="38" ht="15.75" hidden="1" customHeight="1">
      <c r="A38" s="1"/>
      <c r="B38" s="1"/>
      <c r="C38" s="1"/>
      <c r="D38" s="1"/>
      <c r="E38" s="1"/>
      <c r="F38" s="1"/>
      <c r="G38" s="1"/>
      <c r="H38" s="1"/>
      <c r="I38" s="1"/>
      <c r="J38" s="1"/>
      <c r="K38" s="1"/>
      <c r="L38" s="1"/>
      <c r="M38" s="1"/>
      <c r="N38" s="1"/>
      <c r="O38" s="1"/>
      <c r="P38" s="1"/>
      <c r="Q38" s="1"/>
      <c r="R38" s="1"/>
      <c r="S38" s="1"/>
      <c r="T38" s="1"/>
      <c r="U38" s="1"/>
      <c r="V38" s="1"/>
      <c r="W38" s="1"/>
      <c r="X38" s="1"/>
    </row>
    <row r="39" ht="15.75" hidden="1" customHeight="1">
      <c r="A39" s="1"/>
      <c r="B39" s="1"/>
      <c r="C39" s="1"/>
      <c r="D39" s="1"/>
      <c r="E39" s="1"/>
      <c r="F39" s="1"/>
      <c r="G39" s="1"/>
      <c r="H39" s="1"/>
      <c r="I39" s="1"/>
      <c r="J39" s="1"/>
      <c r="K39" s="1"/>
      <c r="L39" s="1"/>
      <c r="M39" s="1"/>
      <c r="N39" s="1"/>
      <c r="O39" s="1"/>
      <c r="P39" s="1"/>
      <c r="Q39" s="1"/>
      <c r="R39" s="1"/>
      <c r="S39" s="1"/>
      <c r="T39" s="1"/>
      <c r="U39" s="1"/>
      <c r="V39" s="1"/>
      <c r="W39" s="1"/>
      <c r="X39" s="1"/>
    </row>
    <row r="40" ht="15.75" hidden="1" customHeight="1">
      <c r="A40" s="1"/>
      <c r="B40" s="1"/>
      <c r="C40" s="1"/>
      <c r="D40" s="1"/>
      <c r="E40" s="1"/>
      <c r="F40" s="1"/>
      <c r="G40" s="1"/>
      <c r="H40" s="1"/>
      <c r="I40" s="1"/>
      <c r="J40" s="1"/>
      <c r="K40" s="1"/>
      <c r="L40" s="1"/>
      <c r="M40" s="1"/>
      <c r="N40" s="1"/>
      <c r="O40" s="1"/>
      <c r="P40" s="1"/>
      <c r="Q40" s="1"/>
      <c r="R40" s="1"/>
      <c r="S40" s="1"/>
      <c r="T40" s="1"/>
      <c r="U40" s="1"/>
      <c r="V40" s="1"/>
      <c r="W40" s="1"/>
      <c r="X40" s="1"/>
    </row>
    <row r="41" ht="15.75" hidden="1" customHeight="1">
      <c r="A41" s="1"/>
      <c r="B41" s="1"/>
      <c r="C41" s="1"/>
      <c r="D41" s="1"/>
      <c r="E41" s="1"/>
      <c r="F41" s="1"/>
      <c r="G41" s="1"/>
      <c r="H41" s="1"/>
      <c r="I41" s="1"/>
      <c r="J41" s="1"/>
      <c r="K41" s="1"/>
      <c r="L41" s="1"/>
      <c r="M41" s="1"/>
      <c r="N41" s="1"/>
      <c r="O41" s="1"/>
      <c r="P41" s="1"/>
      <c r="Q41" s="1"/>
      <c r="R41" s="1"/>
      <c r="S41" s="1"/>
      <c r="T41" s="1"/>
      <c r="U41" s="1"/>
      <c r="V41" s="1"/>
      <c r="W41" s="1"/>
      <c r="X41" s="1"/>
    </row>
    <row r="42" ht="15.75" hidden="1" customHeight="1">
      <c r="A42" s="1"/>
      <c r="B42" s="1"/>
      <c r="C42" s="1"/>
      <c r="D42" s="1"/>
      <c r="E42" s="1"/>
      <c r="F42" s="1"/>
      <c r="G42" s="1"/>
      <c r="H42" s="1"/>
      <c r="I42" s="1"/>
      <c r="J42" s="1"/>
      <c r="K42" s="1"/>
      <c r="L42" s="1"/>
      <c r="M42" s="1"/>
      <c r="N42" s="1"/>
      <c r="O42" s="1"/>
      <c r="P42" s="1"/>
      <c r="Q42" s="1"/>
      <c r="R42" s="1"/>
      <c r="S42" s="1"/>
      <c r="T42" s="1"/>
      <c r="U42" s="1"/>
      <c r="V42" s="1"/>
      <c r="W42" s="1"/>
      <c r="X42" s="1"/>
    </row>
    <row r="43" ht="15.75" hidden="1" customHeight="1">
      <c r="A43" s="1"/>
      <c r="B43" s="1"/>
      <c r="C43" s="1"/>
      <c r="D43" s="1"/>
      <c r="E43" s="1"/>
      <c r="F43" s="1"/>
      <c r="G43" s="1"/>
      <c r="H43" s="1"/>
      <c r="I43" s="1"/>
      <c r="J43" s="1"/>
      <c r="K43" s="1"/>
      <c r="L43" s="1"/>
      <c r="M43" s="1"/>
      <c r="N43" s="1"/>
      <c r="O43" s="1"/>
      <c r="P43" s="1"/>
      <c r="Q43" s="1"/>
      <c r="R43" s="1"/>
      <c r="S43" s="1"/>
      <c r="T43" s="1"/>
      <c r="U43" s="1"/>
      <c r="V43" s="1"/>
      <c r="W43" s="1"/>
      <c r="X43" s="1"/>
    </row>
    <row r="44" ht="15.75" hidden="1" customHeight="1">
      <c r="A44" s="1"/>
      <c r="B44" s="1"/>
      <c r="C44" s="1"/>
      <c r="D44" s="1"/>
      <c r="E44" s="1"/>
      <c r="F44" s="1"/>
      <c r="G44" s="1"/>
      <c r="H44" s="1"/>
      <c r="I44" s="1"/>
      <c r="J44" s="1"/>
      <c r="K44" s="1"/>
      <c r="L44" s="1"/>
      <c r="M44" s="1"/>
      <c r="N44" s="1"/>
      <c r="O44" s="1"/>
      <c r="P44" s="1"/>
      <c r="Q44" s="1"/>
      <c r="R44" s="1"/>
      <c r="S44" s="1"/>
      <c r="T44" s="1"/>
      <c r="U44" s="1"/>
      <c r="V44" s="1"/>
      <c r="W44" s="1"/>
      <c r="X44" s="1"/>
    </row>
    <row r="45" ht="15.75" hidden="1" customHeight="1">
      <c r="A45" s="1"/>
      <c r="B45" s="1"/>
      <c r="C45" s="1"/>
      <c r="D45" s="1"/>
      <c r="E45" s="1"/>
      <c r="F45" s="1"/>
      <c r="G45" s="1"/>
      <c r="H45" s="1"/>
      <c r="I45" s="1"/>
      <c r="J45" s="1"/>
      <c r="K45" s="1"/>
      <c r="L45" s="1"/>
      <c r="M45" s="1"/>
      <c r="N45" s="1"/>
      <c r="O45" s="1"/>
      <c r="P45" s="1"/>
      <c r="Q45" s="1"/>
      <c r="R45" s="1"/>
      <c r="S45" s="1"/>
      <c r="T45" s="1"/>
      <c r="U45" s="1"/>
      <c r="V45" s="1"/>
      <c r="W45" s="1"/>
      <c r="X45" s="1"/>
    </row>
    <row r="46" ht="15.75" hidden="1" customHeight="1">
      <c r="A46" s="1"/>
      <c r="B46" s="1"/>
      <c r="C46" s="1"/>
      <c r="D46" s="1"/>
      <c r="E46" s="1"/>
      <c r="F46" s="1"/>
      <c r="G46" s="1"/>
      <c r="H46" s="1"/>
      <c r="I46" s="1"/>
      <c r="J46" s="1"/>
      <c r="K46" s="1"/>
      <c r="L46" s="1"/>
      <c r="M46" s="1"/>
      <c r="N46" s="1"/>
      <c r="O46" s="1"/>
      <c r="P46" s="1"/>
      <c r="Q46" s="1"/>
      <c r="R46" s="1"/>
      <c r="S46" s="1"/>
      <c r="T46" s="1"/>
      <c r="U46" s="1"/>
      <c r="V46" s="1"/>
      <c r="W46" s="1"/>
      <c r="X46" s="1"/>
    </row>
    <row r="47" ht="15.75" hidden="1" customHeight="1">
      <c r="A47" s="1"/>
      <c r="B47" s="1"/>
      <c r="C47" s="1"/>
      <c r="D47" s="1"/>
      <c r="E47" s="1"/>
      <c r="F47" s="1"/>
      <c r="G47" s="1"/>
      <c r="H47" s="1"/>
      <c r="I47" s="1"/>
      <c r="J47" s="1"/>
      <c r="K47" s="1"/>
      <c r="L47" s="1"/>
      <c r="M47" s="1"/>
      <c r="N47" s="1"/>
      <c r="O47" s="1"/>
      <c r="P47" s="1"/>
      <c r="Q47" s="1"/>
      <c r="R47" s="1"/>
      <c r="S47" s="1"/>
      <c r="T47" s="1"/>
      <c r="U47" s="1"/>
      <c r="V47" s="1"/>
      <c r="W47" s="1"/>
      <c r="X47" s="1"/>
    </row>
    <row r="48" ht="15.75" hidden="1" customHeight="1">
      <c r="A48" s="1"/>
      <c r="B48" s="1"/>
      <c r="C48" s="1"/>
      <c r="D48" s="1"/>
      <c r="E48" s="1"/>
      <c r="F48" s="1"/>
      <c r="G48" s="1"/>
      <c r="H48" s="1"/>
      <c r="I48" s="1"/>
      <c r="J48" s="1"/>
      <c r="K48" s="1"/>
      <c r="L48" s="1"/>
      <c r="M48" s="1"/>
      <c r="N48" s="1"/>
      <c r="O48" s="1"/>
      <c r="P48" s="1"/>
      <c r="Q48" s="1"/>
      <c r="R48" s="1"/>
      <c r="S48" s="1"/>
      <c r="T48" s="1"/>
      <c r="U48" s="1"/>
      <c r="V48" s="1"/>
      <c r="W48" s="1"/>
      <c r="X48" s="1"/>
    </row>
    <row r="49" ht="15.75" hidden="1" customHeight="1">
      <c r="A49" s="1"/>
      <c r="B49" s="1"/>
      <c r="C49" s="1"/>
      <c r="D49" s="1"/>
      <c r="E49" s="1"/>
      <c r="F49" s="1"/>
      <c r="G49" s="1"/>
      <c r="H49" s="1"/>
      <c r="I49" s="1"/>
      <c r="J49" s="1"/>
      <c r="K49" s="1"/>
      <c r="L49" s="1"/>
      <c r="M49" s="1"/>
      <c r="N49" s="1"/>
      <c r="O49" s="1"/>
      <c r="P49" s="1"/>
      <c r="Q49" s="1"/>
      <c r="R49" s="1"/>
      <c r="S49" s="1"/>
      <c r="T49" s="1"/>
      <c r="U49" s="1"/>
      <c r="V49" s="1"/>
      <c r="W49" s="1"/>
      <c r="X49" s="1"/>
    </row>
    <row r="50" ht="15.75" hidden="1" customHeight="1">
      <c r="A50" s="1"/>
      <c r="B50" s="1"/>
      <c r="C50" s="1"/>
      <c r="D50" s="1"/>
      <c r="E50" s="1"/>
      <c r="F50" s="1"/>
      <c r="G50" s="1"/>
      <c r="H50" s="1"/>
      <c r="I50" s="1"/>
      <c r="J50" s="1"/>
      <c r="K50" s="1"/>
      <c r="L50" s="1"/>
      <c r="M50" s="1"/>
      <c r="N50" s="1"/>
      <c r="O50" s="1"/>
      <c r="P50" s="1"/>
      <c r="Q50" s="1"/>
      <c r="R50" s="1"/>
      <c r="S50" s="1"/>
      <c r="T50" s="1"/>
      <c r="U50" s="1"/>
      <c r="V50" s="1"/>
      <c r="W50" s="1"/>
      <c r="X50" s="1"/>
    </row>
    <row r="51" ht="15.75" hidden="1" customHeight="1">
      <c r="A51" s="1"/>
      <c r="B51" s="1"/>
      <c r="C51" s="1"/>
      <c r="D51" s="1"/>
      <c r="E51" s="1"/>
      <c r="F51" s="1"/>
      <c r="G51" s="1"/>
      <c r="H51" s="1"/>
      <c r="I51" s="1"/>
      <c r="J51" s="1"/>
      <c r="K51" s="1"/>
      <c r="L51" s="1"/>
      <c r="M51" s="1"/>
      <c r="N51" s="1"/>
      <c r="O51" s="1"/>
      <c r="P51" s="1"/>
      <c r="Q51" s="1"/>
      <c r="R51" s="1"/>
      <c r="S51" s="1"/>
      <c r="T51" s="1"/>
      <c r="U51" s="1"/>
      <c r="V51" s="1"/>
      <c r="W51" s="1"/>
      <c r="X51" s="1"/>
    </row>
    <row r="52" ht="15.75" hidden="1" customHeight="1">
      <c r="A52" s="1"/>
      <c r="B52" s="1"/>
      <c r="C52" s="1"/>
      <c r="D52" s="1"/>
      <c r="E52" s="1"/>
      <c r="F52" s="1"/>
      <c r="G52" s="1"/>
      <c r="H52" s="1"/>
      <c r="I52" s="1"/>
      <c r="J52" s="1"/>
      <c r="K52" s="1"/>
      <c r="L52" s="1"/>
      <c r="M52" s="1"/>
      <c r="N52" s="1"/>
      <c r="O52" s="1"/>
      <c r="P52" s="1"/>
      <c r="Q52" s="1"/>
      <c r="R52" s="1"/>
      <c r="S52" s="1"/>
      <c r="T52" s="1"/>
      <c r="U52" s="1"/>
      <c r="V52" s="1"/>
      <c r="W52" s="1"/>
      <c r="X52" s="1"/>
    </row>
    <row r="53" ht="15.75" hidden="1" customHeight="1">
      <c r="A53" s="1"/>
      <c r="B53" s="1"/>
      <c r="C53" s="1"/>
      <c r="D53" s="1"/>
      <c r="E53" s="1"/>
      <c r="F53" s="1"/>
      <c r="G53" s="1"/>
      <c r="H53" s="1"/>
      <c r="I53" s="1"/>
      <c r="J53" s="1"/>
      <c r="K53" s="1"/>
      <c r="L53" s="1"/>
      <c r="M53" s="1"/>
      <c r="N53" s="1"/>
      <c r="O53" s="1"/>
      <c r="P53" s="1"/>
      <c r="Q53" s="1"/>
      <c r="R53" s="1"/>
      <c r="S53" s="1"/>
      <c r="T53" s="1"/>
      <c r="U53" s="1"/>
      <c r="V53" s="1"/>
      <c r="W53" s="1"/>
      <c r="X53" s="1"/>
    </row>
    <row r="54" ht="15.75" hidden="1" customHeight="1">
      <c r="A54" s="1"/>
      <c r="B54" s="1"/>
      <c r="C54" s="1"/>
      <c r="D54" s="1"/>
      <c r="E54" s="1"/>
      <c r="F54" s="1"/>
      <c r="G54" s="1"/>
      <c r="H54" s="1"/>
      <c r="I54" s="1"/>
      <c r="J54" s="1"/>
      <c r="K54" s="1"/>
      <c r="L54" s="1"/>
      <c r="M54" s="1"/>
      <c r="N54" s="1"/>
      <c r="O54" s="1"/>
      <c r="P54" s="1"/>
      <c r="Q54" s="1"/>
      <c r="R54" s="1"/>
      <c r="S54" s="1"/>
      <c r="T54" s="1"/>
      <c r="U54" s="1"/>
      <c r="V54" s="1"/>
      <c r="W54" s="1"/>
      <c r="X54" s="1"/>
    </row>
    <row r="55" ht="15.75" hidden="1" customHeight="1">
      <c r="A55" s="1"/>
      <c r="B55" s="1"/>
      <c r="C55" s="1"/>
      <c r="D55" s="1"/>
      <c r="E55" s="1"/>
      <c r="F55" s="1"/>
      <c r="G55" s="1"/>
      <c r="H55" s="1"/>
      <c r="I55" s="1"/>
      <c r="J55" s="1"/>
      <c r="K55" s="1"/>
      <c r="L55" s="1"/>
      <c r="M55" s="1"/>
      <c r="N55" s="1"/>
      <c r="O55" s="1"/>
      <c r="P55" s="1"/>
      <c r="Q55" s="1"/>
      <c r="R55" s="1"/>
      <c r="S55" s="1"/>
      <c r="T55" s="1"/>
      <c r="U55" s="1"/>
      <c r="V55" s="1"/>
      <c r="W55" s="1"/>
      <c r="X55" s="1"/>
    </row>
    <row r="56" ht="15.75" hidden="1" customHeight="1">
      <c r="A56" s="1"/>
      <c r="B56" s="1"/>
      <c r="C56" s="1"/>
      <c r="D56" s="1"/>
      <c r="E56" s="1"/>
      <c r="F56" s="1"/>
      <c r="G56" s="1"/>
      <c r="H56" s="1"/>
      <c r="I56" s="1"/>
      <c r="J56" s="1"/>
      <c r="K56" s="1"/>
      <c r="L56" s="1"/>
      <c r="M56" s="1"/>
      <c r="N56" s="1"/>
      <c r="O56" s="1"/>
      <c r="P56" s="1"/>
      <c r="Q56" s="1"/>
      <c r="R56" s="1"/>
      <c r="S56" s="1"/>
      <c r="T56" s="1"/>
      <c r="U56" s="1"/>
      <c r="V56" s="1"/>
      <c r="W56" s="1"/>
      <c r="X56" s="1"/>
    </row>
    <row r="57" ht="15.75" hidden="1" customHeight="1">
      <c r="A57" s="1"/>
      <c r="B57" s="1"/>
      <c r="C57" s="1"/>
      <c r="D57" s="1"/>
      <c r="E57" s="1"/>
      <c r="F57" s="1"/>
      <c r="G57" s="1"/>
      <c r="H57" s="1"/>
      <c r="I57" s="1"/>
      <c r="J57" s="1"/>
      <c r="K57" s="1"/>
      <c r="L57" s="1"/>
      <c r="M57" s="1"/>
      <c r="N57" s="1"/>
      <c r="O57" s="1"/>
      <c r="P57" s="1"/>
      <c r="Q57" s="1"/>
      <c r="R57" s="1"/>
      <c r="S57" s="1"/>
      <c r="T57" s="1"/>
      <c r="U57" s="1"/>
      <c r="V57" s="1"/>
      <c r="W57" s="1"/>
      <c r="X57" s="1"/>
    </row>
    <row r="58" ht="15.75" hidden="1" customHeight="1">
      <c r="A58" s="1"/>
      <c r="B58" s="1"/>
      <c r="C58" s="1"/>
      <c r="D58" s="1"/>
      <c r="E58" s="1"/>
      <c r="F58" s="1"/>
      <c r="G58" s="1"/>
      <c r="H58" s="1"/>
      <c r="I58" s="1"/>
      <c r="J58" s="1"/>
      <c r="K58" s="1"/>
      <c r="L58" s="1"/>
      <c r="M58" s="1"/>
      <c r="N58" s="1"/>
      <c r="O58" s="1"/>
      <c r="P58" s="1"/>
      <c r="Q58" s="1"/>
      <c r="R58" s="1"/>
      <c r="S58" s="1"/>
      <c r="T58" s="1"/>
      <c r="U58" s="1"/>
      <c r="V58" s="1"/>
      <c r="W58" s="1"/>
      <c r="X58" s="1"/>
    </row>
    <row r="59" ht="15.75" hidden="1" customHeight="1">
      <c r="A59" s="1"/>
      <c r="B59" s="1"/>
      <c r="C59" s="1"/>
      <c r="D59" s="1"/>
      <c r="E59" s="1"/>
      <c r="F59" s="1"/>
      <c r="G59" s="1"/>
      <c r="H59" s="1"/>
      <c r="I59" s="1"/>
      <c r="J59" s="1"/>
      <c r="K59" s="1"/>
      <c r="L59" s="1"/>
      <c r="M59" s="1"/>
      <c r="N59" s="1"/>
      <c r="O59" s="1"/>
      <c r="P59" s="1"/>
      <c r="Q59" s="1"/>
      <c r="R59" s="1"/>
      <c r="S59" s="1"/>
      <c r="T59" s="1"/>
      <c r="U59" s="1"/>
      <c r="V59" s="1"/>
      <c r="W59" s="1"/>
      <c r="X59" s="1"/>
    </row>
    <row r="60" ht="15.75" hidden="1" customHeight="1">
      <c r="A60" s="1"/>
      <c r="B60" s="1"/>
      <c r="C60" s="1"/>
      <c r="D60" s="1"/>
      <c r="E60" s="1"/>
      <c r="F60" s="1"/>
      <c r="G60" s="1"/>
      <c r="H60" s="1"/>
      <c r="I60" s="1"/>
      <c r="J60" s="1"/>
      <c r="K60" s="1"/>
      <c r="L60" s="1"/>
      <c r="M60" s="1"/>
      <c r="N60" s="1"/>
      <c r="O60" s="1"/>
      <c r="P60" s="1"/>
      <c r="Q60" s="1"/>
      <c r="R60" s="1"/>
      <c r="S60" s="1"/>
      <c r="T60" s="1"/>
      <c r="U60" s="1"/>
      <c r="V60" s="1"/>
      <c r="W60" s="1"/>
      <c r="X60" s="1"/>
    </row>
    <row r="61" ht="15.75" hidden="1" customHeight="1">
      <c r="A61" s="1"/>
      <c r="B61" s="1"/>
      <c r="C61" s="1"/>
      <c r="D61" s="1"/>
      <c r="E61" s="1"/>
      <c r="F61" s="1"/>
      <c r="G61" s="1"/>
      <c r="H61" s="1"/>
      <c r="I61" s="1"/>
      <c r="J61" s="1"/>
      <c r="K61" s="1"/>
      <c r="L61" s="1"/>
      <c r="M61" s="1"/>
      <c r="N61" s="1"/>
      <c r="O61" s="1"/>
      <c r="P61" s="1"/>
      <c r="Q61" s="1"/>
      <c r="R61" s="1"/>
      <c r="S61" s="1"/>
      <c r="T61" s="1"/>
      <c r="U61" s="1"/>
      <c r="V61" s="1"/>
      <c r="W61" s="1"/>
      <c r="X61" s="1"/>
    </row>
    <row r="62" ht="15.75" hidden="1" customHeight="1">
      <c r="A62" s="1"/>
      <c r="B62" s="1"/>
      <c r="C62" s="1"/>
      <c r="D62" s="1"/>
      <c r="E62" s="1"/>
      <c r="F62" s="1"/>
      <c r="G62" s="1"/>
      <c r="H62" s="1"/>
      <c r="I62" s="1"/>
      <c r="J62" s="1"/>
      <c r="K62" s="1"/>
      <c r="L62" s="1"/>
      <c r="M62" s="1"/>
      <c r="N62" s="1"/>
      <c r="O62" s="1"/>
      <c r="P62" s="1"/>
      <c r="Q62" s="1"/>
      <c r="R62" s="1"/>
      <c r="S62" s="1"/>
      <c r="T62" s="1"/>
      <c r="U62" s="1"/>
      <c r="V62" s="1"/>
      <c r="W62" s="1"/>
      <c r="X62" s="1"/>
    </row>
    <row r="63" ht="15.75" hidden="1" customHeight="1">
      <c r="A63" s="1"/>
      <c r="B63" s="1"/>
      <c r="C63" s="1"/>
      <c r="D63" s="1"/>
      <c r="E63" s="1"/>
      <c r="F63" s="1"/>
      <c r="G63" s="1"/>
      <c r="H63" s="1"/>
      <c r="I63" s="1"/>
      <c r="J63" s="1"/>
      <c r="K63" s="1"/>
      <c r="L63" s="1"/>
      <c r="M63" s="1"/>
      <c r="N63" s="1"/>
      <c r="O63" s="1"/>
      <c r="P63" s="1"/>
      <c r="Q63" s="1"/>
      <c r="R63" s="1"/>
      <c r="S63" s="1"/>
      <c r="T63" s="1"/>
      <c r="U63" s="1"/>
      <c r="V63" s="1"/>
      <c r="W63" s="1"/>
      <c r="X63" s="1"/>
    </row>
    <row r="64" ht="15.75" hidden="1" customHeight="1">
      <c r="A64" s="1"/>
      <c r="B64" s="1"/>
      <c r="C64" s="1"/>
      <c r="D64" s="1"/>
      <c r="E64" s="1"/>
      <c r="F64" s="1"/>
      <c r="G64" s="1"/>
      <c r="H64" s="1"/>
      <c r="I64" s="1"/>
      <c r="J64" s="1"/>
      <c r="K64" s="1"/>
      <c r="L64" s="1"/>
      <c r="M64" s="1"/>
      <c r="N64" s="1"/>
      <c r="O64" s="1"/>
      <c r="P64" s="1"/>
      <c r="Q64" s="1"/>
      <c r="R64" s="1"/>
      <c r="S64" s="1"/>
      <c r="T64" s="1"/>
      <c r="U64" s="1"/>
      <c r="V64" s="1"/>
      <c r="W64" s="1"/>
      <c r="X64" s="1"/>
    </row>
    <row r="65" ht="15.75" hidden="1" customHeight="1">
      <c r="A65" s="1"/>
      <c r="B65" s="1"/>
      <c r="C65" s="1"/>
      <c r="D65" s="1"/>
      <c r="E65" s="1"/>
      <c r="F65" s="1"/>
      <c r="G65" s="1"/>
      <c r="H65" s="1"/>
      <c r="I65" s="1"/>
      <c r="J65" s="1"/>
      <c r="K65" s="1"/>
      <c r="L65" s="1"/>
      <c r="M65" s="1"/>
      <c r="N65" s="1"/>
      <c r="O65" s="1"/>
      <c r="P65" s="1"/>
      <c r="Q65" s="1"/>
      <c r="R65" s="1"/>
      <c r="S65" s="1"/>
      <c r="T65" s="1"/>
      <c r="U65" s="1"/>
      <c r="V65" s="1"/>
      <c r="W65" s="1"/>
      <c r="X65" s="1"/>
    </row>
    <row r="66" ht="15.75" hidden="1" customHeight="1">
      <c r="A66" s="1"/>
      <c r="B66" s="1"/>
      <c r="C66" s="1"/>
      <c r="D66" s="1"/>
      <c r="E66" s="1"/>
      <c r="F66" s="1"/>
      <c r="G66" s="1"/>
      <c r="H66" s="1"/>
      <c r="I66" s="1"/>
      <c r="J66" s="1"/>
      <c r="K66" s="1"/>
      <c r="L66" s="1"/>
      <c r="M66" s="1"/>
      <c r="N66" s="1"/>
      <c r="O66" s="1"/>
      <c r="P66" s="1"/>
      <c r="Q66" s="1"/>
      <c r="R66" s="1"/>
      <c r="S66" s="1"/>
      <c r="T66" s="1"/>
      <c r="U66" s="1"/>
      <c r="V66" s="1"/>
      <c r="W66" s="1"/>
      <c r="X66" s="1"/>
    </row>
    <row r="67" ht="15.75" hidden="1" customHeight="1">
      <c r="A67" s="1"/>
      <c r="B67" s="1"/>
      <c r="C67" s="1"/>
      <c r="D67" s="1"/>
      <c r="E67" s="1"/>
      <c r="F67" s="1"/>
      <c r="G67" s="1"/>
      <c r="H67" s="1"/>
      <c r="I67" s="1"/>
      <c r="J67" s="1"/>
      <c r="K67" s="1"/>
      <c r="L67" s="1"/>
      <c r="M67" s="1"/>
      <c r="N67" s="1"/>
      <c r="O67" s="1"/>
      <c r="P67" s="1"/>
      <c r="Q67" s="1"/>
      <c r="R67" s="1"/>
      <c r="S67" s="1"/>
      <c r="T67" s="1"/>
      <c r="U67" s="1"/>
      <c r="V67" s="1"/>
      <c r="W67" s="1"/>
      <c r="X67" s="1"/>
    </row>
    <row r="68" ht="15.75" hidden="1" customHeight="1">
      <c r="A68" s="1"/>
      <c r="B68" s="1"/>
      <c r="C68" s="1"/>
      <c r="D68" s="1"/>
      <c r="E68" s="1"/>
      <c r="F68" s="1"/>
      <c r="G68" s="1"/>
      <c r="H68" s="1"/>
      <c r="I68" s="1"/>
      <c r="J68" s="1"/>
      <c r="K68" s="1"/>
      <c r="L68" s="1"/>
      <c r="M68" s="1"/>
      <c r="N68" s="1"/>
      <c r="O68" s="1"/>
      <c r="P68" s="1"/>
      <c r="Q68" s="1"/>
      <c r="R68" s="1"/>
      <c r="S68" s="1"/>
      <c r="T68" s="1"/>
      <c r="U68" s="1"/>
      <c r="V68" s="1"/>
      <c r="W68" s="1"/>
      <c r="X68" s="1"/>
    </row>
    <row r="69" ht="15.75" hidden="1" customHeight="1">
      <c r="A69" s="1"/>
      <c r="B69" s="1"/>
      <c r="C69" s="1"/>
      <c r="D69" s="1"/>
      <c r="E69" s="1"/>
      <c r="F69" s="1"/>
      <c r="G69" s="1"/>
      <c r="H69" s="1"/>
      <c r="I69" s="1"/>
      <c r="J69" s="1"/>
      <c r="K69" s="1"/>
      <c r="L69" s="1"/>
      <c r="M69" s="1"/>
      <c r="N69" s="1"/>
      <c r="O69" s="1"/>
      <c r="P69" s="1"/>
      <c r="Q69" s="1"/>
      <c r="R69" s="1"/>
      <c r="S69" s="1"/>
      <c r="T69" s="1"/>
      <c r="U69" s="1"/>
      <c r="V69" s="1"/>
      <c r="W69" s="1"/>
      <c r="X69" s="1"/>
    </row>
    <row r="70" ht="15.75" hidden="1" customHeight="1">
      <c r="A70" s="1"/>
      <c r="B70" s="1"/>
      <c r="C70" s="1"/>
      <c r="D70" s="1"/>
      <c r="E70" s="1"/>
      <c r="F70" s="1"/>
      <c r="G70" s="1"/>
      <c r="H70" s="1"/>
      <c r="I70" s="1"/>
      <c r="J70" s="1"/>
      <c r="K70" s="1"/>
      <c r="L70" s="1"/>
      <c r="M70" s="1"/>
      <c r="N70" s="1"/>
      <c r="O70" s="1"/>
      <c r="P70" s="1"/>
      <c r="Q70" s="1"/>
      <c r="R70" s="1"/>
      <c r="S70" s="1"/>
      <c r="T70" s="1"/>
      <c r="U70" s="1"/>
      <c r="V70" s="1"/>
      <c r="W70" s="1"/>
      <c r="X70" s="1"/>
    </row>
    <row r="71" ht="15.75" hidden="1" customHeight="1">
      <c r="A71" s="1"/>
      <c r="B71" s="1"/>
      <c r="C71" s="1"/>
      <c r="D71" s="1"/>
      <c r="E71" s="1"/>
      <c r="F71" s="1"/>
      <c r="G71" s="1"/>
      <c r="H71" s="1"/>
      <c r="I71" s="1"/>
      <c r="J71" s="1"/>
      <c r="K71" s="1"/>
      <c r="L71" s="1"/>
      <c r="M71" s="1"/>
      <c r="N71" s="1"/>
      <c r="O71" s="1"/>
      <c r="P71" s="1"/>
      <c r="Q71" s="1"/>
      <c r="R71" s="1"/>
      <c r="S71" s="1"/>
      <c r="T71" s="1"/>
      <c r="U71" s="1"/>
      <c r="V71" s="1"/>
      <c r="W71" s="1"/>
      <c r="X71" s="1"/>
    </row>
    <row r="72" ht="15.75" hidden="1" customHeight="1">
      <c r="A72" s="1"/>
      <c r="B72" s="1"/>
      <c r="C72" s="1"/>
      <c r="D72" s="1"/>
      <c r="E72" s="1"/>
      <c r="F72" s="1"/>
      <c r="G72" s="1"/>
      <c r="H72" s="1"/>
      <c r="I72" s="1"/>
      <c r="J72" s="1"/>
      <c r="K72" s="1"/>
      <c r="L72" s="1"/>
      <c r="M72" s="1"/>
      <c r="N72" s="1"/>
      <c r="O72" s="1"/>
      <c r="P72" s="1"/>
      <c r="Q72" s="1"/>
      <c r="R72" s="1"/>
      <c r="S72" s="1"/>
      <c r="T72" s="1"/>
      <c r="U72" s="1"/>
      <c r="V72" s="1"/>
      <c r="W72" s="1"/>
      <c r="X72" s="1"/>
    </row>
    <row r="73" ht="15.75" hidden="1" customHeight="1">
      <c r="A73" s="1"/>
      <c r="B73" s="1"/>
      <c r="C73" s="1"/>
      <c r="D73" s="1"/>
      <c r="E73" s="1"/>
      <c r="F73" s="1"/>
      <c r="G73" s="1"/>
      <c r="H73" s="1"/>
      <c r="I73" s="1"/>
      <c r="J73" s="1"/>
      <c r="K73" s="1"/>
      <c r="L73" s="1"/>
      <c r="M73" s="1"/>
      <c r="N73" s="1"/>
      <c r="O73" s="1"/>
      <c r="P73" s="1"/>
      <c r="Q73" s="1"/>
      <c r="R73" s="1"/>
      <c r="S73" s="1"/>
      <c r="T73" s="1"/>
      <c r="U73" s="1"/>
      <c r="V73" s="1"/>
      <c r="W73" s="1"/>
      <c r="X73" s="1"/>
    </row>
    <row r="74" ht="15.75" hidden="1" customHeight="1">
      <c r="A74" s="1"/>
      <c r="B74" s="1"/>
      <c r="C74" s="1"/>
      <c r="D74" s="1"/>
      <c r="E74" s="1"/>
      <c r="F74" s="1"/>
      <c r="G74" s="1"/>
      <c r="H74" s="1"/>
      <c r="I74" s="1"/>
      <c r="J74" s="1"/>
      <c r="K74" s="1"/>
      <c r="L74" s="1"/>
      <c r="M74" s="1"/>
      <c r="N74" s="1"/>
      <c r="O74" s="1"/>
      <c r="P74" s="1"/>
      <c r="Q74" s="1"/>
      <c r="R74" s="1"/>
      <c r="S74" s="1"/>
      <c r="T74" s="1"/>
      <c r="U74" s="1"/>
      <c r="V74" s="1"/>
      <c r="W74" s="1"/>
      <c r="X74" s="1"/>
    </row>
    <row r="75" ht="15.75" hidden="1" customHeight="1">
      <c r="A75" s="1"/>
      <c r="B75" s="1"/>
      <c r="C75" s="1"/>
      <c r="D75" s="1"/>
      <c r="E75" s="1"/>
      <c r="F75" s="1"/>
      <c r="G75" s="1"/>
      <c r="H75" s="1"/>
      <c r="I75" s="1"/>
      <c r="J75" s="1"/>
      <c r="K75" s="1"/>
      <c r="L75" s="1"/>
      <c r="M75" s="1"/>
      <c r="N75" s="1"/>
      <c r="O75" s="1"/>
      <c r="P75" s="1"/>
      <c r="Q75" s="1"/>
      <c r="R75" s="1"/>
      <c r="S75" s="1"/>
      <c r="T75" s="1"/>
      <c r="U75" s="1"/>
      <c r="V75" s="1"/>
      <c r="W75" s="1"/>
      <c r="X75" s="1"/>
    </row>
    <row r="76" ht="15.75" hidden="1" customHeight="1">
      <c r="A76" s="1"/>
      <c r="B76" s="1"/>
      <c r="C76" s="1"/>
      <c r="D76" s="1"/>
      <c r="E76" s="1"/>
      <c r="F76" s="1"/>
      <c r="G76" s="1"/>
      <c r="H76" s="1"/>
      <c r="I76" s="1"/>
      <c r="J76" s="1"/>
      <c r="K76" s="1"/>
      <c r="L76" s="1"/>
      <c r="M76" s="1"/>
      <c r="N76" s="1"/>
      <c r="O76" s="1"/>
      <c r="P76" s="1"/>
      <c r="Q76" s="1"/>
      <c r="R76" s="1"/>
      <c r="S76" s="1"/>
      <c r="T76" s="1"/>
      <c r="U76" s="1"/>
      <c r="V76" s="1"/>
      <c r="W76" s="1"/>
      <c r="X76" s="1"/>
    </row>
    <row r="77" ht="15.75" hidden="1" customHeight="1">
      <c r="A77" s="1"/>
      <c r="B77" s="1"/>
      <c r="C77" s="1"/>
      <c r="D77" s="1"/>
      <c r="E77" s="1"/>
      <c r="F77" s="1"/>
      <c r="G77" s="1"/>
      <c r="H77" s="1"/>
      <c r="I77" s="1"/>
      <c r="J77" s="1"/>
      <c r="K77" s="1"/>
      <c r="L77" s="1"/>
      <c r="M77" s="1"/>
      <c r="N77" s="1"/>
      <c r="O77" s="1"/>
      <c r="P77" s="1"/>
      <c r="Q77" s="1"/>
      <c r="R77" s="1"/>
      <c r="S77" s="1"/>
      <c r="T77" s="1"/>
      <c r="U77" s="1"/>
      <c r="V77" s="1"/>
      <c r="W77" s="1"/>
      <c r="X77" s="1"/>
    </row>
    <row r="78" ht="15.75" hidden="1" customHeight="1">
      <c r="A78" s="1"/>
      <c r="B78" s="1"/>
      <c r="C78" s="1"/>
      <c r="D78" s="1"/>
      <c r="E78" s="1"/>
      <c r="F78" s="1"/>
      <c r="G78" s="1"/>
      <c r="H78" s="1"/>
      <c r="I78" s="1"/>
      <c r="J78" s="1"/>
      <c r="K78" s="1"/>
      <c r="L78" s="1"/>
      <c r="M78" s="1"/>
      <c r="N78" s="1"/>
      <c r="O78" s="1"/>
      <c r="P78" s="1"/>
      <c r="Q78" s="1"/>
      <c r="R78" s="1"/>
      <c r="S78" s="1"/>
      <c r="T78" s="1"/>
      <c r="U78" s="1"/>
      <c r="V78" s="1"/>
      <c r="W78" s="1"/>
      <c r="X78" s="1"/>
    </row>
    <row r="79" ht="15.75" hidden="1" customHeight="1">
      <c r="A79" s="1"/>
      <c r="B79" s="1"/>
      <c r="C79" s="1"/>
      <c r="D79" s="1"/>
      <c r="E79" s="1"/>
      <c r="F79" s="1"/>
      <c r="G79" s="1"/>
      <c r="H79" s="1"/>
      <c r="I79" s="1"/>
      <c r="J79" s="1"/>
      <c r="K79" s="1"/>
      <c r="L79" s="1"/>
      <c r="M79" s="1"/>
      <c r="N79" s="1"/>
      <c r="O79" s="1"/>
      <c r="P79" s="1"/>
      <c r="Q79" s="1"/>
      <c r="R79" s="1"/>
      <c r="S79" s="1"/>
      <c r="T79" s="1"/>
      <c r="U79" s="1"/>
      <c r="V79" s="1"/>
      <c r="W79" s="1"/>
      <c r="X79" s="1"/>
    </row>
    <row r="80" ht="15.75" hidden="1" customHeight="1">
      <c r="A80" s="1"/>
      <c r="B80" s="1"/>
      <c r="C80" s="1"/>
      <c r="D80" s="1"/>
      <c r="E80" s="1"/>
      <c r="F80" s="1"/>
      <c r="G80" s="1"/>
      <c r="H80" s="1"/>
      <c r="I80" s="1"/>
      <c r="J80" s="1"/>
      <c r="K80" s="1"/>
      <c r="L80" s="1"/>
      <c r="M80" s="1"/>
      <c r="N80" s="1"/>
      <c r="O80" s="1"/>
      <c r="P80" s="1"/>
      <c r="Q80" s="1"/>
      <c r="R80" s="1"/>
      <c r="S80" s="1"/>
      <c r="T80" s="1"/>
      <c r="U80" s="1"/>
      <c r="V80" s="1"/>
      <c r="W80" s="1"/>
      <c r="X80" s="1"/>
    </row>
    <row r="81" ht="15.75" hidden="1" customHeight="1">
      <c r="A81" s="1"/>
      <c r="B81" s="1"/>
      <c r="C81" s="1"/>
      <c r="D81" s="1"/>
      <c r="E81" s="1"/>
      <c r="F81" s="1"/>
      <c r="G81" s="1"/>
      <c r="H81" s="1"/>
      <c r="I81" s="1"/>
      <c r="J81" s="1"/>
      <c r="K81" s="1"/>
      <c r="L81" s="1"/>
      <c r="M81" s="1"/>
      <c r="N81" s="1"/>
      <c r="O81" s="1"/>
      <c r="P81" s="1"/>
      <c r="Q81" s="1"/>
      <c r="R81" s="1"/>
      <c r="S81" s="1"/>
      <c r="T81" s="1"/>
      <c r="U81" s="1"/>
      <c r="V81" s="1"/>
      <c r="W81" s="1"/>
      <c r="X81" s="1"/>
    </row>
    <row r="82" ht="15.75" hidden="1" customHeight="1">
      <c r="A82" s="1"/>
      <c r="B82" s="1"/>
      <c r="C82" s="1"/>
      <c r="D82" s="1"/>
      <c r="E82" s="1"/>
      <c r="F82" s="1"/>
      <c r="G82" s="1"/>
      <c r="H82" s="1"/>
      <c r="I82" s="1"/>
      <c r="J82" s="1"/>
      <c r="K82" s="1"/>
      <c r="L82" s="1"/>
      <c r="M82" s="1"/>
      <c r="N82" s="1"/>
      <c r="O82" s="1"/>
      <c r="P82" s="1"/>
      <c r="Q82" s="1"/>
      <c r="R82" s="1"/>
      <c r="S82" s="1"/>
      <c r="T82" s="1"/>
      <c r="U82" s="1"/>
      <c r="V82" s="1"/>
      <c r="W82" s="1"/>
      <c r="X82" s="1"/>
    </row>
    <row r="83" ht="15.75" hidden="1" customHeight="1">
      <c r="A83" s="1"/>
      <c r="B83" s="1"/>
      <c r="C83" s="1"/>
      <c r="D83" s="1"/>
      <c r="E83" s="1"/>
      <c r="F83" s="1"/>
      <c r="G83" s="1"/>
      <c r="H83" s="1"/>
      <c r="I83" s="1"/>
      <c r="J83" s="1"/>
      <c r="K83" s="1"/>
      <c r="L83" s="1"/>
      <c r="M83" s="1"/>
      <c r="N83" s="1"/>
      <c r="O83" s="1"/>
      <c r="P83" s="1"/>
      <c r="Q83" s="1"/>
      <c r="R83" s="1"/>
      <c r="S83" s="1"/>
      <c r="T83" s="1"/>
      <c r="U83" s="1"/>
      <c r="V83" s="1"/>
      <c r="W83" s="1"/>
      <c r="X83" s="1"/>
    </row>
    <row r="84" ht="15.75" hidden="1" customHeight="1">
      <c r="A84" s="1"/>
      <c r="B84" s="1"/>
      <c r="C84" s="1"/>
      <c r="D84" s="1"/>
      <c r="E84" s="1"/>
      <c r="F84" s="1"/>
      <c r="G84" s="1"/>
      <c r="H84" s="1"/>
      <c r="I84" s="1"/>
      <c r="J84" s="1"/>
      <c r="K84" s="1"/>
      <c r="L84" s="1"/>
      <c r="M84" s="1"/>
      <c r="N84" s="1"/>
      <c r="O84" s="1"/>
      <c r="P84" s="1"/>
      <c r="Q84" s="1"/>
      <c r="R84" s="1"/>
      <c r="S84" s="1"/>
      <c r="T84" s="1"/>
      <c r="U84" s="1"/>
      <c r="V84" s="1"/>
      <c r="W84" s="1"/>
      <c r="X84" s="1"/>
    </row>
    <row r="85" ht="15.75" hidden="1" customHeight="1">
      <c r="A85" s="1"/>
      <c r="B85" s="1"/>
      <c r="C85" s="1"/>
      <c r="D85" s="1"/>
      <c r="E85" s="1"/>
      <c r="F85" s="1"/>
      <c r="G85" s="1"/>
      <c r="H85" s="1"/>
      <c r="I85" s="1"/>
      <c r="J85" s="1"/>
      <c r="K85" s="1"/>
      <c r="L85" s="1"/>
      <c r="M85" s="1"/>
      <c r="N85" s="1"/>
      <c r="O85" s="1"/>
      <c r="P85" s="1"/>
      <c r="Q85" s="1"/>
      <c r="R85" s="1"/>
      <c r="S85" s="1"/>
      <c r="T85" s="1"/>
      <c r="U85" s="1"/>
      <c r="V85" s="1"/>
      <c r="W85" s="1"/>
      <c r="X85" s="1"/>
    </row>
    <row r="86" ht="15.75" hidden="1" customHeight="1">
      <c r="A86" s="1"/>
      <c r="B86" s="1"/>
      <c r="C86" s="1"/>
      <c r="D86" s="1"/>
      <c r="E86" s="1"/>
      <c r="F86" s="1"/>
      <c r="G86" s="1"/>
      <c r="H86" s="1"/>
      <c r="I86" s="1"/>
      <c r="J86" s="1"/>
      <c r="K86" s="1"/>
      <c r="L86" s="1"/>
      <c r="M86" s="1"/>
      <c r="N86" s="1"/>
      <c r="O86" s="1"/>
      <c r="P86" s="1"/>
      <c r="Q86" s="1"/>
      <c r="R86" s="1"/>
      <c r="S86" s="1"/>
      <c r="T86" s="1"/>
      <c r="U86" s="1"/>
      <c r="V86" s="1"/>
      <c r="W86" s="1"/>
      <c r="X86" s="1"/>
    </row>
    <row r="87" ht="15.75" hidden="1" customHeight="1">
      <c r="A87" s="1"/>
      <c r="B87" s="1"/>
      <c r="C87" s="1"/>
      <c r="D87" s="1"/>
      <c r="E87" s="1"/>
      <c r="F87" s="1"/>
      <c r="G87" s="1"/>
      <c r="H87" s="1"/>
      <c r="I87" s="1"/>
      <c r="J87" s="1"/>
      <c r="K87" s="1"/>
      <c r="L87" s="1"/>
      <c r="M87" s="1"/>
      <c r="N87" s="1"/>
      <c r="O87" s="1"/>
      <c r="P87" s="1"/>
      <c r="Q87" s="1"/>
      <c r="R87" s="1"/>
      <c r="S87" s="1"/>
      <c r="T87" s="1"/>
      <c r="U87" s="1"/>
      <c r="V87" s="1"/>
      <c r="W87" s="1"/>
      <c r="X87" s="1"/>
    </row>
    <row r="88" ht="15.75" hidden="1" customHeight="1">
      <c r="A88" s="1"/>
      <c r="B88" s="1"/>
      <c r="C88" s="1"/>
      <c r="D88" s="1"/>
      <c r="E88" s="1"/>
      <c r="F88" s="1"/>
      <c r="G88" s="1"/>
      <c r="H88" s="1"/>
      <c r="I88" s="1"/>
      <c r="J88" s="1"/>
      <c r="K88" s="1"/>
      <c r="L88" s="1"/>
      <c r="M88" s="1"/>
      <c r="N88" s="1"/>
      <c r="O88" s="1"/>
      <c r="P88" s="1"/>
      <c r="Q88" s="1"/>
      <c r="R88" s="1"/>
      <c r="S88" s="1"/>
      <c r="T88" s="1"/>
      <c r="U88" s="1"/>
      <c r="V88" s="1"/>
      <c r="W88" s="1"/>
      <c r="X88" s="1"/>
    </row>
    <row r="89" ht="15.75" hidden="1" customHeight="1">
      <c r="A89" s="1"/>
      <c r="B89" s="1"/>
      <c r="C89" s="1"/>
      <c r="D89" s="1"/>
      <c r="E89" s="1"/>
      <c r="F89" s="1"/>
      <c r="G89" s="1"/>
      <c r="H89" s="1"/>
      <c r="I89" s="1"/>
      <c r="J89" s="1"/>
      <c r="K89" s="1"/>
      <c r="L89" s="1"/>
      <c r="M89" s="1"/>
      <c r="N89" s="1"/>
      <c r="O89" s="1"/>
      <c r="P89" s="1"/>
      <c r="Q89" s="1"/>
      <c r="R89" s="1"/>
      <c r="S89" s="1"/>
      <c r="T89" s="1"/>
      <c r="U89" s="1"/>
      <c r="V89" s="1"/>
      <c r="W89" s="1"/>
      <c r="X89" s="1"/>
    </row>
    <row r="90" ht="15.75" hidden="1" customHeight="1">
      <c r="A90" s="1"/>
      <c r="B90" s="1"/>
      <c r="C90" s="1"/>
      <c r="D90" s="1"/>
      <c r="E90" s="1"/>
      <c r="F90" s="1"/>
      <c r="G90" s="1"/>
      <c r="H90" s="1"/>
      <c r="I90" s="1"/>
      <c r="J90" s="1"/>
      <c r="K90" s="1"/>
      <c r="L90" s="1"/>
      <c r="M90" s="1"/>
      <c r="N90" s="1"/>
      <c r="O90" s="1"/>
      <c r="P90" s="1"/>
      <c r="Q90" s="1"/>
      <c r="R90" s="1"/>
      <c r="S90" s="1"/>
      <c r="T90" s="1"/>
      <c r="U90" s="1"/>
      <c r="V90" s="1"/>
      <c r="W90" s="1"/>
      <c r="X90" s="1"/>
    </row>
    <row r="91" ht="15.75" hidden="1" customHeight="1">
      <c r="A91" s="1"/>
      <c r="B91" s="1"/>
      <c r="C91" s="1"/>
      <c r="D91" s="1"/>
      <c r="E91" s="1"/>
      <c r="F91" s="1"/>
      <c r="G91" s="1"/>
      <c r="H91" s="1"/>
      <c r="I91" s="1"/>
      <c r="J91" s="1"/>
      <c r="K91" s="1"/>
      <c r="L91" s="1"/>
      <c r="M91" s="1"/>
      <c r="N91" s="1"/>
      <c r="O91" s="1"/>
      <c r="P91" s="1"/>
      <c r="Q91" s="1"/>
      <c r="R91" s="1"/>
      <c r="S91" s="1"/>
      <c r="T91" s="1"/>
      <c r="U91" s="1"/>
      <c r="V91" s="1"/>
      <c r="W91" s="1"/>
      <c r="X91" s="1"/>
    </row>
    <row r="92" ht="15.75" hidden="1" customHeight="1">
      <c r="A92" s="1"/>
      <c r="B92" s="1"/>
      <c r="C92" s="1"/>
      <c r="D92" s="1"/>
      <c r="E92" s="1"/>
      <c r="F92" s="1"/>
      <c r="G92" s="1"/>
      <c r="H92" s="1"/>
      <c r="I92" s="1"/>
      <c r="J92" s="1"/>
      <c r="K92" s="1"/>
      <c r="L92" s="1"/>
      <c r="M92" s="1"/>
      <c r="N92" s="1"/>
      <c r="O92" s="1"/>
      <c r="P92" s="1"/>
      <c r="Q92" s="1"/>
      <c r="R92" s="1"/>
      <c r="S92" s="1"/>
      <c r="T92" s="1"/>
      <c r="U92" s="1"/>
      <c r="V92" s="1"/>
      <c r="W92" s="1"/>
      <c r="X92" s="1"/>
    </row>
    <row r="93" ht="15.75" hidden="1" customHeight="1">
      <c r="A93" s="1"/>
      <c r="B93" s="1"/>
      <c r="C93" s="1"/>
      <c r="D93" s="1"/>
      <c r="E93" s="1"/>
      <c r="F93" s="1"/>
      <c r="G93" s="1"/>
      <c r="H93" s="1"/>
      <c r="I93" s="1"/>
      <c r="J93" s="1"/>
      <c r="K93" s="1"/>
      <c r="L93" s="1"/>
      <c r="M93" s="1"/>
      <c r="N93" s="1"/>
      <c r="O93" s="1"/>
      <c r="P93" s="1"/>
      <c r="Q93" s="1"/>
      <c r="R93" s="1"/>
      <c r="S93" s="1"/>
      <c r="T93" s="1"/>
      <c r="U93" s="1"/>
      <c r="V93" s="1"/>
      <c r="W93" s="1"/>
      <c r="X93" s="1"/>
    </row>
    <row r="94" ht="15.75" hidden="1" customHeight="1">
      <c r="A94" s="1"/>
      <c r="B94" s="1"/>
      <c r="C94" s="1"/>
      <c r="D94" s="1"/>
      <c r="E94" s="1"/>
      <c r="F94" s="1"/>
      <c r="G94" s="1"/>
      <c r="H94" s="1"/>
      <c r="I94" s="1"/>
      <c r="J94" s="1"/>
      <c r="K94" s="1"/>
      <c r="L94" s="1"/>
      <c r="M94" s="1"/>
      <c r="N94" s="1"/>
      <c r="O94" s="1"/>
      <c r="P94" s="1"/>
      <c r="Q94" s="1"/>
      <c r="R94" s="1"/>
      <c r="S94" s="1"/>
      <c r="T94" s="1"/>
      <c r="U94" s="1"/>
      <c r="V94" s="1"/>
      <c r="W94" s="1"/>
      <c r="X94" s="1"/>
    </row>
    <row r="95" ht="15.75" hidden="1" customHeight="1">
      <c r="A95" s="1"/>
      <c r="B95" s="1"/>
      <c r="C95" s="1"/>
      <c r="D95" s="1"/>
      <c r="E95" s="1"/>
      <c r="F95" s="1"/>
      <c r="G95" s="1"/>
      <c r="H95" s="1"/>
      <c r="I95" s="1"/>
      <c r="J95" s="1"/>
      <c r="K95" s="1"/>
      <c r="L95" s="1"/>
      <c r="M95" s="1"/>
      <c r="N95" s="1"/>
      <c r="O95" s="1"/>
      <c r="P95" s="1"/>
      <c r="Q95" s="1"/>
      <c r="R95" s="1"/>
      <c r="S95" s="1"/>
      <c r="T95" s="1"/>
      <c r="U95" s="1"/>
      <c r="V95" s="1"/>
      <c r="W95" s="1"/>
      <c r="X95" s="1"/>
    </row>
    <row r="96" ht="15.75" hidden="1" customHeight="1">
      <c r="A96" s="1"/>
      <c r="B96" s="1"/>
      <c r="C96" s="1"/>
      <c r="D96" s="1"/>
      <c r="E96" s="1"/>
      <c r="F96" s="1"/>
      <c r="G96" s="1"/>
      <c r="H96" s="1"/>
      <c r="I96" s="1"/>
      <c r="J96" s="1"/>
      <c r="K96" s="1"/>
      <c r="L96" s="1"/>
      <c r="M96" s="1"/>
      <c r="N96" s="1"/>
      <c r="O96" s="1"/>
      <c r="P96" s="1"/>
      <c r="Q96" s="1"/>
      <c r="R96" s="1"/>
      <c r="S96" s="1"/>
      <c r="T96" s="1"/>
      <c r="U96" s="1"/>
      <c r="V96" s="1"/>
      <c r="W96" s="1"/>
      <c r="X96" s="1"/>
    </row>
    <row r="97" ht="15.75" hidden="1" customHeight="1">
      <c r="A97" s="1"/>
      <c r="B97" s="1"/>
      <c r="C97" s="1"/>
      <c r="D97" s="1"/>
      <c r="E97" s="1"/>
      <c r="F97" s="1"/>
      <c r="G97" s="1"/>
      <c r="H97" s="1"/>
      <c r="I97" s="1"/>
      <c r="J97" s="1"/>
      <c r="K97" s="1"/>
      <c r="L97" s="1"/>
      <c r="M97" s="1"/>
      <c r="N97" s="1"/>
      <c r="O97" s="1"/>
      <c r="P97" s="1"/>
      <c r="Q97" s="1"/>
      <c r="R97" s="1"/>
      <c r="S97" s="1"/>
      <c r="T97" s="1"/>
      <c r="U97" s="1"/>
      <c r="V97" s="1"/>
      <c r="W97" s="1"/>
      <c r="X97" s="1"/>
    </row>
    <row r="98" ht="15.75" hidden="1" customHeight="1">
      <c r="A98" s="1"/>
      <c r="B98" s="1"/>
      <c r="C98" s="1"/>
      <c r="D98" s="1"/>
      <c r="E98" s="1"/>
      <c r="F98" s="1"/>
      <c r="G98" s="1"/>
      <c r="H98" s="1"/>
      <c r="I98" s="1"/>
      <c r="J98" s="1"/>
      <c r="K98" s="1"/>
      <c r="L98" s="1"/>
      <c r="M98" s="1"/>
      <c r="N98" s="1"/>
      <c r="O98" s="1"/>
      <c r="P98" s="1"/>
      <c r="Q98" s="1"/>
      <c r="R98" s="1"/>
      <c r="S98" s="1"/>
      <c r="T98" s="1"/>
      <c r="U98" s="1"/>
      <c r="V98" s="1"/>
      <c r="W98" s="1"/>
      <c r="X98" s="1"/>
    </row>
    <row r="99" ht="15.75" hidden="1" customHeight="1">
      <c r="A99" s="1"/>
      <c r="B99" s="1"/>
      <c r="C99" s="1"/>
      <c r="D99" s="1"/>
      <c r="E99" s="1"/>
      <c r="F99" s="1"/>
      <c r="G99" s="1"/>
      <c r="H99" s="1"/>
      <c r="I99" s="1"/>
      <c r="J99" s="1"/>
      <c r="K99" s="1"/>
      <c r="L99" s="1"/>
      <c r="M99" s="1"/>
      <c r="N99" s="1"/>
      <c r="O99" s="1"/>
      <c r="P99" s="1"/>
      <c r="Q99" s="1"/>
      <c r="R99" s="1"/>
      <c r="S99" s="1"/>
      <c r="T99" s="1"/>
      <c r="U99" s="1"/>
      <c r="V99" s="1"/>
      <c r="W99" s="1"/>
      <c r="X99" s="1"/>
    </row>
    <row r="100" ht="15.75" hidden="1" customHeight="1">
      <c r="A100" s="1"/>
      <c r="B100" s="1"/>
      <c r="C100" s="1"/>
      <c r="D100" s="1"/>
      <c r="E100" s="1"/>
      <c r="F100" s="1"/>
      <c r="G100" s="1"/>
      <c r="H100" s="1"/>
      <c r="I100" s="1"/>
      <c r="J100" s="1"/>
      <c r="K100" s="1"/>
      <c r="L100" s="1"/>
      <c r="M100" s="1"/>
      <c r="N100" s="1"/>
      <c r="O100" s="1"/>
      <c r="P100" s="1"/>
      <c r="Q100" s="1"/>
      <c r="R100" s="1"/>
      <c r="S100" s="1"/>
      <c r="T100" s="1"/>
      <c r="U100" s="1"/>
      <c r="V100" s="1"/>
      <c r="W100" s="1"/>
      <c r="X100" s="1"/>
    </row>
    <row r="101" ht="15.75" hidden="1" customHeight="1">
      <c r="A101" s="1"/>
      <c r="B101" s="1"/>
      <c r="C101" s="1"/>
      <c r="D101" s="1"/>
      <c r="E101" s="1"/>
      <c r="F101" s="1"/>
      <c r="G101" s="1"/>
      <c r="H101" s="1"/>
      <c r="I101" s="1"/>
      <c r="J101" s="1"/>
      <c r="K101" s="1"/>
      <c r="L101" s="1"/>
      <c r="M101" s="1"/>
      <c r="N101" s="1"/>
      <c r="O101" s="1"/>
      <c r="P101" s="1"/>
      <c r="Q101" s="1"/>
      <c r="R101" s="1"/>
      <c r="S101" s="1"/>
      <c r="T101" s="1"/>
      <c r="U101" s="1"/>
      <c r="V101" s="1"/>
      <c r="W101" s="1"/>
      <c r="X101" s="1"/>
    </row>
    <row r="102" ht="15.75" hidden="1" customHeight="1">
      <c r="A102" s="1"/>
      <c r="B102" s="1"/>
      <c r="C102" s="1"/>
      <c r="D102" s="1"/>
      <c r="E102" s="1"/>
      <c r="F102" s="1"/>
      <c r="G102" s="1"/>
      <c r="H102" s="1"/>
      <c r="I102" s="1"/>
      <c r="J102" s="1"/>
      <c r="K102" s="1"/>
      <c r="L102" s="1"/>
      <c r="M102" s="1"/>
      <c r="N102" s="1"/>
      <c r="O102" s="1"/>
      <c r="P102" s="1"/>
      <c r="Q102" s="1"/>
      <c r="R102" s="1"/>
      <c r="S102" s="1"/>
      <c r="T102" s="1"/>
      <c r="U102" s="1"/>
      <c r="V102" s="1"/>
      <c r="W102" s="1"/>
      <c r="X102" s="1"/>
    </row>
    <row r="103" ht="15.75" hidden="1" customHeight="1">
      <c r="A103" s="1"/>
      <c r="B103" s="1"/>
      <c r="C103" s="1"/>
      <c r="D103" s="1"/>
      <c r="E103" s="1"/>
      <c r="F103" s="1"/>
      <c r="G103" s="1"/>
      <c r="H103" s="1"/>
      <c r="I103" s="1"/>
      <c r="J103" s="1"/>
      <c r="K103" s="1"/>
      <c r="L103" s="1"/>
      <c r="M103" s="1"/>
      <c r="N103" s="1"/>
      <c r="O103" s="1"/>
      <c r="P103" s="1"/>
      <c r="Q103" s="1"/>
      <c r="R103" s="1"/>
      <c r="S103" s="1"/>
      <c r="T103" s="1"/>
      <c r="U103" s="1"/>
      <c r="V103" s="1"/>
      <c r="W103" s="1"/>
      <c r="X103" s="1"/>
    </row>
    <row r="104" ht="15.75" hidden="1" customHeight="1">
      <c r="A104" s="1"/>
      <c r="B104" s="1"/>
      <c r="C104" s="1"/>
      <c r="D104" s="1"/>
      <c r="E104" s="1"/>
      <c r="F104" s="1"/>
      <c r="G104" s="1"/>
      <c r="H104" s="1"/>
      <c r="I104" s="1"/>
      <c r="J104" s="1"/>
      <c r="K104" s="1"/>
      <c r="L104" s="1"/>
      <c r="M104" s="1"/>
      <c r="N104" s="1"/>
      <c r="O104" s="1"/>
      <c r="P104" s="1"/>
      <c r="Q104" s="1"/>
      <c r="R104" s="1"/>
      <c r="S104" s="1"/>
      <c r="T104" s="1"/>
      <c r="U104" s="1"/>
      <c r="V104" s="1"/>
      <c r="W104" s="1"/>
      <c r="X104" s="1"/>
    </row>
    <row r="105" ht="15.75" hidden="1" customHeight="1">
      <c r="A105" s="1"/>
      <c r="B105" s="1"/>
      <c r="C105" s="1"/>
      <c r="D105" s="1"/>
      <c r="E105" s="1"/>
      <c r="F105" s="1"/>
      <c r="G105" s="1"/>
      <c r="H105" s="1"/>
      <c r="I105" s="1"/>
      <c r="J105" s="1"/>
      <c r="K105" s="1"/>
      <c r="L105" s="1"/>
      <c r="M105" s="1"/>
      <c r="N105" s="1"/>
      <c r="O105" s="1"/>
      <c r="P105" s="1"/>
      <c r="Q105" s="1"/>
      <c r="R105" s="1"/>
      <c r="S105" s="1"/>
      <c r="T105" s="1"/>
      <c r="U105" s="1"/>
      <c r="V105" s="1"/>
      <c r="W105" s="1"/>
      <c r="X105" s="1"/>
    </row>
    <row r="106" ht="15.75" hidden="1" customHeight="1">
      <c r="A106" s="1"/>
      <c r="B106" s="1"/>
      <c r="C106" s="1"/>
      <c r="D106" s="1"/>
      <c r="E106" s="1"/>
      <c r="F106" s="1"/>
      <c r="G106" s="1"/>
      <c r="H106" s="1"/>
      <c r="I106" s="1"/>
      <c r="J106" s="1"/>
      <c r="K106" s="1"/>
      <c r="L106" s="1"/>
      <c r="M106" s="1"/>
      <c r="N106" s="1"/>
      <c r="O106" s="1"/>
      <c r="P106" s="1"/>
      <c r="Q106" s="1"/>
      <c r="R106" s="1"/>
      <c r="S106" s="1"/>
      <c r="T106" s="1"/>
      <c r="U106" s="1"/>
      <c r="V106" s="1"/>
      <c r="W106" s="1"/>
      <c r="X106" s="1"/>
    </row>
    <row r="107" ht="15.75" hidden="1" customHeight="1">
      <c r="A107" s="1"/>
      <c r="B107" s="1"/>
      <c r="C107" s="1"/>
      <c r="D107" s="1"/>
      <c r="E107" s="1"/>
      <c r="F107" s="1"/>
      <c r="G107" s="1"/>
      <c r="H107" s="1"/>
      <c r="I107" s="1"/>
      <c r="J107" s="1"/>
      <c r="K107" s="1"/>
      <c r="L107" s="1"/>
      <c r="M107" s="1"/>
      <c r="N107" s="1"/>
      <c r="O107" s="1"/>
      <c r="P107" s="1"/>
      <c r="Q107" s="1"/>
      <c r="R107" s="1"/>
      <c r="S107" s="1"/>
      <c r="T107" s="1"/>
      <c r="U107" s="1"/>
      <c r="V107" s="1"/>
      <c r="W107" s="1"/>
      <c r="X107" s="1"/>
    </row>
    <row r="108" ht="15.75" hidden="1" customHeight="1">
      <c r="A108" s="1"/>
      <c r="B108" s="1"/>
      <c r="C108" s="1"/>
      <c r="D108" s="1"/>
      <c r="E108" s="1"/>
      <c r="F108" s="1"/>
      <c r="G108" s="1"/>
      <c r="H108" s="1"/>
      <c r="I108" s="1"/>
      <c r="J108" s="1"/>
      <c r="K108" s="1"/>
      <c r="L108" s="1"/>
      <c r="M108" s="1"/>
      <c r="N108" s="1"/>
      <c r="O108" s="1"/>
      <c r="P108" s="1"/>
      <c r="Q108" s="1"/>
      <c r="R108" s="1"/>
      <c r="S108" s="1"/>
      <c r="T108" s="1"/>
      <c r="U108" s="1"/>
      <c r="V108" s="1"/>
      <c r="W108" s="1"/>
      <c r="X108" s="1"/>
    </row>
    <row r="109" ht="15.75" hidden="1" customHeight="1">
      <c r="A109" s="1"/>
      <c r="B109" s="1"/>
      <c r="C109" s="1"/>
      <c r="D109" s="1"/>
      <c r="E109" s="1"/>
      <c r="F109" s="1"/>
      <c r="G109" s="1"/>
      <c r="H109" s="1"/>
      <c r="I109" s="1"/>
      <c r="J109" s="1"/>
      <c r="K109" s="1"/>
      <c r="L109" s="1"/>
      <c r="M109" s="1"/>
      <c r="N109" s="1"/>
      <c r="O109" s="1"/>
      <c r="P109" s="1"/>
      <c r="Q109" s="1"/>
      <c r="R109" s="1"/>
      <c r="S109" s="1"/>
      <c r="T109" s="1"/>
      <c r="U109" s="1"/>
      <c r="V109" s="1"/>
      <c r="W109" s="1"/>
      <c r="X109" s="1"/>
    </row>
    <row r="110" ht="15.75" hidden="1" customHeight="1">
      <c r="A110" s="1"/>
      <c r="B110" s="1"/>
      <c r="C110" s="1"/>
      <c r="D110" s="1"/>
      <c r="E110" s="1"/>
      <c r="F110" s="1"/>
      <c r="G110" s="1"/>
      <c r="H110" s="1"/>
      <c r="I110" s="1"/>
      <c r="J110" s="1"/>
      <c r="K110" s="1"/>
      <c r="L110" s="1"/>
      <c r="M110" s="1"/>
      <c r="N110" s="1"/>
      <c r="O110" s="1"/>
      <c r="P110" s="1"/>
      <c r="Q110" s="1"/>
      <c r="R110" s="1"/>
      <c r="S110" s="1"/>
      <c r="T110" s="1"/>
      <c r="U110" s="1"/>
      <c r="V110" s="1"/>
      <c r="W110" s="1"/>
      <c r="X110" s="1"/>
    </row>
    <row r="111" ht="15.75" hidden="1" customHeight="1">
      <c r="A111" s="1"/>
      <c r="B111" s="1"/>
      <c r="C111" s="1"/>
      <c r="D111" s="1"/>
      <c r="E111" s="1"/>
      <c r="F111" s="1"/>
      <c r="G111" s="1"/>
      <c r="H111" s="1"/>
      <c r="I111" s="1"/>
      <c r="J111" s="1"/>
      <c r="K111" s="1"/>
      <c r="L111" s="1"/>
      <c r="M111" s="1"/>
      <c r="N111" s="1"/>
      <c r="O111" s="1"/>
      <c r="P111" s="1"/>
      <c r="Q111" s="1"/>
      <c r="R111" s="1"/>
      <c r="S111" s="1"/>
      <c r="T111" s="1"/>
      <c r="U111" s="1"/>
      <c r="V111" s="1"/>
      <c r="W111" s="1"/>
      <c r="X111" s="1"/>
    </row>
    <row r="112" ht="15.75" hidden="1" customHeight="1">
      <c r="A112" s="1"/>
      <c r="B112" s="1"/>
      <c r="C112" s="1"/>
      <c r="D112" s="1"/>
      <c r="E112" s="1"/>
      <c r="F112" s="1"/>
      <c r="G112" s="1"/>
      <c r="H112" s="1"/>
      <c r="I112" s="1"/>
      <c r="J112" s="1"/>
      <c r="K112" s="1"/>
      <c r="L112" s="1"/>
      <c r="M112" s="1"/>
      <c r="N112" s="1"/>
      <c r="O112" s="1"/>
      <c r="P112" s="1"/>
      <c r="Q112" s="1"/>
      <c r="R112" s="1"/>
      <c r="S112" s="1"/>
      <c r="T112" s="1"/>
      <c r="U112" s="1"/>
      <c r="V112" s="1"/>
      <c r="W112" s="1"/>
      <c r="X112" s="1"/>
    </row>
    <row r="113" ht="15.75" hidden="1" customHeight="1">
      <c r="A113" s="1"/>
      <c r="B113" s="1"/>
      <c r="C113" s="1"/>
      <c r="D113" s="1"/>
      <c r="E113" s="1"/>
      <c r="F113" s="1"/>
      <c r="G113" s="1"/>
      <c r="H113" s="1"/>
      <c r="I113" s="1"/>
      <c r="J113" s="1"/>
      <c r="K113" s="1"/>
      <c r="L113" s="1"/>
      <c r="M113" s="1"/>
      <c r="N113" s="1"/>
      <c r="O113" s="1"/>
      <c r="P113" s="1"/>
      <c r="Q113" s="1"/>
      <c r="R113" s="1"/>
      <c r="S113" s="1"/>
      <c r="T113" s="1"/>
      <c r="U113" s="1"/>
      <c r="V113" s="1"/>
      <c r="W113" s="1"/>
      <c r="X113" s="1"/>
    </row>
    <row r="114" ht="15.75" hidden="1" customHeight="1">
      <c r="A114" s="1"/>
      <c r="B114" s="1"/>
      <c r="C114" s="1"/>
      <c r="D114" s="1"/>
      <c r="E114" s="1"/>
      <c r="F114" s="1"/>
      <c r="G114" s="1"/>
      <c r="H114" s="1"/>
      <c r="I114" s="1"/>
      <c r="J114" s="1"/>
      <c r="K114" s="1"/>
      <c r="L114" s="1"/>
      <c r="M114" s="1"/>
      <c r="N114" s="1"/>
      <c r="O114" s="1"/>
      <c r="P114" s="1"/>
      <c r="Q114" s="1"/>
      <c r="R114" s="1"/>
      <c r="S114" s="1"/>
      <c r="T114" s="1"/>
      <c r="U114" s="1"/>
      <c r="V114" s="1"/>
      <c r="W114" s="1"/>
      <c r="X114" s="1"/>
    </row>
    <row r="115" ht="15.75" hidden="1" customHeight="1">
      <c r="A115" s="1"/>
      <c r="B115" s="1"/>
      <c r="C115" s="1"/>
      <c r="D115" s="1"/>
      <c r="E115" s="1"/>
      <c r="F115" s="1"/>
      <c r="G115" s="1"/>
      <c r="H115" s="1"/>
      <c r="I115" s="1"/>
      <c r="J115" s="1"/>
      <c r="K115" s="1"/>
      <c r="L115" s="1"/>
      <c r="M115" s="1"/>
      <c r="N115" s="1"/>
      <c r="O115" s="1"/>
      <c r="P115" s="1"/>
      <c r="Q115" s="1"/>
      <c r="R115" s="1"/>
      <c r="S115" s="1"/>
      <c r="T115" s="1"/>
      <c r="U115" s="1"/>
      <c r="V115" s="1"/>
      <c r="W115" s="1"/>
      <c r="X115" s="1"/>
    </row>
    <row r="116" ht="15.75" hidden="1" customHeight="1">
      <c r="A116" s="1"/>
      <c r="B116" s="1"/>
      <c r="C116" s="1"/>
      <c r="D116" s="1"/>
      <c r="E116" s="1"/>
      <c r="F116" s="1"/>
      <c r="G116" s="1"/>
      <c r="H116" s="1"/>
      <c r="I116" s="1"/>
      <c r="J116" s="1"/>
      <c r="K116" s="1"/>
      <c r="L116" s="1"/>
      <c r="M116" s="1"/>
      <c r="N116" s="1"/>
      <c r="O116" s="1"/>
      <c r="P116" s="1"/>
      <c r="Q116" s="1"/>
      <c r="R116" s="1"/>
      <c r="S116" s="1"/>
      <c r="T116" s="1"/>
      <c r="U116" s="1"/>
      <c r="V116" s="1"/>
      <c r="W116" s="1"/>
      <c r="X116" s="1"/>
    </row>
    <row r="117" ht="15.75" hidden="1" customHeight="1">
      <c r="A117" s="1"/>
      <c r="B117" s="1"/>
      <c r="C117" s="1"/>
      <c r="D117" s="1"/>
      <c r="E117" s="1"/>
      <c r="F117" s="1"/>
      <c r="G117" s="1"/>
      <c r="H117" s="1"/>
      <c r="I117" s="1"/>
      <c r="J117" s="1"/>
      <c r="K117" s="1"/>
      <c r="L117" s="1"/>
      <c r="M117" s="1"/>
      <c r="N117" s="1"/>
      <c r="O117" s="1"/>
      <c r="P117" s="1"/>
      <c r="Q117" s="1"/>
      <c r="R117" s="1"/>
      <c r="S117" s="1"/>
      <c r="T117" s="1"/>
      <c r="U117" s="1"/>
      <c r="V117" s="1"/>
      <c r="W117" s="1"/>
      <c r="X117" s="1"/>
    </row>
    <row r="118" ht="15.75" hidden="1" customHeight="1">
      <c r="A118" s="1"/>
      <c r="B118" s="1"/>
      <c r="C118" s="1"/>
      <c r="D118" s="1"/>
      <c r="E118" s="1"/>
      <c r="F118" s="1"/>
      <c r="G118" s="1"/>
      <c r="H118" s="1"/>
      <c r="I118" s="1"/>
      <c r="J118" s="1"/>
      <c r="K118" s="1"/>
      <c r="L118" s="1"/>
      <c r="M118" s="1"/>
      <c r="N118" s="1"/>
      <c r="O118" s="1"/>
      <c r="P118" s="1"/>
      <c r="Q118" s="1"/>
      <c r="R118" s="1"/>
      <c r="S118" s="1"/>
      <c r="T118" s="1"/>
      <c r="U118" s="1"/>
      <c r="V118" s="1"/>
      <c r="W118" s="1"/>
      <c r="X118" s="1"/>
    </row>
    <row r="119" ht="15.7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row>
    <row r="120" ht="15.75" hidden="1" customHeight="1">
      <c r="A120" s="1"/>
      <c r="B120" s="1"/>
      <c r="C120" s="1"/>
      <c r="D120" s="1"/>
      <c r="E120" s="1"/>
      <c r="F120" s="1"/>
      <c r="G120" s="1"/>
      <c r="H120" s="1"/>
      <c r="I120" s="1"/>
      <c r="J120" s="1"/>
      <c r="K120" s="1"/>
      <c r="L120" s="1"/>
      <c r="M120" s="1"/>
      <c r="N120" s="1"/>
      <c r="O120" s="1"/>
      <c r="P120" s="1"/>
      <c r="Q120" s="1"/>
      <c r="R120" s="1"/>
      <c r="S120" s="1"/>
      <c r="T120" s="1"/>
      <c r="U120" s="1"/>
      <c r="V120" s="1"/>
      <c r="W120" s="1"/>
      <c r="X120" s="1"/>
    </row>
    <row r="121" ht="15.75" hidden="1" customHeight="1">
      <c r="A121" s="1"/>
      <c r="B121" s="1"/>
      <c r="C121" s="1"/>
      <c r="D121" s="1"/>
      <c r="E121" s="1"/>
      <c r="F121" s="1"/>
      <c r="G121" s="1"/>
      <c r="H121" s="1"/>
      <c r="I121" s="1"/>
      <c r="J121" s="1"/>
      <c r="K121" s="1"/>
      <c r="L121" s="1"/>
      <c r="M121" s="1"/>
      <c r="N121" s="1"/>
      <c r="O121" s="1"/>
      <c r="P121" s="1"/>
      <c r="Q121" s="1"/>
      <c r="R121" s="1"/>
      <c r="S121" s="1"/>
      <c r="T121" s="1"/>
      <c r="U121" s="1"/>
      <c r="V121" s="1"/>
      <c r="W121" s="1"/>
      <c r="X121" s="1"/>
    </row>
    <row r="122" ht="15.75" hidden="1" customHeight="1">
      <c r="A122" s="1"/>
      <c r="B122" s="1"/>
      <c r="C122" s="1"/>
      <c r="D122" s="1"/>
      <c r="E122" s="1"/>
      <c r="F122" s="1"/>
      <c r="G122" s="1"/>
      <c r="H122" s="1"/>
      <c r="I122" s="1"/>
      <c r="J122" s="1"/>
      <c r="K122" s="1"/>
      <c r="L122" s="1"/>
      <c r="M122" s="1"/>
      <c r="N122" s="1"/>
      <c r="O122" s="1"/>
      <c r="P122" s="1"/>
      <c r="Q122" s="1"/>
      <c r="R122" s="1"/>
      <c r="S122" s="1"/>
      <c r="T122" s="1"/>
      <c r="U122" s="1"/>
      <c r="V122" s="1"/>
      <c r="W122" s="1"/>
      <c r="X122" s="1"/>
    </row>
    <row r="123" ht="15.75" hidden="1" customHeight="1">
      <c r="A123" s="1"/>
      <c r="B123" s="1"/>
      <c r="C123" s="1"/>
      <c r="D123" s="1"/>
      <c r="E123" s="1"/>
      <c r="F123" s="1"/>
      <c r="G123" s="1"/>
      <c r="H123" s="1"/>
      <c r="I123" s="1"/>
      <c r="J123" s="1"/>
      <c r="K123" s="1"/>
      <c r="L123" s="1"/>
      <c r="M123" s="1"/>
      <c r="N123" s="1"/>
      <c r="O123" s="1"/>
      <c r="P123" s="1"/>
      <c r="Q123" s="1"/>
      <c r="R123" s="1"/>
      <c r="S123" s="1"/>
      <c r="T123" s="1"/>
      <c r="U123" s="1"/>
      <c r="V123" s="1"/>
      <c r="W123" s="1"/>
      <c r="X123" s="1"/>
    </row>
    <row r="124" ht="15.75" hidden="1" customHeight="1">
      <c r="A124" s="1"/>
      <c r="B124" s="1"/>
      <c r="C124" s="1"/>
      <c r="D124" s="1"/>
      <c r="E124" s="1"/>
      <c r="F124" s="1"/>
      <c r="G124" s="1"/>
      <c r="H124" s="1"/>
      <c r="I124" s="1"/>
      <c r="J124" s="1"/>
      <c r="K124" s="1"/>
      <c r="L124" s="1"/>
      <c r="M124" s="1"/>
      <c r="N124" s="1"/>
      <c r="O124" s="1"/>
      <c r="P124" s="1"/>
      <c r="Q124" s="1"/>
      <c r="R124" s="1"/>
      <c r="S124" s="1"/>
      <c r="T124" s="1"/>
      <c r="U124" s="1"/>
      <c r="V124" s="1"/>
      <c r="W124" s="1"/>
      <c r="X124" s="1"/>
    </row>
    <row r="125" ht="15.75" hidden="1" customHeight="1">
      <c r="A125" s="1"/>
      <c r="B125" s="1"/>
      <c r="C125" s="1"/>
      <c r="D125" s="1"/>
      <c r="E125" s="1"/>
      <c r="F125" s="1"/>
      <c r="G125" s="1"/>
      <c r="H125" s="1"/>
      <c r="I125" s="1"/>
      <c r="J125" s="1"/>
      <c r="K125" s="1"/>
      <c r="L125" s="1"/>
      <c r="M125" s="1"/>
      <c r="N125" s="1"/>
      <c r="O125" s="1"/>
      <c r="P125" s="1"/>
      <c r="Q125" s="1"/>
      <c r="R125" s="1"/>
      <c r="S125" s="1"/>
      <c r="T125" s="1"/>
      <c r="U125" s="1"/>
      <c r="V125" s="1"/>
      <c r="W125" s="1"/>
      <c r="X125" s="1"/>
    </row>
    <row r="126" ht="15.75" hidden="1" customHeight="1">
      <c r="A126" s="1"/>
      <c r="B126" s="1"/>
      <c r="C126" s="1"/>
      <c r="D126" s="1"/>
      <c r="E126" s="1"/>
      <c r="F126" s="1"/>
      <c r="G126" s="1"/>
      <c r="H126" s="1"/>
      <c r="I126" s="1"/>
      <c r="J126" s="1"/>
      <c r="K126" s="1"/>
      <c r="L126" s="1"/>
      <c r="M126" s="1"/>
      <c r="N126" s="1"/>
      <c r="O126" s="1"/>
      <c r="P126" s="1"/>
      <c r="Q126" s="1"/>
      <c r="R126" s="1"/>
      <c r="S126" s="1"/>
      <c r="T126" s="1"/>
      <c r="U126" s="1"/>
      <c r="V126" s="1"/>
      <c r="W126" s="1"/>
      <c r="X126" s="1"/>
    </row>
    <row r="127" ht="15.75" hidden="1" customHeight="1">
      <c r="A127" s="1"/>
      <c r="B127" s="1"/>
      <c r="C127" s="1"/>
      <c r="D127" s="1"/>
      <c r="E127" s="1"/>
      <c r="F127" s="1"/>
      <c r="G127" s="1"/>
      <c r="H127" s="1"/>
      <c r="I127" s="1"/>
      <c r="J127" s="1"/>
      <c r="K127" s="1"/>
      <c r="L127" s="1"/>
      <c r="M127" s="1"/>
      <c r="N127" s="1"/>
      <c r="O127" s="1"/>
      <c r="P127" s="1"/>
      <c r="Q127" s="1"/>
      <c r="R127" s="1"/>
      <c r="S127" s="1"/>
      <c r="T127" s="1"/>
      <c r="U127" s="1"/>
      <c r="V127" s="1"/>
      <c r="W127" s="1"/>
      <c r="X127" s="1"/>
    </row>
    <row r="128" ht="15.75" hidden="1" customHeight="1">
      <c r="A128" s="1"/>
      <c r="B128" s="1"/>
      <c r="C128" s="1"/>
      <c r="D128" s="1"/>
      <c r="E128" s="1"/>
      <c r="F128" s="1"/>
      <c r="G128" s="1"/>
      <c r="H128" s="1"/>
      <c r="I128" s="1"/>
      <c r="J128" s="1"/>
      <c r="K128" s="1"/>
      <c r="L128" s="1"/>
      <c r="M128" s="1"/>
      <c r="N128" s="1"/>
      <c r="O128" s="1"/>
      <c r="P128" s="1"/>
      <c r="Q128" s="1"/>
      <c r="R128" s="1"/>
      <c r="S128" s="1"/>
      <c r="T128" s="1"/>
      <c r="U128" s="1"/>
      <c r="V128" s="1"/>
      <c r="W128" s="1"/>
      <c r="X128" s="1"/>
    </row>
    <row r="129" ht="15.75" hidden="1" customHeight="1">
      <c r="A129" s="1"/>
      <c r="B129" s="1"/>
      <c r="C129" s="1"/>
      <c r="D129" s="1"/>
      <c r="E129" s="1"/>
      <c r="F129" s="1"/>
      <c r="G129" s="1"/>
      <c r="H129" s="1"/>
      <c r="I129" s="1"/>
      <c r="J129" s="1"/>
      <c r="K129" s="1"/>
      <c r="L129" s="1"/>
      <c r="M129" s="1"/>
      <c r="N129" s="1"/>
      <c r="O129" s="1"/>
      <c r="P129" s="1"/>
      <c r="Q129" s="1"/>
      <c r="R129" s="1"/>
      <c r="S129" s="1"/>
      <c r="T129" s="1"/>
      <c r="U129" s="1"/>
      <c r="V129" s="1"/>
      <c r="W129" s="1"/>
      <c r="X129" s="1"/>
    </row>
    <row r="130" ht="15.75" hidden="1" customHeight="1">
      <c r="A130" s="1"/>
      <c r="B130" s="1"/>
      <c r="C130" s="1"/>
      <c r="D130" s="1"/>
      <c r="E130" s="1"/>
      <c r="F130" s="1"/>
      <c r="G130" s="1"/>
      <c r="H130" s="1"/>
      <c r="I130" s="1"/>
      <c r="J130" s="1"/>
      <c r="K130" s="1"/>
      <c r="L130" s="1"/>
      <c r="M130" s="1"/>
      <c r="N130" s="1"/>
      <c r="O130" s="1"/>
      <c r="P130" s="1"/>
      <c r="Q130" s="1"/>
      <c r="R130" s="1"/>
      <c r="S130" s="1"/>
      <c r="T130" s="1"/>
      <c r="U130" s="1"/>
      <c r="V130" s="1"/>
      <c r="W130" s="1"/>
      <c r="X130" s="1"/>
    </row>
    <row r="131" ht="15.75" hidden="1" customHeight="1">
      <c r="A131" s="1"/>
      <c r="B131" s="1"/>
      <c r="C131" s="1"/>
      <c r="D131" s="1"/>
      <c r="E131" s="1"/>
      <c r="F131" s="1"/>
      <c r="G131" s="1"/>
      <c r="H131" s="1"/>
      <c r="I131" s="1"/>
      <c r="J131" s="1"/>
      <c r="K131" s="1"/>
      <c r="L131" s="1"/>
      <c r="M131" s="1"/>
      <c r="N131" s="1"/>
      <c r="O131" s="1"/>
      <c r="P131" s="1"/>
      <c r="Q131" s="1"/>
      <c r="R131" s="1"/>
      <c r="S131" s="1"/>
      <c r="T131" s="1"/>
      <c r="U131" s="1"/>
      <c r="V131" s="1"/>
      <c r="W131" s="1"/>
      <c r="X131" s="1"/>
    </row>
    <row r="132" ht="15.75" hidden="1" customHeight="1">
      <c r="A132" s="1"/>
      <c r="B132" s="1"/>
      <c r="C132" s="1"/>
      <c r="D132" s="1"/>
      <c r="E132" s="1"/>
      <c r="F132" s="1"/>
      <c r="G132" s="1"/>
      <c r="H132" s="1"/>
      <c r="I132" s="1"/>
      <c r="J132" s="1"/>
      <c r="K132" s="1"/>
      <c r="L132" s="1"/>
      <c r="M132" s="1"/>
      <c r="N132" s="1"/>
      <c r="O132" s="1"/>
      <c r="P132" s="1"/>
      <c r="Q132" s="1"/>
      <c r="R132" s="1"/>
      <c r="S132" s="1"/>
      <c r="T132" s="1"/>
      <c r="U132" s="1"/>
      <c r="V132" s="1"/>
      <c r="W132" s="1"/>
      <c r="X132" s="1"/>
    </row>
    <row r="133" ht="15.75" hidden="1" customHeight="1">
      <c r="A133" s="1"/>
      <c r="B133" s="1"/>
      <c r="C133" s="1"/>
      <c r="D133" s="1"/>
      <c r="E133" s="1"/>
      <c r="F133" s="1"/>
      <c r="G133" s="1"/>
      <c r="H133" s="1"/>
      <c r="I133" s="1"/>
      <c r="J133" s="1"/>
      <c r="K133" s="1"/>
      <c r="L133" s="1"/>
      <c r="M133" s="1"/>
      <c r="N133" s="1"/>
      <c r="O133" s="1"/>
      <c r="P133" s="1"/>
      <c r="Q133" s="1"/>
      <c r="R133" s="1"/>
      <c r="S133" s="1"/>
      <c r="T133" s="1"/>
      <c r="U133" s="1"/>
      <c r="V133" s="1"/>
      <c r="W133" s="1"/>
      <c r="X133" s="1"/>
    </row>
    <row r="134" ht="15.75" hidden="1" customHeight="1">
      <c r="A134" s="1"/>
      <c r="B134" s="1"/>
      <c r="C134" s="1"/>
      <c r="D134" s="1"/>
      <c r="E134" s="1"/>
      <c r="F134" s="1"/>
      <c r="G134" s="1"/>
      <c r="H134" s="1"/>
      <c r="I134" s="1"/>
      <c r="J134" s="1"/>
      <c r="K134" s="1"/>
      <c r="L134" s="1"/>
      <c r="M134" s="1"/>
      <c r="N134" s="1"/>
      <c r="O134" s="1"/>
      <c r="P134" s="1"/>
      <c r="Q134" s="1"/>
      <c r="R134" s="1"/>
      <c r="S134" s="1"/>
      <c r="T134" s="1"/>
      <c r="U134" s="1"/>
      <c r="V134" s="1"/>
      <c r="W134" s="1"/>
      <c r="X134" s="1"/>
    </row>
    <row r="135" ht="15.75" hidden="1" customHeight="1">
      <c r="A135" s="1"/>
      <c r="B135" s="1"/>
      <c r="C135" s="1"/>
      <c r="D135" s="1"/>
      <c r="E135" s="1"/>
      <c r="F135" s="1"/>
      <c r="G135" s="1"/>
      <c r="H135" s="1"/>
      <c r="I135" s="1"/>
      <c r="J135" s="1"/>
      <c r="K135" s="1"/>
      <c r="L135" s="1"/>
      <c r="M135" s="1"/>
      <c r="N135" s="1"/>
      <c r="O135" s="1"/>
      <c r="P135" s="1"/>
      <c r="Q135" s="1"/>
      <c r="R135" s="1"/>
      <c r="S135" s="1"/>
      <c r="T135" s="1"/>
      <c r="U135" s="1"/>
      <c r="V135" s="1"/>
      <c r="W135" s="1"/>
      <c r="X135" s="1"/>
    </row>
    <row r="136" ht="15.75" hidden="1" customHeight="1">
      <c r="A136" s="1"/>
      <c r="B136" s="1"/>
      <c r="C136" s="1"/>
      <c r="D136" s="1"/>
      <c r="E136" s="1"/>
      <c r="F136" s="1"/>
      <c r="G136" s="1"/>
      <c r="H136" s="1"/>
      <c r="I136" s="1"/>
      <c r="J136" s="1"/>
      <c r="K136" s="1"/>
      <c r="L136" s="1"/>
      <c r="M136" s="1"/>
      <c r="N136" s="1"/>
      <c r="O136" s="1"/>
      <c r="P136" s="1"/>
      <c r="Q136" s="1"/>
      <c r="R136" s="1"/>
      <c r="S136" s="1"/>
      <c r="T136" s="1"/>
      <c r="U136" s="1"/>
      <c r="V136" s="1"/>
      <c r="W136" s="1"/>
      <c r="X136" s="1"/>
    </row>
    <row r="137" ht="15.75" hidden="1" customHeight="1">
      <c r="A137" s="1"/>
      <c r="B137" s="1"/>
      <c r="C137" s="1"/>
      <c r="D137" s="1"/>
      <c r="E137" s="1"/>
      <c r="F137" s="1"/>
      <c r="G137" s="1"/>
      <c r="H137" s="1"/>
      <c r="I137" s="1"/>
      <c r="J137" s="1"/>
      <c r="K137" s="1"/>
      <c r="L137" s="1"/>
      <c r="M137" s="1"/>
      <c r="N137" s="1"/>
      <c r="O137" s="1"/>
      <c r="P137" s="1"/>
      <c r="Q137" s="1"/>
      <c r="R137" s="1"/>
      <c r="S137" s="1"/>
      <c r="T137" s="1"/>
      <c r="U137" s="1"/>
      <c r="V137" s="1"/>
      <c r="W137" s="1"/>
      <c r="X137" s="1"/>
    </row>
    <row r="138" ht="15.75" hidden="1" customHeight="1">
      <c r="A138" s="1"/>
      <c r="B138" s="1"/>
      <c r="C138" s="1"/>
      <c r="D138" s="1"/>
      <c r="E138" s="1"/>
      <c r="F138" s="1"/>
      <c r="G138" s="1"/>
      <c r="H138" s="1"/>
      <c r="I138" s="1"/>
      <c r="J138" s="1"/>
      <c r="K138" s="1"/>
      <c r="L138" s="1"/>
      <c r="M138" s="1"/>
      <c r="N138" s="1"/>
      <c r="O138" s="1"/>
      <c r="P138" s="1"/>
      <c r="Q138" s="1"/>
      <c r="R138" s="1"/>
      <c r="S138" s="1"/>
      <c r="T138" s="1"/>
      <c r="U138" s="1"/>
      <c r="V138" s="1"/>
      <c r="W138" s="1"/>
      <c r="X138" s="1"/>
    </row>
    <row r="139" ht="15.75" hidden="1" customHeight="1">
      <c r="A139" s="1"/>
      <c r="B139" s="1"/>
      <c r="C139" s="1"/>
      <c r="D139" s="1"/>
      <c r="E139" s="1"/>
      <c r="F139" s="1"/>
      <c r="G139" s="1"/>
      <c r="H139" s="1"/>
      <c r="I139" s="1"/>
      <c r="J139" s="1"/>
      <c r="K139" s="1"/>
      <c r="L139" s="1"/>
      <c r="M139" s="1"/>
      <c r="N139" s="1"/>
      <c r="O139" s="1"/>
      <c r="P139" s="1"/>
      <c r="Q139" s="1"/>
      <c r="R139" s="1"/>
      <c r="S139" s="1"/>
      <c r="T139" s="1"/>
      <c r="U139" s="1"/>
      <c r="V139" s="1"/>
      <c r="W139" s="1"/>
      <c r="X139" s="1"/>
    </row>
    <row r="140" ht="15.75" hidden="1" customHeight="1">
      <c r="A140" s="1"/>
      <c r="B140" s="1"/>
      <c r="C140" s="1"/>
      <c r="D140" s="1"/>
      <c r="E140" s="1"/>
      <c r="F140" s="1"/>
      <c r="G140" s="1"/>
      <c r="H140" s="1"/>
      <c r="I140" s="1"/>
      <c r="J140" s="1"/>
      <c r="K140" s="1"/>
      <c r="L140" s="1"/>
      <c r="M140" s="1"/>
      <c r="N140" s="1"/>
      <c r="O140" s="1"/>
      <c r="P140" s="1"/>
      <c r="Q140" s="1"/>
      <c r="R140" s="1"/>
      <c r="S140" s="1"/>
      <c r="T140" s="1"/>
      <c r="U140" s="1"/>
      <c r="V140" s="1"/>
      <c r="W140" s="1"/>
      <c r="X140" s="1"/>
    </row>
    <row r="141" ht="15.75" hidden="1" customHeight="1">
      <c r="A141" s="1"/>
      <c r="B141" s="1"/>
      <c r="C141" s="1"/>
      <c r="D141" s="1"/>
      <c r="E141" s="1"/>
      <c r="F141" s="1"/>
      <c r="G141" s="1"/>
      <c r="H141" s="1"/>
      <c r="I141" s="1"/>
      <c r="J141" s="1"/>
      <c r="K141" s="1"/>
      <c r="L141" s="1"/>
      <c r="M141" s="1"/>
      <c r="N141" s="1"/>
      <c r="O141" s="1"/>
      <c r="P141" s="1"/>
      <c r="Q141" s="1"/>
      <c r="R141" s="1"/>
      <c r="S141" s="1"/>
      <c r="T141" s="1"/>
      <c r="U141" s="1"/>
      <c r="V141" s="1"/>
      <c r="W141" s="1"/>
      <c r="X141" s="1"/>
    </row>
    <row r="142" ht="15.75" hidden="1" customHeight="1">
      <c r="A142" s="1"/>
      <c r="B142" s="1"/>
      <c r="C142" s="1"/>
      <c r="D142" s="1"/>
      <c r="E142" s="1"/>
      <c r="F142" s="1"/>
      <c r="G142" s="1"/>
      <c r="H142" s="1"/>
      <c r="I142" s="1"/>
      <c r="J142" s="1"/>
      <c r="K142" s="1"/>
      <c r="L142" s="1"/>
      <c r="M142" s="1"/>
      <c r="N142" s="1"/>
      <c r="O142" s="1"/>
      <c r="P142" s="1"/>
      <c r="Q142" s="1"/>
      <c r="R142" s="1"/>
      <c r="S142" s="1"/>
      <c r="T142" s="1"/>
      <c r="U142" s="1"/>
      <c r="V142" s="1"/>
      <c r="W142" s="1"/>
      <c r="X142" s="1"/>
    </row>
    <row r="143" ht="15.75" hidden="1" customHeight="1">
      <c r="A143" s="1"/>
      <c r="B143" s="1"/>
      <c r="C143" s="1"/>
      <c r="D143" s="1"/>
      <c r="E143" s="1"/>
      <c r="F143" s="1"/>
      <c r="G143" s="1"/>
      <c r="H143" s="1"/>
      <c r="I143" s="1"/>
      <c r="J143" s="1"/>
      <c r="K143" s="1"/>
      <c r="L143" s="1"/>
      <c r="M143" s="1"/>
      <c r="N143" s="1"/>
      <c r="O143" s="1"/>
      <c r="P143" s="1"/>
      <c r="Q143" s="1"/>
      <c r="R143" s="1"/>
      <c r="S143" s="1"/>
      <c r="T143" s="1"/>
      <c r="U143" s="1"/>
      <c r="V143" s="1"/>
      <c r="W143" s="1"/>
      <c r="X143" s="1"/>
    </row>
    <row r="144" ht="15.75" hidden="1" customHeight="1">
      <c r="A144" s="1"/>
      <c r="B144" s="1"/>
      <c r="C144" s="1"/>
      <c r="D144" s="1"/>
      <c r="E144" s="1"/>
      <c r="F144" s="1"/>
      <c r="G144" s="1"/>
      <c r="H144" s="1"/>
      <c r="I144" s="1"/>
      <c r="J144" s="1"/>
      <c r="K144" s="1"/>
      <c r="L144" s="1"/>
      <c r="M144" s="1"/>
      <c r="N144" s="1"/>
      <c r="O144" s="1"/>
      <c r="P144" s="1"/>
      <c r="Q144" s="1"/>
      <c r="R144" s="1"/>
      <c r="S144" s="1"/>
      <c r="T144" s="1"/>
      <c r="U144" s="1"/>
      <c r="V144" s="1"/>
      <c r="W144" s="1"/>
      <c r="X144" s="1"/>
    </row>
    <row r="145" ht="15.75" hidden="1" customHeight="1">
      <c r="A145" s="1"/>
      <c r="B145" s="1"/>
      <c r="C145" s="1"/>
      <c r="D145" s="1"/>
      <c r="E145" s="1"/>
      <c r="F145" s="1"/>
      <c r="G145" s="1"/>
      <c r="H145" s="1"/>
      <c r="I145" s="1"/>
      <c r="J145" s="1"/>
      <c r="K145" s="1"/>
      <c r="L145" s="1"/>
      <c r="M145" s="1"/>
      <c r="N145" s="1"/>
      <c r="O145" s="1"/>
      <c r="P145" s="1"/>
      <c r="Q145" s="1"/>
      <c r="R145" s="1"/>
      <c r="S145" s="1"/>
      <c r="T145" s="1"/>
      <c r="U145" s="1"/>
      <c r="V145" s="1"/>
      <c r="W145" s="1"/>
      <c r="X145" s="1"/>
    </row>
    <row r="146" ht="15.75" hidden="1" customHeight="1">
      <c r="A146" s="1"/>
      <c r="B146" s="1"/>
      <c r="C146" s="1"/>
      <c r="D146" s="1"/>
      <c r="E146" s="1"/>
      <c r="F146" s="1"/>
      <c r="G146" s="1"/>
      <c r="H146" s="1"/>
      <c r="I146" s="1"/>
      <c r="J146" s="1"/>
      <c r="K146" s="1"/>
      <c r="L146" s="1"/>
      <c r="M146" s="1"/>
      <c r="N146" s="1"/>
      <c r="O146" s="1"/>
      <c r="P146" s="1"/>
      <c r="Q146" s="1"/>
      <c r="R146" s="1"/>
      <c r="S146" s="1"/>
      <c r="T146" s="1"/>
      <c r="U146" s="1"/>
      <c r="V146" s="1"/>
      <c r="W146" s="1"/>
      <c r="X146" s="1"/>
    </row>
    <row r="147" ht="15.75" hidden="1" customHeight="1">
      <c r="A147" s="1"/>
      <c r="B147" s="1"/>
      <c r="C147" s="1"/>
      <c r="D147" s="1"/>
      <c r="E147" s="1"/>
      <c r="F147" s="1"/>
      <c r="G147" s="1"/>
      <c r="H147" s="1"/>
      <c r="I147" s="1"/>
      <c r="J147" s="1"/>
      <c r="K147" s="1"/>
      <c r="L147" s="1"/>
      <c r="M147" s="1"/>
      <c r="N147" s="1"/>
      <c r="O147" s="1"/>
      <c r="P147" s="1"/>
      <c r="Q147" s="1"/>
      <c r="R147" s="1"/>
      <c r="S147" s="1"/>
      <c r="T147" s="1"/>
      <c r="U147" s="1"/>
      <c r="V147" s="1"/>
      <c r="W147" s="1"/>
      <c r="X147" s="1"/>
    </row>
    <row r="148" ht="15.75" hidden="1" customHeight="1">
      <c r="A148" s="1"/>
      <c r="B148" s="1"/>
      <c r="C148" s="1"/>
      <c r="D148" s="1"/>
      <c r="E148" s="1"/>
      <c r="F148" s="1"/>
      <c r="G148" s="1"/>
      <c r="H148" s="1"/>
      <c r="I148" s="1"/>
      <c r="J148" s="1"/>
      <c r="K148" s="1"/>
      <c r="L148" s="1"/>
      <c r="M148" s="1"/>
      <c r="N148" s="1"/>
      <c r="O148" s="1"/>
      <c r="P148" s="1"/>
      <c r="Q148" s="1"/>
      <c r="R148" s="1"/>
      <c r="S148" s="1"/>
      <c r="T148" s="1"/>
      <c r="U148" s="1"/>
      <c r="V148" s="1"/>
      <c r="W148" s="1"/>
      <c r="X148" s="1"/>
    </row>
    <row r="149" ht="15.75" hidden="1" customHeight="1">
      <c r="A149" s="1"/>
      <c r="B149" s="1"/>
      <c r="C149" s="1"/>
      <c r="D149" s="1"/>
      <c r="E149" s="1"/>
      <c r="F149" s="1"/>
      <c r="G149" s="1"/>
      <c r="H149" s="1"/>
      <c r="I149" s="1"/>
      <c r="J149" s="1"/>
      <c r="K149" s="1"/>
      <c r="L149" s="1"/>
      <c r="M149" s="1"/>
      <c r="N149" s="1"/>
      <c r="O149" s="1"/>
      <c r="P149" s="1"/>
      <c r="Q149" s="1"/>
      <c r="R149" s="1"/>
      <c r="S149" s="1"/>
      <c r="T149" s="1"/>
      <c r="U149" s="1"/>
      <c r="V149" s="1"/>
      <c r="W149" s="1"/>
      <c r="X149" s="1"/>
    </row>
    <row r="150" ht="15.75" hidden="1" customHeight="1">
      <c r="A150" s="1"/>
      <c r="B150" s="1"/>
      <c r="C150" s="1"/>
      <c r="D150" s="1"/>
      <c r="E150" s="1"/>
      <c r="F150" s="1"/>
      <c r="G150" s="1"/>
      <c r="H150" s="1"/>
      <c r="I150" s="1"/>
      <c r="J150" s="1"/>
      <c r="K150" s="1"/>
      <c r="L150" s="1"/>
      <c r="M150" s="1"/>
      <c r="N150" s="1"/>
      <c r="O150" s="1"/>
      <c r="P150" s="1"/>
      <c r="Q150" s="1"/>
      <c r="R150" s="1"/>
      <c r="S150" s="1"/>
      <c r="T150" s="1"/>
      <c r="U150" s="1"/>
      <c r="V150" s="1"/>
      <c r="W150" s="1"/>
      <c r="X150" s="1"/>
    </row>
    <row r="151" ht="15.75" hidden="1" customHeight="1">
      <c r="A151" s="1"/>
      <c r="B151" s="1"/>
      <c r="C151" s="1"/>
      <c r="D151" s="1"/>
      <c r="E151" s="1"/>
      <c r="F151" s="1"/>
      <c r="G151" s="1"/>
      <c r="H151" s="1"/>
      <c r="I151" s="1"/>
      <c r="J151" s="1"/>
      <c r="K151" s="1"/>
      <c r="L151" s="1"/>
      <c r="M151" s="1"/>
      <c r="N151" s="1"/>
      <c r="O151" s="1"/>
      <c r="P151" s="1"/>
      <c r="Q151" s="1"/>
      <c r="R151" s="1"/>
      <c r="S151" s="1"/>
      <c r="T151" s="1"/>
      <c r="U151" s="1"/>
      <c r="V151" s="1"/>
      <c r="W151" s="1"/>
      <c r="X151" s="1"/>
    </row>
    <row r="152" ht="15.75" hidden="1" customHeight="1">
      <c r="A152" s="1"/>
      <c r="B152" s="1"/>
      <c r="C152" s="1"/>
      <c r="D152" s="1"/>
      <c r="E152" s="1"/>
      <c r="F152" s="1"/>
      <c r="G152" s="1"/>
      <c r="H152" s="1"/>
      <c r="I152" s="1"/>
      <c r="J152" s="1"/>
      <c r="K152" s="1"/>
      <c r="L152" s="1"/>
      <c r="M152" s="1"/>
      <c r="N152" s="1"/>
      <c r="O152" s="1"/>
      <c r="P152" s="1"/>
      <c r="Q152" s="1"/>
      <c r="R152" s="1"/>
      <c r="S152" s="1"/>
      <c r="T152" s="1"/>
      <c r="U152" s="1"/>
      <c r="V152" s="1"/>
      <c r="W152" s="1"/>
      <c r="X152" s="1"/>
    </row>
    <row r="153" ht="15.75" hidden="1" customHeight="1">
      <c r="A153" s="1"/>
      <c r="B153" s="1"/>
      <c r="C153" s="1"/>
      <c r="D153" s="1"/>
      <c r="E153" s="1"/>
      <c r="F153" s="1"/>
      <c r="G153" s="1"/>
      <c r="H153" s="1"/>
      <c r="I153" s="1"/>
      <c r="J153" s="1"/>
      <c r="K153" s="1"/>
      <c r="L153" s="1"/>
      <c r="M153" s="1"/>
      <c r="N153" s="1"/>
      <c r="O153" s="1"/>
      <c r="P153" s="1"/>
      <c r="Q153" s="1"/>
      <c r="R153" s="1"/>
      <c r="S153" s="1"/>
      <c r="T153" s="1"/>
      <c r="U153" s="1"/>
      <c r="V153" s="1"/>
      <c r="W153" s="1"/>
      <c r="X153" s="1"/>
    </row>
    <row r="154" ht="15.75" hidden="1" customHeight="1">
      <c r="A154" s="1"/>
      <c r="B154" s="1"/>
      <c r="C154" s="1"/>
      <c r="D154" s="1"/>
      <c r="E154" s="1"/>
      <c r="F154" s="1"/>
      <c r="G154" s="1"/>
      <c r="H154" s="1"/>
      <c r="I154" s="1"/>
      <c r="J154" s="1"/>
      <c r="K154" s="1"/>
      <c r="L154" s="1"/>
      <c r="M154" s="1"/>
      <c r="N154" s="1"/>
      <c r="O154" s="1"/>
      <c r="P154" s="1"/>
      <c r="Q154" s="1"/>
      <c r="R154" s="1"/>
      <c r="S154" s="1"/>
      <c r="T154" s="1"/>
      <c r="U154" s="1"/>
      <c r="V154" s="1"/>
      <c r="W154" s="1"/>
      <c r="X154" s="1"/>
    </row>
    <row r="155" ht="15.75" hidden="1" customHeight="1">
      <c r="A155" s="1"/>
      <c r="B155" s="1"/>
      <c r="C155" s="1"/>
      <c r="D155" s="1"/>
      <c r="E155" s="1"/>
      <c r="F155" s="1"/>
      <c r="G155" s="1"/>
      <c r="H155" s="1"/>
      <c r="I155" s="1"/>
      <c r="J155" s="1"/>
      <c r="K155" s="1"/>
      <c r="L155" s="1"/>
      <c r="M155" s="1"/>
      <c r="N155" s="1"/>
      <c r="O155" s="1"/>
      <c r="P155" s="1"/>
      <c r="Q155" s="1"/>
      <c r="R155" s="1"/>
      <c r="S155" s="1"/>
      <c r="T155" s="1"/>
      <c r="U155" s="1"/>
      <c r="V155" s="1"/>
      <c r="W155" s="1"/>
      <c r="X155" s="1"/>
    </row>
    <row r="156" ht="15.75" hidden="1" customHeight="1">
      <c r="A156" s="1"/>
      <c r="B156" s="1"/>
      <c r="C156" s="1"/>
      <c r="D156" s="1"/>
      <c r="E156" s="1"/>
      <c r="F156" s="1"/>
      <c r="G156" s="1"/>
      <c r="H156" s="1"/>
      <c r="I156" s="1"/>
      <c r="J156" s="1"/>
      <c r="K156" s="1"/>
      <c r="L156" s="1"/>
      <c r="M156" s="1"/>
      <c r="N156" s="1"/>
      <c r="O156" s="1"/>
      <c r="P156" s="1"/>
      <c r="Q156" s="1"/>
      <c r="R156" s="1"/>
      <c r="S156" s="1"/>
      <c r="T156" s="1"/>
      <c r="U156" s="1"/>
      <c r="V156" s="1"/>
      <c r="W156" s="1"/>
      <c r="X156" s="1"/>
    </row>
    <row r="157" ht="15.75" hidden="1" customHeight="1">
      <c r="A157" s="1"/>
      <c r="B157" s="1"/>
      <c r="C157" s="1"/>
      <c r="D157" s="1"/>
      <c r="E157" s="1"/>
      <c r="F157" s="1"/>
      <c r="G157" s="1"/>
      <c r="H157" s="1"/>
      <c r="I157" s="1"/>
      <c r="J157" s="1"/>
      <c r="K157" s="1"/>
      <c r="L157" s="1"/>
      <c r="M157" s="1"/>
      <c r="N157" s="1"/>
      <c r="O157" s="1"/>
      <c r="P157" s="1"/>
      <c r="Q157" s="1"/>
      <c r="R157" s="1"/>
      <c r="S157" s="1"/>
      <c r="T157" s="1"/>
      <c r="U157" s="1"/>
      <c r="V157" s="1"/>
      <c r="W157" s="1"/>
      <c r="X157" s="1"/>
    </row>
    <row r="158" ht="15.75" hidden="1" customHeight="1">
      <c r="A158" s="1"/>
      <c r="B158" s="1"/>
      <c r="C158" s="1"/>
      <c r="D158" s="1"/>
      <c r="E158" s="1"/>
      <c r="F158" s="1"/>
      <c r="G158" s="1"/>
      <c r="H158" s="1"/>
      <c r="I158" s="1"/>
      <c r="J158" s="1"/>
      <c r="K158" s="1"/>
      <c r="L158" s="1"/>
      <c r="M158" s="1"/>
      <c r="N158" s="1"/>
      <c r="O158" s="1"/>
      <c r="P158" s="1"/>
      <c r="Q158" s="1"/>
      <c r="R158" s="1"/>
      <c r="S158" s="1"/>
      <c r="T158" s="1"/>
      <c r="U158" s="1"/>
      <c r="V158" s="1"/>
      <c r="W158" s="1"/>
      <c r="X158" s="1"/>
    </row>
    <row r="159" ht="15.75" hidden="1" customHeight="1">
      <c r="A159" s="1"/>
      <c r="B159" s="1"/>
      <c r="C159" s="1"/>
      <c r="D159" s="1"/>
      <c r="E159" s="1"/>
      <c r="F159" s="1"/>
      <c r="G159" s="1"/>
      <c r="H159" s="1"/>
      <c r="I159" s="1"/>
      <c r="J159" s="1"/>
      <c r="K159" s="1"/>
      <c r="L159" s="1"/>
      <c r="M159" s="1"/>
      <c r="N159" s="1"/>
      <c r="O159" s="1"/>
      <c r="P159" s="1"/>
      <c r="Q159" s="1"/>
      <c r="R159" s="1"/>
      <c r="S159" s="1"/>
      <c r="T159" s="1"/>
      <c r="U159" s="1"/>
      <c r="V159" s="1"/>
      <c r="W159" s="1"/>
      <c r="X159" s="1"/>
    </row>
    <row r="160" ht="15.75" hidden="1" customHeight="1">
      <c r="A160" s="1"/>
      <c r="B160" s="1"/>
      <c r="C160" s="1"/>
      <c r="D160" s="1"/>
      <c r="E160" s="1"/>
      <c r="F160" s="1"/>
      <c r="G160" s="1"/>
      <c r="H160" s="1"/>
      <c r="I160" s="1"/>
      <c r="J160" s="1"/>
      <c r="K160" s="1"/>
      <c r="L160" s="1"/>
      <c r="M160" s="1"/>
      <c r="N160" s="1"/>
      <c r="O160" s="1"/>
      <c r="P160" s="1"/>
      <c r="Q160" s="1"/>
      <c r="R160" s="1"/>
      <c r="S160" s="1"/>
      <c r="T160" s="1"/>
      <c r="U160" s="1"/>
      <c r="V160" s="1"/>
      <c r="W160" s="1"/>
      <c r="X160" s="1"/>
    </row>
    <row r="161" ht="15.75" hidden="1" customHeight="1">
      <c r="A161" s="1"/>
      <c r="B161" s="1"/>
      <c r="C161" s="1"/>
      <c r="D161" s="1"/>
      <c r="E161" s="1"/>
      <c r="F161" s="1"/>
      <c r="G161" s="1"/>
      <c r="H161" s="1"/>
      <c r="I161" s="1"/>
      <c r="J161" s="1"/>
      <c r="K161" s="1"/>
      <c r="L161" s="1"/>
      <c r="M161" s="1"/>
      <c r="N161" s="1"/>
      <c r="O161" s="1"/>
      <c r="P161" s="1"/>
      <c r="Q161" s="1"/>
      <c r="R161" s="1"/>
      <c r="S161" s="1"/>
      <c r="T161" s="1"/>
      <c r="U161" s="1"/>
      <c r="V161" s="1"/>
      <c r="W161" s="1"/>
      <c r="X161" s="1"/>
    </row>
    <row r="162" ht="15.75" hidden="1" customHeight="1">
      <c r="A162" s="1"/>
      <c r="B162" s="1"/>
      <c r="C162" s="1"/>
      <c r="D162" s="1"/>
      <c r="E162" s="1"/>
      <c r="F162" s="1"/>
      <c r="G162" s="1"/>
      <c r="H162" s="1"/>
      <c r="I162" s="1"/>
      <c r="J162" s="1"/>
      <c r="K162" s="1"/>
      <c r="L162" s="1"/>
      <c r="M162" s="1"/>
      <c r="N162" s="1"/>
      <c r="O162" s="1"/>
      <c r="P162" s="1"/>
      <c r="Q162" s="1"/>
      <c r="R162" s="1"/>
      <c r="S162" s="1"/>
      <c r="T162" s="1"/>
      <c r="U162" s="1"/>
      <c r="V162" s="1"/>
      <c r="W162" s="1"/>
      <c r="X162" s="1"/>
    </row>
    <row r="163" ht="15.75" hidden="1" customHeight="1">
      <c r="A163" s="1"/>
      <c r="B163" s="1"/>
      <c r="C163" s="1"/>
      <c r="D163" s="1"/>
      <c r="E163" s="1"/>
      <c r="F163" s="1"/>
      <c r="G163" s="1"/>
      <c r="H163" s="1"/>
      <c r="I163" s="1"/>
      <c r="J163" s="1"/>
      <c r="K163" s="1"/>
      <c r="L163" s="1"/>
      <c r="M163" s="1"/>
      <c r="N163" s="1"/>
      <c r="O163" s="1"/>
      <c r="P163" s="1"/>
      <c r="Q163" s="1"/>
      <c r="R163" s="1"/>
      <c r="S163" s="1"/>
      <c r="T163" s="1"/>
      <c r="U163" s="1"/>
      <c r="V163" s="1"/>
      <c r="W163" s="1"/>
      <c r="X163" s="1"/>
    </row>
    <row r="164" ht="15.75" hidden="1" customHeight="1">
      <c r="A164" s="1"/>
      <c r="B164" s="1"/>
      <c r="C164" s="1"/>
      <c r="D164" s="1"/>
      <c r="E164" s="1"/>
      <c r="F164" s="1"/>
      <c r="G164" s="1"/>
      <c r="H164" s="1"/>
      <c r="I164" s="1"/>
      <c r="J164" s="1"/>
      <c r="K164" s="1"/>
      <c r="L164" s="1"/>
      <c r="M164" s="1"/>
      <c r="N164" s="1"/>
      <c r="O164" s="1"/>
      <c r="P164" s="1"/>
      <c r="Q164" s="1"/>
      <c r="R164" s="1"/>
      <c r="S164" s="1"/>
      <c r="T164" s="1"/>
      <c r="U164" s="1"/>
      <c r="V164" s="1"/>
      <c r="W164" s="1"/>
      <c r="X164" s="1"/>
    </row>
    <row r="165" ht="15.75" hidden="1" customHeight="1">
      <c r="A165" s="1"/>
      <c r="B165" s="1"/>
      <c r="C165" s="1"/>
      <c r="D165" s="1"/>
      <c r="E165" s="1"/>
      <c r="F165" s="1"/>
      <c r="G165" s="1"/>
      <c r="H165" s="1"/>
      <c r="I165" s="1"/>
      <c r="J165" s="1"/>
      <c r="K165" s="1"/>
      <c r="L165" s="1"/>
      <c r="M165" s="1"/>
      <c r="N165" s="1"/>
      <c r="O165" s="1"/>
      <c r="P165" s="1"/>
      <c r="Q165" s="1"/>
      <c r="R165" s="1"/>
      <c r="S165" s="1"/>
      <c r="T165" s="1"/>
      <c r="U165" s="1"/>
      <c r="V165" s="1"/>
      <c r="W165" s="1"/>
      <c r="X165" s="1"/>
    </row>
    <row r="166" ht="15.75" hidden="1" customHeight="1">
      <c r="A166" s="1"/>
      <c r="B166" s="1"/>
      <c r="C166" s="1"/>
      <c r="D166" s="1"/>
      <c r="E166" s="1"/>
      <c r="F166" s="1"/>
      <c r="G166" s="1"/>
      <c r="H166" s="1"/>
      <c r="I166" s="1"/>
      <c r="J166" s="1"/>
      <c r="K166" s="1"/>
      <c r="L166" s="1"/>
      <c r="M166" s="1"/>
      <c r="N166" s="1"/>
      <c r="O166" s="1"/>
      <c r="P166" s="1"/>
      <c r="Q166" s="1"/>
      <c r="R166" s="1"/>
      <c r="S166" s="1"/>
      <c r="T166" s="1"/>
      <c r="U166" s="1"/>
      <c r="V166" s="1"/>
      <c r="W166" s="1"/>
      <c r="X166" s="1"/>
    </row>
    <row r="167" ht="15.75" hidden="1" customHeight="1">
      <c r="A167" s="1"/>
      <c r="B167" s="1"/>
      <c r="C167" s="1"/>
      <c r="D167" s="1"/>
      <c r="E167" s="1"/>
      <c r="F167" s="1"/>
      <c r="G167" s="1"/>
      <c r="H167" s="1"/>
      <c r="I167" s="1"/>
      <c r="J167" s="1"/>
      <c r="K167" s="1"/>
      <c r="L167" s="1"/>
      <c r="M167" s="1"/>
      <c r="N167" s="1"/>
      <c r="O167" s="1"/>
      <c r="P167" s="1"/>
      <c r="Q167" s="1"/>
      <c r="R167" s="1"/>
      <c r="S167" s="1"/>
      <c r="T167" s="1"/>
      <c r="U167" s="1"/>
      <c r="V167" s="1"/>
      <c r="W167" s="1"/>
      <c r="X167" s="1"/>
    </row>
    <row r="168" ht="15.75" hidden="1" customHeight="1">
      <c r="A168" s="1"/>
      <c r="B168" s="1"/>
      <c r="C168" s="1"/>
      <c r="D168" s="1"/>
      <c r="E168" s="1"/>
      <c r="F168" s="1"/>
      <c r="G168" s="1"/>
      <c r="H168" s="1"/>
      <c r="I168" s="1"/>
      <c r="J168" s="1"/>
      <c r="K168" s="1"/>
      <c r="L168" s="1"/>
      <c r="M168" s="1"/>
      <c r="N168" s="1"/>
      <c r="O168" s="1"/>
      <c r="P168" s="1"/>
      <c r="Q168" s="1"/>
      <c r="R168" s="1"/>
      <c r="S168" s="1"/>
      <c r="T168" s="1"/>
      <c r="U168" s="1"/>
      <c r="V168" s="1"/>
      <c r="W168" s="1"/>
      <c r="X168" s="1"/>
    </row>
    <row r="169" ht="15.75" hidden="1" customHeight="1">
      <c r="A169" s="1"/>
      <c r="B169" s="1"/>
      <c r="C169" s="1"/>
      <c r="D169" s="1"/>
      <c r="E169" s="1"/>
      <c r="F169" s="1"/>
      <c r="G169" s="1"/>
      <c r="H169" s="1"/>
      <c r="I169" s="1"/>
      <c r="J169" s="1"/>
      <c r="K169" s="1"/>
      <c r="L169" s="1"/>
      <c r="M169" s="1"/>
      <c r="N169" s="1"/>
      <c r="O169" s="1"/>
      <c r="P169" s="1"/>
      <c r="Q169" s="1"/>
      <c r="R169" s="1"/>
      <c r="S169" s="1"/>
      <c r="T169" s="1"/>
      <c r="U169" s="1"/>
      <c r="V169" s="1"/>
      <c r="W169" s="1"/>
      <c r="X169" s="1"/>
    </row>
    <row r="170" ht="15.75" hidden="1" customHeight="1">
      <c r="A170" s="1"/>
      <c r="B170" s="1"/>
      <c r="C170" s="1"/>
      <c r="D170" s="1"/>
      <c r="E170" s="1"/>
      <c r="F170" s="1"/>
      <c r="G170" s="1"/>
      <c r="H170" s="1"/>
      <c r="I170" s="1"/>
      <c r="J170" s="1"/>
      <c r="K170" s="1"/>
      <c r="L170" s="1"/>
      <c r="M170" s="1"/>
      <c r="N170" s="1"/>
      <c r="O170" s="1"/>
      <c r="P170" s="1"/>
      <c r="Q170" s="1"/>
      <c r="R170" s="1"/>
      <c r="S170" s="1"/>
      <c r="T170" s="1"/>
      <c r="U170" s="1"/>
      <c r="V170" s="1"/>
      <c r="W170" s="1"/>
      <c r="X170" s="1"/>
    </row>
    <row r="171" ht="15.75" hidden="1" customHeight="1">
      <c r="A171" s="1"/>
      <c r="B171" s="1"/>
      <c r="C171" s="1"/>
      <c r="D171" s="1"/>
      <c r="E171" s="1"/>
      <c r="F171" s="1"/>
      <c r="G171" s="1"/>
      <c r="H171" s="1"/>
      <c r="I171" s="1"/>
      <c r="J171" s="1"/>
      <c r="K171" s="1"/>
      <c r="L171" s="1"/>
      <c r="M171" s="1"/>
      <c r="N171" s="1"/>
      <c r="O171" s="1"/>
      <c r="P171" s="1"/>
      <c r="Q171" s="1"/>
      <c r="R171" s="1"/>
      <c r="S171" s="1"/>
      <c r="T171" s="1"/>
      <c r="U171" s="1"/>
      <c r="V171" s="1"/>
      <c r="W171" s="1"/>
      <c r="X171" s="1"/>
    </row>
    <row r="172" ht="15.75" hidden="1" customHeight="1">
      <c r="A172" s="1"/>
      <c r="B172" s="1"/>
      <c r="C172" s="1"/>
      <c r="D172" s="1"/>
      <c r="E172" s="1"/>
      <c r="F172" s="1"/>
      <c r="G172" s="1"/>
      <c r="H172" s="1"/>
      <c r="I172" s="1"/>
      <c r="J172" s="1"/>
      <c r="K172" s="1"/>
      <c r="L172" s="1"/>
      <c r="M172" s="1"/>
      <c r="N172" s="1"/>
      <c r="O172" s="1"/>
      <c r="P172" s="1"/>
      <c r="Q172" s="1"/>
      <c r="R172" s="1"/>
      <c r="S172" s="1"/>
      <c r="T172" s="1"/>
      <c r="U172" s="1"/>
      <c r="V172" s="1"/>
      <c r="W172" s="1"/>
      <c r="X172" s="1"/>
    </row>
    <row r="173" ht="15.75" hidden="1" customHeight="1">
      <c r="A173" s="1"/>
      <c r="B173" s="1"/>
      <c r="C173" s="1"/>
      <c r="D173" s="1"/>
      <c r="E173" s="1"/>
      <c r="F173" s="1"/>
      <c r="G173" s="1"/>
      <c r="H173" s="1"/>
      <c r="I173" s="1"/>
      <c r="J173" s="1"/>
      <c r="K173" s="1"/>
      <c r="L173" s="1"/>
      <c r="M173" s="1"/>
      <c r="N173" s="1"/>
      <c r="O173" s="1"/>
      <c r="P173" s="1"/>
      <c r="Q173" s="1"/>
      <c r="R173" s="1"/>
      <c r="S173" s="1"/>
      <c r="T173" s="1"/>
      <c r="U173" s="1"/>
      <c r="V173" s="1"/>
      <c r="W173" s="1"/>
      <c r="X173" s="1"/>
    </row>
    <row r="174" ht="15.75" hidden="1" customHeight="1">
      <c r="A174" s="1"/>
      <c r="B174" s="1"/>
      <c r="C174" s="1"/>
      <c r="D174" s="1"/>
      <c r="E174" s="1"/>
      <c r="F174" s="1"/>
      <c r="G174" s="1"/>
      <c r="H174" s="1"/>
      <c r="I174" s="1"/>
      <c r="J174" s="1"/>
      <c r="K174" s="1"/>
      <c r="L174" s="1"/>
      <c r="M174" s="1"/>
      <c r="N174" s="1"/>
      <c r="O174" s="1"/>
      <c r="P174" s="1"/>
      <c r="Q174" s="1"/>
      <c r="R174" s="1"/>
      <c r="S174" s="1"/>
      <c r="T174" s="1"/>
      <c r="U174" s="1"/>
      <c r="V174" s="1"/>
      <c r="W174" s="1"/>
      <c r="X174" s="1"/>
    </row>
    <row r="175" ht="15.75" hidden="1" customHeight="1">
      <c r="A175" s="1"/>
      <c r="B175" s="1"/>
      <c r="C175" s="1"/>
      <c r="D175" s="1"/>
      <c r="E175" s="1"/>
      <c r="F175" s="1"/>
      <c r="G175" s="1"/>
      <c r="H175" s="1"/>
      <c r="I175" s="1"/>
      <c r="J175" s="1"/>
      <c r="K175" s="1"/>
      <c r="L175" s="1"/>
      <c r="M175" s="1"/>
      <c r="N175" s="1"/>
      <c r="O175" s="1"/>
      <c r="P175" s="1"/>
      <c r="Q175" s="1"/>
      <c r="R175" s="1"/>
      <c r="S175" s="1"/>
      <c r="T175" s="1"/>
      <c r="U175" s="1"/>
      <c r="V175" s="1"/>
      <c r="W175" s="1"/>
      <c r="X175" s="1"/>
    </row>
    <row r="176" ht="15.75" hidden="1" customHeight="1">
      <c r="A176" s="1"/>
      <c r="B176" s="1"/>
      <c r="C176" s="1"/>
      <c r="D176" s="1"/>
      <c r="E176" s="1"/>
      <c r="F176" s="1"/>
      <c r="G176" s="1"/>
      <c r="H176" s="1"/>
      <c r="I176" s="1"/>
      <c r="J176" s="1"/>
      <c r="K176" s="1"/>
      <c r="L176" s="1"/>
      <c r="M176" s="1"/>
      <c r="N176" s="1"/>
      <c r="O176" s="1"/>
      <c r="P176" s="1"/>
      <c r="Q176" s="1"/>
      <c r="R176" s="1"/>
      <c r="S176" s="1"/>
      <c r="T176" s="1"/>
      <c r="U176" s="1"/>
      <c r="V176" s="1"/>
      <c r="W176" s="1"/>
      <c r="X176" s="1"/>
    </row>
    <row r="177" ht="15.75" hidden="1" customHeight="1">
      <c r="A177" s="1"/>
      <c r="B177" s="1"/>
      <c r="C177" s="1"/>
      <c r="D177" s="1"/>
      <c r="E177" s="1"/>
      <c r="F177" s="1"/>
      <c r="G177" s="1"/>
      <c r="H177" s="1"/>
      <c r="I177" s="1"/>
      <c r="J177" s="1"/>
      <c r="K177" s="1"/>
      <c r="L177" s="1"/>
      <c r="M177" s="1"/>
      <c r="N177" s="1"/>
      <c r="O177" s="1"/>
      <c r="P177" s="1"/>
      <c r="Q177" s="1"/>
      <c r="R177" s="1"/>
      <c r="S177" s="1"/>
      <c r="T177" s="1"/>
      <c r="U177" s="1"/>
      <c r="V177" s="1"/>
      <c r="W177" s="1"/>
      <c r="X177" s="1"/>
    </row>
    <row r="178" ht="15.75" hidden="1" customHeight="1">
      <c r="A178" s="1"/>
      <c r="B178" s="1"/>
      <c r="C178" s="1"/>
      <c r="D178" s="1"/>
      <c r="E178" s="1"/>
      <c r="F178" s="1"/>
      <c r="G178" s="1"/>
      <c r="H178" s="1"/>
      <c r="I178" s="1"/>
      <c r="J178" s="1"/>
      <c r="K178" s="1"/>
      <c r="L178" s="1"/>
      <c r="M178" s="1"/>
      <c r="N178" s="1"/>
      <c r="O178" s="1"/>
      <c r="P178" s="1"/>
      <c r="Q178" s="1"/>
      <c r="R178" s="1"/>
      <c r="S178" s="1"/>
      <c r="T178" s="1"/>
      <c r="U178" s="1"/>
      <c r="V178" s="1"/>
      <c r="W178" s="1"/>
      <c r="X178" s="1"/>
    </row>
    <row r="179" ht="15.75" hidden="1" customHeight="1">
      <c r="A179" s="1"/>
      <c r="B179" s="1"/>
      <c r="C179" s="1"/>
      <c r="D179" s="1"/>
      <c r="E179" s="1"/>
      <c r="F179" s="1"/>
      <c r="G179" s="1"/>
      <c r="H179" s="1"/>
      <c r="I179" s="1"/>
      <c r="J179" s="1"/>
      <c r="K179" s="1"/>
      <c r="L179" s="1"/>
      <c r="M179" s="1"/>
      <c r="N179" s="1"/>
      <c r="O179" s="1"/>
      <c r="P179" s="1"/>
      <c r="Q179" s="1"/>
      <c r="R179" s="1"/>
      <c r="S179" s="1"/>
      <c r="T179" s="1"/>
      <c r="U179" s="1"/>
      <c r="V179" s="1"/>
      <c r="W179" s="1"/>
      <c r="X179" s="1"/>
    </row>
    <row r="180" ht="15.75" hidden="1" customHeight="1">
      <c r="A180" s="1"/>
      <c r="B180" s="1"/>
      <c r="C180" s="1"/>
      <c r="D180" s="1"/>
      <c r="E180" s="1"/>
      <c r="F180" s="1"/>
      <c r="G180" s="1"/>
      <c r="H180" s="1"/>
      <c r="I180" s="1"/>
      <c r="J180" s="1"/>
      <c r="K180" s="1"/>
      <c r="L180" s="1"/>
      <c r="M180" s="1"/>
      <c r="N180" s="1"/>
      <c r="O180" s="1"/>
      <c r="P180" s="1"/>
      <c r="Q180" s="1"/>
      <c r="R180" s="1"/>
      <c r="S180" s="1"/>
      <c r="T180" s="1"/>
      <c r="U180" s="1"/>
      <c r="V180" s="1"/>
      <c r="W180" s="1"/>
      <c r="X180" s="1"/>
    </row>
    <row r="181" ht="15.75" hidden="1" customHeight="1">
      <c r="A181" s="1"/>
      <c r="B181" s="1"/>
      <c r="C181" s="1"/>
      <c r="D181" s="1"/>
      <c r="E181" s="1"/>
      <c r="F181" s="1"/>
      <c r="G181" s="1"/>
      <c r="H181" s="1"/>
      <c r="I181" s="1"/>
      <c r="J181" s="1"/>
      <c r="K181" s="1"/>
      <c r="L181" s="1"/>
      <c r="M181" s="1"/>
      <c r="N181" s="1"/>
      <c r="O181" s="1"/>
      <c r="P181" s="1"/>
      <c r="Q181" s="1"/>
      <c r="R181" s="1"/>
      <c r="S181" s="1"/>
      <c r="T181" s="1"/>
      <c r="U181" s="1"/>
      <c r="V181" s="1"/>
      <c r="W181" s="1"/>
      <c r="X181" s="1"/>
    </row>
    <row r="182" ht="15.75" hidden="1" customHeight="1">
      <c r="A182" s="1"/>
      <c r="B182" s="1"/>
      <c r="C182" s="1"/>
      <c r="D182" s="1"/>
      <c r="E182" s="1"/>
      <c r="F182" s="1"/>
      <c r="G182" s="1"/>
      <c r="H182" s="1"/>
      <c r="I182" s="1"/>
      <c r="J182" s="1"/>
      <c r="K182" s="1"/>
      <c r="L182" s="1"/>
      <c r="M182" s="1"/>
      <c r="N182" s="1"/>
      <c r="O182" s="1"/>
      <c r="P182" s="1"/>
      <c r="Q182" s="1"/>
      <c r="R182" s="1"/>
      <c r="S182" s="1"/>
      <c r="T182" s="1"/>
      <c r="U182" s="1"/>
      <c r="V182" s="1"/>
      <c r="W182" s="1"/>
      <c r="X182" s="1"/>
    </row>
    <row r="183" ht="15.75" hidden="1" customHeight="1">
      <c r="A183" s="1"/>
      <c r="B183" s="1"/>
      <c r="C183" s="1"/>
      <c r="D183" s="1"/>
      <c r="E183" s="1"/>
      <c r="F183" s="1"/>
      <c r="G183" s="1"/>
      <c r="H183" s="1"/>
      <c r="I183" s="1"/>
      <c r="J183" s="1"/>
      <c r="K183" s="1"/>
      <c r="L183" s="1"/>
      <c r="M183" s="1"/>
      <c r="N183" s="1"/>
      <c r="O183" s="1"/>
      <c r="P183" s="1"/>
      <c r="Q183" s="1"/>
      <c r="R183" s="1"/>
      <c r="S183" s="1"/>
      <c r="T183" s="1"/>
      <c r="U183" s="1"/>
      <c r="V183" s="1"/>
      <c r="W183" s="1"/>
      <c r="X183" s="1"/>
    </row>
    <row r="184" ht="15.75" hidden="1" customHeight="1">
      <c r="A184" s="1"/>
      <c r="B184" s="1"/>
      <c r="C184" s="1"/>
      <c r="D184" s="1"/>
      <c r="E184" s="1"/>
      <c r="F184" s="1"/>
      <c r="G184" s="1"/>
      <c r="H184" s="1"/>
      <c r="I184" s="1"/>
      <c r="J184" s="1"/>
      <c r="K184" s="1"/>
      <c r="L184" s="1"/>
      <c r="M184" s="1"/>
      <c r="N184" s="1"/>
      <c r="O184" s="1"/>
      <c r="P184" s="1"/>
      <c r="Q184" s="1"/>
      <c r="R184" s="1"/>
      <c r="S184" s="1"/>
      <c r="T184" s="1"/>
      <c r="U184" s="1"/>
      <c r="V184" s="1"/>
      <c r="W184" s="1"/>
      <c r="X184" s="1"/>
    </row>
    <row r="185" ht="15.75" hidden="1" customHeight="1">
      <c r="A185" s="1"/>
      <c r="B185" s="1"/>
      <c r="C185" s="1"/>
      <c r="D185" s="1"/>
      <c r="E185" s="1"/>
      <c r="F185" s="1"/>
      <c r="G185" s="1"/>
      <c r="H185" s="1"/>
      <c r="I185" s="1"/>
      <c r="J185" s="1"/>
      <c r="K185" s="1"/>
      <c r="L185" s="1"/>
      <c r="M185" s="1"/>
      <c r="N185" s="1"/>
      <c r="O185" s="1"/>
      <c r="P185" s="1"/>
      <c r="Q185" s="1"/>
      <c r="R185" s="1"/>
      <c r="S185" s="1"/>
      <c r="T185" s="1"/>
      <c r="U185" s="1"/>
      <c r="V185" s="1"/>
      <c r="W185" s="1"/>
      <c r="X185" s="1"/>
    </row>
    <row r="186" ht="15.75" hidden="1" customHeight="1">
      <c r="A186" s="1"/>
      <c r="B186" s="1"/>
      <c r="C186" s="1"/>
      <c r="D186" s="1"/>
      <c r="E186" s="1"/>
      <c r="F186" s="1"/>
      <c r="G186" s="1"/>
      <c r="H186" s="1"/>
      <c r="I186" s="1"/>
      <c r="J186" s="1"/>
      <c r="K186" s="1"/>
      <c r="L186" s="1"/>
      <c r="M186" s="1"/>
      <c r="N186" s="1"/>
      <c r="O186" s="1"/>
      <c r="P186" s="1"/>
      <c r="Q186" s="1"/>
      <c r="R186" s="1"/>
      <c r="S186" s="1"/>
      <c r="T186" s="1"/>
      <c r="U186" s="1"/>
      <c r="V186" s="1"/>
      <c r="W186" s="1"/>
      <c r="X186" s="1"/>
    </row>
    <row r="187" ht="15.75" hidden="1" customHeight="1">
      <c r="A187" s="1"/>
      <c r="B187" s="1"/>
      <c r="C187" s="1"/>
      <c r="D187" s="1"/>
      <c r="E187" s="1"/>
      <c r="F187" s="1"/>
      <c r="G187" s="1"/>
      <c r="H187" s="1"/>
      <c r="I187" s="1"/>
      <c r="J187" s="1"/>
      <c r="K187" s="1"/>
      <c r="L187" s="1"/>
      <c r="M187" s="1"/>
      <c r="N187" s="1"/>
      <c r="O187" s="1"/>
      <c r="P187" s="1"/>
      <c r="Q187" s="1"/>
      <c r="R187" s="1"/>
      <c r="S187" s="1"/>
      <c r="T187" s="1"/>
      <c r="U187" s="1"/>
      <c r="V187" s="1"/>
      <c r="W187" s="1"/>
      <c r="X187" s="1"/>
    </row>
    <row r="188" ht="15.75" hidden="1" customHeight="1">
      <c r="A188" s="1"/>
      <c r="B188" s="1"/>
      <c r="C188" s="1"/>
      <c r="D188" s="1"/>
      <c r="E188" s="1"/>
      <c r="F188" s="1"/>
      <c r="G188" s="1"/>
      <c r="H188" s="1"/>
      <c r="I188" s="1"/>
      <c r="J188" s="1"/>
      <c r="K188" s="1"/>
      <c r="L188" s="1"/>
      <c r="M188" s="1"/>
      <c r="N188" s="1"/>
      <c r="O188" s="1"/>
      <c r="P188" s="1"/>
      <c r="Q188" s="1"/>
      <c r="R188" s="1"/>
      <c r="S188" s="1"/>
      <c r="T188" s="1"/>
      <c r="U188" s="1"/>
      <c r="V188" s="1"/>
      <c r="W188" s="1"/>
      <c r="X188" s="1"/>
    </row>
    <row r="189" ht="15.75" hidden="1" customHeight="1">
      <c r="A189" s="1"/>
      <c r="B189" s="1"/>
      <c r="C189" s="1"/>
      <c r="D189" s="1"/>
      <c r="E189" s="1"/>
      <c r="F189" s="1"/>
      <c r="G189" s="1"/>
      <c r="H189" s="1"/>
      <c r="I189" s="1"/>
      <c r="J189" s="1"/>
      <c r="K189" s="1"/>
      <c r="L189" s="1"/>
      <c r="M189" s="1"/>
      <c r="N189" s="1"/>
      <c r="O189" s="1"/>
      <c r="P189" s="1"/>
      <c r="Q189" s="1"/>
      <c r="R189" s="1"/>
      <c r="S189" s="1"/>
      <c r="T189" s="1"/>
      <c r="U189" s="1"/>
      <c r="V189" s="1"/>
      <c r="W189" s="1"/>
      <c r="X189" s="1"/>
    </row>
    <row r="190" ht="15.75" hidden="1" customHeight="1">
      <c r="A190" s="1"/>
      <c r="B190" s="1"/>
      <c r="C190" s="1"/>
      <c r="D190" s="1"/>
      <c r="E190" s="1"/>
      <c r="F190" s="1"/>
      <c r="G190" s="1"/>
      <c r="H190" s="1"/>
      <c r="I190" s="1"/>
      <c r="J190" s="1"/>
      <c r="K190" s="1"/>
      <c r="L190" s="1"/>
      <c r="M190" s="1"/>
      <c r="N190" s="1"/>
      <c r="O190" s="1"/>
      <c r="P190" s="1"/>
      <c r="Q190" s="1"/>
      <c r="R190" s="1"/>
      <c r="S190" s="1"/>
      <c r="T190" s="1"/>
      <c r="U190" s="1"/>
      <c r="V190" s="1"/>
      <c r="W190" s="1"/>
      <c r="X190" s="1"/>
    </row>
    <row r="191" ht="15.75" hidden="1" customHeight="1">
      <c r="A191" s="1"/>
      <c r="B191" s="1"/>
      <c r="C191" s="1"/>
      <c r="D191" s="1"/>
      <c r="E191" s="1"/>
      <c r="F191" s="1"/>
      <c r="G191" s="1"/>
      <c r="H191" s="1"/>
      <c r="I191" s="1"/>
      <c r="J191" s="1"/>
      <c r="K191" s="1"/>
      <c r="L191" s="1"/>
      <c r="M191" s="1"/>
      <c r="N191" s="1"/>
      <c r="O191" s="1"/>
      <c r="P191" s="1"/>
      <c r="Q191" s="1"/>
      <c r="R191" s="1"/>
      <c r="S191" s="1"/>
      <c r="T191" s="1"/>
      <c r="U191" s="1"/>
      <c r="V191" s="1"/>
      <c r="W191" s="1"/>
      <c r="X191" s="1"/>
    </row>
    <row r="192" ht="15.75" hidden="1" customHeight="1">
      <c r="A192" s="1"/>
      <c r="B192" s="1"/>
      <c r="C192" s="1"/>
      <c r="D192" s="1"/>
      <c r="E192" s="1"/>
      <c r="F192" s="1"/>
      <c r="G192" s="1"/>
      <c r="H192" s="1"/>
      <c r="I192" s="1"/>
      <c r="J192" s="1"/>
      <c r="K192" s="1"/>
      <c r="L192" s="1"/>
      <c r="M192" s="1"/>
      <c r="N192" s="1"/>
      <c r="O192" s="1"/>
      <c r="P192" s="1"/>
      <c r="Q192" s="1"/>
      <c r="R192" s="1"/>
      <c r="S192" s="1"/>
      <c r="T192" s="1"/>
      <c r="U192" s="1"/>
      <c r="V192" s="1"/>
      <c r="W192" s="1"/>
      <c r="X192" s="1"/>
    </row>
    <row r="193" ht="15.75" hidden="1" customHeight="1">
      <c r="A193" s="1"/>
      <c r="B193" s="1"/>
      <c r="C193" s="1"/>
      <c r="D193" s="1"/>
      <c r="E193" s="1"/>
      <c r="F193" s="1"/>
      <c r="G193" s="1"/>
      <c r="H193" s="1"/>
      <c r="I193" s="1"/>
      <c r="J193" s="1"/>
      <c r="K193" s="1"/>
      <c r="L193" s="1"/>
      <c r="M193" s="1"/>
      <c r="N193" s="1"/>
      <c r="O193" s="1"/>
      <c r="P193" s="1"/>
      <c r="Q193" s="1"/>
      <c r="R193" s="1"/>
      <c r="S193" s="1"/>
      <c r="T193" s="1"/>
      <c r="U193" s="1"/>
      <c r="V193" s="1"/>
      <c r="W193" s="1"/>
      <c r="X193" s="1"/>
    </row>
    <row r="194" ht="15.75" hidden="1" customHeight="1">
      <c r="A194" s="1"/>
      <c r="B194" s="1"/>
      <c r="C194" s="1"/>
      <c r="D194" s="1"/>
      <c r="E194" s="1"/>
      <c r="F194" s="1"/>
      <c r="G194" s="1"/>
      <c r="H194" s="1"/>
      <c r="I194" s="1"/>
      <c r="J194" s="1"/>
      <c r="K194" s="1"/>
      <c r="L194" s="1"/>
      <c r="M194" s="1"/>
      <c r="N194" s="1"/>
      <c r="O194" s="1"/>
      <c r="P194" s="1"/>
      <c r="Q194" s="1"/>
      <c r="R194" s="1"/>
      <c r="S194" s="1"/>
      <c r="T194" s="1"/>
      <c r="U194" s="1"/>
      <c r="V194" s="1"/>
      <c r="W194" s="1"/>
      <c r="X194" s="1"/>
    </row>
    <row r="195" ht="15.75" hidden="1" customHeight="1">
      <c r="A195" s="1"/>
      <c r="B195" s="1"/>
      <c r="C195" s="1"/>
      <c r="D195" s="1"/>
      <c r="E195" s="1"/>
      <c r="F195" s="1"/>
      <c r="G195" s="1"/>
      <c r="H195" s="1"/>
      <c r="I195" s="1"/>
      <c r="J195" s="1"/>
      <c r="K195" s="1"/>
      <c r="L195" s="1"/>
      <c r="M195" s="1"/>
      <c r="N195" s="1"/>
      <c r="O195" s="1"/>
      <c r="P195" s="1"/>
      <c r="Q195" s="1"/>
      <c r="R195" s="1"/>
      <c r="S195" s="1"/>
      <c r="T195" s="1"/>
      <c r="U195" s="1"/>
      <c r="V195" s="1"/>
      <c r="W195" s="1"/>
      <c r="X195" s="1"/>
    </row>
    <row r="196" ht="15.75" hidden="1" customHeight="1">
      <c r="A196" s="1"/>
      <c r="B196" s="1"/>
      <c r="C196" s="1"/>
      <c r="D196" s="1"/>
      <c r="E196" s="1"/>
      <c r="F196" s="1"/>
      <c r="G196" s="1"/>
      <c r="H196" s="1"/>
      <c r="I196" s="1"/>
      <c r="J196" s="1"/>
      <c r="K196" s="1"/>
      <c r="L196" s="1"/>
      <c r="M196" s="1"/>
      <c r="N196" s="1"/>
      <c r="O196" s="1"/>
      <c r="P196" s="1"/>
      <c r="Q196" s="1"/>
      <c r="R196" s="1"/>
      <c r="S196" s="1"/>
      <c r="T196" s="1"/>
      <c r="U196" s="1"/>
      <c r="V196" s="1"/>
      <c r="W196" s="1"/>
      <c r="X196" s="1"/>
    </row>
    <row r="197" ht="15.75" hidden="1" customHeight="1">
      <c r="A197" s="1"/>
      <c r="B197" s="1"/>
      <c r="C197" s="1"/>
      <c r="D197" s="1"/>
      <c r="E197" s="1"/>
      <c r="F197" s="1"/>
      <c r="G197" s="1"/>
      <c r="H197" s="1"/>
      <c r="I197" s="1"/>
      <c r="J197" s="1"/>
      <c r="K197" s="1"/>
      <c r="L197" s="1"/>
      <c r="M197" s="1"/>
      <c r="N197" s="1"/>
      <c r="O197" s="1"/>
      <c r="P197" s="1"/>
      <c r="Q197" s="1"/>
      <c r="R197" s="1"/>
      <c r="S197" s="1"/>
      <c r="T197" s="1"/>
      <c r="U197" s="1"/>
      <c r="V197" s="1"/>
      <c r="W197" s="1"/>
      <c r="X197" s="1"/>
    </row>
    <row r="198" ht="15.75" hidden="1" customHeight="1">
      <c r="A198" s="1"/>
      <c r="B198" s="1"/>
      <c r="C198" s="1"/>
      <c r="D198" s="1"/>
      <c r="E198" s="1"/>
      <c r="F198" s="1"/>
      <c r="G198" s="1"/>
      <c r="H198" s="1"/>
      <c r="I198" s="1"/>
      <c r="J198" s="1"/>
      <c r="K198" s="1"/>
      <c r="L198" s="1"/>
      <c r="M198" s="1"/>
      <c r="N198" s="1"/>
      <c r="O198" s="1"/>
      <c r="P198" s="1"/>
      <c r="Q198" s="1"/>
      <c r="R198" s="1"/>
      <c r="S198" s="1"/>
      <c r="T198" s="1"/>
      <c r="U198" s="1"/>
      <c r="V198" s="1"/>
      <c r="W198" s="1"/>
      <c r="X198" s="1"/>
    </row>
    <row r="199" ht="15.75" hidden="1" customHeight="1">
      <c r="A199" s="1"/>
      <c r="B199" s="1"/>
      <c r="C199" s="1"/>
      <c r="D199" s="1"/>
      <c r="E199" s="1"/>
      <c r="F199" s="1"/>
      <c r="G199" s="1"/>
      <c r="H199" s="1"/>
      <c r="I199" s="1"/>
      <c r="J199" s="1"/>
      <c r="K199" s="1"/>
      <c r="L199" s="1"/>
      <c r="M199" s="1"/>
      <c r="N199" s="1"/>
      <c r="O199" s="1"/>
      <c r="P199" s="1"/>
      <c r="Q199" s="1"/>
      <c r="R199" s="1"/>
      <c r="S199" s="1"/>
      <c r="T199" s="1"/>
      <c r="U199" s="1"/>
      <c r="V199" s="1"/>
      <c r="W199" s="1"/>
      <c r="X199" s="1"/>
    </row>
    <row r="200" ht="15.75" hidden="1" customHeight="1">
      <c r="A200" s="1"/>
      <c r="B200" s="1"/>
      <c r="C200" s="1"/>
      <c r="D200" s="1"/>
      <c r="E200" s="1"/>
      <c r="F200" s="1"/>
      <c r="G200" s="1"/>
      <c r="H200" s="1"/>
      <c r="I200" s="1"/>
      <c r="J200" s="1"/>
      <c r="K200" s="1"/>
      <c r="L200" s="1"/>
      <c r="M200" s="1"/>
      <c r="N200" s="1"/>
      <c r="O200" s="1"/>
      <c r="P200" s="1"/>
      <c r="Q200" s="1"/>
      <c r="R200" s="1"/>
      <c r="S200" s="1"/>
      <c r="T200" s="1"/>
      <c r="U200" s="1"/>
      <c r="V200" s="1"/>
      <c r="W200" s="1"/>
      <c r="X200" s="1"/>
    </row>
    <row r="201" ht="15.75" hidden="1" customHeight="1">
      <c r="A201" s="1"/>
      <c r="B201" s="1"/>
      <c r="C201" s="1"/>
      <c r="D201" s="1"/>
      <c r="E201" s="1"/>
      <c r="F201" s="1"/>
      <c r="G201" s="1"/>
      <c r="H201" s="1"/>
      <c r="I201" s="1"/>
      <c r="J201" s="1"/>
      <c r="K201" s="1"/>
      <c r="L201" s="1"/>
      <c r="M201" s="1"/>
      <c r="N201" s="1"/>
      <c r="O201" s="1"/>
      <c r="P201" s="1"/>
      <c r="Q201" s="1"/>
      <c r="R201" s="1"/>
      <c r="S201" s="1"/>
      <c r="T201" s="1"/>
      <c r="U201" s="1"/>
      <c r="V201" s="1"/>
      <c r="W201" s="1"/>
      <c r="X201" s="1"/>
    </row>
    <row r="202" ht="15.75" hidden="1" customHeight="1">
      <c r="A202" s="1"/>
      <c r="B202" s="1"/>
      <c r="C202" s="1"/>
      <c r="D202" s="1"/>
      <c r="E202" s="1"/>
      <c r="F202" s="1"/>
      <c r="G202" s="1"/>
      <c r="H202" s="1"/>
      <c r="I202" s="1"/>
      <c r="J202" s="1"/>
      <c r="K202" s="1"/>
      <c r="L202" s="1"/>
      <c r="M202" s="1"/>
      <c r="N202" s="1"/>
      <c r="O202" s="1"/>
      <c r="P202" s="1"/>
      <c r="Q202" s="1"/>
      <c r="R202" s="1"/>
      <c r="S202" s="1"/>
      <c r="T202" s="1"/>
      <c r="U202" s="1"/>
      <c r="V202" s="1"/>
      <c r="W202" s="1"/>
      <c r="X202" s="1"/>
    </row>
    <row r="203" ht="15.75" hidden="1" customHeight="1">
      <c r="A203" s="1"/>
      <c r="B203" s="1"/>
      <c r="C203" s="1"/>
      <c r="D203" s="1"/>
      <c r="E203" s="1"/>
      <c r="F203" s="1"/>
      <c r="G203" s="1"/>
      <c r="H203" s="1"/>
      <c r="I203" s="1"/>
      <c r="J203" s="1"/>
      <c r="K203" s="1"/>
      <c r="L203" s="1"/>
      <c r="M203" s="1"/>
      <c r="N203" s="1"/>
      <c r="O203" s="1"/>
      <c r="P203" s="1"/>
      <c r="Q203" s="1"/>
      <c r="R203" s="1"/>
      <c r="S203" s="1"/>
      <c r="T203" s="1"/>
      <c r="U203" s="1"/>
      <c r="V203" s="1"/>
      <c r="W203" s="1"/>
      <c r="X203" s="1"/>
    </row>
    <row r="204" ht="15.75" hidden="1" customHeight="1">
      <c r="A204" s="1"/>
      <c r="B204" s="1"/>
      <c r="C204" s="1"/>
      <c r="D204" s="1"/>
      <c r="E204" s="1"/>
      <c r="F204" s="1"/>
      <c r="G204" s="1"/>
      <c r="H204" s="1"/>
      <c r="I204" s="1"/>
      <c r="J204" s="1"/>
      <c r="K204" s="1"/>
      <c r="L204" s="1"/>
      <c r="M204" s="1"/>
      <c r="N204" s="1"/>
      <c r="O204" s="1"/>
      <c r="P204" s="1"/>
      <c r="Q204" s="1"/>
      <c r="R204" s="1"/>
      <c r="S204" s="1"/>
      <c r="T204" s="1"/>
      <c r="U204" s="1"/>
      <c r="V204" s="1"/>
      <c r="W204" s="1"/>
      <c r="X204" s="1"/>
    </row>
    <row r="205" ht="15.75" hidden="1" customHeight="1">
      <c r="A205" s="1"/>
      <c r="B205" s="1"/>
      <c r="C205" s="1"/>
      <c r="D205" s="1"/>
      <c r="E205" s="1"/>
      <c r="F205" s="1"/>
      <c r="G205" s="1"/>
      <c r="H205" s="1"/>
      <c r="I205" s="1"/>
      <c r="J205" s="1"/>
      <c r="K205" s="1"/>
      <c r="L205" s="1"/>
      <c r="M205" s="1"/>
      <c r="N205" s="1"/>
      <c r="O205" s="1"/>
      <c r="P205" s="1"/>
      <c r="Q205" s="1"/>
      <c r="R205" s="1"/>
      <c r="S205" s="1"/>
      <c r="T205" s="1"/>
      <c r="U205" s="1"/>
      <c r="V205" s="1"/>
      <c r="W205" s="1"/>
      <c r="X205" s="1"/>
    </row>
    <row r="206" ht="15.75" hidden="1" customHeight="1">
      <c r="A206" s="1"/>
      <c r="B206" s="1"/>
      <c r="C206" s="1"/>
      <c r="D206" s="1"/>
      <c r="E206" s="1"/>
      <c r="F206" s="1"/>
      <c r="G206" s="1"/>
      <c r="H206" s="1"/>
      <c r="I206" s="1"/>
      <c r="J206" s="1"/>
      <c r="K206" s="1"/>
      <c r="L206" s="1"/>
      <c r="M206" s="1"/>
      <c r="N206" s="1"/>
      <c r="O206" s="1"/>
      <c r="P206" s="1"/>
      <c r="Q206" s="1"/>
      <c r="R206" s="1"/>
      <c r="S206" s="1"/>
      <c r="T206" s="1"/>
      <c r="U206" s="1"/>
      <c r="V206" s="1"/>
      <c r="W206" s="1"/>
      <c r="X206" s="1"/>
    </row>
    <row r="207" ht="15.75" hidden="1" customHeight="1">
      <c r="A207" s="1"/>
      <c r="B207" s="1"/>
      <c r="C207" s="1"/>
      <c r="D207" s="1"/>
      <c r="E207" s="1"/>
      <c r="F207" s="1"/>
      <c r="G207" s="1"/>
      <c r="H207" s="1"/>
      <c r="I207" s="1"/>
      <c r="J207" s="1"/>
      <c r="K207" s="1"/>
      <c r="L207" s="1"/>
      <c r="M207" s="1"/>
      <c r="N207" s="1"/>
      <c r="O207" s="1"/>
      <c r="P207" s="1"/>
      <c r="Q207" s="1"/>
      <c r="R207" s="1"/>
      <c r="S207" s="1"/>
      <c r="T207" s="1"/>
      <c r="U207" s="1"/>
      <c r="V207" s="1"/>
      <c r="W207" s="1"/>
      <c r="X207" s="1"/>
    </row>
    <row r="208" ht="15.75" hidden="1" customHeight="1">
      <c r="A208" s="1"/>
      <c r="B208" s="1"/>
      <c r="C208" s="1"/>
      <c r="D208" s="1"/>
      <c r="E208" s="1"/>
      <c r="F208" s="1"/>
      <c r="G208" s="1"/>
      <c r="H208" s="1"/>
      <c r="I208" s="1"/>
      <c r="J208" s="1"/>
      <c r="K208" s="1"/>
      <c r="L208" s="1"/>
      <c r="M208" s="1"/>
      <c r="N208" s="1"/>
      <c r="O208" s="1"/>
      <c r="P208" s="1"/>
      <c r="Q208" s="1"/>
      <c r="R208" s="1"/>
      <c r="S208" s="1"/>
      <c r="T208" s="1"/>
      <c r="U208" s="1"/>
      <c r="V208" s="1"/>
      <c r="W208" s="1"/>
      <c r="X208" s="1"/>
    </row>
    <row r="209" ht="15.75" hidden="1" customHeight="1">
      <c r="A209" s="1"/>
      <c r="B209" s="1"/>
      <c r="C209" s="1"/>
      <c r="D209" s="1"/>
      <c r="E209" s="1"/>
      <c r="F209" s="1"/>
      <c r="G209" s="1"/>
      <c r="H209" s="1"/>
      <c r="I209" s="1"/>
      <c r="J209" s="1"/>
      <c r="K209" s="1"/>
      <c r="L209" s="1"/>
      <c r="M209" s="1"/>
      <c r="N209" s="1"/>
      <c r="O209" s="1"/>
      <c r="P209" s="1"/>
      <c r="Q209" s="1"/>
      <c r="R209" s="1"/>
      <c r="S209" s="1"/>
      <c r="T209" s="1"/>
      <c r="U209" s="1"/>
      <c r="V209" s="1"/>
      <c r="W209" s="1"/>
      <c r="X209" s="1"/>
    </row>
    <row r="210" ht="15.75" hidden="1" customHeight="1">
      <c r="A210" s="1"/>
      <c r="B210" s="1"/>
      <c r="C210" s="1"/>
      <c r="D210" s="1"/>
      <c r="E210" s="1"/>
      <c r="F210" s="1"/>
      <c r="G210" s="1"/>
      <c r="H210" s="1"/>
      <c r="I210" s="1"/>
      <c r="J210" s="1"/>
      <c r="K210" s="1"/>
      <c r="L210" s="1"/>
      <c r="M210" s="1"/>
      <c r="N210" s="1"/>
      <c r="O210" s="1"/>
      <c r="P210" s="1"/>
      <c r="Q210" s="1"/>
      <c r="R210" s="1"/>
      <c r="S210" s="1"/>
      <c r="T210" s="1"/>
      <c r="U210" s="1"/>
      <c r="V210" s="1"/>
      <c r="W210" s="1"/>
      <c r="X210" s="1"/>
    </row>
    <row r="211" ht="15.75" hidden="1" customHeight="1">
      <c r="A211" s="1"/>
      <c r="B211" s="1"/>
      <c r="C211" s="1"/>
      <c r="D211" s="1"/>
      <c r="E211" s="1"/>
      <c r="F211" s="1"/>
      <c r="G211" s="1"/>
      <c r="H211" s="1"/>
      <c r="I211" s="1"/>
      <c r="J211" s="1"/>
      <c r="K211" s="1"/>
      <c r="L211" s="1"/>
      <c r="M211" s="1"/>
      <c r="N211" s="1"/>
      <c r="O211" s="1"/>
      <c r="P211" s="1"/>
      <c r="Q211" s="1"/>
      <c r="R211" s="1"/>
      <c r="S211" s="1"/>
      <c r="T211" s="1"/>
      <c r="U211" s="1"/>
      <c r="V211" s="1"/>
      <c r="W211" s="1"/>
      <c r="X211" s="1"/>
    </row>
    <row r="212" ht="15.75" hidden="1" customHeight="1">
      <c r="A212" s="1"/>
      <c r="B212" s="1"/>
      <c r="C212" s="1"/>
      <c r="D212" s="1"/>
      <c r="E212" s="1"/>
      <c r="F212" s="1"/>
      <c r="G212" s="1"/>
      <c r="H212" s="1"/>
      <c r="I212" s="1"/>
      <c r="J212" s="1"/>
      <c r="K212" s="1"/>
      <c r="L212" s="1"/>
      <c r="M212" s="1"/>
      <c r="N212" s="1"/>
      <c r="O212" s="1"/>
      <c r="P212" s="1"/>
      <c r="Q212" s="1"/>
      <c r="R212" s="1"/>
      <c r="S212" s="1"/>
      <c r="T212" s="1"/>
      <c r="U212" s="1"/>
      <c r="V212" s="1"/>
      <c r="W212" s="1"/>
      <c r="X212" s="1"/>
    </row>
    <row r="213" ht="15.75" hidden="1" customHeight="1">
      <c r="A213" s="1"/>
      <c r="B213" s="1"/>
      <c r="C213" s="1"/>
      <c r="D213" s="1"/>
      <c r="E213" s="1"/>
      <c r="F213" s="1"/>
      <c r="G213" s="1"/>
      <c r="H213" s="1"/>
      <c r="I213" s="1"/>
      <c r="J213" s="1"/>
      <c r="K213" s="1"/>
      <c r="L213" s="1"/>
      <c r="M213" s="1"/>
      <c r="N213" s="1"/>
      <c r="O213" s="1"/>
      <c r="P213" s="1"/>
      <c r="Q213" s="1"/>
      <c r="R213" s="1"/>
      <c r="S213" s="1"/>
      <c r="T213" s="1"/>
      <c r="U213" s="1"/>
      <c r="V213" s="1"/>
      <c r="W213" s="1"/>
      <c r="X213" s="1"/>
    </row>
    <row r="214" ht="15.75" hidden="1" customHeight="1">
      <c r="A214" s="1"/>
      <c r="B214" s="1"/>
      <c r="C214" s="1"/>
      <c r="D214" s="1"/>
      <c r="E214" s="1"/>
      <c r="F214" s="1"/>
      <c r="G214" s="1"/>
      <c r="H214" s="1"/>
      <c r="I214" s="1"/>
      <c r="J214" s="1"/>
      <c r="K214" s="1"/>
      <c r="L214" s="1"/>
      <c r="M214" s="1"/>
      <c r="N214" s="1"/>
      <c r="O214" s="1"/>
      <c r="P214" s="1"/>
      <c r="Q214" s="1"/>
      <c r="R214" s="1"/>
      <c r="S214" s="1"/>
      <c r="T214" s="1"/>
      <c r="U214" s="1"/>
      <c r="V214" s="1"/>
      <c r="W214" s="1"/>
      <c r="X214" s="1"/>
    </row>
    <row r="215" ht="15.75" hidden="1" customHeight="1">
      <c r="A215" s="1"/>
      <c r="B215" s="1"/>
      <c r="C215" s="1"/>
      <c r="D215" s="1"/>
      <c r="E215" s="1"/>
      <c r="F215" s="1"/>
      <c r="G215" s="1"/>
      <c r="H215" s="1"/>
      <c r="I215" s="1"/>
      <c r="J215" s="1"/>
      <c r="K215" s="1"/>
      <c r="L215" s="1"/>
      <c r="M215" s="1"/>
      <c r="N215" s="1"/>
      <c r="O215" s="1"/>
      <c r="P215" s="1"/>
      <c r="Q215" s="1"/>
      <c r="R215" s="1"/>
      <c r="S215" s="1"/>
      <c r="T215" s="1"/>
      <c r="U215" s="1"/>
      <c r="V215" s="1"/>
      <c r="W215" s="1"/>
      <c r="X215" s="1"/>
    </row>
    <row r="216" ht="15.75" hidden="1" customHeight="1">
      <c r="A216" s="1"/>
      <c r="B216" s="1"/>
      <c r="C216" s="1"/>
      <c r="D216" s="1"/>
      <c r="E216" s="1"/>
      <c r="F216" s="1"/>
      <c r="G216" s="1"/>
      <c r="H216" s="1"/>
      <c r="I216" s="1"/>
      <c r="J216" s="1"/>
      <c r="K216" s="1"/>
      <c r="L216" s="1"/>
      <c r="M216" s="1"/>
      <c r="N216" s="1"/>
      <c r="O216" s="1"/>
      <c r="P216" s="1"/>
      <c r="Q216" s="1"/>
      <c r="R216" s="1"/>
      <c r="S216" s="1"/>
      <c r="T216" s="1"/>
      <c r="U216" s="1"/>
      <c r="V216" s="1"/>
      <c r="W216" s="1"/>
      <c r="X216" s="1"/>
    </row>
    <row r="217" ht="15.75" hidden="1" customHeight="1">
      <c r="A217" s="1"/>
      <c r="B217" s="1"/>
      <c r="C217" s="1"/>
      <c r="D217" s="1"/>
      <c r="E217" s="1"/>
      <c r="F217" s="1"/>
      <c r="G217" s="1"/>
      <c r="H217" s="1"/>
      <c r="I217" s="1"/>
      <c r="J217" s="1"/>
      <c r="K217" s="1"/>
      <c r="L217" s="1"/>
      <c r="M217" s="1"/>
      <c r="N217" s="1"/>
      <c r="O217" s="1"/>
      <c r="P217" s="1"/>
      <c r="Q217" s="1"/>
      <c r="R217" s="1"/>
      <c r="S217" s="1"/>
      <c r="T217" s="1"/>
      <c r="U217" s="1"/>
      <c r="V217" s="1"/>
      <c r="W217" s="1"/>
      <c r="X217" s="1"/>
    </row>
    <row r="218" ht="15.75" hidden="1" customHeight="1">
      <c r="A218" s="1"/>
      <c r="B218" s="1"/>
      <c r="C218" s="1"/>
      <c r="D218" s="1"/>
      <c r="E218" s="1"/>
      <c r="F218" s="1"/>
      <c r="G218" s="1"/>
      <c r="H218" s="1"/>
      <c r="I218" s="1"/>
      <c r="J218" s="1"/>
      <c r="K218" s="1"/>
      <c r="L218" s="1"/>
      <c r="M218" s="1"/>
      <c r="N218" s="1"/>
      <c r="O218" s="1"/>
      <c r="P218" s="1"/>
      <c r="Q218" s="1"/>
      <c r="R218" s="1"/>
      <c r="S218" s="1"/>
      <c r="T218" s="1"/>
      <c r="U218" s="1"/>
      <c r="V218" s="1"/>
      <c r="W218" s="1"/>
      <c r="X218" s="1"/>
    </row>
    <row r="219" ht="15.75" hidden="1" customHeight="1">
      <c r="A219" s="1"/>
      <c r="B219" s="1"/>
      <c r="C219" s="1"/>
      <c r="D219" s="1"/>
      <c r="E219" s="1"/>
      <c r="F219" s="1"/>
      <c r="G219" s="1"/>
      <c r="H219" s="1"/>
      <c r="I219" s="1"/>
      <c r="J219" s="1"/>
      <c r="K219" s="1"/>
      <c r="L219" s="1"/>
      <c r="M219" s="1"/>
      <c r="N219" s="1"/>
      <c r="O219" s="1"/>
      <c r="P219" s="1"/>
      <c r="Q219" s="1"/>
      <c r="R219" s="1"/>
      <c r="S219" s="1"/>
      <c r="T219" s="1"/>
      <c r="U219" s="1"/>
      <c r="V219" s="1"/>
      <c r="W219" s="1"/>
      <c r="X219" s="1"/>
    </row>
    <row r="220" ht="15.75" hidden="1" customHeight="1">
      <c r="A220" s="1"/>
      <c r="B220" s="1"/>
      <c r="C220" s="1"/>
      <c r="D220" s="1"/>
      <c r="E220" s="1"/>
      <c r="F220" s="1"/>
      <c r="G220" s="1"/>
      <c r="H220" s="1"/>
      <c r="I220" s="1"/>
      <c r="J220" s="1"/>
      <c r="K220" s="1"/>
      <c r="L220" s="1"/>
      <c r="M220" s="1"/>
      <c r="N220" s="1"/>
      <c r="O220" s="1"/>
      <c r="P220" s="1"/>
      <c r="Q220" s="1"/>
      <c r="R220" s="1"/>
      <c r="S220" s="1"/>
      <c r="T220" s="1"/>
      <c r="U220" s="1"/>
      <c r="V220" s="1"/>
      <c r="W220" s="1"/>
      <c r="X220" s="1"/>
    </row>
    <row r="221" ht="15.75" hidden="1" customHeight="1">
      <c r="A221" s="1"/>
      <c r="B221" s="1"/>
      <c r="C221" s="1"/>
      <c r="D221" s="1"/>
      <c r="E221" s="1"/>
      <c r="F221" s="1"/>
      <c r="G221" s="1"/>
      <c r="H221" s="1"/>
      <c r="I221" s="1"/>
      <c r="J221" s="1"/>
      <c r="K221" s="1"/>
      <c r="L221" s="1"/>
      <c r="M221" s="1"/>
      <c r="N221" s="1"/>
      <c r="O221" s="1"/>
      <c r="P221" s="1"/>
      <c r="Q221" s="1"/>
      <c r="R221" s="1"/>
      <c r="S221" s="1"/>
      <c r="T221" s="1"/>
      <c r="U221" s="1"/>
      <c r="V221" s="1"/>
      <c r="W221" s="1"/>
      <c r="X221" s="1"/>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57"/>
    <col customWidth="1" min="2" max="2" width="8.57"/>
    <col customWidth="1" min="3" max="3" width="20.71"/>
    <col customWidth="1" min="4" max="4" width="29.86"/>
    <col customWidth="1" min="5" max="5" width="90.29"/>
    <col customWidth="1" min="6" max="6" width="9.43"/>
    <col customWidth="1" min="7" max="7" width="74.71"/>
  </cols>
  <sheetData>
    <row r="1">
      <c r="A1" s="1"/>
      <c r="B1" s="12" t="s">
        <v>5</v>
      </c>
      <c r="C1" s="13"/>
      <c r="D1" s="14"/>
      <c r="E1" s="15"/>
      <c r="F1" s="1"/>
      <c r="G1" s="1"/>
      <c r="H1" s="1"/>
      <c r="I1" s="1"/>
      <c r="J1" s="1"/>
      <c r="K1" s="1"/>
      <c r="L1" s="1"/>
      <c r="M1" s="1"/>
      <c r="N1" s="1"/>
      <c r="O1" s="1"/>
      <c r="P1" s="1"/>
      <c r="Q1" s="1"/>
      <c r="R1" s="1"/>
      <c r="S1" s="1"/>
      <c r="T1" s="1"/>
      <c r="U1" s="1"/>
      <c r="V1" s="1"/>
      <c r="W1" s="1"/>
      <c r="X1" s="1"/>
      <c r="Y1" s="1"/>
    </row>
    <row r="2">
      <c r="A2" s="1"/>
      <c r="B2" s="16"/>
      <c r="C2" s="17"/>
      <c r="D2" s="17"/>
      <c r="E2" s="16"/>
      <c r="F2" s="18"/>
      <c r="G2" s="1"/>
      <c r="H2" s="1"/>
      <c r="I2" s="1"/>
      <c r="J2" s="1"/>
      <c r="K2" s="1"/>
      <c r="L2" s="1"/>
      <c r="M2" s="1"/>
      <c r="N2" s="1"/>
      <c r="O2" s="1"/>
      <c r="P2" s="1"/>
      <c r="Q2" s="1"/>
      <c r="R2" s="1"/>
      <c r="S2" s="1"/>
      <c r="T2" s="1"/>
      <c r="U2" s="1"/>
      <c r="V2" s="1"/>
      <c r="W2" s="1"/>
      <c r="X2" s="1"/>
      <c r="Y2" s="1"/>
    </row>
    <row r="3" ht="51.0" customHeight="1">
      <c r="A3" s="1"/>
      <c r="B3" s="19"/>
      <c r="C3" s="20" t="s">
        <v>6</v>
      </c>
      <c r="D3" s="21" t="s">
        <v>7</v>
      </c>
      <c r="E3" s="22"/>
      <c r="F3" s="18"/>
      <c r="H3" s="1"/>
      <c r="I3" s="1"/>
      <c r="J3" s="1"/>
      <c r="K3" s="1"/>
      <c r="L3" s="1"/>
      <c r="M3" s="1"/>
      <c r="N3" s="1"/>
      <c r="O3" s="1"/>
      <c r="P3" s="1"/>
      <c r="Q3" s="1"/>
      <c r="R3" s="1"/>
      <c r="S3" s="1"/>
      <c r="T3" s="1"/>
      <c r="U3" s="1"/>
      <c r="V3" s="1"/>
      <c r="W3" s="1"/>
      <c r="X3" s="1"/>
      <c r="Y3" s="1"/>
    </row>
    <row r="4" ht="95.25" customHeight="1">
      <c r="A4" s="1"/>
      <c r="B4" s="18"/>
      <c r="C4" s="20" t="s">
        <v>8</v>
      </c>
      <c r="D4" s="23" t="s">
        <v>9</v>
      </c>
      <c r="E4" s="22"/>
      <c r="F4" s="18"/>
      <c r="G4" s="1"/>
      <c r="H4" s="1"/>
      <c r="I4" s="1"/>
      <c r="J4" s="1"/>
      <c r="K4" s="1"/>
      <c r="L4" s="1"/>
      <c r="M4" s="1"/>
      <c r="N4" s="1"/>
      <c r="O4" s="1"/>
      <c r="P4" s="1"/>
      <c r="Q4" s="1"/>
      <c r="R4" s="1"/>
      <c r="S4" s="1"/>
      <c r="T4" s="1"/>
      <c r="U4" s="1"/>
      <c r="V4" s="1"/>
      <c r="W4" s="1"/>
      <c r="X4" s="1"/>
      <c r="Y4" s="1"/>
    </row>
    <row r="5" ht="49.5" customHeight="1">
      <c r="A5" s="1"/>
      <c r="B5" s="18"/>
      <c r="C5" s="20" t="s">
        <v>10</v>
      </c>
      <c r="D5" s="21" t="s">
        <v>11</v>
      </c>
      <c r="E5" s="22"/>
      <c r="F5" s="18"/>
      <c r="G5" s="1"/>
      <c r="H5" s="1"/>
      <c r="I5" s="1"/>
      <c r="J5" s="1"/>
      <c r="K5" s="1"/>
      <c r="L5" s="1"/>
      <c r="M5" s="1"/>
      <c r="N5" s="1"/>
      <c r="O5" s="1"/>
      <c r="P5" s="1"/>
      <c r="Q5" s="1"/>
      <c r="R5" s="1"/>
      <c r="S5" s="1"/>
      <c r="T5" s="1"/>
      <c r="U5" s="1"/>
      <c r="V5" s="1"/>
      <c r="W5" s="1"/>
      <c r="X5" s="1"/>
      <c r="Y5" s="1"/>
    </row>
    <row r="6" ht="212.25" customHeight="1">
      <c r="A6" s="1"/>
      <c r="B6" s="18"/>
      <c r="C6" s="24" t="s">
        <v>12</v>
      </c>
      <c r="D6" s="23" t="s">
        <v>13</v>
      </c>
      <c r="E6" s="22"/>
      <c r="F6" s="18"/>
      <c r="G6" s="1"/>
      <c r="H6" s="1"/>
      <c r="I6" s="1"/>
      <c r="J6" s="1"/>
      <c r="K6" s="1"/>
      <c r="L6" s="1"/>
      <c r="M6" s="1"/>
      <c r="N6" s="1"/>
      <c r="O6" s="1"/>
      <c r="P6" s="1"/>
      <c r="Q6" s="1"/>
      <c r="R6" s="1"/>
      <c r="S6" s="1"/>
      <c r="T6" s="1"/>
      <c r="U6" s="1"/>
      <c r="V6" s="1"/>
      <c r="W6" s="1"/>
      <c r="X6" s="1"/>
      <c r="Y6" s="1"/>
    </row>
    <row r="7" ht="234.0" customHeight="1">
      <c r="A7" s="1"/>
      <c r="B7" s="18"/>
      <c r="C7" s="24" t="s">
        <v>14</v>
      </c>
      <c r="D7" s="20" t="s">
        <v>15</v>
      </c>
      <c r="E7" s="25" t="s">
        <v>16</v>
      </c>
      <c r="F7" s="18"/>
      <c r="G7" s="1"/>
      <c r="H7" s="1"/>
      <c r="I7" s="1"/>
      <c r="J7" s="1"/>
      <c r="K7" s="1"/>
      <c r="L7" s="1"/>
      <c r="M7" s="1"/>
      <c r="N7" s="1"/>
      <c r="O7" s="1"/>
      <c r="P7" s="1"/>
      <c r="Q7" s="1"/>
      <c r="R7" s="1"/>
      <c r="S7" s="1"/>
      <c r="T7" s="1"/>
      <c r="U7" s="1"/>
      <c r="V7" s="1"/>
      <c r="W7" s="1"/>
      <c r="X7" s="1"/>
      <c r="Y7" s="1"/>
    </row>
    <row r="8">
      <c r="A8" s="1"/>
      <c r="B8" s="18"/>
      <c r="C8" s="26"/>
      <c r="D8" s="20" t="s">
        <v>17</v>
      </c>
      <c r="E8" s="25" t="s">
        <v>18</v>
      </c>
      <c r="F8" s="18"/>
      <c r="G8" s="1"/>
      <c r="H8" s="1"/>
      <c r="I8" s="1"/>
      <c r="J8" s="1"/>
      <c r="K8" s="1"/>
      <c r="L8" s="1"/>
      <c r="M8" s="1"/>
      <c r="N8" s="1"/>
      <c r="O8" s="1"/>
      <c r="P8" s="1"/>
      <c r="Q8" s="1"/>
      <c r="R8" s="1"/>
      <c r="S8" s="1"/>
      <c r="T8" s="1"/>
      <c r="U8" s="1"/>
      <c r="V8" s="1"/>
      <c r="W8" s="1"/>
      <c r="X8" s="1"/>
      <c r="Y8" s="1"/>
    </row>
    <row r="9">
      <c r="A9" s="1"/>
      <c r="B9" s="18"/>
      <c r="C9" s="26"/>
      <c r="D9" s="20" t="s">
        <v>19</v>
      </c>
      <c r="E9" s="27" t="s">
        <v>20</v>
      </c>
      <c r="F9" s="18"/>
      <c r="G9" s="1"/>
      <c r="H9" s="1"/>
      <c r="I9" s="1"/>
      <c r="J9" s="1"/>
      <c r="K9" s="1"/>
      <c r="L9" s="1"/>
      <c r="M9" s="1"/>
      <c r="N9" s="1"/>
      <c r="O9" s="1"/>
      <c r="P9" s="1"/>
      <c r="Q9" s="1"/>
      <c r="R9" s="1"/>
      <c r="S9" s="1"/>
      <c r="T9" s="1"/>
      <c r="U9" s="1"/>
      <c r="V9" s="1"/>
      <c r="W9" s="1"/>
      <c r="X9" s="1"/>
      <c r="Y9" s="1"/>
    </row>
    <row r="10" ht="81.75" customHeight="1">
      <c r="A10" s="1"/>
      <c r="B10" s="18"/>
      <c r="C10" s="28"/>
      <c r="D10" s="29" t="s">
        <v>21</v>
      </c>
      <c r="E10" s="25" t="s">
        <v>22</v>
      </c>
      <c r="F10" s="18"/>
      <c r="G10" s="1"/>
      <c r="H10" s="1"/>
      <c r="I10" s="1"/>
      <c r="J10" s="1"/>
      <c r="K10" s="1"/>
      <c r="L10" s="1"/>
      <c r="M10" s="1"/>
      <c r="N10" s="1"/>
      <c r="O10" s="1"/>
      <c r="P10" s="1"/>
      <c r="Q10" s="1"/>
      <c r="R10" s="1"/>
      <c r="S10" s="1"/>
      <c r="T10" s="1"/>
      <c r="U10" s="1"/>
      <c r="V10" s="1"/>
      <c r="W10" s="1"/>
      <c r="X10" s="1"/>
      <c r="Y10" s="1"/>
    </row>
    <row r="11">
      <c r="A11" s="1"/>
      <c r="B11" s="16"/>
      <c r="C11" s="16"/>
      <c r="D11" s="16"/>
      <c r="E11" s="16"/>
      <c r="F11" s="18"/>
      <c r="G11" s="1"/>
      <c r="H11" s="1"/>
      <c r="I11" s="1"/>
      <c r="J11" s="1"/>
      <c r="K11" s="1"/>
      <c r="L11" s="1"/>
      <c r="M11" s="1"/>
      <c r="N11" s="1"/>
      <c r="O11" s="1"/>
      <c r="P11" s="1"/>
      <c r="Q11" s="1"/>
      <c r="R11" s="1"/>
      <c r="S11" s="1"/>
      <c r="T11" s="1"/>
      <c r="U11" s="1"/>
      <c r="V11" s="1"/>
      <c r="W11" s="1"/>
      <c r="X11" s="1"/>
      <c r="Y11" s="1"/>
    </row>
    <row r="12">
      <c r="A12" s="1"/>
      <c r="B12" s="16"/>
      <c r="C12" s="16"/>
      <c r="D12" s="16"/>
      <c r="E12" s="16"/>
      <c r="F12" s="18"/>
      <c r="G12" s="1"/>
      <c r="H12" s="1"/>
      <c r="I12" s="1"/>
      <c r="J12" s="1"/>
      <c r="K12" s="1"/>
      <c r="L12" s="1"/>
      <c r="M12" s="1"/>
      <c r="N12" s="1"/>
      <c r="O12" s="1"/>
      <c r="P12" s="1"/>
      <c r="Q12" s="1"/>
      <c r="R12" s="1"/>
      <c r="S12" s="1"/>
      <c r="T12" s="1"/>
      <c r="U12" s="1"/>
      <c r="V12" s="1"/>
      <c r="W12" s="1"/>
      <c r="X12" s="1"/>
      <c r="Y12" s="1"/>
    </row>
    <row r="13">
      <c r="A13" s="1"/>
      <c r="B13" s="1"/>
      <c r="C13" s="1"/>
      <c r="D13" s="1"/>
      <c r="E13" s="1"/>
      <c r="F13" s="1"/>
      <c r="G13" s="1"/>
      <c r="H13" s="1"/>
      <c r="I13" s="1"/>
      <c r="J13" s="1"/>
      <c r="K13" s="1"/>
      <c r="L13" s="1"/>
      <c r="M13" s="1"/>
      <c r="N13" s="1"/>
      <c r="O13" s="1"/>
      <c r="P13" s="1"/>
      <c r="Q13" s="1"/>
      <c r="R13" s="1"/>
      <c r="S13" s="1"/>
      <c r="T13" s="1"/>
      <c r="U13" s="1"/>
      <c r="V13" s="1"/>
      <c r="W13" s="1"/>
      <c r="X13" s="1"/>
      <c r="Y13" s="1"/>
    </row>
    <row r="14">
      <c r="A14" s="1"/>
      <c r="B14" s="1"/>
      <c r="C14" s="1"/>
      <c r="D14" s="1"/>
      <c r="E14" s="1"/>
      <c r="F14" s="1"/>
      <c r="G14" s="1"/>
      <c r="H14" s="1"/>
      <c r="I14" s="1"/>
      <c r="J14" s="1"/>
      <c r="K14" s="1"/>
      <c r="L14" s="1"/>
      <c r="M14" s="1"/>
      <c r="N14" s="1"/>
      <c r="O14" s="1"/>
      <c r="P14" s="1"/>
      <c r="Q14" s="1"/>
      <c r="R14" s="1"/>
      <c r="S14" s="1"/>
      <c r="T14" s="1"/>
      <c r="U14" s="1"/>
      <c r="V14" s="1"/>
      <c r="W14" s="1"/>
      <c r="X14" s="1"/>
      <c r="Y14" s="1"/>
    </row>
    <row r="15">
      <c r="A15" s="1"/>
      <c r="B15" s="1"/>
      <c r="C15" s="1"/>
      <c r="D15" s="1"/>
      <c r="E15" s="1"/>
      <c r="F15" s="1"/>
      <c r="G15" s="1"/>
      <c r="H15" s="1"/>
      <c r="I15" s="1"/>
      <c r="J15" s="1"/>
      <c r="K15" s="1"/>
      <c r="L15" s="1"/>
      <c r="M15" s="1"/>
      <c r="N15" s="1"/>
      <c r="O15" s="1"/>
      <c r="P15" s="1"/>
      <c r="Q15" s="1"/>
      <c r="R15" s="1"/>
      <c r="S15" s="1"/>
      <c r="T15" s="1"/>
      <c r="U15" s="1"/>
      <c r="V15" s="1"/>
      <c r="W15" s="1"/>
      <c r="X15" s="1"/>
      <c r="Y15" s="1"/>
    </row>
    <row r="16">
      <c r="A16" s="1"/>
      <c r="B16" s="1"/>
      <c r="C16" s="1"/>
      <c r="D16" s="1"/>
      <c r="E16" s="1"/>
      <c r="F16" s="1"/>
      <c r="G16" s="1"/>
      <c r="H16" s="1"/>
      <c r="I16" s="1"/>
      <c r="J16" s="1"/>
      <c r="K16" s="1"/>
      <c r="L16" s="1"/>
      <c r="M16" s="1"/>
      <c r="N16" s="1"/>
      <c r="O16" s="1"/>
      <c r="P16" s="1"/>
      <c r="Q16" s="1"/>
      <c r="R16" s="1"/>
      <c r="S16" s="1"/>
      <c r="T16" s="1"/>
      <c r="U16" s="1"/>
      <c r="V16" s="1"/>
      <c r="W16" s="1"/>
      <c r="X16" s="1"/>
      <c r="Y16" s="1"/>
    </row>
    <row r="17">
      <c r="A17" s="1"/>
      <c r="B17" s="1"/>
      <c r="C17" s="1"/>
      <c r="D17" s="1"/>
      <c r="E17" s="1"/>
      <c r="F17" s="1"/>
      <c r="G17" s="1"/>
      <c r="H17" s="1"/>
      <c r="I17" s="1"/>
      <c r="J17" s="1"/>
      <c r="K17" s="1"/>
      <c r="L17" s="1"/>
      <c r="M17" s="1"/>
      <c r="N17" s="1"/>
      <c r="O17" s="1"/>
      <c r="P17" s="1"/>
      <c r="Q17" s="1"/>
      <c r="R17" s="1"/>
      <c r="S17" s="1"/>
      <c r="T17" s="1"/>
      <c r="U17" s="1"/>
      <c r="V17" s="1"/>
      <c r="W17" s="1"/>
      <c r="X17" s="1"/>
      <c r="Y17" s="1"/>
    </row>
    <row r="18">
      <c r="A18" s="1"/>
      <c r="B18" s="1"/>
      <c r="C18" s="1"/>
      <c r="D18" s="1"/>
      <c r="E18" s="1"/>
      <c r="F18" s="1"/>
      <c r="G18" s="1"/>
      <c r="H18" s="1"/>
      <c r="I18" s="1"/>
      <c r="J18" s="1"/>
      <c r="K18" s="1"/>
      <c r="L18" s="1"/>
      <c r="M18" s="1"/>
      <c r="N18" s="1"/>
      <c r="O18" s="1"/>
      <c r="P18" s="1"/>
      <c r="Q18" s="1"/>
      <c r="R18" s="1"/>
      <c r="S18" s="1"/>
      <c r="T18" s="1"/>
      <c r="U18" s="1"/>
      <c r="V18" s="1"/>
      <c r="W18" s="1"/>
      <c r="X18" s="1"/>
      <c r="Y18" s="1"/>
    </row>
    <row r="19">
      <c r="A19" s="1"/>
      <c r="B19" s="1"/>
      <c r="C19" s="1"/>
      <c r="D19" s="1"/>
      <c r="E19" s="1"/>
      <c r="F19" s="1"/>
      <c r="G19" s="1"/>
      <c r="H19" s="1"/>
      <c r="I19" s="1"/>
      <c r="J19" s="1"/>
      <c r="K19" s="1"/>
      <c r="L19" s="1"/>
      <c r="M19" s="1"/>
      <c r="N19" s="1"/>
      <c r="O19" s="1"/>
      <c r="P19" s="1"/>
      <c r="Q19" s="1"/>
      <c r="R19" s="1"/>
      <c r="S19" s="1"/>
      <c r="T19" s="1"/>
      <c r="U19" s="1"/>
      <c r="V19" s="1"/>
      <c r="W19" s="1"/>
      <c r="X19" s="1"/>
      <c r="Y19" s="1"/>
    </row>
    <row r="20">
      <c r="A20" s="1"/>
      <c r="B20" s="1"/>
      <c r="C20" s="1"/>
      <c r="D20" s="1"/>
      <c r="E20" s="1"/>
      <c r="F20" s="1"/>
      <c r="G20" s="1"/>
      <c r="H20" s="1"/>
      <c r="I20" s="1"/>
      <c r="J20" s="1"/>
      <c r="K20" s="1"/>
      <c r="L20" s="1"/>
      <c r="M20" s="1"/>
      <c r="N20" s="1"/>
      <c r="O20" s="1"/>
      <c r="P20" s="1"/>
      <c r="Q20" s="1"/>
      <c r="R20" s="1"/>
      <c r="S20" s="1"/>
      <c r="T20" s="1"/>
      <c r="U20" s="1"/>
      <c r="V20" s="1"/>
      <c r="W20" s="1"/>
      <c r="X20" s="1"/>
      <c r="Y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D1"/>
    <mergeCell ref="D3:E3"/>
    <mergeCell ref="D4:E4"/>
    <mergeCell ref="D5:E5"/>
    <mergeCell ref="D6:E6"/>
    <mergeCell ref="C7:C1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1"/>
    <col customWidth="1" min="2" max="2" width="14.29"/>
    <col customWidth="1" min="3" max="3" width="45.14"/>
    <col customWidth="1" min="4" max="4" width="2.29"/>
    <col customWidth="1" min="5" max="5" width="19.0"/>
    <col customWidth="1" min="6" max="6" width="14.43"/>
    <col customWidth="1" min="9" max="9" width="41.0"/>
    <col customWidth="1" min="10" max="10" width="25.0"/>
    <col customWidth="1" hidden="1" min="11" max="23" width="14.43"/>
  </cols>
  <sheetData>
    <row r="1">
      <c r="A1" s="30"/>
      <c r="B1" s="30"/>
      <c r="C1" s="30"/>
      <c r="D1" s="30"/>
      <c r="E1" s="30"/>
      <c r="F1" s="30"/>
      <c r="G1" s="30"/>
      <c r="H1" s="30"/>
      <c r="I1" s="30"/>
      <c r="J1" s="30"/>
      <c r="K1" s="30"/>
      <c r="L1" s="30"/>
      <c r="M1" s="30"/>
      <c r="N1" s="30"/>
      <c r="O1" s="30"/>
      <c r="P1" s="30"/>
      <c r="Q1" s="30"/>
      <c r="R1" s="30"/>
      <c r="S1" s="30"/>
      <c r="T1" s="30"/>
      <c r="U1" s="30"/>
      <c r="V1" s="30"/>
      <c r="W1" s="30"/>
    </row>
    <row r="2">
      <c r="A2" s="30"/>
      <c r="B2" s="31"/>
      <c r="C2" s="30"/>
      <c r="D2" s="30"/>
      <c r="E2" s="30"/>
      <c r="F2" s="30"/>
      <c r="G2" s="30"/>
      <c r="H2" s="30"/>
      <c r="I2" s="30"/>
      <c r="J2" s="30"/>
      <c r="K2" s="30"/>
      <c r="L2" s="30"/>
      <c r="M2" s="30"/>
      <c r="N2" s="30"/>
      <c r="O2" s="30"/>
      <c r="P2" s="30"/>
      <c r="Q2" s="30"/>
      <c r="R2" s="30"/>
      <c r="S2" s="30"/>
      <c r="T2" s="30"/>
      <c r="U2" s="30"/>
      <c r="V2" s="30"/>
      <c r="W2" s="30"/>
    </row>
    <row r="3" ht="28.5" customHeight="1">
      <c r="A3" s="30"/>
      <c r="B3" s="32" t="s">
        <v>23</v>
      </c>
      <c r="C3" s="30"/>
      <c r="D3" s="30"/>
      <c r="E3" s="30"/>
      <c r="F3" s="30"/>
      <c r="G3" s="30"/>
      <c r="H3" s="30"/>
      <c r="I3" s="30"/>
      <c r="J3" s="30"/>
      <c r="K3" s="30"/>
      <c r="L3" s="30"/>
      <c r="M3" s="30"/>
      <c r="N3" s="30"/>
      <c r="O3" s="30"/>
      <c r="P3" s="30"/>
      <c r="Q3" s="30"/>
      <c r="R3" s="30"/>
      <c r="S3" s="30"/>
      <c r="T3" s="30"/>
      <c r="U3" s="30"/>
      <c r="V3" s="30"/>
      <c r="W3" s="30"/>
    </row>
    <row r="4">
      <c r="A4" s="30"/>
      <c r="B4" s="33"/>
      <c r="C4" s="30"/>
      <c r="D4" s="30"/>
      <c r="E4" s="30"/>
      <c r="F4" s="30"/>
      <c r="G4" s="30"/>
      <c r="H4" s="30"/>
      <c r="I4" s="30"/>
      <c r="J4" s="30"/>
      <c r="K4" s="30"/>
      <c r="L4" s="30"/>
      <c r="M4" s="30"/>
      <c r="N4" s="30"/>
      <c r="O4" s="30"/>
      <c r="P4" s="30"/>
      <c r="Q4" s="30"/>
      <c r="R4" s="30"/>
      <c r="S4" s="30"/>
      <c r="T4" s="30"/>
      <c r="U4" s="30"/>
      <c r="V4" s="30"/>
      <c r="W4" s="30"/>
    </row>
    <row r="5" ht="21.75" customHeight="1">
      <c r="A5" s="30"/>
      <c r="B5" s="34" t="s">
        <v>24</v>
      </c>
      <c r="C5" s="35" t="s">
        <v>25</v>
      </c>
      <c r="D5" s="30"/>
      <c r="E5" s="30"/>
      <c r="F5" s="30"/>
      <c r="G5" s="30"/>
      <c r="H5" s="30"/>
      <c r="I5" s="30"/>
      <c r="J5" s="30"/>
      <c r="K5" s="30"/>
      <c r="L5" s="30"/>
      <c r="M5" s="30"/>
      <c r="N5" s="30"/>
      <c r="O5" s="30"/>
      <c r="P5" s="30"/>
      <c r="Q5" s="30"/>
      <c r="R5" s="30"/>
      <c r="S5" s="30"/>
      <c r="T5" s="30"/>
      <c r="U5" s="30"/>
      <c r="V5" s="30"/>
      <c r="W5" s="30"/>
    </row>
    <row r="6" ht="12.75" customHeight="1">
      <c r="A6" s="30"/>
      <c r="B6" s="34"/>
      <c r="C6" s="36" t="s">
        <v>26</v>
      </c>
      <c r="D6" s="30"/>
      <c r="E6" s="30"/>
      <c r="F6" s="30"/>
      <c r="G6" s="30"/>
      <c r="H6" s="30"/>
      <c r="I6" s="30"/>
      <c r="J6" s="30"/>
      <c r="K6" s="30"/>
      <c r="L6" s="30"/>
      <c r="M6" s="30"/>
      <c r="N6" s="30"/>
      <c r="O6" s="30"/>
      <c r="P6" s="30"/>
      <c r="Q6" s="30"/>
      <c r="R6" s="30"/>
      <c r="S6" s="30"/>
      <c r="T6" s="30"/>
      <c r="U6" s="30"/>
      <c r="V6" s="30"/>
      <c r="W6" s="30"/>
    </row>
    <row r="7" ht="12.75" customHeight="1">
      <c r="A7" s="30"/>
      <c r="B7" s="34"/>
      <c r="C7" s="36" t="s">
        <v>27</v>
      </c>
      <c r="D7" s="30"/>
      <c r="E7" s="30"/>
      <c r="F7" s="30"/>
      <c r="G7" s="30"/>
      <c r="H7" s="30"/>
      <c r="I7" s="30"/>
      <c r="J7" s="30"/>
      <c r="K7" s="30"/>
      <c r="L7" s="30"/>
      <c r="M7" s="30"/>
      <c r="N7" s="30"/>
      <c r="O7" s="30"/>
      <c r="P7" s="30"/>
      <c r="Q7" s="30"/>
      <c r="R7" s="30"/>
      <c r="S7" s="30"/>
      <c r="T7" s="30"/>
      <c r="U7" s="30"/>
      <c r="V7" s="30"/>
      <c r="W7" s="30"/>
    </row>
    <row r="8" ht="12.75" customHeight="1">
      <c r="A8" s="30"/>
      <c r="B8" s="34"/>
      <c r="C8" s="36" t="s">
        <v>28</v>
      </c>
      <c r="D8" s="30"/>
      <c r="E8" s="30"/>
      <c r="F8" s="30"/>
      <c r="G8" s="30"/>
      <c r="H8" s="30"/>
      <c r="I8" s="30"/>
      <c r="J8" s="30"/>
      <c r="K8" s="30"/>
      <c r="L8" s="30"/>
      <c r="M8" s="30"/>
      <c r="N8" s="30"/>
      <c r="O8" s="30"/>
      <c r="P8" s="30"/>
      <c r="Q8" s="30"/>
      <c r="R8" s="30"/>
      <c r="S8" s="30"/>
      <c r="T8" s="30"/>
      <c r="U8" s="30"/>
      <c r="V8" s="30"/>
      <c r="W8" s="30"/>
    </row>
    <row r="9" ht="21.75" customHeight="1">
      <c r="A9" s="30"/>
      <c r="B9" s="34" t="s">
        <v>29</v>
      </c>
      <c r="C9" s="35" t="s">
        <v>30</v>
      </c>
      <c r="D9" s="30"/>
      <c r="E9" s="30"/>
      <c r="F9" s="30"/>
      <c r="G9" s="30"/>
      <c r="H9" s="30"/>
      <c r="I9" s="30"/>
      <c r="J9" s="30"/>
      <c r="K9" s="30"/>
      <c r="L9" s="30"/>
      <c r="M9" s="30"/>
      <c r="N9" s="30"/>
      <c r="O9" s="30"/>
      <c r="P9" s="30"/>
      <c r="Q9" s="30"/>
      <c r="R9" s="30"/>
      <c r="S9" s="30"/>
      <c r="T9" s="30"/>
      <c r="U9" s="30"/>
      <c r="V9" s="30"/>
      <c r="W9" s="30"/>
    </row>
    <row r="10" ht="13.5" customHeight="1">
      <c r="A10" s="30"/>
      <c r="B10" s="34"/>
      <c r="C10" s="36" t="s">
        <v>31</v>
      </c>
      <c r="D10" s="30"/>
      <c r="E10" s="30"/>
      <c r="F10" s="30"/>
      <c r="G10" s="30"/>
      <c r="H10" s="30"/>
      <c r="I10" s="30"/>
      <c r="J10" s="30"/>
      <c r="K10" s="30"/>
      <c r="L10" s="30"/>
      <c r="M10" s="30"/>
      <c r="N10" s="30"/>
      <c r="O10" s="30"/>
      <c r="P10" s="30"/>
      <c r="Q10" s="30"/>
      <c r="R10" s="30"/>
      <c r="S10" s="30"/>
      <c r="T10" s="30"/>
      <c r="U10" s="30"/>
      <c r="V10" s="30"/>
      <c r="W10" s="30"/>
    </row>
    <row r="11" ht="13.5" customHeight="1">
      <c r="A11" s="30"/>
      <c r="B11" s="34"/>
      <c r="C11" s="36" t="s">
        <v>32</v>
      </c>
      <c r="D11" s="30"/>
      <c r="E11" s="30"/>
      <c r="F11" s="30"/>
      <c r="G11" s="30"/>
      <c r="H11" s="30"/>
      <c r="I11" s="30"/>
      <c r="J11" s="30"/>
      <c r="K11" s="30"/>
      <c r="L11" s="30"/>
      <c r="M11" s="30"/>
      <c r="N11" s="30"/>
      <c r="O11" s="30"/>
      <c r="P11" s="30"/>
      <c r="Q11" s="30"/>
      <c r="R11" s="30"/>
      <c r="S11" s="30"/>
      <c r="T11" s="30"/>
      <c r="U11" s="30"/>
      <c r="V11" s="30"/>
      <c r="W11" s="30"/>
    </row>
    <row r="12" ht="13.5" customHeight="1">
      <c r="A12" s="30"/>
      <c r="B12" s="34"/>
      <c r="C12" s="36" t="s">
        <v>33</v>
      </c>
      <c r="D12" s="30"/>
      <c r="E12" s="30"/>
      <c r="F12" s="30"/>
      <c r="G12" s="30"/>
      <c r="H12" s="30"/>
      <c r="I12" s="30"/>
      <c r="J12" s="30"/>
      <c r="K12" s="30"/>
      <c r="L12" s="30"/>
      <c r="M12" s="30"/>
      <c r="N12" s="30"/>
      <c r="O12" s="30"/>
      <c r="P12" s="30"/>
      <c r="Q12" s="30"/>
      <c r="R12" s="30"/>
      <c r="S12" s="30"/>
      <c r="T12" s="30"/>
      <c r="U12" s="30"/>
      <c r="V12" s="30"/>
      <c r="W12" s="30"/>
    </row>
    <row r="13" ht="19.5" customHeight="1">
      <c r="A13" s="30"/>
      <c r="B13" s="34"/>
      <c r="C13" s="36" t="s">
        <v>34</v>
      </c>
      <c r="D13" s="30"/>
      <c r="E13" s="30"/>
      <c r="F13" s="30"/>
      <c r="G13" s="30"/>
      <c r="H13" s="30"/>
      <c r="I13" s="30"/>
      <c r="J13" s="30"/>
      <c r="K13" s="30"/>
      <c r="L13" s="30"/>
      <c r="M13" s="30"/>
      <c r="N13" s="30"/>
      <c r="O13" s="30"/>
      <c r="P13" s="30"/>
      <c r="Q13" s="30"/>
      <c r="R13" s="30"/>
      <c r="S13" s="30"/>
      <c r="T13" s="30"/>
      <c r="U13" s="30"/>
      <c r="V13" s="30"/>
      <c r="W13" s="30"/>
    </row>
    <row r="14" ht="19.5" customHeight="1">
      <c r="A14" s="30"/>
      <c r="B14" s="34" t="s">
        <v>35</v>
      </c>
      <c r="C14" s="35" t="s">
        <v>36</v>
      </c>
      <c r="D14" s="30"/>
      <c r="E14" s="30"/>
      <c r="F14" s="30"/>
      <c r="G14" s="30"/>
      <c r="H14" s="30"/>
      <c r="I14" s="30"/>
      <c r="J14" s="30"/>
      <c r="K14" s="30"/>
      <c r="L14" s="30"/>
      <c r="M14" s="30"/>
      <c r="N14" s="30"/>
      <c r="O14" s="30"/>
      <c r="P14" s="30"/>
      <c r="Q14" s="30"/>
      <c r="R14" s="30"/>
      <c r="S14" s="30"/>
      <c r="T14" s="30"/>
      <c r="U14" s="30"/>
      <c r="V14" s="30"/>
      <c r="W14" s="30"/>
    </row>
    <row r="15" ht="13.5" customHeight="1">
      <c r="A15" s="30"/>
      <c r="B15" s="34"/>
      <c r="C15" s="36" t="s">
        <v>31</v>
      </c>
      <c r="D15" s="30"/>
      <c r="E15" s="30"/>
      <c r="F15" s="30"/>
      <c r="G15" s="30"/>
      <c r="H15" s="30"/>
      <c r="I15" s="30"/>
      <c r="J15" s="30"/>
      <c r="K15" s="30"/>
      <c r="L15" s="30"/>
      <c r="M15" s="30"/>
      <c r="N15" s="30"/>
      <c r="O15" s="30"/>
      <c r="P15" s="30"/>
      <c r="Q15" s="30"/>
      <c r="R15" s="30"/>
      <c r="S15" s="30"/>
      <c r="T15" s="30"/>
      <c r="U15" s="30"/>
      <c r="V15" s="30"/>
      <c r="W15" s="30"/>
    </row>
    <row r="16" ht="13.5" customHeight="1">
      <c r="A16" s="30"/>
      <c r="B16" s="34"/>
      <c r="C16" s="36" t="s">
        <v>32</v>
      </c>
      <c r="D16" s="30"/>
      <c r="E16" s="30"/>
      <c r="F16" s="30"/>
      <c r="G16" s="30"/>
      <c r="H16" s="30"/>
      <c r="I16" s="30"/>
      <c r="J16" s="30"/>
      <c r="K16" s="30"/>
      <c r="L16" s="30"/>
      <c r="M16" s="30"/>
      <c r="N16" s="30"/>
      <c r="O16" s="30"/>
      <c r="P16" s="30"/>
      <c r="Q16" s="30"/>
      <c r="R16" s="30"/>
      <c r="S16" s="30"/>
      <c r="T16" s="30"/>
      <c r="U16" s="30"/>
      <c r="V16" s="30"/>
      <c r="W16" s="30"/>
    </row>
    <row r="17" ht="13.5" customHeight="1">
      <c r="A17" s="30"/>
      <c r="B17" s="34"/>
      <c r="C17" s="36" t="s">
        <v>33</v>
      </c>
      <c r="D17" s="30"/>
      <c r="E17" s="30"/>
      <c r="F17" s="30"/>
      <c r="G17" s="30"/>
      <c r="H17" s="30"/>
      <c r="I17" s="30"/>
      <c r="J17" s="30"/>
      <c r="K17" s="30"/>
      <c r="L17" s="30"/>
      <c r="M17" s="30"/>
      <c r="N17" s="30"/>
      <c r="O17" s="30"/>
      <c r="P17" s="30"/>
      <c r="Q17" s="30"/>
      <c r="R17" s="30"/>
      <c r="S17" s="30"/>
      <c r="T17" s="30"/>
      <c r="U17" s="30"/>
      <c r="V17" s="30"/>
      <c r="W17" s="30"/>
    </row>
    <row r="18" ht="21.75" customHeight="1">
      <c r="A18" s="30"/>
      <c r="B18" s="34" t="s">
        <v>37</v>
      </c>
      <c r="C18" s="35" t="s">
        <v>38</v>
      </c>
      <c r="D18" s="30"/>
      <c r="E18" s="30"/>
      <c r="F18" s="30"/>
      <c r="G18" s="30"/>
      <c r="H18" s="30"/>
      <c r="I18" s="30"/>
      <c r="J18" s="30"/>
      <c r="K18" s="30"/>
      <c r="L18" s="30"/>
      <c r="M18" s="30"/>
      <c r="N18" s="30"/>
      <c r="O18" s="30"/>
      <c r="P18" s="30"/>
      <c r="Q18" s="30"/>
      <c r="R18" s="30"/>
      <c r="S18" s="30"/>
      <c r="T18" s="30"/>
      <c r="U18" s="30"/>
      <c r="V18" s="30"/>
      <c r="W18" s="30"/>
    </row>
    <row r="19" ht="12.75" customHeight="1">
      <c r="A19" s="30"/>
      <c r="B19" s="34"/>
      <c r="C19" s="36" t="s">
        <v>39</v>
      </c>
      <c r="D19" s="30"/>
      <c r="E19" s="30"/>
      <c r="F19" s="30"/>
      <c r="G19" s="30"/>
      <c r="H19" s="30"/>
      <c r="I19" s="30"/>
      <c r="J19" s="30"/>
      <c r="K19" s="30"/>
      <c r="L19" s="30"/>
      <c r="M19" s="30"/>
      <c r="N19" s="30"/>
      <c r="O19" s="30"/>
      <c r="P19" s="30"/>
      <c r="Q19" s="30"/>
      <c r="R19" s="30"/>
      <c r="S19" s="30"/>
      <c r="T19" s="30"/>
      <c r="U19" s="30"/>
      <c r="V19" s="30"/>
      <c r="W19" s="30"/>
    </row>
    <row r="20" ht="12.75" customHeight="1">
      <c r="A20" s="30"/>
      <c r="B20" s="34"/>
      <c r="C20" s="36" t="s">
        <v>40</v>
      </c>
      <c r="D20" s="30"/>
      <c r="E20" s="30"/>
      <c r="F20" s="30"/>
      <c r="G20" s="30"/>
      <c r="H20" s="30"/>
      <c r="I20" s="30"/>
      <c r="J20" s="30"/>
      <c r="K20" s="30"/>
      <c r="L20" s="30"/>
      <c r="M20" s="30"/>
      <c r="N20" s="30"/>
      <c r="O20" s="30"/>
      <c r="P20" s="30"/>
      <c r="Q20" s="30"/>
      <c r="R20" s="30"/>
      <c r="S20" s="30"/>
      <c r="T20" s="30"/>
      <c r="U20" s="30"/>
      <c r="V20" s="30"/>
      <c r="W20" s="30"/>
    </row>
    <row r="21" ht="12.75" customHeight="1">
      <c r="A21" s="30"/>
      <c r="B21" s="34"/>
      <c r="C21" s="36" t="s">
        <v>41</v>
      </c>
      <c r="D21" s="30"/>
      <c r="E21" s="30"/>
      <c r="F21" s="30"/>
      <c r="G21" s="30"/>
      <c r="H21" s="30"/>
      <c r="I21" s="30"/>
      <c r="J21" s="30"/>
      <c r="K21" s="30"/>
      <c r="L21" s="30"/>
      <c r="M21" s="30"/>
      <c r="N21" s="30"/>
      <c r="O21" s="30"/>
      <c r="P21" s="30"/>
      <c r="Q21" s="30"/>
      <c r="R21" s="30"/>
      <c r="S21" s="30"/>
      <c r="T21" s="30"/>
      <c r="U21" s="30"/>
      <c r="V21" s="30"/>
      <c r="W21" s="30"/>
    </row>
    <row r="22" ht="15.0" customHeight="1">
      <c r="A22" s="30"/>
      <c r="B22" s="36"/>
      <c r="C22" s="36" t="s">
        <v>42</v>
      </c>
      <c r="D22" s="30"/>
      <c r="E22" s="30"/>
      <c r="F22" s="30"/>
      <c r="G22" s="30"/>
      <c r="H22" s="30"/>
      <c r="I22" s="30"/>
      <c r="J22" s="30"/>
      <c r="K22" s="30"/>
      <c r="L22" s="30"/>
      <c r="M22" s="30"/>
      <c r="N22" s="30"/>
      <c r="O22" s="30"/>
      <c r="P22" s="30"/>
      <c r="Q22" s="30"/>
      <c r="R22" s="30"/>
      <c r="S22" s="30"/>
      <c r="T22" s="30"/>
      <c r="U22" s="30"/>
      <c r="V22" s="30"/>
      <c r="W22" s="30"/>
    </row>
    <row r="23" ht="63.75" customHeight="1">
      <c r="A23" s="30"/>
      <c r="B23" s="34" t="s">
        <v>43</v>
      </c>
      <c r="C23" s="37" t="s">
        <v>44</v>
      </c>
      <c r="D23" s="30"/>
      <c r="E23" s="30"/>
      <c r="F23" s="30"/>
      <c r="G23" s="30"/>
      <c r="H23" s="30"/>
      <c r="I23" s="30"/>
      <c r="J23" s="30"/>
      <c r="K23" s="30"/>
      <c r="L23" s="30"/>
      <c r="M23" s="30"/>
      <c r="N23" s="30"/>
      <c r="O23" s="30"/>
      <c r="P23" s="30"/>
      <c r="Q23" s="30"/>
      <c r="R23" s="30"/>
      <c r="S23" s="30"/>
      <c r="T23" s="30"/>
      <c r="U23" s="30"/>
      <c r="V23" s="30"/>
      <c r="W23" s="30"/>
    </row>
    <row r="24" ht="15.0" customHeight="1">
      <c r="A24" s="30"/>
      <c r="B24" s="36"/>
      <c r="C24" s="36" t="s">
        <v>45</v>
      </c>
      <c r="D24" s="30"/>
      <c r="E24" s="30"/>
      <c r="F24" s="30"/>
      <c r="G24" s="30"/>
      <c r="H24" s="30"/>
      <c r="I24" s="30"/>
      <c r="J24" s="30"/>
      <c r="K24" s="30"/>
      <c r="L24" s="30"/>
      <c r="M24" s="30"/>
      <c r="N24" s="30"/>
      <c r="O24" s="30"/>
      <c r="P24" s="30"/>
      <c r="Q24" s="30"/>
      <c r="R24" s="30"/>
      <c r="S24" s="30"/>
      <c r="T24" s="30"/>
      <c r="U24" s="30"/>
      <c r="V24" s="30"/>
      <c r="W24" s="30"/>
    </row>
    <row r="25" ht="15.0" customHeight="1">
      <c r="A25" s="30"/>
      <c r="B25" s="36"/>
      <c r="C25" s="36" t="s">
        <v>46</v>
      </c>
      <c r="D25" s="30"/>
      <c r="E25" s="30"/>
      <c r="F25" s="30"/>
      <c r="G25" s="30"/>
      <c r="H25" s="30"/>
      <c r="I25" s="30"/>
      <c r="J25" s="30"/>
      <c r="K25" s="30"/>
      <c r="L25" s="30"/>
      <c r="M25" s="30"/>
      <c r="N25" s="30"/>
      <c r="O25" s="30"/>
      <c r="P25" s="30"/>
      <c r="Q25" s="30"/>
      <c r="R25" s="30"/>
      <c r="S25" s="30"/>
      <c r="T25" s="30"/>
      <c r="U25" s="30"/>
      <c r="V25" s="30"/>
      <c r="W25" s="30"/>
    </row>
    <row r="26" ht="15.0" customHeight="1">
      <c r="A26" s="30"/>
      <c r="B26" s="34"/>
      <c r="C26" s="36" t="s">
        <v>47</v>
      </c>
      <c r="D26" s="30"/>
      <c r="E26" s="30"/>
      <c r="F26" s="30"/>
      <c r="G26" s="30"/>
      <c r="H26" s="30"/>
      <c r="I26" s="30"/>
      <c r="J26" s="30"/>
      <c r="K26" s="30"/>
      <c r="L26" s="30"/>
      <c r="M26" s="30"/>
      <c r="N26" s="30"/>
      <c r="O26" s="30"/>
      <c r="P26" s="30"/>
      <c r="Q26" s="30"/>
      <c r="R26" s="30"/>
      <c r="S26" s="30"/>
      <c r="T26" s="30"/>
      <c r="U26" s="30"/>
      <c r="V26" s="30"/>
      <c r="W26" s="30"/>
    </row>
    <row r="27" ht="21.75" customHeight="1">
      <c r="A27" s="30"/>
      <c r="B27" s="34" t="s">
        <v>48</v>
      </c>
      <c r="C27" s="38" t="s">
        <v>49</v>
      </c>
      <c r="D27" s="30"/>
      <c r="E27" s="30"/>
      <c r="F27" s="30"/>
      <c r="G27" s="30"/>
      <c r="H27" s="30"/>
      <c r="I27" s="30"/>
      <c r="J27" s="30"/>
      <c r="K27" s="30"/>
      <c r="L27" s="30"/>
      <c r="M27" s="30"/>
      <c r="N27" s="30"/>
      <c r="O27" s="30"/>
      <c r="P27" s="30"/>
      <c r="Q27" s="30"/>
      <c r="R27" s="30"/>
      <c r="S27" s="30"/>
      <c r="T27" s="30"/>
      <c r="U27" s="30"/>
      <c r="V27" s="30"/>
      <c r="W27" s="30"/>
    </row>
    <row r="28" ht="18.0" customHeight="1">
      <c r="A28" s="30"/>
      <c r="B28" s="30"/>
      <c r="C28" s="36" t="s">
        <v>50</v>
      </c>
      <c r="D28" s="30"/>
      <c r="E28" s="30"/>
      <c r="F28" s="30"/>
      <c r="G28" s="30"/>
      <c r="H28" s="30"/>
      <c r="I28" s="30"/>
      <c r="J28" s="30"/>
      <c r="K28" s="30"/>
      <c r="L28" s="30"/>
      <c r="M28" s="30"/>
      <c r="N28" s="30"/>
      <c r="O28" s="30"/>
      <c r="P28" s="30"/>
      <c r="Q28" s="30"/>
      <c r="R28" s="30"/>
      <c r="S28" s="30"/>
      <c r="T28" s="30"/>
      <c r="U28" s="30"/>
      <c r="V28" s="30"/>
      <c r="W28" s="30"/>
    </row>
    <row r="29" ht="18.0" customHeight="1">
      <c r="A29" s="30"/>
      <c r="B29" s="30"/>
      <c r="C29" s="36" t="s">
        <v>51</v>
      </c>
      <c r="D29" s="30"/>
      <c r="E29" s="30"/>
      <c r="F29" s="30"/>
      <c r="G29" s="30"/>
      <c r="H29" s="30"/>
      <c r="I29" s="30"/>
      <c r="J29" s="30"/>
      <c r="K29" s="30"/>
      <c r="L29" s="30"/>
      <c r="M29" s="30"/>
      <c r="N29" s="30"/>
      <c r="O29" s="30"/>
      <c r="P29" s="30"/>
      <c r="Q29" s="30"/>
      <c r="R29" s="30"/>
      <c r="S29" s="30"/>
      <c r="T29" s="30"/>
      <c r="U29" s="30"/>
      <c r="V29" s="30"/>
      <c r="W29" s="30"/>
    </row>
    <row r="30" ht="18.0" customHeight="1">
      <c r="A30" s="30"/>
      <c r="B30" s="30"/>
      <c r="C30" s="36" t="s">
        <v>26</v>
      </c>
      <c r="D30" s="30"/>
      <c r="E30" s="30"/>
      <c r="F30" s="30"/>
      <c r="G30" s="30"/>
      <c r="H30" s="30"/>
      <c r="I30" s="30"/>
      <c r="J30" s="30"/>
      <c r="K30" s="30"/>
      <c r="L30" s="30"/>
      <c r="M30" s="30"/>
      <c r="N30" s="30"/>
      <c r="O30" s="30"/>
      <c r="P30" s="30"/>
      <c r="Q30" s="30"/>
      <c r="R30" s="30"/>
      <c r="S30" s="30"/>
      <c r="T30" s="30"/>
      <c r="U30" s="30"/>
      <c r="V30" s="30"/>
      <c r="W30" s="30"/>
    </row>
    <row r="31" ht="18.0" customHeight="1">
      <c r="A31" s="30"/>
      <c r="B31" s="30"/>
      <c r="C31" s="36" t="s">
        <v>27</v>
      </c>
      <c r="D31" s="30"/>
      <c r="E31" s="30"/>
      <c r="F31" s="30"/>
      <c r="G31" s="30"/>
      <c r="H31" s="30"/>
      <c r="I31" s="30"/>
      <c r="J31" s="30"/>
      <c r="K31" s="30"/>
      <c r="L31" s="30"/>
      <c r="M31" s="30"/>
      <c r="N31" s="30"/>
      <c r="O31" s="30"/>
      <c r="P31" s="30"/>
      <c r="Q31" s="30"/>
      <c r="R31" s="30"/>
      <c r="S31" s="30"/>
      <c r="T31" s="30"/>
      <c r="U31" s="30"/>
      <c r="V31" s="30"/>
      <c r="W31" s="30"/>
    </row>
    <row r="32" ht="18.0" customHeight="1">
      <c r="A32" s="30"/>
      <c r="B32" s="30"/>
      <c r="C32" s="36" t="s">
        <v>28</v>
      </c>
      <c r="D32" s="30"/>
      <c r="E32" s="30"/>
      <c r="F32" s="30"/>
      <c r="G32" s="30"/>
      <c r="H32" s="30"/>
      <c r="I32" s="30"/>
      <c r="J32" s="30"/>
      <c r="K32" s="30"/>
      <c r="L32" s="30"/>
      <c r="M32" s="30"/>
      <c r="N32" s="30"/>
      <c r="O32" s="30"/>
      <c r="P32" s="30"/>
      <c r="Q32" s="30"/>
      <c r="R32" s="30"/>
      <c r="S32" s="30"/>
      <c r="T32" s="30"/>
      <c r="U32" s="30"/>
      <c r="V32" s="30"/>
      <c r="W32" s="30"/>
    </row>
    <row r="33" ht="15.75" hidden="1" customHeight="1">
      <c r="A33" s="30"/>
      <c r="B33" s="30"/>
      <c r="C33" s="30"/>
      <c r="D33" s="30"/>
      <c r="E33" s="30"/>
      <c r="F33" s="30"/>
      <c r="G33" s="30"/>
      <c r="H33" s="30"/>
      <c r="I33" s="30"/>
      <c r="J33" s="30"/>
      <c r="K33" s="30"/>
      <c r="L33" s="30"/>
      <c r="M33" s="30"/>
      <c r="N33" s="30"/>
      <c r="O33" s="30"/>
      <c r="P33" s="30"/>
      <c r="Q33" s="30"/>
      <c r="R33" s="30"/>
      <c r="S33" s="30"/>
      <c r="T33" s="30"/>
      <c r="U33" s="30"/>
      <c r="V33" s="30"/>
      <c r="W33" s="30"/>
    </row>
    <row r="34" ht="15.75" hidden="1" customHeight="1">
      <c r="A34" s="30"/>
      <c r="B34" s="30"/>
      <c r="C34" s="30"/>
      <c r="D34" s="30"/>
      <c r="E34" s="30"/>
      <c r="F34" s="30"/>
      <c r="G34" s="30"/>
      <c r="H34" s="30"/>
      <c r="I34" s="30"/>
      <c r="J34" s="30"/>
      <c r="K34" s="30"/>
      <c r="L34" s="30"/>
      <c r="M34" s="30"/>
      <c r="N34" s="30"/>
      <c r="O34" s="30"/>
      <c r="P34" s="30"/>
      <c r="Q34" s="30"/>
      <c r="R34" s="30"/>
      <c r="S34" s="30"/>
      <c r="T34" s="30"/>
      <c r="U34" s="30"/>
      <c r="V34" s="30"/>
      <c r="W34" s="30"/>
    </row>
    <row r="35" ht="15.75" hidden="1" customHeight="1">
      <c r="A35" s="30"/>
      <c r="B35" s="30"/>
      <c r="C35" s="30"/>
      <c r="D35" s="30"/>
      <c r="E35" s="30"/>
      <c r="F35" s="30"/>
      <c r="G35" s="30"/>
      <c r="H35" s="30"/>
      <c r="I35" s="30"/>
      <c r="J35" s="30"/>
      <c r="K35" s="30"/>
      <c r="L35" s="30"/>
      <c r="M35" s="30"/>
      <c r="N35" s="30"/>
      <c r="O35" s="30"/>
      <c r="P35" s="30"/>
      <c r="Q35" s="30"/>
      <c r="R35" s="30"/>
      <c r="S35" s="30"/>
      <c r="T35" s="30"/>
      <c r="U35" s="30"/>
      <c r="V35" s="30"/>
      <c r="W35" s="30"/>
    </row>
    <row r="36" ht="15.75" hidden="1" customHeight="1">
      <c r="A36" s="30"/>
      <c r="B36" s="30"/>
      <c r="C36" s="30"/>
      <c r="D36" s="30"/>
      <c r="E36" s="30"/>
      <c r="F36" s="30"/>
      <c r="G36" s="30"/>
      <c r="H36" s="30"/>
      <c r="I36" s="30"/>
      <c r="J36" s="30"/>
      <c r="K36" s="30"/>
      <c r="L36" s="30"/>
      <c r="M36" s="30"/>
      <c r="N36" s="30"/>
      <c r="O36" s="30"/>
      <c r="P36" s="30"/>
      <c r="Q36" s="30"/>
      <c r="R36" s="30"/>
      <c r="S36" s="30"/>
      <c r="T36" s="30"/>
      <c r="U36" s="30"/>
      <c r="V36" s="30"/>
      <c r="W36" s="30"/>
    </row>
    <row r="37" ht="15.75" hidden="1" customHeight="1">
      <c r="A37" s="30"/>
      <c r="B37" s="30"/>
      <c r="C37" s="30"/>
      <c r="D37" s="30"/>
      <c r="E37" s="30"/>
      <c r="F37" s="30"/>
      <c r="G37" s="30"/>
      <c r="H37" s="30"/>
      <c r="I37" s="30"/>
      <c r="J37" s="30"/>
      <c r="K37" s="30"/>
      <c r="L37" s="30"/>
      <c r="M37" s="30"/>
      <c r="N37" s="30"/>
      <c r="O37" s="30"/>
      <c r="P37" s="30"/>
      <c r="Q37" s="30"/>
      <c r="R37" s="30"/>
      <c r="S37" s="30"/>
      <c r="T37" s="30"/>
      <c r="U37" s="30"/>
      <c r="V37" s="30"/>
      <c r="W37" s="30"/>
    </row>
    <row r="38" ht="15.75" hidden="1" customHeight="1">
      <c r="A38" s="30"/>
      <c r="B38" s="30"/>
      <c r="C38" s="30"/>
      <c r="D38" s="30"/>
      <c r="E38" s="30"/>
      <c r="F38" s="30"/>
      <c r="G38" s="30"/>
      <c r="H38" s="30"/>
      <c r="I38" s="30"/>
      <c r="J38" s="30"/>
      <c r="K38" s="30"/>
      <c r="L38" s="30"/>
      <c r="M38" s="30"/>
      <c r="N38" s="30"/>
      <c r="O38" s="30"/>
      <c r="P38" s="30"/>
      <c r="Q38" s="30"/>
      <c r="R38" s="30"/>
      <c r="S38" s="30"/>
      <c r="T38" s="30"/>
      <c r="U38" s="30"/>
      <c r="V38" s="30"/>
      <c r="W38" s="30"/>
    </row>
    <row r="39" ht="15.75" hidden="1" customHeight="1">
      <c r="A39" s="30"/>
      <c r="B39" s="30"/>
      <c r="C39" s="30"/>
      <c r="D39" s="30"/>
      <c r="E39" s="30"/>
      <c r="F39" s="30"/>
      <c r="G39" s="30"/>
      <c r="H39" s="30"/>
      <c r="I39" s="30"/>
      <c r="J39" s="30"/>
      <c r="K39" s="30"/>
      <c r="L39" s="30"/>
      <c r="M39" s="30"/>
      <c r="N39" s="30"/>
      <c r="O39" s="30"/>
      <c r="P39" s="30"/>
      <c r="Q39" s="30"/>
      <c r="R39" s="30"/>
      <c r="S39" s="30"/>
      <c r="T39" s="30"/>
      <c r="U39" s="30"/>
      <c r="V39" s="30"/>
      <c r="W39" s="30"/>
    </row>
    <row r="40" ht="15.75" hidden="1" customHeight="1">
      <c r="A40" s="30"/>
      <c r="B40" s="30"/>
      <c r="C40" s="30"/>
      <c r="D40" s="30"/>
      <c r="E40" s="30"/>
      <c r="F40" s="30"/>
      <c r="G40" s="30"/>
      <c r="H40" s="30"/>
      <c r="I40" s="30"/>
      <c r="J40" s="30"/>
      <c r="K40" s="30"/>
      <c r="L40" s="30"/>
      <c r="M40" s="30"/>
      <c r="N40" s="30"/>
      <c r="O40" s="30"/>
      <c r="P40" s="30"/>
      <c r="Q40" s="30"/>
      <c r="R40" s="30"/>
      <c r="S40" s="30"/>
      <c r="T40" s="30"/>
      <c r="U40" s="30"/>
      <c r="V40" s="30"/>
      <c r="W40" s="30"/>
    </row>
    <row r="41" ht="15.75" hidden="1" customHeight="1">
      <c r="A41" s="30"/>
      <c r="B41" s="30"/>
      <c r="C41" s="30"/>
      <c r="D41" s="30"/>
      <c r="E41" s="30"/>
      <c r="F41" s="30"/>
      <c r="G41" s="30"/>
      <c r="H41" s="30"/>
      <c r="I41" s="30"/>
      <c r="J41" s="30"/>
      <c r="K41" s="30"/>
      <c r="L41" s="30"/>
      <c r="M41" s="30"/>
      <c r="N41" s="30"/>
      <c r="O41" s="30"/>
      <c r="P41" s="30"/>
      <c r="Q41" s="30"/>
      <c r="R41" s="30"/>
      <c r="S41" s="30"/>
      <c r="T41" s="30"/>
      <c r="U41" s="30"/>
      <c r="V41" s="30"/>
      <c r="W41" s="30"/>
    </row>
    <row r="42" ht="15.75" hidden="1" customHeight="1">
      <c r="A42" s="30"/>
      <c r="B42" s="30"/>
      <c r="C42" s="30"/>
      <c r="D42" s="30"/>
      <c r="E42" s="30"/>
      <c r="F42" s="30"/>
      <c r="G42" s="30"/>
      <c r="H42" s="30"/>
      <c r="I42" s="30"/>
      <c r="J42" s="30"/>
      <c r="K42" s="30"/>
      <c r="L42" s="30"/>
      <c r="M42" s="30"/>
      <c r="N42" s="30"/>
      <c r="O42" s="30"/>
      <c r="P42" s="30"/>
      <c r="Q42" s="30"/>
      <c r="R42" s="30"/>
      <c r="S42" s="30"/>
      <c r="T42" s="30"/>
      <c r="U42" s="30"/>
      <c r="V42" s="30"/>
      <c r="W42" s="30"/>
    </row>
    <row r="43" ht="15.75" hidden="1" customHeight="1">
      <c r="A43" s="30"/>
      <c r="B43" s="30"/>
      <c r="C43" s="30"/>
      <c r="D43" s="30"/>
      <c r="E43" s="30"/>
      <c r="F43" s="30"/>
      <c r="G43" s="30"/>
      <c r="H43" s="30"/>
      <c r="I43" s="30"/>
      <c r="J43" s="30"/>
      <c r="K43" s="30"/>
      <c r="L43" s="30"/>
      <c r="M43" s="30"/>
      <c r="N43" s="30"/>
      <c r="O43" s="30"/>
      <c r="P43" s="30"/>
      <c r="Q43" s="30"/>
      <c r="R43" s="30"/>
      <c r="S43" s="30"/>
      <c r="T43" s="30"/>
      <c r="U43" s="30"/>
      <c r="V43" s="30"/>
      <c r="W43" s="30"/>
    </row>
    <row r="44" ht="15.75" hidden="1" customHeight="1">
      <c r="A44" s="30"/>
      <c r="B44" s="30"/>
      <c r="C44" s="30"/>
      <c r="D44" s="30"/>
      <c r="E44" s="30"/>
      <c r="F44" s="30"/>
      <c r="G44" s="30"/>
      <c r="H44" s="30"/>
      <c r="I44" s="30"/>
      <c r="J44" s="30"/>
      <c r="K44" s="30"/>
      <c r="L44" s="30"/>
      <c r="M44" s="30"/>
      <c r="N44" s="30"/>
      <c r="O44" s="30"/>
      <c r="P44" s="30"/>
      <c r="Q44" s="30"/>
      <c r="R44" s="30"/>
      <c r="S44" s="30"/>
      <c r="T44" s="30"/>
      <c r="U44" s="30"/>
      <c r="V44" s="30"/>
      <c r="W44" s="30"/>
    </row>
    <row r="45" ht="15.75" hidden="1" customHeight="1">
      <c r="A45" s="30"/>
      <c r="B45" s="30"/>
      <c r="C45" s="30"/>
      <c r="D45" s="30"/>
      <c r="E45" s="30"/>
      <c r="F45" s="30"/>
      <c r="G45" s="30"/>
      <c r="H45" s="30"/>
      <c r="I45" s="30"/>
      <c r="J45" s="30"/>
      <c r="K45" s="30"/>
      <c r="L45" s="30"/>
      <c r="M45" s="30"/>
      <c r="N45" s="30"/>
      <c r="O45" s="30"/>
      <c r="P45" s="30"/>
      <c r="Q45" s="30"/>
      <c r="R45" s="30"/>
      <c r="S45" s="30"/>
      <c r="T45" s="30"/>
      <c r="U45" s="30"/>
      <c r="V45" s="30"/>
      <c r="W45" s="30"/>
    </row>
    <row r="46" ht="15.75" hidden="1" customHeight="1">
      <c r="A46" s="30"/>
      <c r="B46" s="30"/>
      <c r="C46" s="30"/>
      <c r="D46" s="30"/>
      <c r="E46" s="30"/>
      <c r="F46" s="30"/>
      <c r="G46" s="30"/>
      <c r="H46" s="30"/>
      <c r="I46" s="30"/>
      <c r="J46" s="30"/>
      <c r="K46" s="30"/>
      <c r="L46" s="30"/>
      <c r="M46" s="30"/>
      <c r="N46" s="30"/>
      <c r="O46" s="30"/>
      <c r="P46" s="30"/>
      <c r="Q46" s="30"/>
      <c r="R46" s="30"/>
      <c r="S46" s="30"/>
      <c r="T46" s="30"/>
      <c r="U46" s="30"/>
      <c r="V46" s="30"/>
      <c r="W46" s="30"/>
    </row>
    <row r="47" ht="15.75" hidden="1" customHeight="1">
      <c r="A47" s="30"/>
      <c r="B47" s="30"/>
      <c r="C47" s="30"/>
      <c r="D47" s="30"/>
      <c r="E47" s="30"/>
      <c r="F47" s="30"/>
      <c r="G47" s="30"/>
      <c r="H47" s="30"/>
      <c r="I47" s="30"/>
      <c r="J47" s="30"/>
      <c r="K47" s="30"/>
      <c r="L47" s="30"/>
      <c r="M47" s="30"/>
      <c r="N47" s="30"/>
      <c r="O47" s="30"/>
      <c r="P47" s="30"/>
      <c r="Q47" s="30"/>
      <c r="R47" s="30"/>
      <c r="S47" s="30"/>
      <c r="T47" s="30"/>
      <c r="U47" s="30"/>
      <c r="V47" s="30"/>
      <c r="W47" s="30"/>
    </row>
    <row r="48" ht="15.75" hidden="1" customHeight="1">
      <c r="A48" s="30"/>
      <c r="B48" s="30"/>
      <c r="C48" s="30"/>
      <c r="D48" s="30"/>
      <c r="E48" s="30"/>
      <c r="F48" s="30"/>
      <c r="G48" s="30"/>
      <c r="H48" s="30"/>
      <c r="I48" s="30"/>
      <c r="J48" s="30"/>
      <c r="K48" s="30"/>
      <c r="L48" s="30"/>
      <c r="M48" s="30"/>
      <c r="N48" s="30"/>
      <c r="O48" s="30"/>
      <c r="P48" s="30"/>
      <c r="Q48" s="30"/>
      <c r="R48" s="30"/>
      <c r="S48" s="30"/>
      <c r="T48" s="30"/>
      <c r="U48" s="30"/>
      <c r="V48" s="30"/>
      <c r="W48" s="30"/>
    </row>
    <row r="49" ht="15.75" hidden="1" customHeight="1">
      <c r="A49" s="30"/>
      <c r="B49" s="30"/>
      <c r="C49" s="30"/>
      <c r="D49" s="30"/>
      <c r="E49" s="30"/>
      <c r="F49" s="30"/>
      <c r="G49" s="30"/>
      <c r="H49" s="30"/>
      <c r="I49" s="30"/>
      <c r="J49" s="30"/>
      <c r="K49" s="30"/>
      <c r="L49" s="30"/>
      <c r="M49" s="30"/>
      <c r="N49" s="30"/>
      <c r="O49" s="30"/>
      <c r="P49" s="30"/>
      <c r="Q49" s="30"/>
      <c r="R49" s="30"/>
      <c r="S49" s="30"/>
      <c r="T49" s="30"/>
      <c r="U49" s="30"/>
      <c r="V49" s="30"/>
      <c r="W49" s="30"/>
    </row>
    <row r="50" ht="15.75" hidden="1" customHeight="1">
      <c r="A50" s="30"/>
      <c r="B50" s="30"/>
      <c r="C50" s="30"/>
      <c r="D50" s="30"/>
      <c r="E50" s="30"/>
      <c r="F50" s="30"/>
      <c r="G50" s="30"/>
      <c r="H50" s="30"/>
      <c r="I50" s="30"/>
      <c r="J50" s="30"/>
      <c r="K50" s="30"/>
      <c r="L50" s="30"/>
      <c r="M50" s="30"/>
      <c r="N50" s="30"/>
      <c r="O50" s="30"/>
      <c r="P50" s="30"/>
      <c r="Q50" s="30"/>
      <c r="R50" s="30"/>
      <c r="S50" s="30"/>
      <c r="T50" s="30"/>
      <c r="U50" s="30"/>
      <c r="V50" s="30"/>
      <c r="W50" s="30"/>
    </row>
    <row r="51" ht="15.75" hidden="1" customHeight="1">
      <c r="A51" s="30"/>
      <c r="B51" s="30"/>
      <c r="C51" s="30"/>
      <c r="D51" s="30"/>
      <c r="E51" s="30"/>
      <c r="F51" s="30"/>
      <c r="G51" s="30"/>
      <c r="H51" s="30"/>
      <c r="I51" s="30"/>
      <c r="J51" s="30"/>
      <c r="K51" s="30"/>
      <c r="L51" s="30"/>
      <c r="M51" s="30"/>
      <c r="N51" s="30"/>
      <c r="O51" s="30"/>
      <c r="P51" s="30"/>
      <c r="Q51" s="30"/>
      <c r="R51" s="30"/>
      <c r="S51" s="30"/>
      <c r="T51" s="30"/>
      <c r="U51" s="30"/>
      <c r="V51" s="30"/>
      <c r="W51" s="30"/>
    </row>
    <row r="52" ht="15.75" hidden="1" customHeight="1">
      <c r="A52" s="30"/>
      <c r="B52" s="30"/>
      <c r="C52" s="30"/>
      <c r="D52" s="30"/>
      <c r="E52" s="30"/>
      <c r="F52" s="30"/>
      <c r="G52" s="30"/>
      <c r="H52" s="30"/>
      <c r="I52" s="30"/>
      <c r="J52" s="30"/>
      <c r="K52" s="30"/>
      <c r="L52" s="30"/>
      <c r="M52" s="30"/>
      <c r="N52" s="30"/>
      <c r="O52" s="30"/>
      <c r="P52" s="30"/>
      <c r="Q52" s="30"/>
      <c r="R52" s="30"/>
      <c r="S52" s="30"/>
      <c r="T52" s="30"/>
      <c r="U52" s="30"/>
      <c r="V52" s="30"/>
      <c r="W52" s="30"/>
    </row>
    <row r="53" ht="15.75" hidden="1" customHeight="1">
      <c r="A53" s="30"/>
      <c r="B53" s="30"/>
      <c r="C53" s="30"/>
      <c r="D53" s="30"/>
      <c r="E53" s="30"/>
      <c r="F53" s="30"/>
      <c r="G53" s="30"/>
      <c r="H53" s="30"/>
      <c r="I53" s="30"/>
      <c r="J53" s="30"/>
      <c r="K53" s="30"/>
      <c r="L53" s="30"/>
      <c r="M53" s="30"/>
      <c r="N53" s="30"/>
      <c r="O53" s="30"/>
      <c r="P53" s="30"/>
      <c r="Q53" s="30"/>
      <c r="R53" s="30"/>
      <c r="S53" s="30"/>
      <c r="T53" s="30"/>
      <c r="U53" s="30"/>
      <c r="V53" s="30"/>
      <c r="W53" s="30"/>
    </row>
    <row r="54" ht="15.75" hidden="1" customHeight="1">
      <c r="A54" s="30"/>
      <c r="B54" s="30"/>
      <c r="C54" s="30"/>
      <c r="D54" s="30"/>
      <c r="E54" s="30"/>
      <c r="F54" s="30"/>
      <c r="G54" s="30"/>
      <c r="H54" s="30"/>
      <c r="I54" s="30"/>
      <c r="J54" s="30"/>
      <c r="K54" s="30"/>
      <c r="L54" s="30"/>
      <c r="M54" s="30"/>
      <c r="N54" s="30"/>
      <c r="O54" s="30"/>
      <c r="P54" s="30"/>
      <c r="Q54" s="30"/>
      <c r="R54" s="30"/>
      <c r="S54" s="30"/>
      <c r="T54" s="30"/>
      <c r="U54" s="30"/>
      <c r="V54" s="30"/>
      <c r="W54" s="30"/>
    </row>
    <row r="55" ht="15.75" hidden="1" customHeight="1">
      <c r="A55" s="30"/>
      <c r="B55" s="30"/>
      <c r="C55" s="30"/>
      <c r="D55" s="30"/>
      <c r="E55" s="30"/>
      <c r="F55" s="30"/>
      <c r="G55" s="30"/>
      <c r="H55" s="30"/>
      <c r="I55" s="30"/>
      <c r="J55" s="30"/>
      <c r="K55" s="30"/>
      <c r="L55" s="30"/>
      <c r="M55" s="30"/>
      <c r="N55" s="30"/>
      <c r="O55" s="30"/>
      <c r="P55" s="30"/>
      <c r="Q55" s="30"/>
      <c r="R55" s="30"/>
      <c r="S55" s="30"/>
      <c r="T55" s="30"/>
      <c r="U55" s="30"/>
      <c r="V55" s="30"/>
      <c r="W55" s="30"/>
    </row>
    <row r="56" ht="15.75" hidden="1" customHeight="1">
      <c r="A56" s="30"/>
      <c r="B56" s="30"/>
      <c r="C56" s="30"/>
      <c r="D56" s="30"/>
      <c r="E56" s="30"/>
      <c r="F56" s="30"/>
      <c r="G56" s="30"/>
      <c r="H56" s="30"/>
      <c r="I56" s="30"/>
      <c r="J56" s="30"/>
      <c r="K56" s="30"/>
      <c r="L56" s="30"/>
      <c r="M56" s="30"/>
      <c r="N56" s="30"/>
      <c r="O56" s="30"/>
      <c r="P56" s="30"/>
      <c r="Q56" s="30"/>
      <c r="R56" s="30"/>
      <c r="S56" s="30"/>
      <c r="T56" s="30"/>
      <c r="U56" s="30"/>
      <c r="V56" s="30"/>
      <c r="W56" s="30"/>
    </row>
    <row r="57" ht="15.75" hidden="1" customHeight="1">
      <c r="A57" s="30"/>
      <c r="B57" s="30"/>
      <c r="C57" s="30"/>
      <c r="D57" s="30"/>
      <c r="E57" s="30"/>
      <c r="F57" s="30"/>
      <c r="G57" s="30"/>
      <c r="H57" s="30"/>
      <c r="I57" s="30"/>
      <c r="J57" s="30"/>
      <c r="K57" s="30"/>
      <c r="L57" s="30"/>
      <c r="M57" s="30"/>
      <c r="N57" s="30"/>
      <c r="O57" s="30"/>
      <c r="P57" s="30"/>
      <c r="Q57" s="30"/>
      <c r="R57" s="30"/>
      <c r="S57" s="30"/>
      <c r="T57" s="30"/>
      <c r="U57" s="30"/>
      <c r="V57" s="30"/>
      <c r="W57" s="30"/>
    </row>
    <row r="58" ht="15.75" hidden="1" customHeight="1">
      <c r="A58" s="30"/>
      <c r="B58" s="30"/>
      <c r="C58" s="30"/>
      <c r="D58" s="30"/>
      <c r="E58" s="30"/>
      <c r="F58" s="30"/>
      <c r="G58" s="30"/>
      <c r="H58" s="30"/>
      <c r="I58" s="30"/>
      <c r="J58" s="30"/>
      <c r="K58" s="30"/>
      <c r="L58" s="30"/>
      <c r="M58" s="30"/>
      <c r="N58" s="30"/>
      <c r="O58" s="30"/>
      <c r="P58" s="30"/>
      <c r="Q58" s="30"/>
      <c r="R58" s="30"/>
      <c r="S58" s="30"/>
      <c r="T58" s="30"/>
      <c r="U58" s="30"/>
      <c r="V58" s="30"/>
      <c r="W58" s="30"/>
    </row>
    <row r="59" ht="15.75" hidden="1" customHeight="1">
      <c r="A59" s="30"/>
      <c r="B59" s="30"/>
      <c r="C59" s="30"/>
      <c r="D59" s="30"/>
      <c r="E59" s="30"/>
      <c r="F59" s="30"/>
      <c r="G59" s="30"/>
      <c r="H59" s="30"/>
      <c r="I59" s="30"/>
      <c r="J59" s="30"/>
      <c r="K59" s="30"/>
      <c r="L59" s="30"/>
      <c r="M59" s="30"/>
      <c r="N59" s="30"/>
      <c r="O59" s="30"/>
      <c r="P59" s="30"/>
      <c r="Q59" s="30"/>
      <c r="R59" s="30"/>
      <c r="S59" s="30"/>
      <c r="T59" s="30"/>
      <c r="U59" s="30"/>
      <c r="V59" s="30"/>
      <c r="W59" s="30"/>
    </row>
    <row r="60" ht="15.75" hidden="1" customHeight="1">
      <c r="A60" s="30"/>
      <c r="B60" s="30"/>
      <c r="C60" s="30"/>
      <c r="D60" s="30"/>
      <c r="E60" s="30"/>
      <c r="F60" s="30"/>
      <c r="G60" s="30"/>
      <c r="H60" s="30"/>
      <c r="I60" s="30"/>
      <c r="J60" s="30"/>
      <c r="K60" s="30"/>
      <c r="L60" s="30"/>
      <c r="M60" s="30"/>
      <c r="N60" s="30"/>
      <c r="O60" s="30"/>
      <c r="P60" s="30"/>
      <c r="Q60" s="30"/>
      <c r="R60" s="30"/>
      <c r="S60" s="30"/>
      <c r="T60" s="30"/>
      <c r="U60" s="30"/>
      <c r="V60" s="30"/>
      <c r="W60" s="30"/>
    </row>
    <row r="61" ht="15.75" hidden="1" customHeight="1">
      <c r="A61" s="30"/>
      <c r="B61" s="30"/>
      <c r="C61" s="30"/>
      <c r="D61" s="30"/>
      <c r="E61" s="30"/>
      <c r="F61" s="30"/>
      <c r="G61" s="30"/>
      <c r="H61" s="30"/>
      <c r="I61" s="30"/>
      <c r="J61" s="30"/>
      <c r="K61" s="30"/>
      <c r="L61" s="30"/>
      <c r="M61" s="30"/>
      <c r="N61" s="30"/>
      <c r="O61" s="30"/>
      <c r="P61" s="30"/>
      <c r="Q61" s="30"/>
      <c r="R61" s="30"/>
      <c r="S61" s="30"/>
      <c r="T61" s="30"/>
      <c r="U61" s="30"/>
      <c r="V61" s="30"/>
      <c r="W61" s="30"/>
    </row>
    <row r="62" ht="15.75" hidden="1" customHeight="1">
      <c r="A62" s="30"/>
      <c r="B62" s="30"/>
      <c r="C62" s="30"/>
      <c r="D62" s="30"/>
      <c r="E62" s="30"/>
      <c r="F62" s="30"/>
      <c r="G62" s="30"/>
      <c r="H62" s="30"/>
      <c r="I62" s="30"/>
      <c r="J62" s="30"/>
      <c r="K62" s="30"/>
      <c r="L62" s="30"/>
      <c r="M62" s="30"/>
      <c r="N62" s="30"/>
      <c r="O62" s="30"/>
      <c r="P62" s="30"/>
      <c r="Q62" s="30"/>
      <c r="R62" s="30"/>
      <c r="S62" s="30"/>
      <c r="T62" s="30"/>
      <c r="U62" s="30"/>
      <c r="V62" s="30"/>
      <c r="W62" s="30"/>
    </row>
    <row r="63" ht="15.75" hidden="1" customHeight="1">
      <c r="A63" s="30"/>
      <c r="B63" s="30"/>
      <c r="C63" s="30"/>
      <c r="D63" s="30"/>
      <c r="E63" s="30"/>
      <c r="F63" s="30"/>
      <c r="G63" s="30"/>
      <c r="H63" s="30"/>
      <c r="I63" s="30"/>
      <c r="J63" s="30"/>
      <c r="K63" s="30"/>
      <c r="L63" s="30"/>
      <c r="M63" s="30"/>
      <c r="N63" s="30"/>
      <c r="O63" s="30"/>
      <c r="P63" s="30"/>
      <c r="Q63" s="30"/>
      <c r="R63" s="30"/>
      <c r="S63" s="30"/>
      <c r="T63" s="30"/>
      <c r="U63" s="30"/>
      <c r="V63" s="30"/>
      <c r="W63" s="30"/>
    </row>
    <row r="64" ht="15.75" hidden="1" customHeight="1">
      <c r="A64" s="30"/>
      <c r="B64" s="30"/>
      <c r="C64" s="30"/>
      <c r="D64" s="30"/>
      <c r="E64" s="30"/>
      <c r="F64" s="30"/>
      <c r="G64" s="30"/>
      <c r="H64" s="30"/>
      <c r="I64" s="30"/>
      <c r="J64" s="30"/>
      <c r="K64" s="30"/>
      <c r="L64" s="30"/>
      <c r="M64" s="30"/>
      <c r="N64" s="30"/>
      <c r="O64" s="30"/>
      <c r="P64" s="30"/>
      <c r="Q64" s="30"/>
      <c r="R64" s="30"/>
      <c r="S64" s="30"/>
      <c r="T64" s="30"/>
      <c r="U64" s="30"/>
      <c r="V64" s="30"/>
      <c r="W64" s="30"/>
    </row>
    <row r="65" ht="15.75" hidden="1" customHeight="1">
      <c r="A65" s="30"/>
      <c r="B65" s="30"/>
      <c r="C65" s="30"/>
      <c r="D65" s="30"/>
      <c r="E65" s="30"/>
      <c r="F65" s="30"/>
      <c r="G65" s="30"/>
      <c r="H65" s="30"/>
      <c r="I65" s="30"/>
      <c r="J65" s="30"/>
      <c r="K65" s="30"/>
      <c r="L65" s="30"/>
      <c r="M65" s="30"/>
      <c r="N65" s="30"/>
      <c r="O65" s="30"/>
      <c r="P65" s="30"/>
      <c r="Q65" s="30"/>
      <c r="R65" s="30"/>
      <c r="S65" s="30"/>
      <c r="T65" s="30"/>
      <c r="U65" s="30"/>
      <c r="V65" s="30"/>
      <c r="W65" s="30"/>
    </row>
    <row r="66" ht="15.75" hidden="1" customHeight="1">
      <c r="A66" s="30"/>
      <c r="B66" s="30"/>
      <c r="C66" s="30"/>
      <c r="D66" s="30"/>
      <c r="E66" s="30"/>
      <c r="F66" s="30"/>
      <c r="G66" s="30"/>
      <c r="H66" s="30"/>
      <c r="I66" s="30"/>
      <c r="J66" s="30"/>
      <c r="K66" s="30"/>
      <c r="L66" s="30"/>
      <c r="M66" s="30"/>
      <c r="N66" s="30"/>
      <c r="O66" s="30"/>
      <c r="P66" s="30"/>
      <c r="Q66" s="30"/>
      <c r="R66" s="30"/>
      <c r="S66" s="30"/>
      <c r="T66" s="30"/>
      <c r="U66" s="30"/>
      <c r="V66" s="30"/>
      <c r="W66" s="30"/>
    </row>
    <row r="67" ht="15.75" hidden="1" customHeight="1">
      <c r="A67" s="30"/>
      <c r="B67" s="30"/>
      <c r="C67" s="30"/>
      <c r="D67" s="30"/>
      <c r="E67" s="30"/>
      <c r="F67" s="30"/>
      <c r="G67" s="30"/>
      <c r="H67" s="30"/>
      <c r="I67" s="30"/>
      <c r="J67" s="30"/>
      <c r="K67" s="30"/>
      <c r="L67" s="30"/>
      <c r="M67" s="30"/>
      <c r="N67" s="30"/>
      <c r="O67" s="30"/>
      <c r="P67" s="30"/>
      <c r="Q67" s="30"/>
      <c r="R67" s="30"/>
      <c r="S67" s="30"/>
      <c r="T67" s="30"/>
      <c r="U67" s="30"/>
      <c r="V67" s="30"/>
      <c r="W67" s="30"/>
    </row>
    <row r="68" ht="15.75" hidden="1" customHeight="1">
      <c r="A68" s="30"/>
      <c r="B68" s="30"/>
      <c r="C68" s="30"/>
      <c r="D68" s="30"/>
      <c r="E68" s="30"/>
      <c r="F68" s="30"/>
      <c r="G68" s="30"/>
      <c r="H68" s="30"/>
      <c r="I68" s="30"/>
      <c r="J68" s="30"/>
      <c r="K68" s="30"/>
      <c r="L68" s="30"/>
      <c r="M68" s="30"/>
      <c r="N68" s="30"/>
      <c r="O68" s="30"/>
      <c r="P68" s="30"/>
      <c r="Q68" s="30"/>
      <c r="R68" s="30"/>
      <c r="S68" s="30"/>
      <c r="T68" s="30"/>
      <c r="U68" s="30"/>
      <c r="V68" s="30"/>
      <c r="W68" s="30"/>
    </row>
    <row r="69" ht="15.75" hidden="1" customHeight="1">
      <c r="A69" s="30"/>
      <c r="B69" s="30"/>
      <c r="C69" s="30"/>
      <c r="D69" s="30"/>
      <c r="E69" s="30"/>
      <c r="F69" s="30"/>
      <c r="G69" s="30"/>
      <c r="H69" s="30"/>
      <c r="I69" s="30"/>
      <c r="J69" s="30"/>
      <c r="K69" s="30"/>
      <c r="L69" s="30"/>
      <c r="M69" s="30"/>
      <c r="N69" s="30"/>
      <c r="O69" s="30"/>
      <c r="P69" s="30"/>
      <c r="Q69" s="30"/>
      <c r="R69" s="30"/>
      <c r="S69" s="30"/>
      <c r="T69" s="30"/>
      <c r="U69" s="30"/>
      <c r="V69" s="30"/>
      <c r="W69" s="30"/>
    </row>
    <row r="70" ht="15.75" hidden="1" customHeight="1">
      <c r="A70" s="30"/>
      <c r="B70" s="30"/>
      <c r="C70" s="30"/>
      <c r="D70" s="30"/>
      <c r="E70" s="30"/>
      <c r="F70" s="30"/>
      <c r="G70" s="30"/>
      <c r="H70" s="30"/>
      <c r="I70" s="30"/>
      <c r="J70" s="30"/>
      <c r="K70" s="30"/>
      <c r="L70" s="30"/>
      <c r="M70" s="30"/>
      <c r="N70" s="30"/>
      <c r="O70" s="30"/>
      <c r="P70" s="30"/>
      <c r="Q70" s="30"/>
      <c r="R70" s="30"/>
      <c r="S70" s="30"/>
      <c r="T70" s="30"/>
      <c r="U70" s="30"/>
      <c r="V70" s="30"/>
      <c r="W70" s="30"/>
    </row>
    <row r="71" ht="15.75" hidden="1" customHeight="1">
      <c r="A71" s="30"/>
      <c r="B71" s="30"/>
      <c r="C71" s="30"/>
      <c r="D71" s="30"/>
      <c r="E71" s="30"/>
      <c r="F71" s="30"/>
      <c r="G71" s="30"/>
      <c r="H71" s="30"/>
      <c r="I71" s="30"/>
      <c r="J71" s="30"/>
      <c r="K71" s="30"/>
      <c r="L71" s="30"/>
      <c r="M71" s="30"/>
      <c r="N71" s="30"/>
      <c r="O71" s="30"/>
      <c r="P71" s="30"/>
      <c r="Q71" s="30"/>
      <c r="R71" s="30"/>
      <c r="S71" s="30"/>
      <c r="T71" s="30"/>
      <c r="U71" s="30"/>
      <c r="V71" s="30"/>
      <c r="W71" s="30"/>
    </row>
    <row r="72" ht="15.75" hidden="1" customHeight="1">
      <c r="A72" s="30"/>
      <c r="B72" s="30"/>
      <c r="C72" s="30"/>
      <c r="D72" s="30"/>
      <c r="E72" s="30"/>
      <c r="F72" s="30"/>
      <c r="G72" s="30"/>
      <c r="H72" s="30"/>
      <c r="I72" s="30"/>
      <c r="J72" s="30"/>
      <c r="K72" s="30"/>
      <c r="L72" s="30"/>
      <c r="M72" s="30"/>
      <c r="N72" s="30"/>
      <c r="O72" s="30"/>
      <c r="P72" s="30"/>
      <c r="Q72" s="30"/>
      <c r="R72" s="30"/>
      <c r="S72" s="30"/>
      <c r="T72" s="30"/>
      <c r="U72" s="30"/>
      <c r="V72" s="30"/>
      <c r="W72" s="30"/>
    </row>
    <row r="73" ht="15.75" hidden="1" customHeight="1">
      <c r="A73" s="30"/>
      <c r="B73" s="30"/>
      <c r="C73" s="30"/>
      <c r="D73" s="30"/>
      <c r="E73" s="30"/>
      <c r="F73" s="30"/>
      <c r="G73" s="30"/>
      <c r="H73" s="30"/>
      <c r="I73" s="30"/>
      <c r="J73" s="30"/>
      <c r="K73" s="30"/>
      <c r="L73" s="30"/>
      <c r="M73" s="30"/>
      <c r="N73" s="30"/>
      <c r="O73" s="30"/>
      <c r="P73" s="30"/>
      <c r="Q73" s="30"/>
      <c r="R73" s="30"/>
      <c r="S73" s="30"/>
      <c r="T73" s="30"/>
      <c r="U73" s="30"/>
      <c r="V73" s="30"/>
      <c r="W73" s="30"/>
    </row>
    <row r="74" ht="15.75" hidden="1" customHeight="1">
      <c r="A74" s="30"/>
      <c r="B74" s="30"/>
      <c r="C74" s="30"/>
      <c r="D74" s="30"/>
      <c r="E74" s="30"/>
      <c r="F74" s="30"/>
      <c r="G74" s="30"/>
      <c r="H74" s="30"/>
      <c r="I74" s="30"/>
      <c r="J74" s="30"/>
      <c r="K74" s="30"/>
      <c r="L74" s="30"/>
      <c r="M74" s="30"/>
      <c r="N74" s="30"/>
      <c r="O74" s="30"/>
      <c r="P74" s="30"/>
      <c r="Q74" s="30"/>
      <c r="R74" s="30"/>
      <c r="S74" s="30"/>
      <c r="T74" s="30"/>
      <c r="U74" s="30"/>
      <c r="V74" s="30"/>
      <c r="W74" s="30"/>
    </row>
    <row r="75" ht="15.75" hidden="1" customHeight="1">
      <c r="A75" s="30"/>
      <c r="B75" s="30"/>
      <c r="C75" s="30"/>
      <c r="D75" s="30"/>
      <c r="E75" s="30"/>
      <c r="F75" s="30"/>
      <c r="G75" s="30"/>
      <c r="H75" s="30"/>
      <c r="I75" s="30"/>
      <c r="J75" s="30"/>
      <c r="K75" s="30"/>
      <c r="L75" s="30"/>
      <c r="M75" s="30"/>
      <c r="N75" s="30"/>
      <c r="O75" s="30"/>
      <c r="P75" s="30"/>
      <c r="Q75" s="30"/>
      <c r="R75" s="30"/>
      <c r="S75" s="30"/>
      <c r="T75" s="30"/>
      <c r="U75" s="30"/>
      <c r="V75" s="30"/>
      <c r="W75" s="30"/>
    </row>
    <row r="76" ht="15.75" hidden="1" customHeight="1">
      <c r="A76" s="30"/>
      <c r="B76" s="30"/>
      <c r="C76" s="30"/>
      <c r="D76" s="30"/>
      <c r="E76" s="30"/>
      <c r="F76" s="30"/>
      <c r="G76" s="30"/>
      <c r="H76" s="30"/>
      <c r="I76" s="30"/>
      <c r="J76" s="30"/>
      <c r="K76" s="30"/>
      <c r="L76" s="30"/>
      <c r="M76" s="30"/>
      <c r="N76" s="30"/>
      <c r="O76" s="30"/>
      <c r="P76" s="30"/>
      <c r="Q76" s="30"/>
      <c r="R76" s="30"/>
      <c r="S76" s="30"/>
      <c r="T76" s="30"/>
      <c r="U76" s="30"/>
      <c r="V76" s="30"/>
      <c r="W76" s="30"/>
    </row>
    <row r="77" ht="15.75" hidden="1" customHeight="1">
      <c r="A77" s="30"/>
      <c r="B77" s="30"/>
      <c r="C77" s="30"/>
      <c r="D77" s="30"/>
      <c r="E77" s="30"/>
      <c r="F77" s="30"/>
      <c r="G77" s="30"/>
      <c r="H77" s="30"/>
      <c r="I77" s="30"/>
      <c r="J77" s="30"/>
      <c r="K77" s="30"/>
      <c r="L77" s="30"/>
      <c r="M77" s="30"/>
      <c r="N77" s="30"/>
      <c r="O77" s="30"/>
      <c r="P77" s="30"/>
      <c r="Q77" s="30"/>
      <c r="R77" s="30"/>
      <c r="S77" s="30"/>
      <c r="T77" s="30"/>
      <c r="U77" s="30"/>
      <c r="V77" s="30"/>
      <c r="W77" s="30"/>
    </row>
    <row r="78" ht="15.75" hidden="1" customHeight="1">
      <c r="A78" s="30"/>
      <c r="B78" s="30"/>
      <c r="C78" s="30"/>
      <c r="D78" s="30"/>
      <c r="E78" s="30"/>
      <c r="F78" s="30"/>
      <c r="G78" s="30"/>
      <c r="H78" s="30"/>
      <c r="I78" s="30"/>
      <c r="J78" s="30"/>
      <c r="K78" s="30"/>
      <c r="L78" s="30"/>
      <c r="M78" s="30"/>
      <c r="N78" s="30"/>
      <c r="O78" s="30"/>
      <c r="P78" s="30"/>
      <c r="Q78" s="30"/>
      <c r="R78" s="30"/>
      <c r="S78" s="30"/>
      <c r="T78" s="30"/>
      <c r="U78" s="30"/>
      <c r="V78" s="30"/>
      <c r="W78" s="30"/>
    </row>
    <row r="79" ht="15.75" hidden="1" customHeight="1">
      <c r="A79" s="30"/>
      <c r="B79" s="30"/>
      <c r="C79" s="30"/>
      <c r="D79" s="30"/>
      <c r="E79" s="30"/>
      <c r="F79" s="30"/>
      <c r="G79" s="30"/>
      <c r="H79" s="30"/>
      <c r="I79" s="30"/>
      <c r="J79" s="30"/>
      <c r="K79" s="30"/>
      <c r="L79" s="30"/>
      <c r="M79" s="30"/>
      <c r="N79" s="30"/>
      <c r="O79" s="30"/>
      <c r="P79" s="30"/>
      <c r="Q79" s="30"/>
      <c r="R79" s="30"/>
      <c r="S79" s="30"/>
      <c r="T79" s="30"/>
      <c r="U79" s="30"/>
      <c r="V79" s="30"/>
      <c r="W79" s="30"/>
    </row>
    <row r="80" ht="15.75" hidden="1" customHeight="1">
      <c r="A80" s="30"/>
      <c r="B80" s="30"/>
      <c r="C80" s="30"/>
      <c r="D80" s="30"/>
      <c r="E80" s="30"/>
      <c r="F80" s="30"/>
      <c r="G80" s="30"/>
      <c r="H80" s="30"/>
      <c r="I80" s="30"/>
      <c r="J80" s="30"/>
      <c r="K80" s="30"/>
      <c r="L80" s="30"/>
      <c r="M80" s="30"/>
      <c r="N80" s="30"/>
      <c r="O80" s="30"/>
      <c r="P80" s="30"/>
      <c r="Q80" s="30"/>
      <c r="R80" s="30"/>
      <c r="S80" s="30"/>
      <c r="T80" s="30"/>
      <c r="U80" s="30"/>
      <c r="V80" s="30"/>
      <c r="W80" s="30"/>
    </row>
    <row r="81" ht="15.75" hidden="1" customHeight="1">
      <c r="A81" s="30"/>
      <c r="B81" s="30"/>
      <c r="C81" s="30"/>
      <c r="D81" s="30"/>
      <c r="E81" s="30"/>
      <c r="F81" s="30"/>
      <c r="G81" s="30"/>
      <c r="H81" s="30"/>
      <c r="I81" s="30"/>
      <c r="J81" s="30"/>
      <c r="K81" s="30"/>
      <c r="L81" s="30"/>
      <c r="M81" s="30"/>
      <c r="N81" s="30"/>
      <c r="O81" s="30"/>
      <c r="P81" s="30"/>
      <c r="Q81" s="30"/>
      <c r="R81" s="30"/>
      <c r="S81" s="30"/>
      <c r="T81" s="30"/>
      <c r="U81" s="30"/>
      <c r="V81" s="30"/>
      <c r="W81" s="30"/>
    </row>
    <row r="82" ht="15.75" hidden="1" customHeight="1">
      <c r="A82" s="30"/>
      <c r="B82" s="30"/>
      <c r="C82" s="30"/>
      <c r="D82" s="30"/>
      <c r="E82" s="30"/>
      <c r="F82" s="30"/>
      <c r="G82" s="30"/>
      <c r="H82" s="30"/>
      <c r="I82" s="30"/>
      <c r="J82" s="30"/>
      <c r="K82" s="30"/>
      <c r="L82" s="30"/>
      <c r="M82" s="30"/>
      <c r="N82" s="30"/>
      <c r="O82" s="30"/>
      <c r="P82" s="30"/>
      <c r="Q82" s="30"/>
      <c r="R82" s="30"/>
      <c r="S82" s="30"/>
      <c r="T82" s="30"/>
      <c r="U82" s="30"/>
      <c r="V82" s="30"/>
      <c r="W82" s="30"/>
    </row>
    <row r="83" ht="15.75" hidden="1" customHeight="1">
      <c r="A83" s="30"/>
      <c r="B83" s="30"/>
      <c r="C83" s="30"/>
      <c r="D83" s="30"/>
      <c r="E83" s="30"/>
      <c r="F83" s="30"/>
      <c r="G83" s="30"/>
      <c r="H83" s="30"/>
      <c r="I83" s="30"/>
      <c r="J83" s="30"/>
      <c r="K83" s="30"/>
      <c r="L83" s="30"/>
      <c r="M83" s="30"/>
      <c r="N83" s="30"/>
      <c r="O83" s="30"/>
      <c r="P83" s="30"/>
      <c r="Q83" s="30"/>
      <c r="R83" s="30"/>
      <c r="S83" s="30"/>
      <c r="T83" s="30"/>
      <c r="U83" s="30"/>
      <c r="V83" s="30"/>
      <c r="W83" s="30"/>
    </row>
    <row r="84" ht="15.75" hidden="1" customHeight="1">
      <c r="A84" s="30"/>
      <c r="B84" s="30"/>
      <c r="C84" s="30"/>
      <c r="D84" s="30"/>
      <c r="E84" s="30"/>
      <c r="F84" s="30"/>
      <c r="G84" s="30"/>
      <c r="H84" s="30"/>
      <c r="I84" s="30"/>
      <c r="J84" s="30"/>
      <c r="K84" s="30"/>
      <c r="L84" s="30"/>
      <c r="M84" s="30"/>
      <c r="N84" s="30"/>
      <c r="O84" s="30"/>
      <c r="P84" s="30"/>
      <c r="Q84" s="30"/>
      <c r="R84" s="30"/>
      <c r="S84" s="30"/>
      <c r="T84" s="30"/>
      <c r="U84" s="30"/>
      <c r="V84" s="30"/>
      <c r="W84" s="30"/>
    </row>
    <row r="85" ht="15.75" hidden="1" customHeight="1">
      <c r="A85" s="30"/>
      <c r="B85" s="30"/>
      <c r="C85" s="30"/>
      <c r="D85" s="30"/>
      <c r="E85" s="30"/>
      <c r="F85" s="30"/>
      <c r="G85" s="30"/>
      <c r="H85" s="30"/>
      <c r="I85" s="30"/>
      <c r="J85" s="30"/>
      <c r="K85" s="30"/>
      <c r="L85" s="30"/>
      <c r="M85" s="30"/>
      <c r="N85" s="30"/>
      <c r="O85" s="30"/>
      <c r="P85" s="30"/>
      <c r="Q85" s="30"/>
      <c r="R85" s="30"/>
      <c r="S85" s="30"/>
      <c r="T85" s="30"/>
      <c r="U85" s="30"/>
      <c r="V85" s="30"/>
      <c r="W85" s="30"/>
    </row>
    <row r="86" ht="15.75" hidden="1" customHeight="1">
      <c r="A86" s="30"/>
      <c r="B86" s="30"/>
      <c r="C86" s="30"/>
      <c r="D86" s="30"/>
      <c r="E86" s="30"/>
      <c r="F86" s="30"/>
      <c r="G86" s="30"/>
      <c r="H86" s="30"/>
      <c r="I86" s="30"/>
      <c r="J86" s="30"/>
      <c r="K86" s="30"/>
      <c r="L86" s="30"/>
      <c r="M86" s="30"/>
      <c r="N86" s="30"/>
      <c r="O86" s="30"/>
      <c r="P86" s="30"/>
      <c r="Q86" s="30"/>
      <c r="R86" s="30"/>
      <c r="S86" s="30"/>
      <c r="T86" s="30"/>
      <c r="U86" s="30"/>
      <c r="V86" s="30"/>
      <c r="W86" s="30"/>
    </row>
    <row r="87" ht="15.75" hidden="1" customHeight="1">
      <c r="A87" s="30"/>
      <c r="B87" s="30"/>
      <c r="C87" s="30"/>
      <c r="D87" s="30"/>
      <c r="E87" s="30"/>
      <c r="F87" s="30"/>
      <c r="G87" s="30"/>
      <c r="H87" s="30"/>
      <c r="I87" s="30"/>
      <c r="J87" s="30"/>
      <c r="K87" s="30"/>
      <c r="L87" s="30"/>
      <c r="M87" s="30"/>
      <c r="N87" s="30"/>
      <c r="O87" s="30"/>
      <c r="P87" s="30"/>
      <c r="Q87" s="30"/>
      <c r="R87" s="30"/>
      <c r="S87" s="30"/>
      <c r="T87" s="30"/>
      <c r="U87" s="30"/>
      <c r="V87" s="30"/>
      <c r="W87" s="30"/>
    </row>
    <row r="88" ht="15.75" hidden="1" customHeight="1">
      <c r="A88" s="30"/>
      <c r="B88" s="30"/>
      <c r="C88" s="30"/>
      <c r="D88" s="30"/>
      <c r="E88" s="30"/>
      <c r="F88" s="30"/>
      <c r="G88" s="30"/>
      <c r="H88" s="30"/>
      <c r="I88" s="30"/>
      <c r="J88" s="30"/>
      <c r="K88" s="30"/>
      <c r="L88" s="30"/>
      <c r="M88" s="30"/>
      <c r="N88" s="30"/>
      <c r="O88" s="30"/>
      <c r="P88" s="30"/>
      <c r="Q88" s="30"/>
      <c r="R88" s="30"/>
      <c r="S88" s="30"/>
      <c r="T88" s="30"/>
      <c r="U88" s="30"/>
      <c r="V88" s="30"/>
      <c r="W88" s="30"/>
    </row>
    <row r="89" ht="15.75" hidden="1" customHeight="1">
      <c r="A89" s="30"/>
      <c r="B89" s="30"/>
      <c r="C89" s="30"/>
      <c r="D89" s="30"/>
      <c r="E89" s="30"/>
      <c r="F89" s="30"/>
      <c r="G89" s="30"/>
      <c r="H89" s="30"/>
      <c r="I89" s="30"/>
      <c r="J89" s="30"/>
      <c r="K89" s="30"/>
      <c r="L89" s="30"/>
      <c r="M89" s="30"/>
      <c r="N89" s="30"/>
      <c r="O89" s="30"/>
      <c r="P89" s="30"/>
      <c r="Q89" s="30"/>
      <c r="R89" s="30"/>
      <c r="S89" s="30"/>
      <c r="T89" s="30"/>
      <c r="U89" s="30"/>
      <c r="V89" s="30"/>
      <c r="W89" s="30"/>
    </row>
    <row r="90" ht="15.75" hidden="1" customHeight="1">
      <c r="A90" s="30"/>
      <c r="B90" s="30"/>
      <c r="C90" s="30"/>
      <c r="D90" s="30"/>
      <c r="E90" s="30"/>
      <c r="F90" s="30"/>
      <c r="G90" s="30"/>
      <c r="H90" s="30"/>
      <c r="I90" s="30"/>
      <c r="J90" s="30"/>
      <c r="K90" s="30"/>
      <c r="L90" s="30"/>
      <c r="M90" s="30"/>
      <c r="N90" s="30"/>
      <c r="O90" s="30"/>
      <c r="P90" s="30"/>
      <c r="Q90" s="30"/>
      <c r="R90" s="30"/>
      <c r="S90" s="30"/>
      <c r="T90" s="30"/>
      <c r="U90" s="30"/>
      <c r="V90" s="30"/>
      <c r="W90" s="30"/>
    </row>
    <row r="91" ht="15.75" hidden="1" customHeight="1">
      <c r="A91" s="30"/>
      <c r="B91" s="30"/>
      <c r="C91" s="30"/>
      <c r="D91" s="30"/>
      <c r="E91" s="30"/>
      <c r="F91" s="30"/>
      <c r="G91" s="30"/>
      <c r="H91" s="30"/>
      <c r="I91" s="30"/>
      <c r="J91" s="30"/>
      <c r="K91" s="30"/>
      <c r="L91" s="30"/>
      <c r="M91" s="30"/>
      <c r="N91" s="30"/>
      <c r="O91" s="30"/>
      <c r="P91" s="30"/>
      <c r="Q91" s="30"/>
      <c r="R91" s="30"/>
      <c r="S91" s="30"/>
      <c r="T91" s="30"/>
      <c r="U91" s="30"/>
      <c r="V91" s="30"/>
      <c r="W91" s="30"/>
    </row>
    <row r="92" ht="15.75" hidden="1" customHeight="1">
      <c r="A92" s="30"/>
      <c r="B92" s="30"/>
      <c r="C92" s="30"/>
      <c r="D92" s="30"/>
      <c r="E92" s="30"/>
      <c r="F92" s="30"/>
      <c r="G92" s="30"/>
      <c r="H92" s="30"/>
      <c r="I92" s="30"/>
      <c r="J92" s="30"/>
      <c r="K92" s="30"/>
      <c r="L92" s="30"/>
      <c r="M92" s="30"/>
      <c r="N92" s="30"/>
      <c r="O92" s="30"/>
      <c r="P92" s="30"/>
      <c r="Q92" s="30"/>
      <c r="R92" s="30"/>
      <c r="S92" s="30"/>
      <c r="T92" s="30"/>
      <c r="U92" s="30"/>
      <c r="V92" s="30"/>
      <c r="W92" s="30"/>
    </row>
    <row r="93" ht="15.75" hidden="1" customHeight="1">
      <c r="A93" s="30"/>
      <c r="B93" s="30"/>
      <c r="C93" s="30"/>
      <c r="D93" s="30"/>
      <c r="E93" s="30"/>
      <c r="F93" s="30"/>
      <c r="G93" s="30"/>
      <c r="H93" s="30"/>
      <c r="I93" s="30"/>
      <c r="J93" s="30"/>
      <c r="K93" s="30"/>
      <c r="L93" s="30"/>
      <c r="M93" s="30"/>
      <c r="N93" s="30"/>
      <c r="O93" s="30"/>
      <c r="P93" s="30"/>
      <c r="Q93" s="30"/>
      <c r="R93" s="30"/>
      <c r="S93" s="30"/>
      <c r="T93" s="30"/>
      <c r="U93" s="30"/>
      <c r="V93" s="30"/>
      <c r="W93" s="30"/>
    </row>
    <row r="94" ht="15.75" hidden="1" customHeight="1">
      <c r="A94" s="30"/>
      <c r="B94" s="30"/>
      <c r="C94" s="30"/>
      <c r="D94" s="30"/>
      <c r="E94" s="30"/>
      <c r="F94" s="30"/>
      <c r="G94" s="30"/>
      <c r="H94" s="30"/>
      <c r="I94" s="30"/>
      <c r="J94" s="30"/>
      <c r="K94" s="30"/>
      <c r="L94" s="30"/>
      <c r="M94" s="30"/>
      <c r="N94" s="30"/>
      <c r="O94" s="30"/>
      <c r="P94" s="30"/>
      <c r="Q94" s="30"/>
      <c r="R94" s="30"/>
      <c r="S94" s="30"/>
      <c r="T94" s="30"/>
      <c r="U94" s="30"/>
      <c r="V94" s="30"/>
      <c r="W94" s="30"/>
    </row>
    <row r="95" ht="15.75" hidden="1" customHeight="1">
      <c r="A95" s="30"/>
      <c r="B95" s="30"/>
      <c r="C95" s="30"/>
      <c r="D95" s="30"/>
      <c r="E95" s="30"/>
      <c r="F95" s="30"/>
      <c r="G95" s="30"/>
      <c r="H95" s="30"/>
      <c r="I95" s="30"/>
      <c r="J95" s="30"/>
      <c r="K95" s="30"/>
      <c r="L95" s="30"/>
      <c r="M95" s="30"/>
      <c r="N95" s="30"/>
      <c r="O95" s="30"/>
      <c r="P95" s="30"/>
      <c r="Q95" s="30"/>
      <c r="R95" s="30"/>
      <c r="S95" s="30"/>
      <c r="T95" s="30"/>
      <c r="U95" s="30"/>
      <c r="V95" s="30"/>
      <c r="W95" s="30"/>
    </row>
    <row r="96" ht="15.75" hidden="1" customHeight="1">
      <c r="A96" s="30"/>
      <c r="B96" s="30"/>
      <c r="C96" s="30"/>
      <c r="D96" s="30"/>
      <c r="E96" s="30"/>
      <c r="F96" s="30"/>
      <c r="G96" s="30"/>
      <c r="H96" s="30"/>
      <c r="I96" s="30"/>
      <c r="J96" s="30"/>
      <c r="K96" s="30"/>
      <c r="L96" s="30"/>
      <c r="M96" s="30"/>
      <c r="N96" s="30"/>
      <c r="O96" s="30"/>
      <c r="P96" s="30"/>
      <c r="Q96" s="30"/>
      <c r="R96" s="30"/>
      <c r="S96" s="30"/>
      <c r="T96" s="30"/>
      <c r="U96" s="30"/>
      <c r="V96" s="30"/>
      <c r="W96" s="30"/>
    </row>
    <row r="97" ht="15.75" hidden="1" customHeight="1">
      <c r="A97" s="30"/>
      <c r="B97" s="30"/>
      <c r="C97" s="30"/>
      <c r="D97" s="30"/>
      <c r="E97" s="30"/>
      <c r="F97" s="30"/>
      <c r="G97" s="30"/>
      <c r="H97" s="30"/>
      <c r="I97" s="30"/>
      <c r="J97" s="30"/>
      <c r="K97" s="30"/>
      <c r="L97" s="30"/>
      <c r="M97" s="30"/>
      <c r="N97" s="30"/>
      <c r="O97" s="30"/>
      <c r="P97" s="30"/>
      <c r="Q97" s="30"/>
      <c r="R97" s="30"/>
      <c r="S97" s="30"/>
      <c r="T97" s="30"/>
      <c r="U97" s="30"/>
      <c r="V97" s="30"/>
      <c r="W97" s="30"/>
    </row>
    <row r="98" ht="15.75" hidden="1" customHeight="1">
      <c r="A98" s="30"/>
      <c r="B98" s="30"/>
      <c r="C98" s="30"/>
      <c r="D98" s="30"/>
      <c r="E98" s="30"/>
      <c r="F98" s="30"/>
      <c r="G98" s="30"/>
      <c r="H98" s="30"/>
      <c r="I98" s="30"/>
      <c r="J98" s="30"/>
      <c r="K98" s="30"/>
      <c r="L98" s="30"/>
      <c r="M98" s="30"/>
      <c r="N98" s="30"/>
      <c r="O98" s="30"/>
      <c r="P98" s="30"/>
      <c r="Q98" s="30"/>
      <c r="R98" s="30"/>
      <c r="S98" s="30"/>
      <c r="T98" s="30"/>
      <c r="U98" s="30"/>
      <c r="V98" s="30"/>
      <c r="W98" s="30"/>
    </row>
    <row r="99" ht="15.75" hidden="1" customHeight="1">
      <c r="A99" s="30"/>
      <c r="B99" s="30"/>
      <c r="C99" s="30"/>
      <c r="D99" s="30"/>
      <c r="E99" s="30"/>
      <c r="F99" s="30"/>
      <c r="G99" s="30"/>
      <c r="H99" s="30"/>
      <c r="I99" s="30"/>
      <c r="J99" s="30"/>
      <c r="K99" s="30"/>
      <c r="L99" s="30"/>
      <c r="M99" s="30"/>
      <c r="N99" s="30"/>
      <c r="O99" s="30"/>
      <c r="P99" s="30"/>
      <c r="Q99" s="30"/>
      <c r="R99" s="30"/>
      <c r="S99" s="30"/>
      <c r="T99" s="30"/>
      <c r="U99" s="30"/>
      <c r="V99" s="30"/>
      <c r="W99" s="30"/>
    </row>
    <row r="100" ht="15.75" hidden="1"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row>
    <row r="101" ht="15.75" hidden="1"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row>
    <row r="102" ht="15.75" hidden="1"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row>
    <row r="103" ht="15.75" hidden="1"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row>
    <row r="104" ht="15.75" hidden="1"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row>
    <row r="105" ht="15.75" hidden="1"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row>
    <row r="106" ht="15.75" hidden="1"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row>
    <row r="107" ht="15.75" hidden="1"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row>
    <row r="108" ht="15.75" hidden="1"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row>
    <row r="109" ht="15.75" hidden="1"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row>
    <row r="110" ht="15.75" hidden="1"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row>
    <row r="111" ht="15.75" hidden="1"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row>
    <row r="112" ht="15.75" hidden="1"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row>
    <row r="113" ht="15.75" hidden="1"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row>
    <row r="114" ht="15.75" hidden="1"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row>
    <row r="115" ht="15.75" hidden="1"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row>
    <row r="116" ht="15.75" hidden="1"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row>
    <row r="117" ht="15.75" hidden="1"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row>
    <row r="118" ht="15.75" hidden="1"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row>
    <row r="119" ht="15.75" hidden="1"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row>
    <row r="120" ht="15.75" hidden="1"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row>
    <row r="121" ht="15.75" hidden="1"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row>
    <row r="122" ht="15.75" hidden="1"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row>
    <row r="123" ht="15.75" hidden="1"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row>
    <row r="124" ht="15.75" hidden="1"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row>
    <row r="125" ht="15.75" hidden="1"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row>
    <row r="126" ht="15.75" hidden="1"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row>
    <row r="127" ht="15.75" hidden="1"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row>
    <row r="128" ht="15.75" hidden="1"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row>
    <row r="129" ht="15.75" hidden="1"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row>
    <row r="130" ht="15.75" hidden="1"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row>
    <row r="131" ht="15.75" hidden="1"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row>
    <row r="132" ht="15.75" hidden="1"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row>
    <row r="133" ht="15.75" hidden="1"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row>
    <row r="134" ht="15.75" hidden="1"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row>
    <row r="135" ht="15.75" hidden="1"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row>
    <row r="136" ht="15.75" hidden="1"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row>
    <row r="137" ht="15.75" hidden="1"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row>
    <row r="138" ht="15.75" hidden="1"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row>
    <row r="139" ht="15.75" hidden="1"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row>
    <row r="140" ht="15.75" hidden="1"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row>
    <row r="141" ht="15.75" hidden="1"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row>
    <row r="142" ht="15.75" hidden="1"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row>
    <row r="143" ht="15.75" hidden="1"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row>
    <row r="144" ht="15.75" hidden="1"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row>
    <row r="145" ht="15.75" hidden="1"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row>
    <row r="146" ht="15.75" hidden="1"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row>
    <row r="147" ht="15.75" hidden="1"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row>
    <row r="148" ht="15.75" hidden="1"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row>
    <row r="149" ht="15.75" hidden="1"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row>
    <row r="150" ht="15.75" hidden="1"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row>
    <row r="151" ht="15.75" hidden="1"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row>
    <row r="152" ht="15.75" hidden="1"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row>
    <row r="153" ht="15.75" hidden="1"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row>
    <row r="154" ht="15.75" hidden="1"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row>
    <row r="155" ht="15.75" hidden="1"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row>
    <row r="156" ht="15.75" hidden="1"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row>
    <row r="157" ht="15.75" hidden="1"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row>
    <row r="158" ht="15.75" hidden="1"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row>
    <row r="159" ht="15.75" hidden="1"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row>
    <row r="160" ht="15.75" hidden="1"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row>
    <row r="161" ht="15.75" hidden="1"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row>
    <row r="162" ht="15.75" hidden="1"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row>
    <row r="163" ht="15.75" hidden="1"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row>
    <row r="164" ht="15.75" hidden="1"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row>
    <row r="165" ht="15.75" hidden="1"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row>
    <row r="166" ht="15.75" hidden="1"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row>
    <row r="167" ht="15.75" hidden="1"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row>
    <row r="168" ht="15.75" hidden="1"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row>
    <row r="169" ht="15.75" hidden="1"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row>
    <row r="170" ht="15.75" hidden="1"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row>
    <row r="171" ht="15.75" hidden="1"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row>
    <row r="172" ht="15.75" hidden="1"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row>
    <row r="173" ht="15.75" hidden="1"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row>
    <row r="174" ht="15.75" hidden="1"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row>
    <row r="175" ht="15.75" hidden="1"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row>
    <row r="176" ht="15.75" hidden="1"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row>
    <row r="177" ht="15.75" hidden="1"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row>
    <row r="178" ht="15.75" hidden="1"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row>
    <row r="179" ht="15.75" hidden="1"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row>
    <row r="180" ht="15.75" hidden="1"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row>
    <row r="181" ht="15.75" hidden="1"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row>
    <row r="182" ht="15.75" hidden="1"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row>
    <row r="183" ht="15.75" hidden="1"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row>
    <row r="184" ht="15.75" hidden="1"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row>
    <row r="185" ht="15.75" hidden="1"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row>
    <row r="186" ht="15.75" hidden="1"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row>
    <row r="187" ht="15.75" hidden="1"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row>
    <row r="188" ht="15.75" hidden="1"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row>
    <row r="189" ht="15.75" hidden="1"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row>
    <row r="190" ht="15.75" hidden="1"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row>
    <row r="191" ht="15.75" hidden="1"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row>
    <row r="192" ht="15.75" hidden="1"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row>
    <row r="193" ht="15.75" hidden="1"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row>
    <row r="194" ht="15.75" hidden="1"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row>
    <row r="195" ht="15.75" hidden="1"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row>
    <row r="196" ht="15.75" hidden="1"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row>
    <row r="197" ht="15.75" hidden="1"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row>
    <row r="198" ht="15.75" hidden="1"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row>
    <row r="199" ht="15.75" hidden="1"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row>
    <row r="200" ht="15.75" hidden="1"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row>
    <row r="201" ht="15.75" hidden="1"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row>
    <row r="202" ht="15.75" hidden="1"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row>
    <row r="203" ht="15.75" hidden="1"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row>
    <row r="204" ht="15.75" hidden="1"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row>
    <row r="205" ht="15.75" hidden="1"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row>
    <row r="206" ht="15.75" hidden="1"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row>
    <row r="207" ht="15.75" hidden="1"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row>
    <row r="208" ht="15.75" hidden="1"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row>
    <row r="209" ht="15.75" hidden="1"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row>
    <row r="210" ht="15.75" hidden="1"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row>
    <row r="211" ht="15.75" hidden="1"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row>
    <row r="212" ht="15.75" hidden="1"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row>
    <row r="213" ht="15.75" hidden="1"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row>
    <row r="214" ht="15.75" hidden="1"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row>
    <row r="215" ht="15.75" hidden="1"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row>
    <row r="216" ht="15.75" hidden="1"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row>
    <row r="217" ht="15.75" hidden="1"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row>
    <row r="218" ht="15.75" hidden="1"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row>
    <row r="219" ht="15.75" hidden="1"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row>
    <row r="220" ht="15.75" hidden="1"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row>
    <row r="221" ht="15.75" hidden="1"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row>
    <row r="222" ht="15.75" hidden="1"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row>
    <row r="223" ht="15.75" hidden="1"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row>
    <row r="224" ht="15.75" hidden="1"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row>
    <row r="225" ht="15.75" hidden="1"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row>
    <row r="226" ht="15.75" hidden="1"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row>
    <row r="227" ht="15.75" hidden="1"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row>
    <row r="228" ht="15.75" hidden="1"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row>
    <row r="229" ht="15.75" hidden="1"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row>
    <row r="230" ht="15.75" hidden="1"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row>
    <row r="231" ht="15.75" hidden="1"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row>
    <row r="232" ht="15.75" hidden="1"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71"/>
    <col customWidth="1" min="2" max="2" width="50.14"/>
    <col customWidth="1" min="3" max="3" width="2.0"/>
    <col customWidth="1" min="4" max="4" width="2.29"/>
    <col customWidth="1" min="5" max="6" width="14.43"/>
    <col customWidth="1" min="16" max="16" width="13.57"/>
    <col customWidth="1" min="17" max="17" width="1.71"/>
    <col customWidth="1" min="27" max="27" width="16.14"/>
    <col customWidth="1" min="28" max="28" width="7.86"/>
    <col customWidth="1" min="29" max="29" width="3.0"/>
  </cols>
  <sheetData>
    <row r="1">
      <c r="A1" s="39"/>
      <c r="B1" s="40"/>
      <c r="C1" s="40"/>
      <c r="D1" s="40"/>
      <c r="E1" s="40"/>
      <c r="F1" s="40"/>
      <c r="G1" s="40"/>
      <c r="H1" s="40"/>
      <c r="I1" s="40"/>
      <c r="J1" s="40"/>
      <c r="K1" s="40"/>
      <c r="L1" s="40"/>
      <c r="M1" s="40"/>
      <c r="N1" s="40"/>
      <c r="O1" s="40"/>
      <c r="P1" s="40"/>
      <c r="Q1" s="40"/>
      <c r="R1" s="40"/>
      <c r="S1" s="40"/>
      <c r="T1" s="40"/>
      <c r="U1" s="40"/>
      <c r="V1" s="40"/>
      <c r="W1" s="40"/>
      <c r="X1" s="40"/>
      <c r="Y1" s="40"/>
      <c r="Z1" s="40"/>
      <c r="AA1" s="41"/>
      <c r="AB1" s="41"/>
      <c r="AC1" s="41"/>
    </row>
    <row r="2" ht="39.75" customHeight="1">
      <c r="A2" s="42"/>
      <c r="B2" s="43" t="s">
        <v>52</v>
      </c>
      <c r="AB2" s="41"/>
      <c r="AC2" s="41"/>
    </row>
    <row r="3" ht="12.75" customHeight="1">
      <c r="A3" s="42"/>
      <c r="AB3" s="41"/>
      <c r="AC3" s="41"/>
    </row>
    <row r="4" ht="11.25" customHeight="1">
      <c r="A4" s="42"/>
      <c r="B4" s="44"/>
      <c r="C4" s="44"/>
      <c r="D4" s="45"/>
      <c r="E4" s="46"/>
      <c r="F4" s="47"/>
      <c r="G4" s="47"/>
      <c r="H4" s="47"/>
      <c r="I4" s="47"/>
      <c r="J4" s="47"/>
      <c r="K4" s="47"/>
      <c r="L4" s="47"/>
      <c r="M4" s="47"/>
      <c r="N4" s="47"/>
      <c r="O4" s="47"/>
      <c r="P4" s="47"/>
      <c r="Q4" s="47"/>
      <c r="R4" s="47"/>
      <c r="S4" s="47"/>
      <c r="T4" s="47"/>
      <c r="U4" s="47"/>
      <c r="V4" s="47"/>
      <c r="W4" s="47"/>
      <c r="X4" s="47"/>
      <c r="Y4" s="47"/>
      <c r="Z4" s="47"/>
      <c r="AA4" s="41"/>
      <c r="AB4" s="41"/>
      <c r="AC4" s="41"/>
    </row>
    <row r="5" ht="25.5" customHeight="1">
      <c r="A5" s="42"/>
      <c r="B5" s="48"/>
      <c r="C5" s="49"/>
      <c r="D5" s="41"/>
      <c r="E5" s="50" t="s">
        <v>53</v>
      </c>
      <c r="P5" s="51"/>
      <c r="Q5" s="41"/>
      <c r="R5" s="50" t="s">
        <v>54</v>
      </c>
      <c r="AB5" s="52"/>
      <c r="AC5" s="52"/>
    </row>
    <row r="6" ht="24.75" customHeight="1">
      <c r="A6" s="42"/>
      <c r="B6" s="53" t="s">
        <v>55</v>
      </c>
      <c r="C6" s="49"/>
      <c r="D6" s="54"/>
      <c r="E6" s="55"/>
      <c r="F6" s="56"/>
      <c r="G6" s="56"/>
      <c r="H6" s="56"/>
      <c r="I6" s="56"/>
      <c r="J6" s="56"/>
      <c r="K6" s="56"/>
      <c r="L6" s="56"/>
      <c r="M6" s="56"/>
      <c r="N6" s="56"/>
      <c r="O6" s="56"/>
      <c r="P6" s="57"/>
      <c r="Q6" s="58"/>
      <c r="R6" s="55"/>
      <c r="S6" s="56"/>
      <c r="T6" s="56"/>
      <c r="U6" s="56"/>
      <c r="V6" s="56"/>
      <c r="W6" s="56"/>
      <c r="X6" s="56"/>
      <c r="Y6" s="56"/>
      <c r="Z6" s="56"/>
      <c r="AA6" s="56"/>
      <c r="AB6" s="59"/>
      <c r="AC6" s="60"/>
    </row>
    <row r="7" ht="48.0" customHeight="1">
      <c r="A7" s="42"/>
      <c r="B7" s="61">
        <f>'Cashflows - Analysis'!N14</f>
        <v>29274570.41</v>
      </c>
      <c r="C7" s="49"/>
      <c r="D7" s="62"/>
      <c r="E7" s="39"/>
      <c r="F7" s="39"/>
      <c r="G7" s="39"/>
      <c r="H7" s="39"/>
      <c r="I7" s="39"/>
      <c r="J7" s="39"/>
      <c r="K7" s="39"/>
      <c r="L7" s="39"/>
      <c r="M7" s="39"/>
      <c r="N7" s="39"/>
      <c r="O7" s="39"/>
      <c r="P7" s="39"/>
      <c r="Q7" s="39"/>
      <c r="R7" s="39"/>
      <c r="S7" s="39"/>
      <c r="T7" s="39"/>
      <c r="U7" s="39"/>
      <c r="V7" s="39"/>
      <c r="W7" s="39"/>
      <c r="X7" s="39"/>
      <c r="Y7" s="39"/>
      <c r="Z7" s="39"/>
      <c r="AA7" s="41"/>
      <c r="AB7" s="41"/>
      <c r="AC7" s="41"/>
    </row>
    <row r="8" ht="15.75" customHeight="1">
      <c r="A8" s="42"/>
      <c r="B8" s="49"/>
      <c r="C8" s="49"/>
      <c r="D8" s="62"/>
      <c r="E8" s="39"/>
      <c r="F8" s="39"/>
      <c r="G8" s="39"/>
      <c r="H8" s="39"/>
      <c r="I8" s="39"/>
      <c r="J8" s="39"/>
      <c r="K8" s="39"/>
      <c r="L8" s="39"/>
      <c r="M8" s="39"/>
      <c r="N8" s="39"/>
      <c r="O8" s="39"/>
      <c r="P8" s="39"/>
      <c r="Q8" s="39"/>
      <c r="R8" s="39"/>
      <c r="S8" s="39"/>
      <c r="T8" s="39"/>
      <c r="U8" s="39"/>
      <c r="V8" s="39"/>
      <c r="W8" s="39"/>
      <c r="X8" s="39"/>
      <c r="Y8" s="39"/>
      <c r="Z8" s="39"/>
      <c r="AA8" s="41"/>
      <c r="AB8" s="41"/>
      <c r="AC8" s="41"/>
    </row>
    <row r="9" ht="16.5" customHeight="1">
      <c r="A9" s="42"/>
      <c r="B9" s="63"/>
      <c r="C9" s="49"/>
      <c r="D9" s="62"/>
      <c r="E9" s="39"/>
      <c r="F9" s="39"/>
      <c r="G9" s="39"/>
      <c r="H9" s="39"/>
      <c r="I9" s="39"/>
      <c r="J9" s="39"/>
      <c r="K9" s="39"/>
      <c r="L9" s="39"/>
      <c r="M9" s="39"/>
      <c r="N9" s="39"/>
      <c r="O9" s="39"/>
      <c r="P9" s="39"/>
      <c r="Q9" s="39"/>
      <c r="R9" s="39"/>
      <c r="S9" s="39"/>
      <c r="T9" s="39"/>
      <c r="U9" s="39"/>
      <c r="V9" s="39"/>
      <c r="W9" s="39"/>
      <c r="X9" s="39"/>
      <c r="Y9" s="39"/>
      <c r="Z9" s="39"/>
      <c r="AA9" s="41"/>
      <c r="AB9" s="41"/>
      <c r="AC9" s="41"/>
    </row>
    <row r="10" ht="24.0" customHeight="1">
      <c r="A10" s="42"/>
      <c r="B10" s="63"/>
      <c r="C10" s="49"/>
      <c r="D10" s="62"/>
      <c r="E10" s="39"/>
      <c r="F10" s="39"/>
      <c r="G10" s="39"/>
      <c r="H10" s="39"/>
      <c r="I10" s="39"/>
      <c r="J10" s="39"/>
      <c r="K10" s="39"/>
      <c r="L10" s="39"/>
      <c r="M10" s="39"/>
      <c r="N10" s="39"/>
      <c r="O10" s="39"/>
      <c r="P10" s="39"/>
      <c r="Q10" s="39"/>
      <c r="R10" s="39"/>
      <c r="S10" s="39"/>
      <c r="T10" s="39"/>
      <c r="U10" s="39"/>
      <c r="V10" s="39"/>
      <c r="W10" s="39"/>
      <c r="X10" s="39"/>
      <c r="Y10" s="39"/>
      <c r="Z10" s="39"/>
      <c r="AA10" s="41"/>
      <c r="AB10" s="41"/>
      <c r="AC10" s="41"/>
    </row>
    <row r="11" ht="30.0" customHeight="1">
      <c r="A11" s="42"/>
      <c r="B11" s="63"/>
      <c r="C11" s="49"/>
      <c r="D11" s="62"/>
      <c r="E11" s="39"/>
      <c r="F11" s="39"/>
      <c r="G11" s="39"/>
      <c r="H11" s="39"/>
      <c r="I11" s="39"/>
      <c r="J11" s="39"/>
      <c r="K11" s="39"/>
      <c r="L11" s="39"/>
      <c r="M11" s="39"/>
      <c r="N11" s="39"/>
      <c r="O11" s="39"/>
      <c r="P11" s="39"/>
      <c r="Q11" s="39"/>
      <c r="R11" s="39"/>
      <c r="S11" s="39"/>
      <c r="T11" s="39"/>
      <c r="U11" s="39"/>
      <c r="V11" s="39"/>
      <c r="W11" s="39"/>
      <c r="X11" s="39"/>
      <c r="Y11" s="39"/>
      <c r="Z11" s="39"/>
      <c r="AA11" s="41"/>
      <c r="AB11" s="41"/>
      <c r="AC11" s="41"/>
    </row>
    <row r="12" ht="48.75" customHeight="1">
      <c r="A12" s="42"/>
      <c r="B12" s="53" t="s">
        <v>56</v>
      </c>
      <c r="C12" s="49"/>
      <c r="D12" s="62"/>
      <c r="E12" s="39"/>
      <c r="F12" s="39"/>
      <c r="G12" s="39"/>
      <c r="H12" s="39"/>
      <c r="I12" s="39"/>
      <c r="J12" s="39"/>
      <c r="K12" s="39"/>
      <c r="L12" s="39"/>
      <c r="M12" s="39"/>
      <c r="N12" s="39"/>
      <c r="O12" s="39"/>
      <c r="P12" s="39"/>
      <c r="Q12" s="39"/>
      <c r="R12" s="39"/>
      <c r="S12" s="39"/>
      <c r="T12" s="39"/>
      <c r="U12" s="39"/>
      <c r="V12" s="39"/>
      <c r="W12" s="39"/>
      <c r="X12" s="39"/>
      <c r="Y12" s="39"/>
      <c r="Z12" s="39"/>
      <c r="AA12" s="41"/>
      <c r="AB12" s="41"/>
      <c r="AC12" s="41"/>
    </row>
    <row r="13" ht="37.5" customHeight="1">
      <c r="A13" s="42"/>
      <c r="B13" s="61">
        <f>'Cashflows - Analysis'!N13</f>
        <v>4054730.789</v>
      </c>
      <c r="C13" s="49"/>
      <c r="D13" s="62"/>
      <c r="E13" s="39"/>
      <c r="F13" s="39"/>
      <c r="G13" s="39"/>
      <c r="H13" s="39"/>
      <c r="I13" s="39"/>
      <c r="J13" s="39"/>
      <c r="K13" s="39"/>
      <c r="L13" s="39"/>
      <c r="M13" s="39"/>
      <c r="N13" s="39"/>
      <c r="O13" s="39"/>
      <c r="P13" s="39"/>
      <c r="Q13" s="39"/>
      <c r="R13" s="39"/>
      <c r="S13" s="39"/>
      <c r="T13" s="39"/>
      <c r="U13" s="39"/>
      <c r="V13" s="39"/>
      <c r="W13" s="39"/>
      <c r="X13" s="39"/>
      <c r="Y13" s="39"/>
      <c r="Z13" s="39"/>
      <c r="AA13" s="41"/>
      <c r="AB13" s="41"/>
      <c r="AC13" s="41"/>
    </row>
    <row r="14" ht="28.5" customHeight="1">
      <c r="A14" s="42"/>
      <c r="B14" s="49"/>
      <c r="C14" s="49"/>
      <c r="D14" s="62"/>
      <c r="E14" s="39"/>
      <c r="F14" s="39"/>
      <c r="G14" s="39"/>
      <c r="H14" s="39"/>
      <c r="I14" s="39"/>
      <c r="J14" s="39"/>
      <c r="K14" s="39"/>
      <c r="L14" s="39"/>
      <c r="M14" s="39"/>
      <c r="N14" s="39"/>
      <c r="O14" s="39"/>
      <c r="P14" s="39"/>
      <c r="Q14" s="39"/>
      <c r="R14" s="39"/>
      <c r="S14" s="39"/>
      <c r="T14" s="39"/>
      <c r="U14" s="39"/>
      <c r="V14" s="39"/>
      <c r="W14" s="39"/>
      <c r="X14" s="39"/>
      <c r="Y14" s="39"/>
      <c r="Z14" s="39"/>
      <c r="AA14" s="41"/>
      <c r="AB14" s="41"/>
      <c r="AC14" s="41"/>
    </row>
    <row r="15" ht="28.5" customHeight="1">
      <c r="A15" s="42"/>
      <c r="B15" s="49"/>
      <c r="C15" s="49"/>
      <c r="D15" s="62"/>
      <c r="E15" s="39"/>
      <c r="F15" s="39"/>
      <c r="G15" s="39"/>
      <c r="H15" s="39"/>
      <c r="I15" s="39"/>
      <c r="J15" s="39"/>
      <c r="K15" s="39"/>
      <c r="L15" s="39"/>
      <c r="M15" s="39"/>
      <c r="N15" s="39"/>
      <c r="O15" s="39"/>
      <c r="P15" s="39"/>
      <c r="Q15" s="39"/>
      <c r="R15" s="39"/>
      <c r="S15" s="39"/>
      <c r="T15" s="39"/>
      <c r="U15" s="39"/>
      <c r="V15" s="39"/>
      <c r="W15" s="39"/>
      <c r="X15" s="39"/>
      <c r="Y15" s="39"/>
      <c r="Z15" s="39"/>
      <c r="AA15" s="41"/>
      <c r="AB15" s="41"/>
      <c r="AC15" s="41"/>
    </row>
    <row r="16" ht="31.5" customHeight="1">
      <c r="A16" s="42"/>
      <c r="B16" s="49"/>
      <c r="C16" s="49"/>
      <c r="D16" s="62"/>
      <c r="E16" s="39"/>
      <c r="F16" s="39"/>
      <c r="G16" s="39"/>
      <c r="H16" s="39"/>
      <c r="I16" s="39"/>
      <c r="J16" s="39"/>
      <c r="K16" s="39"/>
      <c r="L16" s="39"/>
      <c r="M16" s="39"/>
      <c r="N16" s="39"/>
      <c r="O16" s="39"/>
      <c r="P16" s="39"/>
      <c r="Q16" s="39"/>
      <c r="R16" s="39"/>
      <c r="S16" s="39"/>
      <c r="T16" s="39"/>
      <c r="U16" s="39"/>
      <c r="V16" s="39"/>
      <c r="W16" s="39"/>
      <c r="X16" s="39"/>
      <c r="Y16" s="39"/>
      <c r="Z16" s="39"/>
      <c r="AA16" s="41"/>
      <c r="AB16" s="41"/>
      <c r="AC16" s="41"/>
    </row>
    <row r="17" ht="36.0" customHeight="1">
      <c r="A17" s="42"/>
      <c r="B17" s="53" t="s">
        <v>57</v>
      </c>
      <c r="C17" s="49"/>
      <c r="D17" s="62"/>
      <c r="E17" s="39"/>
      <c r="F17" s="39"/>
      <c r="G17" s="39"/>
      <c r="H17" s="39"/>
      <c r="I17" s="39"/>
      <c r="J17" s="39"/>
      <c r="K17" s="39"/>
      <c r="L17" s="39"/>
      <c r="M17" s="39"/>
      <c r="N17" s="39"/>
      <c r="O17" s="39"/>
      <c r="P17" s="39"/>
      <c r="Q17" s="39"/>
      <c r="R17" s="39"/>
      <c r="S17" s="39"/>
      <c r="T17" s="39"/>
      <c r="U17" s="39"/>
      <c r="V17" s="39"/>
      <c r="W17" s="39"/>
      <c r="X17" s="39"/>
      <c r="Y17" s="39"/>
      <c r="Z17" s="39"/>
      <c r="AA17" s="41"/>
      <c r="AB17" s="41"/>
      <c r="AC17" s="41"/>
    </row>
    <row r="18">
      <c r="A18" s="42"/>
      <c r="B18" s="64">
        <f>'Cashflows - Analysis'!N21</f>
        <v>0.4566621744</v>
      </c>
      <c r="C18" s="49"/>
      <c r="D18" s="62"/>
      <c r="E18" s="39"/>
      <c r="F18" s="39"/>
      <c r="G18" s="39"/>
      <c r="H18" s="39"/>
      <c r="I18" s="39"/>
      <c r="J18" s="39"/>
      <c r="K18" s="39"/>
      <c r="L18" s="39"/>
      <c r="M18" s="39"/>
      <c r="N18" s="39"/>
      <c r="O18" s="39"/>
      <c r="P18" s="39"/>
      <c r="Q18" s="39"/>
      <c r="R18" s="39"/>
      <c r="S18" s="39"/>
      <c r="T18" s="39"/>
      <c r="U18" s="39"/>
      <c r="V18" s="39"/>
      <c r="W18" s="39"/>
      <c r="X18" s="39"/>
      <c r="Y18" s="39"/>
      <c r="Z18" s="39"/>
      <c r="AA18" s="41"/>
      <c r="AB18" s="41"/>
      <c r="AC18" s="41"/>
    </row>
    <row r="19">
      <c r="A19" s="42"/>
      <c r="B19" s="49"/>
      <c r="C19" s="49"/>
      <c r="D19" s="62"/>
      <c r="E19" s="39"/>
      <c r="F19" s="39"/>
      <c r="G19" s="39"/>
      <c r="H19" s="39"/>
      <c r="I19" s="39"/>
      <c r="J19" s="39"/>
      <c r="K19" s="39"/>
      <c r="L19" s="39"/>
      <c r="M19" s="39"/>
      <c r="N19" s="39"/>
      <c r="O19" s="39"/>
      <c r="P19" s="39"/>
      <c r="Q19" s="39"/>
      <c r="R19" s="39"/>
      <c r="S19" s="39"/>
      <c r="T19" s="39"/>
      <c r="U19" s="39"/>
      <c r="V19" s="39"/>
      <c r="W19" s="39"/>
      <c r="X19" s="39"/>
      <c r="Y19" s="39"/>
      <c r="Z19" s="39"/>
      <c r="AA19" s="41"/>
      <c r="AB19" s="41"/>
      <c r="AC19" s="41"/>
    </row>
    <row r="20" ht="31.5" customHeight="1">
      <c r="A20" s="42"/>
      <c r="B20" s="49"/>
      <c r="C20" s="49"/>
      <c r="D20" s="62"/>
      <c r="E20" s="39"/>
      <c r="F20" s="39"/>
      <c r="G20" s="39"/>
      <c r="H20" s="39"/>
      <c r="I20" s="39"/>
      <c r="J20" s="39"/>
      <c r="K20" s="39"/>
      <c r="L20" s="39"/>
      <c r="M20" s="39"/>
      <c r="N20" s="39"/>
      <c r="O20" s="39"/>
      <c r="P20" s="39"/>
      <c r="Q20" s="39"/>
      <c r="R20" s="39"/>
      <c r="S20" s="39"/>
      <c r="T20" s="39"/>
      <c r="U20" s="39"/>
      <c r="V20" s="39"/>
      <c r="W20" s="39"/>
      <c r="X20" s="39"/>
      <c r="Y20" s="39"/>
      <c r="Z20" s="39"/>
      <c r="AA20" s="41"/>
      <c r="AB20" s="41"/>
      <c r="AC20" s="41"/>
    </row>
    <row r="21" ht="15.75" customHeight="1">
      <c r="A21" s="42"/>
      <c r="B21" s="49"/>
      <c r="C21" s="49"/>
      <c r="D21" s="62"/>
      <c r="E21" s="39"/>
      <c r="F21" s="39"/>
      <c r="G21" s="39"/>
      <c r="H21" s="39"/>
      <c r="I21" s="39"/>
      <c r="J21" s="39"/>
      <c r="K21" s="39"/>
      <c r="L21" s="39"/>
      <c r="M21" s="39"/>
      <c r="N21" s="39"/>
      <c r="O21" s="39"/>
      <c r="P21" s="39"/>
      <c r="Q21" s="39"/>
      <c r="R21" s="39"/>
      <c r="S21" s="39"/>
      <c r="T21" s="39"/>
      <c r="U21" s="39"/>
      <c r="V21" s="39"/>
      <c r="W21" s="39"/>
      <c r="X21" s="39"/>
      <c r="Y21" s="39"/>
      <c r="Z21" s="39"/>
      <c r="AA21" s="41"/>
      <c r="AB21" s="41"/>
      <c r="AC21" s="41"/>
    </row>
    <row r="22" ht="10.5" customHeight="1">
      <c r="A22" s="42"/>
      <c r="B22" s="49"/>
      <c r="C22" s="49"/>
      <c r="D22" s="62"/>
      <c r="E22" s="39"/>
      <c r="F22" s="39"/>
      <c r="G22" s="39"/>
      <c r="H22" s="39"/>
      <c r="I22" s="39"/>
      <c r="J22" s="39"/>
      <c r="K22" s="39"/>
      <c r="L22" s="39"/>
      <c r="M22" s="39"/>
      <c r="N22" s="39"/>
      <c r="O22" s="39"/>
      <c r="P22" s="39"/>
      <c r="Q22" s="39"/>
      <c r="R22" s="39"/>
      <c r="S22" s="39"/>
      <c r="T22" s="39"/>
      <c r="U22" s="39"/>
      <c r="V22" s="39"/>
      <c r="W22" s="39"/>
      <c r="X22" s="39"/>
      <c r="Y22" s="39"/>
      <c r="Z22" s="39"/>
      <c r="AA22" s="41"/>
      <c r="AB22" s="41"/>
      <c r="AC22" s="41"/>
    </row>
    <row r="23" ht="15.75" customHeight="1">
      <c r="A23" s="42"/>
      <c r="B23" s="49"/>
      <c r="C23" s="49"/>
      <c r="D23" s="62"/>
      <c r="E23" s="39"/>
      <c r="F23" s="39"/>
      <c r="G23" s="39"/>
      <c r="H23" s="39"/>
      <c r="I23" s="39"/>
      <c r="J23" s="39"/>
      <c r="K23" s="39"/>
      <c r="L23" s="39"/>
      <c r="M23" s="39"/>
      <c r="N23" s="39"/>
      <c r="O23" s="39"/>
      <c r="P23" s="39"/>
      <c r="Q23" s="39"/>
      <c r="R23" s="39"/>
      <c r="S23" s="39"/>
      <c r="T23" s="39"/>
      <c r="U23" s="39"/>
      <c r="V23" s="39"/>
      <c r="W23" s="39"/>
      <c r="X23" s="39"/>
      <c r="Y23" s="39"/>
      <c r="Z23" s="39"/>
      <c r="AA23" s="41"/>
      <c r="AB23" s="41"/>
      <c r="AC23" s="41"/>
    </row>
    <row r="24" ht="15.75" customHeight="1">
      <c r="A24" s="42"/>
      <c r="B24" s="53" t="s">
        <v>58</v>
      </c>
      <c r="C24" s="49"/>
      <c r="D24" s="62"/>
      <c r="E24" s="39"/>
      <c r="F24" s="39"/>
      <c r="G24" s="39"/>
      <c r="H24" s="39"/>
      <c r="I24" s="39"/>
      <c r="J24" s="39"/>
      <c r="K24" s="39"/>
      <c r="L24" s="39"/>
      <c r="M24" s="39"/>
      <c r="N24" s="39"/>
      <c r="O24" s="39"/>
      <c r="P24" s="39"/>
      <c r="Q24" s="39"/>
      <c r="R24" s="39"/>
      <c r="S24" s="39"/>
      <c r="T24" s="39"/>
      <c r="U24" s="39"/>
      <c r="V24" s="39"/>
      <c r="W24" s="39"/>
      <c r="X24" s="39"/>
      <c r="Y24" s="39"/>
      <c r="Z24" s="39"/>
      <c r="AA24" s="41"/>
      <c r="AB24" s="41"/>
      <c r="AC24" s="41"/>
    </row>
    <row r="25" ht="15.75" customHeight="1">
      <c r="A25" s="42"/>
      <c r="B25" s="65">
        <f>'Cashflows - Analysis'!N20</f>
        <v>1.727960337</v>
      </c>
      <c r="C25" s="49"/>
      <c r="D25" s="62"/>
      <c r="E25" s="39"/>
      <c r="F25" s="39"/>
      <c r="G25" s="39"/>
      <c r="H25" s="39"/>
      <c r="I25" s="39"/>
      <c r="J25" s="39"/>
      <c r="K25" s="39"/>
      <c r="L25" s="39"/>
      <c r="M25" s="39"/>
      <c r="N25" s="39"/>
      <c r="O25" s="39"/>
      <c r="P25" s="39"/>
      <c r="Q25" s="39"/>
      <c r="R25" s="39"/>
      <c r="S25" s="39"/>
      <c r="T25" s="39"/>
      <c r="U25" s="39"/>
      <c r="V25" s="39"/>
      <c r="W25" s="39"/>
      <c r="X25" s="39"/>
      <c r="Y25" s="39"/>
      <c r="Z25" s="39"/>
      <c r="AA25" s="41"/>
      <c r="AB25" s="41"/>
      <c r="AC25" s="41"/>
    </row>
    <row r="26" ht="15.75" customHeight="1">
      <c r="A26" s="42"/>
      <c r="B26" s="49"/>
      <c r="C26" s="49"/>
      <c r="D26" s="62"/>
      <c r="E26" s="39"/>
      <c r="F26" s="39"/>
      <c r="G26" s="39"/>
      <c r="H26" s="39"/>
      <c r="I26" s="39"/>
      <c r="J26" s="39"/>
      <c r="K26" s="39"/>
      <c r="L26" s="39"/>
      <c r="M26" s="39"/>
      <c r="N26" s="39"/>
      <c r="O26" s="39"/>
      <c r="P26" s="39"/>
      <c r="Q26" s="39"/>
      <c r="R26" s="39"/>
      <c r="S26" s="39"/>
      <c r="T26" s="39"/>
      <c r="U26" s="39"/>
      <c r="V26" s="39"/>
      <c r="W26" s="39"/>
      <c r="X26" s="39"/>
      <c r="Y26" s="39"/>
      <c r="Z26" s="39"/>
      <c r="AA26" s="41"/>
      <c r="AB26" s="41"/>
      <c r="AC26" s="41"/>
    </row>
    <row r="27" ht="15.75" customHeight="1">
      <c r="A27" s="42"/>
      <c r="B27" s="49"/>
      <c r="C27" s="49"/>
      <c r="D27" s="62"/>
      <c r="E27" s="39"/>
      <c r="F27" s="39"/>
      <c r="G27" s="39"/>
      <c r="H27" s="39"/>
      <c r="I27" s="39"/>
      <c r="J27" s="39"/>
      <c r="K27" s="39"/>
      <c r="L27" s="39"/>
      <c r="M27" s="39"/>
      <c r="N27" s="39"/>
      <c r="O27" s="39"/>
      <c r="P27" s="39"/>
      <c r="Q27" s="39"/>
      <c r="R27" s="39"/>
      <c r="S27" s="39"/>
      <c r="T27" s="39"/>
      <c r="U27" s="39"/>
      <c r="V27" s="39"/>
      <c r="W27" s="39"/>
      <c r="X27" s="39"/>
      <c r="Y27" s="39"/>
      <c r="Z27" s="39"/>
      <c r="AA27" s="41"/>
      <c r="AB27" s="41"/>
      <c r="AC27" s="41"/>
    </row>
    <row r="28" ht="15.75" customHeight="1">
      <c r="A28" s="39"/>
      <c r="B28" s="58"/>
      <c r="C28" s="58"/>
      <c r="D28" s="39"/>
      <c r="E28" s="39"/>
      <c r="F28" s="39"/>
      <c r="G28" s="39"/>
      <c r="H28" s="39"/>
      <c r="I28" s="39"/>
      <c r="J28" s="39"/>
      <c r="K28" s="39"/>
      <c r="L28" s="39"/>
      <c r="M28" s="39"/>
      <c r="N28" s="39"/>
      <c r="O28" s="39"/>
      <c r="P28" s="39"/>
      <c r="Q28" s="39"/>
      <c r="R28" s="39"/>
      <c r="S28" s="39"/>
      <c r="T28" s="39"/>
      <c r="U28" s="39"/>
      <c r="V28" s="39"/>
      <c r="W28" s="39"/>
      <c r="X28" s="39"/>
      <c r="Y28" s="39"/>
      <c r="Z28" s="39"/>
      <c r="AA28" s="41"/>
      <c r="AB28" s="41"/>
      <c r="AC28" s="41"/>
    </row>
    <row r="29" ht="15.75" customHeight="1">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41"/>
      <c r="AB29" s="41"/>
      <c r="AC29" s="41"/>
    </row>
    <row r="30" ht="15.75" customHeight="1">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41"/>
      <c r="AB30" s="41"/>
      <c r="AC30" s="41"/>
    </row>
    <row r="31" ht="15.75" hidden="1" customHeight="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41"/>
      <c r="AB31" s="41"/>
      <c r="AC31" s="41"/>
    </row>
    <row r="32" ht="15.75" hidden="1" customHeight="1">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41"/>
      <c r="AB32" s="41"/>
      <c r="AC32" s="41"/>
    </row>
    <row r="33" ht="15.75" hidden="1" customHeight="1">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41"/>
      <c r="AB33" s="41"/>
      <c r="AC33" s="41"/>
    </row>
    <row r="34" ht="15.75" hidden="1" customHeight="1">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41"/>
      <c r="AB34" s="41"/>
      <c r="AC34" s="41"/>
    </row>
    <row r="35" ht="15.75" hidden="1" customHeight="1">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41"/>
      <c r="AB35" s="41"/>
      <c r="AC35" s="41"/>
    </row>
    <row r="36" ht="15.75" hidden="1" customHeight="1">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41"/>
      <c r="AB36" s="41"/>
      <c r="AC36" s="41"/>
    </row>
    <row r="37" ht="15.75" hidden="1" customHeight="1">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41"/>
      <c r="AB37" s="41"/>
      <c r="AC37" s="41"/>
    </row>
    <row r="38" ht="15.75" hidden="1" customHeight="1">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41"/>
      <c r="AB38" s="41"/>
      <c r="AC38" s="41"/>
    </row>
    <row r="39" ht="15.75" hidden="1" customHeight="1">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41"/>
      <c r="AB39" s="41"/>
      <c r="AC39" s="41"/>
    </row>
    <row r="40" ht="15.75" hidden="1" customHeight="1">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41"/>
      <c r="AB40" s="41"/>
      <c r="AC40" s="41"/>
    </row>
    <row r="41" ht="15.75" hidden="1" customHeight="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41"/>
      <c r="AB41" s="41"/>
      <c r="AC41" s="41"/>
    </row>
    <row r="42" ht="15.75" hidden="1" customHeight="1">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41"/>
      <c r="AB42" s="41"/>
      <c r="AC42" s="41"/>
    </row>
    <row r="43" ht="15.75" hidden="1" customHeight="1">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41"/>
      <c r="AB43" s="41"/>
      <c r="AC43" s="41"/>
    </row>
    <row r="44" ht="15.75" hidden="1" customHeight="1">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41"/>
      <c r="AB44" s="41"/>
      <c r="AC44" s="41"/>
    </row>
    <row r="45" ht="15.75" hidden="1" customHeight="1">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41"/>
      <c r="AB45" s="41"/>
      <c r="AC45" s="41"/>
    </row>
    <row r="46" ht="15.75" hidden="1" customHeight="1">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41"/>
      <c r="AB46" s="41"/>
      <c r="AC46" s="41"/>
    </row>
    <row r="47" ht="15.75" hidden="1" customHeight="1">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41"/>
      <c r="AB47" s="41"/>
      <c r="AC47" s="41"/>
    </row>
    <row r="48" ht="15.75" hidden="1" customHeight="1">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41"/>
      <c r="AB48" s="41"/>
      <c r="AC48" s="41"/>
    </row>
    <row r="49" ht="15.75" hidden="1" customHeight="1">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41"/>
      <c r="AB49" s="41"/>
      <c r="AC49" s="41"/>
    </row>
    <row r="50" ht="15.75" hidden="1" customHeight="1">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41"/>
      <c r="AB50" s="41"/>
      <c r="AC50" s="41"/>
    </row>
    <row r="51" ht="15.75" hidden="1" customHeight="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41"/>
      <c r="AB51" s="41"/>
      <c r="AC51" s="41"/>
    </row>
    <row r="52" ht="15.75" hidden="1" customHeight="1">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41"/>
      <c r="AB52" s="41"/>
      <c r="AC52" s="41"/>
    </row>
    <row r="53" ht="15.75" hidden="1" customHeight="1">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41"/>
      <c r="AB53" s="41"/>
      <c r="AC53" s="41"/>
    </row>
    <row r="54" ht="15.75" hidden="1" customHeight="1">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41"/>
      <c r="AB54" s="41"/>
      <c r="AC54" s="41"/>
    </row>
    <row r="55" ht="15.75" hidden="1" customHeight="1">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41"/>
      <c r="AB55" s="41"/>
      <c r="AC55" s="41"/>
    </row>
    <row r="56" ht="15.75" hidden="1" customHeight="1">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41"/>
      <c r="AB56" s="41"/>
      <c r="AC56" s="41"/>
    </row>
    <row r="57" ht="15.75" hidden="1" customHeight="1">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41"/>
      <c r="AB57" s="41"/>
      <c r="AC57" s="41"/>
    </row>
    <row r="58" ht="15.75" hidden="1" customHeight="1">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41"/>
      <c r="AB58" s="41"/>
      <c r="AC58" s="41"/>
    </row>
    <row r="59" ht="15.75" hidden="1" customHeight="1">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41"/>
      <c r="AB59" s="41"/>
      <c r="AC59" s="41"/>
    </row>
    <row r="60" ht="15.75" hidden="1" customHeight="1">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41"/>
      <c r="AB60" s="41"/>
      <c r="AC60" s="41"/>
    </row>
    <row r="61" ht="15.75" hidden="1" customHeight="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41"/>
      <c r="AB61" s="41"/>
      <c r="AC61" s="41"/>
    </row>
    <row r="62" ht="15.75" hidden="1" customHeight="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41"/>
      <c r="AB62" s="41"/>
      <c r="AC62" s="41"/>
    </row>
    <row r="63" ht="15.75" hidden="1"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41"/>
      <c r="AB63" s="41"/>
      <c r="AC63" s="41"/>
    </row>
    <row r="64" ht="15.75" hidden="1"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41"/>
      <c r="AB64" s="41"/>
      <c r="AC64" s="41"/>
    </row>
    <row r="65" ht="15.75" hidden="1"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41"/>
      <c r="AB65" s="41"/>
      <c r="AC65" s="41"/>
    </row>
    <row r="66" ht="15.75" hidden="1"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41"/>
      <c r="AB66" s="41"/>
      <c r="AC66" s="41"/>
    </row>
    <row r="67" ht="15.75" hidden="1"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41"/>
      <c r="AB67" s="41"/>
      <c r="AC67" s="41"/>
    </row>
    <row r="68" ht="15.75" hidden="1"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41"/>
      <c r="AB68" s="41"/>
      <c r="AC68" s="41"/>
    </row>
    <row r="69" ht="15.75" hidden="1"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41"/>
      <c r="AB69" s="41"/>
      <c r="AC69" s="41"/>
    </row>
    <row r="70" ht="15.75" hidden="1"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41"/>
      <c r="AB70" s="41"/>
      <c r="AC70" s="41"/>
    </row>
    <row r="71" ht="15.75" hidden="1"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41"/>
      <c r="AB71" s="41"/>
      <c r="AC71" s="41"/>
    </row>
    <row r="72" ht="15.75" hidden="1"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41"/>
      <c r="AB72" s="41"/>
      <c r="AC72" s="41"/>
    </row>
    <row r="73" ht="15.75" hidden="1"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41"/>
      <c r="AB73" s="41"/>
      <c r="AC73" s="41"/>
    </row>
    <row r="74" ht="15.75" hidden="1"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41"/>
      <c r="AB74" s="41"/>
      <c r="AC74" s="41"/>
    </row>
    <row r="75" ht="15.75" hidden="1"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41"/>
      <c r="AB75" s="41"/>
      <c r="AC75" s="41"/>
    </row>
    <row r="76" ht="15.75" hidden="1"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41"/>
      <c r="AB76" s="41"/>
      <c r="AC76" s="41"/>
    </row>
    <row r="77" ht="15.75" hidden="1"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41"/>
      <c r="AB77" s="41"/>
      <c r="AC77" s="41"/>
    </row>
    <row r="78" ht="15.75" hidden="1"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41"/>
      <c r="AB78" s="41"/>
      <c r="AC78" s="41"/>
    </row>
    <row r="79" ht="15.75" hidden="1"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41"/>
      <c r="AB79" s="41"/>
      <c r="AC79" s="41"/>
    </row>
    <row r="80" ht="15.75" hidden="1"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41"/>
      <c r="AB80" s="41"/>
      <c r="AC80" s="41"/>
    </row>
    <row r="81" ht="15.75" hidden="1"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41"/>
      <c r="AB81" s="41"/>
      <c r="AC81" s="41"/>
    </row>
    <row r="82" ht="15.75" hidden="1"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41"/>
      <c r="AB82" s="41"/>
      <c r="AC82" s="41"/>
    </row>
    <row r="83" ht="15.75" hidden="1"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41"/>
      <c r="AB83" s="41"/>
      <c r="AC83" s="41"/>
    </row>
    <row r="84" ht="15.75" hidden="1"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41"/>
      <c r="AB84" s="41"/>
      <c r="AC84" s="41"/>
    </row>
    <row r="85" ht="15.75" hidden="1"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41"/>
      <c r="AB85" s="41"/>
      <c r="AC85" s="41"/>
    </row>
    <row r="86" ht="15.75" hidden="1"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41"/>
      <c r="AB86" s="41"/>
      <c r="AC86" s="41"/>
    </row>
    <row r="87" ht="15.75" hidden="1"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41"/>
      <c r="AB87" s="41"/>
      <c r="AC87" s="41"/>
    </row>
    <row r="88" ht="15.75" hidden="1"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41"/>
      <c r="AB88" s="41"/>
      <c r="AC88" s="41"/>
    </row>
    <row r="89" ht="15.75" hidden="1"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41"/>
      <c r="AB89" s="41"/>
      <c r="AC89" s="41"/>
    </row>
    <row r="90" ht="15.75" hidden="1"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41"/>
      <c r="AB90" s="41"/>
      <c r="AC90" s="41"/>
    </row>
    <row r="91" ht="15.75" hidden="1"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41"/>
      <c r="AB91" s="41"/>
      <c r="AC91" s="41"/>
    </row>
    <row r="92" ht="15.75" hidden="1"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41"/>
      <c r="AB92" s="41"/>
      <c r="AC92" s="41"/>
    </row>
    <row r="93" ht="15.75" hidden="1"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41"/>
      <c r="AB93" s="41"/>
      <c r="AC93" s="41"/>
    </row>
    <row r="94" ht="15.75" hidden="1"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41"/>
      <c r="AB94" s="41"/>
      <c r="AC94" s="41"/>
    </row>
    <row r="95" ht="15.75" hidden="1"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41"/>
      <c r="AB95" s="41"/>
      <c r="AC95" s="41"/>
    </row>
    <row r="96" ht="15.75" hidden="1"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41"/>
      <c r="AB96" s="41"/>
      <c r="AC96" s="41"/>
    </row>
    <row r="97" ht="15.75" hidden="1"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41"/>
      <c r="AB97" s="41"/>
      <c r="AC97" s="41"/>
    </row>
    <row r="98" ht="15.75" hidden="1"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41"/>
      <c r="AB98" s="41"/>
      <c r="AC98" s="41"/>
    </row>
    <row r="99" ht="15.75" hidden="1"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41"/>
      <c r="AB99" s="41"/>
      <c r="AC99" s="41"/>
    </row>
    <row r="100" ht="15.75" hidden="1"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41"/>
      <c r="AB100" s="41"/>
      <c r="AC100" s="41"/>
    </row>
    <row r="101" ht="15.75" hidden="1"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41"/>
      <c r="AB101" s="41"/>
      <c r="AC101" s="41"/>
    </row>
    <row r="102" ht="15.75" hidden="1"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41"/>
      <c r="AB102" s="41"/>
      <c r="AC102" s="41"/>
    </row>
    <row r="103" ht="15.75" hidden="1"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41"/>
      <c r="AB103" s="41"/>
      <c r="AC103" s="41"/>
    </row>
    <row r="104" ht="15.75" hidden="1"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41"/>
      <c r="AB104" s="41"/>
      <c r="AC104" s="41"/>
    </row>
    <row r="105" ht="15.75" hidden="1"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41"/>
      <c r="AB105" s="41"/>
      <c r="AC105" s="41"/>
    </row>
    <row r="106" ht="15.75" hidden="1"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41"/>
      <c r="AB106" s="41"/>
      <c r="AC106" s="41"/>
    </row>
    <row r="107" ht="15.75" hidden="1"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41"/>
      <c r="AB107" s="41"/>
      <c r="AC107" s="41"/>
    </row>
    <row r="108" ht="15.75" hidden="1"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41"/>
      <c r="AB108" s="41"/>
      <c r="AC108" s="41"/>
    </row>
    <row r="109" ht="15.75" hidden="1"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41"/>
      <c r="AB109" s="41"/>
      <c r="AC109" s="41"/>
    </row>
    <row r="110" ht="15.75" hidden="1"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41"/>
      <c r="AB110" s="41"/>
      <c r="AC110" s="41"/>
    </row>
    <row r="111" ht="15.75" hidden="1"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41"/>
      <c r="AB111" s="41"/>
      <c r="AC111" s="41"/>
    </row>
    <row r="112" ht="15.75" hidden="1"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41"/>
      <c r="AB112" s="41"/>
      <c r="AC112" s="41"/>
    </row>
    <row r="113" ht="15.75" hidden="1"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41"/>
      <c r="AB113" s="41"/>
      <c r="AC113" s="41"/>
    </row>
    <row r="114" ht="15.75" hidden="1"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41"/>
      <c r="AB114" s="41"/>
      <c r="AC114" s="41"/>
    </row>
    <row r="115" ht="15.75" hidden="1"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41"/>
      <c r="AB115" s="41"/>
      <c r="AC115" s="41"/>
    </row>
    <row r="116" ht="15.75" hidden="1"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41"/>
      <c r="AB116" s="41"/>
      <c r="AC116" s="41"/>
    </row>
    <row r="117" ht="15.75" hidden="1"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41"/>
      <c r="AB117" s="41"/>
      <c r="AC117" s="41"/>
    </row>
    <row r="118" ht="15.75" hidden="1"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41"/>
      <c r="AB118" s="41"/>
      <c r="AC118" s="41"/>
    </row>
    <row r="119" ht="15.75" hidden="1"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41"/>
      <c r="AB119" s="41"/>
      <c r="AC119" s="41"/>
    </row>
    <row r="120" ht="15.75" hidden="1"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41"/>
      <c r="AB120" s="41"/>
      <c r="AC120" s="41"/>
    </row>
    <row r="121" ht="15.75" hidden="1"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41"/>
      <c r="AB121" s="41"/>
      <c r="AC121" s="41"/>
    </row>
    <row r="122" ht="15.75" hidden="1"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41"/>
      <c r="AB122" s="41"/>
      <c r="AC122" s="41"/>
    </row>
    <row r="123" ht="15.75" hidden="1"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41"/>
      <c r="AB123" s="41"/>
      <c r="AC123" s="41"/>
    </row>
    <row r="124" ht="15.75" hidden="1"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41"/>
      <c r="AB124" s="41"/>
      <c r="AC124" s="41"/>
    </row>
    <row r="125" ht="15.75" hidden="1"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41"/>
      <c r="AB125" s="41"/>
      <c r="AC125" s="41"/>
    </row>
    <row r="126" ht="15.75" hidden="1"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41"/>
      <c r="AB126" s="41"/>
      <c r="AC126" s="41"/>
    </row>
    <row r="127" ht="15.75" hidden="1"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41"/>
      <c r="AB127" s="41"/>
      <c r="AC127" s="41"/>
    </row>
    <row r="128" ht="15.75" hidden="1"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41"/>
      <c r="AB128" s="41"/>
      <c r="AC128" s="41"/>
    </row>
    <row r="129" ht="15.75" hidden="1"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41"/>
      <c r="AB129" s="41"/>
      <c r="AC129" s="41"/>
    </row>
    <row r="130" ht="15.75" hidden="1"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41"/>
      <c r="AB130" s="41"/>
      <c r="AC130" s="41"/>
    </row>
    <row r="131" ht="15.75" hidden="1"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41"/>
      <c r="AB131" s="41"/>
      <c r="AC131" s="41"/>
    </row>
    <row r="132" ht="15.75" hidden="1"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41"/>
      <c r="AB132" s="41"/>
      <c r="AC132" s="41"/>
    </row>
    <row r="133" ht="15.75" hidden="1"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41"/>
      <c r="AB133" s="41"/>
      <c r="AC133" s="41"/>
    </row>
    <row r="134" ht="15.75" hidden="1"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41"/>
      <c r="AB134" s="41"/>
      <c r="AC134" s="41"/>
    </row>
    <row r="135" ht="15.75" hidden="1"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41"/>
      <c r="AB135" s="41"/>
      <c r="AC135" s="41"/>
    </row>
    <row r="136" ht="15.75" hidden="1"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41"/>
      <c r="AB136" s="41"/>
      <c r="AC136" s="41"/>
    </row>
    <row r="137" ht="15.75" hidden="1"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41"/>
      <c r="AB137" s="41"/>
      <c r="AC137" s="41"/>
    </row>
    <row r="138" ht="15.75" hidden="1"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41"/>
      <c r="AB138" s="41"/>
      <c r="AC138" s="41"/>
    </row>
    <row r="139" ht="15.75" hidden="1"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41"/>
      <c r="AB139" s="41"/>
      <c r="AC139" s="41"/>
    </row>
    <row r="140" ht="15.75" hidden="1"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41"/>
      <c r="AB140" s="41"/>
      <c r="AC140" s="41"/>
    </row>
    <row r="141" ht="15.75" hidden="1"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41"/>
      <c r="AB141" s="41"/>
      <c r="AC141" s="41"/>
    </row>
    <row r="142" ht="15.75" hidden="1"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41"/>
      <c r="AB142" s="41"/>
      <c r="AC142" s="41"/>
    </row>
    <row r="143" ht="15.75" hidden="1"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41"/>
      <c r="AB143" s="41"/>
      <c r="AC143" s="41"/>
    </row>
    <row r="144" ht="15.75" hidden="1"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41"/>
      <c r="AB144" s="41"/>
      <c r="AC144" s="41"/>
    </row>
    <row r="145" ht="15.75" hidden="1"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41"/>
      <c r="AB145" s="41"/>
      <c r="AC145" s="41"/>
    </row>
    <row r="146" ht="15.75" hidden="1"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41"/>
      <c r="AB146" s="41"/>
      <c r="AC146" s="41"/>
    </row>
    <row r="147" ht="15.75" hidden="1"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41"/>
      <c r="AB147" s="41"/>
      <c r="AC147" s="41"/>
    </row>
    <row r="148" ht="15.75" hidden="1"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41"/>
      <c r="AB148" s="41"/>
      <c r="AC148" s="41"/>
    </row>
    <row r="149" ht="15.75" hidden="1"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41"/>
      <c r="AB149" s="41"/>
      <c r="AC149" s="41"/>
    </row>
    <row r="150" ht="15.75" hidden="1"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41"/>
      <c r="AB150" s="41"/>
      <c r="AC150" s="41"/>
    </row>
    <row r="151" ht="15.75" hidden="1"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41"/>
      <c r="AB151" s="41"/>
      <c r="AC151" s="41"/>
    </row>
    <row r="152" ht="15.75" hidden="1"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41"/>
      <c r="AB152" s="41"/>
      <c r="AC152" s="41"/>
    </row>
    <row r="153" ht="15.75" hidden="1"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41"/>
      <c r="AB153" s="41"/>
      <c r="AC153" s="41"/>
    </row>
    <row r="154" ht="15.75" hidden="1"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41"/>
      <c r="AB154" s="41"/>
      <c r="AC154" s="41"/>
    </row>
    <row r="155" ht="15.75" hidden="1"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41"/>
      <c r="AB155" s="41"/>
      <c r="AC155" s="41"/>
    </row>
    <row r="156" ht="15.75" hidden="1"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41"/>
      <c r="AB156" s="41"/>
      <c r="AC156" s="41"/>
    </row>
    <row r="157" ht="15.75" hidden="1"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41"/>
      <c r="AB157" s="41"/>
      <c r="AC157" s="41"/>
    </row>
    <row r="158" ht="15.75" hidden="1"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41"/>
      <c r="AB158" s="41"/>
      <c r="AC158" s="41"/>
    </row>
    <row r="159" ht="15.75" hidden="1"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41"/>
      <c r="AB159" s="41"/>
      <c r="AC159" s="41"/>
    </row>
    <row r="160" ht="15.75" hidden="1"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41"/>
      <c r="AB160" s="41"/>
      <c r="AC160" s="41"/>
    </row>
    <row r="161" ht="15.75" hidden="1"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41"/>
      <c r="AB161" s="41"/>
      <c r="AC161" s="41"/>
    </row>
    <row r="162" ht="15.75" hidden="1"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41"/>
      <c r="AB162" s="41"/>
      <c r="AC162" s="41"/>
    </row>
    <row r="163" ht="15.75" hidden="1"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41"/>
      <c r="AB163" s="41"/>
      <c r="AC163" s="41"/>
    </row>
    <row r="164" ht="15.75" hidden="1"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41"/>
      <c r="AB164" s="41"/>
      <c r="AC164" s="41"/>
    </row>
    <row r="165" ht="15.75" hidden="1"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41"/>
      <c r="AB165" s="41"/>
      <c r="AC165" s="41"/>
    </row>
    <row r="166" ht="15.75" hidden="1"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41"/>
      <c r="AB166" s="41"/>
      <c r="AC166" s="41"/>
    </row>
    <row r="167" ht="15.75" hidden="1"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41"/>
      <c r="AB167" s="41"/>
      <c r="AC167" s="41"/>
    </row>
    <row r="168" ht="15.75" hidden="1"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41"/>
      <c r="AB168" s="41"/>
      <c r="AC168" s="41"/>
    </row>
    <row r="169" ht="15.75" hidden="1"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41"/>
      <c r="AB169" s="41"/>
      <c r="AC169" s="41"/>
    </row>
    <row r="170" ht="15.75" hidden="1"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41"/>
      <c r="AB170" s="41"/>
      <c r="AC170" s="41"/>
    </row>
    <row r="171" ht="15.75" hidden="1"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41"/>
      <c r="AB171" s="41"/>
      <c r="AC171" s="41"/>
    </row>
    <row r="172" ht="15.75" hidden="1"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41"/>
      <c r="AB172" s="41"/>
      <c r="AC172" s="41"/>
    </row>
    <row r="173" ht="15.75" hidden="1"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41"/>
      <c r="AB173" s="41"/>
      <c r="AC173" s="41"/>
    </row>
    <row r="174" ht="15.75" hidden="1"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41"/>
      <c r="AB174" s="41"/>
      <c r="AC174" s="41"/>
    </row>
    <row r="175" ht="15.75" hidden="1"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41"/>
      <c r="AB175" s="41"/>
      <c r="AC175" s="41"/>
    </row>
    <row r="176" ht="15.75" hidden="1"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41"/>
      <c r="AB176" s="41"/>
      <c r="AC176" s="41"/>
    </row>
    <row r="177" ht="15.75" hidden="1"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41"/>
      <c r="AB177" s="41"/>
      <c r="AC177" s="41"/>
    </row>
    <row r="178" ht="15.75" hidden="1"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41"/>
      <c r="AB178" s="41"/>
      <c r="AC178" s="41"/>
    </row>
    <row r="179" ht="15.75" hidden="1"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41"/>
      <c r="AB179" s="41"/>
      <c r="AC179" s="41"/>
    </row>
    <row r="180" ht="15.75" hidden="1"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41"/>
      <c r="AB180" s="41"/>
      <c r="AC180" s="41"/>
    </row>
    <row r="181" ht="15.75" hidden="1"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41"/>
      <c r="AB181" s="41"/>
      <c r="AC181" s="41"/>
    </row>
    <row r="182" ht="15.75" hidden="1"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41"/>
      <c r="AB182" s="41"/>
      <c r="AC182" s="41"/>
    </row>
    <row r="183" ht="15.75" hidden="1"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41"/>
      <c r="AB183" s="41"/>
      <c r="AC183" s="41"/>
    </row>
    <row r="184" ht="15.75" hidden="1"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41"/>
      <c r="AB184" s="41"/>
      <c r="AC184" s="41"/>
    </row>
    <row r="185" ht="15.75" hidden="1"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41"/>
      <c r="AB185" s="41"/>
      <c r="AC185" s="41"/>
    </row>
    <row r="186" ht="15.75" hidden="1"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41"/>
      <c r="AB186" s="41"/>
      <c r="AC186" s="41"/>
    </row>
    <row r="187" ht="15.75" hidden="1"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41"/>
      <c r="AB187" s="41"/>
      <c r="AC187" s="41"/>
    </row>
    <row r="188" ht="15.75" hidden="1"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41"/>
      <c r="AB188" s="41"/>
      <c r="AC188" s="41"/>
    </row>
    <row r="189" ht="15.75" hidden="1"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41"/>
      <c r="AB189" s="41"/>
      <c r="AC189" s="41"/>
    </row>
    <row r="190" ht="15.75" hidden="1"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41"/>
      <c r="AB190" s="41"/>
      <c r="AC190" s="41"/>
    </row>
    <row r="191" ht="15.75" hidden="1"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41"/>
      <c r="AB191" s="41"/>
      <c r="AC191" s="41"/>
    </row>
    <row r="192" ht="15.75" hidden="1"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41"/>
      <c r="AB192" s="41"/>
      <c r="AC192" s="41"/>
    </row>
    <row r="193" ht="15.75" hidden="1"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41"/>
      <c r="AB193" s="41"/>
      <c r="AC193" s="41"/>
    </row>
    <row r="194" ht="15.75" hidden="1"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41"/>
      <c r="AB194" s="41"/>
      <c r="AC194" s="41"/>
    </row>
    <row r="195" ht="15.75" hidden="1"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41"/>
      <c r="AB195" s="41"/>
      <c r="AC195" s="41"/>
    </row>
    <row r="196" ht="15.75" hidden="1"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41"/>
      <c r="AB196" s="41"/>
      <c r="AC196" s="41"/>
    </row>
    <row r="197" ht="15.75" hidden="1"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41"/>
      <c r="AB197" s="41"/>
      <c r="AC197" s="41"/>
    </row>
    <row r="198" ht="15.75" hidden="1"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41"/>
      <c r="AB198" s="41"/>
      <c r="AC198" s="41"/>
    </row>
    <row r="199" ht="15.75" hidden="1"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41"/>
      <c r="AB199" s="41"/>
      <c r="AC199" s="41"/>
    </row>
    <row r="200" ht="15.75" hidden="1"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41"/>
      <c r="AB200" s="41"/>
      <c r="AC200" s="41"/>
    </row>
    <row r="201" ht="15.75" hidden="1"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41"/>
      <c r="AB201" s="41"/>
      <c r="AC201" s="41"/>
    </row>
    <row r="202" ht="15.75" hidden="1"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41"/>
      <c r="AB202" s="41"/>
      <c r="AC202" s="41"/>
    </row>
    <row r="203" ht="15.75" hidden="1"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41"/>
      <c r="AB203" s="41"/>
      <c r="AC203" s="41"/>
    </row>
    <row r="204" ht="15.75" hidden="1"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41"/>
      <c r="AB204" s="41"/>
      <c r="AC204" s="41"/>
    </row>
    <row r="205" ht="15.75" hidden="1"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41"/>
      <c r="AB205" s="41"/>
      <c r="AC205" s="41"/>
    </row>
    <row r="206" ht="15.75" hidden="1"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41"/>
      <c r="AB206" s="41"/>
      <c r="AC206" s="41"/>
    </row>
    <row r="207" ht="15.75" hidden="1"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41"/>
      <c r="AB207" s="41"/>
      <c r="AC207" s="41"/>
    </row>
    <row r="208" ht="15.75" hidden="1"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41"/>
      <c r="AB208" s="41"/>
      <c r="AC208" s="41"/>
    </row>
    <row r="209" ht="15.75" hidden="1"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41"/>
      <c r="AB209" s="41"/>
      <c r="AC209" s="41"/>
    </row>
    <row r="210" ht="15.75" hidden="1"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41"/>
      <c r="AB210" s="41"/>
      <c r="AC210" s="41"/>
    </row>
    <row r="211" ht="15.75" hidden="1"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41"/>
      <c r="AB211" s="41"/>
      <c r="AC211" s="41"/>
    </row>
    <row r="212" ht="15.75" hidden="1"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41"/>
      <c r="AB212" s="41"/>
      <c r="AC212" s="41"/>
    </row>
    <row r="213" ht="15.75" hidden="1"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41"/>
      <c r="AB213" s="41"/>
      <c r="AC213" s="41"/>
    </row>
    <row r="214" ht="15.75" hidden="1"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41"/>
      <c r="AB214" s="41"/>
      <c r="AC214" s="41"/>
    </row>
    <row r="215" ht="15.75" hidden="1"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41"/>
      <c r="AB215" s="41"/>
      <c r="AC215" s="41"/>
    </row>
    <row r="216" ht="15.75" hidden="1"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41"/>
      <c r="AB216" s="41"/>
      <c r="AC216" s="41"/>
    </row>
    <row r="217" ht="15.75" hidden="1"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41"/>
      <c r="AB217" s="41"/>
      <c r="AC217" s="41"/>
    </row>
    <row r="218" ht="15.75" hidden="1"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41"/>
      <c r="AB218" s="41"/>
      <c r="AC218" s="41"/>
    </row>
    <row r="219" ht="15.75" hidden="1"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41"/>
      <c r="AB219" s="41"/>
      <c r="AC219" s="41"/>
    </row>
    <row r="220" ht="15.75" hidden="1"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41"/>
      <c r="AB220" s="41"/>
      <c r="AC220" s="41"/>
    </row>
    <row r="221" ht="15.75" hidden="1"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41"/>
      <c r="AB221" s="41"/>
      <c r="AC221" s="41"/>
    </row>
    <row r="222" ht="15.75" hidden="1"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41"/>
      <c r="AB222" s="41"/>
      <c r="AC222" s="41"/>
    </row>
    <row r="223" ht="15.75" hidden="1"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41"/>
      <c r="AB223" s="41"/>
      <c r="AC223" s="41"/>
    </row>
    <row r="224" ht="15.75" hidden="1"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41"/>
      <c r="AB224" s="41"/>
      <c r="AC224" s="41"/>
    </row>
    <row r="225" ht="15.75" hidden="1"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41"/>
      <c r="AB225" s="41"/>
      <c r="AC225" s="41"/>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AA3"/>
    <mergeCell ref="E5:P6"/>
    <mergeCell ref="R5:AA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9"/>
    <col customWidth="1" min="2" max="2" width="44.14"/>
    <col customWidth="1" min="3" max="3" width="23.14"/>
    <col customWidth="1" min="4" max="4" width="24.29"/>
    <col customWidth="1" min="5" max="5" width="30.43"/>
    <col customWidth="1" min="6" max="6" width="19.71"/>
    <col customWidth="1" min="7" max="7" width="32.43"/>
    <col customWidth="1" min="8" max="8" width="32.29"/>
    <col customWidth="1" min="9" max="9" width="21.71"/>
    <col customWidth="1" min="10" max="10" width="29.29"/>
    <col customWidth="1" min="11" max="11" width="19.57"/>
    <col customWidth="1" min="12" max="12" width="20.71"/>
    <col customWidth="1" min="13" max="13" width="19.86"/>
    <col customWidth="1" min="18" max="18" width="16.14"/>
    <col customWidth="1" min="19" max="19" width="31.14"/>
    <col customWidth="1" min="20" max="22" width="14.43"/>
    <col customWidth="1" min="23" max="23" width="25.0"/>
    <col customWidth="1" min="24" max="24" width="28.71"/>
    <col customWidth="1" min="25" max="36" width="14.43"/>
  </cols>
  <sheetData>
    <row r="1">
      <c r="A1" s="66"/>
      <c r="B1" s="66"/>
      <c r="C1" s="67"/>
      <c r="D1" s="66"/>
      <c r="E1" s="66"/>
      <c r="F1" s="67"/>
      <c r="G1" s="66"/>
      <c r="H1" s="66"/>
      <c r="I1" s="66"/>
      <c r="J1" s="66"/>
      <c r="K1" s="66"/>
      <c r="L1" s="66"/>
      <c r="M1" s="66"/>
      <c r="N1" s="66"/>
      <c r="O1" s="66"/>
      <c r="P1" s="66"/>
      <c r="Q1" s="66"/>
      <c r="R1" s="66"/>
      <c r="S1" s="68"/>
      <c r="T1" s="66"/>
      <c r="U1" s="69"/>
      <c r="V1" s="70"/>
      <c r="W1" s="70"/>
      <c r="X1" s="70"/>
      <c r="Y1" s="71"/>
      <c r="Z1" s="66"/>
      <c r="AA1" s="66"/>
      <c r="AB1" s="66"/>
      <c r="AC1" s="66"/>
      <c r="AD1" s="66"/>
      <c r="AE1" s="66"/>
      <c r="AF1" s="66"/>
      <c r="AG1" s="66"/>
      <c r="AH1" s="66"/>
    </row>
    <row r="2">
      <c r="A2" s="68"/>
      <c r="B2" s="72" t="s">
        <v>59</v>
      </c>
      <c r="C2" s="73"/>
      <c r="D2" s="68"/>
      <c r="E2" s="73"/>
      <c r="F2" s="73"/>
      <c r="G2" s="68"/>
      <c r="H2" s="73"/>
      <c r="I2" s="73"/>
      <c r="J2" s="68"/>
      <c r="K2" s="68"/>
      <c r="L2" s="68"/>
      <c r="M2" s="68"/>
      <c r="N2" s="68"/>
      <c r="O2" s="68"/>
      <c r="P2" s="68"/>
      <c r="Q2" s="68"/>
      <c r="R2" s="68"/>
      <c r="S2" s="68"/>
      <c r="T2" s="68"/>
      <c r="U2" s="74"/>
      <c r="V2" s="70"/>
      <c r="W2" s="70"/>
      <c r="X2" s="70"/>
      <c r="Y2" s="75"/>
      <c r="Z2" s="68"/>
      <c r="AA2" s="68"/>
      <c r="AB2" s="68"/>
      <c r="AC2" s="68"/>
      <c r="AD2" s="68"/>
      <c r="AE2" s="68"/>
      <c r="AF2" s="68"/>
      <c r="AG2" s="68"/>
      <c r="AH2" s="68"/>
    </row>
    <row r="3">
      <c r="A3" s="76"/>
      <c r="B3" s="77" t="s">
        <v>60</v>
      </c>
      <c r="C3" s="73"/>
      <c r="D3" s="76"/>
      <c r="E3" s="73"/>
      <c r="F3" s="73"/>
      <c r="G3" s="76"/>
      <c r="H3" s="73"/>
      <c r="I3" s="73"/>
      <c r="J3" s="76"/>
      <c r="K3" s="76"/>
      <c r="L3" s="76"/>
      <c r="M3" s="76"/>
      <c r="N3" s="76"/>
      <c r="O3" s="76"/>
      <c r="P3" s="76"/>
      <c r="Q3" s="76"/>
      <c r="R3" s="76"/>
      <c r="S3" s="76"/>
      <c r="T3" s="76"/>
      <c r="U3" s="74"/>
      <c r="V3" s="70"/>
      <c r="W3" s="70"/>
      <c r="X3" s="70"/>
      <c r="Y3" s="75"/>
      <c r="Z3" s="68"/>
      <c r="AA3" s="68"/>
      <c r="AB3" s="68"/>
      <c r="AC3" s="68"/>
      <c r="AD3" s="68"/>
      <c r="AE3" s="68"/>
      <c r="AF3" s="68"/>
      <c r="AG3" s="68"/>
      <c r="AH3" s="68"/>
    </row>
    <row r="4">
      <c r="A4" s="76"/>
      <c r="B4" s="77"/>
      <c r="C4" s="73"/>
      <c r="D4" s="76"/>
      <c r="E4" s="73"/>
      <c r="F4" s="73"/>
      <c r="G4" s="76"/>
      <c r="H4" s="73"/>
      <c r="I4" s="73"/>
      <c r="J4" s="76"/>
      <c r="K4" s="76"/>
      <c r="L4" s="76"/>
      <c r="M4" s="76"/>
      <c r="N4" s="76"/>
      <c r="O4" s="76"/>
      <c r="P4" s="76"/>
      <c r="Q4" s="76"/>
      <c r="R4" s="76"/>
      <c r="S4" s="76"/>
      <c r="T4" s="76"/>
      <c r="U4" s="74"/>
      <c r="V4" s="70"/>
      <c r="W4" s="70"/>
      <c r="X4" s="70"/>
      <c r="Y4" s="75"/>
      <c r="Z4" s="68"/>
      <c r="AA4" s="68"/>
      <c r="AB4" s="68"/>
      <c r="AC4" s="68"/>
      <c r="AD4" s="68"/>
      <c r="AE4" s="68"/>
      <c r="AF4" s="68"/>
      <c r="AG4" s="68"/>
      <c r="AH4" s="68"/>
    </row>
    <row r="5">
      <c r="A5" s="76"/>
      <c r="B5" s="78"/>
      <c r="C5" s="79" t="s">
        <v>61</v>
      </c>
      <c r="D5" s="80"/>
      <c r="E5" s="81"/>
      <c r="F5" s="73"/>
      <c r="G5" s="76"/>
      <c r="H5" s="73"/>
      <c r="I5" s="73"/>
      <c r="J5" s="76"/>
      <c r="K5" s="76"/>
      <c r="L5" s="76"/>
      <c r="M5" s="76"/>
      <c r="N5" s="76"/>
      <c r="O5" s="76"/>
      <c r="P5" s="76"/>
      <c r="Q5" s="76"/>
      <c r="R5" s="76"/>
      <c r="S5" s="76"/>
      <c r="T5" s="76"/>
      <c r="U5" s="74"/>
      <c r="V5" s="70"/>
      <c r="W5" s="70"/>
      <c r="X5" s="70"/>
      <c r="Y5" s="75"/>
      <c r="Z5" s="68"/>
      <c r="AA5" s="68"/>
      <c r="AB5" s="68"/>
      <c r="AC5" s="68"/>
      <c r="AD5" s="68"/>
      <c r="AE5" s="68"/>
      <c r="AF5" s="68"/>
      <c r="AG5" s="68"/>
      <c r="AH5" s="68"/>
    </row>
    <row r="6">
      <c r="A6" s="76"/>
      <c r="B6" s="78"/>
      <c r="C6" s="79" t="s">
        <v>62</v>
      </c>
      <c r="D6" s="82"/>
      <c r="E6" s="81"/>
      <c r="F6" s="73"/>
      <c r="G6" s="76"/>
      <c r="H6" s="73"/>
      <c r="I6" s="73"/>
      <c r="J6" s="76"/>
      <c r="K6" s="76"/>
      <c r="L6" s="76"/>
      <c r="M6" s="76"/>
      <c r="N6" s="76"/>
      <c r="O6" s="76"/>
      <c r="P6" s="76"/>
      <c r="Q6" s="76"/>
      <c r="R6" s="76"/>
      <c r="S6" s="76"/>
      <c r="T6" s="76"/>
      <c r="U6" s="74"/>
      <c r="V6" s="70"/>
      <c r="W6" s="70"/>
      <c r="X6" s="70"/>
      <c r="Y6" s="75"/>
      <c r="Z6" s="68"/>
      <c r="AA6" s="68"/>
      <c r="AB6" s="68"/>
      <c r="AC6" s="68"/>
      <c r="AD6" s="68"/>
      <c r="AE6" s="68"/>
      <c r="AF6" s="68"/>
      <c r="AG6" s="68"/>
      <c r="AH6" s="68"/>
    </row>
    <row r="7">
      <c r="A7" s="76"/>
      <c r="B7" s="78"/>
      <c r="C7" s="79" t="s">
        <v>63</v>
      </c>
      <c r="D7" s="83"/>
      <c r="E7" s="81"/>
      <c r="F7" s="84" t="s">
        <v>64</v>
      </c>
      <c r="G7" s="76"/>
      <c r="H7" s="73"/>
      <c r="I7" s="73"/>
      <c r="J7" s="76"/>
      <c r="K7" s="76"/>
      <c r="L7" s="76"/>
      <c r="M7" s="76"/>
      <c r="N7" s="76"/>
      <c r="O7" s="76"/>
      <c r="P7" s="76"/>
      <c r="Q7" s="76"/>
      <c r="R7" s="76"/>
      <c r="S7" s="76"/>
      <c r="T7" s="76"/>
      <c r="U7" s="74"/>
      <c r="V7" s="70"/>
      <c r="W7" s="70"/>
      <c r="X7" s="70"/>
      <c r="Y7" s="75"/>
      <c r="Z7" s="68"/>
      <c r="AA7" s="68"/>
      <c r="AB7" s="68"/>
      <c r="AC7" s="68"/>
      <c r="AD7" s="68"/>
      <c r="AE7" s="68"/>
      <c r="AF7" s="68"/>
      <c r="AG7" s="68"/>
      <c r="AH7" s="68"/>
    </row>
    <row r="8">
      <c r="A8" s="76"/>
      <c r="B8" s="1"/>
      <c r="C8" s="81"/>
      <c r="D8" s="68"/>
      <c r="E8" s="81"/>
      <c r="F8" s="73"/>
      <c r="G8" s="76"/>
      <c r="H8" s="73"/>
      <c r="I8" s="73"/>
      <c r="J8" s="76"/>
      <c r="K8" s="76"/>
      <c r="L8" s="76"/>
      <c r="M8" s="76"/>
      <c r="N8" s="76"/>
      <c r="O8" s="76"/>
      <c r="P8" s="76"/>
      <c r="Q8" s="76"/>
      <c r="R8" s="76"/>
      <c r="S8" s="76"/>
      <c r="T8" s="76"/>
      <c r="U8" s="74"/>
      <c r="V8" s="70"/>
      <c r="W8" s="70"/>
      <c r="X8" s="70"/>
      <c r="Y8" s="75"/>
      <c r="Z8" s="68"/>
      <c r="AA8" s="68"/>
      <c r="AB8" s="68"/>
      <c r="AC8" s="68"/>
      <c r="AD8" s="68"/>
      <c r="AE8" s="68"/>
      <c r="AF8" s="68"/>
      <c r="AG8" s="68"/>
      <c r="AH8" s="68"/>
    </row>
    <row r="9" ht="1.5" customHeight="1">
      <c r="A9" s="85"/>
      <c r="B9" s="86"/>
      <c r="C9" s="86"/>
      <c r="D9" s="85"/>
      <c r="E9" s="86"/>
      <c r="F9" s="86"/>
      <c r="G9" s="85"/>
      <c r="H9" s="86"/>
      <c r="I9" s="86"/>
      <c r="J9" s="85"/>
      <c r="K9" s="85"/>
      <c r="L9" s="85"/>
      <c r="M9" s="85"/>
      <c r="N9" s="85"/>
      <c r="O9" s="85"/>
      <c r="P9" s="85"/>
      <c r="Q9" s="85"/>
      <c r="R9" s="85"/>
      <c r="S9" s="85"/>
      <c r="T9" s="85"/>
      <c r="U9" s="85"/>
      <c r="V9" s="85"/>
      <c r="W9" s="85"/>
      <c r="X9" s="85"/>
      <c r="Y9" s="87"/>
      <c r="Z9" s="85"/>
      <c r="AA9" s="85"/>
      <c r="AB9" s="85"/>
      <c r="AC9" s="85"/>
      <c r="AD9" s="85"/>
      <c r="AE9" s="85"/>
      <c r="AF9" s="85"/>
      <c r="AG9" s="85"/>
      <c r="AH9" s="85"/>
    </row>
    <row r="10">
      <c r="A10" s="88"/>
      <c r="B10" s="89"/>
      <c r="C10" s="89"/>
      <c r="D10" s="90"/>
      <c r="E10" s="89"/>
      <c r="F10" s="91"/>
      <c r="G10" s="92"/>
      <c r="H10" s="81"/>
      <c r="I10" s="81"/>
      <c r="J10" s="88"/>
      <c r="K10" s="88"/>
      <c r="L10" s="88"/>
      <c r="M10" s="88"/>
      <c r="N10" s="88"/>
      <c r="O10" s="88"/>
      <c r="P10" s="88"/>
      <c r="Q10" s="68"/>
      <c r="R10" s="68"/>
      <c r="S10" s="68"/>
      <c r="T10" s="68"/>
      <c r="U10" s="68"/>
      <c r="V10" s="68"/>
      <c r="W10" s="68"/>
      <c r="X10" s="68"/>
      <c r="Y10" s="68"/>
      <c r="Z10" s="68"/>
      <c r="AA10" s="68"/>
      <c r="AB10" s="68"/>
      <c r="AC10" s="68"/>
      <c r="AD10" s="68"/>
      <c r="AE10" s="68"/>
      <c r="AF10" s="68"/>
      <c r="AG10" s="68"/>
      <c r="AH10" s="68"/>
    </row>
    <row r="11">
      <c r="A11" s="74"/>
      <c r="B11" s="93" t="s">
        <v>65</v>
      </c>
      <c r="C11" s="93"/>
      <c r="D11" s="93"/>
      <c r="E11" s="93"/>
      <c r="F11" s="93"/>
      <c r="G11" s="93"/>
      <c r="H11" s="93"/>
      <c r="I11" s="93"/>
      <c r="J11" s="93"/>
      <c r="K11" s="93"/>
      <c r="L11" s="93"/>
      <c r="M11" s="93"/>
      <c r="N11" s="93"/>
      <c r="O11" s="88"/>
      <c r="P11" s="88"/>
      <c r="Q11" s="68"/>
      <c r="R11" s="68"/>
      <c r="S11" s="68"/>
      <c r="T11" s="94"/>
      <c r="U11" s="95"/>
      <c r="V11" s="70"/>
      <c r="W11" s="70"/>
      <c r="X11" s="70"/>
      <c r="Y11" s="70"/>
      <c r="Z11" s="94"/>
      <c r="AA11" s="94"/>
      <c r="AB11" s="94"/>
      <c r="AC11" s="94"/>
      <c r="AD11" s="94"/>
      <c r="AE11" s="94"/>
      <c r="AF11" s="94"/>
      <c r="AG11" s="94"/>
      <c r="AH11" s="94"/>
    </row>
    <row r="12">
      <c r="A12" s="74"/>
      <c r="B12" s="96" t="s">
        <v>66</v>
      </c>
      <c r="C12" s="97"/>
      <c r="D12" s="98"/>
      <c r="G12" s="99"/>
      <c r="H12" s="100"/>
      <c r="I12" s="81"/>
      <c r="J12" s="81"/>
      <c r="K12" s="81"/>
      <c r="L12" s="81"/>
      <c r="M12" s="88"/>
      <c r="N12" s="88"/>
      <c r="O12" s="88"/>
      <c r="P12" s="88"/>
      <c r="Q12" s="68"/>
      <c r="R12" s="68"/>
      <c r="S12" s="68"/>
      <c r="T12" s="94"/>
      <c r="U12" s="95"/>
      <c r="V12" s="70"/>
      <c r="W12" s="70"/>
      <c r="X12" s="70"/>
      <c r="Y12" s="70"/>
      <c r="Z12" s="94"/>
      <c r="AA12" s="94"/>
      <c r="AB12" s="94"/>
      <c r="AC12" s="94"/>
      <c r="AD12" s="94"/>
      <c r="AE12" s="94"/>
      <c r="AF12" s="94"/>
      <c r="AG12" s="94"/>
      <c r="AH12" s="94"/>
    </row>
    <row r="13">
      <c r="A13" s="74"/>
      <c r="B13" s="101" t="s">
        <v>67</v>
      </c>
      <c r="C13" s="102" t="s">
        <v>2</v>
      </c>
      <c r="D13" s="98"/>
      <c r="E13" s="100" t="s">
        <v>68</v>
      </c>
      <c r="F13" s="103">
        <v>39.87</v>
      </c>
      <c r="G13" s="104"/>
      <c r="H13" s="100" t="s">
        <v>69</v>
      </c>
      <c r="I13" s="103">
        <v>2.53</v>
      </c>
      <c r="J13" s="81"/>
      <c r="K13" s="81"/>
      <c r="L13" s="81"/>
      <c r="M13" s="88"/>
      <c r="N13" s="88"/>
      <c r="O13" s="88"/>
      <c r="P13" s="88"/>
      <c r="Q13" s="68"/>
      <c r="R13" s="68"/>
      <c r="S13" s="68"/>
      <c r="T13" s="94"/>
      <c r="U13" s="95"/>
      <c r="V13" s="70"/>
      <c r="W13" s="70"/>
      <c r="X13" s="70"/>
      <c r="Y13" s="70"/>
      <c r="Z13" s="94"/>
      <c r="AA13" s="94"/>
      <c r="AB13" s="94"/>
      <c r="AC13" s="94"/>
      <c r="AD13" s="94"/>
      <c r="AE13" s="94"/>
      <c r="AF13" s="94"/>
      <c r="AG13" s="94"/>
      <c r="AH13" s="94"/>
    </row>
    <row r="14">
      <c r="A14" s="74"/>
      <c r="B14" s="101" t="s">
        <v>70</v>
      </c>
      <c r="C14" s="105" t="s">
        <v>71</v>
      </c>
      <c r="D14" s="98"/>
      <c r="E14" s="101" t="s">
        <v>72</v>
      </c>
      <c r="F14" s="103">
        <f>(I14/F16)/(250*8)</f>
        <v>8.010394797</v>
      </c>
      <c r="G14" s="99"/>
      <c r="H14" s="100" t="s">
        <v>73</v>
      </c>
      <c r="I14" s="103">
        <f>'Annual report data'!J23</f>
        <v>84349457.22</v>
      </c>
      <c r="J14" s="81"/>
      <c r="K14" s="81"/>
      <c r="L14" s="88"/>
      <c r="M14" s="88"/>
      <c r="N14" s="88"/>
      <c r="O14" s="88"/>
      <c r="P14" s="88"/>
      <c r="Q14" s="68"/>
      <c r="R14" s="68"/>
      <c r="S14" s="68"/>
      <c r="T14" s="94"/>
      <c r="U14" s="95"/>
      <c r="V14" s="70"/>
      <c r="W14" s="70"/>
      <c r="X14" s="70"/>
      <c r="Y14" s="70"/>
      <c r="Z14" s="94"/>
      <c r="AA14" s="94"/>
      <c r="AB14" s="94"/>
      <c r="AC14" s="94"/>
      <c r="AD14" s="94"/>
      <c r="AE14" s="94"/>
      <c r="AF14" s="94"/>
      <c r="AG14" s="94"/>
      <c r="AH14" s="94"/>
    </row>
    <row r="15">
      <c r="A15" s="74"/>
      <c r="B15" s="106" t="s">
        <v>74</v>
      </c>
      <c r="C15" s="103">
        <f>'Annual report data'!E11</f>
        <v>11078105</v>
      </c>
      <c r="D15" s="98"/>
      <c r="E15" s="101" t="s">
        <v>75</v>
      </c>
      <c r="F15" s="103">
        <v>3656262.0</v>
      </c>
      <c r="G15" s="99"/>
      <c r="H15" s="100"/>
      <c r="I15" s="103"/>
      <c r="J15" s="88"/>
      <c r="K15" s="88"/>
      <c r="L15" s="88"/>
      <c r="M15" s="88"/>
      <c r="N15" s="88"/>
      <c r="O15" s="88"/>
      <c r="P15" s="88"/>
      <c r="Q15" s="68"/>
      <c r="R15" s="68"/>
      <c r="S15" s="68"/>
      <c r="T15" s="94"/>
      <c r="U15" s="95"/>
      <c r="V15" s="70"/>
      <c r="W15" s="70"/>
      <c r="X15" s="70"/>
      <c r="Y15" s="70"/>
      <c r="Z15" s="94"/>
      <c r="AA15" s="94"/>
      <c r="AB15" s="94"/>
      <c r="AC15" s="94"/>
      <c r="AD15" s="94"/>
      <c r="AE15" s="94"/>
      <c r="AF15" s="94"/>
      <c r="AG15" s="94"/>
      <c r="AH15" s="94"/>
    </row>
    <row r="16">
      <c r="A16" s="107"/>
      <c r="B16" s="106" t="s">
        <v>76</v>
      </c>
      <c r="C16" s="108">
        <f>1/'Annual report data'!E7</f>
        <v>0.00003991060026</v>
      </c>
      <c r="D16" s="90"/>
      <c r="E16" s="101" t="s">
        <v>77</v>
      </c>
      <c r="F16" s="103">
        <v>5265.0</v>
      </c>
      <c r="G16" s="109"/>
      <c r="H16" s="100"/>
      <c r="I16" s="103"/>
      <c r="J16" s="68"/>
      <c r="K16" s="68"/>
      <c r="L16" s="68"/>
      <c r="M16" s="68"/>
      <c r="N16" s="68"/>
      <c r="O16" s="68"/>
      <c r="P16" s="68"/>
      <c r="Q16" s="68"/>
      <c r="R16" s="68"/>
      <c r="S16" s="68"/>
      <c r="T16" s="68"/>
      <c r="U16" s="74"/>
      <c r="V16" s="70"/>
      <c r="W16" s="70"/>
      <c r="X16" s="70"/>
      <c r="Y16" s="75"/>
      <c r="Z16" s="68"/>
      <c r="AA16" s="68"/>
      <c r="AB16" s="68"/>
      <c r="AC16" s="68"/>
      <c r="AD16" s="68"/>
      <c r="AE16" s="68"/>
      <c r="AF16" s="68"/>
      <c r="AG16" s="68"/>
      <c r="AH16" s="68"/>
    </row>
    <row r="17" ht="6.75" customHeight="1">
      <c r="A17" s="110"/>
      <c r="B17" s="111"/>
      <c r="C17" s="112"/>
      <c r="D17" s="110"/>
      <c r="E17" s="112"/>
      <c r="F17" s="112"/>
      <c r="G17" s="110"/>
      <c r="H17" s="112"/>
      <c r="I17" s="112"/>
      <c r="J17" s="110"/>
      <c r="K17" s="110"/>
      <c r="L17" s="110"/>
      <c r="M17" s="110"/>
      <c r="N17" s="110"/>
      <c r="O17" s="110"/>
      <c r="P17" s="110"/>
      <c r="Q17" s="110"/>
      <c r="R17" s="110"/>
      <c r="S17" s="110"/>
      <c r="T17" s="110"/>
      <c r="U17" s="110"/>
      <c r="V17" s="110"/>
      <c r="W17" s="110"/>
      <c r="X17" s="110"/>
      <c r="Y17" s="87"/>
      <c r="Z17" s="110"/>
      <c r="AA17" s="110"/>
      <c r="AB17" s="110"/>
      <c r="AC17" s="110"/>
      <c r="AD17" s="110"/>
      <c r="AE17" s="110"/>
      <c r="AF17" s="110"/>
      <c r="AG17" s="110"/>
      <c r="AH17" s="110"/>
    </row>
    <row r="18">
      <c r="A18" s="107"/>
      <c r="B18" s="113"/>
      <c r="C18" s="89"/>
      <c r="D18" s="114"/>
      <c r="E18" s="89"/>
      <c r="F18" s="89"/>
      <c r="G18" s="114"/>
      <c r="H18" s="81"/>
      <c r="I18" s="115"/>
      <c r="J18" s="88"/>
      <c r="K18" s="88"/>
      <c r="L18" s="88"/>
      <c r="M18" s="88"/>
      <c r="N18" s="88"/>
      <c r="O18" s="68"/>
      <c r="P18" s="68"/>
      <c r="Q18" s="68"/>
      <c r="R18" s="68"/>
      <c r="S18" s="68"/>
      <c r="T18" s="68"/>
      <c r="U18" s="74"/>
      <c r="V18" s="70"/>
      <c r="W18" s="70"/>
      <c r="X18" s="70"/>
      <c r="Y18" s="75"/>
      <c r="Z18" s="68"/>
      <c r="AA18" s="68"/>
      <c r="AB18" s="68"/>
      <c r="AC18" s="68"/>
      <c r="AD18" s="68"/>
      <c r="AE18" s="68"/>
      <c r="AF18" s="68"/>
      <c r="AG18" s="68"/>
      <c r="AH18" s="68"/>
    </row>
    <row r="19">
      <c r="A19" s="76"/>
      <c r="B19" s="116" t="s">
        <v>78</v>
      </c>
      <c r="C19" s="117"/>
      <c r="D19" s="117"/>
      <c r="E19" s="117"/>
      <c r="F19" s="117"/>
      <c r="G19" s="118"/>
      <c r="H19" s="1"/>
      <c r="I19" s="119" t="s">
        <v>79</v>
      </c>
      <c r="J19" s="117"/>
      <c r="K19" s="117"/>
      <c r="L19" s="117"/>
      <c r="M19" s="117"/>
      <c r="N19" s="118"/>
      <c r="O19" s="94"/>
      <c r="P19" s="94"/>
      <c r="Q19" s="94"/>
      <c r="R19" s="94"/>
      <c r="S19" s="94"/>
      <c r="T19" s="94"/>
      <c r="U19" s="95"/>
      <c r="V19" s="70"/>
      <c r="W19" s="70"/>
      <c r="X19" s="70"/>
      <c r="Y19" s="70"/>
      <c r="Z19" s="94"/>
      <c r="AA19" s="94"/>
      <c r="AB19" s="94"/>
      <c r="AC19" s="94"/>
      <c r="AD19" s="68"/>
      <c r="AE19" s="68"/>
      <c r="AF19" s="68"/>
      <c r="AG19" s="68"/>
      <c r="AH19" s="68"/>
    </row>
    <row r="20">
      <c r="A20" s="68"/>
      <c r="B20" s="120"/>
      <c r="C20" s="121" t="s">
        <v>80</v>
      </c>
      <c r="D20" s="121" t="s">
        <v>81</v>
      </c>
      <c r="E20" s="121" t="s">
        <v>82</v>
      </c>
      <c r="F20" s="121" t="s">
        <v>83</v>
      </c>
      <c r="G20" s="121" t="s">
        <v>84</v>
      </c>
      <c r="H20" s="1"/>
      <c r="I20" s="120"/>
      <c r="J20" s="121" t="s">
        <v>80</v>
      </c>
      <c r="K20" s="121" t="s">
        <v>81</v>
      </c>
      <c r="L20" s="121" t="s">
        <v>82</v>
      </c>
      <c r="M20" s="121" t="s">
        <v>83</v>
      </c>
      <c r="N20" s="121" t="s">
        <v>84</v>
      </c>
      <c r="O20" s="94"/>
      <c r="P20" s="94"/>
      <c r="Q20" s="94"/>
      <c r="R20" s="94"/>
      <c r="S20" s="94"/>
      <c r="T20" s="94"/>
      <c r="U20" s="95"/>
      <c r="V20" s="70"/>
      <c r="W20" s="70"/>
      <c r="X20" s="70"/>
      <c r="Y20" s="70"/>
      <c r="Z20" s="94"/>
      <c r="AA20" s="94"/>
      <c r="AB20" s="94"/>
      <c r="AC20" s="94"/>
      <c r="AD20" s="122"/>
      <c r="AE20" s="122"/>
      <c r="AF20" s="122"/>
      <c r="AG20" s="122"/>
      <c r="AH20" s="122"/>
    </row>
    <row r="21" ht="15.75" customHeight="1">
      <c r="A21" s="68"/>
      <c r="B21" s="123" t="s">
        <v>85</v>
      </c>
      <c r="C21" s="124">
        <v>0.3</v>
      </c>
      <c r="D21" s="125">
        <v>0.7</v>
      </c>
      <c r="E21" s="126">
        <v>0.8</v>
      </c>
      <c r="F21" s="126">
        <v>1.0</v>
      </c>
      <c r="G21" s="125">
        <v>1.0</v>
      </c>
      <c r="H21" s="1"/>
      <c r="I21" s="123" t="s">
        <v>85</v>
      </c>
      <c r="J21" s="124">
        <v>0.3</v>
      </c>
      <c r="K21" s="125">
        <v>0.7</v>
      </c>
      <c r="L21" s="126">
        <v>0.8</v>
      </c>
      <c r="M21" s="126">
        <v>1.0</v>
      </c>
      <c r="N21" s="125">
        <v>1.0</v>
      </c>
      <c r="O21" s="94"/>
      <c r="P21" s="94"/>
      <c r="Q21" s="94"/>
      <c r="R21" s="94"/>
      <c r="S21" s="94"/>
      <c r="T21" s="94"/>
      <c r="U21" s="95"/>
      <c r="V21" s="70"/>
      <c r="W21" s="70"/>
      <c r="X21" s="70"/>
      <c r="Y21" s="70"/>
      <c r="Z21" s="94"/>
      <c r="AA21" s="94"/>
      <c r="AB21" s="94"/>
      <c r="AC21" s="94"/>
      <c r="AD21" s="127"/>
      <c r="AE21" s="127"/>
      <c r="AF21" s="127"/>
      <c r="AG21" s="127"/>
      <c r="AH21" s="127"/>
    </row>
    <row r="22" ht="15.75" customHeight="1">
      <c r="A22" s="68"/>
      <c r="B22" s="123" t="s">
        <v>86</v>
      </c>
      <c r="C22" s="128">
        <v>0.15</v>
      </c>
      <c r="D22" s="129">
        <v>0.35</v>
      </c>
      <c r="E22" s="130">
        <v>0.6</v>
      </c>
      <c r="F22" s="130">
        <v>0.85</v>
      </c>
      <c r="G22" s="129">
        <v>1.0</v>
      </c>
      <c r="I22" s="123" t="s">
        <v>86</v>
      </c>
      <c r="J22" s="128">
        <v>0.15</v>
      </c>
      <c r="K22" s="129">
        <v>0.35</v>
      </c>
      <c r="L22" s="130">
        <v>0.6</v>
      </c>
      <c r="M22" s="130">
        <v>0.85</v>
      </c>
      <c r="N22" s="129">
        <v>1.0</v>
      </c>
      <c r="O22" s="94"/>
      <c r="P22" s="94"/>
      <c r="Q22" s="94"/>
      <c r="R22" s="94"/>
      <c r="S22" s="94"/>
      <c r="T22" s="94"/>
      <c r="U22" s="95"/>
      <c r="V22" s="70"/>
      <c r="W22" s="70"/>
      <c r="X22" s="70"/>
      <c r="Y22" s="70"/>
      <c r="Z22" s="94"/>
      <c r="AA22" s="94"/>
      <c r="AB22" s="94"/>
      <c r="AC22" s="94"/>
      <c r="AD22" s="127"/>
      <c r="AE22" s="127"/>
      <c r="AF22" s="127"/>
      <c r="AG22" s="127"/>
      <c r="AH22" s="127"/>
    </row>
    <row r="23" ht="15.75" customHeight="1">
      <c r="A23" s="76"/>
      <c r="B23" s="123" t="s">
        <v>87</v>
      </c>
      <c r="C23" s="124">
        <v>0.15</v>
      </c>
      <c r="D23" s="124">
        <v>0.15</v>
      </c>
      <c r="E23" s="124">
        <v>0.15</v>
      </c>
      <c r="F23" s="124">
        <v>0.15</v>
      </c>
      <c r="G23" s="124">
        <v>0.15</v>
      </c>
      <c r="H23" s="1"/>
      <c r="I23" s="123" t="s">
        <v>87</v>
      </c>
      <c r="J23" s="124">
        <v>0.08</v>
      </c>
      <c r="K23" s="124">
        <v>0.08</v>
      </c>
      <c r="L23" s="124">
        <v>0.08</v>
      </c>
      <c r="M23" s="124">
        <v>0.08</v>
      </c>
      <c r="N23" s="124">
        <v>0.08</v>
      </c>
      <c r="O23" s="94"/>
      <c r="P23" s="94"/>
      <c r="Q23" s="94"/>
      <c r="R23" s="94"/>
      <c r="S23" s="94"/>
      <c r="T23" s="94"/>
      <c r="U23" s="95"/>
      <c r="V23" s="70"/>
      <c r="W23" s="70"/>
      <c r="X23" s="70"/>
      <c r="Y23" s="70"/>
      <c r="Z23" s="94"/>
      <c r="AA23" s="94"/>
      <c r="AB23" s="94"/>
      <c r="AC23" s="94"/>
      <c r="AD23" s="127"/>
      <c r="AE23" s="127"/>
      <c r="AF23" s="127"/>
      <c r="AG23" s="127"/>
      <c r="AH23" s="127"/>
    </row>
    <row r="24" ht="15.75" customHeight="1">
      <c r="A24" s="68"/>
      <c r="B24" s="91"/>
      <c r="C24" s="131"/>
      <c r="D24" s="131"/>
      <c r="E24" s="131"/>
      <c r="F24" s="131"/>
      <c r="G24" s="131"/>
      <c r="H24" s="81"/>
      <c r="I24" s="81"/>
      <c r="J24" s="76"/>
      <c r="K24" s="76"/>
      <c r="L24" s="76"/>
      <c r="M24" s="76"/>
      <c r="N24" s="76"/>
      <c r="O24" s="68"/>
      <c r="P24" s="68"/>
      <c r="Q24" s="68"/>
      <c r="R24" s="68"/>
      <c r="S24" s="68"/>
      <c r="T24" s="68"/>
      <c r="U24" s="74"/>
      <c r="V24" s="70"/>
      <c r="W24" s="70"/>
      <c r="X24" s="70"/>
      <c r="Y24" s="75"/>
      <c r="Z24" s="68"/>
      <c r="AA24" s="68"/>
      <c r="AB24" s="68"/>
      <c r="AC24" s="68"/>
      <c r="AD24" s="68"/>
      <c r="AE24" s="68"/>
      <c r="AF24" s="68"/>
      <c r="AG24" s="68"/>
      <c r="AH24" s="68"/>
    </row>
    <row r="25" ht="24.0" customHeight="1">
      <c r="A25" s="68"/>
      <c r="B25" s="132" t="s">
        <v>88</v>
      </c>
      <c r="C25" s="13"/>
      <c r="D25" s="13"/>
      <c r="E25" s="13"/>
      <c r="F25" s="13"/>
      <c r="G25" s="14"/>
      <c r="H25" s="68"/>
      <c r="I25" s="132" t="s">
        <v>89</v>
      </c>
      <c r="J25" s="13"/>
      <c r="K25" s="13"/>
      <c r="L25" s="13"/>
      <c r="M25" s="13"/>
      <c r="N25" s="14"/>
      <c r="O25" s="68"/>
      <c r="P25" s="68"/>
      <c r="Q25" s="68"/>
      <c r="R25" s="68"/>
      <c r="S25" s="68"/>
      <c r="T25" s="68"/>
      <c r="U25" s="74"/>
      <c r="V25" s="70"/>
      <c r="W25" s="70"/>
      <c r="X25" s="70"/>
      <c r="Y25" s="75"/>
      <c r="Z25" s="68"/>
      <c r="AA25" s="68"/>
      <c r="AB25" s="68"/>
      <c r="AC25" s="68"/>
      <c r="AD25" s="68"/>
      <c r="AE25" s="68"/>
      <c r="AF25" s="68"/>
      <c r="AG25" s="68"/>
      <c r="AH25" s="68"/>
    </row>
    <row r="26" ht="16.5" customHeight="1">
      <c r="A26" s="68"/>
      <c r="B26" s="120"/>
      <c r="C26" s="121" t="s">
        <v>80</v>
      </c>
      <c r="D26" s="121" t="s">
        <v>81</v>
      </c>
      <c r="E26" s="121" t="s">
        <v>82</v>
      </c>
      <c r="F26" s="121" t="s">
        <v>83</v>
      </c>
      <c r="G26" s="121" t="s">
        <v>84</v>
      </c>
      <c r="H26" s="68"/>
      <c r="I26" s="120"/>
      <c r="J26" s="121" t="s">
        <v>80</v>
      </c>
      <c r="K26" s="121" t="s">
        <v>81</v>
      </c>
      <c r="L26" s="121" t="s">
        <v>82</v>
      </c>
      <c r="M26" s="121" t="s">
        <v>83</v>
      </c>
      <c r="N26" s="121" t="s">
        <v>84</v>
      </c>
      <c r="O26" s="94"/>
      <c r="P26" s="94"/>
      <c r="Q26" s="68"/>
      <c r="R26" s="68"/>
      <c r="S26" s="68"/>
      <c r="T26" s="68"/>
      <c r="U26" s="74"/>
      <c r="V26" s="70"/>
      <c r="W26" s="70"/>
      <c r="X26" s="70"/>
      <c r="Y26" s="75"/>
      <c r="Z26" s="68"/>
      <c r="AA26" s="68"/>
      <c r="AB26" s="68"/>
      <c r="AC26" s="68"/>
      <c r="AD26" s="68"/>
      <c r="AE26" s="68"/>
      <c r="AF26" s="68"/>
      <c r="AG26" s="68"/>
      <c r="AH26" s="68"/>
    </row>
    <row r="27" ht="16.5" customHeight="1">
      <c r="A27" s="68"/>
      <c r="B27" s="123" t="s">
        <v>85</v>
      </c>
      <c r="C27" s="124">
        <v>0.3</v>
      </c>
      <c r="D27" s="125">
        <v>0.7</v>
      </c>
      <c r="E27" s="126">
        <v>0.8</v>
      </c>
      <c r="F27" s="126">
        <v>1.0</v>
      </c>
      <c r="G27" s="125">
        <v>1.0</v>
      </c>
      <c r="H27" s="68"/>
      <c r="I27" s="123" t="s">
        <v>85</v>
      </c>
      <c r="J27" s="124">
        <v>0.3</v>
      </c>
      <c r="K27" s="125">
        <v>0.7</v>
      </c>
      <c r="L27" s="126">
        <v>0.8</v>
      </c>
      <c r="M27" s="126">
        <v>1.0</v>
      </c>
      <c r="N27" s="125">
        <v>1.0</v>
      </c>
      <c r="O27" s="94"/>
      <c r="P27" s="94"/>
      <c r="Q27" s="68"/>
      <c r="R27" s="68"/>
      <c r="S27" s="68"/>
      <c r="T27" s="68"/>
      <c r="U27" s="74"/>
      <c r="V27" s="70"/>
      <c r="W27" s="70"/>
      <c r="X27" s="70"/>
      <c r="Y27" s="75"/>
      <c r="Z27" s="68"/>
      <c r="AA27" s="68"/>
      <c r="AB27" s="68"/>
      <c r="AC27" s="68"/>
      <c r="AD27" s="68"/>
      <c r="AE27" s="68"/>
      <c r="AF27" s="68"/>
      <c r="AG27" s="68"/>
      <c r="AH27" s="68"/>
    </row>
    <row r="28" ht="16.5" customHeight="1">
      <c r="A28" s="68"/>
      <c r="B28" s="123" t="s">
        <v>86</v>
      </c>
      <c r="C28" s="128">
        <v>0.15</v>
      </c>
      <c r="D28" s="129">
        <v>0.35</v>
      </c>
      <c r="E28" s="130">
        <v>0.6</v>
      </c>
      <c r="F28" s="130">
        <v>0.85</v>
      </c>
      <c r="G28" s="129">
        <v>1.0</v>
      </c>
      <c r="H28" s="68"/>
      <c r="I28" s="123" t="s">
        <v>86</v>
      </c>
      <c r="J28" s="128">
        <v>0.15</v>
      </c>
      <c r="K28" s="129">
        <v>0.35</v>
      </c>
      <c r="L28" s="130">
        <v>0.6</v>
      </c>
      <c r="M28" s="130">
        <v>0.85</v>
      </c>
      <c r="N28" s="129">
        <v>1.0</v>
      </c>
      <c r="O28" s="94"/>
      <c r="P28" s="94"/>
      <c r="Q28" s="68"/>
      <c r="R28" s="68"/>
      <c r="S28" s="68"/>
      <c r="T28" s="68"/>
      <c r="U28" s="74"/>
      <c r="V28" s="70"/>
      <c r="W28" s="70"/>
      <c r="X28" s="70"/>
      <c r="Y28" s="75"/>
      <c r="Z28" s="68"/>
      <c r="AA28" s="68"/>
      <c r="AB28" s="68"/>
      <c r="AC28" s="68"/>
      <c r="AD28" s="68"/>
      <c r="AE28" s="68"/>
      <c r="AF28" s="68"/>
      <c r="AG28" s="68"/>
      <c r="AH28" s="68"/>
    </row>
    <row r="29" ht="16.5" customHeight="1">
      <c r="A29" s="68"/>
      <c r="B29" s="123" t="s">
        <v>87</v>
      </c>
      <c r="C29" s="124">
        <v>0.1</v>
      </c>
      <c r="D29" s="124">
        <v>0.1</v>
      </c>
      <c r="E29" s="124">
        <v>0.1</v>
      </c>
      <c r="F29" s="124">
        <v>0.1</v>
      </c>
      <c r="G29" s="124">
        <v>0.1</v>
      </c>
      <c r="H29" s="76"/>
      <c r="I29" s="123" t="s">
        <v>87</v>
      </c>
      <c r="J29" s="124">
        <v>0.08</v>
      </c>
      <c r="K29" s="124">
        <v>0.08</v>
      </c>
      <c r="L29" s="124">
        <v>0.08</v>
      </c>
      <c r="M29" s="124">
        <v>0.08</v>
      </c>
      <c r="N29" s="124">
        <v>0.08</v>
      </c>
      <c r="O29" s="94"/>
      <c r="P29" s="94"/>
      <c r="Q29" s="68"/>
      <c r="R29" s="68"/>
      <c r="S29" s="68"/>
      <c r="T29" s="68"/>
      <c r="U29" s="74"/>
      <c r="V29" s="70"/>
      <c r="W29" s="70"/>
      <c r="X29" s="70"/>
      <c r="Y29" s="75"/>
      <c r="Z29" s="68"/>
      <c r="AA29" s="68"/>
      <c r="AB29" s="68"/>
      <c r="AC29" s="68"/>
      <c r="AD29" s="68"/>
      <c r="AE29" s="68"/>
      <c r="AF29" s="68"/>
      <c r="AG29" s="68"/>
      <c r="AH29" s="68"/>
      <c r="AI29" s="68"/>
      <c r="AJ29" s="68"/>
    </row>
    <row r="30" ht="24.0" customHeight="1">
      <c r="A30" s="68"/>
      <c r="B30" s="91"/>
      <c r="C30" s="91"/>
      <c r="D30" s="92"/>
      <c r="E30" s="91"/>
      <c r="F30" s="91"/>
      <c r="G30" s="92"/>
      <c r="H30" s="81"/>
      <c r="I30" s="81"/>
      <c r="J30" s="68"/>
      <c r="K30" s="68"/>
      <c r="L30" s="68"/>
      <c r="M30" s="68"/>
      <c r="N30" s="68"/>
      <c r="O30" s="68"/>
      <c r="P30" s="68"/>
      <c r="Q30" s="68"/>
      <c r="R30" s="68"/>
      <c r="S30" s="68"/>
      <c r="T30" s="68"/>
      <c r="U30" s="74"/>
      <c r="V30" s="70"/>
      <c r="W30" s="70" t="s">
        <v>90</v>
      </c>
      <c r="X30" s="70">
        <v>273000.0</v>
      </c>
      <c r="Y30" s="133"/>
      <c r="AA30" s="134"/>
      <c r="AB30" s="135"/>
      <c r="AC30" s="68"/>
      <c r="AD30" s="68"/>
      <c r="AE30" s="68"/>
      <c r="AF30" s="68"/>
      <c r="AG30" s="68"/>
      <c r="AH30" s="68"/>
      <c r="AI30" s="68"/>
      <c r="AJ30" s="68"/>
    </row>
    <row r="31" ht="8.25" customHeight="1">
      <c r="A31" s="85"/>
      <c r="B31" s="112"/>
      <c r="C31" s="112"/>
      <c r="D31" s="110"/>
      <c r="E31" s="112"/>
      <c r="F31" s="112"/>
      <c r="G31" s="110"/>
      <c r="H31" s="86"/>
      <c r="I31" s="86"/>
      <c r="J31" s="85"/>
      <c r="K31" s="85"/>
      <c r="L31" s="85"/>
      <c r="M31" s="85"/>
      <c r="N31" s="85"/>
      <c r="O31" s="85"/>
      <c r="P31" s="85"/>
      <c r="Q31" s="85"/>
      <c r="R31" s="85"/>
      <c r="S31" s="85"/>
      <c r="T31" s="85"/>
      <c r="U31" s="85"/>
      <c r="V31" s="85"/>
      <c r="W31" s="85"/>
      <c r="X31" s="85"/>
      <c r="Y31" s="87"/>
      <c r="Z31" s="85"/>
      <c r="AA31" s="85"/>
      <c r="AB31" s="85"/>
      <c r="AC31" s="85"/>
      <c r="AD31" s="85"/>
      <c r="AE31" s="85"/>
      <c r="AF31" s="85"/>
      <c r="AG31" s="85"/>
      <c r="AH31" s="85"/>
      <c r="AI31" s="85"/>
      <c r="AJ31" s="85"/>
    </row>
    <row r="32" ht="15.75" customHeight="1">
      <c r="A32" s="88"/>
      <c r="B32" s="136"/>
      <c r="C32" s="137"/>
      <c r="D32" s="114"/>
      <c r="E32" s="89"/>
      <c r="F32" s="89"/>
      <c r="G32" s="114"/>
      <c r="H32" s="115"/>
      <c r="I32" s="115"/>
      <c r="J32" s="88"/>
      <c r="K32" s="88"/>
      <c r="L32" s="88"/>
      <c r="M32" s="88"/>
      <c r="N32" s="88"/>
      <c r="O32" s="88"/>
      <c r="P32" s="88"/>
      <c r="Q32" s="88"/>
      <c r="R32" s="88"/>
      <c r="S32" s="88"/>
      <c r="T32" s="88"/>
      <c r="U32" s="138"/>
      <c r="V32" s="70"/>
      <c r="W32" s="70"/>
      <c r="X32" s="70"/>
      <c r="Y32" s="139"/>
      <c r="Z32" s="140"/>
      <c r="AA32" s="140"/>
      <c r="AB32" s="140"/>
      <c r="AC32" s="140"/>
      <c r="AD32" s="140"/>
      <c r="AE32" s="140"/>
      <c r="AF32" s="140"/>
      <c r="AG32" s="140"/>
      <c r="AH32" s="140"/>
      <c r="AI32" s="140"/>
      <c r="AJ32" s="140"/>
    </row>
    <row r="33" ht="15.75" customHeight="1">
      <c r="A33" s="66"/>
      <c r="B33" s="141" t="s">
        <v>91</v>
      </c>
      <c r="C33" s="142"/>
      <c r="D33" s="66"/>
      <c r="E33" s="141" t="s">
        <v>92</v>
      </c>
      <c r="F33" s="142"/>
      <c r="G33" s="66"/>
      <c r="H33" s="143" t="s">
        <v>93</v>
      </c>
      <c r="I33" s="142"/>
      <c r="J33" s="66"/>
      <c r="K33" s="141" t="s">
        <v>94</v>
      </c>
      <c r="L33" s="142"/>
      <c r="N33" s="144" t="s">
        <v>95</v>
      </c>
      <c r="O33" s="13"/>
      <c r="P33" s="13"/>
      <c r="Q33" s="13"/>
      <c r="R33" s="13"/>
      <c r="S33" s="13"/>
      <c r="T33" s="13"/>
      <c r="U33" s="13"/>
      <c r="V33" s="14"/>
      <c r="W33" s="66"/>
      <c r="X33" s="69"/>
      <c r="Y33" s="71"/>
      <c r="Z33" s="145"/>
      <c r="AA33" s="145"/>
      <c r="AB33" s="145"/>
      <c r="AC33" s="145"/>
      <c r="AD33" s="145"/>
      <c r="AE33" s="145"/>
      <c r="AF33" s="145"/>
      <c r="AG33" s="145"/>
      <c r="AH33" s="145"/>
      <c r="AI33" s="145"/>
      <c r="AJ33" s="145"/>
    </row>
    <row r="34" ht="7.5" customHeight="1">
      <c r="A34" s="68"/>
      <c r="B34" s="146"/>
      <c r="C34" s="147"/>
      <c r="D34" s="68"/>
      <c r="E34" s="146"/>
      <c r="F34" s="147"/>
      <c r="G34" s="68"/>
      <c r="H34" s="76"/>
      <c r="I34" s="76"/>
      <c r="J34" s="66"/>
      <c r="N34" s="148"/>
      <c r="O34" s="149"/>
      <c r="P34" s="149"/>
      <c r="Q34" s="68"/>
      <c r="R34" s="68"/>
      <c r="S34" s="68"/>
      <c r="T34" s="68"/>
      <c r="U34" s="68"/>
      <c r="V34" s="68"/>
      <c r="W34" s="68"/>
      <c r="X34" s="74"/>
      <c r="Y34" s="75"/>
      <c r="Z34" s="140"/>
      <c r="AA34" s="140"/>
      <c r="AB34" s="140"/>
      <c r="AC34" s="140"/>
      <c r="AD34" s="140"/>
      <c r="AE34" s="140"/>
      <c r="AF34" s="140"/>
      <c r="AG34" s="140"/>
      <c r="AH34" s="140"/>
      <c r="AI34" s="140"/>
      <c r="AJ34" s="140"/>
    </row>
    <row r="35" ht="15.75" customHeight="1">
      <c r="A35" s="69"/>
      <c r="B35" s="150" t="s">
        <v>96</v>
      </c>
      <c r="C35" s="151"/>
      <c r="D35" s="152"/>
      <c r="E35" s="150" t="s">
        <v>96</v>
      </c>
      <c r="F35" s="151"/>
      <c r="G35" s="152"/>
      <c r="H35" s="150" t="s">
        <v>97</v>
      </c>
      <c r="I35" s="151"/>
      <c r="K35" s="153" t="s">
        <v>98</v>
      </c>
      <c r="L35" s="151"/>
      <c r="N35" s="154" t="s">
        <v>99</v>
      </c>
      <c r="O35" s="13"/>
      <c r="P35" s="14"/>
      <c r="Q35" s="155" t="s">
        <v>40</v>
      </c>
      <c r="R35" s="156"/>
      <c r="S35" s="154" t="s">
        <v>100</v>
      </c>
      <c r="T35" s="14"/>
      <c r="U35" s="157" t="s">
        <v>101</v>
      </c>
      <c r="V35" s="158"/>
      <c r="W35" s="66"/>
      <c r="X35" s="69"/>
      <c r="Y35" s="159"/>
      <c r="Z35" s="145"/>
      <c r="AA35" s="145"/>
      <c r="AB35" s="145"/>
      <c r="AC35" s="145"/>
      <c r="AD35" s="145"/>
      <c r="AE35" s="145"/>
      <c r="AF35" s="145"/>
      <c r="AG35" s="145"/>
      <c r="AH35" s="145"/>
      <c r="AI35" s="145"/>
      <c r="AJ35" s="145"/>
    </row>
    <row r="36" ht="15.75" customHeight="1">
      <c r="A36" s="69"/>
      <c r="B36" s="160" t="s">
        <v>102</v>
      </c>
      <c r="C36" s="161">
        <f>153108+361339</f>
        <v>514447</v>
      </c>
      <c r="D36" s="162" t="s">
        <v>103</v>
      </c>
      <c r="E36" s="160" t="s">
        <v>104</v>
      </c>
      <c r="F36" s="163">
        <f>F74*3</f>
        <v>24129</v>
      </c>
      <c r="G36" s="164" t="s">
        <v>105</v>
      </c>
      <c r="H36" s="165" t="s">
        <v>106</v>
      </c>
      <c r="I36" s="166">
        <f>F15*12%</f>
        <v>438751.44</v>
      </c>
      <c r="J36" s="167" t="s">
        <v>107</v>
      </c>
      <c r="K36" s="165" t="s">
        <v>108</v>
      </c>
      <c r="L36" s="166">
        <f>C73</f>
        <v>609377</v>
      </c>
      <c r="N36" s="168" t="s">
        <v>109</v>
      </c>
      <c r="O36" s="169" t="s">
        <v>110</v>
      </c>
      <c r="P36" s="169" t="s">
        <v>111</v>
      </c>
      <c r="Q36" s="169" t="s">
        <v>110</v>
      </c>
      <c r="R36" s="169" t="s">
        <v>111</v>
      </c>
      <c r="S36" s="169" t="s">
        <v>110</v>
      </c>
      <c r="T36" s="169" t="s">
        <v>111</v>
      </c>
      <c r="U36" s="169" t="s">
        <v>112</v>
      </c>
      <c r="V36" s="170" t="s">
        <v>113</v>
      </c>
      <c r="W36" s="171" t="s">
        <v>114</v>
      </c>
      <c r="X36" s="14"/>
      <c r="Y36" s="172" t="s">
        <v>115</v>
      </c>
      <c r="Z36" s="145"/>
      <c r="AA36" s="145"/>
      <c r="AB36" s="145"/>
      <c r="AC36" s="145"/>
      <c r="AD36" s="145"/>
      <c r="AE36" s="145"/>
      <c r="AF36" s="145"/>
      <c r="AG36" s="145"/>
      <c r="AH36" s="145"/>
      <c r="AI36" s="145"/>
      <c r="AJ36" s="145"/>
    </row>
    <row r="37" ht="15.75" customHeight="1">
      <c r="A37" s="69"/>
      <c r="B37" s="165" t="s">
        <v>116</v>
      </c>
      <c r="C37" s="173">
        <f>1-((65699+52075)/C36)</f>
        <v>0.771066796</v>
      </c>
      <c r="D37" s="174" t="s">
        <v>117</v>
      </c>
      <c r="E37" s="175" t="s">
        <v>118</v>
      </c>
      <c r="F37" s="176">
        <f>1-(F74/F36)</f>
        <v>0.6666666667</v>
      </c>
      <c r="G37" s="174"/>
      <c r="H37" s="175" t="s">
        <v>119</v>
      </c>
      <c r="I37" s="173">
        <v>0.02</v>
      </c>
      <c r="J37" s="167" t="s">
        <v>107</v>
      </c>
      <c r="K37" s="165" t="s">
        <v>120</v>
      </c>
      <c r="L37" s="177">
        <f>18%</f>
        <v>0.18</v>
      </c>
      <c r="M37" s="178" t="s">
        <v>121</v>
      </c>
      <c r="N37" s="179" t="s">
        <v>122</v>
      </c>
      <c r="O37" s="180">
        <f>150241*70%</f>
        <v>105168.7</v>
      </c>
      <c r="P37" s="181">
        <v>0.08</v>
      </c>
      <c r="Q37" s="182">
        <f>1560*12</f>
        <v>18720</v>
      </c>
      <c r="R37" s="183">
        <f>'Extra Tables  Parking lot'!F15</f>
        <v>0.08333333333</v>
      </c>
      <c r="S37" s="184">
        <f>'Extra Tables  Parking lot'!G15</f>
        <v>0</v>
      </c>
      <c r="T37" s="185">
        <f>'Extra Tables  Parking lot'!H15</f>
        <v>0</v>
      </c>
      <c r="U37" s="186">
        <v>0.35</v>
      </c>
      <c r="V37" s="187" t="s">
        <v>123</v>
      </c>
      <c r="W37" s="188">
        <f t="shared" ref="W37:W52" si="1">O37/$O$55</f>
        <v>0.1306191975</v>
      </c>
      <c r="X37" s="189">
        <f t="shared" ref="X37:X39" si="2">Q37/$Q$55</f>
        <v>0.2230695901</v>
      </c>
      <c r="Y37" s="190"/>
      <c r="Z37" s="145"/>
      <c r="AA37" s="145"/>
      <c r="AB37" s="145"/>
      <c r="AC37" s="145"/>
      <c r="AD37" s="145"/>
      <c r="AE37" s="145"/>
      <c r="AF37" s="145"/>
      <c r="AG37" s="145"/>
      <c r="AH37" s="145"/>
      <c r="AI37" s="145"/>
      <c r="AJ37" s="145"/>
    </row>
    <row r="38" ht="15.75" customHeight="1">
      <c r="A38" s="69"/>
      <c r="B38" s="191" t="s">
        <v>124</v>
      </c>
      <c r="C38" s="192">
        <f>F13</f>
        <v>39.87</v>
      </c>
      <c r="D38" s="174" t="s">
        <v>125</v>
      </c>
      <c r="E38" s="191" t="s">
        <v>124</v>
      </c>
      <c r="F38" s="192">
        <f>F13</f>
        <v>39.87</v>
      </c>
      <c r="G38" s="174"/>
      <c r="H38" s="191" t="s">
        <v>124</v>
      </c>
      <c r="I38" s="193">
        <f>F13</f>
        <v>39.87</v>
      </c>
      <c r="J38" s="194"/>
      <c r="K38" s="195" t="s">
        <v>126</v>
      </c>
      <c r="L38" s="166">
        <f>L36*(1-L37)</f>
        <v>499689.14</v>
      </c>
      <c r="M38" s="196"/>
      <c r="N38" s="175" t="s">
        <v>127</v>
      </c>
      <c r="O38" s="180">
        <f>107315*70%</f>
        <v>75120.5</v>
      </c>
      <c r="P38" s="181">
        <v>0.17</v>
      </c>
      <c r="Q38" s="182"/>
      <c r="R38" s="183">
        <f>'Extra Tables  Parking lot'!F16</f>
        <v>0.1666666667</v>
      </c>
      <c r="S38" s="184" t="str">
        <f>'Extra Tables  Parking lot'!G16</f>
        <v/>
      </c>
      <c r="T38" s="185" t="str">
        <f>'Extra Tables  Parking lot'!H16</f>
        <v/>
      </c>
      <c r="U38" s="197">
        <v>0.4</v>
      </c>
      <c r="V38" s="187" t="s">
        <v>123</v>
      </c>
      <c r="W38" s="188">
        <f t="shared" si="1"/>
        <v>0.09329942682</v>
      </c>
      <c r="X38" s="189">
        <f t="shared" si="2"/>
        <v>0</v>
      </c>
      <c r="Y38" s="190"/>
      <c r="Z38" s="145"/>
      <c r="AA38" s="145"/>
      <c r="AB38" s="145"/>
      <c r="AC38" s="145"/>
      <c r="AD38" s="145"/>
      <c r="AE38" s="145"/>
      <c r="AF38" s="145"/>
      <c r="AG38" s="145"/>
      <c r="AH38" s="145"/>
      <c r="AI38" s="145"/>
      <c r="AJ38" s="145"/>
    </row>
    <row r="39" ht="15.75" customHeight="1">
      <c r="A39" s="74"/>
      <c r="B39" s="191" t="s">
        <v>112</v>
      </c>
      <c r="C39" s="198">
        <f>10%*75%</f>
        <v>0.075</v>
      </c>
      <c r="D39" s="199" t="s">
        <v>128</v>
      </c>
      <c r="E39" s="191" t="s">
        <v>112</v>
      </c>
      <c r="F39" s="200">
        <f>20%*75%</f>
        <v>0.15</v>
      </c>
      <c r="G39" s="201"/>
      <c r="H39" s="191" t="s">
        <v>112</v>
      </c>
      <c r="I39" s="200">
        <f>10%*75%</f>
        <v>0.075</v>
      </c>
      <c r="J39" s="202"/>
      <c r="K39" s="191" t="s">
        <v>112</v>
      </c>
      <c r="L39" s="200">
        <v>0.15</v>
      </c>
      <c r="N39" s="175" t="s">
        <v>129</v>
      </c>
      <c r="O39" s="180">
        <f>76839*70%</f>
        <v>53787.3</v>
      </c>
      <c r="P39" s="181">
        <v>0.33</v>
      </c>
      <c r="Q39" s="182">
        <f>400*12</f>
        <v>4800</v>
      </c>
      <c r="R39" s="183">
        <f>'Extra Tables  Parking lot'!F17</f>
        <v>0.25</v>
      </c>
      <c r="S39" s="184"/>
      <c r="T39" s="185">
        <f>'Extra Tables  Parking lot'!H17</f>
        <v>0.75</v>
      </c>
      <c r="U39" s="197">
        <v>0.4</v>
      </c>
      <c r="V39" s="187" t="s">
        <v>123</v>
      </c>
      <c r="W39" s="188">
        <f t="shared" si="1"/>
        <v>0.06680365892</v>
      </c>
      <c r="X39" s="189">
        <f t="shared" si="2"/>
        <v>0.05719733079</v>
      </c>
      <c r="Y39" s="203"/>
      <c r="Z39" s="140"/>
      <c r="AA39" s="140"/>
      <c r="AB39" s="140"/>
      <c r="AC39" s="140"/>
      <c r="AD39" s="140"/>
      <c r="AE39" s="140"/>
      <c r="AF39" s="140"/>
      <c r="AG39" s="140"/>
      <c r="AH39" s="140"/>
      <c r="AI39" s="140"/>
      <c r="AJ39" s="140"/>
    </row>
    <row r="40" ht="15.75" customHeight="1">
      <c r="A40" s="68"/>
      <c r="B40" s="204"/>
      <c r="C40" s="205"/>
      <c r="D40" s="68" t="s">
        <v>130</v>
      </c>
      <c r="E40" s="204"/>
      <c r="F40" s="205"/>
      <c r="G40" s="68"/>
      <c r="H40" s="107"/>
      <c r="I40" s="107"/>
      <c r="J40" s="66"/>
      <c r="N40" s="165" t="s">
        <v>131</v>
      </c>
      <c r="O40" s="180">
        <f>148653*(12/5)</f>
        <v>356767.2</v>
      </c>
      <c r="P40" s="206">
        <f>10/60</f>
        <v>0.1666666667</v>
      </c>
      <c r="Q40" s="182">
        <f>940*12</f>
        <v>11280</v>
      </c>
      <c r="R40" s="183">
        <f>'Extra Tables  Parking lot'!F18</f>
        <v>0.08333333333</v>
      </c>
      <c r="S40" s="184">
        <f>'Extra Tables  Parking lot'!G18</f>
        <v>0</v>
      </c>
      <c r="T40" s="185">
        <f>'Extra Tables  Parking lot'!H18</f>
        <v>0</v>
      </c>
      <c r="U40" s="197">
        <v>0.1</v>
      </c>
      <c r="V40" s="207" t="s">
        <v>132</v>
      </c>
      <c r="W40" s="188">
        <f t="shared" si="1"/>
        <v>0.4431037502</v>
      </c>
      <c r="X40" s="189"/>
      <c r="Y40" s="75"/>
      <c r="Z40" s="140"/>
      <c r="AA40" s="140"/>
      <c r="AB40" s="140"/>
      <c r="AC40" s="140"/>
      <c r="AD40" s="140"/>
      <c r="AE40" s="140"/>
      <c r="AF40" s="140"/>
      <c r="AG40" s="140"/>
      <c r="AH40" s="140"/>
      <c r="AI40" s="140"/>
      <c r="AJ40" s="140"/>
    </row>
    <row r="41" ht="15.75" customHeight="1">
      <c r="A41" s="69"/>
      <c r="B41" s="153" t="s">
        <v>133</v>
      </c>
      <c r="C41" s="151"/>
      <c r="D41" s="152"/>
      <c r="E41" s="153" t="s">
        <v>134</v>
      </c>
      <c r="F41" s="151"/>
      <c r="G41" s="152"/>
      <c r="H41" s="150" t="s">
        <v>135</v>
      </c>
      <c r="I41" s="151"/>
      <c r="J41" s="202"/>
      <c r="K41" s="153" t="s">
        <v>136</v>
      </c>
      <c r="L41" s="151"/>
      <c r="N41" s="208" t="s">
        <v>137</v>
      </c>
      <c r="O41" s="209"/>
      <c r="P41" s="210"/>
      <c r="Q41" s="211">
        <f>'Extra Tables  Parking lot'!E19</f>
        <v>0</v>
      </c>
      <c r="R41" s="212">
        <f>'Extra Tables  Parking lot'!F19</f>
        <v>0.1666666667</v>
      </c>
      <c r="S41" s="213">
        <f>'Extra Tables  Parking lot'!G19</f>
        <v>0</v>
      </c>
      <c r="T41" s="214">
        <f>'Extra Tables  Parking lot'!H19</f>
        <v>0.08333333333</v>
      </c>
      <c r="U41" s="215">
        <v>0.1</v>
      </c>
      <c r="V41" s="216"/>
      <c r="W41" s="188">
        <f t="shared" si="1"/>
        <v>0</v>
      </c>
      <c r="X41" s="189">
        <f t="shared" ref="X41:X47" si="3">Q41/$Q$55</f>
        <v>0</v>
      </c>
      <c r="Y41" s="159"/>
      <c r="Z41" s="145"/>
      <c r="AA41" s="145"/>
      <c r="AB41" s="145"/>
      <c r="AC41" s="145"/>
      <c r="AD41" s="145"/>
      <c r="AE41" s="145"/>
      <c r="AF41" s="145"/>
      <c r="AG41" s="145"/>
      <c r="AH41" s="145"/>
      <c r="AI41" s="145"/>
      <c r="AJ41" s="145"/>
    </row>
    <row r="42" ht="15.75" customHeight="1">
      <c r="A42" s="69"/>
      <c r="B42" s="179" t="s">
        <v>138</v>
      </c>
      <c r="C42" s="217">
        <f>(193177/80%)</f>
        <v>241471.25</v>
      </c>
      <c r="D42" s="164" t="s">
        <v>139</v>
      </c>
      <c r="E42" s="175" t="s">
        <v>138</v>
      </c>
      <c r="F42" s="163">
        <f>(F73-F74)*2</f>
        <v>103600</v>
      </c>
      <c r="G42" s="164" t="s">
        <v>140</v>
      </c>
      <c r="H42" s="175" t="s">
        <v>141</v>
      </c>
      <c r="I42" s="218">
        <f>F15</f>
        <v>3656262</v>
      </c>
      <c r="J42" s="202"/>
      <c r="K42" s="165" t="s">
        <v>142</v>
      </c>
      <c r="L42" s="219">
        <f>F15</f>
        <v>3656262</v>
      </c>
      <c r="N42" s="165" t="s">
        <v>143</v>
      </c>
      <c r="O42" s="180">
        <f>3162*(12/5)</f>
        <v>7588.8</v>
      </c>
      <c r="P42" s="206">
        <f>15/60</f>
        <v>0.25</v>
      </c>
      <c r="Q42" s="182">
        <f>90*12</f>
        <v>1080</v>
      </c>
      <c r="R42" s="183">
        <f>'Extra Tables  Parking lot'!F20</f>
        <v>0.1666666667</v>
      </c>
      <c r="S42" s="184"/>
      <c r="T42" s="185">
        <f>'Extra Tables  Parking lot'!H20</f>
        <v>0.5</v>
      </c>
      <c r="U42" s="197">
        <v>0.35</v>
      </c>
      <c r="V42" s="207" t="s">
        <v>132</v>
      </c>
      <c r="W42" s="188">
        <f t="shared" si="1"/>
        <v>0.009425265943</v>
      </c>
      <c r="X42" s="189">
        <f t="shared" si="3"/>
        <v>0.01286939943</v>
      </c>
      <c r="Y42" s="172"/>
      <c r="Z42" s="145"/>
      <c r="AA42" s="145"/>
      <c r="AB42" s="145"/>
      <c r="AC42" s="145"/>
      <c r="AD42" s="145"/>
      <c r="AE42" s="145"/>
      <c r="AF42" s="145"/>
      <c r="AG42" s="145"/>
      <c r="AH42" s="145"/>
      <c r="AI42" s="145"/>
      <c r="AJ42" s="145"/>
    </row>
    <row r="43" ht="15.75" customHeight="1">
      <c r="A43" s="69"/>
      <c r="B43" s="165" t="s">
        <v>144</v>
      </c>
      <c r="C43" s="220">
        <v>0.2</v>
      </c>
      <c r="D43" s="164" t="s">
        <v>145</v>
      </c>
      <c r="E43" s="175" t="s">
        <v>118</v>
      </c>
      <c r="F43" s="221">
        <f>(F73-F74)/F42</f>
        <v>0.5</v>
      </c>
      <c r="G43" s="164"/>
      <c r="H43" s="175" t="s">
        <v>146</v>
      </c>
      <c r="I43" s="222">
        <f>F15-I36</f>
        <v>3217510.56</v>
      </c>
      <c r="J43" s="194"/>
      <c r="K43" s="165" t="s">
        <v>147</v>
      </c>
      <c r="L43" s="177">
        <f>18%</f>
        <v>0.18</v>
      </c>
      <c r="M43" s="196" t="s">
        <v>148</v>
      </c>
      <c r="N43" s="165" t="s">
        <v>149</v>
      </c>
      <c r="O43" s="223">
        <f>1638*70%</f>
        <v>1146.6</v>
      </c>
      <c r="P43" s="181">
        <v>0.17</v>
      </c>
      <c r="Q43" s="182">
        <f>440*12</f>
        <v>5280</v>
      </c>
      <c r="R43" s="183">
        <f>'Extra Tables  Parking lot'!F21</f>
        <v>0.08333333333</v>
      </c>
      <c r="S43" s="184">
        <f>'Extra Tables  Parking lot'!G21</f>
        <v>0</v>
      </c>
      <c r="T43" s="185">
        <f>'Extra Tables  Parking lot'!H21</f>
        <v>0</v>
      </c>
      <c r="U43" s="197">
        <v>0.2</v>
      </c>
      <c r="V43" s="187" t="s">
        <v>123</v>
      </c>
      <c r="W43" s="188">
        <f t="shared" si="1"/>
        <v>0.001424073626</v>
      </c>
      <c r="X43" s="189">
        <f t="shared" si="3"/>
        <v>0.06291706387</v>
      </c>
      <c r="Y43" s="172" t="s">
        <v>150</v>
      </c>
      <c r="Z43" s="145"/>
      <c r="AA43" s="145"/>
      <c r="AB43" s="145"/>
      <c r="AC43" s="145"/>
      <c r="AD43" s="145"/>
      <c r="AE43" s="145"/>
      <c r="AF43" s="145"/>
      <c r="AG43" s="145"/>
      <c r="AH43" s="145"/>
      <c r="AI43" s="145"/>
      <c r="AJ43" s="145"/>
    </row>
    <row r="44" ht="15.75" customHeight="1">
      <c r="A44" s="69"/>
      <c r="B44" s="191" t="s">
        <v>124</v>
      </c>
      <c r="C44" s="192">
        <f>F13</f>
        <v>39.87</v>
      </c>
      <c r="D44" s="164"/>
      <c r="E44" s="191" t="s">
        <v>124</v>
      </c>
      <c r="F44" s="192">
        <f>F38</f>
        <v>39.87</v>
      </c>
      <c r="G44" s="164"/>
      <c r="H44" s="191" t="s">
        <v>151</v>
      </c>
      <c r="I44" s="224">
        <f>($C$38*(9/10)+$F$38*(1/10))/2</f>
        <v>19.935</v>
      </c>
      <c r="J44" s="194" t="s">
        <v>152</v>
      </c>
      <c r="K44" s="195" t="s">
        <v>153</v>
      </c>
      <c r="L44" s="224">
        <f>I44</f>
        <v>19.935</v>
      </c>
      <c r="M44" s="194" t="s">
        <v>152</v>
      </c>
      <c r="N44" s="165" t="s">
        <v>154</v>
      </c>
      <c r="O44" s="223">
        <f>1092*70%</f>
        <v>764.4</v>
      </c>
      <c r="P44" s="181">
        <v>0.17</v>
      </c>
      <c r="Q44" s="182">
        <f t="shared" ref="Q44:Q45" si="4">120*12</f>
        <v>1440</v>
      </c>
      <c r="R44" s="183">
        <f>'Extra Tables  Parking lot'!F22</f>
        <v>0.08333333333</v>
      </c>
      <c r="S44" s="184">
        <f>'Extra Tables  Parking lot'!G22</f>
        <v>0</v>
      </c>
      <c r="T44" s="185">
        <f>'Extra Tables  Parking lot'!H22</f>
        <v>0</v>
      </c>
      <c r="U44" s="197">
        <v>0.2</v>
      </c>
      <c r="V44" s="187" t="s">
        <v>123</v>
      </c>
      <c r="W44" s="188">
        <f t="shared" si="1"/>
        <v>0.0009493824171</v>
      </c>
      <c r="X44" s="189">
        <f t="shared" si="3"/>
        <v>0.01715919924</v>
      </c>
      <c r="Y44" s="172"/>
      <c r="Z44" s="145"/>
      <c r="AA44" s="145"/>
      <c r="AB44" s="145"/>
      <c r="AC44" s="145"/>
      <c r="AD44" s="145"/>
      <c r="AE44" s="145"/>
      <c r="AF44" s="145"/>
      <c r="AG44" s="145"/>
      <c r="AH44" s="145"/>
      <c r="AI44" s="145"/>
      <c r="AJ44" s="145"/>
    </row>
    <row r="45" ht="15.75" customHeight="1">
      <c r="A45" s="74"/>
      <c r="B45" s="191" t="s">
        <v>112</v>
      </c>
      <c r="C45" s="198">
        <f>10%*75%</f>
        <v>0.075</v>
      </c>
      <c r="D45" s="199" t="s">
        <v>155</v>
      </c>
      <c r="E45" s="191" t="s">
        <v>112</v>
      </c>
      <c r="F45" s="200">
        <f>10%*75%</f>
        <v>0.075</v>
      </c>
      <c r="G45" s="199" t="s">
        <v>156</v>
      </c>
      <c r="H45" s="191" t="s">
        <v>112</v>
      </c>
      <c r="I45" s="200">
        <f>5%*75%</f>
        <v>0.0375</v>
      </c>
      <c r="J45" s="194" t="s">
        <v>157</v>
      </c>
      <c r="K45" s="191" t="s">
        <v>112</v>
      </c>
      <c r="L45" s="200">
        <v>0.05</v>
      </c>
      <c r="M45" s="196" t="s">
        <v>158</v>
      </c>
      <c r="N45" s="165" t="s">
        <v>159</v>
      </c>
      <c r="O45" s="223">
        <f>8736*70%</f>
        <v>6115.2</v>
      </c>
      <c r="P45" s="181">
        <v>0.17</v>
      </c>
      <c r="Q45" s="182">
        <f t="shared" si="4"/>
        <v>1440</v>
      </c>
      <c r="R45" s="183">
        <f>'Extra Tables  Parking lot'!F23</f>
        <v>0.1666666667</v>
      </c>
      <c r="S45" s="184"/>
      <c r="T45" s="185">
        <f>'Extra Tables  Parking lot'!H23</f>
        <v>0.5</v>
      </c>
      <c r="U45" s="197">
        <v>0.35</v>
      </c>
      <c r="V45" s="187" t="s">
        <v>123</v>
      </c>
      <c r="W45" s="188">
        <f t="shared" si="1"/>
        <v>0.007595059336</v>
      </c>
      <c r="X45" s="189">
        <f t="shared" si="3"/>
        <v>0.01715919924</v>
      </c>
      <c r="Y45" s="225" t="s">
        <v>160</v>
      </c>
      <c r="Z45" s="140"/>
      <c r="AA45" s="140"/>
      <c r="AB45" s="140"/>
      <c r="AC45" s="140"/>
      <c r="AD45" s="140"/>
      <c r="AE45" s="140"/>
      <c r="AF45" s="140"/>
      <c r="AG45" s="140"/>
      <c r="AH45" s="140"/>
      <c r="AI45" s="140"/>
      <c r="AJ45" s="140"/>
    </row>
    <row r="46" ht="15.75" customHeight="1">
      <c r="A46" s="68"/>
      <c r="B46" s="204"/>
      <c r="C46" s="205"/>
      <c r="D46" s="68"/>
      <c r="E46" s="204"/>
      <c r="F46" s="205"/>
      <c r="G46" s="68"/>
      <c r="H46" s="88"/>
      <c r="I46" s="88"/>
      <c r="J46" s="66"/>
      <c r="N46" s="226" t="s">
        <v>161</v>
      </c>
      <c r="O46" s="223"/>
      <c r="P46" s="206"/>
      <c r="Q46" s="182">
        <f>'Extra Tables  Parking lot'!E24</f>
        <v>7000</v>
      </c>
      <c r="R46" s="183">
        <f>'Extra Tables  Parking lot'!F24</f>
        <v>0.25</v>
      </c>
      <c r="S46" s="184"/>
      <c r="T46" s="185">
        <f>'Extra Tables  Parking lot'!H24</f>
        <v>0.5</v>
      </c>
      <c r="U46" s="197">
        <v>0.35</v>
      </c>
      <c r="V46" s="207" t="s">
        <v>132</v>
      </c>
      <c r="W46" s="188">
        <f t="shared" si="1"/>
        <v>0</v>
      </c>
      <c r="X46" s="189">
        <f t="shared" si="3"/>
        <v>0.08341277407</v>
      </c>
      <c r="Y46" s="75"/>
      <c r="Z46" s="140"/>
      <c r="AA46" s="140"/>
      <c r="AB46" s="140"/>
      <c r="AC46" s="140"/>
      <c r="AD46" s="140"/>
      <c r="AE46" s="140"/>
      <c r="AF46" s="140"/>
      <c r="AG46" s="140"/>
      <c r="AH46" s="140"/>
      <c r="AI46" s="140"/>
      <c r="AJ46" s="140"/>
    </row>
    <row r="47" ht="27.0" customHeight="1">
      <c r="A47" s="69"/>
      <c r="B47" s="153" t="s">
        <v>162</v>
      </c>
      <c r="C47" s="151"/>
      <c r="D47" s="152"/>
      <c r="E47" s="150" t="s">
        <v>162</v>
      </c>
      <c r="F47" s="151"/>
      <c r="G47" s="202"/>
      <c r="H47" s="143" t="s">
        <v>163</v>
      </c>
      <c r="I47" s="142"/>
      <c r="J47" s="66"/>
      <c r="K47" s="153" t="s">
        <v>164</v>
      </c>
      <c r="L47" s="151"/>
      <c r="N47" s="165" t="s">
        <v>165</v>
      </c>
      <c r="O47" s="223"/>
      <c r="P47" s="206"/>
      <c r="Q47" s="182">
        <f>150*12</f>
        <v>1800</v>
      </c>
      <c r="R47" s="183">
        <f>'Extra Tables  Parking lot'!F25</f>
        <v>0.08333333333</v>
      </c>
      <c r="S47" s="184">
        <f>'Extra Tables  Parking lot'!G25</f>
        <v>0</v>
      </c>
      <c r="T47" s="185">
        <f>'Extra Tables  Parking lot'!H25</f>
        <v>0</v>
      </c>
      <c r="U47" s="197">
        <v>0.35</v>
      </c>
      <c r="V47" s="207" t="s">
        <v>132</v>
      </c>
      <c r="W47" s="188">
        <f t="shared" si="1"/>
        <v>0</v>
      </c>
      <c r="X47" s="189">
        <f t="shared" si="3"/>
        <v>0.02144899905</v>
      </c>
      <c r="Y47" s="71"/>
      <c r="Z47" s="145"/>
      <c r="AA47" s="145"/>
      <c r="AB47" s="145"/>
      <c r="AC47" s="145"/>
      <c r="AD47" s="145"/>
      <c r="AE47" s="145"/>
      <c r="AF47" s="145"/>
      <c r="AG47" s="145"/>
      <c r="AH47" s="145"/>
      <c r="AI47" s="145"/>
      <c r="AJ47" s="145"/>
    </row>
    <row r="48" ht="15.75" customHeight="1">
      <c r="A48" s="69"/>
      <c r="B48" s="179" t="s">
        <v>166</v>
      </c>
      <c r="C48" s="227">
        <f>C42</f>
        <v>241471.25</v>
      </c>
      <c r="D48" s="164"/>
      <c r="E48" s="175" t="s">
        <v>166</v>
      </c>
      <c r="F48" s="163">
        <f>F42</f>
        <v>103600</v>
      </c>
      <c r="G48" s="164" t="s">
        <v>167</v>
      </c>
      <c r="H48" s="76"/>
      <c r="I48" s="76"/>
      <c r="J48" s="66"/>
      <c r="K48" s="165" t="s">
        <v>168</v>
      </c>
      <c r="L48" s="228">
        <v>15.0</v>
      </c>
      <c r="M48" s="178" t="s">
        <v>145</v>
      </c>
      <c r="N48" s="165" t="s">
        <v>169</v>
      </c>
      <c r="O48" s="223">
        <f>1248*(12/5)</f>
        <v>2995.2</v>
      </c>
      <c r="P48" s="206">
        <f>10/60</f>
        <v>0.1666666667</v>
      </c>
      <c r="Q48" s="182">
        <f>60*12</f>
        <v>720</v>
      </c>
      <c r="R48" s="183">
        <f>'Extra Tables  Parking lot'!F26</f>
        <v>0.1666666667</v>
      </c>
      <c r="S48" s="184">
        <f>'Extra Tables  Parking lot'!G26</f>
        <v>0</v>
      </c>
      <c r="T48" s="185">
        <f>'Extra Tables  Parking lot'!H26</f>
        <v>0</v>
      </c>
      <c r="U48" s="197">
        <v>0.1</v>
      </c>
      <c r="V48" s="187" t="s">
        <v>123</v>
      </c>
      <c r="W48" s="188">
        <f t="shared" si="1"/>
        <v>0.003720029063</v>
      </c>
      <c r="X48" s="189"/>
      <c r="Y48" s="172" t="s">
        <v>170</v>
      </c>
      <c r="Z48" s="145"/>
      <c r="AA48" s="145"/>
      <c r="AB48" s="145"/>
      <c r="AC48" s="145"/>
      <c r="AD48" s="145"/>
      <c r="AE48" s="145"/>
      <c r="AF48" s="145"/>
      <c r="AG48" s="145"/>
      <c r="AH48" s="145"/>
      <c r="AI48" s="145"/>
      <c r="AJ48" s="145"/>
    </row>
    <row r="49" ht="15.75" customHeight="1">
      <c r="A49" s="69"/>
      <c r="B49" s="175" t="s">
        <v>171</v>
      </c>
      <c r="C49" s="229">
        <f>20/60</f>
        <v>0.3333333333</v>
      </c>
      <c r="D49" s="164" t="s">
        <v>172</v>
      </c>
      <c r="E49" s="175" t="s">
        <v>173</v>
      </c>
      <c r="F49" s="230">
        <f>40/60</f>
        <v>0.6666666667</v>
      </c>
      <c r="G49" s="194" t="s">
        <v>174</v>
      </c>
      <c r="H49" s="231">
        <f>F14</f>
        <v>8.010394797</v>
      </c>
      <c r="I49" s="232"/>
      <c r="J49" s="66"/>
      <c r="K49" s="165" t="s">
        <v>175</v>
      </c>
      <c r="L49" s="233">
        <f>I14/F16</f>
        <v>16020.78959</v>
      </c>
      <c r="N49" s="226" t="s">
        <v>176</v>
      </c>
      <c r="O49" s="223">
        <f>462*(12/5)</f>
        <v>1108.8</v>
      </c>
      <c r="P49" s="206">
        <f>30/60</f>
        <v>0.5</v>
      </c>
      <c r="Q49" s="182">
        <f>20*12</f>
        <v>240</v>
      </c>
      <c r="R49" s="183">
        <f>'Extra Tables  Parking lot'!F27</f>
        <v>0.08333333333</v>
      </c>
      <c r="S49" s="184"/>
      <c r="T49" s="185">
        <f>'Extra Tables  Parking lot'!H27</f>
        <v>0.25</v>
      </c>
      <c r="U49" s="197">
        <v>0.2</v>
      </c>
      <c r="V49" s="187" t="s">
        <v>123</v>
      </c>
      <c r="W49" s="188">
        <f t="shared" si="1"/>
        <v>0.001377126143</v>
      </c>
      <c r="X49" s="189">
        <f t="shared" ref="X49:X52" si="5">Q49/$Q$55</f>
        <v>0.00285986654</v>
      </c>
      <c r="Y49" s="234" t="s">
        <v>174</v>
      </c>
      <c r="Z49" s="145"/>
      <c r="AA49" s="145"/>
      <c r="AB49" s="145"/>
      <c r="AC49" s="145"/>
      <c r="AD49" s="145"/>
      <c r="AE49" s="145"/>
      <c r="AF49" s="145"/>
      <c r="AG49" s="145"/>
      <c r="AH49" s="145"/>
      <c r="AI49" s="145"/>
      <c r="AJ49" s="145"/>
    </row>
    <row r="50" ht="15.75" customHeight="1">
      <c r="A50" s="69"/>
      <c r="B50" s="195" t="s">
        <v>177</v>
      </c>
      <c r="C50" s="235">
        <f>F14</f>
        <v>8.010394797</v>
      </c>
      <c r="D50" s="164" t="s">
        <v>178</v>
      </c>
      <c r="E50" s="195" t="s">
        <v>177</v>
      </c>
      <c r="F50" s="236">
        <f>F14</f>
        <v>8.010394797</v>
      </c>
      <c r="G50" s="202"/>
      <c r="H50" s="237" t="s">
        <v>179</v>
      </c>
      <c r="I50" s="238">
        <v>60.0</v>
      </c>
      <c r="J50" s="66"/>
      <c r="K50" s="191" t="s">
        <v>112</v>
      </c>
      <c r="L50" s="200">
        <v>0.35</v>
      </c>
      <c r="M50" s="196" t="s">
        <v>180</v>
      </c>
      <c r="N50" s="226" t="s">
        <v>181</v>
      </c>
      <c r="O50" s="223">
        <f>86889*70%</f>
        <v>60822.3</v>
      </c>
      <c r="P50" s="181">
        <v>0.17</v>
      </c>
      <c r="Q50" s="182">
        <f>140*12</f>
        <v>1680</v>
      </c>
      <c r="R50" s="183">
        <f>'Extra Tables  Parking lot'!F28</f>
        <v>0.1666666667</v>
      </c>
      <c r="S50" s="184">
        <f>'Extra Tables  Parking lot'!G28</f>
        <v>0</v>
      </c>
      <c r="T50" s="185">
        <f>'Extra Tables  Parking lot'!H28</f>
        <v>0</v>
      </c>
      <c r="U50" s="197">
        <v>0.35</v>
      </c>
      <c r="V50" s="187" t="s">
        <v>123</v>
      </c>
      <c r="W50" s="188">
        <f t="shared" si="1"/>
        <v>0.07554110699</v>
      </c>
      <c r="X50" s="189">
        <f t="shared" si="5"/>
        <v>0.02001906578</v>
      </c>
      <c r="Y50" s="71"/>
      <c r="Z50" s="145"/>
      <c r="AA50" s="145"/>
      <c r="AB50" s="145"/>
      <c r="AC50" s="145"/>
      <c r="AD50" s="145"/>
      <c r="AE50" s="145"/>
      <c r="AF50" s="145"/>
      <c r="AG50" s="145"/>
      <c r="AH50" s="145"/>
      <c r="AI50" s="145"/>
      <c r="AJ50" s="145"/>
    </row>
    <row r="51" ht="15.75" customHeight="1">
      <c r="A51" s="74"/>
      <c r="B51" s="191" t="s">
        <v>112</v>
      </c>
      <c r="C51" s="200">
        <v>0.3</v>
      </c>
      <c r="D51" s="199" t="s">
        <v>182</v>
      </c>
      <c r="E51" s="191" t="s">
        <v>112</v>
      </c>
      <c r="F51" s="200">
        <v>0.3</v>
      </c>
      <c r="G51" s="239" t="s">
        <v>183</v>
      </c>
      <c r="H51" s="68"/>
      <c r="I51" s="68"/>
      <c r="J51" s="66"/>
      <c r="N51" s="165" t="s">
        <v>184</v>
      </c>
      <c r="O51" s="223"/>
      <c r="P51" s="206"/>
      <c r="Q51" s="182">
        <f>1200*12</f>
        <v>14400</v>
      </c>
      <c r="R51" s="183">
        <f>'Extra Tables  Parking lot'!F29</f>
        <v>0.1666666667</v>
      </c>
      <c r="S51" s="184">
        <f>'Extra Tables  Parking lot'!G29</f>
        <v>0</v>
      </c>
      <c r="T51" s="185">
        <f>'Extra Tables  Parking lot'!H29</f>
        <v>0</v>
      </c>
      <c r="U51" s="197">
        <v>0.35</v>
      </c>
      <c r="V51" s="207" t="s">
        <v>132</v>
      </c>
      <c r="W51" s="188">
        <f t="shared" si="1"/>
        <v>0</v>
      </c>
      <c r="X51" s="189">
        <f t="shared" si="5"/>
        <v>0.1715919924</v>
      </c>
      <c r="Y51" s="240" t="s">
        <v>183</v>
      </c>
      <c r="Z51" s="140"/>
      <c r="AA51" s="140"/>
      <c r="AB51" s="140"/>
      <c r="AC51" s="140"/>
      <c r="AD51" s="140"/>
      <c r="AE51" s="140"/>
      <c r="AF51" s="140"/>
      <c r="AG51" s="140"/>
      <c r="AH51" s="140"/>
      <c r="AI51" s="140"/>
      <c r="AJ51" s="140"/>
    </row>
    <row r="52" ht="15.75" customHeight="1">
      <c r="A52" s="68"/>
      <c r="B52" s="204"/>
      <c r="C52" s="205"/>
      <c r="D52" s="68"/>
      <c r="E52" s="204"/>
      <c r="F52" s="205"/>
      <c r="G52" s="68"/>
      <c r="H52" s="68"/>
      <c r="I52" s="66"/>
      <c r="J52" s="66"/>
      <c r="N52" s="226" t="s">
        <v>185</v>
      </c>
      <c r="O52" s="223">
        <f>191100*70%</f>
        <v>133770</v>
      </c>
      <c r="P52" s="181">
        <v>0.25</v>
      </c>
      <c r="Q52" s="182">
        <f>1170*12</f>
        <v>14040</v>
      </c>
      <c r="R52" s="183">
        <f>'Extra Tables  Parking lot'!F30</f>
        <v>0.1666666667</v>
      </c>
      <c r="S52" s="184"/>
      <c r="T52" s="185">
        <f>'Extra Tables  Parking lot'!H30</f>
        <v>0.25</v>
      </c>
      <c r="U52" s="197">
        <v>0.35</v>
      </c>
      <c r="V52" s="187" t="s">
        <v>123</v>
      </c>
      <c r="W52" s="188">
        <f t="shared" si="1"/>
        <v>0.166141923</v>
      </c>
      <c r="X52" s="189">
        <f t="shared" si="5"/>
        <v>0.1673021926</v>
      </c>
      <c r="Y52" s="75"/>
      <c r="Z52" s="140"/>
      <c r="AA52" s="140"/>
      <c r="AB52" s="140"/>
      <c r="AC52" s="140"/>
      <c r="AD52" s="140"/>
      <c r="AE52" s="140"/>
      <c r="AF52" s="140"/>
      <c r="AG52" s="140"/>
      <c r="AH52" s="140"/>
      <c r="AI52" s="140"/>
      <c r="AJ52" s="140"/>
    </row>
    <row r="53" ht="15.75" customHeight="1">
      <c r="A53" s="69"/>
      <c r="B53" s="153" t="s">
        <v>186</v>
      </c>
      <c r="C53" s="151"/>
      <c r="D53" s="152"/>
      <c r="E53" s="153" t="s">
        <v>186</v>
      </c>
      <c r="F53" s="151"/>
      <c r="G53" s="202"/>
      <c r="H53" s="68"/>
      <c r="I53" s="241"/>
      <c r="J53" s="66"/>
      <c r="N53" s="165"/>
      <c r="O53" s="242"/>
      <c r="P53" s="183"/>
      <c r="Q53" s="242"/>
      <c r="R53" s="183"/>
      <c r="S53" s="243"/>
      <c r="T53" s="244"/>
      <c r="U53" s="197"/>
      <c r="V53" s="245"/>
      <c r="W53" s="66"/>
      <c r="X53" s="69"/>
      <c r="Y53" s="71"/>
      <c r="Z53" s="145"/>
      <c r="AA53" s="145"/>
      <c r="AB53" s="145"/>
      <c r="AC53" s="145"/>
      <c r="AD53" s="145"/>
      <c r="AE53" s="145"/>
      <c r="AF53" s="145"/>
      <c r="AG53" s="145"/>
      <c r="AH53" s="145"/>
      <c r="AI53" s="145"/>
      <c r="AJ53" s="145"/>
    </row>
    <row r="54" ht="15.75" customHeight="1">
      <c r="A54" s="69"/>
      <c r="B54" s="179" t="s">
        <v>138</v>
      </c>
      <c r="C54" s="227">
        <f t="shared" ref="C54:C56" si="6">C48</f>
        <v>241471.25</v>
      </c>
      <c r="D54" s="190"/>
      <c r="E54" s="246" t="s">
        <v>166</v>
      </c>
      <c r="F54" s="247">
        <f>F73-F74</f>
        <v>51800</v>
      </c>
      <c r="G54" s="194"/>
      <c r="H54" s="68"/>
      <c r="I54" s="241"/>
      <c r="J54" s="66"/>
      <c r="N54" s="1"/>
      <c r="O54" s="1"/>
      <c r="P54" s="1"/>
      <c r="Q54" s="1"/>
      <c r="R54" s="1"/>
      <c r="S54" s="1"/>
      <c r="T54" s="1"/>
      <c r="U54" s="1"/>
      <c r="V54" s="68"/>
      <c r="W54" s="66"/>
      <c r="X54" s="69"/>
      <c r="Y54" s="234"/>
      <c r="Z54" s="145"/>
      <c r="AA54" s="145"/>
      <c r="AB54" s="145"/>
      <c r="AC54" s="145"/>
      <c r="AD54" s="145"/>
      <c r="AE54" s="145"/>
      <c r="AF54" s="145"/>
      <c r="AG54" s="145"/>
      <c r="AH54" s="145"/>
      <c r="AI54" s="145"/>
      <c r="AJ54" s="145"/>
    </row>
    <row r="55" ht="15.75" customHeight="1">
      <c r="A55" s="69"/>
      <c r="B55" s="175" t="s">
        <v>171</v>
      </c>
      <c r="C55" s="248">
        <f t="shared" si="6"/>
        <v>0.3333333333</v>
      </c>
      <c r="D55" s="159"/>
      <c r="E55" s="246" t="s">
        <v>187</v>
      </c>
      <c r="F55" s="249">
        <f>40/60</f>
        <v>0.6666666667</v>
      </c>
      <c r="G55" s="202"/>
      <c r="H55" s="68"/>
      <c r="I55" s="241"/>
      <c r="J55" s="241"/>
      <c r="N55" s="250" t="s">
        <v>188</v>
      </c>
      <c r="O55" s="251">
        <f>SUM(O37:O53)</f>
        <v>805155</v>
      </c>
      <c r="P55" s="252"/>
      <c r="Q55" s="253">
        <f>sum(Q37:Q53)</f>
        <v>83920</v>
      </c>
      <c r="R55" s="254"/>
      <c r="S55" s="255">
        <f>sum(S37:S53)</f>
        <v>0</v>
      </c>
      <c r="T55" s="254"/>
      <c r="U55" s="241"/>
      <c r="V55" s="256"/>
      <c r="W55" s="66"/>
      <c r="X55" s="69"/>
      <c r="Y55" s="71"/>
      <c r="Z55" s="145"/>
      <c r="AA55" s="145"/>
      <c r="AB55" s="145"/>
      <c r="AC55" s="145"/>
      <c r="AD55" s="145"/>
      <c r="AE55" s="145"/>
      <c r="AF55" s="145"/>
      <c r="AG55" s="145"/>
      <c r="AH55" s="145"/>
      <c r="AI55" s="145"/>
      <c r="AJ55" s="145"/>
    </row>
    <row r="56" ht="15.75" customHeight="1">
      <c r="A56" s="69"/>
      <c r="B56" s="195" t="s">
        <v>177</v>
      </c>
      <c r="C56" s="235">
        <f t="shared" si="6"/>
        <v>8.010394797</v>
      </c>
      <c r="D56" s="159"/>
      <c r="E56" s="257" t="s">
        <v>177</v>
      </c>
      <c r="F56" s="258">
        <f>F14</f>
        <v>8.010394797</v>
      </c>
      <c r="G56" s="202"/>
      <c r="H56" s="68"/>
      <c r="I56" s="66"/>
      <c r="J56" s="66"/>
      <c r="N56" s="1"/>
      <c r="O56" s="1"/>
      <c r="P56" s="1"/>
      <c r="Q56" s="1"/>
      <c r="R56" s="1"/>
      <c r="S56" s="1"/>
      <c r="T56" s="1"/>
      <c r="U56" s="1"/>
      <c r="W56" s="66"/>
      <c r="X56" s="69"/>
      <c r="Y56" s="71"/>
      <c r="Z56" s="145"/>
      <c r="AA56" s="145"/>
      <c r="AB56" s="145"/>
      <c r="AC56" s="145"/>
      <c r="AD56" s="145"/>
      <c r="AE56" s="145"/>
      <c r="AF56" s="145"/>
      <c r="AG56" s="145"/>
      <c r="AH56" s="145"/>
      <c r="AI56" s="145"/>
      <c r="AJ56" s="145"/>
    </row>
    <row r="57" ht="15.75" customHeight="1">
      <c r="A57" s="74"/>
      <c r="B57" s="191" t="s">
        <v>112</v>
      </c>
      <c r="C57" s="200">
        <v>0.2</v>
      </c>
      <c r="D57" s="259" t="s">
        <v>189</v>
      </c>
      <c r="E57" s="260" t="s">
        <v>112</v>
      </c>
      <c r="F57" s="261">
        <v>0.2</v>
      </c>
      <c r="G57" s="262"/>
      <c r="H57" s="68"/>
      <c r="I57" s="68"/>
      <c r="J57" s="66"/>
      <c r="N57" s="263" t="s">
        <v>190</v>
      </c>
      <c r="O57" s="1">
        <f>Q55/F15</f>
        <v>0.0229524033</v>
      </c>
      <c r="P57" s="1"/>
      <c r="Q57" s="68"/>
      <c r="R57" s="68"/>
      <c r="S57" s="68"/>
      <c r="T57" s="68"/>
      <c r="U57" s="68"/>
      <c r="V57" s="68"/>
      <c r="W57" s="68"/>
      <c r="X57" s="69"/>
      <c r="Y57" s="75"/>
      <c r="Z57" s="140"/>
      <c r="AA57" s="140"/>
      <c r="AB57" s="140"/>
      <c r="AC57" s="140"/>
      <c r="AD57" s="140"/>
      <c r="AE57" s="140"/>
      <c r="AF57" s="140"/>
      <c r="AG57" s="140"/>
      <c r="AH57" s="140"/>
      <c r="AI57" s="140"/>
      <c r="AJ57" s="140"/>
    </row>
    <row r="58" ht="15.75" customHeight="1">
      <c r="A58" s="68"/>
      <c r="B58" s="204"/>
      <c r="C58" s="205"/>
      <c r="D58" s="68"/>
      <c r="E58" s="204"/>
      <c r="F58" s="205"/>
      <c r="G58" s="68"/>
      <c r="H58" s="68"/>
      <c r="I58" s="68"/>
      <c r="J58" s="66"/>
      <c r="N58" s="263" t="s">
        <v>191</v>
      </c>
      <c r="O58" s="1">
        <f>O55/F15</f>
        <v>0.2202126106</v>
      </c>
      <c r="P58" s="1"/>
      <c r="Q58" s="68"/>
      <c r="R58" s="68"/>
      <c r="S58" s="68"/>
      <c r="T58" s="68"/>
      <c r="U58" s="68"/>
      <c r="V58" s="68"/>
      <c r="W58" s="68"/>
      <c r="X58" s="69"/>
      <c r="Y58" s="75"/>
      <c r="Z58" s="140"/>
      <c r="AA58" s="140"/>
      <c r="AB58" s="140"/>
      <c r="AC58" s="140"/>
      <c r="AD58" s="140"/>
      <c r="AE58" s="140"/>
      <c r="AF58" s="140"/>
      <c r="AG58" s="140"/>
      <c r="AH58" s="140"/>
      <c r="AI58" s="140"/>
      <c r="AJ58" s="140"/>
    </row>
    <row r="59" ht="15.75" customHeight="1">
      <c r="A59" s="69"/>
      <c r="B59" s="153" t="s">
        <v>192</v>
      </c>
      <c r="C59" s="151"/>
      <c r="D59" s="152"/>
      <c r="E59" s="153" t="s">
        <v>193</v>
      </c>
      <c r="F59" s="151"/>
      <c r="G59" s="202"/>
      <c r="H59" s="66"/>
      <c r="I59" s="66"/>
      <c r="J59" s="66"/>
      <c r="N59" s="178" t="s">
        <v>194</v>
      </c>
      <c r="O59" s="264">
        <f>S55/F15</f>
        <v>0</v>
      </c>
      <c r="V59" s="68"/>
      <c r="W59" s="66"/>
      <c r="X59" s="69"/>
      <c r="Y59" s="71"/>
      <c r="Z59" s="145"/>
      <c r="AA59" s="145"/>
      <c r="AB59" s="145"/>
      <c r="AC59" s="145"/>
      <c r="AD59" s="145"/>
      <c r="AE59" s="145"/>
      <c r="AF59" s="145"/>
      <c r="AG59" s="145"/>
      <c r="AH59" s="145"/>
      <c r="AI59" s="145"/>
      <c r="AJ59" s="145"/>
    </row>
    <row r="60" ht="15.75" customHeight="1">
      <c r="A60" s="69"/>
      <c r="B60" s="179" t="s">
        <v>166</v>
      </c>
      <c r="C60" s="161">
        <v>0.0</v>
      </c>
      <c r="D60" s="199" t="s">
        <v>195</v>
      </c>
      <c r="E60" s="175" t="s">
        <v>166</v>
      </c>
      <c r="F60" s="219"/>
      <c r="G60" s="199" t="s">
        <v>196</v>
      </c>
      <c r="H60" s="66"/>
      <c r="I60" s="66"/>
      <c r="J60" s="66"/>
      <c r="K60" s="1"/>
      <c r="L60" s="1"/>
      <c r="M60" s="1"/>
      <c r="N60" s="66"/>
      <c r="O60" s="66"/>
      <c r="P60" s="66"/>
      <c r="Q60" s="66"/>
      <c r="R60" s="66"/>
      <c r="S60" s="68"/>
      <c r="T60" s="66"/>
      <c r="U60" s="69"/>
      <c r="V60" s="70"/>
      <c r="W60" s="70" t="s">
        <v>166</v>
      </c>
      <c r="X60" s="70"/>
      <c r="Y60" s="225" t="s">
        <v>196</v>
      </c>
      <c r="Z60" s="145"/>
      <c r="AA60" s="145"/>
      <c r="AB60" s="145"/>
      <c r="AC60" s="145"/>
      <c r="AD60" s="145"/>
      <c r="AE60" s="145"/>
      <c r="AF60" s="145"/>
      <c r="AG60" s="145"/>
      <c r="AH60" s="145"/>
      <c r="AI60" s="145"/>
      <c r="AJ60" s="145"/>
    </row>
    <row r="61" ht="15.75" customHeight="1">
      <c r="A61" s="69"/>
      <c r="B61" s="175" t="s">
        <v>187</v>
      </c>
      <c r="C61" s="265">
        <v>0.0</v>
      </c>
      <c r="D61" s="174"/>
      <c r="E61" s="175" t="s">
        <v>187</v>
      </c>
      <c r="F61" s="266"/>
      <c r="G61" s="174"/>
      <c r="H61" s="66"/>
      <c r="I61" s="66"/>
      <c r="J61" s="66"/>
      <c r="K61" s="1"/>
      <c r="L61" s="1"/>
      <c r="M61" s="1"/>
      <c r="N61" s="66"/>
      <c r="O61" s="66"/>
      <c r="P61" s="66"/>
      <c r="Q61" s="66"/>
      <c r="R61" s="66"/>
      <c r="S61" s="68"/>
      <c r="T61" s="66"/>
      <c r="U61" s="69"/>
      <c r="V61" s="70"/>
      <c r="W61" s="70" t="s">
        <v>187</v>
      </c>
      <c r="X61" s="70"/>
      <c r="Y61" s="190"/>
      <c r="Z61" s="145"/>
      <c r="AA61" s="145"/>
      <c r="AB61" s="145"/>
      <c r="AC61" s="145"/>
      <c r="AD61" s="145"/>
      <c r="AE61" s="145"/>
      <c r="AF61" s="145"/>
      <c r="AG61" s="145"/>
      <c r="AH61" s="145"/>
      <c r="AI61" s="145"/>
      <c r="AJ61" s="145"/>
    </row>
    <row r="62" ht="15.75" customHeight="1">
      <c r="A62" s="69"/>
      <c r="B62" s="195" t="s">
        <v>177</v>
      </c>
      <c r="C62" s="267">
        <f>F14</f>
        <v>8.010394797</v>
      </c>
      <c r="D62" s="174"/>
      <c r="E62" s="195" t="s">
        <v>177</v>
      </c>
      <c r="F62" s="267"/>
      <c r="G62" s="174"/>
      <c r="H62" s="66"/>
      <c r="I62" s="66"/>
      <c r="J62" s="66"/>
      <c r="K62" s="1"/>
      <c r="L62" s="1"/>
      <c r="M62" s="1"/>
      <c r="N62" s="66"/>
      <c r="O62" s="66"/>
      <c r="P62" s="66"/>
      <c r="Q62" s="66"/>
      <c r="R62" s="66"/>
      <c r="S62" s="68"/>
      <c r="T62" s="66"/>
      <c r="U62" s="69"/>
      <c r="V62" s="70"/>
      <c r="W62" s="70" t="s">
        <v>177</v>
      </c>
      <c r="X62" s="70"/>
      <c r="Y62" s="190"/>
      <c r="Z62" s="145"/>
      <c r="AA62" s="145"/>
      <c r="AB62" s="145"/>
      <c r="AC62" s="145"/>
      <c r="AD62" s="145"/>
      <c r="AE62" s="145"/>
      <c r="AF62" s="145"/>
      <c r="AG62" s="145"/>
      <c r="AH62" s="145"/>
      <c r="AI62" s="145"/>
      <c r="AJ62" s="145"/>
    </row>
    <row r="63" ht="15.75" customHeight="1">
      <c r="A63" s="74"/>
      <c r="B63" s="191" t="s">
        <v>112</v>
      </c>
      <c r="C63" s="200">
        <v>0.0</v>
      </c>
      <c r="D63" s="199" t="s">
        <v>197</v>
      </c>
      <c r="E63" s="191" t="s">
        <v>112</v>
      </c>
      <c r="F63" s="200">
        <v>0.45</v>
      </c>
      <c r="G63" s="199" t="s">
        <v>198</v>
      </c>
      <c r="H63" s="68"/>
      <c r="I63" s="68"/>
      <c r="J63" s="66"/>
      <c r="K63" s="1"/>
      <c r="L63" s="1"/>
      <c r="M63" s="1"/>
      <c r="N63" s="68"/>
      <c r="O63" s="68"/>
      <c r="P63" s="68"/>
      <c r="Q63" s="68"/>
      <c r="R63" s="68"/>
      <c r="S63" s="68"/>
      <c r="T63" s="68"/>
      <c r="U63" s="69"/>
      <c r="V63" s="70"/>
      <c r="W63" s="70" t="s">
        <v>112</v>
      </c>
      <c r="X63" s="70"/>
      <c r="Y63" s="225" t="s">
        <v>198</v>
      </c>
      <c r="Z63" s="140"/>
      <c r="AA63" s="140"/>
      <c r="AB63" s="140"/>
      <c r="AC63" s="140"/>
      <c r="AD63" s="140"/>
      <c r="AE63" s="140"/>
      <c r="AF63" s="140"/>
      <c r="AG63" s="140"/>
      <c r="AH63" s="140"/>
      <c r="AI63" s="140"/>
      <c r="AJ63" s="140"/>
    </row>
    <row r="64" ht="15.75" customHeight="1">
      <c r="A64" s="68"/>
      <c r="B64" s="204"/>
      <c r="C64" s="205"/>
      <c r="D64" s="68"/>
      <c r="E64" s="204"/>
      <c r="F64" s="205"/>
      <c r="G64" s="68"/>
      <c r="H64" s="68"/>
      <c r="I64" s="68"/>
      <c r="J64" s="66"/>
      <c r="K64" s="1"/>
      <c r="L64" s="1"/>
      <c r="M64" s="1"/>
      <c r="N64" s="68"/>
      <c r="O64" s="68"/>
      <c r="P64" s="68"/>
      <c r="Q64" s="68"/>
      <c r="R64" s="68"/>
      <c r="S64" s="68"/>
      <c r="T64" s="68"/>
      <c r="U64" s="74"/>
      <c r="V64" s="70"/>
      <c r="W64" s="70"/>
      <c r="X64" s="70"/>
      <c r="Y64" s="75"/>
      <c r="Z64" s="140"/>
      <c r="AA64" s="140"/>
      <c r="AB64" s="140"/>
      <c r="AC64" s="140"/>
      <c r="AD64" s="140"/>
      <c r="AE64" s="140"/>
      <c r="AF64" s="140"/>
      <c r="AG64" s="140"/>
      <c r="AH64" s="140"/>
      <c r="AI64" s="140"/>
      <c r="AJ64" s="140"/>
    </row>
    <row r="65" ht="15.75" customHeight="1">
      <c r="A65" s="69"/>
      <c r="B65" s="153" t="s">
        <v>199</v>
      </c>
      <c r="C65" s="151"/>
      <c r="D65" s="152"/>
      <c r="E65" s="153" t="s">
        <v>200</v>
      </c>
      <c r="F65" s="151"/>
      <c r="G65" s="202"/>
      <c r="H65" s="66"/>
      <c r="I65" s="66"/>
      <c r="J65" s="66"/>
      <c r="K65" s="1"/>
      <c r="L65" s="1"/>
      <c r="M65" s="1"/>
      <c r="N65" s="66"/>
      <c r="O65" s="66"/>
      <c r="P65" s="66"/>
      <c r="Q65" s="66"/>
      <c r="R65" s="66"/>
      <c r="S65" s="68"/>
      <c r="T65" s="66"/>
      <c r="U65" s="69"/>
      <c r="V65" s="70"/>
      <c r="W65" s="70" t="s">
        <v>201</v>
      </c>
      <c r="X65" s="70"/>
      <c r="Y65" s="71"/>
      <c r="Z65" s="145"/>
      <c r="AA65" s="145"/>
      <c r="AB65" s="145"/>
      <c r="AC65" s="145"/>
      <c r="AD65" s="145"/>
      <c r="AE65" s="145"/>
      <c r="AF65" s="145"/>
      <c r="AG65" s="145"/>
      <c r="AH65" s="145"/>
      <c r="AI65" s="145"/>
      <c r="AJ65" s="145"/>
    </row>
    <row r="66" ht="15.75" customHeight="1">
      <c r="A66" s="69"/>
      <c r="B66" s="175" t="s">
        <v>166</v>
      </c>
      <c r="C66" s="219">
        <v>0.0</v>
      </c>
      <c r="D66" s="164"/>
      <c r="E66" s="175" t="s">
        <v>166</v>
      </c>
      <c r="F66" s="268"/>
      <c r="G66" s="164" t="s">
        <v>202</v>
      </c>
      <c r="H66" s="66"/>
      <c r="I66" s="66"/>
      <c r="J66" s="66"/>
      <c r="K66" s="1"/>
      <c r="L66" s="1"/>
      <c r="M66" s="1"/>
      <c r="N66" s="66"/>
      <c r="O66" s="66"/>
      <c r="P66" s="66"/>
      <c r="Q66" s="66"/>
      <c r="R66" s="66"/>
      <c r="S66" s="68"/>
      <c r="T66" s="66"/>
      <c r="U66" s="69"/>
      <c r="V66" s="70"/>
      <c r="W66" s="70" t="s">
        <v>166</v>
      </c>
      <c r="X66" s="70"/>
      <c r="Y66" s="172" t="s">
        <v>202</v>
      </c>
      <c r="Z66" s="145"/>
      <c r="AA66" s="145"/>
      <c r="AB66" s="145"/>
      <c r="AC66" s="145"/>
      <c r="AD66" s="145"/>
      <c r="AE66" s="145"/>
      <c r="AF66" s="145"/>
      <c r="AG66" s="145"/>
      <c r="AH66" s="145"/>
      <c r="AI66" s="145"/>
      <c r="AJ66" s="145"/>
    </row>
    <row r="67" ht="15.75" customHeight="1">
      <c r="A67" s="69"/>
      <c r="B67" s="175" t="s">
        <v>187</v>
      </c>
      <c r="C67" s="265">
        <v>0.0</v>
      </c>
      <c r="D67" s="152"/>
      <c r="E67" s="175" t="s">
        <v>187</v>
      </c>
      <c r="F67" s="266">
        <f>30/60</f>
        <v>0.5</v>
      </c>
      <c r="G67" s="167" t="s">
        <v>203</v>
      </c>
      <c r="H67" s="66"/>
      <c r="I67" s="66"/>
      <c r="J67" s="66"/>
      <c r="K67" s="1"/>
      <c r="L67" s="1"/>
      <c r="M67" s="1"/>
      <c r="N67" s="66"/>
      <c r="O67" s="66"/>
      <c r="P67" s="66"/>
      <c r="Q67" s="66"/>
      <c r="R67" s="66"/>
      <c r="S67" s="68"/>
      <c r="T67" s="66"/>
      <c r="U67" s="69"/>
      <c r="V67" s="70"/>
      <c r="W67" s="70" t="s">
        <v>187</v>
      </c>
      <c r="X67" s="70"/>
      <c r="Y67" s="269" t="s">
        <v>203</v>
      </c>
      <c r="Z67" s="145"/>
      <c r="AA67" s="145"/>
      <c r="AB67" s="145"/>
      <c r="AC67" s="145"/>
      <c r="AD67" s="145"/>
      <c r="AE67" s="145"/>
      <c r="AF67" s="145"/>
      <c r="AG67" s="145"/>
      <c r="AH67" s="145"/>
      <c r="AI67" s="145"/>
      <c r="AJ67" s="145"/>
    </row>
    <row r="68" ht="15.75" customHeight="1">
      <c r="A68" s="69"/>
      <c r="B68" s="195" t="s">
        <v>177</v>
      </c>
      <c r="C68" s="267">
        <f>F14</f>
        <v>8.010394797</v>
      </c>
      <c r="D68" s="152"/>
      <c r="E68" s="195" t="s">
        <v>177</v>
      </c>
      <c r="F68" s="267">
        <f>F14</f>
        <v>8.010394797</v>
      </c>
      <c r="G68" s="202"/>
      <c r="H68" s="66"/>
      <c r="I68" s="66"/>
      <c r="J68" s="66"/>
      <c r="K68" s="1"/>
      <c r="L68" s="1"/>
      <c r="M68" s="1"/>
      <c r="N68" s="66"/>
      <c r="O68" s="66"/>
      <c r="P68" s="66"/>
      <c r="Q68" s="66"/>
      <c r="R68" s="66"/>
      <c r="S68" s="68"/>
      <c r="T68" s="66"/>
      <c r="U68" s="69"/>
      <c r="V68" s="70"/>
      <c r="W68" s="70" t="s">
        <v>177</v>
      </c>
      <c r="X68" s="70"/>
      <c r="Y68" s="71"/>
      <c r="Z68" s="145"/>
      <c r="AA68" s="145"/>
      <c r="AB68" s="145"/>
      <c r="AC68" s="145"/>
      <c r="AD68" s="145"/>
      <c r="AE68" s="145"/>
      <c r="AF68" s="145"/>
      <c r="AG68" s="145"/>
      <c r="AH68" s="145"/>
      <c r="AI68" s="145"/>
      <c r="AJ68" s="145"/>
    </row>
    <row r="69" ht="15.75" customHeight="1">
      <c r="A69" s="74"/>
      <c r="B69" s="191" t="s">
        <v>112</v>
      </c>
      <c r="C69" s="200">
        <v>0.2</v>
      </c>
      <c r="D69" s="199"/>
      <c r="E69" s="191" t="s">
        <v>112</v>
      </c>
      <c r="F69" s="200">
        <v>0.5</v>
      </c>
      <c r="G69" s="164" t="s">
        <v>204</v>
      </c>
      <c r="H69" s="68"/>
      <c r="I69" s="68"/>
      <c r="J69" s="66"/>
      <c r="K69" s="1"/>
      <c r="L69" s="1"/>
      <c r="M69" s="1"/>
      <c r="N69" s="68"/>
      <c r="O69" s="68"/>
      <c r="P69" s="68"/>
      <c r="Q69" s="68"/>
      <c r="R69" s="68"/>
      <c r="S69" s="68"/>
      <c r="T69" s="68"/>
      <c r="U69" s="74"/>
      <c r="V69" s="70"/>
      <c r="W69" s="70" t="s">
        <v>112</v>
      </c>
      <c r="X69" s="70"/>
      <c r="Y69" s="172" t="s">
        <v>204</v>
      </c>
      <c r="Z69" s="140"/>
      <c r="AA69" s="140"/>
      <c r="AB69" s="140"/>
      <c r="AC69" s="140"/>
      <c r="AD69" s="140"/>
      <c r="AE69" s="140"/>
      <c r="AF69" s="140"/>
      <c r="AG69" s="140"/>
      <c r="AH69" s="140"/>
      <c r="AI69" s="140"/>
      <c r="AJ69" s="140"/>
    </row>
    <row r="70" ht="15.75" customHeight="1">
      <c r="A70" s="68"/>
      <c r="B70" s="1"/>
      <c r="C70" s="1"/>
      <c r="D70" s="66"/>
      <c r="E70" s="88"/>
      <c r="F70" s="270"/>
      <c r="G70" s="68"/>
      <c r="H70" s="68"/>
      <c r="I70" s="68"/>
      <c r="J70" s="66"/>
      <c r="K70" s="1"/>
      <c r="L70" s="1"/>
      <c r="M70" s="1"/>
      <c r="N70" s="68"/>
      <c r="O70" s="68"/>
      <c r="P70" s="68"/>
      <c r="Q70" s="68"/>
      <c r="R70" s="68"/>
      <c r="S70" s="68"/>
      <c r="T70" s="68"/>
      <c r="U70" s="74"/>
      <c r="V70" s="70"/>
      <c r="W70" s="70"/>
      <c r="X70" s="70"/>
      <c r="Y70" s="75"/>
      <c r="Z70" s="140"/>
      <c r="AA70" s="140"/>
      <c r="AB70" s="140"/>
      <c r="AC70" s="140"/>
      <c r="AD70" s="140"/>
      <c r="AE70" s="140"/>
      <c r="AF70" s="140"/>
      <c r="AG70" s="140"/>
      <c r="AH70" s="140"/>
      <c r="AI70" s="140"/>
      <c r="AJ70" s="140"/>
    </row>
    <row r="71" ht="15.75" customHeight="1">
      <c r="A71" s="69"/>
      <c r="B71" s="1"/>
      <c r="C71" s="1"/>
      <c r="D71" s="66"/>
      <c r="E71" s="66"/>
      <c r="F71" s="67"/>
      <c r="G71" s="66"/>
      <c r="H71" s="66"/>
      <c r="I71" s="66"/>
      <c r="J71" s="66"/>
      <c r="K71" s="1"/>
      <c r="L71" s="1"/>
      <c r="M71" s="1"/>
      <c r="N71" s="66"/>
      <c r="O71" s="66"/>
      <c r="P71" s="66"/>
      <c r="Q71" s="66"/>
      <c r="R71" s="66"/>
      <c r="S71" s="68"/>
      <c r="T71" s="66"/>
      <c r="U71" s="69"/>
      <c r="V71" s="70"/>
      <c r="W71" s="70"/>
      <c r="X71" s="70"/>
      <c r="Y71" s="71"/>
      <c r="Z71" s="145"/>
      <c r="AA71" s="145"/>
      <c r="AB71" s="145"/>
      <c r="AC71" s="145"/>
      <c r="AD71" s="145"/>
      <c r="AE71" s="145"/>
      <c r="AF71" s="145"/>
      <c r="AG71" s="145"/>
      <c r="AH71" s="145"/>
      <c r="AI71" s="145"/>
      <c r="AJ71" s="145"/>
    </row>
    <row r="72" ht="15.75" customHeight="1">
      <c r="A72" s="69"/>
      <c r="B72" s="141" t="s">
        <v>205</v>
      </c>
      <c r="C72" s="142"/>
      <c r="D72" s="66"/>
      <c r="E72" s="141" t="s">
        <v>206</v>
      </c>
      <c r="F72" s="142"/>
      <c r="G72" s="196"/>
      <c r="H72" s="196"/>
      <c r="I72" s="66"/>
      <c r="J72" s="66"/>
      <c r="K72" s="1"/>
      <c r="L72" s="1"/>
      <c r="M72" s="1"/>
      <c r="N72" s="66"/>
      <c r="O72" s="66"/>
      <c r="P72" s="66"/>
      <c r="Q72" s="66"/>
      <c r="R72" s="66"/>
      <c r="S72" s="68"/>
      <c r="T72" s="66"/>
      <c r="U72" s="69"/>
      <c r="V72" s="70"/>
      <c r="W72" s="70" t="s">
        <v>207</v>
      </c>
      <c r="X72" s="70"/>
      <c r="Y72" s="271"/>
      <c r="Z72" s="145"/>
      <c r="AA72" s="145"/>
      <c r="AB72" s="145"/>
      <c r="AC72" s="145"/>
      <c r="AD72" s="145"/>
      <c r="AE72" s="145"/>
      <c r="AF72" s="145"/>
      <c r="AG72" s="145"/>
      <c r="AH72" s="145"/>
      <c r="AI72" s="145"/>
      <c r="AJ72" s="145"/>
    </row>
    <row r="73" ht="15.75" customHeight="1">
      <c r="A73" s="69"/>
      <c r="B73" s="195" t="s">
        <v>208</v>
      </c>
      <c r="C73" s="272">
        <f>(F15*C76)/(1+F76)</f>
        <v>609377</v>
      </c>
      <c r="D73" s="273" t="s">
        <v>209</v>
      </c>
      <c r="E73" s="191" t="s">
        <v>210</v>
      </c>
      <c r="F73" s="274">
        <v>59843.0</v>
      </c>
      <c r="G73" s="275"/>
      <c r="H73" s="275"/>
      <c r="I73" s="66"/>
      <c r="J73" s="66"/>
      <c r="K73" s="1"/>
      <c r="L73" s="1"/>
      <c r="M73" s="1"/>
      <c r="N73" s="66"/>
      <c r="O73" s="66"/>
      <c r="P73" s="66"/>
      <c r="Q73" s="66"/>
      <c r="R73" s="66"/>
      <c r="S73" s="68"/>
      <c r="T73" s="66"/>
      <c r="U73" s="69"/>
      <c r="V73" s="70"/>
      <c r="W73" s="70" t="s">
        <v>211</v>
      </c>
      <c r="X73" s="70"/>
      <c r="Y73" s="276"/>
      <c r="Z73" s="145"/>
      <c r="AA73" s="145"/>
      <c r="AB73" s="145"/>
      <c r="AC73" s="145"/>
      <c r="AD73" s="145"/>
      <c r="AE73" s="145"/>
      <c r="AF73" s="145"/>
      <c r="AG73" s="145"/>
      <c r="AH73" s="145"/>
      <c r="AI73" s="145"/>
      <c r="AJ73" s="145"/>
    </row>
    <row r="74" ht="15.75" customHeight="1">
      <c r="A74" s="69"/>
      <c r="B74" s="195" t="s">
        <v>212</v>
      </c>
      <c r="C74" s="274">
        <f>C73*C75</f>
        <v>499689.14</v>
      </c>
      <c r="D74" s="66"/>
      <c r="E74" s="195" t="s">
        <v>212</v>
      </c>
      <c r="F74" s="274">
        <f>5543+2500</f>
        <v>8043</v>
      </c>
      <c r="G74" s="277" t="s">
        <v>213</v>
      </c>
      <c r="H74" s="66"/>
      <c r="I74" s="66"/>
      <c r="J74" s="66"/>
      <c r="K74" s="1"/>
      <c r="L74" s="1"/>
      <c r="M74" s="1"/>
      <c r="N74" s="66"/>
      <c r="O74" s="66"/>
      <c r="P74" s="66"/>
      <c r="Q74" s="66"/>
      <c r="R74" s="66"/>
      <c r="S74" s="68"/>
      <c r="T74" s="66"/>
      <c r="U74" s="69"/>
      <c r="V74" s="70"/>
      <c r="W74" s="70" t="s">
        <v>212</v>
      </c>
      <c r="X74" s="70"/>
      <c r="Y74" s="71"/>
      <c r="Z74" s="145"/>
      <c r="AA74" s="145"/>
      <c r="AB74" s="145"/>
      <c r="AC74" s="145"/>
      <c r="AD74" s="145"/>
      <c r="AE74" s="145"/>
      <c r="AF74" s="145"/>
      <c r="AG74" s="145"/>
      <c r="AH74" s="145"/>
      <c r="AI74" s="145"/>
      <c r="AJ74" s="145"/>
    </row>
    <row r="75" ht="15.75" customHeight="1">
      <c r="A75" s="69"/>
      <c r="B75" s="195" t="s">
        <v>214</v>
      </c>
      <c r="C75" s="278">
        <v>0.82</v>
      </c>
      <c r="D75" s="277" t="s">
        <v>215</v>
      </c>
      <c r="E75" s="195" t="s">
        <v>214</v>
      </c>
      <c r="F75" s="279">
        <f>F74/F73</f>
        <v>0.1344016844</v>
      </c>
      <c r="G75" s="277" t="s">
        <v>216</v>
      </c>
      <c r="H75" s="66"/>
      <c r="I75" s="66"/>
      <c r="J75" s="66"/>
      <c r="K75" s="1"/>
      <c r="L75" s="1"/>
      <c r="M75" s="1"/>
      <c r="N75" s="66"/>
      <c r="O75" s="66"/>
      <c r="P75" s="66"/>
      <c r="Q75" s="66"/>
      <c r="R75" s="66"/>
      <c r="S75" s="68"/>
      <c r="T75" s="66"/>
      <c r="U75" s="69"/>
      <c r="V75" s="70"/>
      <c r="W75" s="70" t="s">
        <v>214</v>
      </c>
      <c r="X75" s="70"/>
      <c r="Y75" s="71"/>
      <c r="Z75" s="145"/>
      <c r="AA75" s="145"/>
      <c r="AB75" s="145"/>
      <c r="AC75" s="145"/>
      <c r="AD75" s="145"/>
      <c r="AE75" s="145"/>
      <c r="AF75" s="145"/>
      <c r="AG75" s="145"/>
      <c r="AH75" s="145"/>
      <c r="AI75" s="145"/>
      <c r="AJ75" s="145"/>
    </row>
    <row r="76" ht="15.75" customHeight="1">
      <c r="A76" s="69"/>
      <c r="B76" s="195" t="s">
        <v>217</v>
      </c>
      <c r="C76" s="280">
        <v>0.2</v>
      </c>
      <c r="D76" s="281" t="s">
        <v>132</v>
      </c>
      <c r="E76" s="191" t="s">
        <v>218</v>
      </c>
      <c r="F76" s="278">
        <v>0.2</v>
      </c>
      <c r="G76" s="281" t="s">
        <v>219</v>
      </c>
      <c r="H76" s="66"/>
      <c r="I76" s="66"/>
      <c r="J76" s="66"/>
      <c r="K76" s="1"/>
      <c r="L76" s="1"/>
      <c r="M76" s="1"/>
      <c r="N76" s="66"/>
      <c r="O76" s="66"/>
      <c r="P76" s="66"/>
      <c r="Q76" s="66"/>
      <c r="R76" s="66"/>
      <c r="S76" s="68"/>
      <c r="T76" s="66"/>
      <c r="U76" s="69"/>
      <c r="V76" s="70"/>
      <c r="W76" s="70" t="s">
        <v>220</v>
      </c>
      <c r="X76" s="70"/>
      <c r="Y76" s="282" t="s">
        <v>221</v>
      </c>
      <c r="Z76" s="145"/>
      <c r="AA76" s="145"/>
      <c r="AB76" s="145"/>
      <c r="AC76" s="145"/>
      <c r="AD76" s="145"/>
      <c r="AE76" s="145"/>
      <c r="AF76" s="145"/>
      <c r="AG76" s="145"/>
      <c r="AH76" s="145"/>
      <c r="AI76" s="145"/>
      <c r="AJ76" s="145"/>
    </row>
    <row r="77" ht="15.75" customHeight="1">
      <c r="A77" s="69"/>
      <c r="B77" s="1"/>
      <c r="C77" s="1"/>
      <c r="D77" s="66"/>
      <c r="E77" s="66"/>
      <c r="F77" s="67"/>
      <c r="G77" s="66"/>
      <c r="H77" s="66"/>
      <c r="I77" s="66"/>
      <c r="J77" s="66"/>
      <c r="K77" s="1"/>
      <c r="L77" s="1"/>
      <c r="M77" s="1"/>
      <c r="N77" s="66"/>
      <c r="O77" s="66"/>
      <c r="P77" s="66"/>
      <c r="Q77" s="66"/>
      <c r="R77" s="66"/>
      <c r="S77" s="68"/>
      <c r="T77" s="66"/>
      <c r="U77" s="69"/>
      <c r="V77" s="70"/>
      <c r="W77" s="70"/>
      <c r="X77" s="70"/>
      <c r="Y77" s="71"/>
      <c r="Z77" s="145"/>
      <c r="AA77" s="145"/>
      <c r="AB77" s="145"/>
      <c r="AC77" s="145"/>
      <c r="AD77" s="145"/>
      <c r="AE77" s="145"/>
      <c r="AF77" s="145"/>
      <c r="AG77" s="145"/>
      <c r="AH77" s="145"/>
      <c r="AI77" s="145"/>
      <c r="AJ77" s="145"/>
    </row>
    <row r="78" ht="15.75" customHeight="1">
      <c r="A78" s="69"/>
      <c r="B78" s="143" t="s">
        <v>222</v>
      </c>
      <c r="C78" s="142"/>
      <c r="D78" s="66"/>
      <c r="E78" s="66" t="s">
        <v>130</v>
      </c>
      <c r="F78" s="67"/>
      <c r="G78" s="66"/>
      <c r="H78" s="66"/>
      <c r="I78" s="66"/>
      <c r="J78" s="66"/>
      <c r="K78" s="1"/>
      <c r="L78" s="1"/>
      <c r="M78" s="1"/>
      <c r="N78" s="66"/>
      <c r="O78" s="66"/>
      <c r="P78" s="66"/>
      <c r="Q78" s="66"/>
      <c r="R78" s="66"/>
      <c r="S78" s="68"/>
      <c r="T78" s="66"/>
      <c r="U78" s="69"/>
      <c r="V78" s="70"/>
      <c r="W78" s="70" t="s">
        <v>130</v>
      </c>
      <c r="X78" s="70"/>
      <c r="Y78" s="71"/>
      <c r="Z78" s="145"/>
      <c r="AA78" s="145"/>
      <c r="AB78" s="145"/>
      <c r="AC78" s="145"/>
      <c r="AD78" s="145"/>
      <c r="AE78" s="145"/>
      <c r="AF78" s="145"/>
      <c r="AG78" s="145"/>
      <c r="AH78" s="145"/>
      <c r="AI78" s="145"/>
      <c r="AJ78" s="145"/>
    </row>
    <row r="79" ht="15.75" customHeight="1">
      <c r="A79" s="66"/>
      <c r="B79" s="191" t="s">
        <v>223</v>
      </c>
      <c r="C79" s="278">
        <f>'Annual report data'!F23</f>
        <v>0.1383527371</v>
      </c>
      <c r="D79" s="277" t="s">
        <v>224</v>
      </c>
      <c r="E79" s="66"/>
      <c r="F79" s="67"/>
      <c r="G79" s="66"/>
      <c r="H79" s="66"/>
      <c r="I79" s="66"/>
      <c r="J79" s="66"/>
      <c r="K79" s="1"/>
      <c r="L79" s="1"/>
      <c r="M79" s="1"/>
      <c r="N79" s="66"/>
      <c r="O79" s="66"/>
      <c r="P79" s="66"/>
      <c r="Q79" s="66"/>
      <c r="R79" s="66"/>
      <c r="S79" s="68"/>
      <c r="T79" s="66"/>
      <c r="U79" s="69"/>
      <c r="V79" s="70"/>
      <c r="W79" s="70"/>
      <c r="X79" s="70"/>
      <c r="Y79" s="71"/>
      <c r="Z79" s="145"/>
      <c r="AA79" s="145"/>
      <c r="AB79" s="145"/>
      <c r="AC79" s="145"/>
      <c r="AD79" s="145"/>
      <c r="AE79" s="145"/>
      <c r="AF79" s="145"/>
      <c r="AG79" s="145"/>
      <c r="AH79" s="145"/>
      <c r="AI79" s="145"/>
      <c r="AJ79" s="145"/>
    </row>
    <row r="80" ht="15.75" customHeight="1">
      <c r="A80" s="66"/>
      <c r="B80" s="66"/>
      <c r="C80" s="67"/>
      <c r="D80" s="66"/>
      <c r="E80" s="66"/>
      <c r="F80" s="67"/>
      <c r="G80" s="66"/>
      <c r="H80" s="66"/>
      <c r="I80" s="66"/>
      <c r="J80" s="66"/>
      <c r="K80" s="1"/>
      <c r="L80" s="1"/>
      <c r="M80" s="1"/>
      <c r="N80" s="66"/>
      <c r="O80" s="66"/>
      <c r="P80" s="66"/>
      <c r="Q80" s="66"/>
      <c r="R80" s="66"/>
      <c r="S80" s="68"/>
      <c r="T80" s="66"/>
      <c r="U80" s="69"/>
      <c r="V80" s="70"/>
      <c r="W80" s="70"/>
      <c r="X80" s="70"/>
      <c r="Y80" s="71"/>
      <c r="Z80" s="145"/>
      <c r="AA80" s="145"/>
      <c r="AB80" s="145"/>
      <c r="AC80" s="145"/>
      <c r="AD80" s="145"/>
      <c r="AE80" s="145"/>
      <c r="AF80" s="145"/>
      <c r="AG80" s="145"/>
      <c r="AH80" s="145"/>
      <c r="AI80" s="145"/>
      <c r="AJ80" s="145"/>
    </row>
    <row r="81" ht="15.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66"/>
      <c r="AE81" s="66"/>
      <c r="AF81" s="66"/>
      <c r="AG81" s="66"/>
      <c r="AH81" s="66"/>
      <c r="AI81" s="66"/>
      <c r="AJ81" s="66"/>
    </row>
    <row r="82" ht="15.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t="s">
        <v>225</v>
      </c>
      <c r="X82" s="283"/>
      <c r="Y82" s="283"/>
      <c r="Z82" s="283"/>
      <c r="AA82" s="283"/>
      <c r="AB82" s="283"/>
      <c r="AC82" s="283"/>
      <c r="AD82" s="66"/>
      <c r="AE82" s="66"/>
      <c r="AF82" s="66"/>
      <c r="AG82" s="66"/>
      <c r="AH82" s="66"/>
      <c r="AI82" s="66"/>
      <c r="AJ82" s="66"/>
    </row>
    <row r="83" ht="15.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t="s">
        <v>226</v>
      </c>
      <c r="X83" s="283"/>
      <c r="Y83" s="283" t="s">
        <v>227</v>
      </c>
      <c r="Z83" s="283"/>
      <c r="AA83" s="283"/>
      <c r="AB83" s="283"/>
      <c r="AC83" s="283"/>
      <c r="AD83" s="66"/>
      <c r="AE83" s="66"/>
      <c r="AF83" s="66"/>
      <c r="AG83" s="66"/>
      <c r="AH83" s="66"/>
      <c r="AI83" s="66"/>
      <c r="AJ83" s="66"/>
    </row>
    <row r="84" ht="15.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t="s">
        <v>228</v>
      </c>
      <c r="X84" s="283"/>
      <c r="Y84" s="283" t="s">
        <v>229</v>
      </c>
      <c r="Z84" s="283"/>
      <c r="AA84" s="283"/>
      <c r="AB84" s="283"/>
      <c r="AC84" s="283"/>
      <c r="AD84" s="66"/>
      <c r="AE84" s="66"/>
      <c r="AF84" s="66"/>
      <c r="AG84" s="66"/>
      <c r="AH84" s="66"/>
      <c r="AI84" s="66"/>
      <c r="AJ84" s="66"/>
    </row>
    <row r="85" ht="15.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t="s">
        <v>230</v>
      </c>
      <c r="X85" s="283"/>
      <c r="Y85" s="283" t="s">
        <v>231</v>
      </c>
      <c r="Z85" s="283"/>
      <c r="AA85" s="283"/>
      <c r="AB85" s="283"/>
      <c r="AC85" s="283"/>
      <c r="AD85" s="66"/>
      <c r="AE85" s="66"/>
      <c r="AF85" s="66"/>
      <c r="AG85" s="66"/>
      <c r="AH85" s="66"/>
      <c r="AI85" s="66"/>
      <c r="AJ85" s="66"/>
    </row>
    <row r="86" ht="15.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t="s">
        <v>232</v>
      </c>
      <c r="X86" s="283"/>
      <c r="Y86" s="283"/>
      <c r="Z86" s="283"/>
      <c r="AA86" s="283"/>
      <c r="AB86" s="283"/>
      <c r="AC86" s="283"/>
      <c r="AD86" s="66"/>
      <c r="AE86" s="66"/>
      <c r="AF86" s="66"/>
      <c r="AG86" s="66"/>
      <c r="AH86" s="66"/>
      <c r="AI86" s="66"/>
      <c r="AJ86" s="66"/>
    </row>
    <row r="87" ht="15.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t="s">
        <v>233</v>
      </c>
      <c r="X87" s="283"/>
      <c r="Y87" s="283"/>
      <c r="Z87" s="283"/>
      <c r="AA87" s="283"/>
      <c r="AB87" s="283"/>
      <c r="AC87" s="283"/>
      <c r="AD87" s="66"/>
      <c r="AE87" s="66"/>
      <c r="AF87" s="66"/>
      <c r="AG87" s="66"/>
      <c r="AH87" s="66"/>
      <c r="AI87" s="66"/>
      <c r="AJ87" s="66"/>
    </row>
    <row r="88" ht="15.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t="s">
        <v>234</v>
      </c>
      <c r="X88" s="283"/>
      <c r="Y88" s="283"/>
      <c r="Z88" s="283"/>
      <c r="AA88" s="283"/>
      <c r="AB88" s="283"/>
      <c r="AC88" s="283"/>
      <c r="AD88" s="66"/>
      <c r="AE88" s="66"/>
      <c r="AF88" s="66"/>
      <c r="AG88" s="66"/>
      <c r="AH88" s="66"/>
      <c r="AI88" s="66"/>
      <c r="AJ88" s="66"/>
    </row>
    <row r="89" ht="15.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66"/>
      <c r="AE89" s="66"/>
      <c r="AF89" s="66"/>
      <c r="AG89" s="66"/>
      <c r="AH89" s="66"/>
      <c r="AI89" s="66"/>
      <c r="AJ89" s="66"/>
    </row>
    <row r="90" ht="15.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4"/>
      <c r="AE90" s="284"/>
      <c r="AF90" s="284"/>
      <c r="AG90" s="284"/>
      <c r="AH90" s="284"/>
      <c r="AI90" s="284"/>
      <c r="AJ90" s="284"/>
    </row>
    <row r="91" ht="15.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4"/>
      <c r="AE91" s="284"/>
      <c r="AF91" s="284"/>
      <c r="AG91" s="284"/>
      <c r="AH91" s="284"/>
      <c r="AI91" s="284"/>
      <c r="AJ91" s="284"/>
    </row>
    <row r="92" ht="15.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4"/>
      <c r="AE92" s="284"/>
      <c r="AF92" s="284"/>
      <c r="AG92" s="284"/>
      <c r="AH92" s="284"/>
      <c r="AI92" s="284"/>
      <c r="AJ92" s="284"/>
    </row>
    <row r="93" ht="15.75" customHeight="1">
      <c r="A93" s="283"/>
      <c r="B93" s="285"/>
      <c r="C93" s="285"/>
      <c r="D93" s="285"/>
      <c r="E93" s="285"/>
      <c r="F93" s="285"/>
      <c r="G93" s="285"/>
      <c r="H93" s="285"/>
      <c r="I93" s="285"/>
      <c r="J93" s="285"/>
      <c r="K93" s="285"/>
      <c r="L93" s="285"/>
      <c r="M93" s="285"/>
      <c r="N93" s="285"/>
      <c r="O93" s="285"/>
      <c r="P93" s="285"/>
      <c r="Q93" s="285"/>
      <c r="R93" s="285"/>
      <c r="S93" s="285"/>
      <c r="T93" s="285"/>
      <c r="U93" s="285"/>
      <c r="V93" s="285"/>
      <c r="W93" s="285"/>
      <c r="X93" s="285"/>
      <c r="Y93" s="285"/>
      <c r="Z93" s="285"/>
      <c r="AA93" s="285"/>
      <c r="AB93" s="285"/>
      <c r="AC93" s="285"/>
      <c r="AD93" s="145"/>
      <c r="AE93" s="145"/>
      <c r="AF93" s="145"/>
      <c r="AG93" s="145"/>
      <c r="AH93" s="145"/>
      <c r="AI93" s="145"/>
      <c r="AJ93" s="145"/>
    </row>
    <row r="94" ht="15.75" customHeight="1">
      <c r="A94" s="283"/>
      <c r="B94" s="285"/>
      <c r="C94" s="285"/>
      <c r="D94" s="285"/>
      <c r="E94" s="285"/>
      <c r="F94" s="285"/>
      <c r="G94" s="285"/>
      <c r="H94" s="285"/>
      <c r="I94" s="285"/>
      <c r="J94" s="285"/>
      <c r="K94" s="285"/>
      <c r="L94" s="285"/>
      <c r="M94" s="285"/>
      <c r="N94" s="285"/>
      <c r="O94" s="285"/>
      <c r="P94" s="285"/>
      <c r="Q94" s="285"/>
      <c r="R94" s="285"/>
      <c r="S94" s="285"/>
      <c r="T94" s="285"/>
      <c r="U94" s="285"/>
      <c r="V94" s="285"/>
      <c r="W94" s="285"/>
      <c r="X94" s="285"/>
      <c r="Y94" s="285"/>
      <c r="Z94" s="285"/>
      <c r="AA94" s="285"/>
      <c r="AB94" s="285"/>
      <c r="AC94" s="285"/>
      <c r="AD94" s="145"/>
      <c r="AE94" s="145"/>
      <c r="AF94" s="145"/>
      <c r="AG94" s="145"/>
      <c r="AH94" s="145"/>
      <c r="AI94" s="145"/>
      <c r="AJ94" s="145"/>
    </row>
    <row r="95" ht="15.75" customHeight="1">
      <c r="A95" s="284"/>
      <c r="B95" s="286"/>
      <c r="C95" s="287"/>
      <c r="D95" s="288"/>
      <c r="E95" s="145"/>
      <c r="F95" s="145"/>
      <c r="G95" s="145"/>
      <c r="H95" s="145"/>
      <c r="I95" s="289"/>
      <c r="J95" s="145"/>
      <c r="K95" s="145"/>
      <c r="L95" s="145"/>
      <c r="M95" s="145"/>
      <c r="N95" s="145"/>
      <c r="O95" s="145"/>
      <c r="P95" s="145"/>
      <c r="Q95" s="145"/>
      <c r="R95" s="145"/>
      <c r="S95" s="145"/>
      <c r="T95" s="145"/>
      <c r="U95" s="145"/>
      <c r="V95" s="290"/>
      <c r="W95" s="290"/>
      <c r="X95" s="290"/>
      <c r="Y95" s="145"/>
      <c r="Z95" s="145"/>
      <c r="AA95" s="145"/>
      <c r="AB95" s="145"/>
      <c r="AC95" s="145"/>
      <c r="AD95" s="145"/>
      <c r="AE95" s="145"/>
      <c r="AF95" s="145"/>
      <c r="AG95" s="145"/>
      <c r="AH95" s="145"/>
      <c r="AI95" s="145"/>
      <c r="AJ95" s="145"/>
    </row>
    <row r="96" ht="15.75" customHeight="1">
      <c r="A96" s="284"/>
      <c r="B96" s="145"/>
      <c r="C96" s="285"/>
      <c r="D96" s="145"/>
      <c r="E96" s="145"/>
      <c r="F96" s="285"/>
      <c r="G96" s="145"/>
      <c r="H96" s="145"/>
      <c r="I96" s="145"/>
      <c r="J96" s="145"/>
      <c r="K96" s="145"/>
      <c r="L96" s="145"/>
      <c r="M96" s="145"/>
      <c r="N96" s="145"/>
      <c r="O96" s="145"/>
      <c r="P96" s="145"/>
      <c r="Q96" s="145"/>
      <c r="R96" s="145"/>
      <c r="S96" s="145"/>
      <c r="T96" s="145"/>
      <c r="U96" s="145"/>
      <c r="V96" s="290"/>
      <c r="W96" s="290"/>
      <c r="X96" s="290"/>
      <c r="Y96" s="145"/>
      <c r="Z96" s="145"/>
      <c r="AA96" s="145"/>
      <c r="AB96" s="145"/>
      <c r="AC96" s="145"/>
      <c r="AD96" s="145"/>
      <c r="AE96" s="145"/>
      <c r="AF96" s="145"/>
      <c r="AG96" s="145"/>
      <c r="AH96" s="145"/>
      <c r="AI96" s="145"/>
      <c r="AJ96" s="145"/>
    </row>
    <row r="97" ht="15.75" customHeight="1">
      <c r="A97" s="284"/>
      <c r="B97" s="145"/>
      <c r="C97" s="285"/>
      <c r="D97" s="145"/>
      <c r="E97" s="145"/>
      <c r="F97" s="285"/>
      <c r="G97" s="145"/>
      <c r="H97" s="145"/>
      <c r="I97" s="145"/>
      <c r="J97" s="145"/>
      <c r="K97" s="145"/>
      <c r="L97" s="145"/>
      <c r="M97" s="145"/>
      <c r="N97" s="145"/>
      <c r="O97" s="145"/>
      <c r="P97" s="145"/>
      <c r="Q97" s="145"/>
      <c r="R97" s="145"/>
      <c r="S97" s="145"/>
      <c r="T97" s="145"/>
      <c r="U97" s="145"/>
      <c r="V97" s="290"/>
      <c r="W97" s="290"/>
      <c r="X97" s="290"/>
      <c r="Y97" s="145"/>
      <c r="Z97" s="145"/>
      <c r="AA97" s="145"/>
      <c r="AB97" s="145"/>
      <c r="AC97" s="145"/>
      <c r="AD97" s="145"/>
      <c r="AE97" s="145"/>
      <c r="AF97" s="145"/>
      <c r="AG97" s="145"/>
      <c r="AH97" s="145"/>
      <c r="AI97" s="145"/>
      <c r="AJ97" s="145"/>
    </row>
    <row r="98" ht="15.75" customHeight="1">
      <c r="A98" s="284"/>
      <c r="B98" s="145"/>
      <c r="C98" s="285"/>
      <c r="E98" s="145"/>
      <c r="F98" s="285"/>
      <c r="G98" s="145"/>
      <c r="H98" s="145"/>
      <c r="I98" s="145"/>
      <c r="J98" s="145"/>
      <c r="K98" s="145"/>
      <c r="L98" s="145"/>
      <c r="M98" s="145"/>
      <c r="N98" s="145"/>
      <c r="O98" s="145"/>
      <c r="P98" s="145"/>
      <c r="Q98" s="145"/>
      <c r="R98" s="145"/>
      <c r="S98" s="145"/>
      <c r="T98" s="145"/>
      <c r="U98" s="145"/>
      <c r="V98" s="290"/>
      <c r="W98" s="290"/>
      <c r="X98" s="290"/>
      <c r="Y98" s="145"/>
      <c r="Z98" s="145"/>
      <c r="AA98" s="145"/>
      <c r="AB98" s="145"/>
      <c r="AC98" s="145"/>
      <c r="AD98" s="145"/>
      <c r="AE98" s="145"/>
      <c r="AF98" s="145"/>
      <c r="AG98" s="145"/>
      <c r="AH98" s="145"/>
      <c r="AI98" s="145"/>
      <c r="AJ98" s="145"/>
    </row>
    <row r="99" ht="15.75" customHeight="1">
      <c r="A99" s="284"/>
      <c r="B99" s="145"/>
      <c r="C99" s="285"/>
      <c r="D99" s="145"/>
      <c r="E99" s="145"/>
      <c r="F99" s="285"/>
      <c r="G99" s="145"/>
      <c r="H99" s="145"/>
      <c r="I99" s="145"/>
      <c r="J99" s="145"/>
      <c r="K99" s="145"/>
      <c r="L99" s="145"/>
      <c r="M99" s="145"/>
      <c r="N99" s="145"/>
      <c r="O99" s="145"/>
      <c r="P99" s="145"/>
      <c r="Q99" s="145"/>
      <c r="R99" s="145"/>
      <c r="S99" s="145"/>
      <c r="T99" s="145"/>
      <c r="U99" s="145"/>
      <c r="V99" s="290"/>
      <c r="W99" s="290"/>
      <c r="X99" s="290"/>
      <c r="Y99" s="145"/>
      <c r="Z99" s="145"/>
      <c r="AA99" s="145"/>
      <c r="AB99" s="145"/>
      <c r="AC99" s="145"/>
      <c r="AD99" s="145"/>
      <c r="AE99" s="145"/>
      <c r="AF99" s="145"/>
      <c r="AG99" s="145"/>
      <c r="AH99" s="145"/>
      <c r="AI99" s="145"/>
      <c r="AJ99" s="145"/>
    </row>
    <row r="100" ht="15.75" customHeight="1">
      <c r="A100" s="284"/>
      <c r="B100" s="291"/>
      <c r="D100" s="292"/>
      <c r="E100" s="292"/>
      <c r="F100" s="285"/>
      <c r="G100" s="145"/>
      <c r="H100" s="145"/>
      <c r="I100" s="145"/>
      <c r="J100" s="145"/>
      <c r="K100" s="145"/>
      <c r="L100" s="145"/>
      <c r="M100" s="145"/>
      <c r="N100" s="145"/>
      <c r="O100" s="145"/>
      <c r="P100" s="145"/>
      <c r="Q100" s="145"/>
      <c r="R100" s="145"/>
      <c r="S100" s="145"/>
      <c r="T100" s="145"/>
      <c r="U100" s="145"/>
      <c r="V100" s="290"/>
      <c r="W100" s="290"/>
      <c r="X100" s="290"/>
      <c r="Y100" s="145"/>
      <c r="Z100" s="145"/>
      <c r="AA100" s="145"/>
      <c r="AB100" s="145"/>
      <c r="AC100" s="145"/>
      <c r="AD100" s="145"/>
      <c r="AE100" s="145"/>
      <c r="AF100" s="145"/>
      <c r="AG100" s="145"/>
      <c r="AH100" s="145"/>
      <c r="AI100" s="145"/>
      <c r="AJ100" s="145"/>
    </row>
    <row r="101" ht="15.75" customHeight="1">
      <c r="A101" s="284"/>
      <c r="B101" s="292"/>
      <c r="C101" s="292"/>
      <c r="D101" s="292"/>
      <c r="E101" s="292"/>
      <c r="F101" s="285"/>
      <c r="G101" s="145"/>
      <c r="H101" s="145"/>
      <c r="I101" s="145"/>
      <c r="J101" s="145"/>
      <c r="K101" s="145"/>
      <c r="L101" s="145"/>
      <c r="M101" s="145"/>
      <c r="N101" s="145"/>
      <c r="O101" s="145"/>
      <c r="P101" s="145"/>
      <c r="Q101" s="145"/>
      <c r="R101" s="145"/>
      <c r="S101" s="145"/>
      <c r="T101" s="145"/>
      <c r="U101" s="145"/>
      <c r="V101" s="290"/>
      <c r="W101" s="290"/>
      <c r="X101" s="290"/>
      <c r="Y101" s="145"/>
      <c r="Z101" s="145"/>
      <c r="AA101" s="145"/>
      <c r="AB101" s="145"/>
      <c r="AC101" s="145"/>
      <c r="AD101" s="145"/>
      <c r="AE101" s="145"/>
      <c r="AF101" s="145"/>
      <c r="AG101" s="145"/>
      <c r="AH101" s="145"/>
      <c r="AI101" s="145"/>
      <c r="AJ101" s="145"/>
    </row>
    <row r="102" ht="15.75" customHeight="1">
      <c r="A102" s="284"/>
      <c r="B102" s="293"/>
      <c r="C102" s="294"/>
      <c r="D102" s="294"/>
      <c r="E102" s="295"/>
      <c r="F102" s="285"/>
      <c r="G102" s="145"/>
      <c r="H102" s="145"/>
      <c r="I102" s="145"/>
      <c r="J102" s="145"/>
      <c r="K102" s="145"/>
      <c r="L102" s="145"/>
      <c r="M102" s="145"/>
      <c r="N102" s="145"/>
      <c r="O102" s="145"/>
      <c r="P102" s="145"/>
      <c r="Q102" s="145"/>
      <c r="R102" s="145"/>
      <c r="S102" s="145"/>
      <c r="T102" s="145"/>
      <c r="U102" s="145"/>
      <c r="V102" s="290"/>
      <c r="W102" s="290"/>
      <c r="X102" s="290"/>
      <c r="Y102" s="145"/>
      <c r="Z102" s="145"/>
      <c r="AA102" s="145"/>
      <c r="AB102" s="145"/>
      <c r="AC102" s="145"/>
      <c r="AD102" s="145"/>
      <c r="AE102" s="145"/>
      <c r="AF102" s="145"/>
      <c r="AG102" s="145"/>
      <c r="AH102" s="145"/>
      <c r="AI102" s="145"/>
      <c r="AJ102" s="145"/>
    </row>
    <row r="103" ht="15.75" customHeight="1">
      <c r="A103" s="284"/>
      <c r="B103" s="296"/>
      <c r="C103" s="294"/>
      <c r="D103" s="294"/>
      <c r="E103" s="295"/>
      <c r="F103" s="285"/>
      <c r="G103" s="145"/>
      <c r="H103" s="145"/>
      <c r="I103" s="145"/>
      <c r="J103" s="145"/>
      <c r="K103" s="145"/>
      <c r="L103" s="145"/>
      <c r="M103" s="145"/>
      <c r="N103" s="145"/>
      <c r="O103" s="145"/>
      <c r="P103" s="145"/>
      <c r="Q103" s="145"/>
      <c r="R103" s="145"/>
      <c r="S103" s="145"/>
      <c r="T103" s="145"/>
      <c r="U103" s="145"/>
      <c r="V103" s="290"/>
      <c r="W103" s="290"/>
      <c r="X103" s="290"/>
      <c r="Y103" s="145"/>
      <c r="Z103" s="145"/>
      <c r="AA103" s="145"/>
      <c r="AB103" s="145"/>
      <c r="AC103" s="145"/>
      <c r="AD103" s="145"/>
      <c r="AE103" s="145"/>
      <c r="AF103" s="145"/>
      <c r="AG103" s="145"/>
      <c r="AH103" s="145"/>
      <c r="AI103" s="145"/>
      <c r="AJ103" s="145"/>
    </row>
    <row r="104" ht="15.75" customHeight="1">
      <c r="A104" s="284"/>
      <c r="B104" s="296"/>
      <c r="C104" s="297"/>
      <c r="D104" s="297"/>
      <c r="E104" s="298"/>
      <c r="F104" s="285"/>
      <c r="G104" s="145"/>
      <c r="H104" s="145"/>
      <c r="I104" s="145"/>
      <c r="J104" s="145"/>
      <c r="K104" s="145"/>
      <c r="L104" s="145"/>
      <c r="M104" s="145"/>
      <c r="N104" s="145"/>
      <c r="O104" s="145"/>
      <c r="P104" s="145"/>
      <c r="Q104" s="145"/>
      <c r="R104" s="145"/>
      <c r="S104" s="145"/>
      <c r="T104" s="145"/>
      <c r="U104" s="145"/>
      <c r="V104" s="290"/>
      <c r="W104" s="290"/>
      <c r="X104" s="290"/>
      <c r="Y104" s="145"/>
      <c r="Z104" s="145"/>
      <c r="AA104" s="145"/>
      <c r="AB104" s="145"/>
      <c r="AC104" s="145"/>
      <c r="AD104" s="145"/>
      <c r="AE104" s="145"/>
      <c r="AF104" s="145"/>
      <c r="AG104" s="145"/>
      <c r="AH104" s="145"/>
      <c r="AI104" s="145"/>
      <c r="AJ104" s="145"/>
    </row>
    <row r="105" ht="15.75" customHeight="1">
      <c r="A105" s="284"/>
      <c r="B105" s="296"/>
      <c r="C105" s="299"/>
      <c r="D105" s="299"/>
      <c r="F105" s="300"/>
      <c r="G105" s="145"/>
      <c r="H105" s="145"/>
      <c r="I105" s="145"/>
      <c r="J105" s="145"/>
      <c r="K105" s="145"/>
      <c r="L105" s="145"/>
      <c r="M105" s="145"/>
      <c r="N105" s="145"/>
      <c r="O105" s="145"/>
      <c r="P105" s="145"/>
      <c r="Q105" s="145"/>
      <c r="R105" s="145"/>
      <c r="S105" s="145"/>
      <c r="T105" s="145"/>
      <c r="U105" s="145"/>
      <c r="V105" s="290"/>
      <c r="W105" s="290"/>
      <c r="X105" s="290"/>
      <c r="Y105" s="145"/>
      <c r="Z105" s="145"/>
      <c r="AA105" s="145"/>
      <c r="AB105" s="145"/>
      <c r="AC105" s="145"/>
      <c r="AD105" s="145"/>
      <c r="AE105" s="145"/>
      <c r="AF105" s="145"/>
      <c r="AG105" s="145"/>
      <c r="AH105" s="145"/>
      <c r="AI105" s="145"/>
      <c r="AJ105" s="145"/>
    </row>
    <row r="106" ht="15.75" customHeight="1">
      <c r="A106" s="284"/>
      <c r="B106" s="145"/>
      <c r="C106" s="285"/>
      <c r="D106" s="145"/>
      <c r="E106" s="145"/>
      <c r="G106" s="145"/>
      <c r="H106" s="145"/>
      <c r="I106" s="145"/>
      <c r="J106" s="145"/>
      <c r="K106" s="145"/>
      <c r="L106" s="145"/>
      <c r="M106" s="145"/>
      <c r="N106" s="145"/>
      <c r="O106" s="145"/>
      <c r="P106" s="145"/>
      <c r="Q106" s="145"/>
      <c r="R106" s="145"/>
      <c r="S106" s="145"/>
      <c r="T106" s="145"/>
      <c r="U106" s="145"/>
      <c r="V106" s="290"/>
      <c r="W106" s="290"/>
      <c r="X106" s="290"/>
      <c r="Y106" s="145"/>
      <c r="Z106" s="145"/>
      <c r="AA106" s="145"/>
      <c r="AB106" s="145"/>
      <c r="AC106" s="145"/>
      <c r="AD106" s="145"/>
      <c r="AE106" s="145"/>
      <c r="AF106" s="145"/>
      <c r="AG106" s="145"/>
      <c r="AH106" s="145"/>
      <c r="AI106" s="145"/>
      <c r="AJ106" s="145"/>
    </row>
    <row r="107" ht="15.75" customHeight="1">
      <c r="A107" s="284"/>
      <c r="B107" s="145"/>
      <c r="C107" s="285"/>
      <c r="D107" s="145"/>
      <c r="E107" s="145"/>
      <c r="F107" s="285"/>
      <c r="G107" s="145"/>
      <c r="H107" s="145"/>
      <c r="I107" s="145"/>
      <c r="J107" s="145"/>
      <c r="K107" s="145"/>
      <c r="L107" s="145"/>
      <c r="M107" s="145"/>
      <c r="N107" s="145"/>
      <c r="O107" s="145"/>
      <c r="P107" s="145"/>
      <c r="Q107" s="145"/>
      <c r="R107" s="145"/>
      <c r="S107" s="145"/>
      <c r="T107" s="145"/>
      <c r="U107" s="145"/>
      <c r="V107" s="290"/>
      <c r="W107" s="290"/>
      <c r="X107" s="290"/>
      <c r="Y107" s="145"/>
      <c r="Z107" s="145"/>
      <c r="AA107" s="145"/>
      <c r="AB107" s="145"/>
      <c r="AC107" s="145"/>
      <c r="AD107" s="145"/>
      <c r="AE107" s="145"/>
      <c r="AF107" s="145"/>
      <c r="AG107" s="145"/>
      <c r="AH107" s="145"/>
      <c r="AI107" s="145"/>
      <c r="AJ107" s="145"/>
    </row>
    <row r="108" ht="15.75" customHeight="1">
      <c r="A108" s="284"/>
      <c r="B108" s="301"/>
      <c r="C108" s="285"/>
      <c r="D108" s="145"/>
      <c r="E108" s="145"/>
      <c r="F108" s="285"/>
      <c r="G108" s="145"/>
      <c r="H108" s="145"/>
      <c r="I108" s="145"/>
      <c r="J108" s="145"/>
      <c r="K108" s="145"/>
      <c r="L108" s="145"/>
      <c r="M108" s="145"/>
      <c r="N108" s="145"/>
      <c r="O108" s="145"/>
      <c r="P108" s="145"/>
      <c r="Q108" s="145"/>
      <c r="R108" s="145"/>
      <c r="S108" s="145"/>
      <c r="T108" s="145"/>
      <c r="U108" s="145"/>
      <c r="V108" s="290"/>
      <c r="W108" s="290"/>
      <c r="X108" s="290"/>
      <c r="Y108" s="145"/>
      <c r="Z108" s="145"/>
      <c r="AA108" s="145"/>
      <c r="AB108" s="145"/>
      <c r="AC108" s="145"/>
      <c r="AD108" s="145"/>
      <c r="AE108" s="145"/>
      <c r="AF108" s="145"/>
      <c r="AG108" s="145"/>
      <c r="AH108" s="145"/>
      <c r="AI108" s="145"/>
      <c r="AJ108" s="145"/>
    </row>
    <row r="109" ht="15.75" customHeight="1">
      <c r="A109" s="284"/>
      <c r="B109" s="145"/>
      <c r="C109" s="285"/>
      <c r="D109" s="145"/>
      <c r="E109" s="145"/>
      <c r="F109" s="285"/>
      <c r="G109" s="145"/>
      <c r="H109" s="145"/>
      <c r="I109" s="145"/>
      <c r="J109" s="145"/>
      <c r="K109" s="145"/>
      <c r="L109" s="145"/>
      <c r="M109" s="145"/>
      <c r="N109" s="145"/>
      <c r="O109" s="145"/>
      <c r="P109" s="145"/>
      <c r="Q109" s="145"/>
      <c r="R109" s="145"/>
      <c r="S109" s="145"/>
      <c r="T109" s="145"/>
      <c r="U109" s="145"/>
      <c r="V109" s="290"/>
      <c r="W109" s="290"/>
      <c r="X109" s="290"/>
      <c r="Y109" s="145"/>
      <c r="Z109" s="145"/>
      <c r="AA109" s="145"/>
      <c r="AB109" s="145"/>
      <c r="AC109" s="145"/>
      <c r="AD109" s="145"/>
      <c r="AE109" s="145"/>
      <c r="AF109" s="145"/>
      <c r="AG109" s="145"/>
      <c r="AH109" s="145"/>
      <c r="AI109" s="145"/>
      <c r="AJ109" s="145"/>
    </row>
    <row r="110" ht="15.75" customHeight="1">
      <c r="A110" s="284"/>
      <c r="B110" s="145"/>
      <c r="C110" s="285"/>
      <c r="D110" s="145"/>
      <c r="E110" s="145"/>
      <c r="F110" s="285"/>
      <c r="G110" s="145"/>
      <c r="H110" s="145"/>
      <c r="I110" s="145"/>
      <c r="J110" s="145"/>
      <c r="K110" s="145"/>
      <c r="L110" s="145"/>
      <c r="M110" s="145"/>
      <c r="N110" s="145"/>
      <c r="O110" s="145"/>
      <c r="P110" s="145"/>
      <c r="Q110" s="145"/>
      <c r="R110" s="145"/>
      <c r="S110" s="145"/>
      <c r="T110" s="145"/>
      <c r="U110" s="145"/>
      <c r="V110" s="290"/>
      <c r="W110" s="290"/>
      <c r="X110" s="290"/>
      <c r="Y110" s="145"/>
      <c r="Z110" s="145"/>
      <c r="AA110" s="145"/>
      <c r="AB110" s="145"/>
      <c r="AC110" s="145"/>
      <c r="AD110" s="145"/>
      <c r="AE110" s="145"/>
      <c r="AF110" s="145"/>
      <c r="AG110" s="145"/>
      <c r="AH110" s="145"/>
      <c r="AI110" s="145"/>
      <c r="AJ110" s="145"/>
    </row>
    <row r="111" ht="15.75" customHeight="1">
      <c r="A111" s="302"/>
      <c r="B111" s="302"/>
      <c r="C111" s="303"/>
      <c r="D111" s="302"/>
      <c r="E111" s="302"/>
      <c r="F111" s="303"/>
      <c r="G111" s="302"/>
      <c r="H111" s="302"/>
      <c r="I111" s="302"/>
      <c r="J111" s="302"/>
      <c r="K111" s="302"/>
      <c r="L111" s="302"/>
      <c r="M111" s="302"/>
      <c r="N111" s="302"/>
      <c r="O111" s="302"/>
      <c r="P111" s="302"/>
      <c r="Q111" s="302"/>
      <c r="R111" s="302"/>
      <c r="S111" s="88"/>
      <c r="T111" s="302"/>
      <c r="U111" s="304"/>
      <c r="V111" s="290"/>
      <c r="W111" s="290"/>
      <c r="X111" s="290"/>
      <c r="Y111" s="145"/>
      <c r="Z111" s="145"/>
      <c r="AA111" s="145"/>
      <c r="AB111" s="145"/>
      <c r="AC111" s="145"/>
      <c r="AD111" s="145"/>
      <c r="AE111" s="145"/>
      <c r="AF111" s="145"/>
      <c r="AG111" s="145"/>
      <c r="AH111" s="145"/>
      <c r="AI111" s="145"/>
      <c r="AJ111" s="145"/>
    </row>
    <row r="112" ht="15.75" customHeight="1">
      <c r="A112" s="66"/>
      <c r="B112" s="66"/>
      <c r="C112" s="67"/>
      <c r="D112" s="66"/>
      <c r="E112" s="66"/>
      <c r="F112" s="67"/>
      <c r="G112" s="66"/>
      <c r="H112" s="66"/>
      <c r="I112" s="66"/>
      <c r="J112" s="66"/>
      <c r="K112" s="66"/>
      <c r="L112" s="66"/>
      <c r="M112" s="66"/>
      <c r="N112" s="66"/>
      <c r="O112" s="66"/>
      <c r="P112" s="66"/>
      <c r="Q112" s="66"/>
      <c r="R112" s="66"/>
      <c r="S112" s="68"/>
      <c r="T112" s="66"/>
      <c r="U112" s="69"/>
      <c r="V112" s="290"/>
      <c r="W112" s="290"/>
      <c r="X112" s="290"/>
      <c r="Y112" s="145"/>
      <c r="Z112" s="145"/>
      <c r="AA112" s="145"/>
      <c r="AB112" s="145"/>
      <c r="AC112" s="145"/>
      <c r="AD112" s="145"/>
      <c r="AE112" s="145"/>
      <c r="AF112" s="145"/>
      <c r="AG112" s="145"/>
      <c r="AH112" s="145"/>
      <c r="AI112" s="145"/>
      <c r="AJ112" s="145"/>
    </row>
    <row r="113" ht="15.75" customHeight="1">
      <c r="A113" s="66"/>
      <c r="B113" s="66"/>
      <c r="C113" s="67"/>
      <c r="D113" s="66"/>
      <c r="E113" s="66"/>
      <c r="F113" s="67"/>
      <c r="G113" s="66"/>
      <c r="H113" s="66"/>
      <c r="I113" s="66"/>
      <c r="J113" s="66"/>
      <c r="K113" s="66"/>
      <c r="L113" s="66"/>
      <c r="M113" s="66"/>
      <c r="N113" s="66"/>
      <c r="O113" s="66"/>
      <c r="P113" s="66"/>
      <c r="Q113" s="66"/>
      <c r="R113" s="66"/>
      <c r="S113" s="68"/>
      <c r="T113" s="66"/>
      <c r="U113" s="69"/>
      <c r="V113" s="290"/>
      <c r="W113" s="290"/>
      <c r="X113" s="290"/>
      <c r="Y113" s="145"/>
      <c r="Z113" s="145"/>
      <c r="AA113" s="145"/>
      <c r="AB113" s="145"/>
      <c r="AC113" s="145"/>
      <c r="AD113" s="145"/>
      <c r="AE113" s="145"/>
      <c r="AF113" s="145"/>
      <c r="AG113" s="145"/>
      <c r="AH113" s="145"/>
      <c r="AI113" s="145"/>
      <c r="AJ113" s="145"/>
    </row>
    <row r="114" ht="15.75" customHeight="1">
      <c r="A114" s="66"/>
      <c r="B114" s="66"/>
      <c r="C114" s="67"/>
      <c r="D114" s="66"/>
      <c r="E114" s="66"/>
      <c r="F114" s="67"/>
      <c r="G114" s="66"/>
      <c r="H114" s="66"/>
      <c r="I114" s="66"/>
      <c r="J114" s="66"/>
      <c r="K114" s="66"/>
      <c r="L114" s="66"/>
      <c r="M114" s="66"/>
      <c r="N114" s="66"/>
      <c r="O114" s="66"/>
      <c r="P114" s="66"/>
      <c r="Q114" s="66"/>
      <c r="R114" s="66"/>
      <c r="S114" s="68"/>
      <c r="T114" s="66"/>
      <c r="U114" s="69"/>
      <c r="V114" s="290"/>
      <c r="W114" s="290"/>
      <c r="X114" s="290"/>
      <c r="Y114" s="145"/>
      <c r="Z114" s="145"/>
      <c r="AA114" s="145"/>
      <c r="AB114" s="145"/>
      <c r="AC114" s="145"/>
      <c r="AD114" s="145"/>
      <c r="AE114" s="145"/>
      <c r="AF114" s="145"/>
      <c r="AG114" s="145"/>
      <c r="AH114" s="145"/>
      <c r="AI114" s="145"/>
      <c r="AJ114" s="145"/>
    </row>
    <row r="115" ht="15.75" customHeight="1">
      <c r="A115" s="66"/>
      <c r="B115" s="66"/>
      <c r="C115" s="67"/>
      <c r="D115" s="66"/>
      <c r="E115" s="66"/>
      <c r="F115" s="67"/>
      <c r="G115" s="66"/>
      <c r="H115" s="66"/>
      <c r="I115" s="66"/>
      <c r="J115" s="66"/>
      <c r="K115" s="66"/>
      <c r="L115" s="66"/>
      <c r="M115" s="66"/>
      <c r="N115" s="66"/>
      <c r="O115" s="66"/>
      <c r="P115" s="66"/>
      <c r="Q115" s="66"/>
      <c r="R115" s="66"/>
      <c r="S115" s="68"/>
      <c r="T115" s="66"/>
      <c r="U115" s="69"/>
      <c r="V115" s="290"/>
      <c r="W115" s="290"/>
      <c r="X115" s="290"/>
      <c r="Y115" s="145"/>
      <c r="Z115" s="145"/>
      <c r="AA115" s="145"/>
      <c r="AB115" s="145"/>
      <c r="AC115" s="145"/>
      <c r="AD115" s="145"/>
      <c r="AE115" s="145"/>
      <c r="AF115" s="145"/>
      <c r="AG115" s="145"/>
      <c r="AH115" s="145"/>
      <c r="AI115" s="145"/>
      <c r="AJ115" s="145"/>
    </row>
    <row r="116" ht="15.75" customHeight="1">
      <c r="A116" s="66"/>
      <c r="B116" s="66"/>
      <c r="C116" s="67"/>
      <c r="D116" s="66"/>
      <c r="E116" s="66"/>
      <c r="F116" s="67"/>
      <c r="G116" s="66"/>
      <c r="H116" s="66"/>
      <c r="I116" s="66"/>
      <c r="J116" s="66"/>
      <c r="K116" s="66"/>
      <c r="L116" s="66"/>
      <c r="M116" s="66"/>
      <c r="N116" s="66"/>
      <c r="O116" s="66"/>
      <c r="P116" s="66"/>
      <c r="Q116" s="66"/>
      <c r="R116" s="66"/>
      <c r="S116" s="68"/>
      <c r="T116" s="66"/>
      <c r="U116" s="69"/>
      <c r="V116" s="290"/>
      <c r="W116" s="290"/>
      <c r="X116" s="290"/>
      <c r="Y116" s="145"/>
      <c r="Z116" s="145"/>
      <c r="AA116" s="145"/>
      <c r="AB116" s="145"/>
      <c r="AC116" s="145"/>
      <c r="AD116" s="145"/>
      <c r="AE116" s="145"/>
      <c r="AF116" s="145"/>
      <c r="AG116" s="145"/>
      <c r="AH116" s="145"/>
      <c r="AI116" s="145"/>
      <c r="AJ116" s="145"/>
    </row>
    <row r="117" ht="15.75" customHeight="1">
      <c r="A117" s="66"/>
      <c r="B117" s="66"/>
      <c r="C117" s="67"/>
      <c r="D117" s="66"/>
      <c r="E117" s="66"/>
      <c r="F117" s="67"/>
      <c r="G117" s="66"/>
      <c r="H117" s="66"/>
      <c r="I117" s="66"/>
      <c r="J117" s="66"/>
      <c r="K117" s="66"/>
      <c r="L117" s="66"/>
      <c r="M117" s="66"/>
      <c r="N117" s="66"/>
      <c r="O117" s="66"/>
      <c r="P117" s="66"/>
      <c r="Q117" s="66"/>
      <c r="R117" s="66"/>
      <c r="S117" s="68"/>
      <c r="T117" s="66"/>
      <c r="U117" s="69"/>
      <c r="V117" s="290"/>
      <c r="W117" s="290"/>
      <c r="X117" s="290"/>
      <c r="Y117" s="145"/>
      <c r="Z117" s="145"/>
      <c r="AA117" s="145"/>
      <c r="AB117" s="145"/>
      <c r="AC117" s="145"/>
      <c r="AD117" s="145"/>
      <c r="AE117" s="145"/>
      <c r="AF117" s="145"/>
      <c r="AG117" s="145"/>
      <c r="AH117" s="145"/>
      <c r="AI117" s="145"/>
      <c r="AJ117" s="145"/>
    </row>
    <row r="118" ht="15.75" customHeight="1">
      <c r="A118" s="66"/>
      <c r="B118" s="66"/>
      <c r="C118" s="67"/>
      <c r="D118" s="66"/>
      <c r="E118" s="66"/>
      <c r="F118" s="67"/>
      <c r="G118" s="66"/>
      <c r="H118" s="66"/>
      <c r="I118" s="66"/>
      <c r="J118" s="66"/>
      <c r="K118" s="66"/>
      <c r="L118" s="66"/>
      <c r="M118" s="66"/>
      <c r="N118" s="66"/>
      <c r="O118" s="66"/>
      <c r="P118" s="66"/>
      <c r="Q118" s="66"/>
      <c r="R118" s="66"/>
      <c r="S118" s="68"/>
      <c r="T118" s="66"/>
      <c r="U118" s="69"/>
      <c r="V118" s="290"/>
      <c r="W118" s="290"/>
      <c r="X118" s="290"/>
      <c r="Y118" s="145"/>
      <c r="Z118" s="145"/>
      <c r="AA118" s="145"/>
      <c r="AB118" s="145"/>
      <c r="AC118" s="145"/>
      <c r="AD118" s="145"/>
      <c r="AE118" s="145"/>
      <c r="AF118" s="145"/>
      <c r="AG118" s="145"/>
      <c r="AH118" s="145"/>
      <c r="AI118" s="145"/>
      <c r="AJ118" s="145"/>
    </row>
    <row r="119" ht="15.75" customHeight="1">
      <c r="A119" s="66"/>
      <c r="B119" s="66"/>
      <c r="C119" s="67"/>
      <c r="D119" s="66"/>
      <c r="E119" s="66"/>
      <c r="F119" s="67"/>
      <c r="G119" s="66"/>
      <c r="H119" s="66"/>
      <c r="I119" s="66"/>
      <c r="J119" s="66"/>
      <c r="K119" s="66"/>
      <c r="L119" s="66"/>
      <c r="M119" s="66"/>
      <c r="N119" s="66"/>
      <c r="O119" s="66"/>
      <c r="P119" s="66"/>
      <c r="Q119" s="66"/>
      <c r="R119" s="66"/>
      <c r="S119" s="68"/>
      <c r="T119" s="66"/>
      <c r="U119" s="69"/>
      <c r="V119" s="290"/>
      <c r="W119" s="290"/>
      <c r="X119" s="290"/>
      <c r="Y119" s="145"/>
      <c r="Z119" s="145"/>
      <c r="AA119" s="145"/>
      <c r="AB119" s="145"/>
      <c r="AC119" s="145"/>
      <c r="AD119" s="145"/>
      <c r="AE119" s="145"/>
      <c r="AF119" s="145"/>
      <c r="AG119" s="145"/>
      <c r="AH119" s="145"/>
      <c r="AI119" s="145"/>
      <c r="AJ119" s="145"/>
    </row>
    <row r="120" ht="15.75" customHeight="1">
      <c r="A120" s="66"/>
      <c r="B120" s="66"/>
      <c r="C120" s="67"/>
      <c r="D120" s="66"/>
      <c r="E120" s="66"/>
      <c r="F120" s="67"/>
      <c r="G120" s="66"/>
      <c r="H120" s="66"/>
      <c r="I120" s="66"/>
      <c r="J120" s="66"/>
      <c r="K120" s="66"/>
      <c r="L120" s="66"/>
      <c r="M120" s="66"/>
      <c r="N120" s="66"/>
      <c r="O120" s="66"/>
      <c r="P120" s="66"/>
      <c r="Q120" s="66"/>
      <c r="R120" s="66"/>
      <c r="S120" s="68"/>
      <c r="T120" s="66"/>
      <c r="U120" s="69"/>
      <c r="V120" s="290"/>
      <c r="W120" s="290"/>
      <c r="X120" s="290"/>
      <c r="Y120" s="145"/>
      <c r="Z120" s="145"/>
      <c r="AA120" s="145"/>
      <c r="AB120" s="145"/>
      <c r="AC120" s="145"/>
      <c r="AD120" s="145"/>
      <c r="AE120" s="145"/>
      <c r="AF120" s="145"/>
      <c r="AG120" s="145"/>
      <c r="AH120" s="145"/>
      <c r="AI120" s="145"/>
      <c r="AJ120" s="145"/>
    </row>
    <row r="121" ht="15.75" customHeight="1">
      <c r="A121" s="66"/>
      <c r="B121" s="66"/>
      <c r="C121" s="67"/>
      <c r="D121" s="66"/>
      <c r="E121" s="66"/>
      <c r="F121" s="67"/>
      <c r="G121" s="66"/>
      <c r="H121" s="66"/>
      <c r="I121" s="66"/>
      <c r="J121" s="66"/>
      <c r="K121" s="66"/>
      <c r="L121" s="66"/>
      <c r="M121" s="66"/>
      <c r="N121" s="66"/>
      <c r="O121" s="66"/>
      <c r="P121" s="66"/>
      <c r="Q121" s="66"/>
      <c r="R121" s="66"/>
      <c r="S121" s="68"/>
      <c r="T121" s="66"/>
      <c r="U121" s="69"/>
      <c r="V121" s="290"/>
      <c r="W121" s="290"/>
      <c r="X121" s="290"/>
      <c r="Y121" s="145"/>
      <c r="Z121" s="145"/>
      <c r="AA121" s="145"/>
      <c r="AB121" s="145"/>
      <c r="AC121" s="145"/>
      <c r="AD121" s="145"/>
      <c r="AE121" s="145"/>
      <c r="AF121" s="145"/>
      <c r="AG121" s="145"/>
      <c r="AH121" s="145"/>
      <c r="AI121" s="145"/>
      <c r="AJ121" s="145"/>
    </row>
    <row r="122" ht="15.75" customHeight="1">
      <c r="A122" s="66"/>
      <c r="B122" s="66"/>
      <c r="C122" s="67"/>
      <c r="D122" s="66"/>
      <c r="E122" s="66"/>
      <c r="F122" s="67"/>
      <c r="G122" s="66"/>
      <c r="H122" s="66"/>
      <c r="I122" s="66"/>
      <c r="J122" s="66"/>
      <c r="K122" s="66"/>
      <c r="L122" s="66"/>
      <c r="M122" s="66"/>
      <c r="N122" s="66"/>
      <c r="O122" s="66"/>
      <c r="P122" s="66"/>
      <c r="Q122" s="66"/>
      <c r="R122" s="66"/>
      <c r="S122" s="68"/>
      <c r="T122" s="66"/>
      <c r="U122" s="69"/>
      <c r="V122" s="290"/>
      <c r="W122" s="290"/>
      <c r="X122" s="290"/>
      <c r="Y122" s="145"/>
      <c r="Z122" s="145"/>
      <c r="AA122" s="145"/>
      <c r="AB122" s="145"/>
      <c r="AC122" s="145"/>
      <c r="AD122" s="145"/>
      <c r="AE122" s="145"/>
      <c r="AF122" s="145"/>
      <c r="AG122" s="145"/>
      <c r="AH122" s="145"/>
      <c r="AI122" s="145"/>
      <c r="AJ122" s="145"/>
    </row>
    <row r="123" ht="15.75" customHeight="1">
      <c r="A123" s="66"/>
      <c r="B123" s="66"/>
      <c r="C123" s="67"/>
      <c r="D123" s="66"/>
      <c r="E123" s="66"/>
      <c r="F123" s="67"/>
      <c r="G123" s="66"/>
      <c r="H123" s="66"/>
      <c r="I123" s="66"/>
      <c r="J123" s="66"/>
      <c r="K123" s="66"/>
      <c r="L123" s="66"/>
      <c r="M123" s="66"/>
      <c r="N123" s="66"/>
      <c r="O123" s="66"/>
      <c r="P123" s="66"/>
      <c r="Q123" s="66"/>
      <c r="R123" s="66"/>
      <c r="S123" s="68"/>
      <c r="T123" s="66"/>
      <c r="U123" s="69"/>
      <c r="V123" s="290"/>
      <c r="W123" s="290"/>
      <c r="X123" s="290"/>
      <c r="Y123" s="145"/>
      <c r="Z123" s="145"/>
      <c r="AA123" s="145"/>
      <c r="AB123" s="145"/>
      <c r="AC123" s="145"/>
      <c r="AD123" s="145"/>
      <c r="AE123" s="145"/>
      <c r="AF123" s="145"/>
      <c r="AG123" s="145"/>
      <c r="AH123" s="145"/>
      <c r="AI123" s="145"/>
      <c r="AJ123" s="145"/>
    </row>
    <row r="124" ht="15.75" customHeight="1">
      <c r="A124" s="66"/>
      <c r="B124" s="66"/>
      <c r="C124" s="67"/>
      <c r="D124" s="66"/>
      <c r="E124" s="66"/>
      <c r="F124" s="67"/>
      <c r="G124" s="66"/>
      <c r="H124" s="66"/>
      <c r="I124" s="66"/>
      <c r="J124" s="66"/>
      <c r="K124" s="66"/>
      <c r="L124" s="66"/>
      <c r="M124" s="66"/>
      <c r="N124" s="66"/>
      <c r="O124" s="66"/>
      <c r="P124" s="66"/>
      <c r="Q124" s="66"/>
      <c r="R124" s="66"/>
      <c r="S124" s="68"/>
      <c r="T124" s="66"/>
      <c r="U124" s="69"/>
      <c r="V124" s="290"/>
      <c r="W124" s="290"/>
      <c r="X124" s="290"/>
      <c r="Y124" s="145"/>
      <c r="Z124" s="145"/>
      <c r="AA124" s="145"/>
      <c r="AB124" s="145"/>
      <c r="AC124" s="145"/>
      <c r="AD124" s="145"/>
      <c r="AE124" s="145"/>
      <c r="AF124" s="145"/>
      <c r="AG124" s="145"/>
      <c r="AH124" s="145"/>
      <c r="AI124" s="145"/>
      <c r="AJ124" s="145"/>
    </row>
    <row r="125" ht="15.75" customHeight="1">
      <c r="A125" s="66"/>
      <c r="B125" s="66"/>
      <c r="C125" s="67"/>
      <c r="D125" s="66"/>
      <c r="E125" s="66"/>
      <c r="F125" s="67"/>
      <c r="G125" s="66"/>
      <c r="H125" s="66"/>
      <c r="I125" s="66"/>
      <c r="J125" s="66"/>
      <c r="K125" s="66"/>
      <c r="L125" s="66"/>
      <c r="M125" s="66"/>
      <c r="N125" s="66"/>
      <c r="O125" s="66"/>
      <c r="P125" s="66"/>
      <c r="Q125" s="66"/>
      <c r="R125" s="66"/>
      <c r="S125" s="68"/>
      <c r="T125" s="66"/>
      <c r="U125" s="69"/>
      <c r="V125" s="290"/>
      <c r="W125" s="290"/>
      <c r="X125" s="290"/>
      <c r="Y125" s="145"/>
      <c r="Z125" s="145"/>
      <c r="AA125" s="145"/>
      <c r="AB125" s="145"/>
      <c r="AC125" s="145"/>
      <c r="AD125" s="145"/>
      <c r="AE125" s="145"/>
      <c r="AF125" s="145"/>
      <c r="AG125" s="145"/>
      <c r="AH125" s="145"/>
      <c r="AI125" s="145"/>
      <c r="AJ125" s="145"/>
    </row>
    <row r="126" ht="15.75" customHeight="1">
      <c r="A126" s="66"/>
      <c r="B126" s="66"/>
      <c r="C126" s="67"/>
      <c r="D126" s="66"/>
      <c r="E126" s="66"/>
      <c r="F126" s="67"/>
      <c r="G126" s="66"/>
      <c r="H126" s="66"/>
      <c r="I126" s="66"/>
      <c r="J126" s="66"/>
      <c r="K126" s="66"/>
      <c r="L126" s="66"/>
      <c r="M126" s="66"/>
      <c r="N126" s="66"/>
      <c r="O126" s="66"/>
      <c r="P126" s="66"/>
      <c r="Q126" s="66"/>
      <c r="R126" s="66"/>
      <c r="S126" s="68"/>
      <c r="T126" s="66"/>
      <c r="U126" s="69"/>
      <c r="V126" s="290"/>
      <c r="W126" s="290"/>
      <c r="X126" s="290"/>
      <c r="Y126" s="145"/>
      <c r="Z126" s="145"/>
      <c r="AA126" s="145"/>
      <c r="AB126" s="145"/>
      <c r="AC126" s="145"/>
      <c r="AD126" s="145"/>
      <c r="AE126" s="145"/>
      <c r="AF126" s="145"/>
      <c r="AG126" s="145"/>
      <c r="AH126" s="145"/>
      <c r="AI126" s="145"/>
      <c r="AJ126" s="145"/>
    </row>
    <row r="127" ht="15.75" customHeight="1">
      <c r="A127" s="66"/>
      <c r="B127" s="66"/>
      <c r="C127" s="67"/>
      <c r="D127" s="66"/>
      <c r="E127" s="66"/>
      <c r="F127" s="67"/>
      <c r="G127" s="66"/>
      <c r="H127" s="66"/>
      <c r="I127" s="66"/>
      <c r="J127" s="66"/>
      <c r="K127" s="66"/>
      <c r="L127" s="66"/>
      <c r="M127" s="66"/>
      <c r="N127" s="66"/>
      <c r="O127" s="66"/>
      <c r="P127" s="66"/>
      <c r="Q127" s="66"/>
      <c r="R127" s="66"/>
      <c r="S127" s="68"/>
      <c r="T127" s="66"/>
      <c r="U127" s="69"/>
      <c r="V127" s="290"/>
      <c r="W127" s="290"/>
      <c r="X127" s="290"/>
      <c r="Y127" s="145"/>
      <c r="Z127" s="145"/>
      <c r="AA127" s="145"/>
      <c r="AB127" s="145"/>
      <c r="AC127" s="145"/>
      <c r="AD127" s="145"/>
      <c r="AE127" s="145"/>
      <c r="AF127" s="145"/>
      <c r="AG127" s="145"/>
      <c r="AH127" s="145"/>
      <c r="AI127" s="145"/>
      <c r="AJ127" s="145"/>
    </row>
    <row r="128" ht="15.75" customHeight="1">
      <c r="A128" s="66"/>
      <c r="B128" s="66"/>
      <c r="C128" s="67"/>
      <c r="D128" s="66"/>
      <c r="E128" s="66"/>
      <c r="F128" s="67"/>
      <c r="G128" s="66"/>
      <c r="H128" s="66"/>
      <c r="I128" s="66"/>
      <c r="J128" s="66"/>
      <c r="K128" s="66"/>
      <c r="L128" s="66"/>
      <c r="M128" s="66"/>
      <c r="N128" s="66"/>
      <c r="O128" s="66"/>
      <c r="P128" s="66"/>
      <c r="Q128" s="66"/>
      <c r="R128" s="66"/>
      <c r="S128" s="68"/>
      <c r="T128" s="66"/>
      <c r="U128" s="69"/>
      <c r="V128" s="290"/>
      <c r="W128" s="290"/>
      <c r="X128" s="290"/>
      <c r="Y128" s="145"/>
      <c r="Z128" s="145"/>
      <c r="AA128" s="145"/>
      <c r="AB128" s="145"/>
      <c r="AC128" s="145"/>
      <c r="AD128" s="145"/>
      <c r="AE128" s="145"/>
      <c r="AF128" s="145"/>
      <c r="AG128" s="145"/>
      <c r="AH128" s="145"/>
      <c r="AI128" s="145"/>
      <c r="AJ128" s="145"/>
    </row>
    <row r="129" ht="15.75" customHeight="1">
      <c r="A129" s="66"/>
      <c r="B129" s="66"/>
      <c r="C129" s="67"/>
      <c r="D129" s="66"/>
      <c r="E129" s="66"/>
      <c r="F129" s="67"/>
      <c r="G129" s="66"/>
      <c r="H129" s="66"/>
      <c r="I129" s="66"/>
      <c r="J129" s="66"/>
      <c r="K129" s="66"/>
      <c r="L129" s="66"/>
      <c r="M129" s="66"/>
      <c r="N129" s="66"/>
      <c r="O129" s="66"/>
      <c r="P129" s="66"/>
      <c r="Q129" s="66"/>
      <c r="R129" s="66"/>
      <c r="S129" s="68"/>
      <c r="T129" s="66"/>
      <c r="U129" s="69"/>
      <c r="V129" s="290"/>
      <c r="W129" s="290"/>
      <c r="X129" s="290"/>
      <c r="Y129" s="145"/>
      <c r="Z129" s="145"/>
      <c r="AA129" s="145"/>
      <c r="AB129" s="145"/>
      <c r="AC129" s="145"/>
      <c r="AD129" s="145"/>
      <c r="AE129" s="145"/>
      <c r="AF129" s="145"/>
      <c r="AG129" s="145"/>
      <c r="AH129" s="145"/>
      <c r="AI129" s="145"/>
      <c r="AJ129" s="145"/>
    </row>
    <row r="130" ht="15.75" customHeight="1">
      <c r="A130" s="66"/>
      <c r="B130" s="66"/>
      <c r="C130" s="67"/>
      <c r="D130" s="66"/>
      <c r="E130" s="66"/>
      <c r="F130" s="67"/>
      <c r="G130" s="66"/>
      <c r="H130" s="66"/>
      <c r="I130" s="66"/>
      <c r="J130" s="66"/>
      <c r="K130" s="66"/>
      <c r="L130" s="66"/>
      <c r="M130" s="66"/>
      <c r="N130" s="66"/>
      <c r="O130" s="66"/>
      <c r="P130" s="66"/>
      <c r="Q130" s="66"/>
      <c r="R130" s="66"/>
      <c r="S130" s="68"/>
      <c r="T130" s="66"/>
      <c r="U130" s="69"/>
      <c r="V130" s="290"/>
      <c r="W130" s="290"/>
      <c r="X130" s="290"/>
      <c r="Y130" s="145"/>
      <c r="Z130" s="145"/>
      <c r="AA130" s="145"/>
      <c r="AB130" s="145"/>
      <c r="AC130" s="145"/>
      <c r="AD130" s="145"/>
      <c r="AE130" s="145"/>
      <c r="AF130" s="145"/>
      <c r="AG130" s="145"/>
      <c r="AH130" s="145"/>
      <c r="AI130" s="145"/>
      <c r="AJ130" s="145"/>
    </row>
    <row r="131" ht="15.75" customHeight="1">
      <c r="A131" s="66"/>
      <c r="B131" s="66"/>
      <c r="C131" s="67"/>
      <c r="D131" s="66"/>
      <c r="E131" s="66"/>
      <c r="F131" s="67"/>
      <c r="G131" s="66"/>
      <c r="H131" s="66"/>
      <c r="I131" s="66"/>
      <c r="J131" s="66"/>
      <c r="K131" s="66"/>
      <c r="L131" s="66"/>
      <c r="M131" s="66"/>
      <c r="N131" s="66"/>
      <c r="O131" s="66"/>
      <c r="P131" s="66"/>
      <c r="Q131" s="66"/>
      <c r="R131" s="66"/>
      <c r="S131" s="68"/>
      <c r="T131" s="66"/>
      <c r="U131" s="69"/>
      <c r="V131" s="290"/>
      <c r="W131" s="290"/>
      <c r="X131" s="290"/>
      <c r="Y131" s="145"/>
      <c r="Z131" s="145"/>
      <c r="AA131" s="145"/>
      <c r="AB131" s="145"/>
      <c r="AC131" s="145"/>
      <c r="AD131" s="145"/>
      <c r="AE131" s="145"/>
      <c r="AF131" s="145"/>
      <c r="AG131" s="145"/>
      <c r="AH131" s="145"/>
      <c r="AI131" s="145"/>
      <c r="AJ131" s="145"/>
    </row>
    <row r="132" ht="15.75" customHeight="1">
      <c r="A132" s="66"/>
      <c r="B132" s="66"/>
      <c r="C132" s="67"/>
      <c r="D132" s="66"/>
      <c r="E132" s="66"/>
      <c r="F132" s="67"/>
      <c r="G132" s="66"/>
      <c r="H132" s="66"/>
      <c r="I132" s="66"/>
      <c r="J132" s="66"/>
      <c r="K132" s="66"/>
      <c r="L132" s="66"/>
      <c r="M132" s="66"/>
      <c r="N132" s="66"/>
      <c r="O132" s="66"/>
      <c r="P132" s="66"/>
      <c r="Q132" s="66"/>
      <c r="R132" s="66"/>
      <c r="S132" s="68"/>
      <c r="T132" s="66"/>
      <c r="U132" s="69"/>
      <c r="V132" s="290"/>
      <c r="W132" s="290"/>
      <c r="X132" s="290"/>
      <c r="Y132" s="145"/>
      <c r="Z132" s="145"/>
      <c r="AA132" s="145"/>
      <c r="AB132" s="145"/>
      <c r="AC132" s="145"/>
      <c r="AD132" s="145"/>
      <c r="AE132" s="145"/>
      <c r="AF132" s="145"/>
      <c r="AG132" s="145"/>
      <c r="AH132" s="145"/>
      <c r="AI132" s="145"/>
      <c r="AJ132" s="145"/>
    </row>
    <row r="133" ht="15.75" customHeight="1">
      <c r="A133" s="66"/>
      <c r="B133" s="66"/>
      <c r="C133" s="67"/>
      <c r="D133" s="66"/>
      <c r="E133" s="66"/>
      <c r="F133" s="67"/>
      <c r="G133" s="66"/>
      <c r="H133" s="66"/>
      <c r="I133" s="66"/>
      <c r="J133" s="66"/>
      <c r="K133" s="66"/>
      <c r="L133" s="66"/>
      <c r="M133" s="66"/>
      <c r="N133" s="66"/>
      <c r="O133" s="66"/>
      <c r="P133" s="66"/>
      <c r="Q133" s="66"/>
      <c r="R133" s="66"/>
      <c r="S133" s="68"/>
      <c r="T133" s="66"/>
      <c r="U133" s="69"/>
      <c r="V133" s="290"/>
      <c r="W133" s="290"/>
      <c r="X133" s="290"/>
      <c r="Y133" s="145"/>
      <c r="Z133" s="145"/>
      <c r="AA133" s="145"/>
      <c r="AB133" s="145"/>
      <c r="AC133" s="145"/>
      <c r="AD133" s="145"/>
      <c r="AE133" s="145"/>
      <c r="AF133" s="145"/>
      <c r="AG133" s="145"/>
      <c r="AH133" s="145"/>
      <c r="AI133" s="145"/>
      <c r="AJ133" s="145"/>
    </row>
    <row r="134" ht="15.75" customHeight="1">
      <c r="A134" s="66"/>
      <c r="B134" s="66"/>
      <c r="C134" s="67"/>
      <c r="D134" s="66"/>
      <c r="E134" s="66"/>
      <c r="F134" s="67"/>
      <c r="G134" s="66"/>
      <c r="H134" s="66"/>
      <c r="I134" s="66"/>
      <c r="J134" s="66"/>
      <c r="K134" s="66"/>
      <c r="L134" s="66"/>
      <c r="M134" s="66"/>
      <c r="N134" s="66"/>
      <c r="O134" s="66"/>
      <c r="P134" s="66"/>
      <c r="Q134" s="66"/>
      <c r="R134" s="66"/>
      <c r="S134" s="68"/>
      <c r="T134" s="66"/>
      <c r="U134" s="69"/>
      <c r="V134" s="290"/>
      <c r="W134" s="290"/>
      <c r="X134" s="290"/>
      <c r="Y134" s="145"/>
      <c r="Z134" s="145"/>
      <c r="AA134" s="145"/>
      <c r="AB134" s="145"/>
      <c r="AC134" s="145"/>
      <c r="AD134" s="145"/>
      <c r="AE134" s="145"/>
      <c r="AF134" s="145"/>
      <c r="AG134" s="145"/>
      <c r="AH134" s="145"/>
      <c r="AI134" s="145"/>
      <c r="AJ134" s="145"/>
    </row>
    <row r="135" ht="15.75" customHeight="1">
      <c r="A135" s="66"/>
      <c r="B135" s="66"/>
      <c r="C135" s="67"/>
      <c r="D135" s="66"/>
      <c r="E135" s="66"/>
      <c r="F135" s="67"/>
      <c r="G135" s="66"/>
      <c r="H135" s="66"/>
      <c r="I135" s="66"/>
      <c r="J135" s="66"/>
      <c r="K135" s="66"/>
      <c r="L135" s="66"/>
      <c r="M135" s="66"/>
      <c r="N135" s="66"/>
      <c r="O135" s="66"/>
      <c r="P135" s="66"/>
      <c r="Q135" s="66"/>
      <c r="R135" s="66"/>
      <c r="S135" s="68"/>
      <c r="T135" s="66"/>
      <c r="U135" s="69"/>
      <c r="V135" s="290"/>
      <c r="W135" s="290"/>
      <c r="X135" s="290"/>
      <c r="Y135" s="145"/>
      <c r="Z135" s="145"/>
      <c r="AA135" s="145"/>
      <c r="AB135" s="145"/>
      <c r="AC135" s="145"/>
      <c r="AD135" s="145"/>
      <c r="AE135" s="145"/>
      <c r="AF135" s="145"/>
      <c r="AG135" s="145"/>
      <c r="AH135" s="145"/>
      <c r="AI135" s="145"/>
      <c r="AJ135" s="145"/>
    </row>
    <row r="136" ht="15.75" customHeight="1">
      <c r="A136" s="66"/>
      <c r="B136" s="66"/>
      <c r="C136" s="67"/>
      <c r="D136" s="66"/>
      <c r="E136" s="66"/>
      <c r="F136" s="67"/>
      <c r="G136" s="66"/>
      <c r="H136" s="66"/>
      <c r="I136" s="66"/>
      <c r="J136" s="66"/>
      <c r="K136" s="66"/>
      <c r="L136" s="66"/>
      <c r="M136" s="66"/>
      <c r="N136" s="66"/>
      <c r="O136" s="66"/>
      <c r="P136" s="66"/>
      <c r="Q136" s="66"/>
      <c r="R136" s="66"/>
      <c r="S136" s="68"/>
      <c r="T136" s="66"/>
      <c r="U136" s="69"/>
      <c r="V136" s="290"/>
      <c r="W136" s="290"/>
      <c r="X136" s="290"/>
      <c r="Y136" s="145"/>
      <c r="Z136" s="145"/>
      <c r="AA136" s="145"/>
      <c r="AB136" s="145"/>
      <c r="AC136" s="145"/>
      <c r="AD136" s="145"/>
      <c r="AE136" s="145"/>
      <c r="AF136" s="145"/>
      <c r="AG136" s="145"/>
      <c r="AH136" s="145"/>
      <c r="AI136" s="145"/>
      <c r="AJ136" s="145"/>
    </row>
    <row r="137" ht="15.75" customHeight="1">
      <c r="A137" s="66"/>
      <c r="B137" s="66"/>
      <c r="C137" s="67"/>
      <c r="D137" s="66"/>
      <c r="E137" s="66"/>
      <c r="F137" s="67"/>
      <c r="G137" s="66"/>
      <c r="H137" s="66"/>
      <c r="I137" s="66"/>
      <c r="J137" s="66"/>
      <c r="K137" s="66"/>
      <c r="L137" s="66"/>
      <c r="M137" s="66"/>
      <c r="N137" s="66"/>
      <c r="O137" s="66"/>
      <c r="P137" s="66"/>
      <c r="Q137" s="66"/>
      <c r="R137" s="66"/>
      <c r="S137" s="68"/>
      <c r="T137" s="66"/>
      <c r="U137" s="69"/>
      <c r="V137" s="290"/>
      <c r="W137" s="290"/>
      <c r="X137" s="290"/>
      <c r="Y137" s="145"/>
      <c r="Z137" s="145"/>
      <c r="AA137" s="145"/>
      <c r="AB137" s="145"/>
      <c r="AC137" s="145"/>
      <c r="AD137" s="145"/>
      <c r="AE137" s="145"/>
      <c r="AF137" s="145"/>
      <c r="AG137" s="145"/>
      <c r="AH137" s="145"/>
      <c r="AI137" s="145"/>
      <c r="AJ137" s="145"/>
    </row>
    <row r="138" ht="15.75" customHeight="1">
      <c r="A138" s="66"/>
      <c r="B138" s="66"/>
      <c r="C138" s="67"/>
      <c r="D138" s="66"/>
      <c r="E138" s="66"/>
      <c r="F138" s="67"/>
      <c r="G138" s="66"/>
      <c r="H138" s="66"/>
      <c r="I138" s="66"/>
      <c r="J138" s="66"/>
      <c r="K138" s="66"/>
      <c r="L138" s="66"/>
      <c r="M138" s="66"/>
      <c r="N138" s="66"/>
      <c r="O138" s="66"/>
      <c r="P138" s="66"/>
      <c r="Q138" s="66"/>
      <c r="R138" s="66"/>
      <c r="S138" s="68"/>
      <c r="T138" s="66"/>
      <c r="U138" s="69"/>
      <c r="V138" s="290"/>
      <c r="W138" s="290"/>
      <c r="X138" s="290"/>
      <c r="Y138" s="145"/>
      <c r="Z138" s="145"/>
      <c r="AA138" s="145"/>
      <c r="AB138" s="145"/>
      <c r="AC138" s="145"/>
      <c r="AD138" s="145"/>
      <c r="AE138" s="145"/>
      <c r="AF138" s="145"/>
      <c r="AG138" s="145"/>
      <c r="AH138" s="145"/>
      <c r="AI138" s="145"/>
      <c r="AJ138" s="145"/>
    </row>
    <row r="139" ht="15.75" customHeight="1">
      <c r="A139" s="66"/>
      <c r="B139" s="66"/>
      <c r="C139" s="67"/>
      <c r="D139" s="66"/>
      <c r="E139" s="66"/>
      <c r="F139" s="67"/>
      <c r="G139" s="66"/>
      <c r="H139" s="66"/>
      <c r="I139" s="66"/>
      <c r="J139" s="66"/>
      <c r="K139" s="66"/>
      <c r="L139" s="66"/>
      <c r="M139" s="66"/>
      <c r="N139" s="66"/>
      <c r="O139" s="66"/>
      <c r="P139" s="66"/>
      <c r="Q139" s="66"/>
      <c r="R139" s="66"/>
      <c r="S139" s="68"/>
      <c r="T139" s="66"/>
      <c r="U139" s="69"/>
      <c r="V139" s="290"/>
      <c r="W139" s="290"/>
      <c r="X139" s="290"/>
      <c r="Y139" s="145"/>
      <c r="Z139" s="145"/>
      <c r="AA139" s="145"/>
      <c r="AB139" s="145"/>
      <c r="AC139" s="145"/>
      <c r="AD139" s="145"/>
      <c r="AE139" s="145"/>
      <c r="AF139" s="145"/>
      <c r="AG139" s="145"/>
      <c r="AH139" s="145"/>
      <c r="AI139" s="145"/>
      <c r="AJ139" s="145"/>
    </row>
    <row r="140" ht="15.75" customHeight="1">
      <c r="A140" s="66"/>
      <c r="B140" s="66"/>
      <c r="C140" s="67"/>
      <c r="D140" s="66"/>
      <c r="E140" s="66"/>
      <c r="F140" s="67"/>
      <c r="G140" s="66"/>
      <c r="H140" s="66"/>
      <c r="I140" s="66"/>
      <c r="J140" s="66"/>
      <c r="K140" s="66"/>
      <c r="L140" s="66"/>
      <c r="M140" s="66"/>
      <c r="N140" s="66"/>
      <c r="O140" s="66"/>
      <c r="P140" s="66"/>
      <c r="Q140" s="66"/>
      <c r="R140" s="66"/>
      <c r="S140" s="68"/>
      <c r="T140" s="66"/>
      <c r="U140" s="69"/>
      <c r="V140" s="290"/>
      <c r="W140" s="290"/>
      <c r="X140" s="290"/>
      <c r="Y140" s="145"/>
      <c r="Z140" s="145"/>
      <c r="AA140" s="145"/>
      <c r="AB140" s="145"/>
      <c r="AC140" s="145"/>
      <c r="AD140" s="145"/>
      <c r="AE140" s="145"/>
      <c r="AF140" s="145"/>
      <c r="AG140" s="145"/>
      <c r="AH140" s="145"/>
      <c r="AI140" s="145"/>
      <c r="AJ140" s="145"/>
    </row>
    <row r="141" ht="15.75" customHeight="1">
      <c r="A141" s="66"/>
      <c r="B141" s="66"/>
      <c r="C141" s="67"/>
      <c r="D141" s="66"/>
      <c r="E141" s="66"/>
      <c r="F141" s="67"/>
      <c r="G141" s="66"/>
      <c r="H141" s="66"/>
      <c r="I141" s="66"/>
      <c r="J141" s="66"/>
      <c r="K141" s="66"/>
      <c r="L141" s="66"/>
      <c r="M141" s="66"/>
      <c r="N141" s="66"/>
      <c r="O141" s="66"/>
      <c r="P141" s="66"/>
      <c r="Q141" s="66"/>
      <c r="R141" s="66"/>
      <c r="S141" s="68"/>
      <c r="T141" s="66"/>
      <c r="U141" s="69"/>
      <c r="V141" s="290"/>
      <c r="W141" s="290"/>
      <c r="X141" s="290"/>
      <c r="Y141" s="145"/>
      <c r="Z141" s="145"/>
      <c r="AA141" s="145"/>
      <c r="AB141" s="145"/>
      <c r="AC141" s="145"/>
      <c r="AD141" s="145"/>
      <c r="AE141" s="145"/>
      <c r="AF141" s="145"/>
      <c r="AG141" s="145"/>
      <c r="AH141" s="145"/>
      <c r="AI141" s="145"/>
      <c r="AJ141" s="145"/>
    </row>
    <row r="142" ht="15.75" customHeight="1">
      <c r="A142" s="66"/>
      <c r="B142" s="66"/>
      <c r="C142" s="67"/>
      <c r="D142" s="66"/>
      <c r="E142" s="66"/>
      <c r="F142" s="67"/>
      <c r="G142" s="66"/>
      <c r="H142" s="66"/>
      <c r="I142" s="66"/>
      <c r="J142" s="66"/>
      <c r="K142" s="66"/>
      <c r="L142" s="66"/>
      <c r="M142" s="66"/>
      <c r="N142" s="66"/>
      <c r="O142" s="66"/>
      <c r="P142" s="66"/>
      <c r="Q142" s="66"/>
      <c r="R142" s="66"/>
      <c r="S142" s="68"/>
      <c r="T142" s="66"/>
      <c r="U142" s="69"/>
      <c r="V142" s="290"/>
      <c r="W142" s="290"/>
      <c r="X142" s="290"/>
      <c r="Y142" s="145"/>
      <c r="Z142" s="145"/>
      <c r="AA142" s="145"/>
      <c r="AB142" s="145"/>
      <c r="AC142" s="145"/>
      <c r="AD142" s="145"/>
      <c r="AE142" s="145"/>
      <c r="AF142" s="145"/>
      <c r="AG142" s="145"/>
      <c r="AH142" s="145"/>
      <c r="AI142" s="145"/>
      <c r="AJ142" s="145"/>
    </row>
    <row r="143" ht="15.75" customHeight="1">
      <c r="A143" s="66"/>
      <c r="B143" s="66"/>
      <c r="C143" s="67"/>
      <c r="D143" s="66"/>
      <c r="E143" s="66"/>
      <c r="F143" s="67"/>
      <c r="G143" s="66"/>
      <c r="H143" s="66"/>
      <c r="I143" s="66"/>
      <c r="J143" s="66"/>
      <c r="K143" s="66"/>
      <c r="L143" s="66"/>
      <c r="M143" s="66"/>
      <c r="N143" s="66"/>
      <c r="O143" s="66"/>
      <c r="P143" s="66"/>
      <c r="Q143" s="66"/>
      <c r="R143" s="66"/>
      <c r="S143" s="68"/>
      <c r="T143" s="66"/>
      <c r="U143" s="69"/>
      <c r="V143" s="290"/>
      <c r="W143" s="290"/>
      <c r="X143" s="290"/>
      <c r="Y143" s="145"/>
      <c r="Z143" s="145"/>
      <c r="AA143" s="145"/>
      <c r="AB143" s="145"/>
      <c r="AC143" s="145"/>
      <c r="AD143" s="145"/>
      <c r="AE143" s="145"/>
      <c r="AF143" s="145"/>
      <c r="AG143" s="145"/>
      <c r="AH143" s="145"/>
      <c r="AI143" s="145"/>
      <c r="AJ143" s="145"/>
    </row>
    <row r="144" ht="15.75" customHeight="1">
      <c r="A144" s="66"/>
      <c r="B144" s="66"/>
      <c r="C144" s="67"/>
      <c r="D144" s="66"/>
      <c r="E144" s="66"/>
      <c r="F144" s="67"/>
      <c r="G144" s="66"/>
      <c r="H144" s="66"/>
      <c r="I144" s="66"/>
      <c r="J144" s="66"/>
      <c r="K144" s="66"/>
      <c r="L144" s="66"/>
      <c r="M144" s="66"/>
      <c r="N144" s="66"/>
      <c r="O144" s="66"/>
      <c r="P144" s="66"/>
      <c r="Q144" s="66"/>
      <c r="R144" s="66"/>
      <c r="S144" s="68"/>
      <c r="T144" s="66"/>
      <c r="U144" s="69"/>
      <c r="V144" s="290"/>
      <c r="W144" s="290"/>
      <c r="X144" s="290"/>
      <c r="Y144" s="145"/>
      <c r="Z144" s="145"/>
      <c r="AA144" s="145"/>
      <c r="AB144" s="145"/>
      <c r="AC144" s="145"/>
      <c r="AD144" s="145"/>
      <c r="AE144" s="145"/>
      <c r="AF144" s="145"/>
      <c r="AG144" s="145"/>
      <c r="AH144" s="145"/>
      <c r="AI144" s="145"/>
      <c r="AJ144" s="145"/>
    </row>
    <row r="145" ht="15.75" customHeight="1">
      <c r="A145" s="66"/>
      <c r="B145" s="66"/>
      <c r="C145" s="67"/>
      <c r="D145" s="66"/>
      <c r="E145" s="66"/>
      <c r="F145" s="67"/>
      <c r="G145" s="66"/>
      <c r="H145" s="66"/>
      <c r="I145" s="66"/>
      <c r="J145" s="66"/>
      <c r="K145" s="66"/>
      <c r="L145" s="66"/>
      <c r="M145" s="66"/>
      <c r="N145" s="66"/>
      <c r="O145" s="66"/>
      <c r="P145" s="66"/>
      <c r="Q145" s="66"/>
      <c r="R145" s="66"/>
      <c r="S145" s="68"/>
      <c r="T145" s="66"/>
      <c r="U145" s="69"/>
      <c r="V145" s="290"/>
      <c r="W145" s="290"/>
      <c r="X145" s="290"/>
      <c r="Y145" s="145"/>
      <c r="Z145" s="145"/>
      <c r="AA145" s="145"/>
      <c r="AB145" s="145"/>
      <c r="AC145" s="145"/>
      <c r="AD145" s="145"/>
      <c r="AE145" s="145"/>
      <c r="AF145" s="145"/>
      <c r="AG145" s="145"/>
      <c r="AH145" s="145"/>
      <c r="AI145" s="145"/>
      <c r="AJ145" s="145"/>
    </row>
    <row r="146" ht="15.75" customHeight="1">
      <c r="A146" s="66"/>
      <c r="B146" s="66"/>
      <c r="C146" s="67"/>
      <c r="D146" s="66"/>
      <c r="E146" s="66"/>
      <c r="F146" s="67"/>
      <c r="G146" s="66"/>
      <c r="H146" s="66"/>
      <c r="I146" s="66"/>
      <c r="J146" s="66"/>
      <c r="K146" s="66"/>
      <c r="L146" s="66"/>
      <c r="M146" s="66"/>
      <c r="N146" s="66"/>
      <c r="O146" s="66"/>
      <c r="P146" s="66"/>
      <c r="Q146" s="66"/>
      <c r="R146" s="66"/>
      <c r="S146" s="68"/>
      <c r="T146" s="66"/>
      <c r="U146" s="69"/>
      <c r="V146" s="290"/>
      <c r="W146" s="290"/>
      <c r="X146" s="290"/>
      <c r="Y146" s="145"/>
      <c r="Z146" s="145"/>
      <c r="AA146" s="145"/>
      <c r="AB146" s="145"/>
      <c r="AC146" s="145"/>
      <c r="AD146" s="145"/>
      <c r="AE146" s="145"/>
      <c r="AF146" s="145"/>
      <c r="AG146" s="145"/>
      <c r="AH146" s="145"/>
      <c r="AI146" s="145"/>
      <c r="AJ146" s="145"/>
    </row>
    <row r="147" ht="15.75" customHeight="1">
      <c r="A147" s="66"/>
      <c r="B147" s="66"/>
      <c r="C147" s="67"/>
      <c r="D147" s="66"/>
      <c r="E147" s="66"/>
      <c r="F147" s="67"/>
      <c r="G147" s="66"/>
      <c r="H147" s="66"/>
      <c r="I147" s="66"/>
      <c r="J147" s="66"/>
      <c r="K147" s="66"/>
      <c r="L147" s="66"/>
      <c r="M147" s="66"/>
      <c r="N147" s="66"/>
      <c r="O147" s="66"/>
      <c r="P147" s="66"/>
      <c r="Q147" s="66"/>
      <c r="R147" s="66"/>
      <c r="S147" s="68"/>
      <c r="T147" s="66"/>
      <c r="U147" s="69"/>
      <c r="V147" s="290"/>
      <c r="W147" s="290"/>
      <c r="X147" s="290"/>
      <c r="Y147" s="145"/>
      <c r="Z147" s="145"/>
      <c r="AA147" s="145"/>
      <c r="AB147" s="145"/>
      <c r="AC147" s="145"/>
      <c r="AD147" s="145"/>
      <c r="AE147" s="145"/>
      <c r="AF147" s="145"/>
      <c r="AG147" s="145"/>
      <c r="AH147" s="145"/>
      <c r="AI147" s="145"/>
      <c r="AJ147" s="145"/>
    </row>
    <row r="148" ht="15.75" customHeight="1">
      <c r="A148" s="66"/>
      <c r="B148" s="66"/>
      <c r="C148" s="67"/>
      <c r="D148" s="66"/>
      <c r="E148" s="66"/>
      <c r="F148" s="67"/>
      <c r="G148" s="66"/>
      <c r="H148" s="66"/>
      <c r="I148" s="66"/>
      <c r="J148" s="66"/>
      <c r="K148" s="66"/>
      <c r="L148" s="66"/>
      <c r="M148" s="66"/>
      <c r="N148" s="66"/>
      <c r="O148" s="66"/>
      <c r="P148" s="66"/>
      <c r="Q148" s="66"/>
      <c r="R148" s="66"/>
      <c r="S148" s="68"/>
      <c r="T148" s="66"/>
      <c r="U148" s="69"/>
      <c r="V148" s="290"/>
      <c r="W148" s="290"/>
      <c r="X148" s="290"/>
      <c r="Y148" s="145"/>
      <c r="Z148" s="145"/>
      <c r="AA148" s="145"/>
      <c r="AB148" s="145"/>
      <c r="AC148" s="145"/>
      <c r="AD148" s="145"/>
      <c r="AE148" s="145"/>
      <c r="AF148" s="145"/>
      <c r="AG148" s="145"/>
      <c r="AH148" s="145"/>
      <c r="AI148" s="145"/>
      <c r="AJ148" s="145"/>
    </row>
    <row r="149" ht="15.75" customHeight="1">
      <c r="A149" s="66"/>
      <c r="B149" s="66"/>
      <c r="C149" s="67"/>
      <c r="D149" s="66"/>
      <c r="E149" s="66"/>
      <c r="F149" s="67"/>
      <c r="G149" s="66"/>
      <c r="H149" s="66"/>
      <c r="I149" s="66"/>
      <c r="J149" s="66"/>
      <c r="K149" s="66"/>
      <c r="L149" s="66"/>
      <c r="M149" s="66"/>
      <c r="N149" s="66"/>
      <c r="O149" s="66"/>
      <c r="P149" s="66"/>
      <c r="Q149" s="66"/>
      <c r="R149" s="66"/>
      <c r="S149" s="68"/>
      <c r="T149" s="66"/>
      <c r="U149" s="69"/>
      <c r="V149" s="290"/>
      <c r="W149" s="290"/>
      <c r="X149" s="290"/>
      <c r="Y149" s="145"/>
      <c r="Z149" s="145"/>
      <c r="AA149" s="145"/>
      <c r="AB149" s="145"/>
      <c r="AC149" s="145"/>
      <c r="AD149" s="145"/>
      <c r="AE149" s="145"/>
      <c r="AF149" s="145"/>
      <c r="AG149" s="145"/>
      <c r="AH149" s="145"/>
      <c r="AI149" s="145"/>
      <c r="AJ149" s="145"/>
    </row>
    <row r="150" ht="15.75" customHeight="1">
      <c r="A150" s="66"/>
      <c r="B150" s="66"/>
      <c r="C150" s="67"/>
      <c r="D150" s="66"/>
      <c r="E150" s="66"/>
      <c r="F150" s="67"/>
      <c r="G150" s="66"/>
      <c r="H150" s="66"/>
      <c r="I150" s="66"/>
      <c r="J150" s="66"/>
      <c r="K150" s="66"/>
      <c r="L150" s="66"/>
      <c r="M150" s="66"/>
      <c r="N150" s="66"/>
      <c r="O150" s="66"/>
      <c r="P150" s="66"/>
      <c r="Q150" s="66"/>
      <c r="R150" s="66"/>
      <c r="S150" s="68"/>
      <c r="T150" s="66"/>
      <c r="U150" s="69"/>
      <c r="V150" s="290"/>
      <c r="W150" s="290"/>
      <c r="X150" s="290"/>
      <c r="Y150" s="145"/>
      <c r="Z150" s="145"/>
      <c r="AA150" s="145"/>
      <c r="AB150" s="145"/>
      <c r="AC150" s="145"/>
      <c r="AD150" s="145"/>
      <c r="AE150" s="145"/>
      <c r="AF150" s="145"/>
      <c r="AG150" s="145"/>
      <c r="AH150" s="145"/>
      <c r="AI150" s="145"/>
      <c r="AJ150" s="145"/>
    </row>
    <row r="151" ht="15.75" customHeight="1">
      <c r="A151" s="66"/>
      <c r="B151" s="66"/>
      <c r="C151" s="67"/>
      <c r="D151" s="66"/>
      <c r="E151" s="66"/>
      <c r="F151" s="67"/>
      <c r="G151" s="66"/>
      <c r="H151" s="66"/>
      <c r="I151" s="66"/>
      <c r="J151" s="66"/>
      <c r="K151" s="66"/>
      <c r="L151" s="66"/>
      <c r="M151" s="66"/>
      <c r="N151" s="66"/>
      <c r="O151" s="66"/>
      <c r="P151" s="66"/>
      <c r="Q151" s="66"/>
      <c r="R151" s="66"/>
      <c r="S151" s="68"/>
      <c r="T151" s="66"/>
      <c r="U151" s="69"/>
      <c r="V151" s="290"/>
      <c r="W151" s="290"/>
      <c r="X151" s="290"/>
      <c r="Y151" s="145"/>
      <c r="Z151" s="145"/>
      <c r="AA151" s="145"/>
      <c r="AB151" s="145"/>
      <c r="AC151" s="145"/>
      <c r="AD151" s="145"/>
      <c r="AE151" s="145"/>
      <c r="AF151" s="145"/>
      <c r="AG151" s="145"/>
      <c r="AH151" s="145"/>
      <c r="AI151" s="145"/>
      <c r="AJ151" s="145"/>
    </row>
    <row r="152" ht="15.75" customHeight="1">
      <c r="A152" s="66"/>
      <c r="B152" s="66"/>
      <c r="C152" s="67"/>
      <c r="D152" s="66"/>
      <c r="E152" s="66"/>
      <c r="F152" s="67"/>
      <c r="G152" s="66"/>
      <c r="H152" s="66"/>
      <c r="I152" s="66"/>
      <c r="J152" s="66"/>
      <c r="K152" s="66"/>
      <c r="L152" s="66"/>
      <c r="M152" s="66"/>
      <c r="N152" s="66"/>
      <c r="O152" s="66"/>
      <c r="P152" s="66"/>
      <c r="Q152" s="66"/>
      <c r="R152" s="66"/>
      <c r="S152" s="68"/>
      <c r="T152" s="66"/>
      <c r="U152" s="69"/>
      <c r="V152" s="290"/>
      <c r="W152" s="290"/>
      <c r="X152" s="290"/>
      <c r="Y152" s="145"/>
      <c r="Z152" s="145"/>
      <c r="AA152" s="145"/>
      <c r="AB152" s="145"/>
      <c r="AC152" s="145"/>
      <c r="AD152" s="145"/>
      <c r="AE152" s="145"/>
      <c r="AF152" s="145"/>
      <c r="AG152" s="145"/>
      <c r="AH152" s="145"/>
      <c r="AI152" s="145"/>
      <c r="AJ152" s="145"/>
    </row>
    <row r="153" ht="15.75" customHeight="1">
      <c r="A153" s="66"/>
      <c r="B153" s="66"/>
      <c r="C153" s="67"/>
      <c r="D153" s="66"/>
      <c r="E153" s="66"/>
      <c r="F153" s="67"/>
      <c r="G153" s="66"/>
      <c r="H153" s="66"/>
      <c r="I153" s="66"/>
      <c r="J153" s="66"/>
      <c r="K153" s="66"/>
      <c r="L153" s="66"/>
      <c r="M153" s="66"/>
      <c r="N153" s="66"/>
      <c r="O153" s="66"/>
      <c r="P153" s="66"/>
      <c r="Q153" s="66"/>
      <c r="R153" s="66"/>
      <c r="S153" s="68"/>
      <c r="T153" s="66"/>
      <c r="U153" s="69"/>
      <c r="V153" s="145"/>
      <c r="W153" s="145"/>
      <c r="X153" s="145"/>
      <c r="Y153" s="145"/>
      <c r="Z153" s="145"/>
      <c r="AA153" s="145"/>
      <c r="AB153" s="145"/>
      <c r="AC153" s="145"/>
      <c r="AD153" s="145"/>
      <c r="AE153" s="145"/>
      <c r="AF153" s="145"/>
      <c r="AG153" s="145"/>
      <c r="AH153" s="145"/>
      <c r="AI153" s="145"/>
      <c r="AJ153" s="145"/>
    </row>
    <row r="154" ht="15.75" customHeight="1">
      <c r="A154" s="66"/>
      <c r="B154" s="66"/>
      <c r="C154" s="67"/>
      <c r="D154" s="66"/>
      <c r="E154" s="66"/>
      <c r="F154" s="67"/>
      <c r="G154" s="66"/>
      <c r="H154" s="66"/>
      <c r="I154" s="66"/>
      <c r="J154" s="66"/>
      <c r="K154" s="66"/>
      <c r="L154" s="66"/>
      <c r="M154" s="66"/>
      <c r="N154" s="66"/>
      <c r="O154" s="66"/>
      <c r="P154" s="66"/>
      <c r="Q154" s="66"/>
      <c r="R154" s="66"/>
      <c r="S154" s="68"/>
      <c r="T154" s="66"/>
      <c r="U154" s="69"/>
      <c r="V154" s="145"/>
      <c r="W154" s="145"/>
      <c r="X154" s="145"/>
      <c r="Y154" s="145"/>
      <c r="Z154" s="145"/>
      <c r="AA154" s="145"/>
      <c r="AB154" s="145"/>
      <c r="AC154" s="145"/>
      <c r="AD154" s="145"/>
      <c r="AE154" s="145"/>
      <c r="AF154" s="145"/>
      <c r="AG154" s="145"/>
      <c r="AH154" s="145"/>
      <c r="AI154" s="145"/>
      <c r="AJ154" s="145"/>
    </row>
    <row r="155" ht="15.75" customHeight="1">
      <c r="A155" s="66"/>
      <c r="B155" s="66"/>
      <c r="C155" s="67"/>
      <c r="D155" s="66"/>
      <c r="E155" s="66"/>
      <c r="F155" s="67"/>
      <c r="G155" s="66"/>
      <c r="H155" s="66"/>
      <c r="I155" s="66"/>
      <c r="J155" s="66"/>
      <c r="K155" s="66"/>
      <c r="L155" s="66"/>
      <c r="M155" s="66"/>
      <c r="N155" s="66"/>
      <c r="O155" s="66"/>
      <c r="P155" s="66"/>
      <c r="Q155" s="66"/>
      <c r="R155" s="66"/>
      <c r="S155" s="68"/>
      <c r="T155" s="66"/>
      <c r="U155" s="69"/>
      <c r="V155" s="145"/>
      <c r="W155" s="145"/>
      <c r="X155" s="145"/>
      <c r="Y155" s="145"/>
      <c r="Z155" s="145"/>
      <c r="AA155" s="145"/>
      <c r="AB155" s="145"/>
      <c r="AC155" s="145"/>
      <c r="AD155" s="145"/>
      <c r="AE155" s="145"/>
      <c r="AF155" s="145"/>
      <c r="AG155" s="145"/>
      <c r="AH155" s="145"/>
      <c r="AI155" s="145"/>
      <c r="AJ155" s="145"/>
    </row>
    <row r="156" ht="15.75" customHeight="1">
      <c r="A156" s="66"/>
      <c r="B156" s="66"/>
      <c r="C156" s="67"/>
      <c r="D156" s="66"/>
      <c r="E156" s="66"/>
      <c r="F156" s="67"/>
      <c r="G156" s="66"/>
      <c r="H156" s="66"/>
      <c r="I156" s="66"/>
      <c r="J156" s="66"/>
      <c r="K156" s="66"/>
      <c r="L156" s="66"/>
      <c r="M156" s="66"/>
      <c r="N156" s="66"/>
      <c r="O156" s="66"/>
      <c r="P156" s="66"/>
      <c r="Q156" s="66"/>
      <c r="R156" s="66"/>
      <c r="S156" s="68"/>
      <c r="T156" s="66"/>
      <c r="U156" s="69"/>
      <c r="V156" s="145"/>
      <c r="W156" s="145"/>
      <c r="X156" s="145"/>
      <c r="Y156" s="145"/>
      <c r="Z156" s="145"/>
      <c r="AA156" s="145"/>
      <c r="AB156" s="145"/>
      <c r="AC156" s="145"/>
      <c r="AD156" s="145"/>
      <c r="AE156" s="145"/>
      <c r="AF156" s="145"/>
      <c r="AG156" s="145"/>
      <c r="AH156" s="145"/>
      <c r="AI156" s="145"/>
      <c r="AJ156" s="145"/>
    </row>
    <row r="157" ht="15.75" customHeight="1">
      <c r="A157" s="66"/>
      <c r="B157" s="66"/>
      <c r="C157" s="67"/>
      <c r="D157" s="66"/>
      <c r="E157" s="66"/>
      <c r="F157" s="67"/>
      <c r="G157" s="66"/>
      <c r="H157" s="66"/>
      <c r="I157" s="66"/>
      <c r="J157" s="66"/>
      <c r="K157" s="66"/>
      <c r="L157" s="66"/>
      <c r="M157" s="66"/>
      <c r="N157" s="66"/>
      <c r="O157" s="66"/>
      <c r="P157" s="66"/>
      <c r="Q157" s="66"/>
      <c r="R157" s="66"/>
      <c r="S157" s="68"/>
      <c r="T157" s="66"/>
      <c r="U157" s="69"/>
      <c r="V157" s="145"/>
      <c r="W157" s="145"/>
      <c r="X157" s="145"/>
      <c r="Y157" s="145"/>
      <c r="Z157" s="145"/>
      <c r="AA157" s="145"/>
      <c r="AB157" s="145"/>
      <c r="AC157" s="145"/>
      <c r="AD157" s="145"/>
      <c r="AE157" s="145"/>
      <c r="AF157" s="145"/>
      <c r="AG157" s="145"/>
      <c r="AH157" s="145"/>
      <c r="AI157" s="145"/>
      <c r="AJ157" s="145"/>
    </row>
    <row r="158" ht="15.75" customHeight="1">
      <c r="A158" s="66"/>
      <c r="B158" s="66"/>
      <c r="C158" s="67"/>
      <c r="D158" s="66"/>
      <c r="E158" s="66"/>
      <c r="F158" s="67"/>
      <c r="G158" s="66"/>
      <c r="H158" s="66"/>
      <c r="I158" s="66"/>
      <c r="J158" s="66"/>
      <c r="K158" s="66"/>
      <c r="L158" s="66"/>
      <c r="M158" s="66"/>
      <c r="N158" s="66"/>
      <c r="O158" s="66"/>
      <c r="P158" s="66"/>
      <c r="Q158" s="66"/>
      <c r="R158" s="66"/>
      <c r="S158" s="68"/>
      <c r="T158" s="66"/>
      <c r="U158" s="69"/>
      <c r="V158" s="145"/>
      <c r="W158" s="145"/>
      <c r="X158" s="145"/>
      <c r="Y158" s="145"/>
      <c r="Z158" s="145"/>
      <c r="AA158" s="145"/>
      <c r="AB158" s="145"/>
      <c r="AC158" s="145"/>
      <c r="AD158" s="145"/>
      <c r="AE158" s="145"/>
      <c r="AF158" s="145"/>
      <c r="AG158" s="145"/>
      <c r="AH158" s="145"/>
      <c r="AI158" s="145"/>
      <c r="AJ158" s="145"/>
    </row>
    <row r="159" ht="15.75" customHeight="1">
      <c r="A159" s="66"/>
      <c r="B159" s="66"/>
      <c r="C159" s="67"/>
      <c r="D159" s="66"/>
      <c r="E159" s="66"/>
      <c r="F159" s="67"/>
      <c r="G159" s="66"/>
      <c r="H159" s="66"/>
      <c r="I159" s="66"/>
      <c r="J159" s="66"/>
      <c r="K159" s="66"/>
      <c r="L159" s="66"/>
      <c r="M159" s="66"/>
      <c r="N159" s="66"/>
      <c r="O159" s="66"/>
      <c r="P159" s="66"/>
      <c r="Q159" s="66"/>
      <c r="R159" s="66"/>
      <c r="S159" s="68"/>
      <c r="T159" s="66"/>
      <c r="U159" s="69"/>
      <c r="V159" s="145"/>
      <c r="W159" s="145"/>
      <c r="X159" s="145"/>
      <c r="Y159" s="145"/>
      <c r="Z159" s="145"/>
      <c r="AA159" s="145"/>
      <c r="AB159" s="145"/>
      <c r="AC159" s="145"/>
      <c r="AD159" s="145"/>
      <c r="AE159" s="145"/>
      <c r="AF159" s="145"/>
      <c r="AG159" s="145"/>
      <c r="AH159" s="145"/>
      <c r="AI159" s="145"/>
      <c r="AJ159" s="145"/>
    </row>
    <row r="160" ht="15.75" customHeight="1">
      <c r="A160" s="66"/>
      <c r="B160" s="66"/>
      <c r="C160" s="67"/>
      <c r="D160" s="66"/>
      <c r="E160" s="66"/>
      <c r="F160" s="67"/>
      <c r="G160" s="66"/>
      <c r="H160" s="66"/>
      <c r="I160" s="66"/>
      <c r="J160" s="66"/>
      <c r="K160" s="66"/>
      <c r="L160" s="66"/>
      <c r="M160" s="66"/>
      <c r="N160" s="66"/>
      <c r="O160" s="66"/>
      <c r="P160" s="66"/>
      <c r="Q160" s="66"/>
      <c r="R160" s="66"/>
      <c r="S160" s="68"/>
      <c r="T160" s="66"/>
      <c r="U160" s="69"/>
      <c r="V160" s="145"/>
      <c r="W160" s="145"/>
      <c r="X160" s="145"/>
      <c r="Y160" s="145"/>
      <c r="Z160" s="145"/>
      <c r="AA160" s="145"/>
      <c r="AB160" s="145"/>
      <c r="AC160" s="145"/>
      <c r="AD160" s="145"/>
      <c r="AE160" s="145"/>
      <c r="AF160" s="145"/>
      <c r="AG160" s="145"/>
      <c r="AH160" s="145"/>
      <c r="AI160" s="145"/>
      <c r="AJ160" s="145"/>
    </row>
    <row r="161" ht="15.75" customHeight="1">
      <c r="A161" s="66"/>
      <c r="B161" s="66"/>
      <c r="C161" s="67"/>
      <c r="D161" s="66"/>
      <c r="E161" s="66"/>
      <c r="F161" s="67"/>
      <c r="G161" s="66"/>
      <c r="H161" s="66"/>
      <c r="I161" s="66"/>
      <c r="J161" s="66"/>
      <c r="K161" s="66"/>
      <c r="L161" s="66"/>
      <c r="M161" s="66"/>
      <c r="N161" s="66"/>
      <c r="O161" s="66"/>
      <c r="P161" s="66"/>
      <c r="Q161" s="66"/>
      <c r="R161" s="66"/>
      <c r="S161" s="68"/>
      <c r="T161" s="66"/>
      <c r="U161" s="69"/>
      <c r="V161" s="145"/>
      <c r="W161" s="145"/>
      <c r="X161" s="145"/>
      <c r="Y161" s="145"/>
      <c r="Z161" s="145"/>
      <c r="AA161" s="145"/>
      <c r="AB161" s="145"/>
      <c r="AC161" s="145"/>
      <c r="AD161" s="145"/>
      <c r="AE161" s="145"/>
      <c r="AF161" s="145"/>
      <c r="AG161" s="145"/>
      <c r="AH161" s="145"/>
      <c r="AI161" s="145"/>
      <c r="AJ161" s="145"/>
    </row>
    <row r="162" ht="15.75" customHeight="1">
      <c r="A162" s="66"/>
      <c r="B162" s="66"/>
      <c r="C162" s="67"/>
      <c r="D162" s="66"/>
      <c r="E162" s="66"/>
      <c r="F162" s="67"/>
      <c r="G162" s="66"/>
      <c r="H162" s="66"/>
      <c r="I162" s="66"/>
      <c r="J162" s="66"/>
      <c r="K162" s="66"/>
      <c r="L162" s="66"/>
      <c r="M162" s="66"/>
      <c r="N162" s="66"/>
      <c r="O162" s="66"/>
      <c r="P162" s="66"/>
      <c r="Q162" s="66"/>
      <c r="R162" s="66"/>
      <c r="S162" s="68"/>
      <c r="T162" s="66"/>
      <c r="U162" s="69"/>
      <c r="V162" s="145"/>
      <c r="W162" s="145"/>
      <c r="X162" s="145"/>
      <c r="Y162" s="145"/>
      <c r="Z162" s="145"/>
      <c r="AA162" s="145"/>
      <c r="AB162" s="145"/>
      <c r="AC162" s="145"/>
      <c r="AD162" s="145"/>
      <c r="AE162" s="145"/>
      <c r="AF162" s="145"/>
      <c r="AG162" s="145"/>
      <c r="AH162" s="145"/>
      <c r="AI162" s="145"/>
      <c r="AJ162" s="145"/>
    </row>
    <row r="163" ht="15.75" customHeight="1">
      <c r="A163" s="66"/>
      <c r="B163" s="66"/>
      <c r="C163" s="67"/>
      <c r="D163" s="66"/>
      <c r="E163" s="66"/>
      <c r="F163" s="67"/>
      <c r="G163" s="66"/>
      <c r="H163" s="66"/>
      <c r="I163" s="66"/>
      <c r="J163" s="66"/>
      <c r="K163" s="66"/>
      <c r="L163" s="66"/>
      <c r="M163" s="66"/>
      <c r="N163" s="66"/>
      <c r="O163" s="66"/>
      <c r="P163" s="66"/>
      <c r="Q163" s="66"/>
      <c r="R163" s="66"/>
      <c r="S163" s="68"/>
      <c r="T163" s="66"/>
      <c r="U163" s="69"/>
      <c r="V163" s="145"/>
      <c r="W163" s="145"/>
      <c r="X163" s="145"/>
      <c r="Y163" s="145"/>
      <c r="Z163" s="145"/>
      <c r="AA163" s="145"/>
      <c r="AB163" s="145"/>
      <c r="AC163" s="145"/>
      <c r="AD163" s="145"/>
      <c r="AE163" s="145"/>
      <c r="AF163" s="145"/>
      <c r="AG163" s="145"/>
      <c r="AH163" s="145"/>
      <c r="AI163" s="145"/>
      <c r="AJ163" s="145"/>
    </row>
    <row r="164" ht="15.75" customHeight="1">
      <c r="A164" s="66"/>
      <c r="B164" s="66"/>
      <c r="C164" s="67"/>
      <c r="D164" s="66"/>
      <c r="E164" s="66"/>
      <c r="F164" s="67"/>
      <c r="G164" s="66"/>
      <c r="H164" s="66"/>
      <c r="I164" s="66"/>
      <c r="J164" s="66"/>
      <c r="K164" s="66"/>
      <c r="L164" s="66"/>
      <c r="M164" s="66"/>
      <c r="N164" s="66"/>
      <c r="O164" s="66"/>
      <c r="P164" s="66"/>
      <c r="Q164" s="66"/>
      <c r="R164" s="66"/>
      <c r="S164" s="68"/>
      <c r="T164" s="66"/>
      <c r="U164" s="69"/>
      <c r="V164" s="145"/>
      <c r="W164" s="145"/>
      <c r="X164" s="145"/>
      <c r="Y164" s="145"/>
      <c r="Z164" s="145"/>
      <c r="AA164" s="145"/>
      <c r="AB164" s="145"/>
      <c r="AC164" s="145"/>
      <c r="AD164" s="145"/>
      <c r="AE164" s="145"/>
      <c r="AF164" s="145"/>
      <c r="AG164" s="145"/>
      <c r="AH164" s="145"/>
      <c r="AI164" s="145"/>
      <c r="AJ164" s="145"/>
    </row>
    <row r="165" ht="15.75" customHeight="1">
      <c r="A165" s="66"/>
      <c r="B165" s="66"/>
      <c r="C165" s="67"/>
      <c r="D165" s="66"/>
      <c r="E165" s="66"/>
      <c r="F165" s="67"/>
      <c r="G165" s="66"/>
      <c r="H165" s="66"/>
      <c r="I165" s="66"/>
      <c r="J165" s="66"/>
      <c r="K165" s="66"/>
      <c r="L165" s="66"/>
      <c r="M165" s="66"/>
      <c r="N165" s="66"/>
      <c r="O165" s="66"/>
      <c r="P165" s="66"/>
      <c r="Q165" s="66"/>
      <c r="R165" s="66"/>
      <c r="S165" s="68"/>
      <c r="T165" s="66"/>
      <c r="U165" s="69"/>
      <c r="V165" s="145"/>
      <c r="W165" s="145"/>
      <c r="X165" s="145"/>
      <c r="Y165" s="145"/>
      <c r="Z165" s="145"/>
      <c r="AA165" s="145"/>
      <c r="AB165" s="145"/>
      <c r="AC165" s="145"/>
      <c r="AD165" s="145"/>
      <c r="AE165" s="145"/>
      <c r="AF165" s="145"/>
      <c r="AG165" s="145"/>
      <c r="AH165" s="145"/>
      <c r="AI165" s="145"/>
      <c r="AJ165" s="145"/>
    </row>
    <row r="166" ht="15.75" customHeight="1">
      <c r="A166" s="66"/>
      <c r="B166" s="66"/>
      <c r="C166" s="67"/>
      <c r="D166" s="66"/>
      <c r="E166" s="66"/>
      <c r="F166" s="67"/>
      <c r="G166" s="66"/>
      <c r="H166" s="66"/>
      <c r="I166" s="66"/>
      <c r="J166" s="66"/>
      <c r="K166" s="66"/>
      <c r="L166" s="66"/>
      <c r="M166" s="66"/>
      <c r="N166" s="66"/>
      <c r="O166" s="66"/>
      <c r="P166" s="66"/>
      <c r="Q166" s="66"/>
      <c r="R166" s="66"/>
      <c r="S166" s="68"/>
      <c r="T166" s="66"/>
      <c r="U166" s="69"/>
      <c r="V166" s="145"/>
      <c r="W166" s="145"/>
      <c r="X166" s="145"/>
      <c r="Y166" s="145"/>
      <c r="Z166" s="145"/>
      <c r="AA166" s="145"/>
      <c r="AB166" s="145"/>
      <c r="AC166" s="145"/>
      <c r="AD166" s="145"/>
      <c r="AE166" s="145"/>
      <c r="AF166" s="145"/>
      <c r="AG166" s="145"/>
      <c r="AH166" s="145"/>
      <c r="AI166" s="145"/>
      <c r="AJ166" s="145"/>
    </row>
    <row r="167" ht="15.75" customHeight="1">
      <c r="A167" s="66"/>
      <c r="B167" s="66"/>
      <c r="C167" s="67"/>
      <c r="D167" s="66"/>
      <c r="E167" s="66"/>
      <c r="F167" s="67"/>
      <c r="G167" s="66"/>
      <c r="H167" s="66"/>
      <c r="I167" s="66"/>
      <c r="J167" s="66"/>
      <c r="K167" s="66"/>
      <c r="L167" s="66"/>
      <c r="M167" s="66"/>
      <c r="N167" s="66"/>
      <c r="O167" s="66"/>
      <c r="P167" s="66"/>
      <c r="Q167" s="66"/>
      <c r="R167" s="66"/>
      <c r="S167" s="68"/>
      <c r="T167" s="66"/>
      <c r="U167" s="69"/>
      <c r="V167" s="145"/>
      <c r="W167" s="145"/>
      <c r="X167" s="145"/>
      <c r="Y167" s="145"/>
      <c r="Z167" s="145"/>
      <c r="AA167" s="145"/>
      <c r="AB167" s="145"/>
      <c r="AC167" s="145"/>
      <c r="AD167" s="145"/>
      <c r="AE167" s="145"/>
      <c r="AF167" s="145"/>
      <c r="AG167" s="145"/>
      <c r="AH167" s="145"/>
      <c r="AI167" s="145"/>
      <c r="AJ167" s="145"/>
    </row>
    <row r="168" ht="15.75" customHeight="1">
      <c r="A168" s="66"/>
      <c r="B168" s="66"/>
      <c r="C168" s="67"/>
      <c r="D168" s="66"/>
      <c r="E168" s="66"/>
      <c r="F168" s="67"/>
      <c r="G168" s="66"/>
      <c r="H168" s="66"/>
      <c r="I168" s="66"/>
      <c r="J168" s="66"/>
      <c r="K168" s="66"/>
      <c r="L168" s="66"/>
      <c r="M168" s="66"/>
      <c r="N168" s="66"/>
      <c r="O168" s="66"/>
      <c r="P168" s="66"/>
      <c r="Q168" s="66"/>
      <c r="R168" s="66"/>
      <c r="S168" s="68"/>
      <c r="T168" s="66"/>
      <c r="U168" s="69"/>
      <c r="V168" s="145"/>
      <c r="W168" s="145"/>
      <c r="X168" s="145"/>
      <c r="Y168" s="145"/>
      <c r="Z168" s="145"/>
      <c r="AA168" s="145"/>
      <c r="AB168" s="145"/>
      <c r="AC168" s="145"/>
      <c r="AD168" s="145"/>
      <c r="AE168" s="145"/>
      <c r="AF168" s="145"/>
      <c r="AG168" s="145"/>
      <c r="AH168" s="145"/>
      <c r="AI168" s="145"/>
      <c r="AJ168" s="145"/>
    </row>
    <row r="169" ht="15.75" customHeight="1">
      <c r="A169" s="66"/>
      <c r="B169" s="66"/>
      <c r="C169" s="67"/>
      <c r="D169" s="66"/>
      <c r="E169" s="66"/>
      <c r="F169" s="67"/>
      <c r="G169" s="66"/>
      <c r="H169" s="66"/>
      <c r="I169" s="66"/>
      <c r="J169" s="66"/>
      <c r="K169" s="66"/>
      <c r="L169" s="66"/>
      <c r="M169" s="66"/>
      <c r="N169" s="66"/>
      <c r="O169" s="66"/>
      <c r="P169" s="66"/>
      <c r="Q169" s="66"/>
      <c r="R169" s="66"/>
      <c r="S169" s="68"/>
      <c r="T169" s="66"/>
      <c r="U169" s="69"/>
      <c r="V169" s="145"/>
      <c r="W169" s="145"/>
      <c r="X169" s="145"/>
      <c r="Y169" s="145"/>
      <c r="Z169" s="145"/>
      <c r="AA169" s="145"/>
      <c r="AB169" s="145"/>
      <c r="AC169" s="145"/>
      <c r="AD169" s="145"/>
      <c r="AE169" s="145"/>
      <c r="AF169" s="145"/>
      <c r="AG169" s="145"/>
      <c r="AH169" s="145"/>
      <c r="AI169" s="145"/>
      <c r="AJ169" s="145"/>
    </row>
    <row r="170" ht="15.75" customHeight="1">
      <c r="A170" s="66"/>
      <c r="B170" s="66"/>
      <c r="C170" s="67"/>
      <c r="D170" s="66"/>
      <c r="E170" s="66"/>
      <c r="F170" s="67"/>
      <c r="G170" s="66"/>
      <c r="H170" s="66"/>
      <c r="I170" s="66"/>
      <c r="J170" s="66"/>
      <c r="K170" s="66"/>
      <c r="L170" s="66"/>
      <c r="M170" s="66"/>
      <c r="N170" s="66"/>
      <c r="O170" s="66"/>
      <c r="P170" s="66"/>
      <c r="Q170" s="66"/>
      <c r="R170" s="66"/>
      <c r="S170" s="68"/>
      <c r="T170" s="66"/>
      <c r="U170" s="69"/>
      <c r="V170" s="145"/>
      <c r="W170" s="145"/>
      <c r="X170" s="145"/>
      <c r="Y170" s="145"/>
      <c r="Z170" s="145"/>
      <c r="AA170" s="145"/>
      <c r="AB170" s="145"/>
      <c r="AC170" s="145"/>
      <c r="AD170" s="145"/>
      <c r="AE170" s="145"/>
      <c r="AF170" s="145"/>
      <c r="AG170" s="145"/>
      <c r="AH170" s="145"/>
      <c r="AI170" s="145"/>
      <c r="AJ170" s="145"/>
    </row>
    <row r="171" ht="15.75" customHeight="1">
      <c r="A171" s="66"/>
      <c r="B171" s="66"/>
      <c r="C171" s="67"/>
      <c r="D171" s="66"/>
      <c r="E171" s="66"/>
      <c r="F171" s="67"/>
      <c r="G171" s="66"/>
      <c r="H171" s="66"/>
      <c r="I171" s="66"/>
      <c r="J171" s="66"/>
      <c r="K171" s="66"/>
      <c r="L171" s="66"/>
      <c r="M171" s="66"/>
      <c r="N171" s="66"/>
      <c r="O171" s="66"/>
      <c r="P171" s="66"/>
      <c r="Q171" s="66"/>
      <c r="R171" s="66"/>
      <c r="S171" s="68"/>
      <c r="T171" s="66"/>
      <c r="U171" s="69"/>
      <c r="V171" s="145"/>
      <c r="W171" s="145"/>
      <c r="X171" s="145"/>
      <c r="Y171" s="145"/>
      <c r="Z171" s="145"/>
      <c r="AA171" s="145"/>
      <c r="AB171" s="145"/>
      <c r="AC171" s="145"/>
      <c r="AD171" s="145"/>
      <c r="AE171" s="145"/>
      <c r="AF171" s="145"/>
      <c r="AG171" s="145"/>
      <c r="AH171" s="145"/>
      <c r="AI171" s="145"/>
      <c r="AJ171" s="145"/>
    </row>
    <row r="172" ht="15.75" customHeight="1">
      <c r="A172" s="66"/>
      <c r="B172" s="66"/>
      <c r="C172" s="67"/>
      <c r="D172" s="66"/>
      <c r="E172" s="66"/>
      <c r="F172" s="67"/>
      <c r="G172" s="66"/>
      <c r="H172" s="66"/>
      <c r="I172" s="66"/>
      <c r="J172" s="66"/>
      <c r="K172" s="66"/>
      <c r="L172" s="66"/>
      <c r="M172" s="66"/>
      <c r="N172" s="66"/>
      <c r="O172" s="66"/>
      <c r="P172" s="66"/>
      <c r="Q172" s="66"/>
      <c r="R172" s="66"/>
      <c r="S172" s="68"/>
      <c r="T172" s="66"/>
      <c r="U172" s="69"/>
      <c r="V172" s="145"/>
      <c r="W172" s="145"/>
      <c r="X172" s="145"/>
      <c r="Y172" s="145"/>
      <c r="Z172" s="145"/>
      <c r="AA172" s="145"/>
      <c r="AB172" s="145"/>
      <c r="AC172" s="145"/>
      <c r="AD172" s="145"/>
      <c r="AE172" s="145"/>
      <c r="AF172" s="145"/>
      <c r="AG172" s="145"/>
      <c r="AH172" s="145"/>
      <c r="AI172" s="145"/>
      <c r="AJ172" s="145"/>
    </row>
    <row r="173" ht="15.75" customHeight="1">
      <c r="A173" s="66"/>
      <c r="B173" s="66"/>
      <c r="C173" s="67"/>
      <c r="D173" s="66"/>
      <c r="E173" s="66"/>
      <c r="F173" s="67"/>
      <c r="G173" s="66"/>
      <c r="H173" s="66"/>
      <c r="I173" s="66"/>
      <c r="J173" s="66"/>
      <c r="K173" s="66"/>
      <c r="L173" s="66"/>
      <c r="M173" s="66"/>
      <c r="N173" s="66"/>
      <c r="O173" s="66"/>
      <c r="P173" s="66"/>
      <c r="Q173" s="66"/>
      <c r="R173" s="66"/>
      <c r="S173" s="68"/>
      <c r="T173" s="66"/>
      <c r="U173" s="69"/>
      <c r="V173" s="145"/>
      <c r="W173" s="145"/>
      <c r="X173" s="145"/>
      <c r="Y173" s="145"/>
      <c r="Z173" s="145"/>
      <c r="AA173" s="145"/>
      <c r="AB173" s="145"/>
      <c r="AC173" s="145"/>
      <c r="AD173" s="145"/>
      <c r="AE173" s="145"/>
      <c r="AF173" s="145"/>
      <c r="AG173" s="145"/>
      <c r="AH173" s="145"/>
      <c r="AI173" s="145"/>
      <c r="AJ173" s="145"/>
    </row>
    <row r="174" ht="15.75" customHeight="1">
      <c r="A174" s="66"/>
      <c r="B174" s="66"/>
      <c r="C174" s="67"/>
      <c r="D174" s="66"/>
      <c r="E174" s="66"/>
      <c r="F174" s="67"/>
      <c r="G174" s="66"/>
      <c r="H174" s="66"/>
      <c r="I174" s="66"/>
      <c r="J174" s="66"/>
      <c r="K174" s="66"/>
      <c r="L174" s="66"/>
      <c r="M174" s="66"/>
      <c r="N174" s="66"/>
      <c r="O174" s="66"/>
      <c r="P174" s="66"/>
      <c r="Q174" s="66"/>
      <c r="R174" s="66"/>
      <c r="S174" s="68"/>
      <c r="T174" s="66"/>
      <c r="U174" s="69"/>
      <c r="V174" s="145"/>
      <c r="W174" s="145"/>
      <c r="X174" s="145"/>
      <c r="Y174" s="145"/>
      <c r="Z174" s="145"/>
      <c r="AA174" s="145"/>
      <c r="AB174" s="145"/>
      <c r="AC174" s="145"/>
      <c r="AD174" s="145"/>
      <c r="AE174" s="145"/>
      <c r="AF174" s="145"/>
      <c r="AG174" s="145"/>
      <c r="AH174" s="145"/>
      <c r="AI174" s="145"/>
      <c r="AJ174" s="145"/>
    </row>
    <row r="175" ht="15.75" customHeight="1">
      <c r="A175" s="66"/>
      <c r="B175" s="66"/>
      <c r="C175" s="67"/>
      <c r="D175" s="66"/>
      <c r="E175" s="66"/>
      <c r="F175" s="67"/>
      <c r="G175" s="66"/>
      <c r="H175" s="66"/>
      <c r="I175" s="66"/>
      <c r="J175" s="66"/>
      <c r="K175" s="66"/>
      <c r="L175" s="66"/>
      <c r="M175" s="66"/>
      <c r="N175" s="66"/>
      <c r="O175" s="66"/>
      <c r="P175" s="66"/>
      <c r="Q175" s="66"/>
      <c r="R175" s="66"/>
      <c r="S175" s="68"/>
      <c r="T175" s="66"/>
      <c r="U175" s="69"/>
      <c r="V175" s="145"/>
      <c r="W175" s="145"/>
      <c r="X175" s="145"/>
      <c r="Y175" s="145"/>
      <c r="Z175" s="145"/>
      <c r="AA175" s="145"/>
      <c r="AB175" s="145"/>
      <c r="AC175" s="145"/>
      <c r="AD175" s="145"/>
      <c r="AE175" s="145"/>
      <c r="AF175" s="145"/>
      <c r="AG175" s="145"/>
      <c r="AH175" s="145"/>
      <c r="AI175" s="145"/>
      <c r="AJ175" s="145"/>
    </row>
    <row r="176" ht="15.75" customHeight="1">
      <c r="A176" s="66"/>
      <c r="B176" s="66"/>
      <c r="C176" s="67"/>
      <c r="D176" s="66"/>
      <c r="E176" s="66"/>
      <c r="F176" s="67"/>
      <c r="G176" s="66"/>
      <c r="H176" s="66"/>
      <c r="I176" s="66"/>
      <c r="J176" s="66"/>
      <c r="K176" s="66"/>
      <c r="L176" s="66"/>
      <c r="M176" s="66"/>
      <c r="N176" s="66"/>
      <c r="O176" s="66"/>
      <c r="P176" s="66"/>
      <c r="Q176" s="66"/>
      <c r="R176" s="66"/>
      <c r="S176" s="68"/>
      <c r="T176" s="66"/>
      <c r="U176" s="69"/>
      <c r="V176" s="145"/>
      <c r="W176" s="145"/>
      <c r="X176" s="145"/>
      <c r="Y176" s="145"/>
      <c r="Z176" s="145"/>
      <c r="AA176" s="145"/>
      <c r="AB176" s="145"/>
      <c r="AC176" s="145"/>
      <c r="AD176" s="145"/>
      <c r="AE176" s="145"/>
      <c r="AF176" s="145"/>
      <c r="AG176" s="145"/>
      <c r="AH176" s="145"/>
      <c r="AI176" s="145"/>
      <c r="AJ176" s="145"/>
    </row>
    <row r="177" ht="15.75" customHeight="1">
      <c r="A177" s="66"/>
      <c r="B177" s="66"/>
      <c r="C177" s="67"/>
      <c r="D177" s="66"/>
      <c r="E177" s="66"/>
      <c r="F177" s="67"/>
      <c r="G177" s="66"/>
      <c r="H177" s="66"/>
      <c r="I177" s="66"/>
      <c r="J177" s="66"/>
      <c r="K177" s="66"/>
      <c r="L177" s="66"/>
      <c r="M177" s="66"/>
      <c r="N177" s="66"/>
      <c r="O177" s="66"/>
      <c r="P177" s="66"/>
      <c r="Q177" s="66"/>
      <c r="R177" s="66"/>
      <c r="S177" s="68"/>
      <c r="T177" s="66"/>
      <c r="U177" s="69"/>
      <c r="V177" s="145"/>
      <c r="W177" s="145"/>
      <c r="X177" s="145"/>
      <c r="Y177" s="145"/>
      <c r="Z177" s="145"/>
      <c r="AA177" s="145"/>
      <c r="AB177" s="145"/>
      <c r="AC177" s="145"/>
      <c r="AD177" s="145"/>
      <c r="AE177" s="145"/>
      <c r="AF177" s="145"/>
      <c r="AG177" s="145"/>
      <c r="AH177" s="145"/>
      <c r="AI177" s="145"/>
      <c r="AJ177" s="145"/>
    </row>
    <row r="178" ht="15.75" customHeight="1">
      <c r="A178" s="66"/>
      <c r="B178" s="66"/>
      <c r="C178" s="67"/>
      <c r="D178" s="66"/>
      <c r="E178" s="66"/>
      <c r="F178" s="67"/>
      <c r="G178" s="66"/>
      <c r="H178" s="66"/>
      <c r="I178" s="66"/>
      <c r="J178" s="66"/>
      <c r="K178" s="66"/>
      <c r="L178" s="66"/>
      <c r="M178" s="66"/>
      <c r="N178" s="66"/>
      <c r="O178" s="66"/>
      <c r="P178" s="66"/>
      <c r="Q178" s="66"/>
      <c r="R178" s="66"/>
      <c r="S178" s="68"/>
      <c r="T178" s="66"/>
      <c r="U178" s="69"/>
      <c r="V178" s="145"/>
      <c r="W178" s="145"/>
      <c r="X178" s="145"/>
      <c r="Y178" s="145"/>
      <c r="Z178" s="145"/>
      <c r="AA178" s="145"/>
      <c r="AB178" s="145"/>
      <c r="AC178" s="145"/>
      <c r="AD178" s="145"/>
      <c r="AE178" s="145"/>
      <c r="AF178" s="145"/>
      <c r="AG178" s="145"/>
      <c r="AH178" s="145"/>
      <c r="AI178" s="145"/>
      <c r="AJ178" s="145"/>
    </row>
    <row r="179" ht="15.75" customHeight="1">
      <c r="A179" s="66"/>
      <c r="B179" s="66"/>
      <c r="C179" s="67"/>
      <c r="D179" s="66"/>
      <c r="E179" s="66"/>
      <c r="F179" s="67"/>
      <c r="G179" s="66"/>
      <c r="H179" s="66"/>
      <c r="I179" s="66"/>
      <c r="J179" s="66"/>
      <c r="K179" s="66"/>
      <c r="L179" s="66"/>
      <c r="M179" s="66"/>
      <c r="N179" s="66"/>
      <c r="O179" s="66"/>
      <c r="P179" s="66"/>
      <c r="Q179" s="66"/>
      <c r="R179" s="66"/>
      <c r="S179" s="68"/>
      <c r="T179" s="66"/>
      <c r="U179" s="69"/>
      <c r="V179" s="145"/>
      <c r="W179" s="145"/>
      <c r="X179" s="145"/>
      <c r="Y179" s="145"/>
      <c r="Z179" s="145"/>
      <c r="AA179" s="145"/>
      <c r="AB179" s="145"/>
      <c r="AC179" s="145"/>
      <c r="AD179" s="145"/>
      <c r="AE179" s="145"/>
      <c r="AF179" s="145"/>
      <c r="AG179" s="145"/>
      <c r="AH179" s="145"/>
      <c r="AI179" s="145"/>
      <c r="AJ179" s="145"/>
    </row>
    <row r="180" ht="15.75" customHeight="1">
      <c r="A180" s="66"/>
      <c r="B180" s="66"/>
      <c r="C180" s="67"/>
      <c r="D180" s="66"/>
      <c r="E180" s="66"/>
      <c r="F180" s="67"/>
      <c r="G180" s="66"/>
      <c r="H180" s="66"/>
      <c r="I180" s="66"/>
      <c r="J180" s="66"/>
      <c r="K180" s="66"/>
      <c r="L180" s="66"/>
      <c r="M180" s="66"/>
      <c r="N180" s="66"/>
      <c r="O180" s="66"/>
      <c r="P180" s="66"/>
      <c r="Q180" s="66"/>
      <c r="R180" s="66"/>
      <c r="S180" s="68"/>
      <c r="T180" s="66"/>
      <c r="U180" s="69"/>
      <c r="V180" s="145"/>
      <c r="W180" s="145"/>
      <c r="X180" s="145"/>
      <c r="Y180" s="145"/>
      <c r="Z180" s="145"/>
      <c r="AA180" s="145"/>
      <c r="AB180" s="145"/>
      <c r="AC180" s="145"/>
      <c r="AD180" s="145"/>
      <c r="AE180" s="145"/>
      <c r="AF180" s="145"/>
      <c r="AG180" s="145"/>
      <c r="AH180" s="145"/>
      <c r="AI180" s="145"/>
      <c r="AJ180" s="145"/>
    </row>
    <row r="181" ht="15.75" customHeight="1">
      <c r="A181" s="66"/>
      <c r="B181" s="66"/>
      <c r="C181" s="67"/>
      <c r="D181" s="66"/>
      <c r="E181" s="66"/>
      <c r="F181" s="67"/>
      <c r="G181" s="66"/>
      <c r="H181" s="66"/>
      <c r="I181" s="66"/>
      <c r="J181" s="66"/>
      <c r="K181" s="66"/>
      <c r="L181" s="66"/>
      <c r="M181" s="66"/>
      <c r="N181" s="66"/>
      <c r="O181" s="66"/>
      <c r="P181" s="66"/>
      <c r="Q181" s="66"/>
      <c r="R181" s="66"/>
      <c r="S181" s="68"/>
      <c r="T181" s="66"/>
      <c r="U181" s="69"/>
      <c r="V181" s="145"/>
      <c r="W181" s="145"/>
      <c r="X181" s="145"/>
      <c r="Y181" s="145"/>
      <c r="Z181" s="145"/>
      <c r="AA181" s="145"/>
      <c r="AB181" s="145"/>
      <c r="AC181" s="145"/>
      <c r="AD181" s="145"/>
      <c r="AE181" s="145"/>
      <c r="AF181" s="145"/>
      <c r="AG181" s="145"/>
      <c r="AH181" s="145"/>
      <c r="AI181" s="145"/>
      <c r="AJ181" s="145"/>
    </row>
    <row r="182" ht="15.75" customHeight="1">
      <c r="A182" s="66"/>
      <c r="B182" s="66"/>
      <c r="C182" s="67"/>
      <c r="D182" s="66"/>
      <c r="E182" s="66"/>
      <c r="F182" s="67"/>
      <c r="G182" s="66"/>
      <c r="H182" s="66"/>
      <c r="I182" s="66"/>
      <c r="J182" s="66"/>
      <c r="K182" s="66"/>
      <c r="L182" s="66"/>
      <c r="M182" s="66"/>
      <c r="N182" s="66"/>
      <c r="O182" s="66"/>
      <c r="P182" s="66"/>
      <c r="Q182" s="66"/>
      <c r="R182" s="66"/>
      <c r="S182" s="68"/>
      <c r="T182" s="66"/>
      <c r="U182" s="69"/>
      <c r="V182" s="145"/>
      <c r="W182" s="145"/>
      <c r="X182" s="145"/>
      <c r="Y182" s="145"/>
      <c r="Z182" s="145"/>
      <c r="AA182" s="145"/>
      <c r="AB182" s="145"/>
      <c r="AC182" s="145"/>
      <c r="AD182" s="145"/>
      <c r="AE182" s="145"/>
      <c r="AF182" s="145"/>
      <c r="AG182" s="145"/>
      <c r="AH182" s="145"/>
      <c r="AI182" s="145"/>
      <c r="AJ182" s="145"/>
    </row>
    <row r="183" ht="15.75" customHeight="1">
      <c r="A183" s="66"/>
      <c r="B183" s="66"/>
      <c r="C183" s="67"/>
      <c r="D183" s="66"/>
      <c r="E183" s="66"/>
      <c r="F183" s="67"/>
      <c r="G183" s="66"/>
      <c r="H183" s="66"/>
      <c r="I183" s="66"/>
      <c r="J183" s="66"/>
      <c r="K183" s="66"/>
      <c r="L183" s="66"/>
      <c r="M183" s="66"/>
      <c r="N183" s="66"/>
      <c r="O183" s="66"/>
      <c r="P183" s="66"/>
      <c r="Q183" s="66"/>
      <c r="R183" s="66"/>
      <c r="S183" s="68"/>
      <c r="T183" s="66"/>
      <c r="U183" s="69"/>
      <c r="V183" s="145"/>
      <c r="W183" s="145"/>
      <c r="X183" s="145"/>
      <c r="Y183" s="145"/>
      <c r="Z183" s="145"/>
      <c r="AA183" s="145"/>
      <c r="AB183" s="145"/>
      <c r="AC183" s="145"/>
      <c r="AD183" s="145"/>
      <c r="AE183" s="145"/>
      <c r="AF183" s="145"/>
      <c r="AG183" s="145"/>
      <c r="AH183" s="145"/>
      <c r="AI183" s="145"/>
      <c r="AJ183" s="145"/>
    </row>
    <row r="184" ht="15.75" customHeight="1">
      <c r="A184" s="66"/>
      <c r="B184" s="66"/>
      <c r="C184" s="67"/>
      <c r="D184" s="66"/>
      <c r="E184" s="66"/>
      <c r="F184" s="67"/>
      <c r="G184" s="66"/>
      <c r="H184" s="66"/>
      <c r="I184" s="66"/>
      <c r="J184" s="66"/>
      <c r="K184" s="66"/>
      <c r="L184" s="66"/>
      <c r="M184" s="66"/>
      <c r="N184" s="66"/>
      <c r="O184" s="66"/>
      <c r="P184" s="66"/>
      <c r="Q184" s="66"/>
      <c r="R184" s="66"/>
      <c r="S184" s="68"/>
      <c r="T184" s="66"/>
      <c r="U184" s="69"/>
      <c r="V184" s="145"/>
      <c r="W184" s="145"/>
      <c r="X184" s="145"/>
      <c r="Y184" s="145"/>
      <c r="Z184" s="145"/>
      <c r="AA184" s="145"/>
      <c r="AB184" s="145"/>
      <c r="AC184" s="145"/>
      <c r="AD184" s="145"/>
      <c r="AE184" s="145"/>
      <c r="AF184" s="145"/>
      <c r="AG184" s="145"/>
      <c r="AH184" s="145"/>
      <c r="AI184" s="145"/>
      <c r="AJ184" s="145"/>
    </row>
    <row r="185" ht="15.75" customHeight="1">
      <c r="A185" s="66"/>
      <c r="B185" s="66"/>
      <c r="C185" s="67"/>
      <c r="D185" s="66"/>
      <c r="E185" s="66"/>
      <c r="F185" s="67"/>
      <c r="G185" s="66"/>
      <c r="H185" s="66"/>
      <c r="I185" s="66"/>
      <c r="J185" s="66"/>
      <c r="K185" s="66"/>
      <c r="L185" s="66"/>
      <c r="M185" s="66"/>
      <c r="N185" s="66"/>
      <c r="O185" s="66"/>
      <c r="P185" s="66"/>
      <c r="Q185" s="66"/>
      <c r="R185" s="66"/>
      <c r="S185" s="68"/>
      <c r="T185" s="66"/>
      <c r="U185" s="69"/>
      <c r="V185" s="145"/>
      <c r="W185" s="145"/>
      <c r="X185" s="145"/>
      <c r="Y185" s="145"/>
      <c r="Z185" s="145"/>
      <c r="AA185" s="145"/>
      <c r="AB185" s="145"/>
      <c r="AC185" s="145"/>
      <c r="AD185" s="145"/>
      <c r="AE185" s="145"/>
      <c r="AF185" s="145"/>
      <c r="AG185" s="145"/>
      <c r="AH185" s="145"/>
      <c r="AI185" s="145"/>
      <c r="AJ185" s="145"/>
    </row>
    <row r="186" ht="15.75" customHeight="1">
      <c r="A186" s="66"/>
      <c r="B186" s="66"/>
      <c r="C186" s="67"/>
      <c r="D186" s="66"/>
      <c r="E186" s="66"/>
      <c r="F186" s="67"/>
      <c r="G186" s="66"/>
      <c r="H186" s="66"/>
      <c r="I186" s="66"/>
      <c r="J186" s="66"/>
      <c r="K186" s="66"/>
      <c r="L186" s="66"/>
      <c r="M186" s="66"/>
      <c r="N186" s="66"/>
      <c r="O186" s="66"/>
      <c r="P186" s="66"/>
      <c r="Q186" s="66"/>
      <c r="R186" s="66"/>
      <c r="S186" s="68"/>
      <c r="T186" s="66"/>
      <c r="U186" s="69"/>
      <c r="V186" s="145"/>
      <c r="W186" s="145"/>
      <c r="X186" s="145"/>
      <c r="Y186" s="145"/>
      <c r="Z186" s="145"/>
      <c r="AA186" s="145"/>
      <c r="AB186" s="145"/>
      <c r="AC186" s="145"/>
      <c r="AD186" s="145"/>
      <c r="AE186" s="145"/>
      <c r="AF186" s="145"/>
      <c r="AG186" s="145"/>
      <c r="AH186" s="145"/>
      <c r="AI186" s="145"/>
      <c r="AJ186" s="145"/>
    </row>
    <row r="187" ht="15.75" customHeight="1">
      <c r="A187" s="66"/>
      <c r="B187" s="66"/>
      <c r="C187" s="67"/>
      <c r="D187" s="66"/>
      <c r="E187" s="66"/>
      <c r="F187" s="67"/>
      <c r="G187" s="66"/>
      <c r="H187" s="66"/>
      <c r="I187" s="66"/>
      <c r="J187" s="66"/>
      <c r="K187" s="66"/>
      <c r="L187" s="66"/>
      <c r="M187" s="66"/>
      <c r="N187" s="66"/>
      <c r="O187" s="66"/>
      <c r="P187" s="66"/>
      <c r="Q187" s="66"/>
      <c r="R187" s="66"/>
      <c r="S187" s="68"/>
      <c r="T187" s="66"/>
      <c r="U187" s="69"/>
      <c r="V187" s="145"/>
      <c r="W187" s="145"/>
      <c r="X187" s="145"/>
      <c r="Y187" s="145"/>
      <c r="Z187" s="145"/>
      <c r="AA187" s="145"/>
      <c r="AB187" s="145"/>
      <c r="AC187" s="145"/>
      <c r="AD187" s="145"/>
      <c r="AE187" s="145"/>
      <c r="AF187" s="145"/>
      <c r="AG187" s="145"/>
      <c r="AH187" s="145"/>
      <c r="AI187" s="145"/>
      <c r="AJ187" s="145"/>
    </row>
    <row r="188" ht="15.75" customHeight="1">
      <c r="A188" s="66"/>
      <c r="B188" s="66"/>
      <c r="C188" s="67"/>
      <c r="D188" s="66"/>
      <c r="E188" s="66"/>
      <c r="F188" s="67"/>
      <c r="G188" s="66"/>
      <c r="H188" s="66"/>
      <c r="I188" s="66"/>
      <c r="J188" s="66"/>
      <c r="K188" s="66"/>
      <c r="L188" s="66"/>
      <c r="M188" s="66"/>
      <c r="N188" s="66"/>
      <c r="O188" s="66"/>
      <c r="P188" s="66"/>
      <c r="Q188" s="66"/>
      <c r="R188" s="66"/>
      <c r="S188" s="68"/>
      <c r="T188" s="66"/>
      <c r="U188" s="69"/>
      <c r="V188" s="145"/>
      <c r="W188" s="145"/>
      <c r="X188" s="145"/>
      <c r="Y188" s="145"/>
      <c r="Z188" s="145"/>
      <c r="AA188" s="145"/>
      <c r="AB188" s="145"/>
      <c r="AC188" s="145"/>
      <c r="AD188" s="145"/>
      <c r="AE188" s="145"/>
      <c r="AF188" s="145"/>
      <c r="AG188" s="145"/>
      <c r="AH188" s="145"/>
      <c r="AI188" s="145"/>
      <c r="AJ188" s="145"/>
    </row>
    <row r="189" ht="15.75" customHeight="1">
      <c r="A189" s="66"/>
      <c r="B189" s="66"/>
      <c r="C189" s="67"/>
      <c r="D189" s="66"/>
      <c r="E189" s="66"/>
      <c r="F189" s="67"/>
      <c r="G189" s="66"/>
      <c r="H189" s="66"/>
      <c r="I189" s="66"/>
      <c r="J189" s="66"/>
      <c r="K189" s="66"/>
      <c r="L189" s="66"/>
      <c r="M189" s="66"/>
      <c r="N189" s="66"/>
      <c r="O189" s="66"/>
      <c r="P189" s="66"/>
      <c r="Q189" s="66"/>
      <c r="R189" s="66"/>
      <c r="S189" s="68"/>
      <c r="T189" s="66"/>
      <c r="U189" s="69"/>
      <c r="V189" s="145"/>
      <c r="W189" s="145"/>
      <c r="X189" s="145"/>
      <c r="Y189" s="145"/>
      <c r="Z189" s="145"/>
      <c r="AA189" s="145"/>
      <c r="AB189" s="145"/>
      <c r="AC189" s="145"/>
      <c r="AD189" s="145"/>
      <c r="AE189" s="145"/>
      <c r="AF189" s="145"/>
      <c r="AG189" s="145"/>
      <c r="AH189" s="145"/>
      <c r="AI189" s="145"/>
      <c r="AJ189" s="145"/>
    </row>
    <row r="190" ht="15.75" customHeight="1">
      <c r="A190" s="66"/>
      <c r="B190" s="66"/>
      <c r="C190" s="67"/>
      <c r="D190" s="66"/>
      <c r="E190" s="66"/>
      <c r="F190" s="67"/>
      <c r="G190" s="66"/>
      <c r="H190" s="66"/>
      <c r="I190" s="66"/>
      <c r="J190" s="66"/>
      <c r="K190" s="66"/>
      <c r="L190" s="66"/>
      <c r="M190" s="66"/>
      <c r="N190" s="66"/>
      <c r="O190" s="66"/>
      <c r="P190" s="66"/>
      <c r="Q190" s="66"/>
      <c r="R190" s="66"/>
      <c r="S190" s="68"/>
      <c r="T190" s="66"/>
      <c r="U190" s="69"/>
      <c r="V190" s="145"/>
      <c r="W190" s="145"/>
      <c r="X190" s="145"/>
      <c r="Y190" s="145"/>
      <c r="Z190" s="145"/>
      <c r="AA190" s="145"/>
      <c r="AB190" s="145"/>
      <c r="AC190" s="145"/>
      <c r="AD190" s="145"/>
      <c r="AE190" s="145"/>
      <c r="AF190" s="145"/>
      <c r="AG190" s="145"/>
      <c r="AH190" s="145"/>
      <c r="AI190" s="145"/>
      <c r="AJ190" s="145"/>
    </row>
    <row r="191" ht="15.75" customHeight="1">
      <c r="A191" s="66"/>
      <c r="B191" s="66"/>
      <c r="C191" s="67"/>
      <c r="D191" s="66"/>
      <c r="E191" s="66"/>
      <c r="F191" s="67"/>
      <c r="G191" s="66"/>
      <c r="H191" s="66"/>
      <c r="I191" s="66"/>
      <c r="J191" s="66"/>
      <c r="K191" s="66"/>
      <c r="L191" s="66"/>
      <c r="M191" s="66"/>
      <c r="N191" s="66"/>
      <c r="O191" s="66"/>
      <c r="P191" s="66"/>
      <c r="Q191" s="66"/>
      <c r="R191" s="66"/>
      <c r="S191" s="68"/>
      <c r="T191" s="66"/>
      <c r="U191" s="69"/>
      <c r="V191" s="145"/>
      <c r="W191" s="145"/>
      <c r="X191" s="145"/>
      <c r="Y191" s="145"/>
      <c r="Z191" s="145"/>
      <c r="AA191" s="145"/>
      <c r="AB191" s="145"/>
      <c r="AC191" s="145"/>
      <c r="AD191" s="145"/>
      <c r="AE191" s="145"/>
      <c r="AF191" s="145"/>
      <c r="AG191" s="145"/>
      <c r="AH191" s="145"/>
      <c r="AI191" s="145"/>
      <c r="AJ191" s="145"/>
    </row>
    <row r="192" ht="15.75" customHeight="1">
      <c r="A192" s="66"/>
      <c r="B192" s="66"/>
      <c r="C192" s="67"/>
      <c r="D192" s="66"/>
      <c r="E192" s="66"/>
      <c r="F192" s="67"/>
      <c r="G192" s="66"/>
      <c r="H192" s="66"/>
      <c r="I192" s="66"/>
      <c r="J192" s="66"/>
      <c r="K192" s="66"/>
      <c r="L192" s="66"/>
      <c r="M192" s="66"/>
      <c r="N192" s="66"/>
      <c r="O192" s="66"/>
      <c r="P192" s="66"/>
      <c r="Q192" s="66"/>
      <c r="R192" s="66"/>
      <c r="S192" s="68"/>
      <c r="T192" s="66"/>
      <c r="U192" s="69"/>
      <c r="V192" s="145"/>
      <c r="W192" s="145"/>
      <c r="X192" s="145"/>
      <c r="Y192" s="145"/>
      <c r="Z192" s="145"/>
      <c r="AA192" s="145"/>
      <c r="AB192" s="145"/>
      <c r="AC192" s="145"/>
      <c r="AD192" s="145"/>
      <c r="AE192" s="145"/>
      <c r="AF192" s="145"/>
      <c r="AG192" s="145"/>
      <c r="AH192" s="145"/>
      <c r="AI192" s="145"/>
      <c r="AJ192" s="145"/>
    </row>
    <row r="193" ht="15.75" customHeight="1">
      <c r="A193" s="66"/>
      <c r="B193" s="66"/>
      <c r="C193" s="67"/>
      <c r="D193" s="66"/>
      <c r="E193" s="66"/>
      <c r="F193" s="67"/>
      <c r="G193" s="66"/>
      <c r="H193" s="66"/>
      <c r="I193" s="66"/>
      <c r="J193" s="66"/>
      <c r="K193" s="66"/>
      <c r="L193" s="66"/>
      <c r="M193" s="66"/>
      <c r="N193" s="66"/>
      <c r="O193" s="66"/>
      <c r="P193" s="66"/>
      <c r="Q193" s="66"/>
      <c r="R193" s="66"/>
      <c r="S193" s="68"/>
      <c r="T193" s="66"/>
      <c r="U193" s="69"/>
      <c r="V193" s="145"/>
      <c r="W193" s="145"/>
      <c r="X193" s="145"/>
      <c r="Y193" s="145"/>
      <c r="Z193" s="145"/>
      <c r="AA193" s="145"/>
      <c r="AB193" s="145"/>
      <c r="AC193" s="145"/>
      <c r="AD193" s="145"/>
      <c r="AE193" s="145"/>
      <c r="AF193" s="145"/>
      <c r="AG193" s="145"/>
      <c r="AH193" s="145"/>
      <c r="AI193" s="145"/>
      <c r="AJ193" s="145"/>
    </row>
    <row r="194" ht="15.75" customHeight="1">
      <c r="A194" s="66"/>
      <c r="B194" s="66"/>
      <c r="C194" s="67"/>
      <c r="D194" s="66"/>
      <c r="E194" s="66"/>
      <c r="F194" s="67"/>
      <c r="G194" s="66"/>
      <c r="H194" s="66"/>
      <c r="I194" s="66"/>
      <c r="J194" s="66"/>
      <c r="K194" s="66"/>
      <c r="L194" s="66"/>
      <c r="M194" s="66"/>
      <c r="N194" s="66"/>
      <c r="O194" s="66"/>
      <c r="P194" s="66"/>
      <c r="Q194" s="66"/>
      <c r="R194" s="66"/>
      <c r="S194" s="68"/>
      <c r="T194" s="66"/>
      <c r="U194" s="69"/>
      <c r="V194" s="145"/>
      <c r="W194" s="145"/>
      <c r="X194" s="145"/>
      <c r="Y194" s="145"/>
      <c r="Z194" s="145"/>
      <c r="AA194" s="145"/>
      <c r="AB194" s="145"/>
      <c r="AC194" s="145"/>
      <c r="AD194" s="145"/>
      <c r="AE194" s="145"/>
      <c r="AF194" s="145"/>
      <c r="AG194" s="145"/>
      <c r="AH194" s="145"/>
      <c r="AI194" s="145"/>
      <c r="AJ194" s="145"/>
    </row>
    <row r="195" ht="15.75" customHeight="1">
      <c r="A195" s="66"/>
      <c r="B195" s="66"/>
      <c r="C195" s="67"/>
      <c r="D195" s="66"/>
      <c r="E195" s="66"/>
      <c r="F195" s="67"/>
      <c r="G195" s="66"/>
      <c r="H195" s="66"/>
      <c r="I195" s="66"/>
      <c r="J195" s="66"/>
      <c r="K195" s="66"/>
      <c r="L195" s="66"/>
      <c r="M195" s="66"/>
      <c r="N195" s="66"/>
      <c r="O195" s="66"/>
      <c r="P195" s="66"/>
      <c r="Q195" s="66"/>
      <c r="R195" s="66"/>
      <c r="S195" s="68"/>
      <c r="T195" s="66"/>
      <c r="U195" s="69"/>
      <c r="V195" s="145"/>
      <c r="W195" s="145"/>
      <c r="X195" s="145"/>
      <c r="Y195" s="145"/>
      <c r="Z195" s="145"/>
      <c r="AA195" s="145"/>
      <c r="AB195" s="145"/>
      <c r="AC195" s="145"/>
      <c r="AD195" s="145"/>
      <c r="AE195" s="145"/>
      <c r="AF195" s="145"/>
      <c r="AG195" s="145"/>
      <c r="AH195" s="145"/>
      <c r="AI195" s="145"/>
      <c r="AJ195" s="145"/>
    </row>
    <row r="196" ht="15.75" customHeight="1">
      <c r="A196" s="66"/>
      <c r="B196" s="66"/>
      <c r="C196" s="67"/>
      <c r="D196" s="66"/>
      <c r="E196" s="66"/>
      <c r="F196" s="67"/>
      <c r="G196" s="66"/>
      <c r="H196" s="66"/>
      <c r="I196" s="66"/>
      <c r="J196" s="66"/>
      <c r="K196" s="66"/>
      <c r="L196" s="66"/>
      <c r="M196" s="66"/>
      <c r="N196" s="66"/>
      <c r="O196" s="66"/>
      <c r="P196" s="66"/>
      <c r="Q196" s="66"/>
      <c r="R196" s="66"/>
      <c r="S196" s="68"/>
      <c r="T196" s="66"/>
      <c r="U196" s="69"/>
      <c r="V196" s="145"/>
      <c r="W196" s="145"/>
      <c r="X196" s="145"/>
      <c r="Y196" s="145"/>
      <c r="Z196" s="145"/>
      <c r="AA196" s="145"/>
      <c r="AB196" s="145"/>
      <c r="AC196" s="145"/>
      <c r="AD196" s="145"/>
      <c r="AE196" s="145"/>
      <c r="AF196" s="145"/>
      <c r="AG196" s="145"/>
      <c r="AH196" s="145"/>
      <c r="AI196" s="145"/>
      <c r="AJ196" s="145"/>
    </row>
    <row r="197" ht="15.75" customHeight="1">
      <c r="A197" s="66"/>
      <c r="B197" s="66"/>
      <c r="C197" s="67"/>
      <c r="D197" s="66"/>
      <c r="E197" s="66"/>
      <c r="F197" s="67"/>
      <c r="G197" s="66"/>
      <c r="H197" s="66"/>
      <c r="I197" s="66"/>
      <c r="J197" s="66"/>
      <c r="K197" s="66"/>
      <c r="L197" s="66"/>
      <c r="M197" s="66"/>
      <c r="N197" s="66"/>
      <c r="O197" s="66"/>
      <c r="P197" s="66"/>
      <c r="Q197" s="66"/>
      <c r="R197" s="66"/>
      <c r="S197" s="68"/>
      <c r="T197" s="66"/>
      <c r="U197" s="69"/>
      <c r="V197" s="145"/>
      <c r="W197" s="145"/>
      <c r="X197" s="145"/>
      <c r="Y197" s="145"/>
      <c r="Z197" s="145"/>
      <c r="AA197" s="145"/>
      <c r="AB197" s="145"/>
      <c r="AC197" s="145"/>
      <c r="AD197" s="145"/>
      <c r="AE197" s="145"/>
      <c r="AF197" s="145"/>
      <c r="AG197" s="145"/>
      <c r="AH197" s="145"/>
      <c r="AI197" s="145"/>
      <c r="AJ197" s="145"/>
    </row>
    <row r="198" ht="15.75" customHeight="1">
      <c r="A198" s="66"/>
      <c r="B198" s="66"/>
      <c r="C198" s="67"/>
      <c r="D198" s="66"/>
      <c r="E198" s="66"/>
      <c r="F198" s="67"/>
      <c r="G198" s="66"/>
      <c r="H198" s="66"/>
      <c r="I198" s="66"/>
      <c r="J198" s="66"/>
      <c r="K198" s="66"/>
      <c r="L198" s="66"/>
      <c r="M198" s="66"/>
      <c r="N198" s="66"/>
      <c r="O198" s="66"/>
      <c r="P198" s="66"/>
      <c r="Q198" s="66"/>
      <c r="R198" s="66"/>
      <c r="S198" s="68"/>
      <c r="T198" s="66"/>
      <c r="U198" s="69"/>
      <c r="V198" s="145"/>
      <c r="W198" s="145"/>
      <c r="X198" s="145"/>
      <c r="Y198" s="145"/>
      <c r="Z198" s="145"/>
      <c r="AA198" s="145"/>
      <c r="AB198" s="145"/>
      <c r="AC198" s="145"/>
      <c r="AD198" s="145"/>
      <c r="AE198" s="145"/>
      <c r="AF198" s="145"/>
      <c r="AG198" s="145"/>
      <c r="AH198" s="145"/>
      <c r="AI198" s="145"/>
      <c r="AJ198" s="145"/>
    </row>
    <row r="199" ht="15.75" customHeight="1">
      <c r="A199" s="66"/>
      <c r="B199" s="66"/>
      <c r="C199" s="67"/>
      <c r="D199" s="66"/>
      <c r="E199" s="66"/>
      <c r="F199" s="67"/>
      <c r="G199" s="66"/>
      <c r="H199" s="66"/>
      <c r="I199" s="66"/>
      <c r="J199" s="66"/>
      <c r="K199" s="66"/>
      <c r="L199" s="66"/>
      <c r="M199" s="66"/>
      <c r="N199" s="66"/>
      <c r="O199" s="66"/>
      <c r="P199" s="66"/>
      <c r="Q199" s="66"/>
      <c r="R199" s="66"/>
      <c r="S199" s="68"/>
      <c r="T199" s="66"/>
      <c r="U199" s="69"/>
      <c r="V199" s="145"/>
      <c r="W199" s="145"/>
      <c r="X199" s="145"/>
      <c r="Y199" s="145"/>
      <c r="Z199" s="145"/>
      <c r="AA199" s="145"/>
      <c r="AB199" s="145"/>
      <c r="AC199" s="145"/>
      <c r="AD199" s="145"/>
      <c r="AE199" s="145"/>
      <c r="AF199" s="145"/>
      <c r="AG199" s="145"/>
      <c r="AH199" s="145"/>
      <c r="AI199" s="145"/>
      <c r="AJ199" s="145"/>
    </row>
    <row r="200" ht="15.75" customHeight="1">
      <c r="A200" s="66"/>
      <c r="B200" s="66"/>
      <c r="C200" s="67"/>
      <c r="D200" s="66"/>
      <c r="E200" s="66"/>
      <c r="F200" s="67"/>
      <c r="G200" s="66"/>
      <c r="H200" s="66"/>
      <c r="I200" s="66"/>
      <c r="J200" s="66"/>
      <c r="K200" s="66"/>
      <c r="L200" s="66"/>
      <c r="M200" s="66"/>
      <c r="N200" s="66"/>
      <c r="O200" s="66"/>
      <c r="P200" s="66"/>
      <c r="Q200" s="66"/>
      <c r="R200" s="66"/>
      <c r="S200" s="68"/>
      <c r="T200" s="66"/>
      <c r="U200" s="69"/>
      <c r="V200" s="145"/>
      <c r="W200" s="145"/>
      <c r="X200" s="145"/>
      <c r="Y200" s="145"/>
      <c r="Z200" s="145"/>
      <c r="AA200" s="145"/>
      <c r="AB200" s="145"/>
      <c r="AC200" s="145"/>
      <c r="AD200" s="145"/>
      <c r="AE200" s="145"/>
      <c r="AF200" s="145"/>
      <c r="AG200" s="145"/>
      <c r="AH200" s="145"/>
      <c r="AI200" s="145"/>
      <c r="AJ200" s="145"/>
    </row>
    <row r="201" ht="15.75" customHeight="1">
      <c r="A201" s="66"/>
      <c r="B201" s="66"/>
      <c r="C201" s="67"/>
      <c r="D201" s="66"/>
      <c r="E201" s="66"/>
      <c r="F201" s="67"/>
      <c r="G201" s="66"/>
      <c r="H201" s="66"/>
      <c r="I201" s="66"/>
      <c r="J201" s="66"/>
      <c r="K201" s="66"/>
      <c r="L201" s="66"/>
      <c r="M201" s="66"/>
      <c r="N201" s="66"/>
      <c r="O201" s="66"/>
      <c r="P201" s="66"/>
      <c r="Q201" s="66"/>
      <c r="R201" s="66"/>
      <c r="S201" s="68"/>
      <c r="T201" s="66"/>
      <c r="U201" s="69"/>
      <c r="V201" s="145"/>
      <c r="W201" s="145"/>
      <c r="X201" s="145"/>
      <c r="Y201" s="145"/>
      <c r="Z201" s="145"/>
      <c r="AA201" s="145"/>
      <c r="AB201" s="145"/>
      <c r="AC201" s="145"/>
      <c r="AD201" s="145"/>
      <c r="AE201" s="145"/>
      <c r="AF201" s="145"/>
      <c r="AG201" s="145"/>
      <c r="AH201" s="145"/>
      <c r="AI201" s="145"/>
      <c r="AJ201" s="145"/>
    </row>
    <row r="202" ht="15.75" customHeight="1">
      <c r="A202" s="66"/>
      <c r="B202" s="66"/>
      <c r="C202" s="67"/>
      <c r="D202" s="66"/>
      <c r="E202" s="66"/>
      <c r="F202" s="67"/>
      <c r="G202" s="66"/>
      <c r="H202" s="66"/>
      <c r="I202" s="66"/>
      <c r="J202" s="66"/>
      <c r="K202" s="66"/>
      <c r="L202" s="66"/>
      <c r="M202" s="66"/>
      <c r="N202" s="66"/>
      <c r="O202" s="66"/>
      <c r="P202" s="66"/>
      <c r="Q202" s="66"/>
      <c r="R202" s="66"/>
      <c r="S202" s="68"/>
      <c r="T202" s="66"/>
      <c r="U202" s="69"/>
      <c r="V202" s="145"/>
      <c r="W202" s="145"/>
      <c r="X202" s="145"/>
      <c r="Y202" s="145"/>
      <c r="Z202" s="145"/>
      <c r="AA202" s="145"/>
      <c r="AB202" s="145"/>
      <c r="AC202" s="145"/>
      <c r="AD202" s="145"/>
      <c r="AE202" s="145"/>
      <c r="AF202" s="145"/>
      <c r="AG202" s="145"/>
      <c r="AH202" s="145"/>
      <c r="AI202" s="145"/>
      <c r="AJ202" s="145"/>
    </row>
    <row r="203" ht="15.75" customHeight="1">
      <c r="A203" s="66"/>
      <c r="B203" s="66"/>
      <c r="C203" s="67"/>
      <c r="D203" s="66"/>
      <c r="E203" s="66"/>
      <c r="F203" s="67"/>
      <c r="G203" s="66"/>
      <c r="H203" s="66"/>
      <c r="I203" s="66"/>
      <c r="J203" s="66"/>
      <c r="K203" s="66"/>
      <c r="L203" s="66"/>
      <c r="M203" s="66"/>
      <c r="N203" s="66"/>
      <c r="O203" s="66"/>
      <c r="P203" s="66"/>
      <c r="Q203" s="66"/>
      <c r="R203" s="66"/>
      <c r="S203" s="68"/>
      <c r="T203" s="66"/>
      <c r="U203" s="69"/>
      <c r="V203" s="145"/>
      <c r="W203" s="145"/>
      <c r="X203" s="145"/>
      <c r="Y203" s="145"/>
      <c r="Z203" s="145"/>
      <c r="AA203" s="145"/>
      <c r="AB203" s="145"/>
      <c r="AC203" s="145"/>
      <c r="AD203" s="145"/>
      <c r="AE203" s="145"/>
      <c r="AF203" s="145"/>
      <c r="AG203" s="145"/>
      <c r="AH203" s="145"/>
      <c r="AI203" s="145"/>
      <c r="AJ203" s="145"/>
    </row>
    <row r="204" ht="15.75" customHeight="1">
      <c r="A204" s="66"/>
      <c r="B204" s="66"/>
      <c r="C204" s="67"/>
      <c r="D204" s="66"/>
      <c r="E204" s="66"/>
      <c r="F204" s="67"/>
      <c r="G204" s="66"/>
      <c r="H204" s="66"/>
      <c r="I204" s="66"/>
      <c r="J204" s="66"/>
      <c r="K204" s="66"/>
      <c r="L204" s="66"/>
      <c r="M204" s="66"/>
      <c r="N204" s="66"/>
      <c r="O204" s="66"/>
      <c r="P204" s="66"/>
      <c r="Q204" s="66"/>
      <c r="R204" s="66"/>
      <c r="S204" s="68"/>
      <c r="T204" s="66"/>
      <c r="U204" s="69"/>
      <c r="V204" s="145"/>
      <c r="W204" s="145"/>
      <c r="X204" s="145"/>
      <c r="Y204" s="145"/>
      <c r="Z204" s="145"/>
      <c r="AA204" s="145"/>
      <c r="AB204" s="145"/>
      <c r="AC204" s="145"/>
      <c r="AD204" s="145"/>
      <c r="AE204" s="145"/>
      <c r="AF204" s="145"/>
      <c r="AG204" s="145"/>
      <c r="AH204" s="145"/>
      <c r="AI204" s="145"/>
      <c r="AJ204" s="145"/>
    </row>
    <row r="205" ht="15.75" customHeight="1">
      <c r="A205" s="66"/>
      <c r="B205" s="66"/>
      <c r="C205" s="67"/>
      <c r="D205" s="66"/>
      <c r="E205" s="66"/>
      <c r="F205" s="67"/>
      <c r="G205" s="66"/>
      <c r="H205" s="66"/>
      <c r="I205" s="66"/>
      <c r="J205" s="66"/>
      <c r="K205" s="66"/>
      <c r="L205" s="66"/>
      <c r="M205" s="66"/>
      <c r="N205" s="66"/>
      <c r="O205" s="66"/>
      <c r="P205" s="66"/>
      <c r="Q205" s="66"/>
      <c r="R205" s="66"/>
      <c r="S205" s="68"/>
      <c r="T205" s="66"/>
      <c r="U205" s="69"/>
      <c r="V205" s="145"/>
      <c r="W205" s="145"/>
      <c r="X205" s="145"/>
      <c r="Y205" s="145"/>
      <c r="Z205" s="145"/>
      <c r="AA205" s="145"/>
      <c r="AB205" s="145"/>
      <c r="AC205" s="145"/>
      <c r="AD205" s="145"/>
      <c r="AE205" s="145"/>
      <c r="AF205" s="145"/>
      <c r="AG205" s="145"/>
      <c r="AH205" s="145"/>
      <c r="AI205" s="145"/>
      <c r="AJ205" s="145"/>
    </row>
    <row r="206" ht="15.75" customHeight="1">
      <c r="A206" s="66"/>
      <c r="B206" s="66"/>
      <c r="C206" s="67"/>
      <c r="D206" s="66"/>
      <c r="E206" s="66"/>
      <c r="F206" s="67"/>
      <c r="G206" s="66"/>
      <c r="H206" s="66"/>
      <c r="I206" s="66"/>
      <c r="J206" s="66"/>
      <c r="K206" s="66"/>
      <c r="L206" s="66"/>
      <c r="M206" s="66"/>
      <c r="N206" s="66"/>
      <c r="O206" s="66"/>
      <c r="P206" s="66"/>
      <c r="Q206" s="66"/>
      <c r="R206" s="66"/>
      <c r="S206" s="68"/>
      <c r="T206" s="66"/>
      <c r="U206" s="69"/>
      <c r="V206" s="145"/>
      <c r="W206" s="145"/>
      <c r="X206" s="145"/>
      <c r="Y206" s="145"/>
      <c r="Z206" s="145"/>
      <c r="AA206" s="145"/>
      <c r="AB206" s="145"/>
      <c r="AC206" s="145"/>
      <c r="AD206" s="145"/>
      <c r="AE206" s="145"/>
      <c r="AF206" s="145"/>
      <c r="AG206" s="145"/>
      <c r="AH206" s="145"/>
      <c r="AI206" s="145"/>
      <c r="AJ206" s="145"/>
    </row>
    <row r="207" ht="15.75" customHeight="1">
      <c r="A207" s="66"/>
      <c r="B207" s="66"/>
      <c r="C207" s="67"/>
      <c r="D207" s="66"/>
      <c r="E207" s="66"/>
      <c r="F207" s="67"/>
      <c r="G207" s="66"/>
      <c r="H207" s="66"/>
      <c r="I207" s="66"/>
      <c r="J207" s="66"/>
      <c r="K207" s="66"/>
      <c r="L207" s="66"/>
      <c r="M207" s="66"/>
      <c r="N207" s="66"/>
      <c r="O207" s="66"/>
      <c r="P207" s="66"/>
      <c r="Q207" s="66"/>
      <c r="R207" s="66"/>
      <c r="S207" s="68"/>
      <c r="T207" s="66"/>
      <c r="U207" s="69"/>
      <c r="V207" s="145"/>
      <c r="W207" s="145"/>
      <c r="X207" s="145"/>
      <c r="Y207" s="145"/>
      <c r="Z207" s="145"/>
      <c r="AA207" s="145"/>
      <c r="AB207" s="145"/>
      <c r="AC207" s="145"/>
      <c r="AD207" s="145"/>
      <c r="AE207" s="145"/>
      <c r="AF207" s="145"/>
      <c r="AG207" s="145"/>
      <c r="AH207" s="145"/>
      <c r="AI207" s="145"/>
      <c r="AJ207" s="145"/>
    </row>
    <row r="208" ht="15.75" customHeight="1">
      <c r="A208" s="66"/>
      <c r="B208" s="66"/>
      <c r="C208" s="67"/>
      <c r="D208" s="66"/>
      <c r="E208" s="66"/>
      <c r="F208" s="67"/>
      <c r="G208" s="66"/>
      <c r="H208" s="66"/>
      <c r="I208" s="66"/>
      <c r="J208" s="66"/>
      <c r="K208" s="66"/>
      <c r="L208" s="66"/>
      <c r="M208" s="66"/>
      <c r="N208" s="66"/>
      <c r="O208" s="66"/>
      <c r="P208" s="66"/>
      <c r="Q208" s="66"/>
      <c r="R208" s="66"/>
      <c r="S208" s="68"/>
      <c r="T208" s="66"/>
      <c r="U208" s="69"/>
      <c r="V208" s="145"/>
      <c r="W208" s="145"/>
      <c r="X208" s="145"/>
      <c r="Y208" s="145"/>
      <c r="Z208" s="145"/>
      <c r="AA208" s="145"/>
      <c r="AB208" s="145"/>
      <c r="AC208" s="145"/>
      <c r="AD208" s="145"/>
      <c r="AE208" s="145"/>
      <c r="AF208" s="145"/>
      <c r="AG208" s="145"/>
      <c r="AH208" s="145"/>
      <c r="AI208" s="145"/>
      <c r="AJ208" s="145"/>
    </row>
    <row r="209" ht="15.75" customHeight="1">
      <c r="A209" s="66"/>
      <c r="B209" s="66"/>
      <c r="C209" s="67"/>
      <c r="D209" s="66"/>
      <c r="E209" s="66"/>
      <c r="F209" s="67"/>
      <c r="G209" s="66"/>
      <c r="H209" s="66"/>
      <c r="I209" s="66"/>
      <c r="J209" s="66"/>
      <c r="K209" s="66"/>
      <c r="L209" s="66"/>
      <c r="M209" s="66"/>
      <c r="N209" s="66"/>
      <c r="O209" s="66"/>
      <c r="P209" s="66"/>
      <c r="Q209" s="66"/>
      <c r="R209" s="66"/>
      <c r="S209" s="68"/>
      <c r="T209" s="66"/>
      <c r="U209" s="69"/>
      <c r="V209" s="145"/>
      <c r="W209" s="145"/>
      <c r="X209" s="145"/>
      <c r="Y209" s="145"/>
      <c r="Z209" s="145"/>
      <c r="AA209" s="145"/>
      <c r="AB209" s="145"/>
      <c r="AC209" s="145"/>
      <c r="AD209" s="145"/>
      <c r="AE209" s="145"/>
      <c r="AF209" s="145"/>
      <c r="AG209" s="145"/>
      <c r="AH209" s="145"/>
      <c r="AI209" s="145"/>
      <c r="AJ209" s="145"/>
    </row>
    <row r="210" ht="15.75" customHeight="1">
      <c r="A210" s="66"/>
      <c r="B210" s="66"/>
      <c r="C210" s="67"/>
      <c r="D210" s="66"/>
      <c r="E210" s="66"/>
      <c r="F210" s="67"/>
      <c r="G210" s="66"/>
      <c r="H210" s="66"/>
      <c r="I210" s="66"/>
      <c r="J210" s="66"/>
      <c r="K210" s="66"/>
      <c r="L210" s="66"/>
      <c r="M210" s="66"/>
      <c r="N210" s="66"/>
      <c r="O210" s="66"/>
      <c r="P210" s="66"/>
      <c r="Q210" s="66"/>
      <c r="R210" s="66"/>
      <c r="S210" s="68"/>
      <c r="T210" s="66"/>
      <c r="U210" s="69"/>
      <c r="V210" s="145"/>
      <c r="W210" s="145"/>
      <c r="X210" s="145"/>
      <c r="Y210" s="145"/>
      <c r="Z210" s="145"/>
      <c r="AA210" s="145"/>
      <c r="AB210" s="145"/>
      <c r="AC210" s="145"/>
      <c r="AD210" s="145"/>
      <c r="AE210" s="145"/>
      <c r="AF210" s="145"/>
      <c r="AG210" s="145"/>
      <c r="AH210" s="145"/>
      <c r="AI210" s="145"/>
      <c r="AJ210" s="145"/>
    </row>
    <row r="211" ht="15.75" customHeight="1">
      <c r="A211" s="66"/>
      <c r="B211" s="66"/>
      <c r="C211" s="67"/>
      <c r="D211" s="66"/>
      <c r="E211" s="66"/>
      <c r="F211" s="67"/>
      <c r="G211" s="66"/>
      <c r="H211" s="66"/>
      <c r="I211" s="66"/>
      <c r="J211" s="66"/>
      <c r="K211" s="66"/>
      <c r="L211" s="66"/>
      <c r="M211" s="66"/>
      <c r="N211" s="66"/>
      <c r="O211" s="66"/>
      <c r="P211" s="66"/>
      <c r="Q211" s="66"/>
      <c r="R211" s="66"/>
      <c r="S211" s="68"/>
      <c r="T211" s="66"/>
      <c r="U211" s="69"/>
      <c r="V211" s="145"/>
      <c r="W211" s="145"/>
      <c r="X211" s="145"/>
      <c r="Y211" s="145"/>
      <c r="Z211" s="145"/>
      <c r="AA211" s="145"/>
      <c r="AB211" s="145"/>
      <c r="AC211" s="145"/>
      <c r="AD211" s="145"/>
      <c r="AE211" s="145"/>
      <c r="AF211" s="145"/>
      <c r="AG211" s="145"/>
      <c r="AH211" s="145"/>
      <c r="AI211" s="145"/>
      <c r="AJ211" s="145"/>
    </row>
    <row r="212" ht="15.75" customHeight="1">
      <c r="A212" s="66"/>
      <c r="B212" s="66"/>
      <c r="C212" s="67"/>
      <c r="D212" s="66"/>
      <c r="E212" s="66"/>
      <c r="F212" s="67"/>
      <c r="G212" s="66"/>
      <c r="H212" s="66"/>
      <c r="I212" s="66"/>
      <c r="J212" s="66"/>
      <c r="K212" s="66"/>
      <c r="L212" s="66"/>
      <c r="M212" s="66"/>
      <c r="N212" s="66"/>
      <c r="O212" s="66"/>
      <c r="P212" s="66"/>
      <c r="Q212" s="66"/>
      <c r="R212" s="66"/>
      <c r="S212" s="68"/>
      <c r="T212" s="66"/>
      <c r="U212" s="69"/>
      <c r="V212" s="145"/>
      <c r="W212" s="145"/>
      <c r="X212" s="145"/>
      <c r="Y212" s="145"/>
      <c r="Z212" s="145"/>
      <c r="AA212" s="145"/>
      <c r="AB212" s="145"/>
      <c r="AC212" s="145"/>
      <c r="AD212" s="145"/>
      <c r="AE212" s="145"/>
      <c r="AF212" s="145"/>
      <c r="AG212" s="145"/>
      <c r="AH212" s="145"/>
      <c r="AI212" s="145"/>
      <c r="AJ212" s="145"/>
    </row>
    <row r="213" ht="15.75" customHeight="1">
      <c r="A213" s="66"/>
      <c r="B213" s="66"/>
      <c r="C213" s="67"/>
      <c r="D213" s="66"/>
      <c r="E213" s="66"/>
      <c r="F213" s="67"/>
      <c r="G213" s="66"/>
      <c r="H213" s="66"/>
      <c r="I213" s="66"/>
      <c r="J213" s="66"/>
      <c r="K213" s="66"/>
      <c r="L213" s="66"/>
      <c r="M213" s="66"/>
      <c r="N213" s="66"/>
      <c r="O213" s="66"/>
      <c r="P213" s="66"/>
      <c r="Q213" s="66"/>
      <c r="R213" s="66"/>
      <c r="S213" s="68"/>
      <c r="T213" s="66"/>
      <c r="U213" s="69"/>
      <c r="V213" s="145"/>
      <c r="W213" s="145"/>
      <c r="X213" s="145"/>
      <c r="Y213" s="145"/>
      <c r="Z213" s="145"/>
      <c r="AA213" s="145"/>
      <c r="AB213" s="145"/>
      <c r="AC213" s="145"/>
      <c r="AD213" s="145"/>
      <c r="AE213" s="145"/>
      <c r="AF213" s="145"/>
      <c r="AG213" s="145"/>
      <c r="AH213" s="145"/>
      <c r="AI213" s="145"/>
      <c r="AJ213" s="145"/>
    </row>
    <row r="214" ht="15.75" customHeight="1">
      <c r="A214" s="66"/>
      <c r="B214" s="66"/>
      <c r="C214" s="67"/>
      <c r="D214" s="66"/>
      <c r="E214" s="66"/>
      <c r="F214" s="67"/>
      <c r="G214" s="66"/>
      <c r="H214" s="66"/>
      <c r="I214" s="66"/>
      <c r="J214" s="66"/>
      <c r="K214" s="66"/>
      <c r="L214" s="66"/>
      <c r="M214" s="66"/>
      <c r="N214" s="66"/>
      <c r="O214" s="66"/>
      <c r="P214" s="66"/>
      <c r="Q214" s="66"/>
      <c r="R214" s="66"/>
      <c r="S214" s="68"/>
      <c r="T214" s="66"/>
      <c r="U214" s="69"/>
      <c r="V214" s="145"/>
      <c r="W214" s="145"/>
      <c r="X214" s="145"/>
      <c r="Y214" s="145"/>
      <c r="Z214" s="145"/>
      <c r="AA214" s="145"/>
      <c r="AB214" s="145"/>
      <c r="AC214" s="145"/>
      <c r="AD214" s="145"/>
      <c r="AE214" s="145"/>
      <c r="AF214" s="145"/>
      <c r="AG214" s="145"/>
      <c r="AH214" s="145"/>
      <c r="AI214" s="145"/>
      <c r="AJ214" s="145"/>
    </row>
    <row r="215" ht="15.75" customHeight="1">
      <c r="A215" s="66"/>
      <c r="B215" s="66"/>
      <c r="C215" s="67"/>
      <c r="D215" s="66"/>
      <c r="E215" s="66"/>
      <c r="F215" s="67"/>
      <c r="G215" s="66"/>
      <c r="H215" s="66"/>
      <c r="I215" s="66"/>
      <c r="J215" s="66"/>
      <c r="K215" s="66"/>
      <c r="L215" s="66"/>
      <c r="M215" s="66"/>
      <c r="N215" s="66"/>
      <c r="O215" s="66"/>
      <c r="P215" s="66"/>
      <c r="Q215" s="66"/>
      <c r="R215" s="66"/>
      <c r="S215" s="68"/>
      <c r="T215" s="66"/>
      <c r="U215" s="69"/>
      <c r="V215" s="145"/>
      <c r="W215" s="145"/>
      <c r="X215" s="145"/>
      <c r="Y215" s="145"/>
      <c r="Z215" s="145"/>
      <c r="AA215" s="145"/>
      <c r="AB215" s="145"/>
      <c r="AC215" s="145"/>
      <c r="AD215" s="145"/>
      <c r="AE215" s="145"/>
      <c r="AF215" s="145"/>
      <c r="AG215" s="145"/>
      <c r="AH215" s="145"/>
      <c r="AI215" s="145"/>
      <c r="AJ215" s="145"/>
    </row>
    <row r="216" ht="15.75" customHeight="1">
      <c r="A216" s="66"/>
      <c r="B216" s="66"/>
      <c r="C216" s="67"/>
      <c r="D216" s="66"/>
      <c r="E216" s="66"/>
      <c r="F216" s="67"/>
      <c r="G216" s="66"/>
      <c r="H216" s="66"/>
      <c r="I216" s="66"/>
      <c r="J216" s="66"/>
      <c r="K216" s="66"/>
      <c r="L216" s="66"/>
      <c r="M216" s="66"/>
      <c r="N216" s="66"/>
      <c r="O216" s="66"/>
      <c r="P216" s="66"/>
      <c r="Q216" s="66"/>
      <c r="R216" s="66"/>
      <c r="S216" s="68"/>
      <c r="T216" s="66"/>
      <c r="U216" s="69"/>
      <c r="V216" s="145"/>
      <c r="W216" s="145"/>
      <c r="X216" s="145"/>
      <c r="Y216" s="145"/>
      <c r="Z216" s="145"/>
      <c r="AA216" s="145"/>
      <c r="AB216" s="145"/>
      <c r="AC216" s="145"/>
      <c r="AD216" s="145"/>
      <c r="AE216" s="145"/>
      <c r="AF216" s="145"/>
      <c r="AG216" s="145"/>
      <c r="AH216" s="145"/>
      <c r="AI216" s="145"/>
      <c r="AJ216" s="145"/>
    </row>
    <row r="217" ht="15.75" customHeight="1">
      <c r="A217" s="66"/>
      <c r="B217" s="66"/>
      <c r="C217" s="67"/>
      <c r="D217" s="66"/>
      <c r="E217" s="66"/>
      <c r="F217" s="67"/>
      <c r="G217" s="66"/>
      <c r="H217" s="66"/>
      <c r="I217" s="66"/>
      <c r="J217" s="66"/>
      <c r="K217" s="66"/>
      <c r="L217" s="66"/>
      <c r="M217" s="66"/>
      <c r="N217" s="66"/>
      <c r="O217" s="66"/>
      <c r="P217" s="66"/>
      <c r="Q217" s="66"/>
      <c r="R217" s="66"/>
      <c r="S217" s="68"/>
      <c r="T217" s="66"/>
      <c r="U217" s="69"/>
      <c r="V217" s="145"/>
      <c r="W217" s="145"/>
      <c r="X217" s="145"/>
      <c r="Y217" s="145"/>
      <c r="Z217" s="145"/>
      <c r="AA217" s="145"/>
      <c r="AB217" s="145"/>
      <c r="AC217" s="145"/>
      <c r="AD217" s="145"/>
      <c r="AE217" s="145"/>
      <c r="AF217" s="145"/>
      <c r="AG217" s="145"/>
      <c r="AH217" s="145"/>
      <c r="AI217" s="145"/>
      <c r="AJ217" s="145"/>
    </row>
    <row r="218" ht="15.75" customHeight="1">
      <c r="A218" s="66"/>
      <c r="B218" s="66"/>
      <c r="C218" s="67"/>
      <c r="D218" s="66"/>
      <c r="E218" s="66"/>
      <c r="F218" s="67"/>
      <c r="G218" s="66"/>
      <c r="H218" s="66"/>
      <c r="I218" s="66"/>
      <c r="J218" s="66"/>
      <c r="K218" s="66"/>
      <c r="L218" s="66"/>
      <c r="M218" s="66"/>
      <c r="N218" s="66"/>
      <c r="O218" s="66"/>
      <c r="P218" s="66"/>
      <c r="Q218" s="66"/>
      <c r="R218" s="66"/>
      <c r="S218" s="68"/>
      <c r="T218" s="66"/>
      <c r="U218" s="69"/>
      <c r="V218" s="145"/>
      <c r="W218" s="145"/>
      <c r="X218" s="145"/>
      <c r="Y218" s="145"/>
      <c r="Z218" s="145"/>
      <c r="AA218" s="145"/>
      <c r="AB218" s="145"/>
      <c r="AC218" s="145"/>
      <c r="AD218" s="145"/>
      <c r="AE218" s="145"/>
      <c r="AF218" s="145"/>
      <c r="AG218" s="145"/>
      <c r="AH218" s="145"/>
      <c r="AI218" s="145"/>
      <c r="AJ218" s="145"/>
    </row>
    <row r="219" ht="15.75" customHeight="1">
      <c r="A219" s="66"/>
      <c r="B219" s="66"/>
      <c r="C219" s="67"/>
      <c r="D219" s="66"/>
      <c r="E219" s="66"/>
      <c r="F219" s="67"/>
      <c r="G219" s="66"/>
      <c r="H219" s="66"/>
      <c r="I219" s="66"/>
      <c r="J219" s="66"/>
      <c r="K219" s="66"/>
      <c r="L219" s="66"/>
      <c r="M219" s="66"/>
      <c r="N219" s="66"/>
      <c r="O219" s="66"/>
      <c r="P219" s="66"/>
      <c r="Q219" s="66"/>
      <c r="R219" s="66"/>
      <c r="S219" s="68"/>
      <c r="T219" s="66"/>
      <c r="U219" s="69"/>
      <c r="V219" s="145"/>
      <c r="W219" s="145"/>
      <c r="X219" s="145"/>
      <c r="Y219" s="145"/>
      <c r="Z219" s="145"/>
      <c r="AA219" s="145"/>
      <c r="AB219" s="145"/>
      <c r="AC219" s="145"/>
      <c r="AD219" s="145"/>
      <c r="AE219" s="145"/>
      <c r="AF219" s="145"/>
      <c r="AG219" s="145"/>
      <c r="AH219" s="145"/>
      <c r="AI219" s="145"/>
      <c r="AJ219" s="145"/>
    </row>
    <row r="220" ht="15.75" customHeight="1">
      <c r="A220" s="66"/>
      <c r="B220" s="66"/>
      <c r="C220" s="67"/>
      <c r="D220" s="66"/>
      <c r="E220" s="66"/>
      <c r="F220" s="67"/>
      <c r="G220" s="66"/>
      <c r="H220" s="66"/>
      <c r="I220" s="66"/>
      <c r="J220" s="66"/>
      <c r="K220" s="66"/>
      <c r="L220" s="66"/>
      <c r="M220" s="66"/>
      <c r="N220" s="66"/>
      <c r="O220" s="66"/>
      <c r="P220" s="66"/>
      <c r="Q220" s="66"/>
      <c r="R220" s="66"/>
      <c r="S220" s="68"/>
      <c r="T220" s="66"/>
      <c r="U220" s="69"/>
      <c r="V220" s="145"/>
      <c r="W220" s="145"/>
      <c r="X220" s="145"/>
      <c r="Y220" s="145"/>
      <c r="Z220" s="145"/>
      <c r="AA220" s="145"/>
      <c r="AB220" s="145"/>
      <c r="AC220" s="145"/>
      <c r="AD220" s="145"/>
      <c r="AE220" s="145"/>
      <c r="AF220" s="145"/>
      <c r="AG220" s="145"/>
      <c r="AH220" s="145"/>
      <c r="AI220" s="145"/>
      <c r="AJ220" s="145"/>
    </row>
    <row r="221" ht="15.75" customHeight="1">
      <c r="A221" s="66"/>
      <c r="B221" s="66"/>
      <c r="C221" s="67"/>
      <c r="D221" s="66"/>
      <c r="E221" s="66"/>
      <c r="F221" s="67"/>
      <c r="G221" s="66"/>
      <c r="H221" s="66"/>
      <c r="I221" s="66"/>
      <c r="J221" s="66"/>
      <c r="K221" s="66"/>
      <c r="L221" s="66"/>
      <c r="M221" s="66"/>
      <c r="N221" s="66"/>
      <c r="O221" s="66"/>
      <c r="P221" s="66"/>
      <c r="Q221" s="66"/>
      <c r="R221" s="66"/>
      <c r="S221" s="68"/>
      <c r="T221" s="66"/>
      <c r="U221" s="69"/>
      <c r="V221" s="145"/>
      <c r="W221" s="145"/>
      <c r="X221" s="145"/>
      <c r="Y221" s="145"/>
      <c r="Z221" s="145"/>
      <c r="AA221" s="145"/>
      <c r="AB221" s="145"/>
      <c r="AC221" s="145"/>
      <c r="AD221" s="145"/>
      <c r="AE221" s="145"/>
      <c r="AF221" s="145"/>
      <c r="AG221" s="145"/>
      <c r="AH221" s="145"/>
      <c r="AI221" s="145"/>
      <c r="AJ221" s="145"/>
    </row>
    <row r="222" ht="15.75" customHeight="1">
      <c r="A222" s="66"/>
      <c r="B222" s="66"/>
      <c r="C222" s="67"/>
      <c r="D222" s="66"/>
      <c r="E222" s="66"/>
      <c r="F222" s="67"/>
      <c r="G222" s="66"/>
      <c r="H222" s="66"/>
      <c r="I222" s="66"/>
      <c r="J222" s="66"/>
      <c r="K222" s="66"/>
      <c r="L222" s="66"/>
      <c r="M222" s="66"/>
      <c r="N222" s="66"/>
      <c r="O222" s="66"/>
      <c r="P222" s="66"/>
      <c r="Q222" s="66"/>
      <c r="R222" s="66"/>
      <c r="S222" s="68"/>
      <c r="T222" s="66"/>
      <c r="U222" s="69"/>
      <c r="V222" s="145"/>
      <c r="W222" s="145"/>
      <c r="X222" s="145"/>
      <c r="Y222" s="145"/>
      <c r="Z222" s="145"/>
      <c r="AA222" s="145"/>
      <c r="AB222" s="145"/>
      <c r="AC222" s="145"/>
      <c r="AD222" s="145"/>
      <c r="AE222" s="145"/>
      <c r="AF222" s="145"/>
      <c r="AG222" s="145"/>
      <c r="AH222" s="145"/>
      <c r="AI222" s="145"/>
      <c r="AJ222" s="145"/>
    </row>
    <row r="223" ht="15.75" customHeight="1">
      <c r="A223" s="66"/>
      <c r="B223" s="66"/>
      <c r="C223" s="67"/>
      <c r="D223" s="66"/>
      <c r="E223" s="66"/>
      <c r="F223" s="67"/>
      <c r="G223" s="66"/>
      <c r="H223" s="66"/>
      <c r="I223" s="66"/>
      <c r="J223" s="66"/>
      <c r="K223" s="66"/>
      <c r="L223" s="66"/>
      <c r="M223" s="66"/>
      <c r="N223" s="66"/>
      <c r="O223" s="66"/>
      <c r="P223" s="66"/>
      <c r="Q223" s="66"/>
      <c r="R223" s="66"/>
      <c r="S223" s="68"/>
      <c r="T223" s="66"/>
      <c r="U223" s="69"/>
      <c r="V223" s="145"/>
      <c r="W223" s="145"/>
      <c r="X223" s="145"/>
      <c r="Y223" s="145"/>
      <c r="Z223" s="145"/>
      <c r="AA223" s="145"/>
      <c r="AB223" s="145"/>
      <c r="AC223" s="145"/>
      <c r="AD223" s="145"/>
      <c r="AE223" s="145"/>
      <c r="AF223" s="145"/>
      <c r="AG223" s="145"/>
      <c r="AH223" s="145"/>
      <c r="AI223" s="145"/>
      <c r="AJ223" s="145"/>
    </row>
    <row r="224" ht="15.75" customHeight="1">
      <c r="A224" s="66"/>
      <c r="B224" s="66"/>
      <c r="C224" s="67"/>
      <c r="D224" s="66"/>
      <c r="E224" s="66"/>
      <c r="F224" s="67"/>
      <c r="G224" s="66"/>
      <c r="H224" s="66"/>
      <c r="I224" s="66"/>
      <c r="J224" s="66"/>
      <c r="K224" s="66"/>
      <c r="L224" s="66"/>
      <c r="M224" s="66"/>
      <c r="N224" s="66"/>
      <c r="O224" s="66"/>
      <c r="P224" s="66"/>
      <c r="Q224" s="66"/>
      <c r="R224" s="66"/>
      <c r="S224" s="68"/>
      <c r="T224" s="66"/>
      <c r="U224" s="69"/>
      <c r="V224" s="145"/>
      <c r="W224" s="145"/>
      <c r="X224" s="145"/>
      <c r="Y224" s="145"/>
      <c r="Z224" s="145"/>
      <c r="AA224" s="145"/>
      <c r="AB224" s="145"/>
      <c r="AC224" s="145"/>
      <c r="AD224" s="145"/>
      <c r="AE224" s="145"/>
      <c r="AF224" s="145"/>
      <c r="AG224" s="145"/>
      <c r="AH224" s="145"/>
      <c r="AI224" s="145"/>
      <c r="AJ224" s="145"/>
    </row>
    <row r="225" ht="15.75" customHeight="1">
      <c r="A225" s="66"/>
      <c r="B225" s="66"/>
      <c r="C225" s="67"/>
      <c r="D225" s="66"/>
      <c r="E225" s="66"/>
      <c r="F225" s="67"/>
      <c r="G225" s="66"/>
      <c r="H225" s="66"/>
      <c r="I225" s="66"/>
      <c r="J225" s="66"/>
      <c r="K225" s="66"/>
      <c r="L225" s="66"/>
      <c r="M225" s="66"/>
      <c r="N225" s="66"/>
      <c r="O225" s="66"/>
      <c r="P225" s="66"/>
      <c r="Q225" s="66"/>
      <c r="R225" s="66"/>
      <c r="S225" s="68"/>
      <c r="T225" s="66"/>
      <c r="U225" s="69"/>
      <c r="V225" s="145"/>
      <c r="W225" s="145"/>
      <c r="X225" s="145"/>
      <c r="Y225" s="145"/>
      <c r="Z225" s="145"/>
      <c r="AA225" s="145"/>
      <c r="AB225" s="145"/>
      <c r="AC225" s="145"/>
      <c r="AD225" s="145"/>
      <c r="AE225" s="145"/>
      <c r="AF225" s="145"/>
      <c r="AG225" s="145"/>
      <c r="AH225" s="145"/>
      <c r="AI225" s="145"/>
      <c r="AJ225" s="145"/>
    </row>
    <row r="226" ht="15.75" customHeight="1">
      <c r="A226" s="66"/>
      <c r="B226" s="66"/>
      <c r="C226" s="67"/>
      <c r="D226" s="66"/>
      <c r="E226" s="66"/>
      <c r="F226" s="67"/>
      <c r="G226" s="66"/>
      <c r="H226" s="66"/>
      <c r="I226" s="66"/>
      <c r="J226" s="66"/>
      <c r="K226" s="66"/>
      <c r="L226" s="66"/>
      <c r="M226" s="66"/>
      <c r="N226" s="66"/>
      <c r="O226" s="66"/>
      <c r="P226" s="66"/>
      <c r="Q226" s="66"/>
      <c r="R226" s="66"/>
      <c r="S226" s="68"/>
      <c r="T226" s="66"/>
      <c r="U226" s="69"/>
      <c r="V226" s="145"/>
      <c r="W226" s="145"/>
      <c r="X226" s="145"/>
      <c r="Y226" s="145"/>
      <c r="Z226" s="145"/>
      <c r="AA226" s="145"/>
      <c r="AB226" s="145"/>
      <c r="AC226" s="145"/>
      <c r="AD226" s="145"/>
      <c r="AE226" s="145"/>
      <c r="AF226" s="145"/>
      <c r="AG226" s="145"/>
      <c r="AH226" s="145"/>
      <c r="AI226" s="145"/>
      <c r="AJ226" s="145"/>
    </row>
    <row r="227" ht="15.75" customHeight="1">
      <c r="A227" s="66"/>
      <c r="B227" s="66"/>
      <c r="C227" s="67"/>
      <c r="D227" s="66"/>
      <c r="E227" s="66"/>
      <c r="F227" s="67"/>
      <c r="G227" s="66"/>
      <c r="H227" s="66"/>
      <c r="I227" s="66"/>
      <c r="J227" s="66"/>
      <c r="K227" s="66"/>
      <c r="L227" s="66"/>
      <c r="M227" s="66"/>
      <c r="N227" s="66"/>
      <c r="O227" s="66"/>
      <c r="P227" s="66"/>
      <c r="Q227" s="66"/>
      <c r="R227" s="66"/>
      <c r="S227" s="68"/>
      <c r="T227" s="66"/>
      <c r="U227" s="69"/>
      <c r="V227" s="145"/>
      <c r="W227" s="145"/>
      <c r="X227" s="145"/>
      <c r="Y227" s="145"/>
      <c r="Z227" s="145"/>
      <c r="AA227" s="145"/>
      <c r="AB227" s="145"/>
      <c r="AC227" s="145"/>
      <c r="AD227" s="145"/>
      <c r="AE227" s="145"/>
      <c r="AF227" s="145"/>
      <c r="AG227" s="145"/>
      <c r="AH227" s="145"/>
      <c r="AI227" s="145"/>
      <c r="AJ227" s="145"/>
    </row>
    <row r="228" ht="15.75" customHeight="1">
      <c r="A228" s="66"/>
      <c r="B228" s="66"/>
      <c r="C228" s="67"/>
      <c r="D228" s="66"/>
      <c r="E228" s="66"/>
      <c r="F228" s="67"/>
      <c r="G228" s="66"/>
      <c r="H228" s="66"/>
      <c r="I228" s="66"/>
      <c r="J228" s="66"/>
      <c r="K228" s="66"/>
      <c r="L228" s="66"/>
      <c r="M228" s="66"/>
      <c r="N228" s="66"/>
      <c r="O228" s="66"/>
      <c r="P228" s="66"/>
      <c r="Q228" s="66"/>
      <c r="R228" s="66"/>
      <c r="S228" s="68"/>
      <c r="T228" s="66"/>
      <c r="U228" s="69"/>
      <c r="V228" s="145"/>
      <c r="W228" s="145"/>
      <c r="X228" s="145"/>
      <c r="Y228" s="145"/>
      <c r="Z228" s="145"/>
      <c r="AA228" s="145"/>
      <c r="AB228" s="145"/>
      <c r="AC228" s="145"/>
      <c r="AD228" s="145"/>
      <c r="AE228" s="145"/>
      <c r="AF228" s="145"/>
      <c r="AG228" s="145"/>
      <c r="AH228" s="145"/>
      <c r="AI228" s="145"/>
      <c r="AJ228" s="145"/>
    </row>
    <row r="229" ht="15.75" customHeight="1">
      <c r="A229" s="66"/>
      <c r="B229" s="66"/>
      <c r="C229" s="67"/>
      <c r="D229" s="66"/>
      <c r="E229" s="66"/>
      <c r="F229" s="67"/>
      <c r="G229" s="66"/>
      <c r="H229" s="66"/>
      <c r="I229" s="66"/>
      <c r="J229" s="66"/>
      <c r="K229" s="66"/>
      <c r="L229" s="66"/>
      <c r="M229" s="66"/>
      <c r="N229" s="66"/>
      <c r="O229" s="66"/>
      <c r="P229" s="66"/>
      <c r="Q229" s="66"/>
      <c r="R229" s="66"/>
      <c r="S229" s="68"/>
      <c r="T229" s="66"/>
      <c r="U229" s="69"/>
      <c r="V229" s="145"/>
      <c r="W229" s="145"/>
      <c r="X229" s="145"/>
      <c r="Y229" s="145"/>
      <c r="Z229" s="145"/>
      <c r="AA229" s="145"/>
      <c r="AB229" s="145"/>
      <c r="AC229" s="145"/>
      <c r="AD229" s="145"/>
      <c r="AE229" s="145"/>
      <c r="AF229" s="145"/>
      <c r="AG229" s="145"/>
      <c r="AH229" s="145"/>
      <c r="AI229" s="145"/>
      <c r="AJ229" s="145"/>
    </row>
    <row r="230" ht="15.75" customHeight="1">
      <c r="A230" s="66"/>
      <c r="B230" s="66"/>
      <c r="C230" s="67"/>
      <c r="D230" s="66"/>
      <c r="E230" s="66"/>
      <c r="F230" s="67"/>
      <c r="G230" s="66"/>
      <c r="H230" s="66"/>
      <c r="I230" s="66"/>
      <c r="J230" s="66"/>
      <c r="K230" s="66"/>
      <c r="L230" s="66"/>
      <c r="M230" s="66"/>
      <c r="N230" s="66"/>
      <c r="O230" s="66"/>
      <c r="P230" s="66"/>
      <c r="Q230" s="66"/>
      <c r="R230" s="66"/>
      <c r="S230" s="68"/>
      <c r="T230" s="66"/>
      <c r="U230" s="69"/>
      <c r="V230" s="145"/>
      <c r="W230" s="145"/>
      <c r="X230" s="145"/>
      <c r="Y230" s="145"/>
      <c r="Z230" s="145"/>
      <c r="AA230" s="145"/>
      <c r="AB230" s="145"/>
      <c r="AC230" s="145"/>
      <c r="AD230" s="145"/>
      <c r="AE230" s="145"/>
      <c r="AF230" s="145"/>
      <c r="AG230" s="145"/>
      <c r="AH230" s="145"/>
      <c r="AI230" s="145"/>
      <c r="AJ230" s="145"/>
    </row>
    <row r="231" ht="15.75" customHeight="1">
      <c r="A231" s="66"/>
      <c r="B231" s="66"/>
      <c r="C231" s="67"/>
      <c r="D231" s="66"/>
      <c r="E231" s="66"/>
      <c r="F231" s="67"/>
      <c r="G231" s="66"/>
      <c r="H231" s="66"/>
      <c r="I231" s="66"/>
      <c r="J231" s="66"/>
      <c r="K231" s="66"/>
      <c r="L231" s="66"/>
      <c r="M231" s="66"/>
      <c r="N231" s="66"/>
      <c r="O231" s="66"/>
      <c r="P231" s="66"/>
      <c r="Q231" s="66"/>
      <c r="R231" s="66"/>
      <c r="S231" s="68"/>
      <c r="T231" s="66"/>
      <c r="U231" s="69"/>
      <c r="V231" s="145"/>
      <c r="W231" s="145"/>
      <c r="X231" s="145"/>
      <c r="Y231" s="145"/>
      <c r="Z231" s="145"/>
      <c r="AA231" s="145"/>
      <c r="AB231" s="145"/>
      <c r="AC231" s="145"/>
      <c r="AD231" s="145"/>
      <c r="AE231" s="145"/>
      <c r="AF231" s="145"/>
      <c r="AG231" s="145"/>
      <c r="AH231" s="145"/>
      <c r="AI231" s="145"/>
      <c r="AJ231" s="145"/>
    </row>
    <row r="232" ht="15.75" customHeight="1">
      <c r="A232" s="66"/>
      <c r="B232" s="66"/>
      <c r="C232" s="67"/>
      <c r="D232" s="66"/>
      <c r="E232" s="66"/>
      <c r="F232" s="67"/>
      <c r="G232" s="66"/>
      <c r="H232" s="66"/>
      <c r="I232" s="66"/>
      <c r="J232" s="66"/>
      <c r="K232" s="66"/>
      <c r="L232" s="66"/>
      <c r="M232" s="66"/>
      <c r="N232" s="66"/>
      <c r="O232" s="66"/>
      <c r="P232" s="66"/>
      <c r="Q232" s="66"/>
      <c r="R232" s="66"/>
      <c r="S232" s="68"/>
      <c r="T232" s="66"/>
      <c r="U232" s="69"/>
      <c r="V232" s="145"/>
      <c r="W232" s="145"/>
      <c r="X232" s="145"/>
      <c r="Y232" s="145"/>
      <c r="Z232" s="145"/>
      <c r="AA232" s="145"/>
      <c r="AB232" s="145"/>
      <c r="AC232" s="145"/>
      <c r="AD232" s="145"/>
      <c r="AE232" s="145"/>
      <c r="AF232" s="145"/>
      <c r="AG232" s="145"/>
      <c r="AH232" s="145"/>
      <c r="AI232" s="145"/>
      <c r="AJ232" s="145"/>
    </row>
    <row r="233" ht="15.75" customHeight="1">
      <c r="A233" s="66"/>
      <c r="B233" s="66"/>
      <c r="C233" s="67"/>
      <c r="D233" s="66"/>
      <c r="E233" s="66"/>
      <c r="F233" s="67"/>
      <c r="G233" s="66"/>
      <c r="H233" s="66"/>
      <c r="I233" s="66"/>
      <c r="J233" s="66"/>
      <c r="K233" s="66"/>
      <c r="L233" s="66"/>
      <c r="M233" s="66"/>
      <c r="N233" s="66"/>
      <c r="O233" s="66"/>
      <c r="P233" s="66"/>
      <c r="Q233" s="66"/>
      <c r="R233" s="66"/>
      <c r="S233" s="68"/>
      <c r="T233" s="66"/>
      <c r="U233" s="69"/>
      <c r="V233" s="145"/>
      <c r="W233" s="145"/>
      <c r="X233" s="145"/>
      <c r="Y233" s="145"/>
      <c r="Z233" s="145"/>
      <c r="AA233" s="145"/>
      <c r="AB233" s="145"/>
      <c r="AC233" s="145"/>
      <c r="AD233" s="145"/>
      <c r="AE233" s="145"/>
      <c r="AF233" s="145"/>
      <c r="AG233" s="145"/>
      <c r="AH233" s="145"/>
      <c r="AI233" s="145"/>
      <c r="AJ233" s="145"/>
    </row>
    <row r="234" ht="15.75" customHeight="1">
      <c r="A234" s="66"/>
      <c r="B234" s="66"/>
      <c r="C234" s="67"/>
      <c r="D234" s="66"/>
      <c r="E234" s="66"/>
      <c r="F234" s="67"/>
      <c r="G234" s="66"/>
      <c r="H234" s="66"/>
      <c r="I234" s="66"/>
      <c r="J234" s="66"/>
      <c r="K234" s="66"/>
      <c r="L234" s="66"/>
      <c r="M234" s="66"/>
      <c r="N234" s="66"/>
      <c r="O234" s="66"/>
      <c r="P234" s="66"/>
      <c r="Q234" s="66"/>
      <c r="R234" s="66"/>
      <c r="S234" s="68"/>
      <c r="T234" s="66"/>
      <c r="U234" s="69"/>
      <c r="V234" s="145"/>
      <c r="W234" s="145"/>
      <c r="X234" s="145"/>
      <c r="Y234" s="145"/>
      <c r="Z234" s="145"/>
      <c r="AA234" s="145"/>
      <c r="AB234" s="145"/>
      <c r="AC234" s="145"/>
      <c r="AD234" s="145"/>
      <c r="AE234" s="145"/>
      <c r="AF234" s="145"/>
      <c r="AG234" s="145"/>
      <c r="AH234" s="145"/>
      <c r="AI234" s="145"/>
      <c r="AJ234" s="145"/>
    </row>
    <row r="235" ht="15.75" customHeight="1">
      <c r="A235" s="66"/>
      <c r="B235" s="66"/>
      <c r="C235" s="67"/>
      <c r="D235" s="66"/>
      <c r="E235" s="66"/>
      <c r="F235" s="67"/>
      <c r="G235" s="66"/>
      <c r="H235" s="66"/>
      <c r="I235" s="66"/>
      <c r="J235" s="66"/>
      <c r="K235" s="66"/>
      <c r="L235" s="66"/>
      <c r="M235" s="66"/>
      <c r="N235" s="66"/>
      <c r="O235" s="66"/>
      <c r="P235" s="66"/>
      <c r="Q235" s="66"/>
      <c r="R235" s="66"/>
      <c r="S235" s="68"/>
      <c r="T235" s="66"/>
      <c r="U235" s="69"/>
      <c r="V235" s="145"/>
      <c r="W235" s="145"/>
      <c r="X235" s="145"/>
      <c r="Y235" s="145"/>
      <c r="Z235" s="145"/>
      <c r="AA235" s="145"/>
      <c r="AB235" s="145"/>
      <c r="AC235" s="145"/>
      <c r="AD235" s="145"/>
      <c r="AE235" s="145"/>
      <c r="AF235" s="145"/>
      <c r="AG235" s="145"/>
      <c r="AH235" s="145"/>
      <c r="AI235" s="145"/>
      <c r="AJ235" s="145"/>
    </row>
    <row r="236" ht="15.75" customHeight="1">
      <c r="A236" s="66"/>
      <c r="B236" s="66"/>
      <c r="C236" s="67"/>
      <c r="D236" s="66"/>
      <c r="E236" s="66"/>
      <c r="F236" s="67"/>
      <c r="G236" s="66"/>
      <c r="H236" s="66"/>
      <c r="I236" s="66"/>
      <c r="J236" s="66"/>
      <c r="K236" s="66"/>
      <c r="L236" s="66"/>
      <c r="M236" s="66"/>
      <c r="N236" s="66"/>
      <c r="O236" s="66"/>
      <c r="P236" s="66"/>
      <c r="Q236" s="66"/>
      <c r="R236" s="66"/>
      <c r="S236" s="68"/>
      <c r="T236" s="66"/>
      <c r="U236" s="69"/>
      <c r="V236" s="145"/>
      <c r="W236" s="145"/>
      <c r="X236" s="145"/>
      <c r="Y236" s="145"/>
      <c r="Z236" s="145"/>
      <c r="AA236" s="145"/>
      <c r="AB236" s="145"/>
      <c r="AC236" s="145"/>
      <c r="AD236" s="145"/>
      <c r="AE236" s="145"/>
      <c r="AF236" s="145"/>
      <c r="AG236" s="145"/>
      <c r="AH236" s="145"/>
      <c r="AI236" s="145"/>
      <c r="AJ236" s="145"/>
    </row>
    <row r="237" ht="15.75" customHeight="1">
      <c r="A237" s="66"/>
      <c r="B237" s="66"/>
      <c r="C237" s="67"/>
      <c r="D237" s="66"/>
      <c r="E237" s="66"/>
      <c r="F237" s="67"/>
      <c r="G237" s="66"/>
      <c r="H237" s="66"/>
      <c r="I237" s="66"/>
      <c r="J237" s="66"/>
      <c r="K237" s="66"/>
      <c r="L237" s="66"/>
      <c r="M237" s="66"/>
      <c r="N237" s="66"/>
      <c r="O237" s="66"/>
      <c r="P237" s="66"/>
      <c r="Q237" s="66"/>
      <c r="R237" s="66"/>
      <c r="S237" s="68"/>
      <c r="T237" s="66"/>
      <c r="U237" s="69"/>
      <c r="V237" s="145"/>
      <c r="W237" s="145"/>
      <c r="X237" s="145"/>
      <c r="Y237" s="145"/>
      <c r="Z237" s="145"/>
      <c r="AA237" s="145"/>
      <c r="AB237" s="145"/>
      <c r="AC237" s="145"/>
      <c r="AD237" s="145"/>
      <c r="AE237" s="145"/>
      <c r="AF237" s="145"/>
      <c r="AG237" s="145"/>
      <c r="AH237" s="145"/>
      <c r="AI237" s="145"/>
      <c r="AJ237" s="145"/>
    </row>
    <row r="238" ht="15.75" customHeight="1">
      <c r="A238" s="66"/>
      <c r="B238" s="66"/>
      <c r="C238" s="67"/>
      <c r="D238" s="66"/>
      <c r="E238" s="66"/>
      <c r="F238" s="67"/>
      <c r="G238" s="66"/>
      <c r="H238" s="66"/>
      <c r="I238" s="66"/>
      <c r="J238" s="66"/>
      <c r="K238" s="66"/>
      <c r="L238" s="66"/>
      <c r="M238" s="66"/>
      <c r="N238" s="66"/>
      <c r="O238" s="66"/>
      <c r="P238" s="66"/>
      <c r="Q238" s="66"/>
      <c r="R238" s="66"/>
      <c r="S238" s="68"/>
      <c r="T238" s="66"/>
      <c r="U238" s="69"/>
      <c r="V238" s="145"/>
      <c r="W238" s="145"/>
      <c r="X238" s="145"/>
      <c r="Y238" s="145"/>
      <c r="Z238" s="145"/>
      <c r="AA238" s="145"/>
      <c r="AB238" s="145"/>
      <c r="AC238" s="145"/>
      <c r="AD238" s="145"/>
      <c r="AE238" s="145"/>
      <c r="AF238" s="145"/>
      <c r="AG238" s="145"/>
      <c r="AH238" s="145"/>
      <c r="AI238" s="145"/>
      <c r="AJ238" s="145"/>
    </row>
    <row r="239" ht="15.75" customHeight="1">
      <c r="A239" s="66"/>
      <c r="B239" s="66"/>
      <c r="C239" s="67"/>
      <c r="D239" s="66"/>
      <c r="E239" s="66"/>
      <c r="F239" s="67"/>
      <c r="G239" s="66"/>
      <c r="H239" s="66"/>
      <c r="I239" s="66"/>
      <c r="J239" s="66"/>
      <c r="K239" s="66"/>
      <c r="L239" s="66"/>
      <c r="M239" s="66"/>
      <c r="N239" s="66"/>
      <c r="O239" s="66"/>
      <c r="P239" s="66"/>
      <c r="Q239" s="66"/>
      <c r="R239" s="66"/>
      <c r="S239" s="68"/>
      <c r="T239" s="66"/>
      <c r="U239" s="69"/>
      <c r="V239" s="145"/>
      <c r="W239" s="145"/>
      <c r="X239" s="145"/>
      <c r="Y239" s="145"/>
      <c r="Z239" s="145"/>
      <c r="AA239" s="145"/>
      <c r="AB239" s="145"/>
      <c r="AC239" s="145"/>
      <c r="AD239" s="145"/>
      <c r="AE239" s="145"/>
      <c r="AF239" s="145"/>
      <c r="AG239" s="145"/>
      <c r="AH239" s="145"/>
      <c r="AI239" s="145"/>
      <c r="AJ239" s="145"/>
    </row>
    <row r="240" ht="15.75" customHeight="1">
      <c r="A240" s="66"/>
      <c r="B240" s="66"/>
      <c r="C240" s="67"/>
      <c r="D240" s="66"/>
      <c r="E240" s="66"/>
      <c r="F240" s="67"/>
      <c r="G240" s="66"/>
      <c r="H240" s="66"/>
      <c r="I240" s="66"/>
      <c r="J240" s="66"/>
      <c r="K240" s="66"/>
      <c r="L240" s="66"/>
      <c r="M240" s="66"/>
      <c r="N240" s="66"/>
      <c r="O240" s="66"/>
      <c r="P240" s="66"/>
      <c r="Q240" s="66"/>
      <c r="R240" s="66"/>
      <c r="S240" s="68"/>
      <c r="T240" s="66"/>
      <c r="U240" s="69"/>
      <c r="V240" s="145"/>
      <c r="W240" s="145"/>
      <c r="X240" s="145"/>
      <c r="Y240" s="145"/>
      <c r="Z240" s="145"/>
      <c r="AA240" s="145"/>
      <c r="AB240" s="145"/>
      <c r="AC240" s="145"/>
      <c r="AD240" s="145"/>
      <c r="AE240" s="145"/>
      <c r="AF240" s="145"/>
      <c r="AG240" s="145"/>
      <c r="AH240" s="145"/>
      <c r="AI240" s="145"/>
      <c r="AJ240" s="145"/>
    </row>
    <row r="241" ht="15.75" customHeight="1">
      <c r="A241" s="66"/>
      <c r="B241" s="66"/>
      <c r="C241" s="67"/>
      <c r="D241" s="66"/>
      <c r="E241" s="66"/>
      <c r="F241" s="67"/>
      <c r="G241" s="66"/>
      <c r="H241" s="66"/>
      <c r="I241" s="66"/>
      <c r="J241" s="66"/>
      <c r="K241" s="66"/>
      <c r="L241" s="66"/>
      <c r="M241" s="66"/>
      <c r="N241" s="66"/>
      <c r="O241" s="66"/>
      <c r="P241" s="66"/>
      <c r="Q241" s="66"/>
      <c r="R241" s="66"/>
      <c r="S241" s="68"/>
      <c r="T241" s="66"/>
      <c r="U241" s="69"/>
      <c r="V241" s="145"/>
      <c r="W241" s="145"/>
      <c r="X241" s="145"/>
      <c r="Y241" s="145"/>
      <c r="Z241" s="145"/>
      <c r="AA241" s="145"/>
      <c r="AB241" s="145"/>
      <c r="AC241" s="145"/>
      <c r="AD241" s="145"/>
      <c r="AE241" s="145"/>
      <c r="AF241" s="145"/>
      <c r="AG241" s="145"/>
      <c r="AH241" s="145"/>
      <c r="AI241" s="145"/>
      <c r="AJ241" s="145"/>
    </row>
    <row r="242" ht="15.75" customHeight="1">
      <c r="A242" s="66"/>
      <c r="B242" s="66"/>
      <c r="C242" s="67"/>
      <c r="D242" s="66"/>
      <c r="E242" s="66"/>
      <c r="F242" s="67"/>
      <c r="G242" s="66"/>
      <c r="H242" s="66"/>
      <c r="I242" s="66"/>
      <c r="J242" s="66"/>
      <c r="K242" s="66"/>
      <c r="L242" s="66"/>
      <c r="M242" s="66"/>
      <c r="N242" s="66"/>
      <c r="O242" s="66"/>
      <c r="P242" s="66"/>
      <c r="Q242" s="66"/>
      <c r="R242" s="66"/>
      <c r="S242" s="68"/>
      <c r="T242" s="66"/>
      <c r="U242" s="69"/>
      <c r="V242" s="145"/>
      <c r="W242" s="145"/>
      <c r="X242" s="145"/>
      <c r="Y242" s="145"/>
      <c r="Z242" s="145"/>
      <c r="AA242" s="145"/>
      <c r="AB242" s="145"/>
      <c r="AC242" s="145"/>
      <c r="AD242" s="145"/>
      <c r="AE242" s="145"/>
      <c r="AF242" s="145"/>
      <c r="AG242" s="145"/>
      <c r="AH242" s="145"/>
      <c r="AI242" s="145"/>
      <c r="AJ242" s="145"/>
    </row>
    <row r="243" ht="15.75" customHeight="1">
      <c r="A243" s="66"/>
      <c r="B243" s="66"/>
      <c r="C243" s="67"/>
      <c r="D243" s="66"/>
      <c r="E243" s="66"/>
      <c r="F243" s="67"/>
      <c r="G243" s="66"/>
      <c r="H243" s="66"/>
      <c r="I243" s="66"/>
      <c r="J243" s="66"/>
      <c r="K243" s="66"/>
      <c r="L243" s="66"/>
      <c r="M243" s="66"/>
      <c r="N243" s="66"/>
      <c r="O243" s="66"/>
      <c r="P243" s="66"/>
      <c r="Q243" s="66"/>
      <c r="R243" s="66"/>
      <c r="S243" s="68"/>
      <c r="T243" s="66"/>
      <c r="U243" s="69"/>
      <c r="V243" s="145"/>
      <c r="W243" s="145"/>
      <c r="X243" s="145"/>
      <c r="Y243" s="145"/>
      <c r="Z243" s="145"/>
      <c r="AA243" s="145"/>
      <c r="AB243" s="145"/>
      <c r="AC243" s="145"/>
      <c r="AD243" s="145"/>
      <c r="AE243" s="145"/>
      <c r="AF243" s="145"/>
      <c r="AG243" s="145"/>
      <c r="AH243" s="145"/>
      <c r="AI243" s="145"/>
      <c r="AJ243" s="145"/>
    </row>
    <row r="244" ht="15.75" customHeight="1">
      <c r="A244" s="66"/>
      <c r="B244" s="66"/>
      <c r="C244" s="67"/>
      <c r="D244" s="66"/>
      <c r="E244" s="66"/>
      <c r="F244" s="67"/>
      <c r="G244" s="66"/>
      <c r="H244" s="66"/>
      <c r="I244" s="66"/>
      <c r="J244" s="66"/>
      <c r="K244" s="66"/>
      <c r="L244" s="66"/>
      <c r="M244" s="66"/>
      <c r="N244" s="66"/>
      <c r="O244" s="66"/>
      <c r="P244" s="66"/>
      <c r="Q244" s="66"/>
      <c r="R244" s="66"/>
      <c r="S244" s="68"/>
      <c r="T244" s="66"/>
      <c r="U244" s="69"/>
      <c r="V244" s="145"/>
      <c r="W244" s="145"/>
      <c r="X244" s="145"/>
      <c r="Y244" s="145"/>
      <c r="Z244" s="145"/>
      <c r="AA244" s="145"/>
      <c r="AB244" s="145"/>
      <c r="AC244" s="145"/>
      <c r="AD244" s="145"/>
      <c r="AE244" s="145"/>
      <c r="AF244" s="145"/>
      <c r="AG244" s="145"/>
      <c r="AH244" s="145"/>
      <c r="AI244" s="145"/>
      <c r="AJ244" s="145"/>
    </row>
    <row r="245" ht="15.75" customHeight="1">
      <c r="A245" s="66"/>
      <c r="B245" s="66"/>
      <c r="C245" s="67"/>
      <c r="D245" s="66"/>
      <c r="E245" s="66"/>
      <c r="F245" s="67"/>
      <c r="G245" s="66"/>
      <c r="H245" s="66"/>
      <c r="I245" s="66"/>
      <c r="J245" s="66"/>
      <c r="K245" s="66"/>
      <c r="L245" s="66"/>
      <c r="M245" s="66"/>
      <c r="N245" s="66"/>
      <c r="O245" s="66"/>
      <c r="P245" s="66"/>
      <c r="Q245" s="66"/>
      <c r="R245" s="66"/>
      <c r="S245" s="68"/>
      <c r="T245" s="66"/>
      <c r="U245" s="69"/>
      <c r="V245" s="145"/>
      <c r="W245" s="145"/>
      <c r="X245" s="145"/>
      <c r="Y245" s="145"/>
      <c r="Z245" s="145"/>
      <c r="AA245" s="145"/>
      <c r="AB245" s="145"/>
      <c r="AC245" s="145"/>
      <c r="AD245" s="145"/>
      <c r="AE245" s="145"/>
      <c r="AF245" s="145"/>
      <c r="AG245" s="145"/>
      <c r="AH245" s="145"/>
      <c r="AI245" s="145"/>
      <c r="AJ245" s="145"/>
    </row>
    <row r="246" ht="15.75" customHeight="1">
      <c r="A246" s="66"/>
      <c r="B246" s="66"/>
      <c r="C246" s="67"/>
      <c r="D246" s="66"/>
      <c r="E246" s="66"/>
      <c r="F246" s="67"/>
      <c r="G246" s="66"/>
      <c r="H246" s="66"/>
      <c r="I246" s="66"/>
      <c r="J246" s="66"/>
      <c r="K246" s="66"/>
      <c r="L246" s="66"/>
      <c r="M246" s="66"/>
      <c r="N246" s="66"/>
      <c r="O246" s="66"/>
      <c r="P246" s="66"/>
      <c r="Q246" s="66"/>
      <c r="R246" s="66"/>
      <c r="S246" s="68"/>
      <c r="T246" s="66"/>
      <c r="U246" s="69"/>
      <c r="V246" s="145"/>
      <c r="W246" s="145"/>
      <c r="X246" s="145"/>
      <c r="Y246" s="145"/>
      <c r="Z246" s="145"/>
      <c r="AA246" s="145"/>
      <c r="AB246" s="145"/>
      <c r="AC246" s="145"/>
      <c r="AD246" s="145"/>
      <c r="AE246" s="145"/>
      <c r="AF246" s="145"/>
      <c r="AG246" s="145"/>
      <c r="AH246" s="145"/>
      <c r="AI246" s="145"/>
      <c r="AJ246" s="145"/>
    </row>
    <row r="247" ht="15.75" customHeight="1">
      <c r="A247" s="66"/>
      <c r="B247" s="66"/>
      <c r="C247" s="67"/>
      <c r="D247" s="66"/>
      <c r="E247" s="66"/>
      <c r="F247" s="67"/>
      <c r="G247" s="66"/>
      <c r="H247" s="66"/>
      <c r="I247" s="66"/>
      <c r="J247" s="66"/>
      <c r="K247" s="66"/>
      <c r="L247" s="66"/>
      <c r="M247" s="66"/>
      <c r="N247" s="66"/>
      <c r="O247" s="66"/>
      <c r="P247" s="66"/>
      <c r="Q247" s="66"/>
      <c r="R247" s="66"/>
      <c r="S247" s="68"/>
      <c r="T247" s="66"/>
      <c r="U247" s="69"/>
      <c r="V247" s="145"/>
      <c r="W247" s="145"/>
      <c r="X247" s="145"/>
      <c r="Y247" s="145"/>
      <c r="Z247" s="145"/>
      <c r="AA247" s="145"/>
      <c r="AB247" s="145"/>
      <c r="AC247" s="145"/>
      <c r="AD247" s="145"/>
      <c r="AE247" s="145"/>
      <c r="AF247" s="145"/>
      <c r="AG247" s="145"/>
      <c r="AH247" s="145"/>
      <c r="AI247" s="145"/>
      <c r="AJ247" s="145"/>
    </row>
    <row r="248" ht="15.75" customHeight="1">
      <c r="A248" s="66"/>
      <c r="B248" s="66"/>
      <c r="C248" s="67"/>
      <c r="D248" s="66"/>
      <c r="E248" s="66"/>
      <c r="F248" s="67"/>
      <c r="G248" s="66"/>
      <c r="H248" s="66"/>
      <c r="I248" s="66"/>
      <c r="J248" s="66"/>
      <c r="K248" s="66"/>
      <c r="L248" s="66"/>
      <c r="M248" s="66"/>
      <c r="N248" s="66"/>
      <c r="O248" s="66"/>
      <c r="P248" s="66"/>
      <c r="Q248" s="66"/>
      <c r="R248" s="66"/>
      <c r="S248" s="68"/>
      <c r="T248" s="66"/>
      <c r="U248" s="69"/>
      <c r="V248" s="145"/>
      <c r="W248" s="145"/>
      <c r="X248" s="145"/>
      <c r="Y248" s="145"/>
      <c r="Z248" s="145"/>
      <c r="AA248" s="145"/>
      <c r="AB248" s="145"/>
      <c r="AC248" s="145"/>
      <c r="AD248" s="145"/>
      <c r="AE248" s="145"/>
      <c r="AF248" s="145"/>
      <c r="AG248" s="145"/>
      <c r="AH248" s="145"/>
      <c r="AI248" s="145"/>
      <c r="AJ248" s="145"/>
    </row>
    <row r="249" ht="15.75" customHeight="1">
      <c r="A249" s="66"/>
      <c r="B249" s="66"/>
      <c r="C249" s="67"/>
      <c r="D249" s="66"/>
      <c r="E249" s="66"/>
      <c r="F249" s="67"/>
      <c r="G249" s="66"/>
      <c r="H249" s="66"/>
      <c r="I249" s="66"/>
      <c r="J249" s="66"/>
      <c r="K249" s="66"/>
      <c r="L249" s="66"/>
      <c r="M249" s="66"/>
      <c r="N249" s="66"/>
      <c r="O249" s="66"/>
      <c r="P249" s="66"/>
      <c r="Q249" s="66"/>
      <c r="R249" s="66"/>
      <c r="S249" s="68"/>
      <c r="T249" s="66"/>
      <c r="U249" s="69"/>
      <c r="V249" s="145"/>
      <c r="W249" s="145"/>
      <c r="X249" s="145"/>
      <c r="Y249" s="145"/>
      <c r="Z249" s="145"/>
      <c r="AA249" s="145"/>
      <c r="AB249" s="145"/>
      <c r="AC249" s="145"/>
      <c r="AD249" s="145"/>
      <c r="AE249" s="145"/>
      <c r="AF249" s="145"/>
      <c r="AG249" s="145"/>
      <c r="AH249" s="145"/>
      <c r="AI249" s="145"/>
      <c r="AJ249" s="145"/>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sheetData>
  <mergeCells count="36">
    <mergeCell ref="K33:L33"/>
    <mergeCell ref="N33:V33"/>
    <mergeCell ref="B35:C35"/>
    <mergeCell ref="E35:F35"/>
    <mergeCell ref="H35:I35"/>
    <mergeCell ref="K35:L35"/>
    <mergeCell ref="N35:P35"/>
    <mergeCell ref="Q35:R35"/>
    <mergeCell ref="S35:T35"/>
    <mergeCell ref="W36:X36"/>
    <mergeCell ref="B19:G19"/>
    <mergeCell ref="I19:N19"/>
    <mergeCell ref="B25:G25"/>
    <mergeCell ref="I25:N25"/>
    <mergeCell ref="B33:C33"/>
    <mergeCell ref="E33:F33"/>
    <mergeCell ref="H33:I33"/>
    <mergeCell ref="B41:C41"/>
    <mergeCell ref="E41:F41"/>
    <mergeCell ref="H41:I41"/>
    <mergeCell ref="K41:L41"/>
    <mergeCell ref="B47:C47"/>
    <mergeCell ref="E47:F47"/>
    <mergeCell ref="K47:L47"/>
    <mergeCell ref="B65:C65"/>
    <mergeCell ref="B72:C72"/>
    <mergeCell ref="E72:F72"/>
    <mergeCell ref="B78:C78"/>
    <mergeCell ref="B100:C100"/>
    <mergeCell ref="H47:I47"/>
    <mergeCell ref="H49:I49"/>
    <mergeCell ref="B53:C53"/>
    <mergeCell ref="E53:F53"/>
    <mergeCell ref="B59:C59"/>
    <mergeCell ref="E59:F59"/>
    <mergeCell ref="E65:F65"/>
  </mergeCell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showGridLines="0" workbookViewId="0"/>
  </sheetViews>
  <sheetFormatPr customHeight="1" defaultColWidth="14.43" defaultRowHeight="15.0" outlineLevelRow="2"/>
  <cols>
    <col customWidth="1" min="1" max="1" width="3.29"/>
    <col customWidth="1" min="2" max="2" width="51.14"/>
    <col customWidth="1" min="3" max="3" width="28.0"/>
    <col customWidth="1" hidden="1" min="4" max="4" width="21.29"/>
    <col customWidth="1" min="5" max="5" width="69.86"/>
    <col customWidth="1" min="6" max="6" width="5.14"/>
    <col customWidth="1" min="7" max="7" width="59.57"/>
    <col customWidth="1" min="8" max="15" width="24.57"/>
  </cols>
  <sheetData>
    <row r="1">
      <c r="A1" s="305"/>
      <c r="B1" s="306"/>
      <c r="C1" s="307"/>
      <c r="D1" s="305"/>
      <c r="E1" s="305"/>
      <c r="F1" s="305"/>
      <c r="G1" s="305"/>
      <c r="H1" s="305"/>
      <c r="I1" s="305"/>
      <c r="J1" s="305"/>
      <c r="K1" s="305"/>
      <c r="L1" s="305"/>
      <c r="M1" s="305"/>
      <c r="N1" s="305"/>
      <c r="O1" s="305"/>
      <c r="P1" s="308"/>
      <c r="Q1" s="308"/>
      <c r="R1" s="308"/>
      <c r="S1" s="308"/>
      <c r="T1" s="308"/>
      <c r="U1" s="308"/>
      <c r="V1" s="308"/>
      <c r="W1" s="308"/>
      <c r="X1" s="308"/>
      <c r="Y1" s="308"/>
      <c r="Z1" s="308"/>
    </row>
    <row r="2">
      <c r="A2" s="305"/>
      <c r="B2" s="309" t="s">
        <v>235</v>
      </c>
      <c r="C2" s="307"/>
      <c r="D2" s="305"/>
      <c r="E2" s="305"/>
      <c r="F2" s="305"/>
      <c r="G2" s="305"/>
      <c r="H2" s="305"/>
      <c r="I2" s="305"/>
      <c r="J2" s="305"/>
      <c r="K2" s="305"/>
      <c r="L2" s="305"/>
      <c r="M2" s="305"/>
      <c r="N2" s="305"/>
      <c r="O2" s="305"/>
      <c r="P2" s="308"/>
      <c r="Q2" s="308"/>
      <c r="R2" s="308"/>
      <c r="S2" s="308"/>
      <c r="T2" s="308"/>
      <c r="U2" s="308"/>
      <c r="V2" s="308"/>
      <c r="W2" s="308"/>
      <c r="X2" s="308"/>
      <c r="Y2" s="308"/>
      <c r="Z2" s="308"/>
    </row>
    <row r="3">
      <c r="A3" s="305"/>
      <c r="B3" s="310" t="s">
        <v>236</v>
      </c>
      <c r="C3" s="307"/>
      <c r="D3" s="305"/>
      <c r="E3" s="305"/>
      <c r="F3" s="305"/>
      <c r="G3" s="305"/>
      <c r="H3" s="305"/>
      <c r="I3" s="305"/>
      <c r="J3" s="305"/>
      <c r="K3" s="305"/>
      <c r="L3" s="305"/>
      <c r="M3" s="305"/>
      <c r="N3" s="305"/>
      <c r="O3" s="305"/>
      <c r="P3" s="308"/>
      <c r="Q3" s="308"/>
      <c r="R3" s="308"/>
      <c r="S3" s="308"/>
      <c r="T3" s="308"/>
      <c r="U3" s="308"/>
      <c r="V3" s="308"/>
      <c r="W3" s="308"/>
      <c r="X3" s="308"/>
      <c r="Y3" s="308"/>
      <c r="Z3" s="308"/>
    </row>
    <row r="4">
      <c r="A4" s="305"/>
      <c r="B4" s="306"/>
      <c r="C4" s="307"/>
      <c r="D4" s="305"/>
      <c r="E4" s="305"/>
      <c r="F4" s="305"/>
      <c r="G4" s="305"/>
      <c r="H4" s="305"/>
      <c r="I4" s="305"/>
      <c r="J4" s="305"/>
      <c r="K4" s="305"/>
      <c r="L4" s="305"/>
      <c r="M4" s="305"/>
      <c r="N4" s="305"/>
      <c r="O4" s="305"/>
      <c r="P4" s="308"/>
      <c r="Q4" s="308"/>
      <c r="R4" s="308"/>
      <c r="S4" s="308"/>
      <c r="T4" s="308"/>
      <c r="U4" s="308"/>
      <c r="V4" s="308"/>
      <c r="W4" s="308"/>
      <c r="X4" s="308"/>
      <c r="Y4" s="308"/>
      <c r="Z4" s="308"/>
    </row>
    <row r="5" ht="1.5" customHeight="1">
      <c r="A5" s="311"/>
      <c r="B5" s="312"/>
      <c r="C5" s="313"/>
      <c r="D5" s="314"/>
      <c r="E5" s="314"/>
      <c r="F5" s="311"/>
      <c r="G5" s="311"/>
      <c r="H5" s="311"/>
      <c r="I5" s="311"/>
      <c r="J5" s="311"/>
      <c r="K5" s="311"/>
      <c r="L5" s="311"/>
      <c r="M5" s="311"/>
      <c r="N5" s="311"/>
      <c r="O5" s="311"/>
      <c r="P5" s="308"/>
      <c r="Q5" s="308"/>
      <c r="R5" s="308"/>
      <c r="S5" s="308"/>
      <c r="T5" s="308"/>
      <c r="U5" s="308"/>
      <c r="V5" s="308"/>
      <c r="W5" s="308"/>
      <c r="X5" s="308"/>
      <c r="Y5" s="308"/>
      <c r="Z5" s="308"/>
    </row>
    <row r="6">
      <c r="A6" s="305"/>
      <c r="B6" s="315"/>
      <c r="C6" s="307"/>
      <c r="D6" s="305"/>
      <c r="E6" s="305"/>
      <c r="F6" s="305"/>
      <c r="G6" s="305"/>
      <c r="H6" s="305"/>
      <c r="I6" s="305"/>
      <c r="J6" s="305"/>
      <c r="K6" s="305"/>
      <c r="L6" s="305"/>
      <c r="M6" s="305"/>
      <c r="N6" s="305"/>
      <c r="O6" s="305"/>
      <c r="P6" s="308"/>
      <c r="Q6" s="308"/>
      <c r="R6" s="308"/>
      <c r="S6" s="308"/>
      <c r="T6" s="308"/>
      <c r="U6" s="308"/>
      <c r="V6" s="308"/>
      <c r="W6" s="308"/>
      <c r="X6" s="308"/>
      <c r="Y6" s="308"/>
      <c r="Z6" s="308"/>
    </row>
    <row r="7">
      <c r="A7" s="305"/>
      <c r="B7" s="306"/>
      <c r="C7" s="316" t="s">
        <v>61</v>
      </c>
      <c r="D7" s="317"/>
      <c r="E7" s="318"/>
      <c r="F7" s="305"/>
      <c r="G7" s="305"/>
      <c r="H7" s="305"/>
      <c r="I7" s="305"/>
      <c r="J7" s="305"/>
      <c r="K7" s="305"/>
      <c r="L7" s="305"/>
      <c r="M7" s="305"/>
      <c r="N7" s="305"/>
      <c r="O7" s="305"/>
      <c r="P7" s="308"/>
      <c r="Q7" s="308"/>
      <c r="R7" s="308"/>
      <c r="S7" s="308"/>
      <c r="T7" s="308"/>
      <c r="U7" s="308"/>
      <c r="V7" s="308"/>
      <c r="W7" s="308"/>
      <c r="X7" s="308"/>
      <c r="Y7" s="308"/>
      <c r="Z7" s="308"/>
    </row>
    <row r="8" ht="18.75" customHeight="1">
      <c r="A8" s="305"/>
      <c r="B8" s="319"/>
      <c r="C8" s="320" t="s">
        <v>237</v>
      </c>
      <c r="D8" s="321"/>
      <c r="E8" s="322"/>
      <c r="F8" s="305"/>
      <c r="G8" s="305"/>
      <c r="H8" s="305"/>
      <c r="I8" s="305"/>
      <c r="J8" s="305"/>
      <c r="K8" s="305"/>
      <c r="L8" s="305"/>
      <c r="M8" s="305"/>
      <c r="N8" s="305"/>
      <c r="O8" s="305"/>
      <c r="P8" s="308"/>
      <c r="Q8" s="308"/>
      <c r="R8" s="308"/>
      <c r="S8" s="308"/>
      <c r="T8" s="308"/>
      <c r="U8" s="308"/>
      <c r="V8" s="308"/>
      <c r="W8" s="308"/>
      <c r="X8" s="308"/>
      <c r="Y8" s="308"/>
      <c r="Z8" s="308"/>
    </row>
    <row r="9" ht="15.0" customHeight="1">
      <c r="A9" s="305"/>
      <c r="B9" s="323"/>
      <c r="C9" s="320" t="s">
        <v>238</v>
      </c>
      <c r="D9" s="324"/>
      <c r="E9" s="322"/>
      <c r="F9" s="305"/>
      <c r="G9" s="305"/>
      <c r="H9" s="305"/>
      <c r="I9" s="305"/>
      <c r="J9" s="305"/>
      <c r="K9" s="305"/>
      <c r="L9" s="305"/>
      <c r="M9" s="305"/>
      <c r="N9" s="305"/>
      <c r="O9" s="305"/>
      <c r="P9" s="308"/>
      <c r="Q9" s="308"/>
      <c r="R9" s="308"/>
      <c r="S9" s="308"/>
      <c r="T9" s="308"/>
      <c r="U9" s="308"/>
      <c r="V9" s="308"/>
      <c r="W9" s="308"/>
      <c r="X9" s="308"/>
      <c r="Y9" s="308"/>
      <c r="Z9" s="308"/>
    </row>
    <row r="10" ht="22.5" customHeight="1">
      <c r="A10" s="305"/>
      <c r="B10" s="323"/>
      <c r="C10" s="325"/>
      <c r="D10" s="326"/>
      <c r="E10" s="326"/>
      <c r="F10" s="305"/>
      <c r="G10" s="305"/>
      <c r="H10" s="305"/>
      <c r="I10" s="305"/>
      <c r="J10" s="305"/>
      <c r="K10" s="305"/>
      <c r="L10" s="305"/>
      <c r="M10" s="305"/>
      <c r="N10" s="305"/>
      <c r="O10" s="305"/>
      <c r="P10" s="308"/>
      <c r="Q10" s="308"/>
      <c r="R10" s="308"/>
      <c r="S10" s="308"/>
      <c r="T10" s="308"/>
      <c r="U10" s="308"/>
      <c r="V10" s="308"/>
      <c r="W10" s="308"/>
      <c r="X10" s="308"/>
      <c r="Y10" s="308"/>
      <c r="Z10" s="308"/>
    </row>
    <row r="11">
      <c r="A11" s="311"/>
      <c r="B11" s="327"/>
      <c r="C11" s="328"/>
      <c r="D11" s="329"/>
      <c r="E11" s="329"/>
      <c r="F11" s="311"/>
      <c r="G11" s="311"/>
      <c r="H11" s="311"/>
      <c r="I11" s="311"/>
      <c r="J11" s="311"/>
      <c r="K11" s="311"/>
      <c r="L11" s="311"/>
      <c r="M11" s="311"/>
      <c r="N11" s="311"/>
      <c r="O11" s="311"/>
      <c r="P11" s="308"/>
      <c r="Q11" s="308"/>
      <c r="R11" s="308"/>
      <c r="S11" s="308"/>
      <c r="T11" s="308"/>
      <c r="U11" s="308"/>
      <c r="V11" s="308"/>
      <c r="W11" s="308"/>
      <c r="X11" s="308"/>
      <c r="Y11" s="308"/>
      <c r="Z11" s="308"/>
    </row>
    <row r="12">
      <c r="A12" s="305"/>
      <c r="B12" s="306"/>
      <c r="C12" s="307"/>
      <c r="D12" s="330"/>
      <c r="E12" s="330"/>
      <c r="F12" s="305"/>
      <c r="G12" s="305"/>
      <c r="H12" s="305"/>
      <c r="I12" s="305"/>
      <c r="J12" s="305"/>
      <c r="K12" s="305"/>
      <c r="L12" s="305"/>
      <c r="M12" s="305"/>
      <c r="N12" s="305"/>
      <c r="O12" s="305"/>
      <c r="P12" s="308"/>
      <c r="Q12" s="308"/>
      <c r="R12" s="308"/>
      <c r="S12" s="308"/>
      <c r="T12" s="308"/>
      <c r="U12" s="308"/>
      <c r="V12" s="308"/>
      <c r="W12" s="308"/>
      <c r="X12" s="308"/>
      <c r="Y12" s="308"/>
      <c r="Z12" s="308"/>
    </row>
    <row r="13">
      <c r="A13" s="305"/>
      <c r="B13" s="331"/>
      <c r="C13" s="307"/>
      <c r="D13" s="305"/>
      <c r="E13" s="305"/>
      <c r="F13" s="305"/>
      <c r="G13" s="305"/>
      <c r="H13" s="305"/>
      <c r="I13" s="305"/>
      <c r="J13" s="305"/>
      <c r="K13" s="305"/>
      <c r="L13" s="305"/>
      <c r="M13" s="305"/>
      <c r="N13" s="305"/>
      <c r="O13" s="305"/>
      <c r="P13" s="308"/>
      <c r="Q13" s="308"/>
      <c r="R13" s="308"/>
      <c r="S13" s="308"/>
      <c r="T13" s="308"/>
      <c r="U13" s="308"/>
      <c r="V13" s="308"/>
      <c r="W13" s="308"/>
      <c r="X13" s="308"/>
      <c r="Y13" s="308"/>
      <c r="Z13" s="308"/>
    </row>
    <row r="14">
      <c r="A14" s="305"/>
      <c r="B14" s="332" t="s">
        <v>239</v>
      </c>
      <c r="C14" s="333" t="s">
        <v>240</v>
      </c>
      <c r="D14" s="334" t="s">
        <v>101</v>
      </c>
      <c r="E14" s="335" t="s">
        <v>241</v>
      </c>
      <c r="F14" s="305"/>
      <c r="G14" s="308"/>
      <c r="H14" s="336" t="s">
        <v>188</v>
      </c>
      <c r="I14" s="337" t="s">
        <v>80</v>
      </c>
      <c r="J14" s="337" t="s">
        <v>81</v>
      </c>
      <c r="K14" s="337" t="s">
        <v>82</v>
      </c>
      <c r="L14" s="337" t="s">
        <v>83</v>
      </c>
      <c r="M14" s="337" t="s">
        <v>84</v>
      </c>
      <c r="N14" s="305"/>
      <c r="O14" s="305"/>
      <c r="P14" s="308"/>
      <c r="Q14" s="308"/>
      <c r="R14" s="308"/>
      <c r="S14" s="308"/>
      <c r="T14" s="308"/>
      <c r="U14" s="308"/>
      <c r="V14" s="308"/>
      <c r="W14" s="308"/>
      <c r="X14" s="308"/>
      <c r="Y14" s="308"/>
      <c r="Z14" s="308"/>
    </row>
    <row r="15">
      <c r="A15" s="305"/>
      <c r="B15" s="338" t="s">
        <v>242</v>
      </c>
      <c r="C15" s="339">
        <f>sum(C16:C44)</f>
        <v>24634790.42</v>
      </c>
      <c r="D15" s="340"/>
      <c r="E15" s="341"/>
      <c r="F15" s="305"/>
      <c r="G15" s="342" t="s">
        <v>243</v>
      </c>
      <c r="H15" s="343">
        <f>sUm(I15:M15)</f>
        <v>1752132.605</v>
      </c>
      <c r="I15" s="343">
        <f t="shared" ref="I15:M15" si="1">I19+I23</f>
        <v>29475.93768</v>
      </c>
      <c r="J15" s="343">
        <f t="shared" si="1"/>
        <v>161712.9887</v>
      </c>
      <c r="K15" s="343">
        <f t="shared" si="1"/>
        <v>327174.4342</v>
      </c>
      <c r="L15" s="343">
        <f t="shared" si="1"/>
        <v>571638.8693</v>
      </c>
      <c r="M15" s="343">
        <f t="shared" si="1"/>
        <v>662130.3755</v>
      </c>
      <c r="N15" s="305"/>
      <c r="O15" s="305"/>
      <c r="P15" s="308"/>
      <c r="Q15" s="308"/>
      <c r="R15" s="308"/>
      <c r="S15" s="308"/>
      <c r="T15" s="308"/>
      <c r="U15" s="308"/>
      <c r="V15" s="308"/>
      <c r="W15" s="308"/>
      <c r="X15" s="308"/>
      <c r="Y15" s="308"/>
      <c r="Z15" s="308"/>
    </row>
    <row r="16" ht="15.75" customHeight="1" outlineLevel="1">
      <c r="A16" s="305"/>
      <c r="B16" s="344" t="s">
        <v>244</v>
      </c>
      <c r="C16" s="345">
        <f>C23+C32</f>
        <v>1330563.319</v>
      </c>
      <c r="D16" s="346"/>
      <c r="E16" s="347"/>
      <c r="F16" s="305"/>
      <c r="G16" s="348" t="s">
        <v>245</v>
      </c>
      <c r="H16" s="349">
        <f>sum(I16:M16)</f>
        <v>714068.9814</v>
      </c>
      <c r="I16" s="349">
        <f t="shared" ref="I16:M16" si="2">I19</f>
        <v>14968.83734</v>
      </c>
      <c r="J16" s="349">
        <f t="shared" si="2"/>
        <v>34372.88575</v>
      </c>
      <c r="K16" s="349">
        <f t="shared" si="2"/>
        <v>124075.0295</v>
      </c>
      <c r="L16" s="349">
        <f t="shared" si="2"/>
        <v>249258.8618</v>
      </c>
      <c r="M16" s="349">
        <f t="shared" si="2"/>
        <v>291393.3669</v>
      </c>
      <c r="N16" s="305"/>
      <c r="O16" s="305"/>
      <c r="P16" s="308"/>
      <c r="Q16" s="308"/>
      <c r="R16" s="308"/>
      <c r="S16" s="308"/>
      <c r="T16" s="308"/>
      <c r="U16" s="308"/>
      <c r="V16" s="308"/>
      <c r="W16" s="308"/>
      <c r="X16" s="308"/>
      <c r="Y16" s="308"/>
      <c r="Z16" s="308"/>
    </row>
    <row r="17" outlineLevel="2">
      <c r="A17" s="350"/>
      <c r="B17" s="351" t="s">
        <v>96</v>
      </c>
      <c r="C17" s="352">
        <f>C23</f>
        <v>1186151.438</v>
      </c>
      <c r="D17" s="353" t="s">
        <v>246</v>
      </c>
      <c r="E17" s="354"/>
      <c r="F17" s="305"/>
      <c r="G17" s="355" t="s">
        <v>247</v>
      </c>
      <c r="H17" s="356">
        <f>AVERAGE(I17:M17)</f>
        <v>21.9285</v>
      </c>
      <c r="I17" s="357">
        <f>$C$155/4</f>
        <v>9.9675</v>
      </c>
      <c r="J17" s="357">
        <f>$C$155/3</f>
        <v>13.29</v>
      </c>
      <c r="K17" s="357">
        <f>$C$155/2</f>
        <v>19.935</v>
      </c>
      <c r="L17" s="357">
        <f>$C$155/1.5</f>
        <v>26.58</v>
      </c>
      <c r="M17" s="357">
        <f>$C$155/1</f>
        <v>39.87</v>
      </c>
      <c r="N17" s="305"/>
      <c r="O17" s="305"/>
      <c r="P17" s="308"/>
      <c r="Q17" s="308"/>
      <c r="R17" s="308"/>
      <c r="S17" s="308"/>
      <c r="T17" s="308"/>
      <c r="U17" s="308"/>
      <c r="V17" s="308"/>
      <c r="W17" s="308"/>
      <c r="X17" s="308"/>
      <c r="Y17" s="308"/>
      <c r="Z17" s="308"/>
    </row>
    <row r="18" outlineLevel="2">
      <c r="A18" s="350"/>
      <c r="B18" s="358" t="s">
        <v>248</v>
      </c>
      <c r="C18" s="359">
        <f>'Customer Phases - Inputs and As'!C36</f>
        <v>514447</v>
      </c>
      <c r="D18" s="353"/>
      <c r="E18" s="360"/>
      <c r="F18" s="305"/>
      <c r="G18" s="355" t="s">
        <v>249</v>
      </c>
      <c r="H18" s="361">
        <f t="shared" ref="H18:H19" si="3">SUM(I18:M18)</f>
        <v>26998.38789</v>
      </c>
      <c r="I18" s="362">
        <f>($C$25+$C$34)*'Customer Phases - Inputs and As'!C21*'Customer Phases - Inputs and As'!C22</f>
        <v>1501.764469</v>
      </c>
      <c r="J18" s="362">
        <f>(($C$25+$C$34)/2*'Customer Phases - Inputs and As'!D21*'Customer Phases - Inputs and As'!D22)-I18</f>
        <v>2586.372141</v>
      </c>
      <c r="K18" s="362">
        <f>(($C$25+$C$34)/2*'Customer Phases - Inputs and As'!E21*'Customer Phases - Inputs and As'!E22*1.1)-J18</f>
        <v>6223.979409</v>
      </c>
      <c r="L18" s="362">
        <f>(($C$25+$C$34)/2*'Customer Phases - Inputs and As'!F21*'Customer Phases - Inputs and As'!F22*1.1)-K18</f>
        <v>9377.684794</v>
      </c>
      <c r="M18" s="362">
        <f>(($C$25+$C$34)/2*'Customer Phases - Inputs and As'!G21*'Customer Phases - Inputs and As'!G22)-L18</f>
        <v>7308.587081</v>
      </c>
      <c r="N18" s="305"/>
      <c r="O18" s="305"/>
      <c r="P18" s="308"/>
      <c r="Q18" s="308"/>
      <c r="R18" s="308"/>
      <c r="S18" s="308"/>
      <c r="T18" s="308"/>
      <c r="U18" s="308"/>
      <c r="V18" s="308"/>
      <c r="W18" s="308"/>
      <c r="X18" s="308"/>
      <c r="Y18" s="308"/>
      <c r="Z18" s="308"/>
    </row>
    <row r="19" ht="15.75" customHeight="1" outlineLevel="2">
      <c r="A19" s="350"/>
      <c r="B19" s="358" t="s">
        <v>250</v>
      </c>
      <c r="C19" s="363">
        <f>'Customer Phases - Inputs and As'!C37</f>
        <v>0.771066796</v>
      </c>
      <c r="D19" s="353"/>
      <c r="E19" s="354" t="s">
        <v>251</v>
      </c>
      <c r="F19" s="305"/>
      <c r="G19" s="355" t="s">
        <v>252</v>
      </c>
      <c r="H19" s="356">
        <f t="shared" si="3"/>
        <v>714068.9814</v>
      </c>
      <c r="I19" s="357">
        <f t="shared" ref="I19:M19" si="4">I17*I18</f>
        <v>14968.83734</v>
      </c>
      <c r="J19" s="357">
        <f t="shared" si="4"/>
        <v>34372.88575</v>
      </c>
      <c r="K19" s="357">
        <f t="shared" si="4"/>
        <v>124075.0295</v>
      </c>
      <c r="L19" s="357">
        <f t="shared" si="4"/>
        <v>249258.8618</v>
      </c>
      <c r="M19" s="357">
        <f t="shared" si="4"/>
        <v>291393.3669</v>
      </c>
      <c r="N19" s="305"/>
      <c r="O19" s="305"/>
      <c r="P19" s="308"/>
      <c r="Q19" s="308"/>
      <c r="R19" s="308"/>
      <c r="S19" s="308"/>
      <c r="T19" s="308"/>
      <c r="U19" s="308"/>
      <c r="V19" s="308"/>
      <c r="W19" s="308"/>
      <c r="X19" s="308"/>
      <c r="Y19" s="308"/>
      <c r="Z19" s="308"/>
    </row>
    <row r="20" ht="15.75" customHeight="1" outlineLevel="2">
      <c r="A20" s="350"/>
      <c r="B20" s="364" t="s">
        <v>253</v>
      </c>
      <c r="C20" s="365">
        <f>'Customer Phases - Inputs and As'!C38</f>
        <v>39.87</v>
      </c>
      <c r="D20" s="353"/>
      <c r="E20" s="354"/>
      <c r="F20" s="305"/>
      <c r="G20" s="348" t="s">
        <v>254</v>
      </c>
      <c r="H20" s="349">
        <f>sum(I20:M20)</f>
        <v>1038063.624</v>
      </c>
      <c r="I20" s="349">
        <f t="shared" ref="I20:M20" si="5">I23</f>
        <v>14507.10034</v>
      </c>
      <c r="J20" s="349">
        <f t="shared" si="5"/>
        <v>127340.1029</v>
      </c>
      <c r="K20" s="349">
        <f t="shared" si="5"/>
        <v>203099.4047</v>
      </c>
      <c r="L20" s="349">
        <f t="shared" si="5"/>
        <v>322380.0075</v>
      </c>
      <c r="M20" s="349">
        <f t="shared" si="5"/>
        <v>370737.0086</v>
      </c>
      <c r="N20" s="305"/>
      <c r="O20" s="305"/>
      <c r="P20" s="308"/>
      <c r="Q20" s="308"/>
      <c r="R20" s="308"/>
      <c r="S20" s="308"/>
      <c r="T20" s="308"/>
      <c r="U20" s="308"/>
      <c r="V20" s="308"/>
      <c r="W20" s="308"/>
      <c r="X20" s="308"/>
      <c r="Y20" s="308"/>
      <c r="Z20" s="308"/>
    </row>
    <row r="21" ht="15.75" customHeight="1" outlineLevel="2">
      <c r="A21" s="350"/>
      <c r="B21" s="366" t="s">
        <v>255</v>
      </c>
      <c r="C21" s="365">
        <f>C20*C18*C19</f>
        <v>15815352.51</v>
      </c>
      <c r="D21" s="353"/>
      <c r="E21" s="354" t="s">
        <v>256</v>
      </c>
      <c r="F21" s="305"/>
      <c r="G21" s="355" t="s">
        <v>257</v>
      </c>
      <c r="H21" s="361">
        <f t="shared" ref="H21:H23" si="6">SUM(I21:M21)</f>
        <v>3256182.457</v>
      </c>
      <c r="I21" s="362">
        <f>C37+C53+C61+C45</f>
        <v>482942.5</v>
      </c>
      <c r="J21" s="362">
        <f>I21*(1+'Customer Phases - Inputs and As'!D23)</f>
        <v>555383.875</v>
      </c>
      <c r="K21" s="362">
        <f>J21*(1+'Customer Phases - Inputs and As'!E23)</f>
        <v>638691.4563</v>
      </c>
      <c r="L21" s="362">
        <f>K21*(1+'Customer Phases - Inputs and As'!F23)</f>
        <v>734495.1747</v>
      </c>
      <c r="M21" s="362">
        <f>L21*(1+'Customer Phases - Inputs and As'!G23)</f>
        <v>844669.4509</v>
      </c>
      <c r="N21" s="305"/>
      <c r="O21" s="305"/>
      <c r="P21" s="308"/>
      <c r="Q21" s="308"/>
      <c r="R21" s="308"/>
      <c r="S21" s="308"/>
      <c r="T21" s="308"/>
      <c r="U21" s="308"/>
      <c r="V21" s="308"/>
      <c r="W21" s="308"/>
      <c r="X21" s="308"/>
      <c r="Y21" s="308"/>
      <c r="Z21" s="308"/>
    </row>
    <row r="22" outlineLevel="2">
      <c r="A22" s="350"/>
      <c r="B22" s="364" t="s">
        <v>112</v>
      </c>
      <c r="C22" s="363">
        <f>'Customer Phases - Inputs and As'!C39</f>
        <v>0.075</v>
      </c>
      <c r="D22" s="353"/>
      <c r="E22" s="354" t="s">
        <v>258</v>
      </c>
      <c r="F22" s="305"/>
      <c r="G22" s="355" t="s">
        <v>259</v>
      </c>
      <c r="H22" s="361">
        <f t="shared" si="6"/>
        <v>814045.6142</v>
      </c>
      <c r="I22" s="362">
        <f>C43+C59+C67+C51</f>
        <v>120735.625</v>
      </c>
      <c r="J22" s="362">
        <f>I22*(1+'Customer Phases - Inputs and As'!D23)</f>
        <v>138845.9688</v>
      </c>
      <c r="K22" s="362">
        <f>J22*(1+'Customer Phases - Inputs and As'!E23)</f>
        <v>159672.8641</v>
      </c>
      <c r="L22" s="362">
        <f>K22*(1+'Customer Phases - Inputs and As'!F23)</f>
        <v>183623.7937</v>
      </c>
      <c r="M22" s="362">
        <f>L22*(1+'Customer Phases - Inputs and As'!G23)</f>
        <v>211167.3627</v>
      </c>
      <c r="N22" s="305"/>
      <c r="O22" s="305"/>
      <c r="P22" s="308"/>
      <c r="Q22" s="308"/>
      <c r="R22" s="308"/>
      <c r="S22" s="308"/>
      <c r="T22" s="308"/>
      <c r="U22" s="308"/>
      <c r="V22" s="308"/>
      <c r="W22" s="308"/>
      <c r="X22" s="308"/>
      <c r="Y22" s="308"/>
      <c r="Z22" s="308"/>
    </row>
    <row r="23" outlineLevel="1">
      <c r="A23" s="305"/>
      <c r="B23" s="364" t="s">
        <v>260</v>
      </c>
      <c r="C23" s="365">
        <f>C21*C22</f>
        <v>1186151.438</v>
      </c>
      <c r="D23" s="353"/>
      <c r="E23" s="354" t="s">
        <v>261</v>
      </c>
      <c r="F23" s="305"/>
      <c r="G23" s="355" t="s">
        <v>262</v>
      </c>
      <c r="H23" s="356">
        <f t="shared" si="6"/>
        <v>1038063.624</v>
      </c>
      <c r="I23" s="357">
        <f>C35*'Customer Phases - Inputs and As'!C21*'Customer Phases - Inputs and As'!C22</f>
        <v>14507.10034</v>
      </c>
      <c r="J23" s="357">
        <f>C35*'Customer Phases - Inputs and As'!D21*'Customer Phases - Inputs and As'!D22+C35*('Customer Phases - Inputs and As'!D23)</f>
        <v>127340.1029</v>
      </c>
      <c r="K23" s="357">
        <f>C35*'Customer Phases - Inputs and As'!E21*'Customer Phases - Inputs and As'!E22+C35*'Customer Phases - Inputs and As'!E23</f>
        <v>203099.4047</v>
      </c>
      <c r="L23" s="357">
        <f>C35*'Customer Phases - Inputs and As'!F21*'Customer Phases - Inputs and As'!F22+C35*'Customer Phases - Inputs and As'!F23</f>
        <v>322380.0075</v>
      </c>
      <c r="M23" s="357">
        <f>L23*'Customer Phases - Inputs and As'!G21*'Customer Phases - Inputs and As'!G22+L23*'Customer Phases - Inputs and As'!G23</f>
        <v>370737.0086</v>
      </c>
      <c r="N23" s="305"/>
      <c r="O23" s="305"/>
      <c r="P23" s="308"/>
      <c r="Q23" s="308"/>
      <c r="R23" s="308"/>
      <c r="S23" s="308"/>
      <c r="T23" s="308"/>
      <c r="U23" s="308"/>
      <c r="V23" s="308"/>
      <c r="W23" s="308"/>
      <c r="X23" s="308"/>
      <c r="Y23" s="308"/>
      <c r="Z23" s="308"/>
    </row>
    <row r="24" ht="27.75" customHeight="1" outlineLevel="1">
      <c r="A24" s="305"/>
      <c r="B24" s="364" t="s">
        <v>263</v>
      </c>
      <c r="C24" s="359">
        <f>C18*C19</f>
        <v>396673</v>
      </c>
      <c r="D24" s="353"/>
      <c r="E24" s="354" t="s">
        <v>264</v>
      </c>
      <c r="F24" s="305"/>
      <c r="G24" s="367" t="s">
        <v>265</v>
      </c>
      <c r="H24" s="343">
        <f>sUm(I24:M24)</f>
        <v>1351893.844</v>
      </c>
      <c r="I24" s="343">
        <f t="shared" ref="I24:M24" si="7">I28+I32</f>
        <v>12783.36713</v>
      </c>
      <c r="J24" s="343">
        <f t="shared" si="7"/>
        <v>112021.233</v>
      </c>
      <c r="K24" s="343">
        <f t="shared" si="7"/>
        <v>211735.334</v>
      </c>
      <c r="L24" s="343">
        <f t="shared" si="7"/>
        <v>392046.6526</v>
      </c>
      <c r="M24" s="343">
        <f t="shared" si="7"/>
        <v>623307.2576</v>
      </c>
      <c r="N24" s="305"/>
      <c r="O24" s="305"/>
      <c r="P24" s="308"/>
      <c r="Q24" s="308"/>
      <c r="R24" s="308"/>
      <c r="S24" s="308"/>
      <c r="T24" s="308"/>
      <c r="U24" s="308"/>
      <c r="V24" s="308"/>
      <c r="W24" s="308"/>
      <c r="X24" s="308"/>
      <c r="Y24" s="308"/>
      <c r="Z24" s="308"/>
    </row>
    <row r="25" hidden="1" outlineLevel="2">
      <c r="A25" s="305"/>
      <c r="B25" s="368" t="s">
        <v>266</v>
      </c>
      <c r="C25" s="369">
        <f>C24*C22</f>
        <v>29750.475</v>
      </c>
      <c r="D25" s="353"/>
      <c r="E25" s="354" t="s">
        <v>267</v>
      </c>
      <c r="F25" s="305"/>
      <c r="G25" s="348" t="s">
        <v>245</v>
      </c>
      <c r="H25" s="349">
        <f>sum(I25:M25)</f>
        <v>639306.2119</v>
      </c>
      <c r="I25" s="349">
        <f t="shared" ref="I25:M25" si="8">I28</f>
        <v>2824.844321</v>
      </c>
      <c r="J25" s="349">
        <f t="shared" si="8"/>
        <v>24607.53275</v>
      </c>
      <c r="K25" s="349">
        <f t="shared" si="8"/>
        <v>72316.01462</v>
      </c>
      <c r="L25" s="349">
        <f t="shared" si="8"/>
        <v>170746.1456</v>
      </c>
      <c r="M25" s="349">
        <f t="shared" si="8"/>
        <v>368811.6746</v>
      </c>
      <c r="N25" s="305"/>
      <c r="O25" s="305"/>
      <c r="P25" s="308"/>
      <c r="Q25" s="308"/>
      <c r="R25" s="308"/>
      <c r="S25" s="308"/>
      <c r="T25" s="308"/>
      <c r="U25" s="308"/>
      <c r="V25" s="308"/>
      <c r="W25" s="308"/>
      <c r="X25" s="308"/>
      <c r="Y25" s="308"/>
      <c r="Z25" s="308"/>
    </row>
    <row r="26" ht="15.75" hidden="1" customHeight="1" outlineLevel="2">
      <c r="A26" s="305"/>
      <c r="B26" s="370" t="s">
        <v>268</v>
      </c>
      <c r="C26" s="352">
        <f>C32</f>
        <v>144411.8811</v>
      </c>
      <c r="D26" s="353" t="s">
        <v>269</v>
      </c>
      <c r="E26" s="354"/>
      <c r="F26" s="305"/>
      <c r="G26" s="355" t="s">
        <v>247</v>
      </c>
      <c r="H26" s="356">
        <f t="shared" ref="H26:H28" si="9">SUM(I26:M26)</f>
        <v>109.6425</v>
      </c>
      <c r="I26" s="357">
        <f>$C$74/4</f>
        <v>9.9675</v>
      </c>
      <c r="J26" s="357">
        <f>$C$74/3</f>
        <v>13.29</v>
      </c>
      <c r="K26" s="357">
        <f>$C$74/2</f>
        <v>19.935</v>
      </c>
      <c r="L26" s="357">
        <f>$C$74/1.5</f>
        <v>26.58</v>
      </c>
      <c r="M26" s="357">
        <f>$C$74/1</f>
        <v>39.87</v>
      </c>
      <c r="N26" s="305"/>
      <c r="O26" s="305"/>
      <c r="P26" s="308"/>
      <c r="Q26" s="308"/>
      <c r="R26" s="308"/>
      <c r="S26" s="308"/>
      <c r="T26" s="308"/>
      <c r="U26" s="308"/>
      <c r="V26" s="308"/>
      <c r="W26" s="308"/>
      <c r="X26" s="308"/>
      <c r="Y26" s="308"/>
      <c r="Z26" s="308"/>
    </row>
    <row r="27" hidden="1" outlineLevel="2">
      <c r="A27" s="305"/>
      <c r="B27" s="364" t="s">
        <v>138</v>
      </c>
      <c r="C27" s="359">
        <f>'Customer Phases - Inputs and As'!C42</f>
        <v>241471.25</v>
      </c>
      <c r="D27" s="353"/>
      <c r="E27" s="354" t="s">
        <v>270</v>
      </c>
      <c r="F27" s="305"/>
      <c r="G27" s="355" t="s">
        <v>271</v>
      </c>
      <c r="H27" s="361">
        <f t="shared" si="9"/>
        <v>21436.79202</v>
      </c>
      <c r="I27" s="362">
        <f>(($C$79+$C$88)*'Customer Phases - Inputs and As'!C21*'Customer Phases - Inputs and As'!C22)</f>
        <v>283.4055</v>
      </c>
      <c r="J27" s="362">
        <f>(($C$79+$C$88)*'Customer Phases - Inputs and As'!D21*'Customer Phases - Inputs and As'!D22)*(1+'Customer Phases - Inputs and As'!F76)</f>
        <v>1851.5826</v>
      </c>
      <c r="K27" s="362">
        <f>(($C$79+$C$88)*'Customer Phases - Inputs and As'!E21*'Customer Phases - Inputs and As'!E22)*((1+'Customer Phases - Inputs and As'!F76))</f>
        <v>3627.5904</v>
      </c>
      <c r="L27" s="362">
        <f>(($C$79+$C$88)*'Customer Phases - Inputs and As'!F21*'Customer Phases - Inputs and As'!F22)*((1+'Customer Phases - Inputs and As'!F76))</f>
        <v>6423.858</v>
      </c>
      <c r="M27" s="362">
        <f>((L27*'Customer Phases - Inputs and As'!G21*'Customer Phases - Inputs and As'!G22)*((1+'Customer Phases - Inputs and As'!F76)^2))</f>
        <v>9250.35552</v>
      </c>
      <c r="N27" s="305"/>
      <c r="O27" s="305"/>
      <c r="P27" s="308"/>
      <c r="Q27" s="308"/>
      <c r="R27" s="308"/>
      <c r="S27" s="308"/>
      <c r="T27" s="308"/>
      <c r="U27" s="308"/>
      <c r="V27" s="308"/>
      <c r="W27" s="308"/>
      <c r="X27" s="308"/>
      <c r="Y27" s="308"/>
      <c r="Z27" s="308"/>
    </row>
    <row r="28" ht="15.75" hidden="1" customHeight="1" outlineLevel="2">
      <c r="A28" s="305"/>
      <c r="B28" s="364" t="s">
        <v>118</v>
      </c>
      <c r="C28" s="363">
        <f>'Customer Phases - Inputs and As'!C43</f>
        <v>0.2</v>
      </c>
      <c r="D28" s="353"/>
      <c r="E28" s="354" t="s">
        <v>272</v>
      </c>
      <c r="F28" s="305"/>
      <c r="G28" s="355" t="s">
        <v>273</v>
      </c>
      <c r="H28" s="356">
        <f t="shared" si="9"/>
        <v>639306.2119</v>
      </c>
      <c r="I28" s="357">
        <f t="shared" ref="I28:M28" si="10">I27*I26</f>
        <v>2824.844321</v>
      </c>
      <c r="J28" s="357">
        <f t="shared" si="10"/>
        <v>24607.53275</v>
      </c>
      <c r="K28" s="357">
        <f t="shared" si="10"/>
        <v>72316.01462</v>
      </c>
      <c r="L28" s="357">
        <f t="shared" si="10"/>
        <v>170746.1456</v>
      </c>
      <c r="M28" s="357">
        <f t="shared" si="10"/>
        <v>368811.6746</v>
      </c>
      <c r="N28" s="305"/>
      <c r="O28" s="305"/>
      <c r="P28" s="308"/>
      <c r="Q28" s="308"/>
      <c r="R28" s="308"/>
      <c r="S28" s="308"/>
      <c r="T28" s="308"/>
      <c r="U28" s="308"/>
      <c r="V28" s="308"/>
      <c r="W28" s="308"/>
      <c r="X28" s="308"/>
      <c r="Y28" s="308"/>
      <c r="Z28" s="308"/>
    </row>
    <row r="29" ht="15.75" hidden="1" customHeight="1" outlineLevel="2">
      <c r="A29" s="305"/>
      <c r="B29" s="364" t="s">
        <v>253</v>
      </c>
      <c r="C29" s="365">
        <f>'Customer Phases - Inputs and As'!C44</f>
        <v>39.87</v>
      </c>
      <c r="D29" s="353"/>
      <c r="E29" s="354"/>
      <c r="F29" s="305"/>
      <c r="G29" s="348" t="s">
        <v>254</v>
      </c>
      <c r="H29" s="349">
        <f>sum(I29:M29)</f>
        <v>712587.6323</v>
      </c>
      <c r="I29" s="349">
        <f t="shared" ref="I29:M29" si="11">I32</f>
        <v>9958.522812</v>
      </c>
      <c r="J29" s="349">
        <f t="shared" si="11"/>
        <v>87413.70024</v>
      </c>
      <c r="K29" s="349">
        <f t="shared" si="11"/>
        <v>139419.3194</v>
      </c>
      <c r="L29" s="349">
        <f t="shared" si="11"/>
        <v>221300.5069</v>
      </c>
      <c r="M29" s="349">
        <f t="shared" si="11"/>
        <v>254495.583</v>
      </c>
      <c r="N29" s="305"/>
      <c r="O29" s="305"/>
      <c r="P29" s="308"/>
      <c r="Q29" s="308"/>
      <c r="R29" s="308"/>
      <c r="S29" s="308"/>
      <c r="T29" s="308"/>
      <c r="U29" s="308"/>
      <c r="V29" s="308"/>
      <c r="W29" s="308"/>
      <c r="X29" s="308"/>
      <c r="Y29" s="308"/>
      <c r="Z29" s="308"/>
    </row>
    <row r="30" ht="15.75" hidden="1" customHeight="1" outlineLevel="2">
      <c r="A30" s="305"/>
      <c r="B30" s="366" t="s">
        <v>255</v>
      </c>
      <c r="C30" s="365">
        <f>C29*C27*C28</f>
        <v>1925491.748</v>
      </c>
      <c r="D30" s="353"/>
      <c r="E30" s="354" t="s">
        <v>274</v>
      </c>
      <c r="F30" s="305"/>
      <c r="G30" s="355" t="s">
        <v>257</v>
      </c>
      <c r="H30" s="361">
        <f t="shared" ref="H30:H32" si="12">SUM(I30:M30)</f>
        <v>1047766.046</v>
      </c>
      <c r="I30" s="362">
        <f>C91+C99+C107+C115</f>
        <v>155400</v>
      </c>
      <c r="J30" s="362">
        <f>I30*(1+'Customer Phases - Inputs and As'!D23)</f>
        <v>178710</v>
      </c>
      <c r="K30" s="362">
        <f>J30*(1+'Customer Phases - Inputs and As'!E23)</f>
        <v>205516.5</v>
      </c>
      <c r="L30" s="362">
        <f>K30*(1+'Customer Phases - Inputs and As'!F23)</f>
        <v>236343.975</v>
      </c>
      <c r="M30" s="362">
        <f>L30*(1+'Customer Phases - Inputs and As'!G23)</f>
        <v>271795.5713</v>
      </c>
      <c r="N30" s="305"/>
      <c r="O30" s="305"/>
      <c r="P30" s="308"/>
      <c r="Q30" s="308"/>
      <c r="R30" s="308"/>
      <c r="S30" s="308"/>
      <c r="T30" s="308"/>
      <c r="U30" s="308"/>
      <c r="V30" s="308"/>
      <c r="W30" s="308"/>
      <c r="X30" s="308"/>
      <c r="Y30" s="308"/>
      <c r="Z30" s="308"/>
    </row>
    <row r="31" hidden="1" outlineLevel="2">
      <c r="A31" s="305"/>
      <c r="B31" s="364" t="s">
        <v>112</v>
      </c>
      <c r="C31" s="363">
        <f>'Customer Phases - Inputs and As'!C45</f>
        <v>0.075</v>
      </c>
      <c r="D31" s="353"/>
      <c r="E31" s="354" t="s">
        <v>275</v>
      </c>
      <c r="F31" s="305"/>
      <c r="G31" s="355" t="s">
        <v>259</v>
      </c>
      <c r="H31" s="361">
        <f t="shared" si="12"/>
        <v>279404.279</v>
      </c>
      <c r="I31" s="362">
        <f>C97+C105+C113+C121</f>
        <v>41440</v>
      </c>
      <c r="J31" s="362">
        <f>I31*(1+'Customer Phases - Inputs and As'!D23)</f>
        <v>47656</v>
      </c>
      <c r="K31" s="362">
        <f>J31*(1+'Customer Phases - Inputs and As'!E23)</f>
        <v>54804.4</v>
      </c>
      <c r="L31" s="362">
        <f>K31*(1+'Customer Phases - Inputs and As'!F23)</f>
        <v>63025.06</v>
      </c>
      <c r="M31" s="362">
        <f>L31*(1+'Customer Phases - Inputs and As'!G23)</f>
        <v>72478.819</v>
      </c>
      <c r="N31" s="305"/>
      <c r="O31" s="305"/>
      <c r="P31" s="308"/>
      <c r="Q31" s="308"/>
      <c r="R31" s="308"/>
      <c r="S31" s="308"/>
      <c r="T31" s="308"/>
      <c r="U31" s="308"/>
      <c r="V31" s="308"/>
      <c r="W31" s="308"/>
      <c r="X31" s="308"/>
      <c r="Y31" s="308"/>
      <c r="Z31" s="308"/>
    </row>
    <row r="32" hidden="1" outlineLevel="2">
      <c r="A32" s="305"/>
      <c r="B32" s="368" t="s">
        <v>260</v>
      </c>
      <c r="C32" s="371">
        <f>C30*C31</f>
        <v>144411.8811</v>
      </c>
      <c r="D32" s="353"/>
      <c r="E32" s="354" t="s">
        <v>276</v>
      </c>
      <c r="F32" s="305"/>
      <c r="G32" s="355" t="s">
        <v>262</v>
      </c>
      <c r="H32" s="356">
        <f t="shared" si="12"/>
        <v>712587.6323</v>
      </c>
      <c r="I32" s="357">
        <f>C89*'Customer Phases - Inputs and As'!C21*'Customer Phases - Inputs and As'!C22</f>
        <v>9958.522812</v>
      </c>
      <c r="J32" s="357">
        <f>$C$89*'Customer Phases - Inputs and As'!D21*'Customer Phases - Inputs and As'!D22+$C$89*'Customer Phases - Inputs and As'!D23</f>
        <v>87413.70024</v>
      </c>
      <c r="K32" s="357">
        <f>C89*'Customer Phases - Inputs and As'!E21*'Customer Phases - Inputs and As'!E22+C89*'Customer Phases - Inputs and As'!E23</f>
        <v>139419.3194</v>
      </c>
      <c r="L32" s="357">
        <f>C89*'Customer Phases - Inputs and As'!F21*'Customer Phases - Inputs and As'!F22+C89*'Customer Phases - Inputs and As'!F23</f>
        <v>221300.5069</v>
      </c>
      <c r="M32" s="357">
        <f>L32*'Customer Phases - Inputs and As'!G21*'Customer Phases - Inputs and As'!G22+L32*'Customer Phases - Inputs and As'!G23</f>
        <v>254495.583</v>
      </c>
      <c r="N32" s="305"/>
      <c r="O32" s="305"/>
      <c r="P32" s="308"/>
      <c r="Q32" s="308"/>
      <c r="R32" s="308"/>
      <c r="S32" s="308"/>
      <c r="T32" s="308"/>
      <c r="U32" s="308"/>
      <c r="V32" s="308"/>
      <c r="W32" s="308"/>
      <c r="X32" s="308"/>
      <c r="Y32" s="308"/>
      <c r="Z32" s="308"/>
    </row>
    <row r="33" outlineLevel="1" collapsed="1">
      <c r="A33" s="305"/>
      <c r="B33" s="364" t="s">
        <v>263</v>
      </c>
      <c r="C33" s="359">
        <f>C27*C28</f>
        <v>48294.25</v>
      </c>
      <c r="D33" s="353"/>
      <c r="E33" s="354" t="s">
        <v>277</v>
      </c>
      <c r="F33" s="305"/>
      <c r="G33" s="367" t="s">
        <v>278</v>
      </c>
      <c r="H33" s="343">
        <f>sUm(I33:M33)</f>
        <v>7952116.785</v>
      </c>
      <c r="I33" s="343">
        <f>(I37+I41)*0</f>
        <v>0</v>
      </c>
      <c r="J33" s="343">
        <f t="shared" ref="J33:M33" si="13">J37+J41</f>
        <v>765378.8834</v>
      </c>
      <c r="K33" s="343">
        <f t="shared" si="13"/>
        <v>1487416.394</v>
      </c>
      <c r="L33" s="343">
        <f t="shared" si="13"/>
        <v>2619573.354</v>
      </c>
      <c r="M33" s="343">
        <f t="shared" si="13"/>
        <v>3079748.153</v>
      </c>
      <c r="N33" s="305"/>
      <c r="O33" s="305"/>
      <c r="P33" s="308"/>
      <c r="Q33" s="308"/>
      <c r="R33" s="308"/>
      <c r="S33" s="308"/>
      <c r="T33" s="308"/>
      <c r="U33" s="308"/>
      <c r="V33" s="308"/>
      <c r="W33" s="308"/>
      <c r="X33" s="308"/>
      <c r="Y33" s="308"/>
      <c r="Z33" s="308"/>
    </row>
    <row r="34" outlineLevel="2">
      <c r="A34" s="305"/>
      <c r="B34" s="372" t="s">
        <v>266</v>
      </c>
      <c r="C34" s="373">
        <f>C33*C31</f>
        <v>3622.06875</v>
      </c>
      <c r="D34" s="353"/>
      <c r="E34" s="354" t="s">
        <v>267</v>
      </c>
      <c r="F34" s="305"/>
      <c r="G34" s="374" t="s">
        <v>245</v>
      </c>
      <c r="H34" s="356">
        <f>sum(I34:M34)</f>
        <v>7695106.572</v>
      </c>
      <c r="I34" s="356">
        <f>I37*0</f>
        <v>0</v>
      </c>
      <c r="J34" s="356">
        <f t="shared" ref="J34:M34" si="14">J37</f>
        <v>732155.7709</v>
      </c>
      <c r="K34" s="356">
        <f t="shared" si="14"/>
        <v>1434427.633</v>
      </c>
      <c r="L34" s="356">
        <f t="shared" si="14"/>
        <v>2540132.267</v>
      </c>
      <c r="M34" s="356">
        <f t="shared" si="14"/>
        <v>2988390.902</v>
      </c>
      <c r="N34" s="305"/>
      <c r="O34" s="305"/>
      <c r="P34" s="308"/>
      <c r="Q34" s="308"/>
      <c r="R34" s="308"/>
      <c r="S34" s="308"/>
      <c r="T34" s="308"/>
      <c r="U34" s="308"/>
      <c r="V34" s="308"/>
      <c r="W34" s="308"/>
      <c r="X34" s="308"/>
      <c r="Y34" s="308"/>
      <c r="Z34" s="308"/>
    </row>
    <row r="35" ht="15.75" customHeight="1" outlineLevel="2">
      <c r="A35" s="305"/>
      <c r="B35" s="375" t="s">
        <v>279</v>
      </c>
      <c r="C35" s="376">
        <f>C42+C58+C66+C50</f>
        <v>322380.0075</v>
      </c>
      <c r="D35" s="377"/>
      <c r="E35" s="354"/>
      <c r="F35" s="305"/>
      <c r="G35" s="378" t="s">
        <v>280</v>
      </c>
      <c r="H35" s="356">
        <f t="shared" ref="H35:H37" si="16">SUM(I35:M35)</f>
        <v>106.32</v>
      </c>
      <c r="I35" s="356">
        <f t="shared" ref="I35:J35" si="15">$C$128/4</f>
        <v>9.9675</v>
      </c>
      <c r="J35" s="356">
        <f t="shared" si="15"/>
        <v>9.9675</v>
      </c>
      <c r="K35" s="356">
        <f>$C$128/2</f>
        <v>19.935</v>
      </c>
      <c r="L35" s="356">
        <f>$C$128/1.5</f>
        <v>26.58</v>
      </c>
      <c r="M35" s="356">
        <f>$C$128</f>
        <v>39.87</v>
      </c>
      <c r="N35" s="305"/>
      <c r="O35" s="305"/>
      <c r="P35" s="308"/>
      <c r="Q35" s="308"/>
      <c r="R35" s="308"/>
      <c r="S35" s="308"/>
      <c r="T35" s="308"/>
      <c r="U35" s="308"/>
      <c r="V35" s="308"/>
      <c r="W35" s="308"/>
      <c r="X35" s="308"/>
      <c r="Y35" s="308"/>
      <c r="Z35" s="308"/>
    </row>
    <row r="36" ht="15.75" customHeight="1" outlineLevel="2">
      <c r="A36" s="305"/>
      <c r="B36" s="375" t="s">
        <v>162</v>
      </c>
      <c r="C36" s="376">
        <f>C42</f>
        <v>193428.0045</v>
      </c>
      <c r="D36" s="377" t="s">
        <v>281</v>
      </c>
      <c r="E36" s="354"/>
      <c r="F36" s="305"/>
      <c r="G36" s="378" t="s">
        <v>282</v>
      </c>
      <c r="H36" s="356">
        <f t="shared" si="16"/>
        <v>7829584.163</v>
      </c>
      <c r="I36" s="356">
        <f>(($C$131)*'Customer Phases - Inputs and As'!C21*'Customer Phases - Inputs and As'!C22)</f>
        <v>134477.5906</v>
      </c>
      <c r="J36" s="356">
        <f>(($C$131)*'Customer Phases - Inputs and As'!D21*'Customer Phases - Inputs and As'!D22)*((1+'Customer Phases - Inputs and As'!X76))</f>
        <v>732155.7709</v>
      </c>
      <c r="K36" s="356">
        <f>(($C$131)*'Customer Phases - Inputs and As'!E21*'Customer Phases - Inputs and As'!E22)*((1+'Customer Phases - Inputs and As'!X76)^2)</f>
        <v>1434427.633</v>
      </c>
      <c r="L36" s="356">
        <f>(($C$131)*'Customer Phases - Inputs and As'!F21*'Customer Phases - Inputs and As'!F22)*((1+'Customer Phases - Inputs and As'!X76)^3)</f>
        <v>2540132.267</v>
      </c>
      <c r="M36" s="356">
        <f>(($C$131)*'Customer Phases - Inputs and As'!G21*'Customer Phases - Inputs and As'!G22)*((1+'Customer Phases - Inputs and As'!X76)^3)</f>
        <v>2988390.902</v>
      </c>
      <c r="N36" s="305"/>
      <c r="O36" s="305"/>
      <c r="P36" s="308"/>
      <c r="Q36" s="308"/>
      <c r="R36" s="308"/>
      <c r="S36" s="308"/>
      <c r="T36" s="308"/>
      <c r="U36" s="308"/>
      <c r="V36" s="308"/>
      <c r="W36" s="308"/>
      <c r="X36" s="308"/>
      <c r="Y36" s="308"/>
      <c r="Z36" s="308"/>
    </row>
    <row r="37" ht="15.75" customHeight="1" outlineLevel="2">
      <c r="A37" s="305"/>
      <c r="B37" s="379" t="s">
        <v>166</v>
      </c>
      <c r="C37" s="380">
        <f>'Customer Phases - Inputs and As'!C48</f>
        <v>241471.25</v>
      </c>
      <c r="D37" s="377"/>
      <c r="E37" s="354" t="s">
        <v>283</v>
      </c>
      <c r="F37" s="305"/>
      <c r="G37" s="378" t="s">
        <v>284</v>
      </c>
      <c r="H37" s="356">
        <f t="shared" si="16"/>
        <v>7829584.163</v>
      </c>
      <c r="I37" s="356">
        <f>(($C$140)*'Customer Phases - Inputs and As'!C21*'Customer Phases - Inputs and As'!C22)</f>
        <v>134477.5906</v>
      </c>
      <c r="J37" s="356">
        <f>(($C$140)*'Customer Phases - Inputs and As'!D21*'Customer Phases - Inputs and As'!D22)*((1+'Customer Phases - Inputs and As'!X76))</f>
        <v>732155.7709</v>
      </c>
      <c r="K37" s="356">
        <f>(($C$140)*'Customer Phases - Inputs and As'!E21*'Customer Phases - Inputs and As'!E22)*((1+'Customer Phases - Inputs and As'!X76)^2)</f>
        <v>1434427.633</v>
      </c>
      <c r="L37" s="356">
        <f>(($C$140)*'Customer Phases - Inputs and As'!F21*'Customer Phases - Inputs and As'!F22)*((1+'Customer Phases - Inputs and As'!X76)^3)</f>
        <v>2540132.267</v>
      </c>
      <c r="M37" s="356">
        <f>(($C$140)*'Customer Phases - Inputs and As'!G21*'Customer Phases - Inputs and As'!G22)*((1+'Customer Phases - Inputs and As'!X76)^3)</f>
        <v>2988390.902</v>
      </c>
      <c r="N37" s="305"/>
      <c r="O37" s="305"/>
      <c r="P37" s="308"/>
      <c r="Q37" s="308"/>
      <c r="R37" s="308"/>
      <c r="S37" s="308"/>
      <c r="T37" s="308"/>
      <c r="U37" s="308"/>
      <c r="V37" s="308"/>
      <c r="W37" s="308"/>
      <c r="X37" s="308"/>
      <c r="Y37" s="308"/>
      <c r="Z37" s="308"/>
    </row>
    <row r="38" ht="15.75" customHeight="1" outlineLevel="2">
      <c r="A38" s="305"/>
      <c r="B38" s="379" t="s">
        <v>171</v>
      </c>
      <c r="C38" s="381">
        <f>'Customer Phases - Inputs and As'!C49</f>
        <v>0.3333333333</v>
      </c>
      <c r="D38" s="377"/>
      <c r="E38" s="360" t="s">
        <v>285</v>
      </c>
      <c r="F38" s="305"/>
      <c r="G38" s="374" t="s">
        <v>254</v>
      </c>
      <c r="H38" s="356">
        <f>sum(I38:M38)</f>
        <v>257010.2128</v>
      </c>
      <c r="I38" s="356">
        <f>I41*0</f>
        <v>0</v>
      </c>
      <c r="J38" s="356">
        <f t="shared" ref="J38:M38" si="17">J41</f>
        <v>33223.11242</v>
      </c>
      <c r="K38" s="356">
        <f t="shared" si="17"/>
        <v>52988.76158</v>
      </c>
      <c r="L38" s="356">
        <f t="shared" si="17"/>
        <v>79441.0878</v>
      </c>
      <c r="M38" s="356">
        <f t="shared" si="17"/>
        <v>91357.25097</v>
      </c>
      <c r="N38" s="305"/>
      <c r="O38" s="305"/>
      <c r="P38" s="308"/>
      <c r="Q38" s="308"/>
      <c r="R38" s="308"/>
      <c r="S38" s="308"/>
      <c r="T38" s="308"/>
      <c r="U38" s="308"/>
      <c r="V38" s="308"/>
      <c r="W38" s="308"/>
      <c r="X38" s="308"/>
      <c r="Y38" s="308"/>
      <c r="Z38" s="308"/>
    </row>
    <row r="39" ht="15.75" customHeight="1" outlineLevel="2">
      <c r="A39" s="305"/>
      <c r="B39" s="382" t="s">
        <v>286</v>
      </c>
      <c r="C39" s="365">
        <f>'Customer Phases - Inputs and As'!C50</f>
        <v>8.010394797</v>
      </c>
      <c r="D39" s="377"/>
      <c r="E39" s="360" t="s">
        <v>287</v>
      </c>
      <c r="F39" s="305"/>
      <c r="G39" s="378" t="s">
        <v>288</v>
      </c>
      <c r="H39" s="356">
        <f>SUM(I39:M39)</f>
        <v>567095.9247</v>
      </c>
      <c r="I39" s="356">
        <f>C144</f>
        <v>84109.14537</v>
      </c>
      <c r="J39" s="356">
        <f>I39*(1+'Customer Phases - Inputs and As'!D23)</f>
        <v>96725.51718</v>
      </c>
      <c r="K39" s="356">
        <f>J39*(1+'Customer Phases - Inputs and As'!E23)</f>
        <v>111234.3448</v>
      </c>
      <c r="L39" s="356">
        <f>K39*(1+'Customer Phases - Inputs and As'!F23)</f>
        <v>127919.4965</v>
      </c>
      <c r="M39" s="356">
        <f>L39*(1+'Customer Phases - Inputs and As'!G23)</f>
        <v>147107.4209</v>
      </c>
      <c r="N39" s="305"/>
      <c r="O39" s="305"/>
      <c r="P39" s="308"/>
      <c r="Q39" s="308"/>
      <c r="R39" s="308"/>
      <c r="S39" s="308"/>
      <c r="T39" s="308"/>
      <c r="U39" s="308"/>
      <c r="V39" s="308"/>
      <c r="W39" s="308"/>
      <c r="X39" s="308"/>
      <c r="Y39" s="308"/>
      <c r="Z39" s="308"/>
    </row>
    <row r="40" ht="15.75" customHeight="1" outlineLevel="2">
      <c r="A40" s="305"/>
      <c r="B40" s="383" t="s">
        <v>255</v>
      </c>
      <c r="C40" s="384">
        <f>C39*C38*C37</f>
        <v>644760.0149</v>
      </c>
      <c r="D40" s="377"/>
      <c r="E40" s="354" t="s">
        <v>289</v>
      </c>
      <c r="F40" s="305"/>
      <c r="G40" s="385"/>
      <c r="H40" s="356"/>
      <c r="I40" s="356"/>
      <c r="J40" s="356"/>
      <c r="K40" s="356"/>
      <c r="L40" s="356"/>
      <c r="M40" s="356"/>
      <c r="N40" s="305"/>
      <c r="O40" s="305"/>
      <c r="P40" s="308"/>
      <c r="Q40" s="308"/>
      <c r="R40" s="308"/>
      <c r="S40" s="308"/>
      <c r="T40" s="308"/>
      <c r="U40" s="308"/>
      <c r="V40" s="308"/>
      <c r="W40" s="308"/>
      <c r="X40" s="308"/>
      <c r="Y40" s="308"/>
      <c r="Z40" s="308"/>
    </row>
    <row r="41" ht="15.75" customHeight="1" outlineLevel="2">
      <c r="A41" s="305"/>
      <c r="B41" s="379" t="s">
        <v>112</v>
      </c>
      <c r="C41" s="386">
        <f>'Customer Phases - Inputs and As'!C51</f>
        <v>0.3</v>
      </c>
      <c r="D41" s="377"/>
      <c r="E41" s="354" t="s">
        <v>290</v>
      </c>
      <c r="F41" s="305"/>
      <c r="G41" s="385" t="s">
        <v>262</v>
      </c>
      <c r="H41" s="356">
        <f>SUM(I41:M41)</f>
        <v>260795.1243</v>
      </c>
      <c r="I41" s="356">
        <f>C143*'Customer Phases - Inputs and As'!C21*'Customer Phases - Inputs and As'!C22</f>
        <v>3784.911542</v>
      </c>
      <c r="J41" s="356">
        <f>$C$143*'Customer Phases - Inputs and As'!D21*'Customer Phases - Inputs and As'!D22+$C$143*'Customer Phases - Inputs and As'!D23</f>
        <v>33223.11242</v>
      </c>
      <c r="K41" s="356">
        <f>C143*'Customer Phases - Inputs and As'!E21*'Customer Phases - Inputs and As'!E22+C143*'Customer Phases - Inputs and As'!E23</f>
        <v>52988.76158</v>
      </c>
      <c r="L41" s="356">
        <f>C143*'Customer Phases - Inputs and As'!F21*'Customer Phases - Inputs and As'!F22+K41*'Customer Phases - Inputs and As'!F23</f>
        <v>79441.0878</v>
      </c>
      <c r="M41" s="356">
        <f>L41*'Customer Phases - Inputs and As'!G21*'Customer Phases - Inputs and As'!G22+L41*'Customer Phases - Inputs and As'!G23</f>
        <v>91357.25097</v>
      </c>
      <c r="N41" s="305"/>
      <c r="O41" s="305"/>
      <c r="P41" s="308"/>
      <c r="Q41" s="308"/>
      <c r="R41" s="308"/>
      <c r="S41" s="308"/>
      <c r="T41" s="308"/>
      <c r="U41" s="308"/>
      <c r="V41" s="308"/>
      <c r="W41" s="308"/>
      <c r="X41" s="308"/>
      <c r="Y41" s="308"/>
      <c r="Z41" s="308"/>
    </row>
    <row r="42" ht="15.75" customHeight="1" outlineLevel="1">
      <c r="A42" s="305"/>
      <c r="B42" s="379" t="s">
        <v>260</v>
      </c>
      <c r="C42" s="384">
        <f>C40*C41</f>
        <v>193428.0045</v>
      </c>
      <c r="D42" s="377"/>
      <c r="E42" s="354" t="s">
        <v>291</v>
      </c>
      <c r="F42" s="305"/>
      <c r="G42" s="342" t="s">
        <v>292</v>
      </c>
      <c r="H42" s="387">
        <f>sUm(I42:M42)</f>
        <v>6375921.497</v>
      </c>
      <c r="I42" s="387">
        <f t="shared" ref="I42:M42" si="18">I43+I44</f>
        <v>109418.8396</v>
      </c>
      <c r="J42" s="387">
        <f t="shared" si="18"/>
        <v>596367.6616</v>
      </c>
      <c r="K42" s="387">
        <f t="shared" si="18"/>
        <v>1168393.786</v>
      </c>
      <c r="L42" s="387">
        <f t="shared" si="18"/>
        <v>2069030.663</v>
      </c>
      <c r="M42" s="387">
        <f t="shared" si="18"/>
        <v>2432710.547</v>
      </c>
      <c r="N42" s="305"/>
      <c r="O42" s="305"/>
      <c r="P42" s="308"/>
      <c r="Q42" s="308"/>
      <c r="R42" s="308"/>
      <c r="S42" s="308"/>
      <c r="T42" s="308"/>
      <c r="U42" s="308"/>
      <c r="V42" s="308"/>
      <c r="W42" s="308"/>
      <c r="X42" s="308"/>
      <c r="Y42" s="308"/>
      <c r="Z42" s="308"/>
    </row>
    <row r="43" ht="15.75" customHeight="1" outlineLevel="1">
      <c r="A43" s="305"/>
      <c r="B43" s="379" t="s">
        <v>293</v>
      </c>
      <c r="C43" s="388">
        <f>C41*C37</f>
        <v>72441.375</v>
      </c>
      <c r="D43" s="377"/>
      <c r="E43" s="354" t="s">
        <v>294</v>
      </c>
      <c r="F43" s="305"/>
      <c r="G43" s="355" t="s">
        <v>295</v>
      </c>
      <c r="H43" s="356">
        <f t="shared" ref="H43:H44" si="19">SUM(I43:M43)</f>
        <v>74061.07306</v>
      </c>
      <c r="I43" s="357">
        <f>($C$152)*'Customer Phases - Inputs and As'!C27*'Customer Phases - Inputs and As'!C28</f>
        <v>1180.778844</v>
      </c>
      <c r="J43" s="357">
        <f>($C$152)*'Customer Phases - Inputs and As'!D27*'Customer Phases - Inputs and As'!D28*(1+'Customer Phases - Inputs and As'!C29)</f>
        <v>7071.5533</v>
      </c>
      <c r="K43" s="357">
        <f>($C$152)*'Customer Phases - Inputs and As'!E27*'Customer Phases - Inputs and As'!E28*(1+'Customer Phases - Inputs and As'!C29)</f>
        <v>13854.47177</v>
      </c>
      <c r="L43" s="357">
        <f> ($C$152)*'Customer Phases - Inputs and As'!F28*(1+'Customer Phases - Inputs and As'!C29)</f>
        <v>24533.96043</v>
      </c>
      <c r="M43" s="357">
        <f>($C$152/1)*'Customer Phases - Inputs and As'!E29*(1+'Customer Phases - Inputs and As'!C29)+L43</f>
        <v>27420.30871</v>
      </c>
      <c r="N43" s="305"/>
      <c r="O43" s="305"/>
      <c r="P43" s="308"/>
      <c r="Q43" s="308"/>
      <c r="R43" s="308"/>
      <c r="S43" s="308"/>
      <c r="T43" s="308"/>
      <c r="U43" s="308"/>
      <c r="V43" s="308"/>
      <c r="W43" s="308"/>
      <c r="X43" s="308"/>
      <c r="Y43" s="308"/>
      <c r="Z43" s="308"/>
    </row>
    <row r="44" ht="15.75" hidden="1" customHeight="1" outlineLevel="2">
      <c r="A44" s="305"/>
      <c r="B44" s="389" t="s">
        <v>296</v>
      </c>
      <c r="C44" s="390">
        <f>C50</f>
        <v>0</v>
      </c>
      <c r="D44" s="391" t="s">
        <v>297</v>
      </c>
      <c r="E44" s="392"/>
      <c r="F44" s="305"/>
      <c r="G44" s="355" t="s">
        <v>298</v>
      </c>
      <c r="H44" s="356">
        <f t="shared" si="19"/>
        <v>6301860.424</v>
      </c>
      <c r="I44" s="357">
        <f>$C$159*'Customer Phases - Inputs and As'!J27*'Customer Phases - Inputs and As'!J28</f>
        <v>108238.0607</v>
      </c>
      <c r="J44" s="357">
        <f>$C$159*'Customer Phases - Inputs and As'!K28*'Customer Phases - Inputs and As'!K27</f>
        <v>589296.1083</v>
      </c>
      <c r="K44" s="357">
        <f>$C$159*'Customer Phases - Inputs and As'!L28*'Customer Phases - Inputs and As'!L27</f>
        <v>1154539.314</v>
      </c>
      <c r="L44" s="357">
        <f>$C$159*'Customer Phases - Inputs and As'!M28*'Customer Phases - Inputs and As'!M27</f>
        <v>2044496.702</v>
      </c>
      <c r="M44" s="357">
        <f>$C$159*'Customer Phases - Inputs and As'!N28*'Customer Phases - Inputs and As'!N27</f>
        <v>2405290.238</v>
      </c>
      <c r="N44" s="305"/>
      <c r="O44" s="305"/>
      <c r="P44" s="308"/>
      <c r="Q44" s="308"/>
      <c r="R44" s="308"/>
      <c r="S44" s="308"/>
      <c r="T44" s="308"/>
      <c r="U44" s="308"/>
      <c r="V44" s="308"/>
      <c r="W44" s="308"/>
      <c r="X44" s="308"/>
      <c r="Y44" s="308"/>
      <c r="Z44" s="308"/>
    </row>
    <row r="45" ht="15.75" hidden="1" customHeight="1" outlineLevel="2">
      <c r="A45" s="305"/>
      <c r="B45" s="393" t="s">
        <v>166</v>
      </c>
      <c r="C45" s="394">
        <f>'Customer Phases - Inputs and As'!C66</f>
        <v>0</v>
      </c>
      <c r="D45" s="391"/>
      <c r="E45" s="392" t="s">
        <v>283</v>
      </c>
      <c r="F45" s="305"/>
      <c r="G45" s="342" t="s">
        <v>299</v>
      </c>
      <c r="H45" s="387">
        <f>sUm(I45:M45)</f>
        <v>842505.674</v>
      </c>
      <c r="I45" s="387">
        <f t="shared" ref="I45:M45" si="20">I46+I47</f>
        <v>12854.40819</v>
      </c>
      <c r="J45" s="387">
        <f t="shared" si="20"/>
        <v>69537.20657</v>
      </c>
      <c r="K45" s="387">
        <f t="shared" si="20"/>
        <v>137113.6874</v>
      </c>
      <c r="L45" s="387">
        <f t="shared" si="20"/>
        <v>242795.5428</v>
      </c>
      <c r="M45" s="387">
        <f t="shared" si="20"/>
        <v>380204.8291</v>
      </c>
      <c r="N45" s="305"/>
      <c r="O45" s="305"/>
      <c r="P45" s="308"/>
      <c r="Q45" s="308"/>
      <c r="R45" s="308"/>
      <c r="S45" s="308"/>
      <c r="T45" s="308"/>
      <c r="U45" s="308"/>
      <c r="V45" s="308"/>
      <c r="W45" s="308"/>
      <c r="X45" s="308"/>
      <c r="Y45" s="308"/>
      <c r="Z45" s="308"/>
    </row>
    <row r="46" ht="15.75" hidden="1" customHeight="1" outlineLevel="2">
      <c r="A46" s="305"/>
      <c r="B46" s="393" t="s">
        <v>300</v>
      </c>
      <c r="C46" s="395">
        <f>'Customer Phases - Inputs and As'!C67</f>
        <v>0</v>
      </c>
      <c r="D46" s="391"/>
      <c r="E46" s="396" t="s">
        <v>285</v>
      </c>
      <c r="F46" s="305"/>
      <c r="G46" s="348" t="s">
        <v>301</v>
      </c>
      <c r="H46" s="356">
        <f>SUM(I46:M46)</f>
        <v>842505.674</v>
      </c>
      <c r="I46" s="357">
        <f>'Servicing - Analysis'!C92</f>
        <v>12854.40819</v>
      </c>
      <c r="J46" s="357">
        <f>'Servicing - Analysis'!D92</f>
        <v>69537.20657</v>
      </c>
      <c r="K46" s="357">
        <f>'Servicing - Analysis'!F92</f>
        <v>137113.6874</v>
      </c>
      <c r="L46" s="357">
        <f>'Servicing - Analysis'!G92</f>
        <v>242795.5428</v>
      </c>
      <c r="M46" s="357">
        <f>'Servicing - Analysis'!H92</f>
        <v>380204.8291</v>
      </c>
      <c r="N46" s="305"/>
      <c r="O46" s="305"/>
      <c r="P46" s="308"/>
      <c r="Q46" s="308"/>
      <c r="R46" s="308"/>
      <c r="S46" s="308"/>
      <c r="T46" s="308"/>
      <c r="U46" s="308"/>
      <c r="V46" s="308"/>
      <c r="W46" s="308"/>
      <c r="X46" s="308"/>
      <c r="Y46" s="308"/>
      <c r="Z46" s="308"/>
    </row>
    <row r="47" ht="15.75" hidden="1" customHeight="1" outlineLevel="2">
      <c r="A47" s="305"/>
      <c r="B47" s="397" t="s">
        <v>286</v>
      </c>
      <c r="C47" s="398">
        <f>'Customer Phases - Inputs and As'!C68</f>
        <v>8.010394797</v>
      </c>
      <c r="D47" s="391"/>
      <c r="E47" s="396" t="s">
        <v>302</v>
      </c>
      <c r="F47" s="305"/>
      <c r="G47" s="305"/>
      <c r="H47" s="305"/>
      <c r="I47" s="305"/>
      <c r="J47" s="305"/>
      <c r="K47" s="305"/>
      <c r="L47" s="305"/>
      <c r="M47" s="305"/>
      <c r="N47" s="305"/>
      <c r="O47" s="305"/>
      <c r="P47" s="308"/>
      <c r="Q47" s="308"/>
      <c r="R47" s="308"/>
      <c r="S47" s="308"/>
      <c r="T47" s="308"/>
      <c r="U47" s="308"/>
      <c r="V47" s="308"/>
      <c r="W47" s="308"/>
      <c r="X47" s="308"/>
      <c r="Y47" s="308"/>
      <c r="Z47" s="308"/>
    </row>
    <row r="48" ht="15.75" hidden="1" customHeight="1" outlineLevel="2">
      <c r="A48" s="305"/>
      <c r="B48" s="399" t="s">
        <v>255</v>
      </c>
      <c r="C48" s="400">
        <f>C47*C46*C45</f>
        <v>0</v>
      </c>
      <c r="D48" s="391"/>
      <c r="E48" s="392" t="s">
        <v>303</v>
      </c>
      <c r="F48" s="305"/>
      <c r="G48" s="305"/>
      <c r="H48" s="305"/>
      <c r="I48" s="305"/>
      <c r="J48" s="305"/>
      <c r="K48" s="305"/>
      <c r="L48" s="305"/>
      <c r="M48" s="305"/>
      <c r="N48" s="305"/>
      <c r="O48" s="305"/>
      <c r="P48" s="308"/>
      <c r="Q48" s="308"/>
      <c r="R48" s="308"/>
      <c r="S48" s="308"/>
      <c r="T48" s="308"/>
      <c r="U48" s="308"/>
      <c r="V48" s="308"/>
      <c r="W48" s="308"/>
      <c r="X48" s="308"/>
      <c r="Y48" s="308"/>
      <c r="Z48" s="308"/>
    </row>
    <row r="49" ht="15.75" hidden="1" customHeight="1" outlineLevel="2">
      <c r="A49" s="305"/>
      <c r="B49" s="393" t="s">
        <v>112</v>
      </c>
      <c r="C49" s="401">
        <f>'Customer Phases - Inputs and As'!C69</f>
        <v>0.2</v>
      </c>
      <c r="D49" s="391"/>
      <c r="E49" s="392" t="s">
        <v>290</v>
      </c>
      <c r="F49" s="305"/>
      <c r="G49" s="402" t="s">
        <v>304</v>
      </c>
      <c r="H49" s="305"/>
      <c r="I49" s="305"/>
      <c r="J49" s="305"/>
      <c r="K49" s="305"/>
      <c r="L49" s="305"/>
      <c r="M49" s="305"/>
      <c r="N49" s="305"/>
      <c r="O49" s="305"/>
      <c r="P49" s="308"/>
      <c r="Q49" s="308"/>
      <c r="R49" s="308"/>
      <c r="S49" s="308"/>
      <c r="T49" s="308"/>
      <c r="U49" s="308"/>
      <c r="V49" s="308"/>
      <c r="W49" s="308"/>
      <c r="X49" s="308"/>
      <c r="Y49" s="308"/>
      <c r="Z49" s="308"/>
    </row>
    <row r="50" ht="15.75" hidden="1" customHeight="1" outlineLevel="2">
      <c r="A50" s="305"/>
      <c r="B50" s="393" t="s">
        <v>260</v>
      </c>
      <c r="C50" s="400">
        <f>C48*C49</f>
        <v>0</v>
      </c>
      <c r="D50" s="391"/>
      <c r="E50" s="392" t="s">
        <v>291</v>
      </c>
      <c r="F50" s="305"/>
      <c r="G50" s="403" t="s">
        <v>305</v>
      </c>
      <c r="H50" s="404" t="s">
        <v>188</v>
      </c>
      <c r="I50" s="404" t="s">
        <v>80</v>
      </c>
      <c r="J50" s="404" t="s">
        <v>81</v>
      </c>
      <c r="K50" s="404" t="s">
        <v>82</v>
      </c>
      <c r="L50" s="404" t="s">
        <v>83</v>
      </c>
      <c r="M50" s="405" t="s">
        <v>84</v>
      </c>
      <c r="N50" s="406" t="s">
        <v>306</v>
      </c>
      <c r="O50" s="406"/>
      <c r="P50" s="308"/>
      <c r="Q50" s="308"/>
      <c r="R50" s="308"/>
      <c r="S50" s="308"/>
      <c r="T50" s="308"/>
      <c r="U50" s="308"/>
      <c r="V50" s="308"/>
      <c r="W50" s="308"/>
      <c r="X50" s="308"/>
      <c r="Y50" s="308"/>
      <c r="Z50" s="308"/>
    </row>
    <row r="51" ht="15.75" customHeight="1" outlineLevel="1" collapsed="1">
      <c r="A51" s="305"/>
      <c r="B51" s="393" t="s">
        <v>293</v>
      </c>
      <c r="C51" s="407">
        <f>C49*C45</f>
        <v>0</v>
      </c>
      <c r="D51" s="391"/>
      <c r="E51" s="392" t="s">
        <v>294</v>
      </c>
      <c r="F51" s="305"/>
      <c r="G51" s="408" t="s">
        <v>307</v>
      </c>
      <c r="H51" s="409"/>
      <c r="I51" s="409"/>
      <c r="J51" s="409"/>
      <c r="K51" s="409"/>
      <c r="L51" s="409"/>
      <c r="M51" s="410"/>
      <c r="N51" s="411">
        <f>I58</f>
        <v>60126.4055</v>
      </c>
      <c r="O51" s="406"/>
      <c r="P51" s="308"/>
      <c r="Q51" s="308"/>
      <c r="R51" s="308"/>
      <c r="S51" s="308"/>
      <c r="T51" s="308"/>
      <c r="U51" s="308"/>
      <c r="V51" s="308"/>
      <c r="W51" s="308"/>
      <c r="X51" s="308"/>
      <c r="Y51" s="308"/>
      <c r="Z51" s="308"/>
    </row>
    <row r="52" ht="15.75" customHeight="1" outlineLevel="2">
      <c r="A52" s="305"/>
      <c r="B52" s="375" t="s">
        <v>186</v>
      </c>
      <c r="C52" s="376">
        <f>C58</f>
        <v>128952.003</v>
      </c>
      <c r="D52" s="377" t="s">
        <v>297</v>
      </c>
      <c r="E52" s="354"/>
      <c r="F52" s="305"/>
      <c r="G52" s="412" t="s">
        <v>308</v>
      </c>
      <c r="H52" s="413">
        <f t="shared" ref="H52:H55" si="21">sum(I52:M52)</f>
        <v>3718486.704</v>
      </c>
      <c r="I52" s="414">
        <f>'Customer Phases - Inputs and As'!C74</f>
        <v>499689.14</v>
      </c>
      <c r="J52" s="414">
        <f>I52*(1+'Customer Phases - Inputs and As'!$C$76)</f>
        <v>599626.968</v>
      </c>
      <c r="K52" s="414">
        <f>J52*(1+'Customer Phases - Inputs and As'!$C$76)</f>
        <v>719552.3616</v>
      </c>
      <c r="L52" s="414">
        <f>K52*(1+'Customer Phases - Inputs and As'!$C$76)</f>
        <v>863462.8339</v>
      </c>
      <c r="M52" s="414">
        <f>L52*(1+'Customer Phases - Inputs and As'!$C$76)</f>
        <v>1036155.401</v>
      </c>
      <c r="N52" s="305"/>
      <c r="O52" s="305"/>
      <c r="P52" s="308"/>
      <c r="Q52" s="308"/>
      <c r="R52" s="308"/>
      <c r="S52" s="308"/>
      <c r="T52" s="308"/>
      <c r="U52" s="308"/>
      <c r="V52" s="308"/>
      <c r="W52" s="308"/>
      <c r="X52" s="308"/>
      <c r="Y52" s="308"/>
      <c r="Z52" s="308"/>
    </row>
    <row r="53" ht="15.75" customHeight="1" outlineLevel="2">
      <c r="A53" s="305"/>
      <c r="B53" s="379" t="s">
        <v>166</v>
      </c>
      <c r="C53" s="380">
        <f>'Customer Phases - Inputs and As'!C54</f>
        <v>241471.25</v>
      </c>
      <c r="D53" s="377"/>
      <c r="E53" s="354" t="s">
        <v>283</v>
      </c>
      <c r="F53" s="305"/>
      <c r="G53" s="412" t="s">
        <v>309</v>
      </c>
      <c r="H53" s="413">
        <f t="shared" si="21"/>
        <v>3745485.092</v>
      </c>
      <c r="I53" s="414">
        <f t="shared" ref="I53:M53" si="22">I52+I18</f>
        <v>501190.9045</v>
      </c>
      <c r="J53" s="414">
        <f t="shared" si="22"/>
        <v>602213.3401</v>
      </c>
      <c r="K53" s="414">
        <f t="shared" si="22"/>
        <v>725776.341</v>
      </c>
      <c r="L53" s="414">
        <f t="shared" si="22"/>
        <v>872840.5187</v>
      </c>
      <c r="M53" s="414">
        <f t="shared" si="22"/>
        <v>1043463.988</v>
      </c>
      <c r="N53" s="305"/>
      <c r="O53" s="305"/>
      <c r="P53" s="308"/>
      <c r="Q53" s="308"/>
      <c r="R53" s="308"/>
      <c r="S53" s="308"/>
      <c r="T53" s="308"/>
      <c r="U53" s="308"/>
      <c r="V53" s="308"/>
      <c r="W53" s="308"/>
      <c r="X53" s="308"/>
      <c r="Y53" s="308"/>
      <c r="Z53" s="308"/>
    </row>
    <row r="54" ht="15.75" customHeight="1" outlineLevel="2">
      <c r="A54" s="305"/>
      <c r="B54" s="379" t="s">
        <v>300</v>
      </c>
      <c r="C54" s="381">
        <f>'Customer Phases - Inputs and As'!C55</f>
        <v>0.3333333333</v>
      </c>
      <c r="D54" s="377"/>
      <c r="E54" s="360" t="s">
        <v>285</v>
      </c>
      <c r="F54" s="305"/>
      <c r="G54" s="412" t="s">
        <v>310</v>
      </c>
      <c r="H54" s="415">
        <f t="shared" si="21"/>
        <v>91556328.19</v>
      </c>
      <c r="I54" s="416">
        <f t="shared" ref="I54:M54" si="23">I52*I17</f>
        <v>4980651.503</v>
      </c>
      <c r="J54" s="416">
        <f t="shared" si="23"/>
        <v>7969042.405</v>
      </c>
      <c r="K54" s="416">
        <f t="shared" si="23"/>
        <v>14344276.33</v>
      </c>
      <c r="L54" s="416">
        <f t="shared" si="23"/>
        <v>22950842.13</v>
      </c>
      <c r="M54" s="416">
        <f t="shared" si="23"/>
        <v>41311515.83</v>
      </c>
      <c r="N54" s="305"/>
      <c r="O54" s="305"/>
      <c r="P54" s="308"/>
      <c r="Q54" s="308"/>
      <c r="R54" s="308"/>
      <c r="S54" s="308"/>
      <c r="T54" s="308"/>
      <c r="U54" s="308"/>
      <c r="V54" s="308"/>
      <c r="W54" s="308"/>
      <c r="X54" s="308"/>
      <c r="Y54" s="308"/>
      <c r="Z54" s="308"/>
    </row>
    <row r="55" ht="15.75" customHeight="1" outlineLevel="2">
      <c r="A55" s="305"/>
      <c r="B55" s="382" t="s">
        <v>286</v>
      </c>
      <c r="C55" s="417">
        <f>'Customer Phases - Inputs and As'!C56</f>
        <v>8.010394797</v>
      </c>
      <c r="D55" s="377"/>
      <c r="E55" s="360" t="s">
        <v>311</v>
      </c>
      <c r="F55" s="305"/>
      <c r="G55" s="412" t="s">
        <v>312</v>
      </c>
      <c r="H55" s="415">
        <f t="shared" si="21"/>
        <v>92270397.17</v>
      </c>
      <c r="I55" s="416">
        <f t="shared" ref="I55:M55" si="24">I53*I17</f>
        <v>4995620.34</v>
      </c>
      <c r="J55" s="416">
        <f t="shared" si="24"/>
        <v>8003415.29</v>
      </c>
      <c r="K55" s="416">
        <f t="shared" si="24"/>
        <v>14468351.36</v>
      </c>
      <c r="L55" s="416">
        <f t="shared" si="24"/>
        <v>23200100.99</v>
      </c>
      <c r="M55" s="416">
        <f t="shared" si="24"/>
        <v>41602909.19</v>
      </c>
      <c r="N55" s="305"/>
      <c r="O55" s="305"/>
      <c r="P55" s="308"/>
      <c r="Q55" s="308"/>
      <c r="R55" s="308"/>
      <c r="S55" s="308"/>
      <c r="T55" s="308"/>
      <c r="U55" s="308"/>
      <c r="V55" s="308"/>
      <c r="W55" s="308"/>
      <c r="X55" s="308"/>
      <c r="Y55" s="308"/>
      <c r="Z55" s="308"/>
    </row>
    <row r="56" ht="15.75" customHeight="1" outlineLevel="2">
      <c r="A56" s="305"/>
      <c r="B56" s="383" t="s">
        <v>255</v>
      </c>
      <c r="C56" s="384">
        <f>C55*C54*C53</f>
        <v>644760.0149</v>
      </c>
      <c r="D56" s="377"/>
      <c r="E56" s="354" t="s">
        <v>313</v>
      </c>
      <c r="F56" s="305"/>
      <c r="G56" s="408" t="s">
        <v>314</v>
      </c>
      <c r="H56" s="409"/>
      <c r="I56" s="409"/>
      <c r="J56" s="409"/>
      <c r="K56" s="409"/>
      <c r="L56" s="409"/>
      <c r="M56" s="410"/>
      <c r="N56" s="305"/>
      <c r="O56" s="305"/>
      <c r="P56" s="308"/>
      <c r="Q56" s="308"/>
      <c r="R56" s="308"/>
      <c r="S56" s="308"/>
      <c r="T56" s="308"/>
      <c r="U56" s="308"/>
      <c r="V56" s="308"/>
      <c r="W56" s="308"/>
      <c r="X56" s="308"/>
      <c r="Y56" s="308"/>
      <c r="Z56" s="308"/>
    </row>
    <row r="57" ht="15.75" customHeight="1" outlineLevel="2">
      <c r="A57" s="305"/>
      <c r="B57" s="379" t="s">
        <v>112</v>
      </c>
      <c r="C57" s="386">
        <f>'Customer Phases - Inputs and As'!C57</f>
        <v>0.2</v>
      </c>
      <c r="D57" s="377"/>
      <c r="E57" s="354" t="s">
        <v>290</v>
      </c>
      <c r="F57" s="305"/>
      <c r="G57" s="412" t="s">
        <v>308</v>
      </c>
      <c r="H57" s="413">
        <f t="shared" ref="H57:H60" si="25">sum(I57:M57)</f>
        <v>445327.6688</v>
      </c>
      <c r="I57" s="414">
        <f>'Customer Phases - Inputs and As'!F73</f>
        <v>59843</v>
      </c>
      <c r="J57" s="414">
        <f>I57*(1+'Customer Phases - Inputs and As'!$C$76)</f>
        <v>71811.6</v>
      </c>
      <c r="K57" s="414">
        <f>J57*(1+'Customer Phases - Inputs and As'!$C$76)</f>
        <v>86173.92</v>
      </c>
      <c r="L57" s="414">
        <f>K57*(1+'Customer Phases - Inputs and As'!$C$76)</f>
        <v>103408.704</v>
      </c>
      <c r="M57" s="414">
        <f>L57*(1+'Customer Phases - Inputs and As'!$C$76)</f>
        <v>124090.4448</v>
      </c>
      <c r="N57" s="305"/>
      <c r="O57" s="305"/>
      <c r="P57" s="308"/>
      <c r="Q57" s="308"/>
      <c r="R57" s="308"/>
      <c r="S57" s="308"/>
      <c r="T57" s="308"/>
      <c r="U57" s="308"/>
      <c r="V57" s="308"/>
      <c r="W57" s="308"/>
      <c r="X57" s="308"/>
      <c r="Y57" s="308"/>
      <c r="Z57" s="308"/>
    </row>
    <row r="58" ht="15.75" customHeight="1" outlineLevel="2">
      <c r="A58" s="305"/>
      <c r="B58" s="379" t="s">
        <v>260</v>
      </c>
      <c r="C58" s="384">
        <f>C56*C57</f>
        <v>128952.003</v>
      </c>
      <c r="D58" s="377"/>
      <c r="E58" s="354" t="s">
        <v>291</v>
      </c>
      <c r="F58" s="305"/>
      <c r="G58" s="412" t="s">
        <v>309</v>
      </c>
      <c r="H58" s="413">
        <f t="shared" si="25"/>
        <v>466764.4608</v>
      </c>
      <c r="I58" s="414">
        <f t="shared" ref="I58:M58" si="26">I57+I27</f>
        <v>60126.4055</v>
      </c>
      <c r="J58" s="414">
        <f t="shared" si="26"/>
        <v>73663.1826</v>
      </c>
      <c r="K58" s="414">
        <f t="shared" si="26"/>
        <v>89801.5104</v>
      </c>
      <c r="L58" s="414">
        <f t="shared" si="26"/>
        <v>109832.562</v>
      </c>
      <c r="M58" s="414">
        <f t="shared" si="26"/>
        <v>133340.8003</v>
      </c>
      <c r="N58" s="305"/>
      <c r="O58" s="305"/>
      <c r="P58" s="308"/>
      <c r="Q58" s="308"/>
      <c r="R58" s="308"/>
      <c r="S58" s="308"/>
      <c r="T58" s="308"/>
      <c r="U58" s="308"/>
      <c r="V58" s="308"/>
      <c r="W58" s="308"/>
      <c r="X58" s="308"/>
      <c r="Y58" s="308"/>
      <c r="Z58" s="308"/>
    </row>
    <row r="59" ht="15.75" customHeight="1" outlineLevel="1">
      <c r="A59" s="305"/>
      <c r="B59" s="382" t="s">
        <v>315</v>
      </c>
      <c r="C59" s="388">
        <f>C57*C53</f>
        <v>48294.25</v>
      </c>
      <c r="D59" s="377"/>
      <c r="E59" s="354" t="s">
        <v>294</v>
      </c>
      <c r="F59" s="305"/>
      <c r="G59" s="412" t="s">
        <v>310</v>
      </c>
      <c r="H59" s="415">
        <f t="shared" si="25"/>
        <v>10964827.75</v>
      </c>
      <c r="I59" s="416">
        <f t="shared" ref="I59:M59" si="27">I57*I26</f>
        <v>596485.1025</v>
      </c>
      <c r="J59" s="416">
        <f t="shared" si="27"/>
        <v>954376.164</v>
      </c>
      <c r="K59" s="416">
        <f t="shared" si="27"/>
        <v>1717877.095</v>
      </c>
      <c r="L59" s="416">
        <f t="shared" si="27"/>
        <v>2748603.352</v>
      </c>
      <c r="M59" s="416">
        <f t="shared" si="27"/>
        <v>4947486.034</v>
      </c>
      <c r="N59" s="418"/>
      <c r="O59" s="305"/>
      <c r="P59" s="308"/>
      <c r="Q59" s="308"/>
      <c r="R59" s="308"/>
      <c r="S59" s="308"/>
      <c r="T59" s="308"/>
      <c r="U59" s="308"/>
      <c r="V59" s="308"/>
      <c r="W59" s="308"/>
      <c r="X59" s="308"/>
      <c r="Y59" s="308"/>
      <c r="Z59" s="308"/>
    </row>
    <row r="60" ht="15.75" hidden="1" customHeight="1" outlineLevel="2">
      <c r="A60" s="305"/>
      <c r="B60" s="389" t="s">
        <v>316</v>
      </c>
      <c r="C60" s="419">
        <f>C66</f>
        <v>0</v>
      </c>
      <c r="D60" s="391" t="s">
        <v>297</v>
      </c>
      <c r="E60" s="392"/>
      <c r="F60" s="305"/>
      <c r="G60" s="412" t="s">
        <v>312</v>
      </c>
      <c r="H60" s="415">
        <f t="shared" si="25"/>
        <v>11604133.96</v>
      </c>
      <c r="I60" s="416">
        <f t="shared" ref="I60:M60" si="28">I58*I26</f>
        <v>599309.9468</v>
      </c>
      <c r="J60" s="416">
        <f t="shared" si="28"/>
        <v>978983.6968</v>
      </c>
      <c r="K60" s="416">
        <f t="shared" si="28"/>
        <v>1790193.11</v>
      </c>
      <c r="L60" s="416">
        <f t="shared" si="28"/>
        <v>2919349.498</v>
      </c>
      <c r="M60" s="416">
        <f t="shared" si="28"/>
        <v>5316297.709</v>
      </c>
      <c r="N60" s="418"/>
      <c r="O60" s="305"/>
      <c r="P60" s="308"/>
      <c r="Q60" s="308"/>
      <c r="R60" s="308"/>
      <c r="S60" s="308"/>
      <c r="T60" s="308"/>
      <c r="U60" s="308"/>
      <c r="V60" s="308"/>
      <c r="W60" s="308"/>
      <c r="X60" s="308"/>
      <c r="Y60" s="308"/>
      <c r="Z60" s="308"/>
    </row>
    <row r="61" ht="15.75" hidden="1" customHeight="1" outlineLevel="2">
      <c r="A61" s="305"/>
      <c r="B61" s="393" t="s">
        <v>166</v>
      </c>
      <c r="C61" s="394">
        <f>'Customer Phases - Inputs and As'!C60</f>
        <v>0</v>
      </c>
      <c r="D61" s="391"/>
      <c r="E61" s="392" t="s">
        <v>283</v>
      </c>
      <c r="F61" s="305"/>
      <c r="G61" s="420" t="s">
        <v>317</v>
      </c>
      <c r="H61" s="409"/>
      <c r="I61" s="409"/>
      <c r="J61" s="409"/>
      <c r="K61" s="409"/>
      <c r="L61" s="409"/>
      <c r="M61" s="410"/>
      <c r="N61" s="305"/>
      <c r="O61" s="305"/>
      <c r="P61" s="308"/>
      <c r="Q61" s="308"/>
      <c r="R61" s="308"/>
      <c r="S61" s="308"/>
      <c r="T61" s="308"/>
      <c r="U61" s="308"/>
      <c r="V61" s="308"/>
      <c r="W61" s="308"/>
      <c r="X61" s="308"/>
      <c r="Y61" s="308"/>
      <c r="Z61" s="308"/>
    </row>
    <row r="62" ht="15.75" hidden="1" customHeight="1" outlineLevel="2">
      <c r="A62" s="305"/>
      <c r="B62" s="393" t="s">
        <v>300</v>
      </c>
      <c r="C62" s="395">
        <f>'Customer Phases - Inputs and As'!C61</f>
        <v>0</v>
      </c>
      <c r="D62" s="391"/>
      <c r="E62" s="396" t="s">
        <v>285</v>
      </c>
      <c r="F62" s="305"/>
      <c r="G62" s="412" t="s">
        <v>308</v>
      </c>
      <c r="H62" s="413">
        <f t="shared" ref="H62:H65" si="29">sum(I62:M62)</f>
        <v>0</v>
      </c>
      <c r="I62" s="414" t="str">
        <f>'Customer Phases - Inputs and As'!X73</f>
        <v/>
      </c>
      <c r="J62" s="414">
        <f>I62*(1+'Customer Phases - Inputs and As'!$X$76)</f>
        <v>0</v>
      </c>
      <c r="K62" s="414">
        <f>J62*(1+'Customer Phases - Inputs and As'!$X$76)</f>
        <v>0</v>
      </c>
      <c r="L62" s="414">
        <f>K62*(1+'Customer Phases - Inputs and As'!$X$76)</f>
        <v>0</v>
      </c>
      <c r="M62" s="414">
        <f>L62*(1+'Customer Phases - Inputs and As'!$X$76)</f>
        <v>0</v>
      </c>
      <c r="N62" s="421"/>
      <c r="O62" s="305"/>
      <c r="P62" s="308"/>
      <c r="Q62" s="308"/>
      <c r="R62" s="308"/>
      <c r="S62" s="308"/>
      <c r="T62" s="308"/>
      <c r="U62" s="308"/>
      <c r="V62" s="308"/>
      <c r="W62" s="308"/>
      <c r="X62" s="308"/>
      <c r="Y62" s="308"/>
      <c r="Z62" s="308"/>
    </row>
    <row r="63" ht="15.75" hidden="1" customHeight="1" outlineLevel="2">
      <c r="A63" s="305"/>
      <c r="B63" s="397" t="s">
        <v>286</v>
      </c>
      <c r="C63" s="422">
        <f>'Customer Phases - Inputs and As'!C62</f>
        <v>8.010394797</v>
      </c>
      <c r="D63" s="391"/>
      <c r="E63" s="392" t="s">
        <v>318</v>
      </c>
      <c r="F63" s="305"/>
      <c r="G63" s="412" t="s">
        <v>309</v>
      </c>
      <c r="H63" s="413">
        <f t="shared" si="29"/>
        <v>7829584.163</v>
      </c>
      <c r="I63" s="414">
        <f t="shared" ref="I63:M63" si="30">I62+I36</f>
        <v>134477.5906</v>
      </c>
      <c r="J63" s="414">
        <f t="shared" si="30"/>
        <v>732155.7709</v>
      </c>
      <c r="K63" s="414">
        <f t="shared" si="30"/>
        <v>1434427.633</v>
      </c>
      <c r="L63" s="414">
        <f t="shared" si="30"/>
        <v>2540132.267</v>
      </c>
      <c r="M63" s="414">
        <f t="shared" si="30"/>
        <v>2988390.902</v>
      </c>
      <c r="N63" s="421"/>
      <c r="O63" s="305"/>
      <c r="P63" s="308"/>
      <c r="Q63" s="308"/>
      <c r="R63" s="308"/>
      <c r="S63" s="308"/>
      <c r="T63" s="308"/>
      <c r="U63" s="308"/>
      <c r="V63" s="308"/>
      <c r="W63" s="308"/>
      <c r="X63" s="308"/>
      <c r="Y63" s="308"/>
      <c r="Z63" s="308"/>
    </row>
    <row r="64" ht="15.75" hidden="1" customHeight="1" outlineLevel="2">
      <c r="A64" s="305"/>
      <c r="B64" s="399" t="s">
        <v>255</v>
      </c>
      <c r="C64" s="422">
        <f>C63*C62*C61</f>
        <v>0</v>
      </c>
      <c r="D64" s="391"/>
      <c r="E64" s="423"/>
      <c r="F64" s="305"/>
      <c r="G64" s="412" t="s">
        <v>310</v>
      </c>
      <c r="H64" s="415">
        <f t="shared" si="29"/>
        <v>0</v>
      </c>
      <c r="I64" s="416">
        <f t="shared" ref="I64:M64" si="31">I62*I35</f>
        <v>0</v>
      </c>
      <c r="J64" s="416">
        <f t="shared" si="31"/>
        <v>0</v>
      </c>
      <c r="K64" s="416">
        <f t="shared" si="31"/>
        <v>0</v>
      </c>
      <c r="L64" s="416">
        <f t="shared" si="31"/>
        <v>0</v>
      </c>
      <c r="M64" s="416">
        <f t="shared" si="31"/>
        <v>0</v>
      </c>
      <c r="N64" s="421"/>
      <c r="O64" s="305"/>
      <c r="P64" s="308"/>
      <c r="Q64" s="308"/>
      <c r="R64" s="308"/>
      <c r="S64" s="308"/>
      <c r="T64" s="308"/>
      <c r="U64" s="308"/>
      <c r="V64" s="308"/>
      <c r="W64" s="308"/>
      <c r="X64" s="308"/>
      <c r="Y64" s="308"/>
      <c r="Z64" s="308"/>
    </row>
    <row r="65" ht="15.75" hidden="1" customHeight="1" outlineLevel="2">
      <c r="A65" s="305"/>
      <c r="B65" s="393" t="s">
        <v>112</v>
      </c>
      <c r="C65" s="401">
        <f>'Customer Phases - Inputs and As'!C63</f>
        <v>0</v>
      </c>
      <c r="D65" s="391"/>
      <c r="E65" s="392" t="s">
        <v>290</v>
      </c>
      <c r="F65" s="305"/>
      <c r="G65" s="412" t="s">
        <v>312</v>
      </c>
      <c r="H65" s="415">
        <f t="shared" si="29"/>
        <v>223897343.8</v>
      </c>
      <c r="I65" s="416">
        <f t="shared" ref="I65:M65" si="32">I63*I35</f>
        <v>1340405.384</v>
      </c>
      <c r="J65" s="416">
        <f t="shared" si="32"/>
        <v>7297762.647</v>
      </c>
      <c r="K65" s="416">
        <f t="shared" si="32"/>
        <v>28595314.86</v>
      </c>
      <c r="L65" s="416">
        <f t="shared" si="32"/>
        <v>67516715.64</v>
      </c>
      <c r="M65" s="416">
        <f t="shared" si="32"/>
        <v>119147145.3</v>
      </c>
      <c r="N65" s="421"/>
      <c r="O65" s="305"/>
      <c r="P65" s="308"/>
      <c r="Q65" s="308"/>
      <c r="R65" s="308"/>
      <c r="S65" s="308"/>
      <c r="T65" s="308"/>
      <c r="U65" s="308"/>
      <c r="V65" s="308"/>
      <c r="W65" s="308"/>
      <c r="X65" s="308"/>
      <c r="Y65" s="308"/>
      <c r="Z65" s="308"/>
    </row>
    <row r="66" ht="15.75" hidden="1" customHeight="1" outlineLevel="2">
      <c r="A66" s="305"/>
      <c r="B66" s="393" t="s">
        <v>260</v>
      </c>
      <c r="C66" s="424">
        <f>C64*C65</f>
        <v>0</v>
      </c>
      <c r="D66" s="391"/>
      <c r="E66" s="392" t="s">
        <v>291</v>
      </c>
      <c r="F66" s="305"/>
      <c r="G66" s="403" t="s">
        <v>319</v>
      </c>
      <c r="H66" s="404"/>
      <c r="I66" s="404"/>
      <c r="J66" s="404"/>
      <c r="K66" s="404"/>
      <c r="L66" s="404"/>
      <c r="M66" s="405"/>
      <c r="N66" s="421"/>
      <c r="O66" s="305"/>
      <c r="P66" s="308"/>
      <c r="Q66" s="308"/>
      <c r="R66" s="308"/>
      <c r="S66" s="308"/>
      <c r="T66" s="308"/>
      <c r="U66" s="308"/>
      <c r="V66" s="308"/>
      <c r="W66" s="308"/>
      <c r="X66" s="308"/>
      <c r="Y66" s="308"/>
      <c r="Z66" s="308"/>
    </row>
    <row r="67" outlineLevel="1" collapsed="1">
      <c r="A67" s="305"/>
      <c r="B67" s="397" t="s">
        <v>320</v>
      </c>
      <c r="C67" s="425">
        <f>C65*C61</f>
        <v>0</v>
      </c>
      <c r="D67" s="391"/>
      <c r="E67" s="392" t="s">
        <v>294</v>
      </c>
      <c r="F67" s="305"/>
      <c r="G67" s="420" t="s">
        <v>321</v>
      </c>
      <c r="H67" s="409"/>
      <c r="I67" s="409"/>
      <c r="J67" s="409"/>
      <c r="K67" s="409"/>
      <c r="L67" s="409"/>
      <c r="M67" s="410"/>
      <c r="N67" s="421"/>
      <c r="O67" s="305"/>
      <c r="P67" s="308"/>
      <c r="Q67" s="308"/>
      <c r="R67" s="308"/>
      <c r="S67" s="308"/>
      <c r="T67" s="308"/>
      <c r="U67" s="308"/>
      <c r="V67" s="308"/>
      <c r="W67" s="308"/>
      <c r="X67" s="308"/>
      <c r="Y67" s="308"/>
      <c r="Z67" s="308"/>
    </row>
    <row r="68" outlineLevel="2">
      <c r="A68" s="305"/>
      <c r="B68" s="426" t="s">
        <v>322</v>
      </c>
      <c r="C68" s="427" t="s">
        <v>240</v>
      </c>
      <c r="D68" s="334" t="s">
        <v>101</v>
      </c>
      <c r="E68" s="335" t="s">
        <v>241</v>
      </c>
      <c r="F68" s="305"/>
      <c r="G68" s="412" t="s">
        <v>308</v>
      </c>
      <c r="H68" s="428">
        <f t="shared" ref="H68:H69" si="33">sum(I68:M68)</f>
        <v>8496067.124</v>
      </c>
      <c r="I68" s="429">
        <f>C48+C64+C56+C40</f>
        <v>1289520.03</v>
      </c>
      <c r="J68" s="429">
        <f>I68*(1+'Customer Phases - Inputs and As'!$C$79)</f>
        <v>1467928.656</v>
      </c>
      <c r="K68" s="429">
        <f>J68*(1+'Customer Phases - Inputs and As'!$C$79)</f>
        <v>1671020.603</v>
      </c>
      <c r="L68" s="429">
        <f>K68*(1+'Customer Phases - Inputs and As'!$C$79)</f>
        <v>1902210.877</v>
      </c>
      <c r="M68" s="429">
        <f>L68*(1+'Customer Phases - Inputs and As'!$C$79)</f>
        <v>2165386.959</v>
      </c>
      <c r="N68" s="421"/>
      <c r="O68" s="406"/>
      <c r="P68" s="308"/>
      <c r="Q68" s="308"/>
      <c r="R68" s="308"/>
      <c r="S68" s="308"/>
      <c r="T68" s="308"/>
      <c r="U68" s="308"/>
      <c r="V68" s="308"/>
      <c r="W68" s="308"/>
      <c r="X68" s="308"/>
      <c r="Y68" s="308"/>
      <c r="Z68" s="308"/>
    </row>
    <row r="69" outlineLevel="2">
      <c r="A69" s="305"/>
      <c r="B69" s="430" t="s">
        <v>323</v>
      </c>
      <c r="C69" s="339">
        <f>+SUM(C71,C80,C90,C98,C106,C114)</f>
        <v>472397.7799</v>
      </c>
      <c r="D69" s="353"/>
      <c r="E69" s="354"/>
      <c r="F69" s="305"/>
      <c r="G69" s="412" t="s">
        <v>309</v>
      </c>
      <c r="H69" s="428">
        <f t="shared" si="33"/>
        <v>6123171.028</v>
      </c>
      <c r="I69" s="429">
        <f t="shared" ref="I69:J69" si="34">I68-I23</f>
        <v>1275012.929</v>
      </c>
      <c r="J69" s="429">
        <f t="shared" si="34"/>
        <v>1340588.553</v>
      </c>
      <c r="K69" s="429">
        <f t="shared" ref="K69:M69" si="35">$J$68-K23</f>
        <v>1264829.251</v>
      </c>
      <c r="L69" s="429">
        <f t="shared" si="35"/>
        <v>1145548.648</v>
      </c>
      <c r="M69" s="429">
        <f t="shared" si="35"/>
        <v>1097191.647</v>
      </c>
      <c r="N69" s="421"/>
      <c r="O69" s="406"/>
      <c r="P69" s="308"/>
      <c r="Q69" s="308"/>
      <c r="R69" s="308"/>
      <c r="S69" s="308"/>
      <c r="T69" s="308"/>
      <c r="U69" s="308"/>
      <c r="V69" s="308"/>
      <c r="W69" s="308"/>
      <c r="X69" s="308"/>
      <c r="Y69" s="308"/>
      <c r="Z69" s="308"/>
    </row>
    <row r="70" outlineLevel="2">
      <c r="A70" s="305"/>
      <c r="B70" s="431" t="s">
        <v>324</v>
      </c>
      <c r="C70" s="345">
        <f>C77+C86</f>
        <v>251097.273</v>
      </c>
      <c r="D70" s="353"/>
      <c r="E70" s="354"/>
      <c r="F70" s="305"/>
      <c r="G70" s="408" t="s">
        <v>325</v>
      </c>
      <c r="H70" s="409"/>
      <c r="I70" s="409"/>
      <c r="J70" s="409"/>
      <c r="K70" s="409"/>
      <c r="L70" s="409"/>
      <c r="M70" s="410"/>
      <c r="N70" s="432"/>
      <c r="O70" s="433"/>
      <c r="P70" s="308"/>
      <c r="Q70" s="308"/>
      <c r="R70" s="308"/>
      <c r="S70" s="308"/>
      <c r="T70" s="308"/>
      <c r="U70" s="308"/>
      <c r="V70" s="308"/>
      <c r="W70" s="308"/>
      <c r="X70" s="308"/>
      <c r="Y70" s="308"/>
      <c r="Z70" s="308"/>
    </row>
    <row r="71" outlineLevel="2">
      <c r="A71" s="305"/>
      <c r="B71" s="370" t="s">
        <v>326</v>
      </c>
      <c r="C71" s="434">
        <f>C77</f>
        <v>96202.323</v>
      </c>
      <c r="D71" s="353" t="s">
        <v>269</v>
      </c>
      <c r="E71" s="354"/>
      <c r="F71" s="305"/>
      <c r="G71" s="412" t="s">
        <v>308</v>
      </c>
      <c r="H71" s="415">
        <f t="shared" ref="H71:H72" si="36">sum(I71:M71)</f>
        <v>5467685.412</v>
      </c>
      <c r="I71" s="416">
        <f>C94+C102+C110+C118</f>
        <v>829876.901</v>
      </c>
      <c r="J71" s="416">
        <f>I71*(1+'Customer Phases - Inputs and As'!$C$79)</f>
        <v>944692.6417</v>
      </c>
      <c r="K71" s="416">
        <f>J71*(1+'Customer Phases - Inputs and As'!$C$79)</f>
        <v>1075393.454</v>
      </c>
      <c r="L71" s="416">
        <f>K71*(1+'Customer Phases - Inputs and As'!$C$79)</f>
        <v>1224177.082</v>
      </c>
      <c r="M71" s="416">
        <f>L71*(1+'Customer Phases - Inputs and As'!$C$79)</f>
        <v>1393545.332</v>
      </c>
      <c r="N71" s="432"/>
      <c r="O71" s="406"/>
      <c r="P71" s="308"/>
      <c r="Q71" s="308"/>
      <c r="R71" s="308"/>
      <c r="S71" s="308"/>
      <c r="T71" s="308"/>
      <c r="U71" s="308"/>
      <c r="V71" s="308"/>
      <c r="W71" s="308"/>
      <c r="X71" s="308"/>
      <c r="Y71" s="308"/>
      <c r="Z71" s="308"/>
    </row>
    <row r="72" ht="15.75" customHeight="1" outlineLevel="2">
      <c r="A72" s="305"/>
      <c r="B72" s="364" t="s">
        <v>138</v>
      </c>
      <c r="C72" s="359">
        <f>'Customer Phases - Inputs and As'!F36</f>
        <v>24129</v>
      </c>
      <c r="D72" s="353"/>
      <c r="E72" s="360"/>
      <c r="F72" s="305"/>
      <c r="G72" s="412" t="s">
        <v>309</v>
      </c>
      <c r="H72" s="415">
        <f t="shared" si="36"/>
        <v>3781244.095</v>
      </c>
      <c r="I72" s="416">
        <f>I71-I32</f>
        <v>819918.3782</v>
      </c>
      <c r="J72" s="416">
        <f>$I$71-J32</f>
        <v>742463.2008</v>
      </c>
      <c r="K72" s="416">
        <f t="shared" ref="K72:M72" si="37">$J$71-K32</f>
        <v>805273.3224</v>
      </c>
      <c r="L72" s="416">
        <f t="shared" si="37"/>
        <v>723392.1348</v>
      </c>
      <c r="M72" s="416">
        <f t="shared" si="37"/>
        <v>690197.0588</v>
      </c>
      <c r="N72" s="305"/>
      <c r="O72" s="406"/>
      <c r="P72" s="308"/>
      <c r="Q72" s="308"/>
      <c r="R72" s="308"/>
      <c r="S72" s="308"/>
      <c r="T72" s="308"/>
      <c r="U72" s="308"/>
      <c r="V72" s="308"/>
      <c r="W72" s="308"/>
      <c r="X72" s="308"/>
      <c r="Y72" s="308"/>
      <c r="Z72" s="308"/>
    </row>
    <row r="73" ht="15.75" customHeight="1" outlineLevel="2">
      <c r="A73" s="305"/>
      <c r="B73" s="364" t="s">
        <v>118</v>
      </c>
      <c r="C73" s="363">
        <f>'Customer Phases - Inputs and As'!F37</f>
        <v>0.6666666667</v>
      </c>
      <c r="D73" s="353"/>
      <c r="E73" s="360" t="s">
        <v>327</v>
      </c>
      <c r="F73" s="305"/>
      <c r="G73" s="420"/>
      <c r="H73" s="409"/>
      <c r="I73" s="409"/>
      <c r="J73" s="409"/>
      <c r="K73" s="409"/>
      <c r="L73" s="409"/>
      <c r="M73" s="410"/>
      <c r="N73" s="411"/>
      <c r="O73" s="406"/>
      <c r="P73" s="308"/>
      <c r="Q73" s="308"/>
      <c r="R73" s="308"/>
      <c r="S73" s="308"/>
      <c r="T73" s="308"/>
      <c r="U73" s="308"/>
      <c r="V73" s="308"/>
      <c r="W73" s="308"/>
      <c r="X73" s="308"/>
      <c r="Y73" s="308"/>
      <c r="Z73" s="308"/>
    </row>
    <row r="74" ht="15.75" customHeight="1" outlineLevel="2">
      <c r="A74" s="305"/>
      <c r="B74" s="358" t="s">
        <v>328</v>
      </c>
      <c r="C74" s="434">
        <f>'Customer Phases - Inputs and As'!F38</f>
        <v>39.87</v>
      </c>
      <c r="D74" s="353"/>
      <c r="E74" s="354" t="s">
        <v>329</v>
      </c>
      <c r="F74" s="305"/>
      <c r="G74" s="412"/>
      <c r="H74" s="415"/>
      <c r="I74" s="416"/>
      <c r="J74" s="416"/>
      <c r="K74" s="416"/>
      <c r="L74" s="416"/>
      <c r="M74" s="416"/>
      <c r="N74" s="411"/>
      <c r="O74" s="406"/>
      <c r="P74" s="308"/>
      <c r="Q74" s="308"/>
      <c r="R74" s="308"/>
      <c r="S74" s="308"/>
      <c r="T74" s="308"/>
      <c r="U74" s="308"/>
      <c r="V74" s="308"/>
      <c r="W74" s="308"/>
      <c r="X74" s="308"/>
      <c r="Y74" s="308"/>
      <c r="Z74" s="308"/>
    </row>
    <row r="75" ht="15.75" customHeight="1" outlineLevel="2">
      <c r="A75" s="305"/>
      <c r="B75" s="366" t="s">
        <v>255</v>
      </c>
      <c r="C75" s="365">
        <f>C74*C72*C73</f>
        <v>641348.82</v>
      </c>
      <c r="D75" s="353"/>
      <c r="E75" s="360" t="s">
        <v>330</v>
      </c>
      <c r="F75" s="305"/>
      <c r="G75" s="412"/>
      <c r="H75" s="415"/>
      <c r="I75" s="416"/>
      <c r="J75" s="416"/>
      <c r="K75" s="416"/>
      <c r="L75" s="416"/>
      <c r="M75" s="416"/>
      <c r="N75" s="411"/>
      <c r="O75" s="406"/>
      <c r="P75" s="308"/>
      <c r="Q75" s="308"/>
      <c r="R75" s="308"/>
      <c r="S75" s="308"/>
      <c r="T75" s="308"/>
      <c r="U75" s="308"/>
      <c r="V75" s="308"/>
      <c r="W75" s="308"/>
      <c r="X75" s="308"/>
      <c r="Y75" s="308"/>
      <c r="Z75" s="308"/>
    </row>
    <row r="76" ht="15.75" customHeight="1" outlineLevel="2">
      <c r="A76" s="305"/>
      <c r="B76" s="364" t="s">
        <v>112</v>
      </c>
      <c r="C76" s="363">
        <f>'Customer Phases - Inputs and As'!F39</f>
        <v>0.15</v>
      </c>
      <c r="D76" s="353"/>
      <c r="E76" s="360" t="s">
        <v>331</v>
      </c>
      <c r="F76" s="305"/>
      <c r="G76" s="420" t="s">
        <v>332</v>
      </c>
      <c r="H76" s="435"/>
      <c r="I76" s="435"/>
      <c r="J76" s="435"/>
      <c r="K76" s="435"/>
      <c r="L76" s="435"/>
      <c r="M76" s="436"/>
      <c r="N76" s="411"/>
      <c r="O76" s="406"/>
      <c r="P76" s="308"/>
      <c r="Q76" s="308"/>
      <c r="R76" s="308"/>
      <c r="S76" s="308"/>
      <c r="T76" s="308"/>
      <c r="U76" s="308"/>
      <c r="V76" s="308"/>
      <c r="W76" s="308"/>
      <c r="X76" s="308"/>
      <c r="Y76" s="308"/>
      <c r="Z76" s="308"/>
    </row>
    <row r="77" ht="15.75" customHeight="1" outlineLevel="2">
      <c r="A77" s="305"/>
      <c r="B77" s="437" t="s">
        <v>333</v>
      </c>
      <c r="C77" s="371">
        <f>C75*C76</f>
        <v>96202.323</v>
      </c>
      <c r="D77" s="353"/>
      <c r="E77" s="354" t="s">
        <v>261</v>
      </c>
      <c r="F77" s="305"/>
      <c r="G77" s="412" t="s">
        <v>308</v>
      </c>
      <c r="H77" s="415">
        <f t="shared" ref="H77:H78" si="38">sum(I77:M77)</f>
        <v>6267173.536</v>
      </c>
      <c r="I77" s="416">
        <f>'Servicing - Analysis'!$I$88</f>
        <v>1068280.181</v>
      </c>
      <c r="J77" s="416">
        <f>I77*(1+'Customer Phases - Inputs and As'!K$23)</f>
        <v>1153742.596</v>
      </c>
      <c r="K77" s="416">
        <f>J77*(1+'Customer Phases - Inputs and As'!L$23)</f>
        <v>1246042.003</v>
      </c>
      <c r="L77" s="416">
        <f>K77*(1+'Customer Phases - Inputs and As'!M$23)</f>
        <v>1345725.364</v>
      </c>
      <c r="M77" s="416">
        <f>L77*(1+'Customer Phases - Inputs and As'!N$23)</f>
        <v>1453383.393</v>
      </c>
      <c r="N77" s="411"/>
      <c r="O77" s="406"/>
      <c r="P77" s="308"/>
      <c r="Q77" s="308"/>
      <c r="R77" s="308"/>
      <c r="S77" s="308"/>
      <c r="T77" s="308"/>
      <c r="U77" s="308"/>
      <c r="V77" s="308"/>
      <c r="W77" s="308"/>
      <c r="X77" s="308"/>
      <c r="Y77" s="308"/>
      <c r="Z77" s="308"/>
    </row>
    <row r="78" ht="15.75" customHeight="1">
      <c r="A78" s="305"/>
      <c r="B78" s="364" t="s">
        <v>263</v>
      </c>
      <c r="C78" s="438">
        <f>C72*C73</f>
        <v>16086</v>
      </c>
      <c r="D78" s="353"/>
      <c r="E78" s="354" t="s">
        <v>277</v>
      </c>
      <c r="F78" s="305"/>
      <c r="G78" s="412" t="s">
        <v>309</v>
      </c>
      <c r="H78" s="415">
        <f t="shared" si="38"/>
        <v>5424667.862</v>
      </c>
      <c r="I78" s="416">
        <f>I$77-'Servicing - Analysis'!C$92</f>
        <v>1055425.773</v>
      </c>
      <c r="J78" s="416">
        <f>J$77-'Servicing - Analysis'!D$92</f>
        <v>1084205.389</v>
      </c>
      <c r="K78" s="416">
        <f>K$77-'Servicing - Analysis'!F$92</f>
        <v>1108928.316</v>
      </c>
      <c r="L78" s="416">
        <f>L$77-'Servicing - Analysis'!G$92</f>
        <v>1102929.821</v>
      </c>
      <c r="M78" s="416">
        <f>M$77-'Servicing - Analysis'!H$92</f>
        <v>1073178.564</v>
      </c>
      <c r="N78" s="439"/>
      <c r="O78" s="406"/>
      <c r="P78" s="308"/>
      <c r="Q78" s="308"/>
      <c r="R78" s="308"/>
      <c r="S78" s="308"/>
      <c r="T78" s="308"/>
      <c r="U78" s="308"/>
      <c r="V78" s="308"/>
      <c r="W78" s="308"/>
      <c r="X78" s="308"/>
      <c r="Y78" s="308"/>
      <c r="Z78" s="308"/>
    </row>
    <row r="79">
      <c r="A79" s="305"/>
      <c r="B79" s="437" t="s">
        <v>334</v>
      </c>
      <c r="C79" s="438">
        <f>C78*C76</f>
        <v>2412.9</v>
      </c>
      <c r="D79" s="353"/>
      <c r="E79" s="354" t="s">
        <v>267</v>
      </c>
      <c r="F79" s="305"/>
      <c r="G79" s="420" t="s">
        <v>335</v>
      </c>
      <c r="H79" s="435"/>
      <c r="I79" s="435"/>
      <c r="J79" s="435"/>
      <c r="K79" s="435"/>
      <c r="L79" s="435"/>
      <c r="M79" s="436"/>
      <c r="N79" s="411"/>
      <c r="O79" s="406"/>
      <c r="P79" s="308"/>
      <c r="Q79" s="308"/>
      <c r="R79" s="308"/>
      <c r="S79" s="308"/>
      <c r="T79" s="308"/>
      <c r="U79" s="308"/>
      <c r="V79" s="308"/>
      <c r="W79" s="308"/>
      <c r="X79" s="308"/>
      <c r="Y79" s="308"/>
      <c r="Z79" s="308"/>
    </row>
    <row r="80" outlineLevel="1">
      <c r="A80" s="305"/>
      <c r="B80" s="370" t="s">
        <v>336</v>
      </c>
      <c r="C80" s="434">
        <f>C86</f>
        <v>154894.95</v>
      </c>
      <c r="D80" s="353" t="s">
        <v>269</v>
      </c>
      <c r="E80" s="354"/>
      <c r="F80" s="305"/>
      <c r="G80" s="412" t="s">
        <v>308</v>
      </c>
      <c r="H80" s="415">
        <f t="shared" ref="H80:H81" si="40">sum(I80:M80)</f>
        <v>20230926.07</v>
      </c>
      <c r="I80" s="416">
        <f t="shared" ref="I80:M80" si="39">I$68+I$71+I$77</f>
        <v>3187677.112</v>
      </c>
      <c r="J80" s="416">
        <f t="shared" si="39"/>
        <v>3566363.893</v>
      </c>
      <c r="K80" s="416">
        <f t="shared" si="39"/>
        <v>3992456.061</v>
      </c>
      <c r="L80" s="416">
        <f t="shared" si="39"/>
        <v>4472113.323</v>
      </c>
      <c r="M80" s="416">
        <f t="shared" si="39"/>
        <v>5012315.684</v>
      </c>
      <c r="N80" s="406"/>
      <c r="O80" s="406"/>
      <c r="P80" s="308"/>
      <c r="Q80" s="308"/>
      <c r="R80" s="308"/>
      <c r="S80" s="308"/>
      <c r="T80" s="308"/>
      <c r="U80" s="308"/>
      <c r="V80" s="308"/>
      <c r="W80" s="308"/>
      <c r="X80" s="308"/>
      <c r="Y80" s="308"/>
      <c r="Z80" s="308"/>
    </row>
    <row r="81" ht="15.75" customHeight="1" outlineLevel="1">
      <c r="A81" s="305"/>
      <c r="B81" s="364" t="s">
        <v>138</v>
      </c>
      <c r="C81" s="359">
        <f>'Customer Phases - Inputs and As'!F42</f>
        <v>103600</v>
      </c>
      <c r="D81" s="353"/>
      <c r="E81" s="360" t="s">
        <v>337</v>
      </c>
      <c r="F81" s="305"/>
      <c r="G81" s="412" t="s">
        <v>309</v>
      </c>
      <c r="H81" s="415">
        <f t="shared" si="40"/>
        <v>15329082.98</v>
      </c>
      <c r="I81" s="416">
        <f t="shared" ref="I81:M81" si="41">I$69+I$72+I$78</f>
        <v>3150357.081</v>
      </c>
      <c r="J81" s="416">
        <f t="shared" si="41"/>
        <v>3167257.142</v>
      </c>
      <c r="K81" s="416">
        <f t="shared" si="41"/>
        <v>3179030.889</v>
      </c>
      <c r="L81" s="416">
        <f t="shared" si="41"/>
        <v>2971870.604</v>
      </c>
      <c r="M81" s="416">
        <f t="shared" si="41"/>
        <v>2860567.269</v>
      </c>
      <c r="N81" s="406"/>
      <c r="O81" s="406"/>
      <c r="P81" s="308"/>
      <c r="Q81" s="308"/>
      <c r="R81" s="308"/>
      <c r="S81" s="308"/>
      <c r="T81" s="308"/>
      <c r="U81" s="308"/>
      <c r="V81" s="308"/>
      <c r="W81" s="308"/>
      <c r="X81" s="308"/>
      <c r="Y81" s="308"/>
      <c r="Z81" s="308"/>
    </row>
    <row r="82" outlineLevel="2">
      <c r="A82" s="305"/>
      <c r="B82" s="364" t="s">
        <v>118</v>
      </c>
      <c r="C82" s="363">
        <f>'Customer Phases - Inputs and As'!F43</f>
        <v>0.5</v>
      </c>
      <c r="D82" s="353"/>
      <c r="E82" s="360"/>
      <c r="F82" s="305"/>
      <c r="G82" s="440" t="s">
        <v>338</v>
      </c>
      <c r="H82" s="415">
        <f>H77-H78</f>
        <v>842505.674</v>
      </c>
      <c r="I82" s="441"/>
      <c r="J82" s="441"/>
      <c r="K82" s="441"/>
      <c r="L82" s="441"/>
      <c r="M82" s="441"/>
      <c r="N82" s="442">
        <f>I60</f>
        <v>599309.9468</v>
      </c>
      <c r="O82" s="406"/>
      <c r="P82" s="308"/>
      <c r="Q82" s="308"/>
      <c r="R82" s="308"/>
      <c r="S82" s="308"/>
      <c r="T82" s="308"/>
      <c r="U82" s="308"/>
      <c r="V82" s="308"/>
      <c r="W82" s="308"/>
      <c r="X82" s="308"/>
      <c r="Y82" s="308"/>
      <c r="Z82" s="308"/>
    </row>
    <row r="83" outlineLevel="2">
      <c r="A83" s="305"/>
      <c r="B83" s="364" t="s">
        <v>253</v>
      </c>
      <c r="C83" s="434">
        <f>'Customer Phases - Inputs and As'!F44</f>
        <v>39.87</v>
      </c>
      <c r="D83" s="353"/>
      <c r="E83" s="354" t="s">
        <v>329</v>
      </c>
      <c r="F83" s="305"/>
      <c r="G83" s="443"/>
      <c r="H83" s="441">
        <f>'Servicing - Analysis'!I92</f>
        <v>842505.674</v>
      </c>
      <c r="I83" s="441"/>
      <c r="J83" s="441"/>
      <c r="K83" s="441"/>
      <c r="L83" s="441"/>
      <c r="M83" s="441"/>
      <c r="N83" s="442">
        <f>J60</f>
        <v>978983.6968</v>
      </c>
      <c r="O83" s="406"/>
      <c r="P83" s="308"/>
      <c r="Q83" s="308"/>
      <c r="R83" s="308"/>
      <c r="S83" s="308"/>
      <c r="T83" s="308"/>
      <c r="U83" s="308"/>
      <c r="V83" s="308"/>
      <c r="W83" s="308"/>
      <c r="X83" s="308"/>
      <c r="Y83" s="308"/>
      <c r="Z83" s="308"/>
    </row>
    <row r="84" ht="15.75" customHeight="1" outlineLevel="2">
      <c r="A84" s="305"/>
      <c r="B84" s="366" t="s">
        <v>255</v>
      </c>
      <c r="C84" s="365">
        <f>C83*C81*C82</f>
        <v>2065266</v>
      </c>
      <c r="D84" s="353"/>
      <c r="E84" s="354" t="s">
        <v>339</v>
      </c>
      <c r="F84" s="305"/>
      <c r="G84" s="420" t="s">
        <v>340</v>
      </c>
      <c r="H84" s="409" t="s">
        <v>188</v>
      </c>
      <c r="I84" s="444" t="s">
        <v>80</v>
      </c>
      <c r="J84" s="444" t="s">
        <v>81</v>
      </c>
      <c r="K84" s="444" t="s">
        <v>82</v>
      </c>
      <c r="L84" s="444" t="s">
        <v>83</v>
      </c>
      <c r="M84" s="445" t="s">
        <v>84</v>
      </c>
      <c r="N84" s="442">
        <f>K60</f>
        <v>1790193.11</v>
      </c>
      <c r="O84" s="406"/>
      <c r="P84" s="308"/>
      <c r="Q84" s="308"/>
      <c r="R84" s="308"/>
      <c r="S84" s="308"/>
      <c r="T84" s="308"/>
      <c r="U84" s="308"/>
      <c r="V84" s="308"/>
      <c r="W84" s="308"/>
      <c r="X84" s="308"/>
      <c r="Y84" s="308"/>
      <c r="Z84" s="308"/>
    </row>
    <row r="85" ht="15.75" customHeight="1" outlineLevel="2">
      <c r="A85" s="305"/>
      <c r="B85" s="364" t="s">
        <v>112</v>
      </c>
      <c r="C85" s="363">
        <f>'Customer Phases - Inputs and As'!F45</f>
        <v>0.075</v>
      </c>
      <c r="D85" s="353"/>
      <c r="E85" s="360" t="s">
        <v>160</v>
      </c>
      <c r="F85" s="305"/>
      <c r="G85" s="446" t="s">
        <v>341</v>
      </c>
      <c r="H85" s="413">
        <f t="shared" ref="H85:H88" si="42">sum(I85:M85)</f>
        <v>0</v>
      </c>
      <c r="I85" s="414">
        <f>'Customer Phases - Inputs and As'!$F$105*I$18*'Customer Phases - Inputs and As'!J$21*'Customer Phases - Inputs and As'!J$22</f>
        <v>0</v>
      </c>
      <c r="J85" s="414">
        <f>'Customer Phases - Inputs and As'!$F$105*J$18*'Customer Phases - Inputs and As'!K$21*'Customer Phases - Inputs and As'!K$22</f>
        <v>0</v>
      </c>
      <c r="K85" s="414">
        <f>'Customer Phases - Inputs and As'!$F$105*K$18*'Customer Phases - Inputs and As'!L$21*'Customer Phases - Inputs and As'!L$22</f>
        <v>0</v>
      </c>
      <c r="L85" s="414">
        <f>'Customer Phases - Inputs and As'!$F$105*L$18*'Customer Phases - Inputs and As'!M$21*'Customer Phases - Inputs and As'!M$22</f>
        <v>0</v>
      </c>
      <c r="M85" s="414">
        <f>'Customer Phases - Inputs and As'!$F$105*M$18*'Customer Phases - Inputs and As'!N$21*'Customer Phases - Inputs and As'!N$22</f>
        <v>0</v>
      </c>
      <c r="N85" s="442">
        <f>L60</f>
        <v>2919349.498</v>
      </c>
      <c r="O85" s="406"/>
      <c r="P85" s="308"/>
      <c r="Q85" s="308"/>
      <c r="R85" s="308"/>
      <c r="S85" s="308"/>
      <c r="T85" s="308"/>
      <c r="U85" s="308"/>
      <c r="V85" s="308"/>
      <c r="W85" s="308"/>
      <c r="X85" s="308"/>
      <c r="Y85" s="308"/>
      <c r="Z85" s="308"/>
    </row>
    <row r="86" ht="15.75" customHeight="1" outlineLevel="2">
      <c r="A86" s="305"/>
      <c r="B86" s="368" t="s">
        <v>260</v>
      </c>
      <c r="C86" s="371">
        <f>C84*C85</f>
        <v>154894.95</v>
      </c>
      <c r="D86" s="353"/>
      <c r="E86" s="354" t="s">
        <v>261</v>
      </c>
      <c r="F86" s="305"/>
      <c r="G86" s="446" t="s">
        <v>342</v>
      </c>
      <c r="H86" s="413">
        <f t="shared" si="42"/>
        <v>0</v>
      </c>
      <c r="I86" s="414">
        <f>'Customer Phases - Inputs and As'!$F$104*'Customer Phases - Inputs and As'!J$21*'Customer Phases - Inputs and As'!J$22*'Customer Phases - Inputs and As'!$J$23</f>
        <v>0</v>
      </c>
      <c r="J86" s="414">
        <f>'Customer Phases - Inputs and As'!$F$104*'Customer Phases - Inputs and As'!K$21*'Customer Phases - Inputs and As'!K$22*'Customer Phases - Inputs and As'!$J$23</f>
        <v>0</v>
      </c>
      <c r="K86" s="414">
        <f>'Customer Phases - Inputs and As'!$F$104*'Customer Phases - Inputs and As'!L$21*'Customer Phases - Inputs and As'!L$22*'Customer Phases - Inputs and As'!$J$23</f>
        <v>0</v>
      </c>
      <c r="L86" s="414">
        <f>'Customer Phases - Inputs and As'!$F$104*'Customer Phases - Inputs and As'!M$21*'Customer Phases - Inputs and As'!M$22*'Customer Phases - Inputs and As'!$J$23</f>
        <v>0</v>
      </c>
      <c r="M86" s="414">
        <f>'Customer Phases - Inputs and As'!$F$104*'Customer Phases - Inputs and As'!N$21*'Customer Phases - Inputs and As'!N$22*'Customer Phases - Inputs and As'!$J$23*1.1</f>
        <v>0</v>
      </c>
      <c r="N86" s="442">
        <f>M60</f>
        <v>5316297.709</v>
      </c>
      <c r="O86" s="406"/>
      <c r="P86" s="308"/>
      <c r="Q86" s="308"/>
      <c r="R86" s="308"/>
      <c r="S86" s="308"/>
      <c r="T86" s="308"/>
      <c r="U86" s="308"/>
      <c r="V86" s="308"/>
      <c r="W86" s="308"/>
      <c r="X86" s="308"/>
      <c r="Y86" s="308"/>
      <c r="Z86" s="308"/>
    </row>
    <row r="87" ht="15.75" customHeight="1" outlineLevel="2">
      <c r="A87" s="305"/>
      <c r="B87" s="364" t="s">
        <v>263</v>
      </c>
      <c r="C87" s="438">
        <f>C81*C82</f>
        <v>51800</v>
      </c>
      <c r="D87" s="353"/>
      <c r="E87" s="354" t="s">
        <v>277</v>
      </c>
      <c r="F87" s="305"/>
      <c r="G87" s="446" t="s">
        <v>343</v>
      </c>
      <c r="H87" s="413">
        <f t="shared" si="42"/>
        <v>0</v>
      </c>
      <c r="I87" s="414">
        <f t="shared" ref="I87:M87" si="43">I85+I86</f>
        <v>0</v>
      </c>
      <c r="J87" s="414">
        <f t="shared" si="43"/>
        <v>0</v>
      </c>
      <c r="K87" s="414">
        <f t="shared" si="43"/>
        <v>0</v>
      </c>
      <c r="L87" s="414">
        <f t="shared" si="43"/>
        <v>0</v>
      </c>
      <c r="M87" s="414">
        <f t="shared" si="43"/>
        <v>0</v>
      </c>
      <c r="N87" s="406" t="s">
        <v>306</v>
      </c>
      <c r="O87" s="406"/>
      <c r="P87" s="308"/>
      <c r="Q87" s="308"/>
      <c r="R87" s="308"/>
      <c r="S87" s="308"/>
      <c r="T87" s="308"/>
      <c r="U87" s="308"/>
      <c r="V87" s="308"/>
      <c r="W87" s="308"/>
      <c r="X87" s="308"/>
      <c r="Y87" s="308"/>
      <c r="Z87" s="308"/>
    </row>
    <row r="88" outlineLevel="2">
      <c r="A88" s="305"/>
      <c r="B88" s="447" t="s">
        <v>334</v>
      </c>
      <c r="C88" s="448">
        <f>C87*C85</f>
        <v>3885</v>
      </c>
      <c r="D88" s="353"/>
      <c r="E88" s="354" t="s">
        <v>267</v>
      </c>
      <c r="F88" s="305"/>
      <c r="G88" s="446" t="s">
        <v>344</v>
      </c>
      <c r="H88" s="415">
        <f t="shared" si="42"/>
        <v>0</v>
      </c>
      <c r="I88" s="416">
        <f>I87*'Customer Phases - Inputs and As'!$E$102</f>
        <v>0</v>
      </c>
      <c r="J88" s="416">
        <f>J87*'Customer Phases - Inputs and As'!$E$102</f>
        <v>0</v>
      </c>
      <c r="K88" s="416">
        <f>K87*'Customer Phases - Inputs and As'!$E$102</f>
        <v>0</v>
      </c>
      <c r="L88" s="416">
        <f>L87*'Customer Phases - Inputs and As'!$E$102</f>
        <v>0</v>
      </c>
      <c r="M88" s="416">
        <f>M87*'Customer Phases - Inputs and As'!$E$102</f>
        <v>0</v>
      </c>
      <c r="N88" s="442">
        <f>I72</f>
        <v>819918.3782</v>
      </c>
      <c r="O88" s="406"/>
      <c r="P88" s="308"/>
      <c r="Q88" s="308"/>
      <c r="R88" s="308"/>
      <c r="S88" s="308"/>
      <c r="T88" s="308"/>
      <c r="U88" s="308"/>
      <c r="V88" s="308"/>
      <c r="W88" s="308"/>
      <c r="X88" s="308"/>
      <c r="Y88" s="308"/>
      <c r="Z88" s="308"/>
    </row>
    <row r="89" outlineLevel="2">
      <c r="A89" s="305"/>
      <c r="B89" s="344" t="s">
        <v>345</v>
      </c>
      <c r="C89" s="449">
        <f>C96+C104+C112+C120</f>
        <v>221300.5069</v>
      </c>
      <c r="D89" s="377"/>
      <c r="E89" s="354"/>
      <c r="F89" s="305"/>
      <c r="G89" s="308"/>
      <c r="H89" s="308"/>
      <c r="I89" s="406"/>
      <c r="J89" s="406"/>
      <c r="K89" s="406"/>
      <c r="L89" s="406"/>
      <c r="M89" s="406"/>
      <c r="N89" s="442">
        <f>J72</f>
        <v>742463.2008</v>
      </c>
      <c r="O89" s="406"/>
      <c r="P89" s="308"/>
      <c r="Q89" s="308"/>
      <c r="R89" s="308"/>
      <c r="S89" s="308"/>
      <c r="T89" s="308"/>
      <c r="U89" s="308"/>
      <c r="V89" s="308"/>
      <c r="W89" s="308"/>
      <c r="X89" s="308"/>
      <c r="Y89" s="308"/>
      <c r="Z89" s="308"/>
    </row>
    <row r="90" ht="15.75" customHeight="1" outlineLevel="1">
      <c r="A90" s="305"/>
      <c r="B90" s="450" t="s">
        <v>162</v>
      </c>
      <c r="C90" s="345">
        <f>C96</f>
        <v>165975.3802</v>
      </c>
      <c r="D90" s="353" t="s">
        <v>297</v>
      </c>
      <c r="E90" s="354"/>
      <c r="F90" s="305"/>
      <c r="G90" s="308"/>
      <c r="H90" s="308"/>
      <c r="I90" s="451"/>
      <c r="J90" s="451"/>
      <c r="K90" s="451"/>
      <c r="L90" s="451"/>
      <c r="M90" s="451"/>
      <c r="N90" s="442">
        <f>K72</f>
        <v>805273.3224</v>
      </c>
      <c r="O90" s="406"/>
      <c r="P90" s="308"/>
      <c r="Q90" s="308"/>
      <c r="R90" s="308"/>
      <c r="S90" s="308"/>
      <c r="T90" s="308"/>
      <c r="U90" s="308"/>
      <c r="V90" s="308"/>
      <c r="W90" s="308"/>
      <c r="X90" s="308"/>
      <c r="Y90" s="308"/>
      <c r="Z90" s="308"/>
    </row>
    <row r="91" outlineLevel="2">
      <c r="A91" s="305"/>
      <c r="B91" s="364" t="s">
        <v>166</v>
      </c>
      <c r="C91" s="452">
        <f>'Customer Phases - Inputs and As'!F48</f>
        <v>103600</v>
      </c>
      <c r="D91" s="353"/>
      <c r="E91" s="360" t="s">
        <v>283</v>
      </c>
      <c r="F91" s="305"/>
      <c r="G91" s="453"/>
      <c r="H91" s="308"/>
      <c r="I91" s="406"/>
      <c r="J91" s="442"/>
      <c r="K91" s="442"/>
      <c r="L91" s="406"/>
      <c r="M91" s="442"/>
      <c r="N91" s="442">
        <f>L72</f>
        <v>723392.1348</v>
      </c>
      <c r="O91" s="305"/>
      <c r="P91" s="308"/>
      <c r="Q91" s="308"/>
      <c r="R91" s="308"/>
      <c r="S91" s="308"/>
      <c r="T91" s="308"/>
      <c r="U91" s="308"/>
      <c r="V91" s="308"/>
      <c r="W91" s="308"/>
      <c r="X91" s="308"/>
      <c r="Y91" s="308"/>
      <c r="Z91" s="308"/>
    </row>
    <row r="92" outlineLevel="2">
      <c r="A92" s="305"/>
      <c r="B92" s="364" t="s">
        <v>171</v>
      </c>
      <c r="C92" s="454">
        <f>'Customer Phases - Inputs and As'!F49</f>
        <v>0.6666666667</v>
      </c>
      <c r="D92" s="353"/>
      <c r="E92" s="354" t="s">
        <v>346</v>
      </c>
      <c r="F92" s="305"/>
      <c r="G92" s="308"/>
      <c r="H92" s="308"/>
      <c r="I92" s="406"/>
      <c r="J92" s="442"/>
      <c r="K92" s="442"/>
      <c r="L92" s="406"/>
      <c r="M92" s="442"/>
      <c r="N92" s="442">
        <f>M72</f>
        <v>690197.0588</v>
      </c>
      <c r="O92" s="305"/>
      <c r="P92" s="308"/>
      <c r="Q92" s="308"/>
      <c r="R92" s="308"/>
      <c r="S92" s="308"/>
      <c r="T92" s="308"/>
      <c r="U92" s="308"/>
      <c r="V92" s="308"/>
      <c r="W92" s="308"/>
      <c r="X92" s="308"/>
      <c r="Y92" s="308"/>
      <c r="Z92" s="308"/>
    </row>
    <row r="93" outlineLevel="2">
      <c r="A93" s="305"/>
      <c r="B93" s="358" t="s">
        <v>286</v>
      </c>
      <c r="C93" s="365">
        <f>'Customer Phases - Inputs and As'!F50</f>
        <v>8.010394797</v>
      </c>
      <c r="D93" s="353"/>
      <c r="E93" s="360" t="s">
        <v>302</v>
      </c>
      <c r="F93" s="305"/>
      <c r="G93" s="308"/>
      <c r="H93" s="308"/>
      <c r="I93" s="406"/>
      <c r="J93" s="442"/>
      <c r="K93" s="442"/>
      <c r="L93" s="455"/>
      <c r="M93" s="442"/>
      <c r="N93" s="406"/>
      <c r="O93" s="305"/>
      <c r="P93" s="308"/>
      <c r="Q93" s="308"/>
      <c r="R93" s="308"/>
      <c r="S93" s="308"/>
      <c r="T93" s="308"/>
      <c r="U93" s="308"/>
      <c r="V93" s="308"/>
      <c r="W93" s="308"/>
      <c r="X93" s="308"/>
      <c r="Y93" s="308"/>
      <c r="Z93" s="308"/>
    </row>
    <row r="94" outlineLevel="2">
      <c r="A94" s="305"/>
      <c r="B94" s="364" t="s">
        <v>255</v>
      </c>
      <c r="C94" s="365">
        <f>C93*C92*C91</f>
        <v>553251.2673</v>
      </c>
      <c r="D94" s="353"/>
      <c r="E94" s="354" t="s">
        <v>289</v>
      </c>
      <c r="F94" s="305"/>
      <c r="G94" s="308"/>
      <c r="H94" s="308"/>
      <c r="I94" s="406" t="s">
        <v>83</v>
      </c>
      <c r="J94" s="442">
        <f>L54</f>
        <v>22950842.13</v>
      </c>
      <c r="K94" s="442">
        <f>L55</f>
        <v>23200100.99</v>
      </c>
      <c r="L94" s="406" t="s">
        <v>83</v>
      </c>
      <c r="M94" s="442">
        <f>L59</f>
        <v>2748603.352</v>
      </c>
      <c r="N94" s="406"/>
      <c r="O94" s="305"/>
      <c r="P94" s="308"/>
      <c r="Q94" s="308"/>
      <c r="R94" s="308"/>
      <c r="S94" s="308"/>
      <c r="T94" s="308"/>
      <c r="U94" s="308"/>
      <c r="V94" s="308"/>
      <c r="W94" s="308"/>
      <c r="X94" s="308"/>
      <c r="Y94" s="308"/>
      <c r="Z94" s="308"/>
    </row>
    <row r="95" outlineLevel="2">
      <c r="A95" s="305"/>
      <c r="B95" s="364" t="s">
        <v>112</v>
      </c>
      <c r="C95" s="363">
        <f>'Customer Phases - Inputs and As'!F51</f>
        <v>0.3</v>
      </c>
      <c r="D95" s="353"/>
      <c r="E95" s="354" t="s">
        <v>290</v>
      </c>
      <c r="F95" s="305"/>
      <c r="G95" s="308"/>
      <c r="H95" s="308"/>
      <c r="I95" s="406" t="s">
        <v>84</v>
      </c>
      <c r="J95" s="442">
        <f>M54</f>
        <v>41311515.83</v>
      </c>
      <c r="K95" s="442">
        <f>M55</f>
        <v>41602909.19</v>
      </c>
      <c r="L95" s="406" t="s">
        <v>84</v>
      </c>
      <c r="M95" s="442">
        <f>M59</f>
        <v>4947486.034</v>
      </c>
      <c r="N95" s="406"/>
      <c r="O95" s="305"/>
      <c r="P95" s="308"/>
      <c r="Q95" s="308"/>
      <c r="R95" s="308"/>
      <c r="S95" s="308"/>
      <c r="T95" s="308"/>
      <c r="U95" s="308"/>
      <c r="V95" s="308"/>
      <c r="W95" s="308"/>
      <c r="X95" s="308"/>
      <c r="Y95" s="308"/>
      <c r="Z95" s="308"/>
    </row>
    <row r="96" outlineLevel="2">
      <c r="A96" s="305"/>
      <c r="B96" s="364" t="s">
        <v>260</v>
      </c>
      <c r="C96" s="456">
        <f>C94*C95</f>
        <v>165975.3802</v>
      </c>
      <c r="D96" s="353"/>
      <c r="E96" s="354" t="s">
        <v>291</v>
      </c>
      <c r="F96" s="305"/>
      <c r="G96" s="308"/>
      <c r="H96" s="308"/>
      <c r="I96" s="406"/>
      <c r="J96" s="406" t="s">
        <v>347</v>
      </c>
      <c r="K96" s="406" t="s">
        <v>306</v>
      </c>
      <c r="L96" s="406"/>
      <c r="M96" s="406" t="s">
        <v>347</v>
      </c>
      <c r="N96" s="305"/>
      <c r="O96" s="305"/>
      <c r="P96" s="308"/>
      <c r="Q96" s="308"/>
      <c r="R96" s="308"/>
      <c r="S96" s="308"/>
      <c r="T96" s="308"/>
      <c r="U96" s="308"/>
      <c r="V96" s="308"/>
      <c r="W96" s="308"/>
      <c r="X96" s="308"/>
      <c r="Y96" s="308"/>
      <c r="Z96" s="308"/>
    </row>
    <row r="97" outlineLevel="2">
      <c r="A97" s="305"/>
      <c r="B97" s="368" t="s">
        <v>293</v>
      </c>
      <c r="C97" s="457">
        <f>C95*C91</f>
        <v>31080</v>
      </c>
      <c r="D97" s="353"/>
      <c r="E97" s="354" t="s">
        <v>294</v>
      </c>
      <c r="F97" s="305"/>
      <c r="G97" s="308"/>
      <c r="H97" s="308"/>
      <c r="I97" s="406" t="s">
        <v>80</v>
      </c>
      <c r="J97" s="442">
        <f>I68</f>
        <v>1289520.03</v>
      </c>
      <c r="K97" s="442">
        <f>I69</f>
        <v>1275012.929</v>
      </c>
      <c r="L97" s="406" t="s">
        <v>80</v>
      </c>
      <c r="M97" s="442">
        <f>I71</f>
        <v>829876.901</v>
      </c>
      <c r="N97" s="305"/>
      <c r="O97" s="305"/>
      <c r="P97" s="308"/>
      <c r="Q97" s="308"/>
      <c r="R97" s="308"/>
      <c r="S97" s="308"/>
      <c r="T97" s="308"/>
      <c r="U97" s="308"/>
      <c r="V97" s="308"/>
      <c r="W97" s="308"/>
      <c r="X97" s="308"/>
      <c r="Y97" s="308"/>
      <c r="Z97" s="308"/>
    </row>
    <row r="98" outlineLevel="2">
      <c r="A98" s="305"/>
      <c r="B98" s="370" t="s">
        <v>186</v>
      </c>
      <c r="C98" s="456">
        <f>C104</f>
        <v>55325.12673</v>
      </c>
      <c r="D98" s="353" t="s">
        <v>281</v>
      </c>
      <c r="E98" s="354"/>
      <c r="F98" s="305"/>
      <c r="G98" s="308"/>
      <c r="H98" s="308"/>
      <c r="I98" s="406" t="s">
        <v>81</v>
      </c>
      <c r="J98" s="442">
        <f>J68</f>
        <v>1467928.656</v>
      </c>
      <c r="K98" s="442">
        <f>J69</f>
        <v>1340588.553</v>
      </c>
      <c r="L98" s="406" t="s">
        <v>81</v>
      </c>
      <c r="M98" s="442">
        <f>J71</f>
        <v>944692.6417</v>
      </c>
      <c r="N98" s="305"/>
      <c r="O98" s="305"/>
      <c r="P98" s="308"/>
      <c r="Q98" s="308"/>
      <c r="R98" s="308"/>
      <c r="S98" s="308"/>
      <c r="T98" s="308"/>
      <c r="U98" s="308"/>
      <c r="V98" s="308"/>
      <c r="W98" s="308"/>
      <c r="X98" s="308"/>
      <c r="Y98" s="308"/>
      <c r="Z98" s="308"/>
    </row>
    <row r="99" outlineLevel="1">
      <c r="A99" s="305"/>
      <c r="B99" s="364" t="s">
        <v>166</v>
      </c>
      <c r="C99" s="359">
        <f>'Customer Phases - Inputs and As'!F54</f>
        <v>51800</v>
      </c>
      <c r="D99" s="353"/>
      <c r="E99" s="360" t="s">
        <v>348</v>
      </c>
      <c r="F99" s="305"/>
      <c r="G99" s="308"/>
      <c r="H99" s="308"/>
      <c r="I99" s="406" t="s">
        <v>82</v>
      </c>
      <c r="J99" s="442">
        <f>K68</f>
        <v>1671020.603</v>
      </c>
      <c r="K99" s="442">
        <f>K69</f>
        <v>1264829.251</v>
      </c>
      <c r="L99" s="406" t="s">
        <v>82</v>
      </c>
      <c r="M99" s="442">
        <f>K71</f>
        <v>1075393.454</v>
      </c>
      <c r="N99" s="305"/>
      <c r="O99" s="305"/>
      <c r="P99" s="308"/>
      <c r="Q99" s="308"/>
      <c r="R99" s="308"/>
      <c r="S99" s="308"/>
      <c r="T99" s="308"/>
      <c r="U99" s="308"/>
      <c r="V99" s="308"/>
      <c r="W99" s="308"/>
      <c r="X99" s="308"/>
      <c r="Y99" s="308"/>
      <c r="Z99" s="308"/>
    </row>
    <row r="100" outlineLevel="1">
      <c r="A100" s="305"/>
      <c r="B100" s="364" t="s">
        <v>300</v>
      </c>
      <c r="C100" s="458">
        <f>'Customer Phases - Inputs and As'!F55</f>
        <v>0.6666666667</v>
      </c>
      <c r="D100" s="353"/>
      <c r="E100" s="354" t="s">
        <v>346</v>
      </c>
      <c r="F100" s="305"/>
      <c r="G100" s="308"/>
      <c r="H100" s="308"/>
      <c r="I100" s="406" t="s">
        <v>83</v>
      </c>
      <c r="J100" s="442">
        <f>L68</f>
        <v>1902210.877</v>
      </c>
      <c r="K100" s="442">
        <f>L69</f>
        <v>1145548.648</v>
      </c>
      <c r="L100" s="406" t="s">
        <v>83</v>
      </c>
      <c r="M100" s="442">
        <f>L71</f>
        <v>1224177.082</v>
      </c>
      <c r="N100" s="305"/>
      <c r="O100" s="305"/>
      <c r="P100" s="308"/>
      <c r="Q100" s="308"/>
      <c r="R100" s="308"/>
      <c r="S100" s="308"/>
      <c r="T100" s="308"/>
      <c r="U100" s="308"/>
      <c r="V100" s="308"/>
      <c r="W100" s="308"/>
      <c r="X100" s="308"/>
      <c r="Y100" s="308"/>
      <c r="Z100" s="308"/>
    </row>
    <row r="101" outlineLevel="2">
      <c r="A101" s="305"/>
      <c r="B101" s="358" t="s">
        <v>286</v>
      </c>
      <c r="C101" s="434">
        <f>'Customer Phases - Inputs and As'!F56</f>
        <v>8.010394797</v>
      </c>
      <c r="D101" s="353"/>
      <c r="E101" s="360" t="s">
        <v>311</v>
      </c>
      <c r="F101" s="305"/>
      <c r="G101" s="308"/>
      <c r="H101" s="308"/>
      <c r="I101" s="406" t="s">
        <v>84</v>
      </c>
      <c r="J101" s="442">
        <f>M68</f>
        <v>2165386.959</v>
      </c>
      <c r="K101" s="442">
        <f>M69</f>
        <v>1097191.647</v>
      </c>
      <c r="L101" s="406" t="s">
        <v>84</v>
      </c>
      <c r="M101" s="442">
        <f>M71</f>
        <v>1393545.332</v>
      </c>
      <c r="N101" s="305"/>
      <c r="O101" s="305"/>
      <c r="P101" s="308"/>
      <c r="Q101" s="308"/>
      <c r="R101" s="308"/>
      <c r="S101" s="308"/>
      <c r="T101" s="308"/>
      <c r="U101" s="308"/>
      <c r="V101" s="308"/>
      <c r="W101" s="308"/>
      <c r="X101" s="308"/>
      <c r="Y101" s="308"/>
      <c r="Z101" s="308"/>
    </row>
    <row r="102" outlineLevel="2">
      <c r="A102" s="305"/>
      <c r="B102" s="364" t="s">
        <v>255</v>
      </c>
      <c r="C102" s="365">
        <f>C101*C100*C99</f>
        <v>276625.6337</v>
      </c>
      <c r="D102" s="353"/>
      <c r="E102" s="354" t="s">
        <v>313</v>
      </c>
      <c r="F102" s="305"/>
      <c r="G102" s="308"/>
      <c r="H102" s="308"/>
      <c r="I102" s="406"/>
      <c r="J102" s="406"/>
      <c r="K102" s="406"/>
      <c r="L102" s="406"/>
      <c r="M102" s="406"/>
      <c r="N102" s="305"/>
      <c r="O102" s="305"/>
      <c r="P102" s="308"/>
      <c r="Q102" s="308"/>
      <c r="R102" s="308"/>
      <c r="S102" s="308"/>
      <c r="T102" s="308"/>
      <c r="U102" s="308"/>
      <c r="V102" s="308"/>
      <c r="W102" s="308"/>
      <c r="X102" s="308"/>
      <c r="Y102" s="308"/>
      <c r="Z102" s="308"/>
    </row>
    <row r="103" outlineLevel="2">
      <c r="A103" s="305"/>
      <c r="B103" s="364" t="s">
        <v>112</v>
      </c>
      <c r="C103" s="363">
        <f>'Customer Phases - Inputs and As'!F57</f>
        <v>0.2</v>
      </c>
      <c r="D103" s="353"/>
      <c r="E103" s="360" t="s">
        <v>349</v>
      </c>
      <c r="F103" s="305"/>
      <c r="G103" s="305"/>
      <c r="H103" s="308"/>
      <c r="I103" s="406"/>
      <c r="J103" s="406"/>
      <c r="K103" s="406"/>
      <c r="L103" s="406"/>
      <c r="M103" s="406"/>
      <c r="N103" s="305"/>
      <c r="O103" s="305"/>
      <c r="P103" s="308"/>
      <c r="Q103" s="308"/>
      <c r="R103" s="308"/>
      <c r="S103" s="308"/>
      <c r="T103" s="308"/>
      <c r="U103" s="308"/>
      <c r="V103" s="308"/>
      <c r="W103" s="308"/>
      <c r="X103" s="308"/>
      <c r="Y103" s="308"/>
      <c r="Z103" s="308"/>
    </row>
    <row r="104" outlineLevel="2">
      <c r="A104" s="305"/>
      <c r="B104" s="364" t="s">
        <v>260</v>
      </c>
      <c r="C104" s="365">
        <f>C102*C103</f>
        <v>55325.12673</v>
      </c>
      <c r="D104" s="353"/>
      <c r="E104" s="354" t="s">
        <v>291</v>
      </c>
      <c r="F104" s="305"/>
      <c r="G104" s="305"/>
      <c r="H104" s="308"/>
      <c r="I104" s="406"/>
      <c r="J104" s="406"/>
      <c r="K104" s="406"/>
      <c r="L104" s="406"/>
      <c r="M104" s="406"/>
      <c r="N104" s="305"/>
      <c r="O104" s="305"/>
      <c r="P104" s="308"/>
      <c r="Q104" s="308"/>
      <c r="R104" s="308"/>
      <c r="S104" s="308"/>
      <c r="T104" s="308"/>
      <c r="U104" s="308"/>
      <c r="V104" s="308"/>
      <c r="W104" s="308"/>
      <c r="X104" s="308"/>
      <c r="Y104" s="308"/>
      <c r="Z104" s="308"/>
    </row>
    <row r="105" outlineLevel="2">
      <c r="A105" s="305"/>
      <c r="B105" s="368" t="s">
        <v>293</v>
      </c>
      <c r="C105" s="457">
        <f>C103*C99</f>
        <v>10360</v>
      </c>
      <c r="D105" s="353"/>
      <c r="E105" s="354" t="s">
        <v>294</v>
      </c>
      <c r="F105" s="305"/>
      <c r="G105" s="305"/>
      <c r="H105" s="305"/>
      <c r="I105" s="305"/>
      <c r="J105" s="305"/>
      <c r="K105" s="305"/>
      <c r="L105" s="305"/>
      <c r="M105" s="305"/>
      <c r="N105" s="305"/>
      <c r="O105" s="305"/>
      <c r="P105" s="308"/>
      <c r="Q105" s="308"/>
      <c r="R105" s="308"/>
      <c r="S105" s="308"/>
      <c r="T105" s="308"/>
      <c r="U105" s="308"/>
      <c r="V105" s="308"/>
      <c r="W105" s="308"/>
      <c r="X105" s="308"/>
      <c r="Y105" s="308"/>
      <c r="Z105" s="308"/>
    </row>
    <row r="106" outlineLevel="2">
      <c r="A106" s="305"/>
      <c r="B106" s="450" t="s">
        <v>316</v>
      </c>
      <c r="C106" s="456">
        <f>C112</f>
        <v>0</v>
      </c>
      <c r="D106" s="353" t="s">
        <v>281</v>
      </c>
      <c r="E106" s="354"/>
      <c r="F106" s="305"/>
      <c r="G106" s="305"/>
      <c r="H106" s="305"/>
      <c r="I106" s="305"/>
      <c r="J106" s="305"/>
      <c r="K106" s="305"/>
      <c r="L106" s="305"/>
      <c r="M106" s="305"/>
      <c r="N106" s="305"/>
      <c r="O106" s="305"/>
      <c r="P106" s="308"/>
      <c r="Q106" s="308"/>
      <c r="R106" s="308"/>
      <c r="S106" s="308"/>
      <c r="T106" s="308"/>
      <c r="U106" s="308"/>
      <c r="V106" s="308"/>
      <c r="W106" s="308"/>
      <c r="X106" s="308"/>
      <c r="Y106" s="308"/>
      <c r="Z106" s="308"/>
    </row>
    <row r="107" outlineLevel="2">
      <c r="A107" s="305"/>
      <c r="B107" s="364" t="s">
        <v>166</v>
      </c>
      <c r="C107" s="457" t="str">
        <f>'Customer Phases - Inputs and As'!F60</f>
        <v/>
      </c>
      <c r="D107" s="353"/>
      <c r="E107" s="354" t="s">
        <v>283</v>
      </c>
      <c r="F107" s="305"/>
      <c r="G107" s="305"/>
      <c r="H107" s="305"/>
      <c r="I107" s="305"/>
      <c r="J107" s="305"/>
      <c r="K107" s="305"/>
      <c r="L107" s="305"/>
      <c r="M107" s="305"/>
      <c r="N107" s="305"/>
      <c r="O107" s="305"/>
      <c r="P107" s="308"/>
      <c r="Q107" s="308"/>
      <c r="R107" s="308"/>
      <c r="S107" s="308"/>
      <c r="T107" s="308"/>
      <c r="U107" s="308"/>
      <c r="V107" s="308"/>
      <c r="W107" s="308"/>
      <c r="X107" s="308"/>
      <c r="Y107" s="308"/>
      <c r="Z107" s="308"/>
    </row>
    <row r="108" outlineLevel="1">
      <c r="A108" s="305"/>
      <c r="B108" s="364" t="s">
        <v>300</v>
      </c>
      <c r="C108" s="459" t="str">
        <f>'Customer Phases - Inputs and As'!F61</f>
        <v/>
      </c>
      <c r="D108" s="353"/>
      <c r="E108" s="354" t="s">
        <v>346</v>
      </c>
      <c r="F108" s="305"/>
      <c r="G108" s="305"/>
      <c r="H108" s="305"/>
      <c r="I108" s="305"/>
      <c r="J108" s="305"/>
      <c r="K108" s="305"/>
      <c r="L108" s="305"/>
      <c r="M108" s="305"/>
      <c r="N108" s="305"/>
      <c r="O108" s="305"/>
      <c r="P108" s="308"/>
      <c r="Q108" s="308"/>
      <c r="R108" s="308"/>
      <c r="S108" s="308"/>
      <c r="T108" s="308"/>
      <c r="U108" s="308"/>
      <c r="V108" s="308"/>
      <c r="W108" s="308"/>
      <c r="X108" s="308"/>
      <c r="Y108" s="308"/>
      <c r="Z108" s="308"/>
    </row>
    <row r="109" outlineLevel="2">
      <c r="A109" s="305"/>
      <c r="B109" s="358" t="s">
        <v>286</v>
      </c>
      <c r="C109" s="365" t="str">
        <f>'Customer Phases - Inputs and As'!F62</f>
        <v/>
      </c>
      <c r="D109" s="353"/>
      <c r="E109" s="360"/>
      <c r="F109" s="305"/>
      <c r="G109" s="305"/>
      <c r="H109" s="305"/>
      <c r="I109" s="305"/>
      <c r="J109" s="305"/>
      <c r="K109" s="305"/>
      <c r="L109" s="305"/>
      <c r="M109" s="305"/>
      <c r="N109" s="305"/>
      <c r="O109" s="305"/>
      <c r="P109" s="308"/>
      <c r="Q109" s="308"/>
      <c r="R109" s="308"/>
      <c r="S109" s="308"/>
      <c r="T109" s="308"/>
      <c r="U109" s="308"/>
      <c r="V109" s="308"/>
      <c r="W109" s="308"/>
      <c r="X109" s="308"/>
      <c r="Y109" s="308"/>
      <c r="Z109" s="308"/>
    </row>
    <row r="110" outlineLevel="2">
      <c r="A110" s="305"/>
      <c r="B110" s="460" t="s">
        <v>255</v>
      </c>
      <c r="C110" s="461">
        <f>C109*C108*C107</f>
        <v>0</v>
      </c>
      <c r="D110" s="377"/>
      <c r="E110" s="308"/>
      <c r="F110" s="305"/>
      <c r="G110" s="305"/>
      <c r="H110" s="305"/>
      <c r="I110" s="305"/>
      <c r="J110" s="305"/>
      <c r="K110" s="305"/>
      <c r="L110" s="305"/>
      <c r="M110" s="305"/>
      <c r="N110" s="305"/>
      <c r="O110" s="305"/>
      <c r="P110" s="308"/>
      <c r="Q110" s="308"/>
      <c r="R110" s="308"/>
      <c r="S110" s="308"/>
      <c r="T110" s="308"/>
      <c r="U110" s="308"/>
      <c r="V110" s="308"/>
      <c r="W110" s="308"/>
      <c r="X110" s="308"/>
      <c r="Y110" s="308"/>
      <c r="Z110" s="308"/>
    </row>
    <row r="111" outlineLevel="2">
      <c r="A111" s="305"/>
      <c r="B111" s="460" t="s">
        <v>112</v>
      </c>
      <c r="C111" s="462">
        <f>'Customer Phases - Inputs and As'!F63</f>
        <v>0.45</v>
      </c>
      <c r="D111" s="377"/>
      <c r="E111" s="360" t="s">
        <v>350</v>
      </c>
      <c r="F111" s="305"/>
      <c r="G111" s="305"/>
      <c r="H111" s="305"/>
      <c r="I111" s="305"/>
      <c r="J111" s="305"/>
      <c r="K111" s="305"/>
      <c r="L111" s="305"/>
      <c r="M111" s="305"/>
      <c r="N111" s="305"/>
      <c r="O111" s="305"/>
      <c r="P111" s="308"/>
      <c r="Q111" s="308"/>
      <c r="R111" s="308"/>
      <c r="S111" s="308"/>
      <c r="T111" s="308"/>
      <c r="U111" s="308"/>
      <c r="V111" s="308"/>
      <c r="W111" s="308"/>
      <c r="X111" s="308"/>
      <c r="Y111" s="308"/>
      <c r="Z111" s="308"/>
    </row>
    <row r="112" outlineLevel="2">
      <c r="A112" s="305"/>
      <c r="B112" s="460" t="s">
        <v>260</v>
      </c>
      <c r="C112" s="463">
        <f>C110*C111</f>
        <v>0</v>
      </c>
      <c r="D112" s="377"/>
      <c r="E112" s="354" t="s">
        <v>291</v>
      </c>
      <c r="F112" s="305"/>
      <c r="G112" s="305"/>
      <c r="H112" s="305"/>
      <c r="I112" s="305"/>
      <c r="J112" s="305"/>
      <c r="K112" s="305"/>
      <c r="L112" s="305"/>
      <c r="M112" s="305"/>
      <c r="N112" s="305"/>
      <c r="O112" s="305"/>
      <c r="P112" s="308"/>
      <c r="Q112" s="308"/>
      <c r="R112" s="308"/>
      <c r="S112" s="308"/>
      <c r="T112" s="308"/>
      <c r="U112" s="308"/>
      <c r="V112" s="308"/>
      <c r="W112" s="308"/>
      <c r="X112" s="308"/>
      <c r="Y112" s="308"/>
      <c r="Z112" s="308"/>
    </row>
    <row r="113" outlineLevel="2">
      <c r="A113" s="305"/>
      <c r="B113" s="464" t="s">
        <v>351</v>
      </c>
      <c r="C113" s="465">
        <f>C111*C107</f>
        <v>0</v>
      </c>
      <c r="D113" s="377"/>
      <c r="E113" s="354" t="s">
        <v>294</v>
      </c>
      <c r="F113" s="305"/>
      <c r="G113" s="305"/>
      <c r="H113" s="305"/>
      <c r="I113" s="305"/>
      <c r="J113" s="305"/>
      <c r="K113" s="305"/>
      <c r="L113" s="305"/>
      <c r="M113" s="305"/>
      <c r="N113" s="305"/>
      <c r="O113" s="305"/>
      <c r="P113" s="308"/>
      <c r="Q113" s="308"/>
      <c r="R113" s="308"/>
      <c r="S113" s="308"/>
      <c r="T113" s="308"/>
      <c r="U113" s="308"/>
      <c r="V113" s="308"/>
      <c r="W113" s="308"/>
      <c r="X113" s="308"/>
      <c r="Y113" s="308"/>
      <c r="Z113" s="308"/>
    </row>
    <row r="114" outlineLevel="2">
      <c r="A114" s="305"/>
      <c r="B114" s="450" t="s">
        <v>296</v>
      </c>
      <c r="C114" s="466">
        <f>C120</f>
        <v>0</v>
      </c>
      <c r="D114" s="377" t="s">
        <v>281</v>
      </c>
      <c r="E114" s="354"/>
      <c r="F114" s="305"/>
      <c r="G114" s="305"/>
      <c r="H114" s="305"/>
      <c r="I114" s="305"/>
      <c r="J114" s="305"/>
      <c r="K114" s="305"/>
      <c r="L114" s="305"/>
      <c r="M114" s="305"/>
      <c r="N114" s="305"/>
      <c r="O114" s="305"/>
      <c r="P114" s="308"/>
      <c r="Q114" s="308"/>
      <c r="R114" s="308"/>
      <c r="S114" s="308"/>
      <c r="T114" s="308"/>
      <c r="U114" s="308"/>
      <c r="V114" s="308"/>
      <c r="W114" s="308"/>
      <c r="X114" s="308"/>
      <c r="Y114" s="308"/>
      <c r="Z114" s="308"/>
    </row>
    <row r="115" outlineLevel="2">
      <c r="A115" s="305"/>
      <c r="B115" s="460" t="s">
        <v>166</v>
      </c>
      <c r="C115" s="467" t="str">
        <f>'Customer Phases - Inputs and As'!F66</f>
        <v/>
      </c>
      <c r="D115" s="377"/>
      <c r="E115" s="360" t="s">
        <v>352</v>
      </c>
      <c r="F115" s="305"/>
      <c r="G115" s="305"/>
      <c r="H115" s="305"/>
      <c r="I115" s="305"/>
      <c r="J115" s="305"/>
      <c r="K115" s="305"/>
      <c r="L115" s="305"/>
      <c r="M115" s="305"/>
      <c r="N115" s="305"/>
      <c r="O115" s="305"/>
      <c r="P115" s="308"/>
      <c r="Q115" s="308"/>
      <c r="R115" s="308"/>
      <c r="S115" s="308"/>
      <c r="T115" s="308"/>
      <c r="U115" s="308"/>
      <c r="V115" s="308"/>
      <c r="W115" s="308"/>
      <c r="X115" s="308"/>
      <c r="Y115" s="308"/>
      <c r="Z115" s="308"/>
    </row>
    <row r="116" outlineLevel="1">
      <c r="A116" s="305"/>
      <c r="B116" s="460" t="s">
        <v>300</v>
      </c>
      <c r="C116" s="459">
        <f>'Customer Phases - Inputs and As'!F67</f>
        <v>0.5</v>
      </c>
      <c r="D116" s="377"/>
      <c r="E116" s="360" t="s">
        <v>285</v>
      </c>
      <c r="F116" s="305"/>
      <c r="G116" s="305"/>
      <c r="H116" s="305"/>
      <c r="I116" s="305"/>
      <c r="J116" s="305"/>
      <c r="K116" s="305"/>
      <c r="L116" s="305"/>
      <c r="M116" s="305"/>
      <c r="N116" s="305"/>
      <c r="O116" s="305"/>
      <c r="P116" s="308"/>
      <c r="Q116" s="308"/>
      <c r="R116" s="308"/>
      <c r="S116" s="308"/>
      <c r="T116" s="308"/>
      <c r="U116" s="308"/>
      <c r="V116" s="308"/>
      <c r="W116" s="308"/>
      <c r="X116" s="308"/>
      <c r="Y116" s="308"/>
      <c r="Z116" s="308"/>
    </row>
    <row r="117" outlineLevel="2">
      <c r="A117" s="305"/>
      <c r="B117" s="468" t="s">
        <v>286</v>
      </c>
      <c r="C117" s="469">
        <f>'Customer Phases - Inputs and As'!F68</f>
        <v>8.010394797</v>
      </c>
      <c r="D117" s="377"/>
      <c r="E117" s="360" t="s">
        <v>302</v>
      </c>
      <c r="F117" s="305"/>
      <c r="G117" s="305"/>
      <c r="H117" s="305"/>
      <c r="I117" s="305"/>
      <c r="J117" s="305"/>
      <c r="K117" s="305"/>
      <c r="L117" s="305"/>
      <c r="M117" s="305"/>
      <c r="N117" s="305"/>
      <c r="O117" s="305"/>
      <c r="P117" s="308"/>
      <c r="Q117" s="308"/>
      <c r="R117" s="308"/>
      <c r="S117" s="308"/>
      <c r="T117" s="308"/>
      <c r="U117" s="308"/>
      <c r="V117" s="308"/>
      <c r="W117" s="308"/>
      <c r="X117" s="308"/>
      <c r="Y117" s="308"/>
      <c r="Z117" s="308"/>
    </row>
    <row r="118" outlineLevel="2">
      <c r="A118" s="305"/>
      <c r="B118" s="470" t="s">
        <v>255</v>
      </c>
      <c r="C118" s="469">
        <f>C117*C116*C115</f>
        <v>0</v>
      </c>
      <c r="D118" s="377"/>
      <c r="E118" s="354" t="s">
        <v>303</v>
      </c>
      <c r="F118" s="305"/>
      <c r="G118" s="305"/>
      <c r="H118" s="305"/>
      <c r="I118" s="305"/>
      <c r="J118" s="305"/>
      <c r="K118" s="305"/>
      <c r="L118" s="305"/>
      <c r="M118" s="305"/>
      <c r="N118" s="305"/>
      <c r="O118" s="305"/>
      <c r="P118" s="308"/>
      <c r="Q118" s="308"/>
      <c r="R118" s="308"/>
      <c r="S118" s="308"/>
      <c r="T118" s="308"/>
      <c r="U118" s="308"/>
      <c r="V118" s="308"/>
      <c r="W118" s="308"/>
      <c r="X118" s="308"/>
      <c r="Y118" s="308"/>
      <c r="Z118" s="308"/>
    </row>
    <row r="119" outlineLevel="2">
      <c r="A119" s="305"/>
      <c r="B119" s="460" t="s">
        <v>112</v>
      </c>
      <c r="C119" s="471">
        <f>'Customer Phases - Inputs and As'!F69</f>
        <v>0.5</v>
      </c>
      <c r="D119" s="377"/>
      <c r="E119" s="354" t="s">
        <v>290</v>
      </c>
      <c r="F119" s="305"/>
      <c r="G119" s="305"/>
      <c r="H119" s="305"/>
      <c r="I119" s="305"/>
      <c r="J119" s="305"/>
      <c r="K119" s="305"/>
      <c r="L119" s="305"/>
      <c r="M119" s="305"/>
      <c r="N119" s="305"/>
      <c r="O119" s="305"/>
      <c r="P119" s="308"/>
      <c r="Q119" s="308"/>
      <c r="R119" s="308"/>
      <c r="S119" s="308"/>
      <c r="T119" s="308"/>
      <c r="U119" s="308"/>
      <c r="V119" s="308"/>
      <c r="W119" s="308"/>
      <c r="X119" s="308"/>
      <c r="Y119" s="308"/>
      <c r="Z119" s="308"/>
    </row>
    <row r="120" outlineLevel="2">
      <c r="A120" s="305"/>
      <c r="B120" s="460" t="s">
        <v>260</v>
      </c>
      <c r="C120" s="469">
        <f>C118*C119</f>
        <v>0</v>
      </c>
      <c r="D120" s="377"/>
      <c r="E120" s="354" t="s">
        <v>291</v>
      </c>
      <c r="F120" s="305"/>
      <c r="G120" s="305"/>
      <c r="H120" s="305"/>
      <c r="I120" s="305"/>
      <c r="J120" s="305"/>
      <c r="K120" s="305"/>
      <c r="L120" s="305"/>
      <c r="M120" s="305"/>
      <c r="N120" s="305"/>
      <c r="O120" s="305"/>
      <c r="P120" s="308"/>
      <c r="Q120" s="308"/>
      <c r="R120" s="308"/>
      <c r="S120" s="308"/>
      <c r="T120" s="308"/>
      <c r="U120" s="308"/>
      <c r="V120" s="308"/>
      <c r="W120" s="308"/>
      <c r="X120" s="308"/>
      <c r="Y120" s="308"/>
      <c r="Z120" s="308"/>
    </row>
    <row r="121" outlineLevel="2">
      <c r="A121" s="305"/>
      <c r="B121" s="464" t="s">
        <v>353</v>
      </c>
      <c r="C121" s="465">
        <f>C119*C115</f>
        <v>0</v>
      </c>
      <c r="D121" s="377"/>
      <c r="E121" s="354" t="s">
        <v>294</v>
      </c>
      <c r="F121" s="305"/>
      <c r="G121" s="305"/>
      <c r="H121" s="305"/>
      <c r="I121" s="305"/>
      <c r="J121" s="305"/>
      <c r="K121" s="305"/>
      <c r="L121" s="305"/>
      <c r="M121" s="305"/>
      <c r="N121" s="305"/>
      <c r="O121" s="305"/>
      <c r="P121" s="308"/>
      <c r="Q121" s="308"/>
      <c r="R121" s="308"/>
      <c r="S121" s="308"/>
      <c r="T121" s="308"/>
      <c r="U121" s="308"/>
      <c r="V121" s="308"/>
      <c r="W121" s="308"/>
      <c r="X121" s="308"/>
      <c r="Y121" s="308"/>
      <c r="Z121" s="308"/>
    </row>
    <row r="122" outlineLevel="2">
      <c r="A122" s="305"/>
      <c r="B122" s="472" t="s">
        <v>354</v>
      </c>
      <c r="C122" s="473" t="s">
        <v>240</v>
      </c>
      <c r="D122" s="474" t="s">
        <v>101</v>
      </c>
      <c r="E122" s="335" t="s">
        <v>241</v>
      </c>
      <c r="F122" s="305"/>
      <c r="G122" s="305"/>
      <c r="H122" s="305"/>
      <c r="I122" s="305"/>
      <c r="J122" s="305"/>
      <c r="K122" s="305"/>
      <c r="L122" s="305"/>
      <c r="M122" s="305"/>
      <c r="N122" s="305"/>
      <c r="O122" s="305"/>
      <c r="P122" s="308"/>
      <c r="Q122" s="308"/>
      <c r="R122" s="308"/>
      <c r="S122" s="308"/>
      <c r="T122" s="308"/>
      <c r="U122" s="308"/>
      <c r="V122" s="308"/>
      <c r="W122" s="308"/>
      <c r="X122" s="308"/>
      <c r="Y122" s="308"/>
      <c r="Z122" s="308"/>
    </row>
    <row r="123" outlineLevel="2">
      <c r="A123" s="305"/>
      <c r="B123" s="475" t="s">
        <v>355</v>
      </c>
      <c r="C123" s="476">
        <f>+SUM(C125,C134,C144)</f>
        <v>6060890.949</v>
      </c>
      <c r="D123" s="477"/>
      <c r="E123" s="478"/>
      <c r="F123" s="305"/>
      <c r="G123" s="305"/>
      <c r="H123" s="305"/>
      <c r="I123" s="305"/>
      <c r="J123" s="305"/>
      <c r="K123" s="305"/>
      <c r="L123" s="305"/>
      <c r="M123" s="305"/>
      <c r="N123" s="305"/>
      <c r="O123" s="305"/>
      <c r="P123" s="308"/>
      <c r="Q123" s="308"/>
      <c r="R123" s="308"/>
      <c r="S123" s="308"/>
      <c r="T123" s="308"/>
      <c r="U123" s="308"/>
      <c r="V123" s="308"/>
      <c r="W123" s="308"/>
      <c r="X123" s="308"/>
      <c r="Y123" s="308"/>
      <c r="Z123" s="308"/>
    </row>
    <row r="124" outlineLevel="1">
      <c r="A124" s="305"/>
      <c r="B124" s="431" t="s">
        <v>356</v>
      </c>
      <c r="C124" s="479">
        <f>C131+C140</f>
        <v>5976781.804</v>
      </c>
      <c r="D124" s="477"/>
      <c r="E124" s="478"/>
      <c r="F124" s="305"/>
      <c r="G124" s="305"/>
      <c r="H124" s="305"/>
      <c r="I124" s="305"/>
      <c r="J124" s="305"/>
      <c r="K124" s="305"/>
      <c r="L124" s="305"/>
      <c r="M124" s="305"/>
      <c r="N124" s="305"/>
      <c r="O124" s="305"/>
      <c r="P124" s="308"/>
      <c r="Q124" s="308"/>
      <c r="R124" s="308"/>
      <c r="S124" s="308"/>
      <c r="T124" s="308"/>
      <c r="U124" s="308"/>
      <c r="V124" s="308"/>
      <c r="W124" s="308"/>
      <c r="X124" s="308"/>
      <c r="Y124" s="308"/>
      <c r="Z124" s="308"/>
    </row>
    <row r="125" outlineLevel="2">
      <c r="A125" s="305"/>
      <c r="B125" s="370" t="s">
        <v>357</v>
      </c>
      <c r="C125" s="480">
        <f>C131</f>
        <v>2988390.902</v>
      </c>
      <c r="D125" s="477" t="s">
        <v>269</v>
      </c>
      <c r="E125" s="478"/>
      <c r="F125" s="305"/>
      <c r="G125" s="305"/>
      <c r="H125" s="305"/>
      <c r="I125" s="305"/>
      <c r="J125" s="305"/>
      <c r="K125" s="305"/>
      <c r="L125" s="305"/>
      <c r="M125" s="305"/>
      <c r="N125" s="305"/>
      <c r="O125" s="305"/>
      <c r="P125" s="308"/>
      <c r="Q125" s="308"/>
      <c r="R125" s="308"/>
      <c r="S125" s="308"/>
      <c r="T125" s="308"/>
      <c r="U125" s="308"/>
      <c r="V125" s="308"/>
      <c r="W125" s="308"/>
      <c r="X125" s="308"/>
      <c r="Y125" s="308"/>
      <c r="Z125" s="308"/>
    </row>
    <row r="126" outlineLevel="2">
      <c r="A126" s="305"/>
      <c r="B126" s="358" t="s">
        <v>358</v>
      </c>
      <c r="C126" s="481">
        <f>'Customer Phases - Inputs and As'!L36</f>
        <v>609377</v>
      </c>
      <c r="D126" s="477"/>
      <c r="E126" s="482" t="s">
        <v>359</v>
      </c>
      <c r="F126" s="305"/>
      <c r="G126" s="305"/>
      <c r="H126" s="305"/>
      <c r="I126" s="305"/>
      <c r="J126" s="305"/>
      <c r="K126" s="305"/>
      <c r="L126" s="305"/>
      <c r="M126" s="305"/>
      <c r="N126" s="305"/>
      <c r="O126" s="305"/>
      <c r="P126" s="308"/>
      <c r="Q126" s="308"/>
      <c r="R126" s="308"/>
      <c r="S126" s="308"/>
      <c r="T126" s="308"/>
      <c r="U126" s="308"/>
      <c r="V126" s="308"/>
      <c r="W126" s="308"/>
      <c r="X126" s="308"/>
      <c r="Y126" s="308"/>
      <c r="Z126" s="308"/>
    </row>
    <row r="127" outlineLevel="2">
      <c r="A127" s="305"/>
      <c r="B127" s="358" t="s">
        <v>360</v>
      </c>
      <c r="C127" s="483">
        <f>1-'Customer Phases - Inputs and As'!L37</f>
        <v>0.82</v>
      </c>
      <c r="D127" s="477"/>
      <c r="E127" s="482" t="s">
        <v>361</v>
      </c>
      <c r="F127" s="305"/>
      <c r="G127" s="305"/>
      <c r="H127" s="305"/>
      <c r="I127" s="305"/>
      <c r="J127" s="305"/>
      <c r="K127" s="305"/>
      <c r="L127" s="305"/>
      <c r="M127" s="305"/>
      <c r="N127" s="305"/>
      <c r="O127" s="305"/>
      <c r="P127" s="308"/>
      <c r="Q127" s="308"/>
      <c r="R127" s="308"/>
      <c r="S127" s="308"/>
      <c r="T127" s="308"/>
      <c r="U127" s="308"/>
      <c r="V127" s="308"/>
      <c r="W127" s="308"/>
      <c r="X127" s="308"/>
      <c r="Y127" s="308"/>
      <c r="Z127" s="308"/>
    </row>
    <row r="128" outlineLevel="2">
      <c r="A128" s="305"/>
      <c r="B128" s="358" t="s">
        <v>362</v>
      </c>
      <c r="C128" s="484">
        <f>'Customer Phases - Inputs and As'!F13</f>
        <v>39.87</v>
      </c>
      <c r="D128" s="477"/>
      <c r="E128" s="478" t="s">
        <v>329</v>
      </c>
      <c r="F128" s="305"/>
      <c r="G128" s="305"/>
      <c r="H128" s="305"/>
      <c r="I128" s="305"/>
      <c r="J128" s="305"/>
      <c r="K128" s="305"/>
      <c r="L128" s="305"/>
      <c r="M128" s="305"/>
      <c r="N128" s="305"/>
      <c r="O128" s="305"/>
      <c r="P128" s="308"/>
      <c r="Q128" s="308"/>
      <c r="R128" s="308"/>
      <c r="S128" s="308"/>
      <c r="T128" s="308"/>
      <c r="U128" s="308"/>
      <c r="V128" s="308"/>
      <c r="W128" s="308"/>
      <c r="X128" s="308"/>
      <c r="Y128" s="308"/>
      <c r="Z128" s="308"/>
    </row>
    <row r="129" outlineLevel="2">
      <c r="A129" s="305"/>
      <c r="B129" s="366" t="s">
        <v>255</v>
      </c>
      <c r="C129" s="485">
        <f>C128*C126*C127</f>
        <v>19922606.01</v>
      </c>
      <c r="D129" s="477"/>
      <c r="E129" s="482" t="s">
        <v>330</v>
      </c>
      <c r="F129" s="305"/>
      <c r="G129" s="305"/>
      <c r="H129" s="305"/>
      <c r="I129" s="305"/>
      <c r="J129" s="305"/>
      <c r="K129" s="305"/>
      <c r="L129" s="305"/>
      <c r="M129" s="305"/>
      <c r="N129" s="305"/>
      <c r="O129" s="305"/>
      <c r="P129" s="308"/>
      <c r="Q129" s="308"/>
      <c r="R129" s="308"/>
      <c r="S129" s="308"/>
      <c r="T129" s="308"/>
      <c r="U129" s="308"/>
      <c r="V129" s="308"/>
      <c r="W129" s="308"/>
      <c r="X129" s="308"/>
      <c r="Y129" s="308"/>
      <c r="Z129" s="308"/>
    </row>
    <row r="130" outlineLevel="2">
      <c r="A130" s="305"/>
      <c r="B130" s="364" t="s">
        <v>112</v>
      </c>
      <c r="C130" s="483">
        <f>'Customer Phases - Inputs and As'!L39</f>
        <v>0.15</v>
      </c>
      <c r="D130" s="477"/>
      <c r="E130" s="482" t="s">
        <v>363</v>
      </c>
      <c r="F130" s="305"/>
      <c r="G130" s="305"/>
      <c r="H130" s="305"/>
      <c r="I130" s="305"/>
      <c r="J130" s="305"/>
      <c r="K130" s="305"/>
      <c r="L130" s="305"/>
      <c r="M130" s="305"/>
      <c r="N130" s="305"/>
      <c r="O130" s="305"/>
      <c r="P130" s="308"/>
      <c r="Q130" s="308"/>
      <c r="R130" s="308"/>
      <c r="S130" s="308"/>
      <c r="T130" s="308"/>
      <c r="U130" s="308"/>
      <c r="V130" s="308"/>
      <c r="W130" s="308"/>
      <c r="X130" s="308"/>
      <c r="Y130" s="308"/>
      <c r="Z130" s="308"/>
    </row>
    <row r="131" outlineLevel="2">
      <c r="A131" s="305"/>
      <c r="B131" s="437" t="s">
        <v>333</v>
      </c>
      <c r="C131" s="486">
        <f>C129*C130</f>
        <v>2988390.902</v>
      </c>
      <c r="D131" s="477"/>
      <c r="E131" s="482" t="s">
        <v>364</v>
      </c>
      <c r="F131" s="305"/>
      <c r="G131" s="305"/>
      <c r="H131" s="305"/>
      <c r="I131" s="305"/>
      <c r="J131" s="305"/>
      <c r="K131" s="305"/>
      <c r="L131" s="305"/>
      <c r="M131" s="305"/>
      <c r="N131" s="305"/>
      <c r="O131" s="305"/>
      <c r="P131" s="308"/>
      <c r="Q131" s="308"/>
      <c r="R131" s="308"/>
      <c r="S131" s="308"/>
      <c r="T131" s="308"/>
      <c r="U131" s="308"/>
      <c r="V131" s="308"/>
      <c r="W131" s="308"/>
      <c r="X131" s="308"/>
      <c r="Y131" s="308"/>
      <c r="Z131" s="308"/>
    </row>
    <row r="132" outlineLevel="2">
      <c r="A132" s="305"/>
      <c r="B132" s="364" t="s">
        <v>263</v>
      </c>
      <c r="C132" s="487">
        <f>C126*C127</f>
        <v>499689.14</v>
      </c>
      <c r="D132" s="477"/>
      <c r="E132" s="478" t="s">
        <v>277</v>
      </c>
      <c r="F132" s="305"/>
      <c r="G132" s="305"/>
      <c r="H132" s="305"/>
      <c r="I132" s="305"/>
      <c r="J132" s="305"/>
      <c r="K132" s="305"/>
      <c r="L132" s="305"/>
      <c r="M132" s="305"/>
      <c r="N132" s="305"/>
      <c r="O132" s="305"/>
      <c r="P132" s="308"/>
      <c r="Q132" s="308"/>
      <c r="R132" s="308"/>
      <c r="S132" s="308"/>
      <c r="T132" s="308"/>
      <c r="U132" s="308"/>
      <c r="V132" s="308"/>
      <c r="W132" s="308"/>
      <c r="X132" s="308"/>
      <c r="Y132" s="308"/>
      <c r="Z132" s="308"/>
    </row>
    <row r="133" outlineLevel="2">
      <c r="A133" s="305"/>
      <c r="B133" s="437" t="s">
        <v>365</v>
      </c>
      <c r="C133" s="487">
        <f>C132*C130</f>
        <v>74953.371</v>
      </c>
      <c r="D133" s="477"/>
      <c r="E133" s="482" t="s">
        <v>366</v>
      </c>
      <c r="F133" s="305"/>
      <c r="G133" s="305"/>
      <c r="H133" s="305"/>
      <c r="I133" s="305"/>
      <c r="J133" s="305"/>
      <c r="K133" s="305"/>
      <c r="L133" s="305"/>
      <c r="M133" s="305"/>
      <c r="N133" s="305"/>
      <c r="O133" s="305"/>
      <c r="P133" s="308"/>
      <c r="Q133" s="308"/>
      <c r="R133" s="308"/>
      <c r="S133" s="308"/>
      <c r="T133" s="308"/>
      <c r="U133" s="308"/>
      <c r="V133" s="308"/>
      <c r="W133" s="308"/>
      <c r="X133" s="308"/>
      <c r="Y133" s="308"/>
      <c r="Z133" s="308"/>
    </row>
    <row r="134" outlineLevel="2">
      <c r="A134" s="305"/>
      <c r="B134" s="370" t="s">
        <v>367</v>
      </c>
      <c r="C134" s="488">
        <f>C140</f>
        <v>2988390.902</v>
      </c>
      <c r="D134" s="489" t="s">
        <v>269</v>
      </c>
      <c r="E134" s="478"/>
      <c r="F134" s="305"/>
      <c r="G134" s="305"/>
      <c r="H134" s="305"/>
      <c r="I134" s="305"/>
      <c r="J134" s="305"/>
      <c r="K134" s="305"/>
      <c r="L134" s="305"/>
      <c r="M134" s="305"/>
      <c r="N134" s="305"/>
      <c r="O134" s="305"/>
      <c r="P134" s="308"/>
      <c r="Q134" s="308"/>
      <c r="R134" s="308"/>
      <c r="S134" s="308"/>
      <c r="T134" s="308"/>
      <c r="U134" s="308"/>
      <c r="V134" s="308"/>
      <c r="W134" s="308"/>
      <c r="X134" s="308"/>
      <c r="Y134" s="308"/>
      <c r="Z134" s="308"/>
    </row>
    <row r="135" outlineLevel="2">
      <c r="A135" s="305"/>
      <c r="B135" s="358" t="s">
        <v>368</v>
      </c>
      <c r="C135" s="481">
        <f>'Customer Phases - Inputs and As'!L42</f>
        <v>3656262</v>
      </c>
      <c r="D135" s="489"/>
      <c r="E135" s="482" t="s">
        <v>369</v>
      </c>
      <c r="F135" s="305"/>
      <c r="G135" s="305"/>
      <c r="H135" s="305"/>
      <c r="I135" s="305"/>
      <c r="J135" s="305"/>
      <c r="K135" s="305"/>
      <c r="L135" s="305"/>
      <c r="M135" s="305"/>
      <c r="N135" s="305"/>
      <c r="O135" s="305"/>
      <c r="P135" s="308"/>
      <c r="Q135" s="308"/>
      <c r="R135" s="308"/>
      <c r="S135" s="308"/>
      <c r="T135" s="308"/>
      <c r="U135" s="308"/>
      <c r="V135" s="308"/>
      <c r="W135" s="308"/>
      <c r="X135" s="308"/>
      <c r="Y135" s="308"/>
      <c r="Z135" s="308"/>
    </row>
    <row r="136" outlineLevel="2">
      <c r="A136" s="305"/>
      <c r="B136" s="358" t="s">
        <v>370</v>
      </c>
      <c r="C136" s="483">
        <f>'Customer Phases - Inputs and As'!L43</f>
        <v>0.18</v>
      </c>
      <c r="D136" s="489"/>
      <c r="E136" s="482" t="s">
        <v>371</v>
      </c>
      <c r="F136" s="305"/>
      <c r="G136" s="305"/>
      <c r="H136" s="305"/>
      <c r="I136" s="305"/>
      <c r="J136" s="305"/>
      <c r="K136" s="305"/>
      <c r="L136" s="305"/>
      <c r="M136" s="305"/>
      <c r="N136" s="305"/>
      <c r="O136" s="305"/>
      <c r="P136" s="308"/>
      <c r="Q136" s="308"/>
      <c r="R136" s="308"/>
      <c r="S136" s="308"/>
      <c r="T136" s="308"/>
      <c r="U136" s="308"/>
      <c r="V136" s="308"/>
      <c r="W136" s="308"/>
      <c r="X136" s="308"/>
      <c r="Y136" s="308"/>
      <c r="Z136" s="308"/>
    </row>
    <row r="137" outlineLevel="2">
      <c r="A137" s="305"/>
      <c r="B137" s="358" t="s">
        <v>372</v>
      </c>
      <c r="C137" s="484">
        <f>'Customer Phases - Inputs and As'!L44</f>
        <v>19.935</v>
      </c>
      <c r="D137" s="489"/>
      <c r="E137" s="482" t="s">
        <v>373</v>
      </c>
      <c r="F137" s="305"/>
      <c r="G137" s="305"/>
      <c r="H137" s="305"/>
      <c r="I137" s="305"/>
      <c r="J137" s="305"/>
      <c r="K137" s="305"/>
      <c r="L137" s="305"/>
      <c r="M137" s="305"/>
      <c r="N137" s="305"/>
      <c r="O137" s="305"/>
      <c r="P137" s="308"/>
      <c r="Q137" s="308"/>
      <c r="R137" s="308"/>
      <c r="S137" s="308"/>
      <c r="T137" s="308"/>
      <c r="U137" s="308"/>
      <c r="V137" s="308"/>
      <c r="W137" s="308"/>
      <c r="X137" s="308"/>
      <c r="Y137" s="308"/>
      <c r="Z137" s="308"/>
    </row>
    <row r="138" outlineLevel="2">
      <c r="A138" s="305"/>
      <c r="B138" s="490" t="s">
        <v>255</v>
      </c>
      <c r="C138" s="485">
        <f>C142*C137</f>
        <v>59767818.04</v>
      </c>
      <c r="D138" s="489"/>
      <c r="E138" s="482" t="s">
        <v>374</v>
      </c>
      <c r="F138" s="305"/>
      <c r="G138" s="305"/>
      <c r="H138" s="305"/>
      <c r="I138" s="305"/>
      <c r="J138" s="305"/>
      <c r="K138" s="305"/>
      <c r="L138" s="305"/>
      <c r="M138" s="305"/>
      <c r="N138" s="305"/>
      <c r="O138" s="305"/>
      <c r="P138" s="308"/>
      <c r="Q138" s="308"/>
      <c r="R138" s="308"/>
      <c r="S138" s="308"/>
      <c r="T138" s="308"/>
      <c r="U138" s="308"/>
      <c r="V138" s="308"/>
      <c r="W138" s="308"/>
      <c r="X138" s="308"/>
      <c r="Y138" s="308"/>
      <c r="Z138" s="308"/>
    </row>
    <row r="139" outlineLevel="2">
      <c r="A139" s="305"/>
      <c r="B139" s="490" t="s">
        <v>112</v>
      </c>
      <c r="C139" s="483">
        <f>'Customer Phases - Inputs and As'!L45</f>
        <v>0.05</v>
      </c>
      <c r="D139" s="489"/>
      <c r="E139" s="478" t="s">
        <v>339</v>
      </c>
      <c r="F139" s="305"/>
      <c r="G139" s="305"/>
      <c r="H139" s="305"/>
      <c r="I139" s="305"/>
      <c r="J139" s="305"/>
      <c r="K139" s="305"/>
      <c r="L139" s="305"/>
      <c r="M139" s="305"/>
      <c r="N139" s="305"/>
      <c r="O139" s="305"/>
      <c r="P139" s="308"/>
      <c r="Q139" s="308"/>
      <c r="R139" s="308"/>
      <c r="S139" s="308"/>
      <c r="T139" s="308"/>
      <c r="U139" s="308"/>
      <c r="V139" s="308"/>
      <c r="W139" s="308"/>
      <c r="X139" s="308"/>
      <c r="Y139" s="308"/>
      <c r="Z139" s="308"/>
    </row>
    <row r="140" outlineLevel="2">
      <c r="A140" s="305"/>
      <c r="B140" s="368" t="s">
        <v>260</v>
      </c>
      <c r="C140" s="486">
        <f>C138*C139</f>
        <v>2988390.902</v>
      </c>
      <c r="D140" s="489"/>
      <c r="E140" s="482" t="s">
        <v>375</v>
      </c>
      <c r="F140" s="305"/>
      <c r="G140" s="305"/>
      <c r="H140" s="305"/>
      <c r="I140" s="305"/>
      <c r="J140" s="305"/>
      <c r="K140" s="305"/>
      <c r="L140" s="305"/>
      <c r="M140" s="305"/>
      <c r="N140" s="305"/>
      <c r="O140" s="305"/>
      <c r="P140" s="308"/>
      <c r="Q140" s="308"/>
      <c r="R140" s="308"/>
      <c r="S140" s="308"/>
      <c r="T140" s="308"/>
      <c r="U140" s="308"/>
      <c r="V140" s="308"/>
      <c r="W140" s="308"/>
      <c r="X140" s="308"/>
      <c r="Y140" s="308"/>
      <c r="Z140" s="308"/>
    </row>
    <row r="141" outlineLevel="2">
      <c r="A141" s="305"/>
      <c r="B141" s="358" t="s">
        <v>376</v>
      </c>
      <c r="C141" s="487">
        <f>C135*C136</f>
        <v>658127.16</v>
      </c>
      <c r="D141" s="489"/>
      <c r="E141" s="478" t="s">
        <v>277</v>
      </c>
      <c r="F141" s="305"/>
      <c r="G141" s="305"/>
      <c r="H141" s="305"/>
      <c r="I141" s="305"/>
      <c r="J141" s="305"/>
      <c r="K141" s="305"/>
      <c r="L141" s="305"/>
      <c r="M141" s="305"/>
      <c r="N141" s="305"/>
      <c r="O141" s="305"/>
      <c r="P141" s="308"/>
      <c r="Q141" s="308"/>
      <c r="R141" s="308"/>
      <c r="S141" s="308"/>
      <c r="T141" s="308"/>
      <c r="U141" s="308"/>
      <c r="V141" s="308"/>
      <c r="W141" s="308"/>
      <c r="X141" s="308"/>
      <c r="Y141" s="308"/>
      <c r="Z141" s="308"/>
    </row>
    <row r="142" outlineLevel="2">
      <c r="A142" s="305"/>
      <c r="B142" s="437" t="s">
        <v>377</v>
      </c>
      <c r="C142" s="487">
        <f>C135-C141</f>
        <v>2998134.84</v>
      </c>
      <c r="D142" s="489"/>
      <c r="E142" s="478" t="s">
        <v>267</v>
      </c>
      <c r="F142" s="305"/>
      <c r="G142" s="305"/>
      <c r="H142" s="305"/>
      <c r="I142" s="305"/>
      <c r="J142" s="305"/>
      <c r="K142" s="305"/>
      <c r="L142" s="305"/>
      <c r="M142" s="305"/>
      <c r="N142" s="305"/>
      <c r="O142" s="305"/>
      <c r="P142" s="308"/>
      <c r="Q142" s="308"/>
      <c r="R142" s="308"/>
      <c r="S142" s="308"/>
      <c r="T142" s="308"/>
      <c r="U142" s="308"/>
      <c r="V142" s="308"/>
      <c r="W142" s="308"/>
      <c r="X142" s="308"/>
      <c r="Y142" s="308"/>
      <c r="Z142" s="308"/>
    </row>
    <row r="143" outlineLevel="2">
      <c r="A143" s="305"/>
      <c r="B143" s="344" t="s">
        <v>378</v>
      </c>
      <c r="C143" s="479">
        <f>C149</f>
        <v>84109.14537</v>
      </c>
      <c r="D143" s="491"/>
      <c r="E143" s="478"/>
      <c r="F143" s="305"/>
      <c r="G143" s="305"/>
      <c r="H143" s="305"/>
      <c r="I143" s="305"/>
      <c r="J143" s="305"/>
      <c r="K143" s="305"/>
      <c r="L143" s="305"/>
      <c r="M143" s="305"/>
      <c r="N143" s="305"/>
      <c r="O143" s="305"/>
      <c r="P143" s="308"/>
      <c r="Q143" s="308"/>
      <c r="R143" s="308"/>
      <c r="S143" s="308"/>
      <c r="T143" s="308"/>
      <c r="U143" s="308"/>
      <c r="V143" s="308"/>
      <c r="W143" s="308"/>
      <c r="X143" s="308"/>
      <c r="Y143" s="308"/>
      <c r="Z143" s="308"/>
    </row>
    <row r="144" outlineLevel="2">
      <c r="A144" s="305"/>
      <c r="B144" s="370" t="s">
        <v>379</v>
      </c>
      <c r="C144" s="479">
        <f>C149</f>
        <v>84109.14537</v>
      </c>
      <c r="D144" s="489" t="s">
        <v>297</v>
      </c>
      <c r="E144" s="482" t="s">
        <v>380</v>
      </c>
      <c r="F144" s="305"/>
      <c r="G144" s="305"/>
      <c r="H144" s="305"/>
      <c r="I144" s="305"/>
      <c r="J144" s="305"/>
      <c r="K144" s="305"/>
      <c r="L144" s="305"/>
      <c r="M144" s="305"/>
      <c r="N144" s="305"/>
      <c r="O144" s="305"/>
      <c r="P144" s="308"/>
      <c r="Q144" s="308"/>
      <c r="R144" s="308"/>
      <c r="S144" s="308"/>
      <c r="T144" s="308"/>
      <c r="U144" s="308"/>
      <c r="V144" s="308"/>
      <c r="W144" s="308"/>
      <c r="X144" s="308"/>
      <c r="Y144" s="308"/>
      <c r="Z144" s="308"/>
    </row>
    <row r="145" outlineLevel="2">
      <c r="A145" s="305"/>
      <c r="B145" s="358" t="s">
        <v>381</v>
      </c>
      <c r="C145" s="492">
        <f>'Customer Phases - Inputs and As'!L48</f>
        <v>15</v>
      </c>
      <c r="D145" s="489"/>
      <c r="E145" s="482" t="s">
        <v>145</v>
      </c>
      <c r="F145" s="305"/>
      <c r="G145" s="305"/>
      <c r="H145" s="305"/>
      <c r="I145" s="305"/>
      <c r="J145" s="305"/>
      <c r="K145" s="305"/>
      <c r="L145" s="305"/>
      <c r="M145" s="305"/>
      <c r="N145" s="305"/>
      <c r="O145" s="305"/>
      <c r="P145" s="308"/>
      <c r="Q145" s="308"/>
      <c r="R145" s="308"/>
      <c r="S145" s="308"/>
      <c r="T145" s="308"/>
      <c r="U145" s="308"/>
      <c r="V145" s="308"/>
      <c r="W145" s="308"/>
      <c r="X145" s="308"/>
      <c r="Y145" s="308"/>
      <c r="Z145" s="308"/>
    </row>
    <row r="146" outlineLevel="2">
      <c r="A146" s="305"/>
      <c r="B146" s="358" t="s">
        <v>382</v>
      </c>
      <c r="C146" s="492">
        <f>'Customer Phases - Inputs and As'!L49</f>
        <v>16020.78959</v>
      </c>
      <c r="D146" s="489"/>
      <c r="E146" s="478" t="s">
        <v>346</v>
      </c>
      <c r="F146" s="305"/>
      <c r="G146" s="305"/>
      <c r="H146" s="305"/>
      <c r="I146" s="305"/>
      <c r="J146" s="305"/>
      <c r="K146" s="305"/>
      <c r="L146" s="305"/>
      <c r="M146" s="305"/>
      <c r="N146" s="305"/>
      <c r="O146" s="305"/>
      <c r="P146" s="308"/>
      <c r="Q146" s="308"/>
      <c r="R146" s="308"/>
      <c r="S146" s="308"/>
      <c r="T146" s="308"/>
      <c r="U146" s="308"/>
      <c r="V146" s="308"/>
      <c r="W146" s="308"/>
      <c r="X146" s="308"/>
      <c r="Y146" s="308"/>
      <c r="Z146" s="308"/>
    </row>
    <row r="147" outlineLevel="2">
      <c r="A147" s="305"/>
      <c r="B147" s="364" t="s">
        <v>255</v>
      </c>
      <c r="C147" s="493">
        <f>C145*C146</f>
        <v>240311.8439</v>
      </c>
      <c r="D147" s="489"/>
      <c r="E147" s="478" t="s">
        <v>289</v>
      </c>
      <c r="F147" s="305"/>
      <c r="G147" s="305"/>
      <c r="H147" s="305"/>
      <c r="I147" s="305"/>
      <c r="J147" s="305"/>
      <c r="K147" s="305"/>
      <c r="L147" s="305"/>
      <c r="M147" s="305"/>
      <c r="N147" s="305"/>
      <c r="O147" s="305"/>
      <c r="P147" s="308"/>
      <c r="Q147" s="308"/>
      <c r="R147" s="308"/>
      <c r="S147" s="308"/>
      <c r="T147" s="308"/>
      <c r="U147" s="308"/>
      <c r="V147" s="308"/>
      <c r="W147" s="308"/>
      <c r="X147" s="308"/>
      <c r="Y147" s="308"/>
      <c r="Z147" s="308"/>
    </row>
    <row r="148" outlineLevel="2">
      <c r="A148" s="305"/>
      <c r="B148" s="364" t="s">
        <v>112</v>
      </c>
      <c r="C148" s="483">
        <f>'Customer Phases - Inputs and As'!L50</f>
        <v>0.35</v>
      </c>
      <c r="D148" s="489"/>
      <c r="E148" s="482" t="s">
        <v>383</v>
      </c>
      <c r="F148" s="305"/>
      <c r="G148" s="305"/>
      <c r="H148" s="305"/>
      <c r="I148" s="305"/>
      <c r="J148" s="305"/>
      <c r="K148" s="305"/>
      <c r="L148" s="305"/>
      <c r="M148" s="305"/>
      <c r="N148" s="305"/>
      <c r="O148" s="305"/>
      <c r="P148" s="308"/>
      <c r="Q148" s="308"/>
      <c r="R148" s="308"/>
      <c r="S148" s="308"/>
      <c r="T148" s="308"/>
      <c r="U148" s="308"/>
      <c r="V148" s="308"/>
      <c r="W148" s="308"/>
      <c r="X148" s="308"/>
      <c r="Y148" s="308"/>
      <c r="Z148" s="308"/>
    </row>
    <row r="149" outlineLevel="2">
      <c r="A149" s="305"/>
      <c r="B149" s="364" t="s">
        <v>260</v>
      </c>
      <c r="C149" s="494">
        <f>C147*C148</f>
        <v>84109.14537</v>
      </c>
      <c r="D149" s="489"/>
      <c r="E149" s="478" t="s">
        <v>291</v>
      </c>
      <c r="F149" s="305"/>
      <c r="G149" s="305"/>
      <c r="H149" s="305"/>
      <c r="I149" s="305"/>
      <c r="J149" s="305"/>
      <c r="K149" s="305"/>
      <c r="L149" s="305"/>
      <c r="M149" s="305"/>
      <c r="N149" s="305"/>
      <c r="O149" s="305"/>
      <c r="P149" s="308"/>
      <c r="Q149" s="308"/>
      <c r="R149" s="308"/>
      <c r="S149" s="308"/>
      <c r="T149" s="308"/>
      <c r="U149" s="308"/>
      <c r="V149" s="308"/>
      <c r="W149" s="308"/>
      <c r="X149" s="308"/>
      <c r="Y149" s="308"/>
      <c r="Z149" s="308"/>
    </row>
    <row r="150" outlineLevel="2">
      <c r="A150" s="305"/>
      <c r="B150" s="495" t="s">
        <v>384</v>
      </c>
      <c r="C150" s="496" t="s">
        <v>240</v>
      </c>
      <c r="D150" s="497" t="s">
        <v>101</v>
      </c>
      <c r="E150" s="335" t="s">
        <v>241</v>
      </c>
      <c r="F150" s="305"/>
      <c r="G150" s="305"/>
      <c r="H150" s="305"/>
      <c r="I150" s="305"/>
      <c r="J150" s="305"/>
      <c r="K150" s="305"/>
      <c r="L150" s="305"/>
      <c r="M150" s="305"/>
      <c r="N150" s="305"/>
      <c r="O150" s="305"/>
      <c r="P150" s="308"/>
      <c r="Q150" s="308"/>
      <c r="R150" s="308"/>
      <c r="S150" s="308"/>
      <c r="T150" s="308"/>
      <c r="U150" s="308"/>
      <c r="V150" s="308"/>
      <c r="W150" s="308"/>
      <c r="X150" s="308"/>
      <c r="Y150" s="308"/>
      <c r="Z150" s="308"/>
    </row>
    <row r="151" outlineLevel="2">
      <c r="A151" s="305"/>
      <c r="B151" s="475" t="s">
        <v>385</v>
      </c>
      <c r="C151" s="466">
        <f>SUM(C152,C159)</f>
        <v>2431529.768</v>
      </c>
      <c r="D151" s="377"/>
      <c r="E151" s="354"/>
      <c r="F151" s="305"/>
      <c r="G151" s="305"/>
      <c r="H151" s="305"/>
      <c r="I151" s="305"/>
      <c r="J151" s="305"/>
      <c r="K151" s="305"/>
      <c r="L151" s="305"/>
      <c r="M151" s="305"/>
      <c r="N151" s="305"/>
      <c r="O151" s="305"/>
      <c r="P151" s="308"/>
      <c r="Q151" s="308"/>
      <c r="R151" s="308"/>
      <c r="S151" s="308"/>
      <c r="T151" s="308"/>
      <c r="U151" s="308"/>
      <c r="V151" s="308"/>
      <c r="W151" s="308"/>
      <c r="X151" s="308"/>
      <c r="Y151" s="308"/>
      <c r="Z151" s="308"/>
    </row>
    <row r="152" outlineLevel="2">
      <c r="A152" s="305"/>
      <c r="B152" s="450" t="s">
        <v>97</v>
      </c>
      <c r="C152" s="469">
        <f>C158</f>
        <v>26239.52987</v>
      </c>
      <c r="D152" s="377" t="s">
        <v>269</v>
      </c>
      <c r="E152" s="354"/>
      <c r="F152" s="305"/>
      <c r="G152" s="305"/>
      <c r="H152" s="305"/>
      <c r="I152" s="305"/>
      <c r="J152" s="305"/>
      <c r="K152" s="305"/>
      <c r="L152" s="305"/>
      <c r="M152" s="305"/>
      <c r="N152" s="305"/>
      <c r="O152" s="305"/>
      <c r="P152" s="308"/>
      <c r="Q152" s="308"/>
      <c r="R152" s="308"/>
      <c r="S152" s="308"/>
      <c r="T152" s="308"/>
      <c r="U152" s="308"/>
      <c r="V152" s="308"/>
      <c r="W152" s="308"/>
      <c r="X152" s="308"/>
      <c r="Y152" s="308"/>
      <c r="Z152" s="308"/>
    </row>
    <row r="153" outlineLevel="2">
      <c r="A153" s="305"/>
      <c r="B153" s="460" t="s">
        <v>141</v>
      </c>
      <c r="C153" s="467">
        <f>'Customer Phases - Inputs and As'!I36</f>
        <v>438751.44</v>
      </c>
      <c r="D153" s="377"/>
      <c r="E153" s="354" t="s">
        <v>141</v>
      </c>
      <c r="F153" s="305"/>
      <c r="G153" s="305"/>
      <c r="H153" s="305"/>
      <c r="I153" s="305"/>
      <c r="J153" s="305"/>
      <c r="K153" s="305"/>
      <c r="L153" s="305"/>
      <c r="M153" s="305"/>
      <c r="N153" s="305"/>
      <c r="O153" s="305"/>
      <c r="P153" s="308"/>
      <c r="Q153" s="308"/>
      <c r="R153" s="308"/>
      <c r="S153" s="308"/>
      <c r="T153" s="308"/>
      <c r="U153" s="308"/>
      <c r="V153" s="308"/>
      <c r="W153" s="308"/>
      <c r="X153" s="308"/>
      <c r="Y153" s="308"/>
      <c r="Z153" s="308"/>
    </row>
    <row r="154" outlineLevel="2">
      <c r="A154" s="305"/>
      <c r="B154" s="460" t="s">
        <v>119</v>
      </c>
      <c r="C154" s="498">
        <f>'Customer Phases - Inputs and As'!I37</f>
        <v>0.02</v>
      </c>
      <c r="D154" s="377"/>
      <c r="E154" s="354" t="s">
        <v>386</v>
      </c>
      <c r="F154" s="305"/>
      <c r="G154" s="305"/>
      <c r="H154" s="305"/>
      <c r="I154" s="305"/>
      <c r="J154" s="305"/>
      <c r="K154" s="305"/>
      <c r="L154" s="305"/>
      <c r="M154" s="305"/>
      <c r="N154" s="305"/>
      <c r="O154" s="305"/>
      <c r="P154" s="308"/>
      <c r="Q154" s="308"/>
      <c r="R154" s="308"/>
      <c r="S154" s="308"/>
      <c r="T154" s="308"/>
      <c r="U154" s="308"/>
      <c r="V154" s="308"/>
      <c r="W154" s="308"/>
      <c r="X154" s="308"/>
      <c r="Y154" s="308"/>
      <c r="Z154" s="308"/>
    </row>
    <row r="155" ht="15.75" customHeight="1" outlineLevel="2">
      <c r="A155" s="305"/>
      <c r="B155" s="460" t="s">
        <v>253</v>
      </c>
      <c r="C155" s="461">
        <f>'Customer Phases - Inputs and As'!I38</f>
        <v>39.87</v>
      </c>
      <c r="D155" s="377"/>
      <c r="E155" s="360" t="s">
        <v>387</v>
      </c>
      <c r="F155" s="305"/>
      <c r="G155" s="305"/>
      <c r="H155" s="305"/>
      <c r="I155" s="305"/>
      <c r="J155" s="305"/>
      <c r="K155" s="305"/>
      <c r="L155" s="305"/>
      <c r="M155" s="305"/>
      <c r="N155" s="305"/>
      <c r="O155" s="305"/>
      <c r="P155" s="308"/>
      <c r="Q155" s="308"/>
      <c r="R155" s="308"/>
      <c r="S155" s="308"/>
      <c r="T155" s="308"/>
      <c r="U155" s="308"/>
      <c r="V155" s="308"/>
      <c r="W155" s="308"/>
      <c r="X155" s="308"/>
      <c r="Y155" s="308"/>
      <c r="Z155" s="308"/>
    </row>
    <row r="156" ht="15.75" customHeight="1" outlineLevel="2">
      <c r="A156" s="305"/>
      <c r="B156" s="470" t="s">
        <v>255</v>
      </c>
      <c r="C156" s="469">
        <f>C155*C153*C154</f>
        <v>349860.3983</v>
      </c>
      <c r="D156" s="377"/>
      <c r="E156" s="360" t="s">
        <v>388</v>
      </c>
      <c r="F156" s="305"/>
      <c r="G156" s="305"/>
      <c r="H156" s="305"/>
      <c r="I156" s="305"/>
      <c r="J156" s="305"/>
      <c r="K156" s="305"/>
      <c r="L156" s="305"/>
      <c r="M156" s="305"/>
      <c r="N156" s="305"/>
      <c r="O156" s="305"/>
      <c r="P156" s="308"/>
      <c r="Q156" s="308"/>
      <c r="R156" s="308"/>
      <c r="S156" s="308"/>
      <c r="T156" s="308"/>
      <c r="U156" s="308"/>
      <c r="V156" s="308"/>
      <c r="W156" s="308"/>
      <c r="X156" s="308"/>
      <c r="Y156" s="308"/>
      <c r="Z156" s="308"/>
    </row>
    <row r="157" ht="15.75" customHeight="1" outlineLevel="2">
      <c r="A157" s="305"/>
      <c r="B157" s="460" t="s">
        <v>112</v>
      </c>
      <c r="C157" s="499">
        <f>'Customer Phases - Inputs and As'!I39</f>
        <v>0.075</v>
      </c>
      <c r="D157" s="377"/>
      <c r="E157" s="354" t="s">
        <v>389</v>
      </c>
      <c r="F157" s="305"/>
      <c r="G157" s="305"/>
      <c r="H157" s="305"/>
      <c r="I157" s="305"/>
      <c r="J157" s="305"/>
      <c r="K157" s="305"/>
      <c r="L157" s="305"/>
      <c r="M157" s="305"/>
      <c r="N157" s="305"/>
      <c r="O157" s="305"/>
      <c r="P157" s="308"/>
      <c r="Q157" s="308"/>
      <c r="R157" s="308"/>
      <c r="S157" s="308"/>
      <c r="T157" s="308"/>
      <c r="U157" s="308"/>
      <c r="V157" s="308"/>
      <c r="W157" s="308"/>
      <c r="X157" s="308"/>
      <c r="Y157" s="308"/>
      <c r="Z157" s="308"/>
    </row>
    <row r="158" outlineLevel="2">
      <c r="A158" s="305"/>
      <c r="B158" s="500" t="s">
        <v>260</v>
      </c>
      <c r="C158" s="469">
        <f>C156*C157</f>
        <v>26239.52987</v>
      </c>
      <c r="D158" s="377"/>
      <c r="E158" s="360" t="s">
        <v>390</v>
      </c>
      <c r="F158" s="305"/>
      <c r="G158" s="305"/>
      <c r="H158" s="305"/>
      <c r="I158" s="305"/>
      <c r="J158" s="305"/>
      <c r="K158" s="305"/>
      <c r="L158" s="305"/>
      <c r="M158" s="305"/>
      <c r="N158" s="305"/>
      <c r="O158" s="305"/>
      <c r="P158" s="308"/>
      <c r="Q158" s="308"/>
      <c r="R158" s="308"/>
      <c r="S158" s="308"/>
      <c r="T158" s="308"/>
      <c r="U158" s="308"/>
      <c r="V158" s="308"/>
      <c r="W158" s="308"/>
      <c r="X158" s="308"/>
      <c r="Y158" s="308"/>
      <c r="Z158" s="308"/>
    </row>
    <row r="159" ht="15.75" customHeight="1" outlineLevel="2">
      <c r="A159" s="305"/>
      <c r="B159" s="450" t="s">
        <v>135</v>
      </c>
      <c r="C159" s="469">
        <f>C165</f>
        <v>2405290.238</v>
      </c>
      <c r="D159" s="377" t="s">
        <v>269</v>
      </c>
      <c r="E159" s="354"/>
      <c r="F159" s="305"/>
      <c r="G159" s="305"/>
      <c r="H159" s="305"/>
      <c r="I159" s="305"/>
      <c r="J159" s="305"/>
      <c r="K159" s="305"/>
      <c r="L159" s="305"/>
      <c r="M159" s="305"/>
      <c r="N159" s="305"/>
      <c r="O159" s="305"/>
      <c r="P159" s="308"/>
      <c r="Q159" s="308"/>
      <c r="R159" s="308"/>
      <c r="S159" s="308"/>
      <c r="T159" s="308"/>
      <c r="U159" s="308"/>
      <c r="V159" s="308"/>
      <c r="W159" s="308"/>
      <c r="X159" s="308"/>
      <c r="Y159" s="308"/>
      <c r="Z159" s="308"/>
    </row>
    <row r="160" ht="15.75" customHeight="1">
      <c r="A160" s="305"/>
      <c r="B160" s="460" t="s">
        <v>141</v>
      </c>
      <c r="C160" s="467">
        <f>'Customer Phases - Inputs and As'!I42</f>
        <v>3656262</v>
      </c>
      <c r="D160" s="377"/>
      <c r="E160" s="354" t="s">
        <v>141</v>
      </c>
      <c r="F160" s="305"/>
      <c r="G160" s="305"/>
      <c r="H160" s="305"/>
      <c r="I160" s="305"/>
      <c r="J160" s="305"/>
      <c r="K160" s="305"/>
      <c r="L160" s="305"/>
      <c r="M160" s="305"/>
      <c r="N160" s="305"/>
      <c r="O160" s="305"/>
      <c r="P160" s="308"/>
      <c r="Q160" s="308"/>
      <c r="R160" s="308"/>
      <c r="S160" s="308"/>
      <c r="T160" s="308"/>
      <c r="U160" s="308"/>
      <c r="V160" s="308"/>
      <c r="W160" s="308"/>
      <c r="X160" s="308"/>
      <c r="Y160" s="308"/>
      <c r="Z160" s="308"/>
    </row>
    <row r="161">
      <c r="A161" s="305"/>
      <c r="B161" s="460" t="s">
        <v>146</v>
      </c>
      <c r="C161" s="467">
        <f>'Customer Phases - Inputs and As'!I43</f>
        <v>3217510.56</v>
      </c>
      <c r="D161" s="377"/>
      <c r="E161" s="360" t="s">
        <v>391</v>
      </c>
      <c r="F161" s="305"/>
      <c r="G161" s="305"/>
      <c r="H161" s="305"/>
      <c r="I161" s="305"/>
      <c r="J161" s="305"/>
      <c r="K161" s="305"/>
      <c r="L161" s="305"/>
      <c r="M161" s="305"/>
      <c r="N161" s="305"/>
      <c r="O161" s="305"/>
      <c r="P161" s="308"/>
      <c r="Q161" s="308"/>
      <c r="R161" s="308"/>
      <c r="S161" s="308"/>
      <c r="T161" s="308"/>
      <c r="U161" s="308"/>
      <c r="V161" s="308"/>
      <c r="W161" s="308"/>
      <c r="X161" s="308"/>
      <c r="Y161" s="308"/>
      <c r="Z161" s="308"/>
    </row>
    <row r="162" ht="15.75" customHeight="1" outlineLevel="1">
      <c r="A162" s="305"/>
      <c r="B162" s="468" t="s">
        <v>392</v>
      </c>
      <c r="C162" s="469">
        <f>'Customer Phases - Inputs and As'!I44</f>
        <v>19.935</v>
      </c>
      <c r="D162" s="377"/>
      <c r="E162" s="360" t="s">
        <v>393</v>
      </c>
      <c r="F162" s="305"/>
      <c r="G162" s="305"/>
      <c r="H162" s="305"/>
      <c r="I162" s="305"/>
      <c r="J162" s="305"/>
      <c r="K162" s="305"/>
      <c r="L162" s="305"/>
      <c r="M162" s="305"/>
      <c r="N162" s="305"/>
      <c r="O162" s="305"/>
      <c r="P162" s="308"/>
      <c r="Q162" s="308"/>
      <c r="R162" s="308"/>
      <c r="S162" s="308"/>
      <c r="T162" s="308"/>
      <c r="U162" s="308"/>
      <c r="V162" s="308"/>
      <c r="W162" s="308"/>
      <c r="X162" s="308"/>
      <c r="Y162" s="308"/>
      <c r="Z162" s="308"/>
    </row>
    <row r="163" ht="15.75" customHeight="1" outlineLevel="2">
      <c r="A163" s="305"/>
      <c r="B163" s="470" t="s">
        <v>255</v>
      </c>
      <c r="C163" s="469">
        <f>C161*C162</f>
        <v>64141073.01</v>
      </c>
      <c r="D163" s="377"/>
      <c r="E163" s="360" t="s">
        <v>394</v>
      </c>
      <c r="F163" s="305"/>
      <c r="G163" s="305"/>
      <c r="H163" s="305"/>
      <c r="I163" s="305"/>
      <c r="J163" s="305"/>
      <c r="K163" s="305"/>
      <c r="L163" s="305"/>
      <c r="M163" s="305"/>
      <c r="N163" s="305"/>
      <c r="O163" s="305"/>
      <c r="P163" s="308"/>
      <c r="Q163" s="308"/>
      <c r="R163" s="308"/>
      <c r="S163" s="308"/>
      <c r="T163" s="308"/>
      <c r="U163" s="308"/>
      <c r="V163" s="308"/>
      <c r="W163" s="308"/>
      <c r="X163" s="308"/>
      <c r="Y163" s="308"/>
      <c r="Z163" s="308"/>
    </row>
    <row r="164" ht="15.75" customHeight="1" outlineLevel="2">
      <c r="A164" s="305"/>
      <c r="B164" s="460" t="s">
        <v>112</v>
      </c>
      <c r="C164" s="499">
        <f>'Customer Phases - Inputs and As'!I45</f>
        <v>0.0375</v>
      </c>
      <c r="D164" s="377"/>
      <c r="E164" s="360" t="s">
        <v>395</v>
      </c>
      <c r="F164" s="305"/>
      <c r="G164" s="305"/>
      <c r="H164" s="305"/>
      <c r="I164" s="305"/>
      <c r="J164" s="305"/>
      <c r="K164" s="305"/>
      <c r="L164" s="305"/>
      <c r="M164" s="305"/>
      <c r="N164" s="305"/>
      <c r="O164" s="305"/>
      <c r="P164" s="308"/>
      <c r="Q164" s="308"/>
      <c r="R164" s="308"/>
      <c r="S164" s="308"/>
      <c r="T164" s="308"/>
      <c r="U164" s="308"/>
      <c r="V164" s="308"/>
      <c r="W164" s="308"/>
      <c r="X164" s="308"/>
      <c r="Y164" s="308"/>
      <c r="Z164" s="308"/>
    </row>
    <row r="165" ht="15.75" customHeight="1" outlineLevel="2">
      <c r="A165" s="305"/>
      <c r="B165" s="460" t="s">
        <v>260</v>
      </c>
      <c r="C165" s="469">
        <f>C163*C164</f>
        <v>2405290.238</v>
      </c>
      <c r="D165" s="377"/>
      <c r="E165" s="501" t="s">
        <v>396</v>
      </c>
      <c r="F165" s="305"/>
      <c r="G165" s="305"/>
      <c r="H165" s="305"/>
      <c r="I165" s="305"/>
      <c r="J165" s="305"/>
      <c r="K165" s="305"/>
      <c r="L165" s="305"/>
      <c r="M165" s="305"/>
      <c r="N165" s="305"/>
      <c r="O165" s="305"/>
      <c r="P165" s="308"/>
      <c r="Q165" s="308"/>
      <c r="R165" s="308"/>
      <c r="S165" s="308"/>
      <c r="T165" s="308"/>
      <c r="U165" s="308"/>
      <c r="V165" s="308"/>
      <c r="W165" s="308"/>
      <c r="X165" s="308"/>
      <c r="Y165" s="308"/>
      <c r="Z165" s="308"/>
    </row>
    <row r="166" ht="15.75" customHeight="1" outlineLevel="2">
      <c r="A166" s="305"/>
      <c r="B166" s="500" t="s">
        <v>397</v>
      </c>
      <c r="C166" s="502">
        <v>2.7</v>
      </c>
      <c r="D166" s="377"/>
      <c r="E166" s="354" t="s">
        <v>398</v>
      </c>
      <c r="F166" s="305"/>
      <c r="G166" s="305"/>
      <c r="H166" s="305"/>
      <c r="I166" s="305"/>
      <c r="J166" s="305"/>
      <c r="K166" s="305"/>
      <c r="L166" s="305"/>
      <c r="M166" s="305"/>
      <c r="N166" s="305"/>
      <c r="O166" s="305"/>
      <c r="P166" s="308"/>
      <c r="Q166" s="308"/>
      <c r="R166" s="308"/>
      <c r="S166" s="308"/>
      <c r="T166" s="308"/>
      <c r="U166" s="308"/>
      <c r="V166" s="308"/>
      <c r="W166" s="308"/>
      <c r="X166" s="308"/>
      <c r="Y166" s="308"/>
      <c r="Z166" s="308"/>
    </row>
    <row r="167" outlineLevel="2">
      <c r="A167" s="305"/>
      <c r="B167" s="503" t="s">
        <v>399</v>
      </c>
      <c r="C167" s="504" t="s">
        <v>240</v>
      </c>
      <c r="D167" s="497" t="s">
        <v>101</v>
      </c>
      <c r="E167" s="335" t="s">
        <v>241</v>
      </c>
      <c r="F167" s="305"/>
      <c r="G167" s="305"/>
      <c r="H167" s="305"/>
      <c r="I167" s="305"/>
      <c r="J167" s="305"/>
      <c r="K167" s="305"/>
      <c r="L167" s="305"/>
      <c r="M167" s="305"/>
      <c r="N167" s="305"/>
      <c r="O167" s="305"/>
      <c r="P167" s="308"/>
      <c r="Q167" s="308"/>
      <c r="R167" s="308"/>
      <c r="S167" s="308"/>
      <c r="T167" s="308"/>
      <c r="U167" s="308"/>
      <c r="V167" s="308"/>
      <c r="W167" s="308"/>
      <c r="X167" s="308"/>
      <c r="Y167" s="308"/>
      <c r="Z167" s="308"/>
    </row>
    <row r="168" ht="15.75" customHeight="1" outlineLevel="2">
      <c r="A168" s="305"/>
      <c r="B168" s="430" t="s">
        <v>400</v>
      </c>
      <c r="C168" s="469">
        <f>C169</f>
        <v>1259014.057</v>
      </c>
      <c r="D168" s="377"/>
      <c r="E168" s="354"/>
      <c r="F168" s="305"/>
      <c r="G168" s="305"/>
      <c r="H168" s="305"/>
      <c r="I168" s="305"/>
      <c r="J168" s="305"/>
      <c r="K168" s="305"/>
      <c r="L168" s="305"/>
      <c r="M168" s="305"/>
      <c r="N168" s="305"/>
      <c r="O168" s="305"/>
      <c r="P168" s="308"/>
      <c r="Q168" s="308"/>
      <c r="R168" s="308"/>
      <c r="S168" s="308"/>
      <c r="T168" s="308"/>
      <c r="U168" s="308"/>
      <c r="V168" s="308"/>
      <c r="W168" s="308"/>
      <c r="X168" s="308"/>
      <c r="Y168" s="308"/>
      <c r="Z168" s="308"/>
    </row>
    <row r="169" ht="15.75" customHeight="1" outlineLevel="1">
      <c r="A169" s="305"/>
      <c r="B169" s="505" t="s">
        <v>401</v>
      </c>
      <c r="C169" s="469">
        <f>'Servicing - Analysis'!F15</f>
        <v>1259014.057</v>
      </c>
      <c r="D169" s="377" t="s">
        <v>297</v>
      </c>
      <c r="E169" s="354" t="s">
        <v>291</v>
      </c>
      <c r="F169" s="305"/>
      <c r="G169" s="305"/>
      <c r="H169" s="305"/>
      <c r="I169" s="305"/>
      <c r="J169" s="305"/>
      <c r="K169" s="305"/>
      <c r="L169" s="305"/>
      <c r="M169" s="305"/>
      <c r="N169" s="305"/>
      <c r="O169" s="305"/>
      <c r="P169" s="308"/>
      <c r="Q169" s="308"/>
      <c r="R169" s="308"/>
      <c r="S169" s="308"/>
      <c r="T169" s="308"/>
      <c r="U169" s="308"/>
      <c r="V169" s="308"/>
      <c r="W169" s="308"/>
      <c r="X169" s="308"/>
      <c r="Y169" s="308"/>
      <c r="Z169" s="308"/>
    </row>
    <row r="170" outlineLevel="2">
      <c r="A170" s="305"/>
      <c r="B170" s="506" t="s">
        <v>402</v>
      </c>
      <c r="C170" s="467"/>
      <c r="D170" s="305"/>
      <c r="E170" s="305"/>
      <c r="F170" s="305"/>
      <c r="G170" s="305"/>
      <c r="H170" s="305"/>
      <c r="I170" s="305"/>
      <c r="J170" s="305"/>
      <c r="K170" s="305"/>
      <c r="L170" s="305"/>
      <c r="M170" s="305"/>
      <c r="N170" s="305"/>
      <c r="O170" s="305"/>
      <c r="P170" s="308"/>
      <c r="Q170" s="308"/>
      <c r="R170" s="308"/>
      <c r="S170" s="308"/>
      <c r="T170" s="308"/>
      <c r="U170" s="308"/>
      <c r="V170" s="308"/>
      <c r="W170" s="308"/>
      <c r="X170" s="308"/>
      <c r="Y170" s="308"/>
      <c r="Z170" s="308"/>
    </row>
    <row r="171" ht="15.75" customHeight="1" outlineLevel="2">
      <c r="A171" s="305"/>
      <c r="B171" s="507"/>
      <c r="C171" s="427"/>
      <c r="D171" s="508"/>
      <c r="E171" s="509"/>
      <c r="F171" s="305"/>
      <c r="G171" s="305"/>
      <c r="H171" s="305"/>
      <c r="I171" s="305"/>
      <c r="J171" s="305"/>
      <c r="K171" s="305"/>
      <c r="L171" s="305"/>
      <c r="M171" s="305"/>
      <c r="N171" s="305"/>
      <c r="O171" s="305"/>
      <c r="P171" s="308"/>
      <c r="Q171" s="308"/>
      <c r="R171" s="308"/>
      <c r="S171" s="308"/>
      <c r="T171" s="308"/>
      <c r="U171" s="308"/>
      <c r="V171" s="308"/>
      <c r="W171" s="308"/>
      <c r="X171" s="308"/>
      <c r="Y171" s="308"/>
      <c r="Z171" s="308"/>
    </row>
    <row r="172" ht="15.75" customHeight="1" outlineLevel="2">
      <c r="A172" s="305"/>
      <c r="B172" s="510" t="s">
        <v>240</v>
      </c>
      <c r="C172" s="339">
        <f>C168+C151+C69+C15+C123</f>
        <v>34858622.97</v>
      </c>
      <c r="D172" s="511"/>
      <c r="E172" s="512"/>
      <c r="F172" s="305"/>
      <c r="G172" s="305"/>
      <c r="H172" s="305"/>
      <c r="I172" s="305"/>
      <c r="J172" s="305"/>
      <c r="K172" s="305"/>
      <c r="L172" s="305"/>
      <c r="M172" s="305"/>
      <c r="N172" s="305"/>
      <c r="O172" s="305"/>
      <c r="P172" s="308"/>
      <c r="Q172" s="308"/>
      <c r="R172" s="308"/>
      <c r="S172" s="308"/>
      <c r="T172" s="308"/>
      <c r="U172" s="308"/>
      <c r="V172" s="308"/>
      <c r="W172" s="308"/>
      <c r="X172" s="308"/>
      <c r="Y172" s="308"/>
      <c r="Z172" s="308"/>
    </row>
    <row r="173" ht="15.75" customHeight="1" outlineLevel="2">
      <c r="A173" s="305"/>
      <c r="B173" s="306"/>
      <c r="C173" s="513"/>
      <c r="D173" s="305"/>
      <c r="E173" s="305"/>
      <c r="F173" s="305"/>
      <c r="G173" s="305"/>
      <c r="H173" s="305"/>
      <c r="I173" s="305"/>
      <c r="J173" s="305"/>
      <c r="K173" s="305"/>
      <c r="L173" s="305"/>
      <c r="M173" s="305"/>
      <c r="N173" s="305"/>
      <c r="O173" s="305"/>
      <c r="P173" s="308"/>
      <c r="Q173" s="308"/>
      <c r="R173" s="308"/>
      <c r="S173" s="308"/>
      <c r="T173" s="308"/>
      <c r="U173" s="308"/>
      <c r="V173" s="308"/>
      <c r="W173" s="308"/>
      <c r="X173" s="308"/>
      <c r="Y173" s="308"/>
      <c r="Z173" s="308"/>
    </row>
    <row r="174" ht="15.75" customHeight="1" outlineLevel="2">
      <c r="A174" s="305"/>
      <c r="B174" s="306"/>
      <c r="C174" s="305"/>
      <c r="D174" s="305"/>
      <c r="E174" s="305"/>
      <c r="F174" s="305"/>
      <c r="G174" s="305"/>
      <c r="H174" s="305"/>
      <c r="I174" s="305"/>
      <c r="J174" s="305"/>
      <c r="K174" s="305"/>
      <c r="L174" s="305"/>
      <c r="M174" s="305"/>
      <c r="N174" s="305"/>
      <c r="O174" s="305"/>
      <c r="P174" s="308"/>
      <c r="Q174" s="308"/>
      <c r="R174" s="308"/>
      <c r="S174" s="308"/>
      <c r="T174" s="308"/>
      <c r="U174" s="308"/>
      <c r="V174" s="308"/>
      <c r="W174" s="308"/>
      <c r="X174" s="308"/>
      <c r="Y174" s="308"/>
      <c r="Z174" s="308"/>
    </row>
    <row r="175" outlineLevel="2">
      <c r="A175" s="305"/>
      <c r="B175" s="306"/>
      <c r="C175" s="308"/>
      <c r="D175" s="305"/>
      <c r="E175" s="305"/>
      <c r="F175" s="305"/>
      <c r="G175" s="305"/>
      <c r="H175" s="305"/>
      <c r="I175" s="305"/>
      <c r="J175" s="305"/>
      <c r="K175" s="305"/>
      <c r="L175" s="305"/>
      <c r="M175" s="305"/>
      <c r="N175" s="305"/>
      <c r="O175" s="305"/>
      <c r="P175" s="308"/>
      <c r="Q175" s="308"/>
      <c r="R175" s="308"/>
      <c r="S175" s="308"/>
      <c r="T175" s="308"/>
      <c r="U175" s="308"/>
      <c r="V175" s="308"/>
      <c r="W175" s="308"/>
      <c r="X175" s="308"/>
      <c r="Y175" s="308"/>
      <c r="Z175" s="308"/>
    </row>
    <row r="176" ht="15.75" customHeight="1" outlineLevel="2">
      <c r="A176" s="305"/>
      <c r="B176" s="306"/>
      <c r="C176" s="308"/>
      <c r="D176" s="305"/>
      <c r="E176" s="305"/>
      <c r="F176" s="305"/>
      <c r="G176" s="305"/>
      <c r="H176" s="305"/>
      <c r="I176" s="305"/>
      <c r="J176" s="305"/>
      <c r="K176" s="305"/>
      <c r="L176" s="305"/>
      <c r="M176" s="305"/>
      <c r="N176" s="305"/>
      <c r="O176" s="305"/>
      <c r="P176" s="308"/>
      <c r="Q176" s="308"/>
      <c r="R176" s="308"/>
      <c r="S176" s="308"/>
      <c r="T176" s="308"/>
      <c r="U176" s="308"/>
      <c r="V176" s="308"/>
      <c r="W176" s="308"/>
      <c r="X176" s="308"/>
      <c r="Y176" s="308"/>
      <c r="Z176" s="308"/>
    </row>
    <row r="177" ht="15.75" customHeight="1">
      <c r="A177" s="305"/>
      <c r="B177" s="306"/>
      <c r="C177" s="308"/>
      <c r="D177" s="305"/>
      <c r="E177" s="305"/>
      <c r="F177" s="305"/>
      <c r="G177" s="305"/>
      <c r="H177" s="305"/>
      <c r="I177" s="305"/>
      <c r="J177" s="305"/>
      <c r="K177" s="305"/>
      <c r="L177" s="305"/>
      <c r="M177" s="305"/>
      <c r="N177" s="305"/>
      <c r="O177" s="305"/>
      <c r="P177" s="308"/>
      <c r="Q177" s="308"/>
      <c r="R177" s="308"/>
      <c r="S177" s="308"/>
      <c r="T177" s="308"/>
      <c r="U177" s="308"/>
      <c r="V177" s="308"/>
      <c r="W177" s="308"/>
      <c r="X177" s="308"/>
      <c r="Y177" s="308"/>
      <c r="Z177" s="308"/>
    </row>
    <row r="178" ht="15.75" customHeight="1">
      <c r="A178" s="305"/>
      <c r="B178" s="306"/>
      <c r="C178" s="308"/>
      <c r="D178" s="305"/>
      <c r="E178" s="305"/>
      <c r="F178" s="305"/>
      <c r="G178" s="305"/>
      <c r="H178" s="305"/>
      <c r="I178" s="305"/>
      <c r="J178" s="305"/>
      <c r="K178" s="305"/>
      <c r="L178" s="305"/>
      <c r="M178" s="305"/>
      <c r="N178" s="305"/>
      <c r="O178" s="305"/>
      <c r="P178" s="308"/>
      <c r="Q178" s="308"/>
      <c r="R178" s="308"/>
      <c r="S178" s="308"/>
      <c r="T178" s="308"/>
      <c r="U178" s="308"/>
      <c r="V178" s="308"/>
      <c r="W178" s="308"/>
      <c r="X178" s="308"/>
      <c r="Y178" s="308"/>
      <c r="Z178" s="308"/>
    </row>
    <row r="179" ht="15.75" customHeight="1" outlineLevel="1">
      <c r="A179" s="305"/>
      <c r="B179" s="306"/>
      <c r="C179" s="308"/>
      <c r="D179" s="305"/>
      <c r="E179" s="305"/>
      <c r="F179" s="305"/>
      <c r="G179" s="305"/>
      <c r="H179" s="305"/>
      <c r="I179" s="305"/>
      <c r="J179" s="305"/>
      <c r="K179" s="305"/>
      <c r="L179" s="305"/>
      <c r="M179" s="305"/>
      <c r="N179" s="305"/>
      <c r="O179" s="305"/>
      <c r="P179" s="308"/>
      <c r="Q179" s="308"/>
      <c r="R179" s="308"/>
      <c r="S179" s="308"/>
      <c r="T179" s="308"/>
      <c r="U179" s="308"/>
      <c r="V179" s="308"/>
      <c r="W179" s="308"/>
      <c r="X179" s="308"/>
      <c r="Y179" s="308"/>
      <c r="Z179" s="308"/>
    </row>
    <row r="180" ht="15.75" customHeight="1">
      <c r="A180" s="305"/>
      <c r="B180" s="306"/>
      <c r="C180" s="308"/>
      <c r="D180" s="305"/>
      <c r="E180" s="305"/>
      <c r="F180" s="305"/>
      <c r="G180" s="305"/>
      <c r="H180" s="305"/>
      <c r="I180" s="305"/>
      <c r="J180" s="305"/>
      <c r="K180" s="305"/>
      <c r="L180" s="305"/>
      <c r="M180" s="305"/>
      <c r="N180" s="305"/>
      <c r="O180" s="305"/>
      <c r="P180" s="308"/>
      <c r="Q180" s="308"/>
      <c r="R180" s="308"/>
      <c r="S180" s="308"/>
      <c r="T180" s="308"/>
      <c r="U180" s="308"/>
      <c r="V180" s="308"/>
      <c r="W180" s="308"/>
      <c r="X180" s="308"/>
      <c r="Y180" s="308"/>
      <c r="Z180" s="308"/>
    </row>
    <row r="181" ht="15.75" customHeight="1">
      <c r="A181" s="305"/>
      <c r="B181" s="306"/>
      <c r="C181" s="308"/>
      <c r="D181" s="305"/>
      <c r="E181" s="305"/>
      <c r="F181" s="305"/>
      <c r="G181" s="305"/>
      <c r="H181" s="305"/>
      <c r="I181" s="305"/>
      <c r="J181" s="305"/>
      <c r="K181" s="305"/>
      <c r="L181" s="305"/>
      <c r="M181" s="305"/>
      <c r="N181" s="305"/>
      <c r="O181" s="305"/>
      <c r="P181" s="308"/>
      <c r="Q181" s="308"/>
      <c r="R181" s="308"/>
      <c r="S181" s="308"/>
      <c r="T181" s="308"/>
      <c r="U181" s="308"/>
      <c r="V181" s="308"/>
      <c r="W181" s="308"/>
      <c r="X181" s="308"/>
      <c r="Y181" s="308"/>
      <c r="Z181" s="308"/>
    </row>
    <row r="182" ht="15.75" customHeight="1">
      <c r="A182" s="305"/>
      <c r="B182" s="306"/>
      <c r="C182" s="308"/>
      <c r="D182" s="305"/>
      <c r="E182" s="305"/>
      <c r="F182" s="305"/>
      <c r="G182" s="305"/>
      <c r="H182" s="305"/>
      <c r="I182" s="305"/>
      <c r="J182" s="305"/>
      <c r="K182" s="305"/>
      <c r="L182" s="305"/>
      <c r="M182" s="305"/>
      <c r="N182" s="305"/>
      <c r="O182" s="305"/>
      <c r="P182" s="308"/>
      <c r="Q182" s="308"/>
      <c r="R182" s="308"/>
      <c r="S182" s="308"/>
      <c r="T182" s="308"/>
      <c r="U182" s="308"/>
      <c r="V182" s="308"/>
      <c r="W182" s="308"/>
      <c r="X182" s="308"/>
      <c r="Y182" s="308"/>
      <c r="Z182" s="308"/>
    </row>
    <row r="183" ht="15.75" customHeight="1">
      <c r="A183" s="305"/>
      <c r="B183" s="306"/>
      <c r="C183" s="308"/>
      <c r="D183" s="305"/>
      <c r="E183" s="305"/>
      <c r="F183" s="305"/>
      <c r="G183" s="305"/>
      <c r="H183" s="305"/>
      <c r="I183" s="305"/>
      <c r="J183" s="305"/>
      <c r="K183" s="305"/>
      <c r="L183" s="305"/>
      <c r="M183" s="305"/>
      <c r="N183" s="305"/>
      <c r="O183" s="305"/>
      <c r="P183" s="308"/>
      <c r="Q183" s="308"/>
      <c r="R183" s="308"/>
      <c r="S183" s="308"/>
      <c r="T183" s="308"/>
      <c r="U183" s="308"/>
      <c r="V183" s="308"/>
      <c r="W183" s="308"/>
      <c r="X183" s="308"/>
      <c r="Y183" s="308"/>
      <c r="Z183" s="308"/>
    </row>
    <row r="184" ht="15.75" customHeight="1">
      <c r="A184" s="305"/>
      <c r="B184" s="306"/>
      <c r="C184" s="308"/>
      <c r="D184" s="305"/>
      <c r="E184" s="305"/>
      <c r="F184" s="305"/>
      <c r="G184" s="305"/>
      <c r="H184" s="305"/>
      <c r="I184" s="305"/>
      <c r="J184" s="305"/>
      <c r="K184" s="305"/>
      <c r="L184" s="305"/>
      <c r="M184" s="305"/>
      <c r="N184" s="305"/>
      <c r="O184" s="305"/>
      <c r="P184" s="308"/>
      <c r="Q184" s="308"/>
      <c r="R184" s="308"/>
      <c r="S184" s="308"/>
      <c r="T184" s="308"/>
      <c r="U184" s="308"/>
      <c r="V184" s="308"/>
      <c r="W184" s="308"/>
      <c r="X184" s="308"/>
      <c r="Y184" s="308"/>
      <c r="Z184" s="308"/>
    </row>
    <row r="185" ht="15.75" customHeight="1">
      <c r="A185" s="305"/>
      <c r="B185" s="306"/>
      <c r="C185" s="363"/>
      <c r="D185" s="305"/>
      <c r="E185" s="305"/>
      <c r="F185" s="305"/>
      <c r="G185" s="305"/>
      <c r="H185" s="305"/>
      <c r="I185" s="305"/>
      <c r="J185" s="305"/>
      <c r="K185" s="305"/>
      <c r="L185" s="305"/>
      <c r="M185" s="305"/>
      <c r="N185" s="305"/>
      <c r="O185" s="305"/>
      <c r="P185" s="308"/>
      <c r="Q185" s="308"/>
      <c r="R185" s="308"/>
      <c r="S185" s="308"/>
      <c r="T185" s="308"/>
      <c r="U185" s="308"/>
      <c r="V185" s="308"/>
      <c r="W185" s="308"/>
      <c r="X185" s="308"/>
      <c r="Y185" s="308"/>
      <c r="Z185" s="308"/>
    </row>
    <row r="186" ht="15.75" customHeight="1">
      <c r="A186" s="305"/>
      <c r="B186" s="306"/>
      <c r="C186" s="459"/>
      <c r="D186" s="305"/>
      <c r="E186" s="305"/>
      <c r="F186" s="305"/>
      <c r="G186" s="305"/>
      <c r="H186" s="305"/>
      <c r="I186" s="305"/>
      <c r="J186" s="305"/>
      <c r="K186" s="305"/>
      <c r="L186" s="305"/>
      <c r="M186" s="305"/>
      <c r="N186" s="305"/>
      <c r="O186" s="305"/>
      <c r="P186" s="308"/>
      <c r="Q186" s="308"/>
      <c r="R186" s="308"/>
      <c r="S186" s="308"/>
      <c r="T186" s="308"/>
      <c r="U186" s="308"/>
      <c r="V186" s="308"/>
      <c r="W186" s="308"/>
      <c r="X186" s="308"/>
      <c r="Y186" s="308"/>
      <c r="Z186" s="308"/>
    </row>
    <row r="187" ht="15.75" customHeight="1">
      <c r="A187" s="305"/>
      <c r="B187" s="306"/>
      <c r="C187" s="514"/>
      <c r="D187" s="305"/>
      <c r="E187" s="305"/>
      <c r="F187" s="305"/>
      <c r="G187" s="305"/>
      <c r="H187" s="305"/>
      <c r="I187" s="305"/>
      <c r="J187" s="305"/>
      <c r="K187" s="305"/>
      <c r="L187" s="305"/>
      <c r="M187" s="305"/>
      <c r="N187" s="305"/>
      <c r="O187" s="305"/>
      <c r="P187" s="308"/>
      <c r="Q187" s="308"/>
      <c r="R187" s="308"/>
      <c r="S187" s="308"/>
      <c r="T187" s="308"/>
      <c r="U187" s="308"/>
      <c r="V187" s="308"/>
      <c r="W187" s="308"/>
      <c r="X187" s="308"/>
      <c r="Y187" s="308"/>
      <c r="Z187" s="308"/>
    </row>
    <row r="188" ht="15.75" customHeight="1">
      <c r="A188" s="305"/>
      <c r="B188" s="306"/>
      <c r="C188" s="363"/>
      <c r="D188" s="305"/>
      <c r="E188" s="305"/>
      <c r="F188" s="305"/>
      <c r="G188" s="305"/>
      <c r="H188" s="305"/>
      <c r="I188" s="305"/>
      <c r="J188" s="305"/>
      <c r="K188" s="305"/>
      <c r="L188" s="305"/>
      <c r="M188" s="305"/>
      <c r="N188" s="305"/>
      <c r="O188" s="305"/>
      <c r="P188" s="308"/>
      <c r="Q188" s="308"/>
      <c r="R188" s="308"/>
      <c r="S188" s="308"/>
      <c r="T188" s="308"/>
      <c r="U188" s="308"/>
      <c r="V188" s="308"/>
      <c r="W188" s="308"/>
      <c r="X188" s="308"/>
      <c r="Y188" s="308"/>
      <c r="Z188" s="308"/>
    </row>
    <row r="189" ht="15.75" customHeight="1">
      <c r="A189" s="305"/>
      <c r="B189" s="306"/>
      <c r="C189" s="515"/>
      <c r="D189" s="305"/>
      <c r="E189" s="305"/>
      <c r="F189" s="305"/>
      <c r="G189" s="305"/>
      <c r="H189" s="305"/>
      <c r="I189" s="305"/>
      <c r="J189" s="305"/>
      <c r="K189" s="305"/>
      <c r="L189" s="305"/>
      <c r="M189" s="305"/>
      <c r="N189" s="305"/>
      <c r="O189" s="305"/>
      <c r="P189" s="308"/>
      <c r="Q189" s="308"/>
      <c r="R189" s="308"/>
      <c r="S189" s="308"/>
      <c r="T189" s="308"/>
      <c r="U189" s="308"/>
      <c r="V189" s="308"/>
      <c r="W189" s="308"/>
      <c r="X189" s="308"/>
      <c r="Y189" s="308"/>
      <c r="Z189" s="308"/>
    </row>
    <row r="190" ht="15.75" customHeight="1">
      <c r="A190" s="305"/>
      <c r="B190" s="306"/>
      <c r="C190" s="438"/>
      <c r="D190" s="305"/>
      <c r="E190" s="305"/>
      <c r="F190" s="305"/>
      <c r="G190" s="305"/>
      <c r="H190" s="305"/>
      <c r="I190" s="305"/>
      <c r="J190" s="305"/>
      <c r="K190" s="305"/>
      <c r="L190" s="305"/>
      <c r="M190" s="305"/>
      <c r="N190" s="305"/>
      <c r="O190" s="305"/>
      <c r="P190" s="308"/>
      <c r="Q190" s="308"/>
      <c r="R190" s="308"/>
      <c r="S190" s="308"/>
      <c r="T190" s="308"/>
      <c r="U190" s="308"/>
      <c r="V190" s="308"/>
      <c r="W190" s="308"/>
      <c r="X190" s="308"/>
      <c r="Y190" s="308"/>
      <c r="Z190" s="308"/>
    </row>
    <row r="191" ht="15.75" customHeight="1">
      <c r="A191" s="305"/>
      <c r="B191" s="306"/>
      <c r="C191" s="438"/>
      <c r="D191" s="305"/>
      <c r="E191" s="305"/>
      <c r="F191" s="305"/>
      <c r="G191" s="305"/>
      <c r="H191" s="305"/>
      <c r="I191" s="305"/>
      <c r="J191" s="305"/>
      <c r="K191" s="305"/>
      <c r="L191" s="305"/>
      <c r="M191" s="305"/>
      <c r="N191" s="305"/>
      <c r="O191" s="305"/>
      <c r="P191" s="308"/>
      <c r="Q191" s="308"/>
      <c r="R191" s="308"/>
      <c r="S191" s="308"/>
      <c r="T191" s="308"/>
      <c r="U191" s="308"/>
      <c r="V191" s="308"/>
      <c r="W191" s="308"/>
      <c r="X191" s="308"/>
      <c r="Y191" s="308"/>
      <c r="Z191" s="308"/>
    </row>
    <row r="192" ht="15.75" customHeight="1">
      <c r="A192" s="305"/>
      <c r="B192" s="306"/>
      <c r="C192" s="516"/>
      <c r="D192" s="305"/>
      <c r="E192" s="305"/>
      <c r="F192" s="305"/>
      <c r="G192" s="305"/>
      <c r="H192" s="305"/>
      <c r="I192" s="305"/>
      <c r="J192" s="305"/>
      <c r="K192" s="305"/>
      <c r="L192" s="305"/>
      <c r="M192" s="305"/>
      <c r="N192" s="305"/>
      <c r="O192" s="305"/>
      <c r="P192" s="308"/>
      <c r="Q192" s="308"/>
      <c r="R192" s="308"/>
      <c r="S192" s="308"/>
      <c r="T192" s="308"/>
      <c r="U192" s="308"/>
      <c r="V192" s="308"/>
      <c r="W192" s="308"/>
      <c r="X192" s="308"/>
      <c r="Y192" s="308"/>
      <c r="Z192" s="308"/>
    </row>
    <row r="193" ht="15.75" customHeight="1">
      <c r="A193" s="305"/>
      <c r="B193" s="306"/>
      <c r="C193" s="517"/>
      <c r="D193" s="305"/>
      <c r="E193" s="305"/>
      <c r="F193" s="305"/>
      <c r="G193" s="305"/>
      <c r="H193" s="305"/>
      <c r="I193" s="305"/>
      <c r="J193" s="305"/>
      <c r="K193" s="305"/>
      <c r="L193" s="305"/>
      <c r="M193" s="305"/>
      <c r="N193" s="305"/>
      <c r="O193" s="305"/>
      <c r="P193" s="308"/>
      <c r="Q193" s="308"/>
      <c r="R193" s="308"/>
      <c r="S193" s="308"/>
      <c r="T193" s="308"/>
      <c r="U193" s="308"/>
      <c r="V193" s="308"/>
      <c r="W193" s="308"/>
      <c r="X193" s="308"/>
      <c r="Y193" s="308"/>
      <c r="Z193" s="308"/>
    </row>
    <row r="194" ht="15.75" customHeight="1">
      <c r="A194" s="305"/>
      <c r="B194" s="306"/>
      <c r="C194" s="359"/>
      <c r="D194" s="305"/>
      <c r="E194" s="305"/>
      <c r="F194" s="305"/>
      <c r="G194" s="305"/>
      <c r="H194" s="305"/>
      <c r="I194" s="305"/>
      <c r="J194" s="305"/>
      <c r="K194" s="305"/>
      <c r="L194" s="305"/>
      <c r="M194" s="305"/>
      <c r="N194" s="305"/>
      <c r="O194" s="305"/>
      <c r="P194" s="308"/>
      <c r="Q194" s="308"/>
      <c r="R194" s="308"/>
      <c r="S194" s="308"/>
      <c r="T194" s="308"/>
      <c r="U194" s="308"/>
      <c r="V194" s="308"/>
      <c r="W194" s="308"/>
      <c r="X194" s="308"/>
      <c r="Y194" s="308"/>
      <c r="Z194" s="308"/>
    </row>
    <row r="195" ht="15.75" customHeight="1">
      <c r="A195" s="305"/>
      <c r="B195" s="306"/>
      <c r="C195" s="459"/>
      <c r="D195" s="305"/>
      <c r="E195" s="305"/>
      <c r="F195" s="305"/>
      <c r="G195" s="305"/>
      <c r="H195" s="305"/>
      <c r="I195" s="305"/>
      <c r="J195" s="305"/>
      <c r="K195" s="305"/>
      <c r="L195" s="305"/>
      <c r="M195" s="305"/>
      <c r="N195" s="305"/>
      <c r="O195" s="305"/>
      <c r="P195" s="308"/>
      <c r="Q195" s="308"/>
      <c r="R195" s="308"/>
      <c r="S195" s="308"/>
      <c r="T195" s="308"/>
      <c r="U195" s="308"/>
      <c r="V195" s="308"/>
      <c r="W195" s="308"/>
      <c r="X195" s="308"/>
      <c r="Y195" s="308"/>
      <c r="Z195" s="308"/>
    </row>
    <row r="196" ht="15.75" customHeight="1">
      <c r="A196" s="305"/>
      <c r="B196" s="306"/>
      <c r="C196" s="459"/>
      <c r="D196" s="305"/>
      <c r="E196" s="305"/>
      <c r="F196" s="305"/>
      <c r="G196" s="305"/>
      <c r="H196" s="305"/>
      <c r="I196" s="305"/>
      <c r="J196" s="305"/>
      <c r="K196" s="305"/>
      <c r="L196" s="305"/>
      <c r="M196" s="305"/>
      <c r="N196" s="305"/>
      <c r="O196" s="305"/>
      <c r="P196" s="308"/>
      <c r="Q196" s="308"/>
      <c r="R196" s="308"/>
      <c r="S196" s="308"/>
      <c r="T196" s="308"/>
      <c r="U196" s="308"/>
      <c r="V196" s="308"/>
      <c r="W196" s="308"/>
      <c r="X196" s="308"/>
      <c r="Y196" s="308"/>
      <c r="Z196" s="308"/>
    </row>
    <row r="197" ht="15.75" customHeight="1">
      <c r="A197" s="305"/>
      <c r="B197" s="306"/>
      <c r="C197" s="514"/>
      <c r="D197" s="305"/>
      <c r="E197" s="305"/>
      <c r="F197" s="305"/>
      <c r="G197" s="305"/>
      <c r="H197" s="305"/>
      <c r="I197" s="305"/>
      <c r="J197" s="305"/>
      <c r="K197" s="305"/>
      <c r="L197" s="305"/>
      <c r="M197" s="305"/>
      <c r="N197" s="305"/>
      <c r="O197" s="305"/>
      <c r="P197" s="308"/>
      <c r="Q197" s="308"/>
      <c r="R197" s="308"/>
      <c r="S197" s="308"/>
      <c r="T197" s="308"/>
      <c r="U197" s="308"/>
      <c r="V197" s="308"/>
      <c r="W197" s="308"/>
      <c r="X197" s="308"/>
      <c r="Y197" s="308"/>
      <c r="Z197" s="308"/>
    </row>
    <row r="198" ht="15.75" customHeight="1">
      <c r="A198" s="305"/>
      <c r="B198" s="306"/>
      <c r="C198" s="363"/>
      <c r="D198" s="305"/>
      <c r="E198" s="305"/>
      <c r="F198" s="305"/>
      <c r="G198" s="305"/>
      <c r="H198" s="305"/>
      <c r="I198" s="305"/>
      <c r="J198" s="305"/>
      <c r="K198" s="305"/>
      <c r="L198" s="305"/>
      <c r="M198" s="305"/>
      <c r="N198" s="305"/>
      <c r="O198" s="305"/>
      <c r="P198" s="308"/>
      <c r="Q198" s="308"/>
      <c r="R198" s="308"/>
      <c r="S198" s="308"/>
      <c r="T198" s="308"/>
      <c r="U198" s="308"/>
      <c r="V198" s="308"/>
      <c r="W198" s="308"/>
      <c r="X198" s="308"/>
      <c r="Y198" s="308"/>
      <c r="Z198" s="308"/>
    </row>
    <row r="199" ht="15.75" customHeight="1">
      <c r="A199" s="305"/>
      <c r="B199" s="306"/>
      <c r="C199" s="514"/>
      <c r="D199" s="305"/>
      <c r="E199" s="305"/>
      <c r="F199" s="305"/>
      <c r="G199" s="305"/>
      <c r="H199" s="305"/>
      <c r="I199" s="305"/>
      <c r="J199" s="305"/>
      <c r="K199" s="305"/>
      <c r="L199" s="305"/>
      <c r="M199" s="305"/>
      <c r="N199" s="305"/>
      <c r="O199" s="305"/>
      <c r="P199" s="308"/>
      <c r="Q199" s="308"/>
      <c r="R199" s="308"/>
      <c r="S199" s="308"/>
      <c r="T199" s="308"/>
      <c r="U199" s="308"/>
      <c r="V199" s="308"/>
      <c r="W199" s="308"/>
      <c r="X199" s="308"/>
      <c r="Y199" s="308"/>
      <c r="Z199" s="308"/>
    </row>
    <row r="200" ht="15.75" customHeight="1">
      <c r="A200" s="305"/>
      <c r="B200" s="306"/>
      <c r="C200" s="518"/>
      <c r="D200" s="305"/>
      <c r="E200" s="305"/>
      <c r="F200" s="305"/>
      <c r="G200" s="305"/>
      <c r="H200" s="305"/>
      <c r="I200" s="305"/>
      <c r="J200" s="305"/>
      <c r="K200" s="305"/>
      <c r="L200" s="305"/>
      <c r="M200" s="305"/>
      <c r="N200" s="305"/>
      <c r="O200" s="305"/>
      <c r="P200" s="308"/>
      <c r="Q200" s="308"/>
      <c r="R200" s="308"/>
      <c r="S200" s="308"/>
      <c r="T200" s="308"/>
      <c r="U200" s="308"/>
      <c r="V200" s="308"/>
      <c r="W200" s="308"/>
      <c r="X200" s="308"/>
      <c r="Y200" s="308"/>
      <c r="Z200" s="308"/>
    </row>
    <row r="201" ht="15.75" customHeight="1">
      <c r="A201" s="305"/>
      <c r="B201" s="306"/>
      <c r="C201" s="517"/>
      <c r="D201" s="305"/>
      <c r="E201" s="305"/>
      <c r="F201" s="305"/>
      <c r="G201" s="305"/>
      <c r="H201" s="305"/>
      <c r="I201" s="305"/>
      <c r="J201" s="305"/>
      <c r="K201" s="305"/>
      <c r="L201" s="305"/>
      <c r="M201" s="305"/>
      <c r="N201" s="305"/>
      <c r="O201" s="305"/>
      <c r="P201" s="308"/>
      <c r="Q201" s="308"/>
      <c r="R201" s="308"/>
      <c r="S201" s="308"/>
      <c r="T201" s="308"/>
      <c r="U201" s="308"/>
      <c r="V201" s="308"/>
      <c r="W201" s="308"/>
      <c r="X201" s="308"/>
      <c r="Y201" s="308"/>
      <c r="Z201" s="308"/>
    </row>
    <row r="202" ht="15.75" customHeight="1">
      <c r="A202" s="305"/>
      <c r="B202" s="306"/>
      <c r="C202" s="359"/>
      <c r="D202" s="305"/>
      <c r="E202" s="305"/>
      <c r="F202" s="305"/>
      <c r="G202" s="305"/>
      <c r="H202" s="305"/>
      <c r="I202" s="305"/>
      <c r="J202" s="305"/>
      <c r="K202" s="305"/>
      <c r="L202" s="305"/>
      <c r="M202" s="305"/>
      <c r="N202" s="305"/>
      <c r="O202" s="305"/>
      <c r="P202" s="308"/>
      <c r="Q202" s="308"/>
      <c r="R202" s="308"/>
      <c r="S202" s="308"/>
      <c r="T202" s="308"/>
      <c r="U202" s="308"/>
      <c r="V202" s="308"/>
      <c r="W202" s="308"/>
      <c r="X202" s="308"/>
      <c r="Y202" s="308"/>
      <c r="Z202" s="308"/>
    </row>
    <row r="203" ht="15.75" customHeight="1">
      <c r="A203" s="305"/>
      <c r="B203" s="306"/>
      <c r="C203" s="459"/>
      <c r="D203" s="305"/>
      <c r="E203" s="305"/>
      <c r="F203" s="305"/>
      <c r="G203" s="305"/>
      <c r="H203" s="305"/>
      <c r="I203" s="305"/>
      <c r="J203" s="305"/>
      <c r="K203" s="305"/>
      <c r="L203" s="305"/>
      <c r="M203" s="305"/>
      <c r="N203" s="305"/>
      <c r="O203" s="305"/>
      <c r="P203" s="308"/>
      <c r="Q203" s="308"/>
      <c r="R203" s="308"/>
      <c r="S203" s="308"/>
      <c r="T203" s="308"/>
      <c r="U203" s="308"/>
      <c r="V203" s="308"/>
      <c r="W203" s="308"/>
      <c r="X203" s="308"/>
      <c r="Y203" s="308"/>
      <c r="Z203" s="308"/>
    </row>
    <row r="204" ht="15.75" customHeight="1">
      <c r="A204" s="305"/>
      <c r="B204" s="306"/>
      <c r="C204" s="459"/>
      <c r="D204" s="305"/>
      <c r="E204" s="305"/>
      <c r="F204" s="305"/>
      <c r="G204" s="305"/>
      <c r="H204" s="305"/>
      <c r="I204" s="305"/>
      <c r="J204" s="305"/>
      <c r="K204" s="305"/>
      <c r="L204" s="305"/>
      <c r="M204" s="305"/>
      <c r="N204" s="305"/>
      <c r="O204" s="305"/>
      <c r="P204" s="308"/>
      <c r="Q204" s="308"/>
      <c r="R204" s="308"/>
      <c r="S204" s="308"/>
      <c r="T204" s="308"/>
      <c r="U204" s="308"/>
      <c r="V204" s="308"/>
      <c r="W204" s="308"/>
      <c r="X204" s="308"/>
      <c r="Y204" s="308"/>
      <c r="Z204" s="308"/>
    </row>
    <row r="205" ht="15.75" customHeight="1">
      <c r="A205" s="305"/>
      <c r="B205" s="306"/>
      <c r="C205" s="514"/>
      <c r="D205" s="305"/>
      <c r="E205" s="305"/>
      <c r="F205" s="305"/>
      <c r="G205" s="305"/>
      <c r="H205" s="305"/>
      <c r="I205" s="305"/>
      <c r="J205" s="305"/>
      <c r="K205" s="305"/>
      <c r="L205" s="305"/>
      <c r="M205" s="305"/>
      <c r="N205" s="305"/>
      <c r="O205" s="305"/>
      <c r="P205" s="308"/>
      <c r="Q205" s="308"/>
      <c r="R205" s="308"/>
      <c r="S205" s="308"/>
      <c r="T205" s="308"/>
      <c r="U205" s="308"/>
      <c r="V205" s="308"/>
      <c r="W205" s="308"/>
      <c r="X205" s="308"/>
      <c r="Y205" s="308"/>
      <c r="Z205" s="308"/>
    </row>
    <row r="206" ht="15.75" customHeight="1">
      <c r="A206" s="305"/>
      <c r="B206" s="306"/>
      <c r="C206" s="363"/>
      <c r="D206" s="305"/>
      <c r="E206" s="305"/>
      <c r="F206" s="305"/>
      <c r="G206" s="305"/>
      <c r="H206" s="305"/>
      <c r="I206" s="305"/>
      <c r="J206" s="305"/>
      <c r="K206" s="305"/>
      <c r="L206" s="305"/>
      <c r="M206" s="305"/>
      <c r="N206" s="305"/>
      <c r="O206" s="305"/>
      <c r="P206" s="308"/>
      <c r="Q206" s="308"/>
      <c r="R206" s="308"/>
      <c r="S206" s="308"/>
      <c r="T206" s="308"/>
      <c r="U206" s="308"/>
      <c r="V206" s="308"/>
      <c r="W206" s="308"/>
      <c r="X206" s="308"/>
      <c r="Y206" s="308"/>
      <c r="Z206" s="308"/>
    </row>
    <row r="207" ht="15.75" customHeight="1">
      <c r="A207" s="305"/>
      <c r="B207" s="306"/>
      <c r="C207" s="514"/>
      <c r="D207" s="305"/>
      <c r="E207" s="305"/>
      <c r="F207" s="305"/>
      <c r="G207" s="305"/>
      <c r="H207" s="305"/>
      <c r="I207" s="305"/>
      <c r="J207" s="305"/>
      <c r="K207" s="305"/>
      <c r="L207" s="305"/>
      <c r="M207" s="305"/>
      <c r="N207" s="305"/>
      <c r="O207" s="305"/>
      <c r="P207" s="308"/>
      <c r="Q207" s="308"/>
      <c r="R207" s="308"/>
      <c r="S207" s="308"/>
      <c r="T207" s="308"/>
      <c r="U207" s="308"/>
      <c r="V207" s="308"/>
      <c r="W207" s="308"/>
      <c r="X207" s="308"/>
      <c r="Y207" s="308"/>
      <c r="Z207" s="308"/>
    </row>
    <row r="208" ht="15.75" customHeight="1">
      <c r="A208" s="305"/>
      <c r="B208" s="306"/>
      <c r="C208" s="518"/>
      <c r="D208" s="305"/>
      <c r="E208" s="305"/>
      <c r="F208" s="305"/>
      <c r="G208" s="305"/>
      <c r="H208" s="305"/>
      <c r="I208" s="305"/>
      <c r="J208" s="305"/>
      <c r="K208" s="305"/>
      <c r="L208" s="305"/>
      <c r="M208" s="305"/>
      <c r="N208" s="305"/>
      <c r="O208" s="305"/>
      <c r="P208" s="308"/>
      <c r="Q208" s="308"/>
      <c r="R208" s="308"/>
      <c r="S208" s="308"/>
      <c r="T208" s="308"/>
      <c r="U208" s="308"/>
      <c r="V208" s="308"/>
      <c r="W208" s="308"/>
      <c r="X208" s="308"/>
      <c r="Y208" s="308"/>
      <c r="Z208" s="308"/>
    </row>
    <row r="209" ht="15.75" customHeight="1">
      <c r="A209" s="305"/>
      <c r="B209" s="306"/>
      <c r="C209" s="517"/>
      <c r="D209" s="305"/>
      <c r="E209" s="305"/>
      <c r="F209" s="305"/>
      <c r="G209" s="305"/>
      <c r="H209" s="305"/>
      <c r="I209" s="305"/>
      <c r="J209" s="305"/>
      <c r="K209" s="305"/>
      <c r="L209" s="305"/>
      <c r="M209" s="305"/>
      <c r="N209" s="305"/>
      <c r="O209" s="305"/>
      <c r="P209" s="308"/>
      <c r="Q209" s="308"/>
      <c r="R209" s="308"/>
      <c r="S209" s="308"/>
      <c r="T209" s="308"/>
      <c r="U209" s="308"/>
      <c r="V209" s="308"/>
      <c r="W209" s="308"/>
      <c r="X209" s="308"/>
      <c r="Y209" s="308"/>
      <c r="Z209" s="308"/>
    </row>
    <row r="210" ht="15.75" customHeight="1">
      <c r="A210" s="305"/>
      <c r="B210" s="306"/>
      <c r="C210" s="359"/>
      <c r="D210" s="305"/>
      <c r="E210" s="305"/>
      <c r="F210" s="305"/>
      <c r="G210" s="305"/>
      <c r="H210" s="305"/>
      <c r="I210" s="305"/>
      <c r="J210" s="305"/>
      <c r="K210" s="305"/>
      <c r="L210" s="305"/>
      <c r="M210" s="305"/>
      <c r="N210" s="305"/>
      <c r="O210" s="305"/>
      <c r="P210" s="308"/>
      <c r="Q210" s="308"/>
      <c r="R210" s="308"/>
      <c r="S210" s="308"/>
      <c r="T210" s="308"/>
      <c r="U210" s="308"/>
      <c r="V210" s="308"/>
      <c r="W210" s="308"/>
      <c r="X210" s="308"/>
      <c r="Y210" s="308"/>
      <c r="Z210" s="308"/>
    </row>
    <row r="211" ht="15.75" customHeight="1">
      <c r="A211" s="305"/>
      <c r="B211" s="306"/>
      <c r="C211" s="459"/>
      <c r="D211" s="305"/>
      <c r="E211" s="305"/>
      <c r="F211" s="305"/>
      <c r="G211" s="305"/>
      <c r="H211" s="305"/>
      <c r="I211" s="305"/>
      <c r="J211" s="305"/>
      <c r="K211" s="305"/>
      <c r="L211" s="305"/>
      <c r="M211" s="305"/>
      <c r="N211" s="305"/>
      <c r="O211" s="305"/>
      <c r="P211" s="308"/>
      <c r="Q211" s="308"/>
      <c r="R211" s="308"/>
      <c r="S211" s="308"/>
      <c r="T211" s="308"/>
      <c r="U211" s="308"/>
      <c r="V211" s="308"/>
      <c r="W211" s="308"/>
      <c r="X211" s="308"/>
      <c r="Y211" s="308"/>
      <c r="Z211" s="308"/>
    </row>
    <row r="212" ht="15.75" customHeight="1">
      <c r="A212" s="305"/>
      <c r="B212" s="306"/>
      <c r="C212" s="459"/>
      <c r="D212" s="305"/>
      <c r="E212" s="305"/>
      <c r="F212" s="305"/>
      <c r="G212" s="305"/>
      <c r="H212" s="305"/>
      <c r="I212" s="305"/>
      <c r="J212" s="305"/>
      <c r="K212" s="305"/>
      <c r="L212" s="305"/>
      <c r="M212" s="305"/>
      <c r="N212" s="305"/>
      <c r="O212" s="305"/>
      <c r="P212" s="308"/>
      <c r="Q212" s="308"/>
      <c r="R212" s="308"/>
      <c r="S212" s="308"/>
      <c r="T212" s="308"/>
      <c r="U212" s="308"/>
      <c r="V212" s="308"/>
      <c r="W212" s="308"/>
      <c r="X212" s="308"/>
      <c r="Y212" s="308"/>
      <c r="Z212" s="308"/>
    </row>
    <row r="213" ht="15.75" customHeight="1">
      <c r="A213" s="305"/>
      <c r="B213" s="306"/>
      <c r="C213" s="514"/>
      <c r="D213" s="305"/>
      <c r="E213" s="305"/>
      <c r="F213" s="305"/>
      <c r="G213" s="305"/>
      <c r="H213" s="305"/>
      <c r="I213" s="305"/>
      <c r="J213" s="305"/>
      <c r="K213" s="305"/>
      <c r="L213" s="305"/>
      <c r="M213" s="305"/>
      <c r="N213" s="305"/>
      <c r="O213" s="305"/>
      <c r="P213" s="308"/>
      <c r="Q213" s="308"/>
      <c r="R213" s="308"/>
      <c r="S213" s="308"/>
      <c r="T213" s="308"/>
      <c r="U213" s="308"/>
      <c r="V213" s="308"/>
      <c r="W213" s="308"/>
      <c r="X213" s="308"/>
      <c r="Y213" s="308"/>
      <c r="Z213" s="308"/>
    </row>
    <row r="214" ht="15.75" customHeight="1">
      <c r="A214" s="305"/>
      <c r="B214" s="306"/>
      <c r="C214" s="363"/>
      <c r="D214" s="305"/>
      <c r="E214" s="305"/>
      <c r="F214" s="305"/>
      <c r="G214" s="305"/>
      <c r="H214" s="305"/>
      <c r="I214" s="305"/>
      <c r="J214" s="305"/>
      <c r="K214" s="305"/>
      <c r="L214" s="305"/>
      <c r="M214" s="305"/>
      <c r="N214" s="305"/>
      <c r="O214" s="305"/>
      <c r="P214" s="308"/>
      <c r="Q214" s="308"/>
      <c r="R214" s="308"/>
      <c r="S214" s="308"/>
      <c r="T214" s="308"/>
      <c r="U214" s="308"/>
      <c r="V214" s="308"/>
      <c r="W214" s="308"/>
      <c r="X214" s="308"/>
      <c r="Y214" s="308"/>
      <c r="Z214" s="308"/>
    </row>
    <row r="215" ht="15.75" customHeight="1">
      <c r="A215" s="305"/>
      <c r="B215" s="306"/>
      <c r="C215" s="514"/>
      <c r="D215" s="305"/>
      <c r="E215" s="305"/>
      <c r="F215" s="305"/>
      <c r="G215" s="305"/>
      <c r="H215" s="305"/>
      <c r="I215" s="305"/>
      <c r="J215" s="305"/>
      <c r="K215" s="305"/>
      <c r="L215" s="305"/>
      <c r="M215" s="305"/>
      <c r="N215" s="305"/>
      <c r="O215" s="305"/>
      <c r="P215" s="308"/>
      <c r="Q215" s="308"/>
      <c r="R215" s="308"/>
      <c r="S215" s="308"/>
      <c r="T215" s="308"/>
      <c r="U215" s="308"/>
      <c r="V215" s="308"/>
      <c r="W215" s="308"/>
      <c r="X215" s="308"/>
      <c r="Y215" s="308"/>
      <c r="Z215" s="308"/>
    </row>
    <row r="216" ht="15.75" customHeight="1">
      <c r="A216" s="305"/>
      <c r="B216" s="306"/>
      <c r="C216" s="457"/>
      <c r="D216" s="305"/>
      <c r="E216" s="305"/>
      <c r="F216" s="305"/>
      <c r="G216" s="305"/>
      <c r="H216" s="305"/>
      <c r="I216" s="305"/>
      <c r="J216" s="305"/>
      <c r="K216" s="305"/>
      <c r="L216" s="305"/>
      <c r="M216" s="305"/>
      <c r="N216" s="305"/>
      <c r="O216" s="305"/>
      <c r="P216" s="308"/>
      <c r="Q216" s="308"/>
      <c r="R216" s="308"/>
      <c r="S216" s="308"/>
      <c r="T216" s="308"/>
      <c r="U216" s="308"/>
      <c r="V216" s="308"/>
      <c r="W216" s="308"/>
      <c r="X216" s="308"/>
      <c r="Y216" s="308"/>
      <c r="Z216" s="308"/>
    </row>
    <row r="217" ht="15.75" customHeight="1">
      <c r="A217" s="305"/>
      <c r="B217" s="306"/>
      <c r="C217" s="517"/>
      <c r="D217" s="305"/>
      <c r="E217" s="305"/>
      <c r="F217" s="305"/>
      <c r="G217" s="305"/>
      <c r="H217" s="305"/>
      <c r="I217" s="305"/>
      <c r="J217" s="305"/>
      <c r="K217" s="305"/>
      <c r="L217" s="305"/>
      <c r="M217" s="305"/>
      <c r="N217" s="305"/>
      <c r="O217" s="305"/>
      <c r="P217" s="308"/>
      <c r="Q217" s="308"/>
      <c r="R217" s="308"/>
      <c r="S217" s="308"/>
      <c r="T217" s="308"/>
      <c r="U217" s="308"/>
      <c r="V217" s="308"/>
      <c r="W217" s="308"/>
      <c r="X217" s="308"/>
      <c r="Y217" s="308"/>
      <c r="Z217" s="308"/>
    </row>
    <row r="218" ht="15.75" customHeight="1">
      <c r="A218" s="305"/>
      <c r="B218" s="306"/>
      <c r="C218" s="359"/>
      <c r="D218" s="305"/>
      <c r="E218" s="305"/>
      <c r="F218" s="305"/>
      <c r="G218" s="305"/>
      <c r="H218" s="305"/>
      <c r="I218" s="305"/>
      <c r="J218" s="305"/>
      <c r="K218" s="305"/>
      <c r="L218" s="305"/>
      <c r="M218" s="305"/>
      <c r="N218" s="305"/>
      <c r="O218" s="305"/>
      <c r="P218" s="308"/>
      <c r="Q218" s="308"/>
      <c r="R218" s="308"/>
      <c r="S218" s="308"/>
      <c r="T218" s="308"/>
      <c r="U218" s="308"/>
      <c r="V218" s="308"/>
      <c r="W218" s="308"/>
      <c r="X218" s="308"/>
      <c r="Y218" s="308"/>
      <c r="Z218" s="308"/>
    </row>
    <row r="219" ht="15.75" customHeight="1">
      <c r="A219" s="305"/>
      <c r="B219" s="306"/>
      <c r="C219" s="459"/>
      <c r="D219" s="305"/>
      <c r="E219" s="305"/>
      <c r="F219" s="305"/>
      <c r="G219" s="305"/>
      <c r="H219" s="305"/>
      <c r="I219" s="305"/>
      <c r="J219" s="305"/>
      <c r="K219" s="305"/>
      <c r="L219" s="305"/>
      <c r="M219" s="305"/>
      <c r="N219" s="305"/>
      <c r="O219" s="305"/>
      <c r="P219" s="308"/>
      <c r="Q219" s="308"/>
      <c r="R219" s="308"/>
      <c r="S219" s="308"/>
      <c r="T219" s="308"/>
      <c r="U219" s="308"/>
      <c r="V219" s="308"/>
      <c r="W219" s="308"/>
      <c r="X219" s="308"/>
      <c r="Y219" s="308"/>
      <c r="Z219" s="308"/>
    </row>
    <row r="220" ht="15.75" customHeight="1">
      <c r="A220" s="305"/>
      <c r="B220" s="306"/>
      <c r="C220" s="459"/>
      <c r="D220" s="305"/>
      <c r="E220" s="305"/>
      <c r="F220" s="305"/>
      <c r="G220" s="305"/>
      <c r="H220" s="305"/>
      <c r="I220" s="305"/>
      <c r="J220" s="305"/>
      <c r="K220" s="305"/>
      <c r="L220" s="305"/>
      <c r="M220" s="305"/>
      <c r="N220" s="305"/>
      <c r="O220" s="305"/>
      <c r="P220" s="308"/>
      <c r="Q220" s="308"/>
      <c r="R220" s="308"/>
      <c r="S220" s="308"/>
      <c r="T220" s="308"/>
      <c r="U220" s="308"/>
      <c r="V220" s="308"/>
      <c r="W220" s="308"/>
      <c r="X220" s="308"/>
      <c r="Y220" s="308"/>
      <c r="Z220" s="308"/>
    </row>
    <row r="221" ht="15.75" customHeight="1">
      <c r="A221" s="305"/>
      <c r="B221" s="306"/>
      <c r="C221" s="514"/>
      <c r="D221" s="305"/>
      <c r="E221" s="305"/>
      <c r="F221" s="305"/>
      <c r="G221" s="305"/>
      <c r="H221" s="305"/>
      <c r="I221" s="305"/>
      <c r="J221" s="305"/>
      <c r="K221" s="305"/>
      <c r="L221" s="305"/>
      <c r="M221" s="305"/>
      <c r="N221" s="305"/>
      <c r="O221" s="305"/>
      <c r="P221" s="308"/>
      <c r="Q221" s="308"/>
      <c r="R221" s="308"/>
      <c r="S221" s="308"/>
      <c r="T221" s="308"/>
      <c r="U221" s="308"/>
      <c r="V221" s="308"/>
      <c r="W221" s="308"/>
      <c r="X221" s="308"/>
      <c r="Y221" s="308"/>
      <c r="Z221" s="308"/>
    </row>
    <row r="222" ht="15.75" customHeight="1">
      <c r="A222" s="305"/>
      <c r="B222" s="306"/>
      <c r="C222" s="363"/>
      <c r="D222" s="305"/>
      <c r="E222" s="305"/>
      <c r="F222" s="305"/>
      <c r="G222" s="305"/>
      <c r="H222" s="305"/>
      <c r="I222" s="305"/>
      <c r="J222" s="305"/>
      <c r="K222" s="305"/>
      <c r="L222" s="305"/>
      <c r="M222" s="305"/>
      <c r="N222" s="305"/>
      <c r="O222" s="305"/>
      <c r="P222" s="308"/>
      <c r="Q222" s="308"/>
      <c r="R222" s="308"/>
      <c r="S222" s="308"/>
      <c r="T222" s="308"/>
      <c r="U222" s="308"/>
      <c r="V222" s="308"/>
      <c r="W222" s="308"/>
      <c r="X222" s="308"/>
      <c r="Y222" s="308"/>
      <c r="Z222" s="308"/>
    </row>
    <row r="223" ht="15.75" customHeight="1">
      <c r="A223" s="305"/>
      <c r="B223" s="306"/>
      <c r="C223" s="514"/>
      <c r="D223" s="305"/>
      <c r="E223" s="305"/>
      <c r="F223" s="305"/>
      <c r="G223" s="305"/>
      <c r="H223" s="305"/>
      <c r="I223" s="305"/>
      <c r="J223" s="305"/>
      <c r="K223" s="305"/>
      <c r="L223" s="305"/>
      <c r="M223" s="305"/>
      <c r="N223" s="305"/>
      <c r="O223" s="305"/>
      <c r="P223" s="308"/>
      <c r="Q223" s="308"/>
      <c r="R223" s="308"/>
      <c r="S223" s="308"/>
      <c r="T223" s="308"/>
      <c r="U223" s="308"/>
      <c r="V223" s="308"/>
      <c r="W223" s="308"/>
      <c r="X223" s="308"/>
      <c r="Y223" s="308"/>
      <c r="Z223" s="308"/>
    </row>
    <row r="224" ht="15.75" customHeight="1">
      <c r="A224" s="305"/>
      <c r="B224" s="306"/>
      <c r="C224" s="457"/>
      <c r="D224" s="305"/>
      <c r="E224" s="305"/>
      <c r="F224" s="305"/>
      <c r="G224" s="305"/>
      <c r="H224" s="305"/>
      <c r="I224" s="305"/>
      <c r="J224" s="305"/>
      <c r="K224" s="305"/>
      <c r="L224" s="305"/>
      <c r="M224" s="305"/>
      <c r="N224" s="305"/>
      <c r="O224" s="305"/>
      <c r="P224" s="308"/>
      <c r="Q224" s="308"/>
      <c r="R224" s="308"/>
      <c r="S224" s="308"/>
      <c r="T224" s="308"/>
      <c r="U224" s="308"/>
      <c r="V224" s="308"/>
      <c r="W224" s="308"/>
      <c r="X224" s="308"/>
      <c r="Y224" s="308"/>
      <c r="Z224" s="308"/>
    </row>
    <row r="225" ht="15.75" customHeight="1">
      <c r="A225" s="305"/>
      <c r="B225" s="306"/>
      <c r="C225" s="519"/>
      <c r="D225" s="305"/>
      <c r="E225" s="305"/>
      <c r="F225" s="305"/>
      <c r="G225" s="305"/>
      <c r="H225" s="305"/>
      <c r="I225" s="305"/>
      <c r="J225" s="305"/>
      <c r="K225" s="305"/>
      <c r="L225" s="305"/>
      <c r="M225" s="305"/>
      <c r="N225" s="305"/>
      <c r="O225" s="305"/>
      <c r="P225" s="308"/>
      <c r="Q225" s="308"/>
      <c r="R225" s="308"/>
      <c r="S225" s="308"/>
      <c r="T225" s="308"/>
      <c r="U225" s="308"/>
      <c r="V225" s="308"/>
      <c r="W225" s="308"/>
      <c r="X225" s="308"/>
      <c r="Y225" s="308"/>
      <c r="Z225" s="308"/>
    </row>
    <row r="226" ht="15.75" customHeight="1">
      <c r="A226" s="305"/>
      <c r="B226" s="306"/>
      <c r="C226" s="520"/>
      <c r="D226" s="305"/>
      <c r="E226" s="305"/>
      <c r="F226" s="305"/>
      <c r="G226" s="305"/>
      <c r="H226" s="305"/>
      <c r="I226" s="305"/>
      <c r="J226" s="305"/>
      <c r="K226" s="305"/>
      <c r="L226" s="305"/>
      <c r="M226" s="305"/>
      <c r="N226" s="305"/>
      <c r="O226" s="305"/>
      <c r="P226" s="308"/>
      <c r="Q226" s="308"/>
      <c r="R226" s="308"/>
      <c r="S226" s="308"/>
      <c r="T226" s="308"/>
      <c r="U226" s="308"/>
      <c r="V226" s="308"/>
      <c r="W226" s="308"/>
      <c r="X226" s="308"/>
      <c r="Y226" s="308"/>
      <c r="Z226" s="308"/>
    </row>
    <row r="227" ht="15.75" customHeight="1">
      <c r="A227" s="305"/>
      <c r="B227" s="306"/>
      <c r="C227" s="521"/>
      <c r="D227" s="305"/>
      <c r="E227" s="305"/>
      <c r="F227" s="305"/>
      <c r="G227" s="305"/>
      <c r="H227" s="305"/>
      <c r="I227" s="305"/>
      <c r="J227" s="305"/>
      <c r="K227" s="305"/>
      <c r="L227" s="305"/>
      <c r="M227" s="305"/>
      <c r="N227" s="305"/>
      <c r="O227" s="305"/>
      <c r="P227" s="308"/>
      <c r="Q227" s="308"/>
      <c r="R227" s="308"/>
      <c r="S227" s="308"/>
      <c r="T227" s="308"/>
      <c r="U227" s="308"/>
      <c r="V227" s="308"/>
      <c r="W227" s="308"/>
      <c r="X227" s="308"/>
      <c r="Y227" s="308"/>
      <c r="Z227" s="308"/>
    </row>
    <row r="228" ht="15.75" customHeight="1">
      <c r="A228" s="305"/>
      <c r="B228" s="306"/>
      <c r="C228" s="359"/>
      <c r="D228" s="305"/>
      <c r="E228" s="305"/>
      <c r="F228" s="305"/>
      <c r="G228" s="305"/>
      <c r="H228" s="305"/>
      <c r="I228" s="305"/>
      <c r="J228" s="305"/>
      <c r="K228" s="305"/>
      <c r="L228" s="305"/>
      <c r="M228" s="305"/>
      <c r="N228" s="305"/>
      <c r="O228" s="305"/>
      <c r="P228" s="308"/>
      <c r="Q228" s="308"/>
      <c r="R228" s="308"/>
      <c r="S228" s="308"/>
      <c r="T228" s="308"/>
      <c r="U228" s="308"/>
      <c r="V228" s="308"/>
      <c r="W228" s="308"/>
      <c r="X228" s="308"/>
      <c r="Y228" s="308"/>
      <c r="Z228" s="308"/>
    </row>
    <row r="229" ht="15.75" customHeight="1">
      <c r="A229" s="305"/>
      <c r="B229" s="306"/>
      <c r="C229" s="363"/>
      <c r="D229" s="305"/>
      <c r="E229" s="305"/>
      <c r="F229" s="305"/>
      <c r="G229" s="305"/>
      <c r="H229" s="305"/>
      <c r="I229" s="305"/>
      <c r="J229" s="305"/>
      <c r="K229" s="305"/>
      <c r="L229" s="305"/>
      <c r="M229" s="305"/>
      <c r="N229" s="305"/>
      <c r="O229" s="305"/>
      <c r="P229" s="308"/>
      <c r="Q229" s="308"/>
      <c r="R229" s="308"/>
      <c r="S229" s="308"/>
      <c r="T229" s="308"/>
      <c r="U229" s="308"/>
      <c r="V229" s="308"/>
      <c r="W229" s="308"/>
      <c r="X229" s="308"/>
      <c r="Y229" s="308"/>
      <c r="Z229" s="308"/>
    </row>
    <row r="230" ht="15.75" customHeight="1">
      <c r="A230" s="305"/>
      <c r="B230" s="306"/>
      <c r="C230" s="459"/>
      <c r="D230" s="305"/>
      <c r="E230" s="305"/>
      <c r="F230" s="305"/>
      <c r="G230" s="305"/>
      <c r="H230" s="305"/>
      <c r="I230" s="305"/>
      <c r="J230" s="305"/>
      <c r="K230" s="305"/>
      <c r="L230" s="305"/>
      <c r="M230" s="305"/>
      <c r="N230" s="305"/>
      <c r="O230" s="305"/>
      <c r="P230" s="308"/>
      <c r="Q230" s="308"/>
      <c r="R230" s="308"/>
      <c r="S230" s="308"/>
      <c r="T230" s="308"/>
      <c r="U230" s="308"/>
      <c r="V230" s="308"/>
      <c r="W230" s="308"/>
      <c r="X230" s="308"/>
      <c r="Y230" s="308"/>
      <c r="Z230" s="308"/>
    </row>
    <row r="231" ht="15.75" customHeight="1">
      <c r="A231" s="305"/>
      <c r="B231" s="306"/>
      <c r="C231" s="514"/>
      <c r="D231" s="305"/>
      <c r="E231" s="305"/>
      <c r="F231" s="305"/>
      <c r="G231" s="305"/>
      <c r="H231" s="305"/>
      <c r="I231" s="305"/>
      <c r="J231" s="305"/>
      <c r="K231" s="305"/>
      <c r="L231" s="305"/>
      <c r="M231" s="305"/>
      <c r="N231" s="305"/>
      <c r="O231" s="305"/>
      <c r="P231" s="308"/>
      <c r="Q231" s="308"/>
      <c r="R231" s="308"/>
      <c r="S231" s="308"/>
      <c r="T231" s="308"/>
      <c r="U231" s="308"/>
      <c r="V231" s="308"/>
      <c r="W231" s="308"/>
      <c r="X231" s="308"/>
      <c r="Y231" s="308"/>
      <c r="Z231" s="308"/>
    </row>
    <row r="232" ht="15.75" customHeight="1">
      <c r="A232" s="305"/>
      <c r="B232" s="306"/>
      <c r="C232" s="363"/>
      <c r="D232" s="305"/>
      <c r="E232" s="305"/>
      <c r="F232" s="305"/>
      <c r="G232" s="305"/>
      <c r="H232" s="305"/>
      <c r="I232" s="305"/>
      <c r="J232" s="305"/>
      <c r="K232" s="305"/>
      <c r="L232" s="305"/>
      <c r="M232" s="305"/>
      <c r="N232" s="305"/>
      <c r="O232" s="305"/>
      <c r="P232" s="308"/>
      <c r="Q232" s="308"/>
      <c r="R232" s="308"/>
      <c r="S232" s="308"/>
      <c r="T232" s="308"/>
      <c r="U232" s="308"/>
      <c r="V232" s="308"/>
      <c r="W232" s="308"/>
      <c r="X232" s="308"/>
      <c r="Y232" s="308"/>
      <c r="Z232" s="308"/>
    </row>
    <row r="233" ht="15.75" customHeight="1">
      <c r="A233" s="305"/>
      <c r="B233" s="306"/>
      <c r="C233" s="515"/>
      <c r="D233" s="305"/>
      <c r="E233" s="305"/>
      <c r="F233" s="305"/>
      <c r="G233" s="305"/>
      <c r="H233" s="305"/>
      <c r="I233" s="305"/>
      <c r="J233" s="305"/>
      <c r="K233" s="305"/>
      <c r="L233" s="305"/>
      <c r="M233" s="305"/>
      <c r="N233" s="305"/>
      <c r="O233" s="305"/>
      <c r="P233" s="308"/>
      <c r="Q233" s="308"/>
      <c r="R233" s="308"/>
      <c r="S233" s="308"/>
      <c r="T233" s="308"/>
      <c r="U233" s="308"/>
      <c r="V233" s="308"/>
      <c r="W233" s="308"/>
      <c r="X233" s="308"/>
      <c r="Y233" s="308"/>
      <c r="Z233" s="308"/>
    </row>
    <row r="234" ht="15.75" customHeight="1">
      <c r="A234" s="305"/>
      <c r="B234" s="306"/>
      <c r="C234" s="521"/>
      <c r="D234" s="305"/>
      <c r="E234" s="305"/>
      <c r="F234" s="305"/>
      <c r="G234" s="305"/>
      <c r="H234" s="305"/>
      <c r="I234" s="305"/>
      <c r="J234" s="305"/>
      <c r="K234" s="305"/>
      <c r="L234" s="305"/>
      <c r="M234" s="305"/>
      <c r="N234" s="305"/>
      <c r="O234" s="305"/>
      <c r="P234" s="308"/>
      <c r="Q234" s="308"/>
      <c r="R234" s="308"/>
      <c r="S234" s="308"/>
      <c r="T234" s="308"/>
      <c r="U234" s="308"/>
      <c r="V234" s="308"/>
      <c r="W234" s="308"/>
      <c r="X234" s="308"/>
      <c r="Y234" s="308"/>
      <c r="Z234" s="308"/>
    </row>
    <row r="235" ht="15.75" customHeight="1">
      <c r="A235" s="305"/>
      <c r="B235" s="306"/>
      <c r="C235" s="359"/>
      <c r="D235" s="305"/>
      <c r="E235" s="305"/>
      <c r="F235" s="305"/>
      <c r="G235" s="305"/>
      <c r="H235" s="305"/>
      <c r="I235" s="305"/>
      <c r="J235" s="305"/>
      <c r="K235" s="305"/>
      <c r="L235" s="305"/>
      <c r="M235" s="305"/>
      <c r="N235" s="305"/>
      <c r="O235" s="305"/>
      <c r="P235" s="308"/>
      <c r="Q235" s="308"/>
      <c r="R235" s="308"/>
      <c r="S235" s="308"/>
      <c r="T235" s="308"/>
      <c r="U235" s="308"/>
      <c r="V235" s="308"/>
      <c r="W235" s="308"/>
      <c r="X235" s="308"/>
      <c r="Y235" s="308"/>
      <c r="Z235" s="308"/>
    </row>
    <row r="236" ht="15.75" customHeight="1">
      <c r="A236" s="305"/>
      <c r="B236" s="306"/>
      <c r="C236" s="359"/>
      <c r="D236" s="305"/>
      <c r="E236" s="305"/>
      <c r="F236" s="305"/>
      <c r="G236" s="305"/>
      <c r="H236" s="305"/>
      <c r="I236" s="305"/>
      <c r="J236" s="305"/>
      <c r="K236" s="305"/>
      <c r="L236" s="305"/>
      <c r="M236" s="305"/>
      <c r="N236" s="305"/>
      <c r="O236" s="305"/>
      <c r="P236" s="308"/>
      <c r="Q236" s="308"/>
      <c r="R236" s="308"/>
      <c r="S236" s="308"/>
      <c r="T236" s="308"/>
      <c r="U236" s="308"/>
      <c r="V236" s="308"/>
      <c r="W236" s="308"/>
      <c r="X236" s="308"/>
      <c r="Y236" s="308"/>
      <c r="Z236" s="308"/>
    </row>
    <row r="237" ht="15.75" customHeight="1">
      <c r="A237" s="305"/>
      <c r="B237" s="306"/>
      <c r="C237" s="359"/>
      <c r="D237" s="305"/>
      <c r="E237" s="305"/>
      <c r="F237" s="305"/>
      <c r="G237" s="305"/>
      <c r="H237" s="305"/>
      <c r="I237" s="305"/>
      <c r="J237" s="305"/>
      <c r="K237" s="305"/>
      <c r="L237" s="305"/>
      <c r="M237" s="305"/>
      <c r="N237" s="305"/>
      <c r="O237" s="305"/>
      <c r="P237" s="308"/>
      <c r="Q237" s="308"/>
      <c r="R237" s="308"/>
      <c r="S237" s="308"/>
      <c r="T237" s="308"/>
      <c r="U237" s="308"/>
      <c r="V237" s="308"/>
      <c r="W237" s="308"/>
      <c r="X237" s="308"/>
      <c r="Y237" s="308"/>
      <c r="Z237" s="308"/>
    </row>
    <row r="238" ht="15.75" customHeight="1">
      <c r="A238" s="305"/>
      <c r="B238" s="306"/>
      <c r="C238" s="514"/>
      <c r="D238" s="305"/>
      <c r="E238" s="305"/>
      <c r="F238" s="305"/>
      <c r="G238" s="305"/>
      <c r="H238" s="305"/>
      <c r="I238" s="305"/>
      <c r="J238" s="305"/>
      <c r="K238" s="305"/>
      <c r="L238" s="305"/>
      <c r="M238" s="305"/>
      <c r="N238" s="305"/>
      <c r="O238" s="305"/>
      <c r="P238" s="308"/>
      <c r="Q238" s="308"/>
      <c r="R238" s="308"/>
      <c r="S238" s="308"/>
      <c r="T238" s="308"/>
      <c r="U238" s="308"/>
      <c r="V238" s="308"/>
      <c r="W238" s="308"/>
      <c r="X238" s="308"/>
      <c r="Y238" s="308"/>
      <c r="Z238" s="308"/>
    </row>
    <row r="239" ht="15.75" customHeight="1">
      <c r="A239" s="305"/>
      <c r="B239" s="306"/>
      <c r="C239" s="363"/>
      <c r="D239" s="305"/>
      <c r="E239" s="305"/>
      <c r="F239" s="305"/>
      <c r="G239" s="305"/>
      <c r="H239" s="305"/>
      <c r="I239" s="305"/>
      <c r="J239" s="305"/>
      <c r="K239" s="305"/>
      <c r="L239" s="305"/>
      <c r="M239" s="305"/>
      <c r="N239" s="305"/>
      <c r="O239" s="305"/>
      <c r="P239" s="308"/>
      <c r="Q239" s="308"/>
      <c r="R239" s="308"/>
      <c r="S239" s="308"/>
      <c r="T239" s="308"/>
      <c r="U239" s="308"/>
      <c r="V239" s="308"/>
      <c r="W239" s="308"/>
      <c r="X239" s="308"/>
      <c r="Y239" s="308"/>
      <c r="Z239" s="308"/>
    </row>
    <row r="240" ht="15.75" customHeight="1">
      <c r="A240" s="305"/>
      <c r="B240" s="306"/>
      <c r="C240" s="514"/>
      <c r="D240" s="305"/>
      <c r="E240" s="305"/>
      <c r="F240" s="305"/>
      <c r="G240" s="305"/>
      <c r="H240" s="305"/>
      <c r="I240" s="305"/>
      <c r="J240" s="305"/>
      <c r="K240" s="305"/>
      <c r="L240" s="305"/>
      <c r="M240" s="305"/>
      <c r="N240" s="305"/>
      <c r="O240" s="305"/>
      <c r="P240" s="308"/>
      <c r="Q240" s="308"/>
      <c r="R240" s="308"/>
      <c r="S240" s="308"/>
      <c r="T240" s="308"/>
      <c r="U240" s="308"/>
      <c r="V240" s="308"/>
      <c r="W240" s="308"/>
      <c r="X240" s="308"/>
      <c r="Y240" s="308"/>
      <c r="Z240" s="308"/>
    </row>
    <row r="241" ht="15.75" customHeight="1">
      <c r="A241" s="305"/>
      <c r="B241" s="306"/>
      <c r="C241" s="522"/>
      <c r="D241" s="305"/>
      <c r="E241" s="305"/>
      <c r="F241" s="305"/>
      <c r="G241" s="305"/>
      <c r="H241" s="305"/>
      <c r="I241" s="305"/>
      <c r="J241" s="305"/>
      <c r="K241" s="305"/>
      <c r="L241" s="305"/>
      <c r="M241" s="305"/>
      <c r="N241" s="305"/>
      <c r="O241" s="305"/>
      <c r="P241" s="308"/>
      <c r="Q241" s="308"/>
      <c r="R241" s="308"/>
      <c r="S241" s="308"/>
      <c r="T241" s="308"/>
      <c r="U241" s="308"/>
      <c r="V241" s="308"/>
      <c r="W241" s="308"/>
      <c r="X241" s="308"/>
      <c r="Y241" s="308"/>
      <c r="Z241" s="308"/>
    </row>
    <row r="242" ht="15.75" customHeight="1">
      <c r="A242" s="305"/>
      <c r="B242" s="306"/>
      <c r="C242" s="519"/>
      <c r="D242" s="305"/>
      <c r="E242" s="305"/>
      <c r="F242" s="305"/>
      <c r="G242" s="305"/>
      <c r="H242" s="305"/>
      <c r="I242" s="305"/>
      <c r="J242" s="305"/>
      <c r="K242" s="305"/>
      <c r="L242" s="305"/>
      <c r="M242" s="305"/>
      <c r="N242" s="305"/>
      <c r="O242" s="305"/>
      <c r="P242" s="308"/>
      <c r="Q242" s="308"/>
      <c r="R242" s="308"/>
      <c r="S242" s="308"/>
      <c r="T242" s="308"/>
      <c r="U242" s="308"/>
      <c r="V242" s="308"/>
      <c r="W242" s="308"/>
      <c r="X242" s="308"/>
      <c r="Y242" s="308"/>
      <c r="Z242" s="308"/>
    </row>
    <row r="243" ht="15.75" customHeight="1">
      <c r="A243" s="305"/>
      <c r="B243" s="306"/>
      <c r="C243" s="520"/>
      <c r="D243" s="305"/>
      <c r="E243" s="305"/>
      <c r="F243" s="305"/>
      <c r="G243" s="305"/>
      <c r="H243" s="305"/>
      <c r="I243" s="305"/>
      <c r="J243" s="305"/>
      <c r="K243" s="305"/>
      <c r="L243" s="305"/>
      <c r="M243" s="305"/>
      <c r="N243" s="305"/>
      <c r="O243" s="305"/>
      <c r="P243" s="308"/>
      <c r="Q243" s="308"/>
      <c r="R243" s="308"/>
      <c r="S243" s="308"/>
      <c r="T243" s="308"/>
      <c r="U243" s="308"/>
      <c r="V243" s="308"/>
      <c r="W243" s="308"/>
      <c r="X243" s="308"/>
      <c r="Y243" s="308"/>
      <c r="Z243" s="308"/>
    </row>
    <row r="244" ht="15.75" customHeight="1">
      <c r="A244" s="305"/>
      <c r="B244" s="306"/>
      <c r="C244" s="523"/>
      <c r="D244" s="305"/>
      <c r="E244" s="305"/>
      <c r="F244" s="305"/>
      <c r="G244" s="305"/>
      <c r="H244" s="305"/>
      <c r="I244" s="305"/>
      <c r="J244" s="305"/>
      <c r="K244" s="305"/>
      <c r="L244" s="305"/>
      <c r="M244" s="305"/>
      <c r="N244" s="305"/>
      <c r="O244" s="305"/>
      <c r="P244" s="308"/>
      <c r="Q244" s="308"/>
      <c r="R244" s="308"/>
      <c r="S244" s="308"/>
      <c r="T244" s="308"/>
      <c r="U244" s="308"/>
      <c r="V244" s="308"/>
      <c r="W244" s="308"/>
      <c r="X244" s="308"/>
      <c r="Y244" s="308"/>
      <c r="Z244" s="308"/>
    </row>
    <row r="245" ht="15.75" customHeight="1">
      <c r="A245" s="305"/>
      <c r="B245" s="306"/>
      <c r="C245" s="307"/>
      <c r="D245" s="305"/>
      <c r="E245" s="305"/>
      <c r="F245" s="305"/>
      <c r="G245" s="305"/>
      <c r="H245" s="305"/>
      <c r="I245" s="305"/>
      <c r="J245" s="305"/>
      <c r="K245" s="305"/>
      <c r="L245" s="305"/>
      <c r="M245" s="305"/>
      <c r="N245" s="305"/>
      <c r="O245" s="305"/>
      <c r="P245" s="308"/>
      <c r="Q245" s="308"/>
      <c r="R245" s="308"/>
      <c r="S245" s="308"/>
      <c r="T245" s="308"/>
      <c r="U245" s="308"/>
      <c r="V245" s="308"/>
      <c r="W245" s="308"/>
      <c r="X245" s="308"/>
      <c r="Y245" s="308"/>
      <c r="Z245" s="308"/>
    </row>
    <row r="246" ht="15.75" customHeight="1">
      <c r="A246" s="305"/>
      <c r="B246" s="306"/>
      <c r="C246" s="307"/>
      <c r="D246" s="305"/>
      <c r="E246" s="305"/>
      <c r="F246" s="305"/>
      <c r="G246" s="305"/>
      <c r="H246" s="305"/>
      <c r="I246" s="305"/>
      <c r="J246" s="305"/>
      <c r="K246" s="305"/>
      <c r="L246" s="305"/>
      <c r="M246" s="305"/>
      <c r="N246" s="305"/>
      <c r="O246" s="305"/>
      <c r="P246" s="308"/>
      <c r="Q246" s="308"/>
      <c r="R246" s="308"/>
      <c r="S246" s="308"/>
      <c r="T246" s="308"/>
      <c r="U246" s="308"/>
      <c r="V246" s="308"/>
      <c r="W246" s="308"/>
      <c r="X246" s="308"/>
      <c r="Y246" s="308"/>
      <c r="Z246" s="308"/>
    </row>
    <row r="247" ht="15.75" customHeight="1">
      <c r="A247" s="305"/>
      <c r="B247" s="306"/>
      <c r="C247" s="307"/>
      <c r="D247" s="305"/>
      <c r="E247" s="305"/>
      <c r="F247" s="305"/>
      <c r="G247" s="305"/>
      <c r="H247" s="305"/>
      <c r="I247" s="305"/>
      <c r="J247" s="305"/>
      <c r="K247" s="305"/>
      <c r="L247" s="305"/>
      <c r="M247" s="305"/>
      <c r="N247" s="305"/>
      <c r="O247" s="305"/>
      <c r="P247" s="308"/>
      <c r="Q247" s="308"/>
      <c r="R247" s="308"/>
      <c r="S247" s="308"/>
      <c r="T247" s="308"/>
      <c r="U247" s="308"/>
      <c r="V247" s="308"/>
      <c r="W247" s="308"/>
      <c r="X247" s="308"/>
      <c r="Y247" s="308"/>
      <c r="Z247" s="308"/>
    </row>
    <row r="248" ht="15.75" customHeight="1">
      <c r="A248" s="305"/>
      <c r="B248" s="306"/>
      <c r="C248" s="307"/>
      <c r="D248" s="305"/>
      <c r="E248" s="305"/>
      <c r="F248" s="305"/>
      <c r="G248" s="305"/>
      <c r="H248" s="305"/>
      <c r="I248" s="305"/>
      <c r="J248" s="305"/>
      <c r="K248" s="305"/>
      <c r="L248" s="305"/>
      <c r="M248" s="305"/>
      <c r="N248" s="305"/>
      <c r="O248" s="305"/>
      <c r="P248" s="308"/>
      <c r="Q248" s="308"/>
      <c r="R248" s="308"/>
      <c r="S248" s="308"/>
      <c r="T248" s="308"/>
      <c r="U248" s="308"/>
      <c r="V248" s="308"/>
      <c r="W248" s="308"/>
      <c r="X248" s="308"/>
      <c r="Y248" s="308"/>
      <c r="Z248" s="308"/>
    </row>
    <row r="249" ht="15.75" customHeight="1">
      <c r="A249" s="305"/>
      <c r="B249" s="306"/>
      <c r="C249" s="307"/>
      <c r="D249" s="305"/>
      <c r="E249" s="305"/>
      <c r="F249" s="305"/>
      <c r="G249" s="305"/>
      <c r="H249" s="305"/>
      <c r="I249" s="305"/>
      <c r="J249" s="305"/>
      <c r="K249" s="305"/>
      <c r="L249" s="305"/>
      <c r="M249" s="305"/>
      <c r="N249" s="305"/>
      <c r="O249" s="305"/>
      <c r="P249" s="308"/>
      <c r="Q249" s="308"/>
      <c r="R249" s="308"/>
      <c r="S249" s="308"/>
      <c r="T249" s="308"/>
      <c r="U249" s="308"/>
      <c r="V249" s="308"/>
      <c r="W249" s="308"/>
      <c r="X249" s="308"/>
      <c r="Y249" s="308"/>
      <c r="Z249" s="308"/>
    </row>
    <row r="250" ht="15.75" customHeight="1">
      <c r="A250" s="305"/>
      <c r="B250" s="306"/>
      <c r="C250" s="307"/>
      <c r="D250" s="305"/>
      <c r="E250" s="305"/>
      <c r="F250" s="305"/>
      <c r="G250" s="305"/>
      <c r="H250" s="305"/>
      <c r="I250" s="305"/>
      <c r="J250" s="305"/>
      <c r="K250" s="305"/>
      <c r="L250" s="305"/>
      <c r="M250" s="305"/>
      <c r="N250" s="305"/>
      <c r="O250" s="305"/>
      <c r="P250" s="308"/>
      <c r="Q250" s="308"/>
      <c r="R250" s="308"/>
      <c r="S250" s="308"/>
      <c r="T250" s="308"/>
      <c r="U250" s="308"/>
      <c r="V250" s="308"/>
      <c r="W250" s="308"/>
      <c r="X250" s="308"/>
      <c r="Y250" s="308"/>
      <c r="Z250" s="308"/>
    </row>
    <row r="251" ht="15.75" customHeight="1">
      <c r="A251" s="305"/>
      <c r="B251" s="306"/>
      <c r="C251" s="307"/>
      <c r="D251" s="305"/>
      <c r="E251" s="305"/>
      <c r="F251" s="305"/>
      <c r="G251" s="305"/>
      <c r="H251" s="305"/>
      <c r="I251" s="305"/>
      <c r="J251" s="305"/>
      <c r="K251" s="305"/>
      <c r="L251" s="305"/>
      <c r="M251" s="305"/>
      <c r="N251" s="305"/>
      <c r="O251" s="305"/>
      <c r="P251" s="308"/>
      <c r="Q251" s="308"/>
      <c r="R251" s="308"/>
      <c r="S251" s="308"/>
      <c r="T251" s="308"/>
      <c r="U251" s="308"/>
      <c r="V251" s="308"/>
      <c r="W251" s="308"/>
      <c r="X251" s="308"/>
      <c r="Y251" s="308"/>
      <c r="Z251" s="308"/>
    </row>
    <row r="252" ht="15.75" customHeight="1">
      <c r="A252" s="305"/>
      <c r="B252" s="306"/>
      <c r="C252" s="307"/>
      <c r="D252" s="305"/>
      <c r="E252" s="305"/>
      <c r="F252" s="305"/>
      <c r="G252" s="305"/>
      <c r="H252" s="305"/>
      <c r="I252" s="305"/>
      <c r="J252" s="305"/>
      <c r="K252" s="305"/>
      <c r="L252" s="305"/>
      <c r="M252" s="305"/>
      <c r="N252" s="305"/>
      <c r="O252" s="305"/>
      <c r="P252" s="308"/>
      <c r="Q252" s="308"/>
      <c r="R252" s="308"/>
      <c r="S252" s="308"/>
      <c r="T252" s="308"/>
      <c r="U252" s="308"/>
      <c r="V252" s="308"/>
      <c r="W252" s="308"/>
      <c r="X252" s="308"/>
      <c r="Y252" s="308"/>
      <c r="Z252" s="308"/>
    </row>
    <row r="253" ht="15.75" customHeight="1">
      <c r="A253" s="305"/>
      <c r="B253" s="306"/>
      <c r="C253" s="307"/>
      <c r="D253" s="305"/>
      <c r="E253" s="305"/>
      <c r="F253" s="305"/>
      <c r="G253" s="305"/>
      <c r="H253" s="305"/>
      <c r="I253" s="305"/>
      <c r="J253" s="305"/>
      <c r="K253" s="305"/>
      <c r="L253" s="305"/>
      <c r="M253" s="305"/>
      <c r="N253" s="305"/>
      <c r="O253" s="305"/>
      <c r="P253" s="308"/>
      <c r="Q253" s="308"/>
      <c r="R253" s="308"/>
      <c r="S253" s="308"/>
      <c r="T253" s="308"/>
      <c r="U253" s="308"/>
      <c r="V253" s="308"/>
      <c r="W253" s="308"/>
      <c r="X253" s="308"/>
      <c r="Y253" s="308"/>
      <c r="Z253" s="308"/>
    </row>
    <row r="254" ht="15.75" customHeight="1">
      <c r="A254" s="305"/>
      <c r="B254" s="306"/>
      <c r="C254" s="307"/>
      <c r="D254" s="305"/>
      <c r="E254" s="305"/>
      <c r="F254" s="305"/>
      <c r="G254" s="305"/>
      <c r="H254" s="305"/>
      <c r="I254" s="305"/>
      <c r="J254" s="305"/>
      <c r="K254" s="305"/>
      <c r="L254" s="305"/>
      <c r="M254" s="305"/>
      <c r="N254" s="305"/>
      <c r="O254" s="305"/>
      <c r="P254" s="308"/>
      <c r="Q254" s="308"/>
      <c r="R254" s="308"/>
      <c r="S254" s="308"/>
      <c r="T254" s="308"/>
      <c r="U254" s="308"/>
      <c r="V254" s="308"/>
      <c r="W254" s="308"/>
      <c r="X254" s="308"/>
      <c r="Y254" s="308"/>
      <c r="Z254" s="308"/>
    </row>
    <row r="255" ht="15.75" customHeight="1">
      <c r="A255" s="305"/>
      <c r="B255" s="306"/>
      <c r="C255" s="307"/>
      <c r="D255" s="305"/>
      <c r="E255" s="305"/>
      <c r="F255" s="305"/>
      <c r="G255" s="305"/>
      <c r="H255" s="305"/>
      <c r="I255" s="305"/>
      <c r="J255" s="305"/>
      <c r="K255" s="305"/>
      <c r="L255" s="305"/>
      <c r="M255" s="305"/>
      <c r="N255" s="305"/>
      <c r="O255" s="305"/>
      <c r="P255" s="308"/>
      <c r="Q255" s="308"/>
      <c r="R255" s="308"/>
      <c r="S255" s="308"/>
      <c r="T255" s="308"/>
      <c r="U255" s="308"/>
      <c r="V255" s="308"/>
      <c r="W255" s="308"/>
      <c r="X255" s="308"/>
      <c r="Y255" s="308"/>
      <c r="Z255" s="308"/>
    </row>
    <row r="256" ht="15.75" customHeight="1">
      <c r="A256" s="305"/>
      <c r="B256" s="306"/>
      <c r="C256" s="307"/>
      <c r="D256" s="305"/>
      <c r="E256" s="305"/>
      <c r="F256" s="305"/>
      <c r="G256" s="305"/>
      <c r="H256" s="305"/>
      <c r="I256" s="305"/>
      <c r="J256" s="305"/>
      <c r="K256" s="305"/>
      <c r="L256" s="305"/>
      <c r="M256" s="305"/>
      <c r="N256" s="305"/>
      <c r="O256" s="305"/>
      <c r="P256" s="308"/>
      <c r="Q256" s="308"/>
      <c r="R256" s="308"/>
      <c r="S256" s="308"/>
      <c r="T256" s="308"/>
      <c r="U256" s="308"/>
      <c r="V256" s="308"/>
      <c r="W256" s="308"/>
      <c r="X256" s="308"/>
      <c r="Y256" s="308"/>
      <c r="Z256" s="308"/>
    </row>
    <row r="257" ht="15.75" customHeight="1">
      <c r="A257" s="305"/>
      <c r="B257" s="306"/>
      <c r="C257" s="307"/>
      <c r="D257" s="305"/>
      <c r="E257" s="305"/>
      <c r="F257" s="305"/>
      <c r="G257" s="305"/>
      <c r="H257" s="305"/>
      <c r="I257" s="305"/>
      <c r="J257" s="305"/>
      <c r="K257" s="305"/>
      <c r="L257" s="305"/>
      <c r="M257" s="305"/>
      <c r="N257" s="305"/>
      <c r="O257" s="305"/>
      <c r="P257" s="308"/>
      <c r="Q257" s="308"/>
      <c r="R257" s="308"/>
      <c r="S257" s="308"/>
      <c r="T257" s="308"/>
      <c r="U257" s="308"/>
      <c r="V257" s="308"/>
      <c r="W257" s="308"/>
      <c r="X257" s="308"/>
      <c r="Y257" s="308"/>
      <c r="Z257" s="308"/>
    </row>
    <row r="258" ht="15.75" customHeight="1">
      <c r="A258" s="305"/>
      <c r="B258" s="306"/>
      <c r="C258" s="307"/>
      <c r="D258" s="305"/>
      <c r="E258" s="305"/>
      <c r="F258" s="305"/>
      <c r="G258" s="305"/>
      <c r="H258" s="305"/>
      <c r="I258" s="305"/>
      <c r="J258" s="305"/>
      <c r="K258" s="305"/>
      <c r="L258" s="305"/>
      <c r="M258" s="305"/>
      <c r="N258" s="305"/>
      <c r="O258" s="305"/>
      <c r="P258" s="308"/>
      <c r="Q258" s="308"/>
      <c r="R258" s="308"/>
      <c r="S258" s="308"/>
      <c r="T258" s="308"/>
      <c r="U258" s="308"/>
      <c r="V258" s="308"/>
      <c r="W258" s="308"/>
      <c r="X258" s="308"/>
      <c r="Y258" s="308"/>
      <c r="Z258" s="308"/>
    </row>
    <row r="259" ht="15.75" customHeight="1">
      <c r="A259" s="305"/>
      <c r="B259" s="306"/>
      <c r="C259" s="307"/>
      <c r="D259" s="305"/>
      <c r="E259" s="305"/>
      <c r="F259" s="305"/>
      <c r="G259" s="305"/>
      <c r="H259" s="305"/>
      <c r="I259" s="305"/>
      <c r="J259" s="305"/>
      <c r="K259" s="305"/>
      <c r="L259" s="305"/>
      <c r="M259" s="305"/>
      <c r="N259" s="305"/>
      <c r="O259" s="305"/>
      <c r="P259" s="308"/>
      <c r="Q259" s="308"/>
      <c r="R259" s="308"/>
      <c r="S259" s="308"/>
      <c r="T259" s="308"/>
      <c r="U259" s="308"/>
      <c r="V259" s="308"/>
      <c r="W259" s="308"/>
      <c r="X259" s="308"/>
      <c r="Y259" s="308"/>
      <c r="Z259" s="308"/>
    </row>
    <row r="260" ht="15.75" customHeight="1">
      <c r="A260" s="305"/>
      <c r="B260" s="306"/>
      <c r="C260" s="307"/>
      <c r="D260" s="305"/>
      <c r="E260" s="305"/>
      <c r="F260" s="305"/>
      <c r="G260" s="305"/>
      <c r="H260" s="305"/>
      <c r="I260" s="305"/>
      <c r="J260" s="305"/>
      <c r="K260" s="305"/>
      <c r="L260" s="305"/>
      <c r="M260" s="305"/>
      <c r="N260" s="305"/>
      <c r="O260" s="305"/>
      <c r="P260" s="308"/>
      <c r="Q260" s="308"/>
      <c r="R260" s="308"/>
      <c r="S260" s="308"/>
      <c r="T260" s="308"/>
      <c r="U260" s="308"/>
      <c r="V260" s="308"/>
      <c r="W260" s="308"/>
      <c r="X260" s="308"/>
      <c r="Y260" s="308"/>
      <c r="Z260" s="308"/>
    </row>
    <row r="261" ht="15.75" customHeight="1">
      <c r="A261" s="305"/>
      <c r="B261" s="306"/>
      <c r="C261" s="307"/>
      <c r="D261" s="305"/>
      <c r="E261" s="305"/>
      <c r="F261" s="305"/>
      <c r="G261" s="305"/>
      <c r="H261" s="305"/>
      <c r="I261" s="305"/>
      <c r="J261" s="305"/>
      <c r="K261" s="305"/>
      <c r="L261" s="305"/>
      <c r="M261" s="305"/>
      <c r="N261" s="305"/>
      <c r="O261" s="305"/>
      <c r="P261" s="308"/>
      <c r="Q261" s="308"/>
      <c r="R261" s="308"/>
      <c r="S261" s="308"/>
      <c r="T261" s="308"/>
      <c r="U261" s="308"/>
      <c r="V261" s="308"/>
      <c r="W261" s="308"/>
      <c r="X261" s="308"/>
      <c r="Y261" s="308"/>
      <c r="Z261" s="308"/>
    </row>
    <row r="262" ht="15.75" customHeight="1">
      <c r="A262" s="305"/>
      <c r="B262" s="306"/>
      <c r="C262" s="307"/>
      <c r="D262" s="305"/>
      <c r="E262" s="305"/>
      <c r="F262" s="305"/>
      <c r="G262" s="305"/>
      <c r="H262" s="305"/>
      <c r="I262" s="305"/>
      <c r="J262" s="305"/>
      <c r="K262" s="305"/>
      <c r="L262" s="305"/>
      <c r="M262" s="305"/>
      <c r="N262" s="305"/>
      <c r="O262" s="305"/>
      <c r="P262" s="308"/>
      <c r="Q262" s="308"/>
      <c r="R262" s="308"/>
      <c r="S262" s="308"/>
      <c r="T262" s="308"/>
      <c r="U262" s="308"/>
      <c r="V262" s="308"/>
      <c r="W262" s="308"/>
      <c r="X262" s="308"/>
      <c r="Y262" s="308"/>
      <c r="Z262" s="308"/>
    </row>
    <row r="263" ht="15.75" customHeight="1">
      <c r="A263" s="305"/>
      <c r="B263" s="306"/>
      <c r="C263" s="307"/>
      <c r="D263" s="305"/>
      <c r="E263" s="305"/>
      <c r="F263" s="305"/>
      <c r="G263" s="305"/>
      <c r="H263" s="305"/>
      <c r="I263" s="305"/>
      <c r="J263" s="305"/>
      <c r="K263" s="305"/>
      <c r="L263" s="305"/>
      <c r="M263" s="305"/>
      <c r="N263" s="305"/>
      <c r="O263" s="305"/>
      <c r="P263" s="308"/>
      <c r="Q263" s="308"/>
      <c r="R263" s="308"/>
      <c r="S263" s="308"/>
      <c r="T263" s="308"/>
      <c r="U263" s="308"/>
      <c r="V263" s="308"/>
      <c r="W263" s="308"/>
      <c r="X263" s="308"/>
      <c r="Y263" s="308"/>
      <c r="Z263" s="308"/>
    </row>
    <row r="264" ht="15.75" customHeight="1">
      <c r="A264" s="305"/>
      <c r="B264" s="306"/>
      <c r="C264" s="307"/>
      <c r="D264" s="305"/>
      <c r="E264" s="305"/>
      <c r="F264" s="305"/>
      <c r="G264" s="305"/>
      <c r="H264" s="305"/>
      <c r="I264" s="305"/>
      <c r="J264" s="305"/>
      <c r="K264" s="305"/>
      <c r="L264" s="305"/>
      <c r="M264" s="305"/>
      <c r="N264" s="305"/>
      <c r="O264" s="305"/>
      <c r="P264" s="308"/>
      <c r="Q264" s="308"/>
      <c r="R264" s="308"/>
      <c r="S264" s="308"/>
      <c r="T264" s="308"/>
      <c r="U264" s="308"/>
      <c r="V264" s="308"/>
      <c r="W264" s="308"/>
      <c r="X264" s="308"/>
      <c r="Y264" s="308"/>
      <c r="Z264" s="308"/>
    </row>
    <row r="265" ht="15.75" customHeight="1">
      <c r="A265" s="305"/>
      <c r="B265" s="306"/>
      <c r="C265" s="307"/>
      <c r="D265" s="305"/>
      <c r="E265" s="305"/>
      <c r="F265" s="305"/>
      <c r="G265" s="305"/>
      <c r="H265" s="305"/>
      <c r="I265" s="305"/>
      <c r="J265" s="305"/>
      <c r="K265" s="305"/>
      <c r="L265" s="305"/>
      <c r="M265" s="305"/>
      <c r="N265" s="305"/>
      <c r="O265" s="305"/>
      <c r="P265" s="308"/>
      <c r="Q265" s="308"/>
      <c r="R265" s="308"/>
      <c r="S265" s="308"/>
      <c r="T265" s="308"/>
      <c r="U265" s="308"/>
      <c r="V265" s="308"/>
      <c r="W265" s="308"/>
      <c r="X265" s="308"/>
      <c r="Y265" s="308"/>
      <c r="Z265" s="308"/>
    </row>
    <row r="266" ht="15.75" customHeight="1">
      <c r="A266" s="305"/>
      <c r="B266" s="306"/>
      <c r="C266" s="307"/>
      <c r="D266" s="305"/>
      <c r="E266" s="305"/>
      <c r="F266" s="305"/>
      <c r="G266" s="305"/>
      <c r="H266" s="305"/>
      <c r="I266" s="305"/>
      <c r="J266" s="305"/>
      <c r="K266" s="305"/>
      <c r="L266" s="305"/>
      <c r="M266" s="305"/>
      <c r="N266" s="305"/>
      <c r="O266" s="305"/>
      <c r="P266" s="308"/>
      <c r="Q266" s="308"/>
      <c r="R266" s="308"/>
      <c r="S266" s="308"/>
      <c r="T266" s="308"/>
      <c r="U266" s="308"/>
      <c r="V266" s="308"/>
      <c r="W266" s="308"/>
      <c r="X266" s="308"/>
      <c r="Y266" s="308"/>
      <c r="Z266" s="308"/>
    </row>
    <row r="267" ht="15.75" customHeight="1">
      <c r="A267" s="305"/>
      <c r="B267" s="306"/>
      <c r="C267" s="307"/>
      <c r="D267" s="305"/>
      <c r="E267" s="305"/>
      <c r="F267" s="305"/>
      <c r="G267" s="305"/>
      <c r="H267" s="305"/>
      <c r="I267" s="305"/>
      <c r="J267" s="305"/>
      <c r="K267" s="305"/>
      <c r="L267" s="305"/>
      <c r="M267" s="305"/>
      <c r="N267" s="305"/>
      <c r="O267" s="305"/>
      <c r="P267" s="308"/>
      <c r="Q267" s="308"/>
      <c r="R267" s="308"/>
      <c r="S267" s="308"/>
      <c r="T267" s="308"/>
      <c r="U267" s="308"/>
      <c r="V267" s="308"/>
      <c r="W267" s="308"/>
      <c r="X267" s="308"/>
      <c r="Y267" s="308"/>
      <c r="Z267" s="308"/>
    </row>
    <row r="268" ht="15.75" customHeight="1">
      <c r="A268" s="305"/>
      <c r="B268" s="306"/>
      <c r="C268" s="307"/>
      <c r="D268" s="305"/>
      <c r="E268" s="305"/>
      <c r="F268" s="305"/>
      <c r="G268" s="305"/>
      <c r="H268" s="305"/>
      <c r="I268" s="305"/>
      <c r="J268" s="305"/>
      <c r="K268" s="305"/>
      <c r="L268" s="305"/>
      <c r="M268" s="305"/>
      <c r="N268" s="305"/>
      <c r="O268" s="305"/>
      <c r="P268" s="308"/>
      <c r="Q268" s="308"/>
      <c r="R268" s="308"/>
      <c r="S268" s="308"/>
      <c r="T268" s="308"/>
      <c r="U268" s="308"/>
      <c r="V268" s="308"/>
      <c r="W268" s="308"/>
      <c r="X268" s="308"/>
      <c r="Y268" s="308"/>
      <c r="Z268" s="308"/>
    </row>
    <row r="269" ht="15.75" customHeight="1">
      <c r="A269" s="305"/>
      <c r="B269" s="306"/>
      <c r="C269" s="307"/>
      <c r="D269" s="305"/>
      <c r="E269" s="305"/>
      <c r="F269" s="305"/>
      <c r="G269" s="305"/>
      <c r="H269" s="305"/>
      <c r="I269" s="305"/>
      <c r="J269" s="305"/>
      <c r="K269" s="305"/>
      <c r="L269" s="305"/>
      <c r="M269" s="305"/>
      <c r="N269" s="305"/>
      <c r="O269" s="305"/>
      <c r="P269" s="308"/>
      <c r="Q269" s="308"/>
      <c r="R269" s="308"/>
      <c r="S269" s="308"/>
      <c r="T269" s="308"/>
      <c r="U269" s="308"/>
      <c r="V269" s="308"/>
      <c r="W269" s="308"/>
      <c r="X269" s="308"/>
      <c r="Y269" s="308"/>
      <c r="Z269" s="308"/>
    </row>
    <row r="270" ht="15.75" customHeight="1">
      <c r="A270" s="305"/>
      <c r="B270" s="306"/>
      <c r="C270" s="307"/>
      <c r="D270" s="305"/>
      <c r="E270" s="305"/>
      <c r="F270" s="305"/>
      <c r="G270" s="305"/>
      <c r="H270" s="305"/>
      <c r="I270" s="305"/>
      <c r="J270" s="305"/>
      <c r="K270" s="305"/>
      <c r="L270" s="305"/>
      <c r="M270" s="305"/>
      <c r="N270" s="305"/>
      <c r="O270" s="305"/>
      <c r="P270" s="308"/>
      <c r="Q270" s="308"/>
      <c r="R270" s="308"/>
      <c r="S270" s="308"/>
      <c r="T270" s="308"/>
      <c r="U270" s="308"/>
      <c r="V270" s="308"/>
      <c r="W270" s="308"/>
      <c r="X270" s="308"/>
      <c r="Y270" s="308"/>
      <c r="Z270" s="308"/>
    </row>
    <row r="271" ht="15.75" customHeight="1">
      <c r="A271" s="305"/>
      <c r="B271" s="306"/>
      <c r="C271" s="307"/>
      <c r="D271" s="305"/>
      <c r="E271" s="305"/>
      <c r="F271" s="305"/>
      <c r="G271" s="305"/>
      <c r="H271" s="305"/>
      <c r="I271" s="305"/>
      <c r="J271" s="305"/>
      <c r="K271" s="305"/>
      <c r="L271" s="305"/>
      <c r="M271" s="305"/>
      <c r="N271" s="305"/>
      <c r="O271" s="305"/>
      <c r="P271" s="308"/>
      <c r="Q271" s="308"/>
      <c r="R271" s="308"/>
      <c r="S271" s="308"/>
      <c r="T271" s="308"/>
      <c r="U271" s="308"/>
      <c r="V271" s="308"/>
      <c r="W271" s="308"/>
      <c r="X271" s="308"/>
      <c r="Y271" s="308"/>
      <c r="Z271" s="308"/>
    </row>
    <row r="272" ht="15.75" customHeight="1">
      <c r="A272" s="305"/>
      <c r="B272" s="306"/>
      <c r="C272" s="307"/>
      <c r="D272" s="305"/>
      <c r="E272" s="305"/>
      <c r="F272" s="305"/>
      <c r="G272" s="305"/>
      <c r="H272" s="305"/>
      <c r="I272" s="305"/>
      <c r="J272" s="305"/>
      <c r="K272" s="305"/>
      <c r="L272" s="305"/>
      <c r="M272" s="305"/>
      <c r="N272" s="305"/>
      <c r="O272" s="305"/>
      <c r="P272" s="308"/>
      <c r="Q272" s="308"/>
      <c r="R272" s="308"/>
      <c r="S272" s="308"/>
      <c r="T272" s="308"/>
      <c r="U272" s="308"/>
      <c r="V272" s="308"/>
      <c r="W272" s="308"/>
      <c r="X272" s="308"/>
      <c r="Y272" s="308"/>
      <c r="Z272" s="308"/>
    </row>
    <row r="273" ht="15.75" customHeight="1">
      <c r="A273" s="305"/>
      <c r="B273" s="306"/>
      <c r="C273" s="307"/>
      <c r="D273" s="305"/>
      <c r="E273" s="305"/>
      <c r="F273" s="305"/>
      <c r="G273" s="305"/>
      <c r="H273" s="305"/>
      <c r="I273" s="305"/>
      <c r="J273" s="305"/>
      <c r="K273" s="305"/>
      <c r="L273" s="305"/>
      <c r="M273" s="305"/>
      <c r="N273" s="305"/>
      <c r="O273" s="305"/>
      <c r="P273" s="308"/>
      <c r="Q273" s="308"/>
      <c r="R273" s="308"/>
      <c r="S273" s="308"/>
      <c r="T273" s="308"/>
      <c r="U273" s="308"/>
      <c r="V273" s="308"/>
      <c r="W273" s="308"/>
      <c r="X273" s="308"/>
      <c r="Y273" s="308"/>
      <c r="Z273" s="308"/>
    </row>
    <row r="274" ht="15.75" customHeight="1">
      <c r="A274" s="305"/>
      <c r="B274" s="306"/>
      <c r="C274" s="307"/>
      <c r="D274" s="305"/>
      <c r="E274" s="305"/>
      <c r="F274" s="305"/>
      <c r="G274" s="305"/>
      <c r="H274" s="305"/>
      <c r="I274" s="305"/>
      <c r="J274" s="305"/>
      <c r="K274" s="305"/>
      <c r="L274" s="305"/>
      <c r="M274" s="305"/>
      <c r="N274" s="305"/>
      <c r="O274" s="305"/>
      <c r="P274" s="308"/>
      <c r="Q274" s="308"/>
      <c r="R274" s="308"/>
      <c r="S274" s="308"/>
      <c r="T274" s="308"/>
      <c r="U274" s="308"/>
      <c r="V274" s="308"/>
      <c r="W274" s="308"/>
      <c r="X274" s="308"/>
      <c r="Y274" s="308"/>
      <c r="Z274" s="308"/>
    </row>
    <row r="275" ht="15.75" customHeight="1">
      <c r="A275" s="305"/>
      <c r="B275" s="306"/>
      <c r="C275" s="307"/>
      <c r="D275" s="305"/>
      <c r="E275" s="305"/>
      <c r="F275" s="305"/>
      <c r="G275" s="305"/>
      <c r="H275" s="305"/>
      <c r="I275" s="305"/>
      <c r="J275" s="305"/>
      <c r="K275" s="305"/>
      <c r="L275" s="305"/>
      <c r="M275" s="305"/>
      <c r="N275" s="305"/>
      <c r="O275" s="305"/>
      <c r="P275" s="308"/>
      <c r="Q275" s="308"/>
      <c r="R275" s="308"/>
      <c r="S275" s="308"/>
      <c r="T275" s="308"/>
      <c r="U275" s="308"/>
      <c r="V275" s="308"/>
      <c r="W275" s="308"/>
      <c r="X275" s="308"/>
      <c r="Y275" s="308"/>
      <c r="Z275" s="308"/>
    </row>
    <row r="276" ht="15.75" customHeight="1">
      <c r="A276" s="305"/>
      <c r="B276" s="306"/>
      <c r="C276" s="307"/>
      <c r="D276" s="305"/>
      <c r="E276" s="305"/>
      <c r="F276" s="305"/>
      <c r="G276" s="305"/>
      <c r="H276" s="305"/>
      <c r="I276" s="305"/>
      <c r="J276" s="305"/>
      <c r="K276" s="305"/>
      <c r="L276" s="305"/>
      <c r="M276" s="305"/>
      <c r="N276" s="305"/>
      <c r="O276" s="305"/>
      <c r="P276" s="308"/>
      <c r="Q276" s="308"/>
      <c r="R276" s="308"/>
      <c r="S276" s="308"/>
      <c r="T276" s="308"/>
      <c r="U276" s="308"/>
      <c r="V276" s="308"/>
      <c r="W276" s="308"/>
      <c r="X276" s="308"/>
      <c r="Y276" s="308"/>
      <c r="Z276" s="308"/>
    </row>
    <row r="277" ht="15.75" customHeight="1">
      <c r="A277" s="305"/>
      <c r="B277" s="306"/>
      <c r="C277" s="307"/>
      <c r="D277" s="305"/>
      <c r="E277" s="305"/>
      <c r="F277" s="305"/>
      <c r="G277" s="305"/>
      <c r="H277" s="305"/>
      <c r="I277" s="305"/>
      <c r="J277" s="305"/>
      <c r="K277" s="305"/>
      <c r="L277" s="305"/>
      <c r="M277" s="305"/>
      <c r="N277" s="305"/>
      <c r="O277" s="305"/>
      <c r="P277" s="308"/>
      <c r="Q277" s="308"/>
      <c r="R277" s="308"/>
      <c r="S277" s="308"/>
      <c r="T277" s="308"/>
      <c r="U277" s="308"/>
      <c r="V277" s="308"/>
      <c r="W277" s="308"/>
      <c r="X277" s="308"/>
      <c r="Y277" s="308"/>
      <c r="Z277" s="308"/>
    </row>
    <row r="278" ht="15.75" customHeight="1">
      <c r="A278" s="305"/>
      <c r="B278" s="306"/>
      <c r="C278" s="307"/>
      <c r="D278" s="305"/>
      <c r="E278" s="305"/>
      <c r="F278" s="305"/>
      <c r="G278" s="305"/>
      <c r="H278" s="305"/>
      <c r="I278" s="305"/>
      <c r="J278" s="305"/>
      <c r="K278" s="305"/>
      <c r="L278" s="305"/>
      <c r="M278" s="305"/>
      <c r="N278" s="305"/>
      <c r="O278" s="305"/>
      <c r="P278" s="308"/>
      <c r="Q278" s="308"/>
      <c r="R278" s="308"/>
      <c r="S278" s="308"/>
      <c r="T278" s="308"/>
      <c r="U278" s="308"/>
      <c r="V278" s="308"/>
      <c r="W278" s="308"/>
      <c r="X278" s="308"/>
      <c r="Y278" s="308"/>
      <c r="Z278" s="308"/>
    </row>
    <row r="279" ht="15.75" customHeight="1">
      <c r="A279" s="305"/>
      <c r="B279" s="306"/>
      <c r="C279" s="307"/>
      <c r="D279" s="305"/>
      <c r="E279" s="305"/>
      <c r="F279" s="305"/>
      <c r="G279" s="305"/>
      <c r="H279" s="305"/>
      <c r="I279" s="305"/>
      <c r="J279" s="305"/>
      <c r="K279" s="305"/>
      <c r="L279" s="305"/>
      <c r="M279" s="305"/>
      <c r="N279" s="305"/>
      <c r="O279" s="305"/>
      <c r="P279" s="308"/>
      <c r="Q279" s="308"/>
      <c r="R279" s="308"/>
      <c r="S279" s="308"/>
      <c r="T279" s="308"/>
      <c r="U279" s="308"/>
      <c r="V279" s="308"/>
      <c r="W279" s="308"/>
      <c r="X279" s="308"/>
      <c r="Y279" s="308"/>
      <c r="Z279" s="308"/>
    </row>
    <row r="280" ht="15.75" customHeight="1">
      <c r="A280" s="305"/>
      <c r="B280" s="306"/>
      <c r="C280" s="307"/>
      <c r="D280" s="305"/>
      <c r="E280" s="305"/>
      <c r="F280" s="305"/>
      <c r="G280" s="305"/>
      <c r="H280" s="305"/>
      <c r="I280" s="305"/>
      <c r="J280" s="305"/>
      <c r="K280" s="305"/>
      <c r="L280" s="305"/>
      <c r="M280" s="305"/>
      <c r="N280" s="305"/>
      <c r="O280" s="305"/>
      <c r="P280" s="308"/>
      <c r="Q280" s="308"/>
      <c r="R280" s="308"/>
      <c r="S280" s="308"/>
      <c r="T280" s="308"/>
      <c r="U280" s="308"/>
      <c r="V280" s="308"/>
      <c r="W280" s="308"/>
      <c r="X280" s="308"/>
      <c r="Y280" s="308"/>
      <c r="Z280" s="308"/>
    </row>
    <row r="281" ht="15.75" customHeight="1">
      <c r="A281" s="305"/>
      <c r="B281" s="306"/>
      <c r="C281" s="307"/>
      <c r="D281" s="305"/>
      <c r="E281" s="305"/>
      <c r="F281" s="305"/>
      <c r="G281" s="305"/>
      <c r="H281" s="305"/>
      <c r="I281" s="305"/>
      <c r="J281" s="305"/>
      <c r="K281" s="305"/>
      <c r="L281" s="305"/>
      <c r="M281" s="305"/>
      <c r="N281" s="305"/>
      <c r="O281" s="305"/>
      <c r="P281" s="308"/>
      <c r="Q281" s="308"/>
      <c r="R281" s="308"/>
      <c r="S281" s="308"/>
      <c r="T281" s="308"/>
      <c r="U281" s="308"/>
      <c r="V281" s="308"/>
      <c r="W281" s="308"/>
      <c r="X281" s="308"/>
      <c r="Y281" s="308"/>
      <c r="Z281" s="308"/>
    </row>
    <row r="282" ht="15.75" customHeight="1">
      <c r="A282" s="305"/>
      <c r="B282" s="306"/>
      <c r="C282" s="307"/>
      <c r="D282" s="305"/>
      <c r="E282" s="305"/>
      <c r="F282" s="305"/>
      <c r="G282" s="305"/>
      <c r="H282" s="305"/>
      <c r="I282" s="305"/>
      <c r="J282" s="305"/>
      <c r="K282" s="305"/>
      <c r="L282" s="305"/>
      <c r="M282" s="305"/>
      <c r="N282" s="305"/>
      <c r="O282" s="305"/>
      <c r="P282" s="308"/>
      <c r="Q282" s="308"/>
      <c r="R282" s="308"/>
      <c r="S282" s="308"/>
      <c r="T282" s="308"/>
      <c r="U282" s="308"/>
      <c r="V282" s="308"/>
      <c r="W282" s="308"/>
      <c r="X282" s="308"/>
      <c r="Y282" s="308"/>
      <c r="Z282" s="308"/>
    </row>
    <row r="283" ht="15.75" customHeight="1">
      <c r="A283" s="305"/>
      <c r="B283" s="306"/>
      <c r="C283" s="307"/>
      <c r="D283" s="305"/>
      <c r="E283" s="305"/>
      <c r="F283" s="305"/>
      <c r="G283" s="305"/>
      <c r="H283" s="305"/>
      <c r="I283" s="305"/>
      <c r="J283" s="305"/>
      <c r="K283" s="305"/>
      <c r="L283" s="305"/>
      <c r="M283" s="305"/>
      <c r="N283" s="305"/>
      <c r="O283" s="305"/>
      <c r="P283" s="308"/>
      <c r="Q283" s="308"/>
      <c r="R283" s="308"/>
      <c r="S283" s="308"/>
      <c r="T283" s="308"/>
      <c r="U283" s="308"/>
      <c r="V283" s="308"/>
      <c r="W283" s="308"/>
      <c r="X283" s="308"/>
      <c r="Y283" s="308"/>
      <c r="Z283" s="308"/>
    </row>
    <row r="284" ht="15.75" customHeight="1">
      <c r="A284" s="305"/>
      <c r="B284" s="306"/>
      <c r="C284" s="307"/>
      <c r="D284" s="305"/>
      <c r="E284" s="305"/>
      <c r="F284" s="305"/>
      <c r="G284" s="305"/>
      <c r="H284" s="305"/>
      <c r="I284" s="305"/>
      <c r="J284" s="305"/>
      <c r="K284" s="305"/>
      <c r="L284" s="305"/>
      <c r="M284" s="305"/>
      <c r="N284" s="305"/>
      <c r="O284" s="305"/>
      <c r="P284" s="308"/>
      <c r="Q284" s="308"/>
      <c r="R284" s="308"/>
      <c r="S284" s="308"/>
      <c r="T284" s="308"/>
      <c r="U284" s="308"/>
      <c r="V284" s="308"/>
      <c r="W284" s="308"/>
      <c r="X284" s="308"/>
      <c r="Y284" s="308"/>
      <c r="Z284" s="308"/>
    </row>
    <row r="285" ht="15.75" customHeight="1">
      <c r="A285" s="305"/>
      <c r="B285" s="306"/>
      <c r="C285" s="307"/>
      <c r="D285" s="305"/>
      <c r="E285" s="305"/>
      <c r="F285" s="305"/>
      <c r="G285" s="305"/>
      <c r="H285" s="305"/>
      <c r="I285" s="305"/>
      <c r="J285" s="305"/>
      <c r="K285" s="305"/>
      <c r="L285" s="305"/>
      <c r="M285" s="305"/>
      <c r="N285" s="305"/>
      <c r="O285" s="305"/>
      <c r="P285" s="308"/>
      <c r="Q285" s="308"/>
      <c r="R285" s="308"/>
      <c r="S285" s="308"/>
      <c r="T285" s="308"/>
      <c r="U285" s="308"/>
      <c r="V285" s="308"/>
      <c r="W285" s="308"/>
      <c r="X285" s="308"/>
      <c r="Y285" s="308"/>
      <c r="Z285" s="308"/>
    </row>
    <row r="286" ht="15.75" customHeight="1">
      <c r="A286" s="305"/>
      <c r="B286" s="306"/>
      <c r="C286" s="307"/>
      <c r="D286" s="305"/>
      <c r="E286" s="305"/>
      <c r="F286" s="305"/>
      <c r="G286" s="305"/>
      <c r="H286" s="305"/>
      <c r="I286" s="305"/>
      <c r="J286" s="305"/>
      <c r="K286" s="305"/>
      <c r="L286" s="305"/>
      <c r="M286" s="305"/>
      <c r="N286" s="305"/>
      <c r="O286" s="305"/>
      <c r="P286" s="308"/>
      <c r="Q286" s="308"/>
      <c r="R286" s="308"/>
      <c r="S286" s="308"/>
      <c r="T286" s="308"/>
      <c r="U286" s="308"/>
      <c r="V286" s="308"/>
      <c r="W286" s="308"/>
      <c r="X286" s="308"/>
      <c r="Y286" s="308"/>
      <c r="Z286" s="308"/>
    </row>
    <row r="287" ht="15.75" customHeight="1">
      <c r="A287" s="305"/>
      <c r="B287" s="306"/>
      <c r="C287" s="307"/>
      <c r="D287" s="305"/>
      <c r="E287" s="305"/>
      <c r="F287" s="305"/>
      <c r="G287" s="305"/>
      <c r="H287" s="305"/>
      <c r="I287" s="305"/>
      <c r="J287" s="305"/>
      <c r="K287" s="305"/>
      <c r="L287" s="305"/>
      <c r="M287" s="305"/>
      <c r="N287" s="305"/>
      <c r="O287" s="305"/>
      <c r="P287" s="308"/>
      <c r="Q287" s="308"/>
      <c r="R287" s="308"/>
      <c r="S287" s="308"/>
      <c r="T287" s="308"/>
      <c r="U287" s="308"/>
      <c r="V287" s="308"/>
      <c r="W287" s="308"/>
      <c r="X287" s="308"/>
      <c r="Y287" s="308"/>
      <c r="Z287" s="308"/>
    </row>
    <row r="288" ht="15.75" customHeight="1">
      <c r="A288" s="305"/>
      <c r="B288" s="306"/>
      <c r="C288" s="307"/>
      <c r="D288" s="305"/>
      <c r="E288" s="305"/>
      <c r="F288" s="305"/>
      <c r="G288" s="305"/>
      <c r="H288" s="305"/>
      <c r="I288" s="305"/>
      <c r="J288" s="305"/>
      <c r="K288" s="305"/>
      <c r="L288" s="305"/>
      <c r="M288" s="305"/>
      <c r="N288" s="305"/>
      <c r="O288" s="305"/>
      <c r="P288" s="308"/>
      <c r="Q288" s="308"/>
      <c r="R288" s="308"/>
      <c r="S288" s="308"/>
      <c r="T288" s="308"/>
      <c r="U288" s="308"/>
      <c r="V288" s="308"/>
      <c r="W288" s="308"/>
      <c r="X288" s="308"/>
      <c r="Y288" s="308"/>
      <c r="Z288" s="308"/>
    </row>
    <row r="289" ht="15.75" customHeight="1">
      <c r="A289" s="305"/>
      <c r="B289" s="306"/>
      <c r="C289" s="307"/>
      <c r="D289" s="305"/>
      <c r="E289" s="305"/>
      <c r="F289" s="305"/>
      <c r="G289" s="305"/>
      <c r="H289" s="305"/>
      <c r="I289" s="305"/>
      <c r="J289" s="305"/>
      <c r="K289" s="305"/>
      <c r="L289" s="305"/>
      <c r="M289" s="305"/>
      <c r="N289" s="305"/>
      <c r="O289" s="305"/>
      <c r="P289" s="308"/>
      <c r="Q289" s="308"/>
      <c r="R289" s="308"/>
      <c r="S289" s="308"/>
      <c r="T289" s="308"/>
      <c r="U289" s="308"/>
      <c r="V289" s="308"/>
      <c r="W289" s="308"/>
      <c r="X289" s="308"/>
      <c r="Y289" s="308"/>
      <c r="Z289" s="308"/>
    </row>
    <row r="290" ht="15.75" customHeight="1">
      <c r="A290" s="305"/>
      <c r="B290" s="306"/>
      <c r="C290" s="307"/>
      <c r="D290" s="305"/>
      <c r="E290" s="305"/>
      <c r="F290" s="305"/>
      <c r="G290" s="305"/>
      <c r="H290" s="305"/>
      <c r="I290" s="305"/>
      <c r="J290" s="305"/>
      <c r="K290" s="305"/>
      <c r="L290" s="305"/>
      <c r="M290" s="305"/>
      <c r="N290" s="305"/>
      <c r="O290" s="305"/>
      <c r="P290" s="308"/>
      <c r="Q290" s="308"/>
      <c r="R290" s="308"/>
      <c r="S290" s="308"/>
      <c r="T290" s="308"/>
      <c r="U290" s="308"/>
      <c r="V290" s="308"/>
      <c r="W290" s="308"/>
      <c r="X290" s="308"/>
      <c r="Y290" s="308"/>
      <c r="Z290" s="308"/>
    </row>
    <row r="291" ht="15.75" customHeight="1">
      <c r="A291" s="305"/>
      <c r="B291" s="306"/>
      <c r="C291" s="307"/>
      <c r="D291" s="305"/>
      <c r="E291" s="305"/>
      <c r="F291" s="305"/>
      <c r="G291" s="305"/>
      <c r="H291" s="305"/>
      <c r="I291" s="305"/>
      <c r="J291" s="305"/>
      <c r="K291" s="305"/>
      <c r="L291" s="305"/>
      <c r="M291" s="305"/>
      <c r="N291" s="305"/>
      <c r="O291" s="305"/>
      <c r="P291" s="308"/>
      <c r="Q291" s="308"/>
      <c r="R291" s="308"/>
      <c r="S291" s="308"/>
      <c r="T291" s="308"/>
      <c r="U291" s="308"/>
      <c r="V291" s="308"/>
      <c r="W291" s="308"/>
      <c r="X291" s="308"/>
      <c r="Y291" s="308"/>
      <c r="Z291" s="308"/>
    </row>
    <row r="292" ht="15.75" customHeight="1">
      <c r="A292" s="305"/>
      <c r="B292" s="306"/>
      <c r="C292" s="307"/>
      <c r="D292" s="305"/>
      <c r="E292" s="305"/>
      <c r="F292" s="305"/>
      <c r="G292" s="305"/>
      <c r="H292" s="305"/>
      <c r="I292" s="305"/>
      <c r="J292" s="305"/>
      <c r="K292" s="305"/>
      <c r="L292" s="305"/>
      <c r="M292" s="305"/>
      <c r="N292" s="305"/>
      <c r="O292" s="305"/>
      <c r="P292" s="308"/>
      <c r="Q292" s="308"/>
      <c r="R292" s="308"/>
      <c r="S292" s="308"/>
      <c r="T292" s="308"/>
      <c r="U292" s="308"/>
      <c r="V292" s="308"/>
      <c r="W292" s="308"/>
      <c r="X292" s="308"/>
      <c r="Y292" s="308"/>
      <c r="Z292" s="308"/>
    </row>
    <row r="293" ht="15.75" customHeight="1">
      <c r="A293" s="305"/>
      <c r="B293" s="306"/>
      <c r="C293" s="307"/>
      <c r="D293" s="305"/>
      <c r="E293" s="305"/>
      <c r="F293" s="305"/>
      <c r="G293" s="305"/>
      <c r="H293" s="305"/>
      <c r="I293" s="305"/>
      <c r="J293" s="305"/>
      <c r="K293" s="305"/>
      <c r="L293" s="305"/>
      <c r="M293" s="305"/>
      <c r="N293" s="305"/>
      <c r="O293" s="305"/>
      <c r="P293" s="308"/>
      <c r="Q293" s="308"/>
      <c r="R293" s="308"/>
      <c r="S293" s="308"/>
      <c r="T293" s="308"/>
      <c r="U293" s="308"/>
      <c r="V293" s="308"/>
      <c r="W293" s="308"/>
      <c r="X293" s="308"/>
      <c r="Y293" s="308"/>
      <c r="Z293" s="308"/>
    </row>
    <row r="294" ht="15.75" customHeight="1">
      <c r="A294" s="305"/>
      <c r="B294" s="306"/>
      <c r="C294" s="307"/>
      <c r="D294" s="305"/>
      <c r="E294" s="305"/>
      <c r="F294" s="305"/>
      <c r="G294" s="305"/>
      <c r="H294" s="305"/>
      <c r="I294" s="305"/>
      <c r="J294" s="305"/>
      <c r="K294" s="305"/>
      <c r="L294" s="305"/>
      <c r="M294" s="305"/>
      <c r="N294" s="305"/>
      <c r="O294" s="305"/>
      <c r="P294" s="308"/>
      <c r="Q294" s="308"/>
      <c r="R294" s="308"/>
      <c r="S294" s="308"/>
      <c r="T294" s="308"/>
      <c r="U294" s="308"/>
      <c r="V294" s="308"/>
      <c r="W294" s="308"/>
      <c r="X294" s="308"/>
      <c r="Y294" s="308"/>
      <c r="Z294" s="308"/>
    </row>
    <row r="295" ht="15.75" customHeight="1">
      <c r="A295" s="305"/>
      <c r="B295" s="306"/>
      <c r="C295" s="307"/>
      <c r="D295" s="305"/>
      <c r="E295" s="305"/>
      <c r="F295" s="305"/>
      <c r="G295" s="305"/>
      <c r="H295" s="305"/>
      <c r="I295" s="305"/>
      <c r="J295" s="305"/>
      <c r="K295" s="305"/>
      <c r="L295" s="305"/>
      <c r="M295" s="305"/>
      <c r="N295" s="305"/>
      <c r="O295" s="305"/>
      <c r="P295" s="308"/>
      <c r="Q295" s="308"/>
      <c r="R295" s="308"/>
      <c r="S295" s="308"/>
      <c r="T295" s="308"/>
      <c r="U295" s="308"/>
      <c r="V295" s="308"/>
      <c r="W295" s="308"/>
      <c r="X295" s="308"/>
      <c r="Y295" s="308"/>
      <c r="Z295" s="308"/>
    </row>
    <row r="296" ht="15.75" customHeight="1">
      <c r="A296" s="305"/>
      <c r="B296" s="306"/>
      <c r="C296" s="307"/>
      <c r="D296" s="305"/>
      <c r="E296" s="305"/>
      <c r="F296" s="305"/>
      <c r="G296" s="305"/>
      <c r="H296" s="305"/>
      <c r="I296" s="305"/>
      <c r="J296" s="305"/>
      <c r="K296" s="305"/>
      <c r="L296" s="305"/>
      <c r="M296" s="305"/>
      <c r="N296" s="305"/>
      <c r="O296" s="305"/>
      <c r="P296" s="308"/>
      <c r="Q296" s="308"/>
      <c r="R296" s="308"/>
      <c r="S296" s="308"/>
      <c r="T296" s="308"/>
      <c r="U296" s="308"/>
      <c r="V296" s="308"/>
      <c r="W296" s="308"/>
      <c r="X296" s="308"/>
      <c r="Y296" s="308"/>
      <c r="Z296" s="308"/>
    </row>
    <row r="297" ht="15.75" customHeight="1">
      <c r="A297" s="305"/>
      <c r="B297" s="306"/>
      <c r="C297" s="307"/>
      <c r="D297" s="305"/>
      <c r="E297" s="305"/>
      <c r="F297" s="305"/>
      <c r="G297" s="305"/>
      <c r="H297" s="305"/>
      <c r="I297" s="305"/>
      <c r="J297" s="305"/>
      <c r="K297" s="305"/>
      <c r="L297" s="305"/>
      <c r="M297" s="305"/>
      <c r="N297" s="305"/>
      <c r="O297" s="305"/>
      <c r="P297" s="308"/>
      <c r="Q297" s="308"/>
      <c r="R297" s="308"/>
      <c r="S297" s="308"/>
      <c r="T297" s="308"/>
      <c r="U297" s="308"/>
      <c r="V297" s="308"/>
      <c r="W297" s="308"/>
      <c r="X297" s="308"/>
      <c r="Y297" s="308"/>
      <c r="Z297" s="308"/>
    </row>
    <row r="298" ht="15.75" customHeight="1">
      <c r="A298" s="305"/>
      <c r="B298" s="306"/>
      <c r="C298" s="307"/>
      <c r="D298" s="305"/>
      <c r="E298" s="305"/>
      <c r="F298" s="305"/>
      <c r="G298" s="305"/>
      <c r="H298" s="305"/>
      <c r="I298" s="305"/>
      <c r="J298" s="305"/>
      <c r="K298" s="305"/>
      <c r="L298" s="305"/>
      <c r="M298" s="305"/>
      <c r="N298" s="305"/>
      <c r="O298" s="305"/>
      <c r="P298" s="308"/>
      <c r="Q298" s="308"/>
      <c r="R298" s="308"/>
      <c r="S298" s="308"/>
      <c r="T298" s="308"/>
      <c r="U298" s="308"/>
      <c r="V298" s="308"/>
      <c r="W298" s="308"/>
      <c r="X298" s="308"/>
      <c r="Y298" s="308"/>
      <c r="Z298" s="308"/>
    </row>
    <row r="299" ht="15.75" customHeight="1">
      <c r="A299" s="305"/>
      <c r="B299" s="306"/>
      <c r="C299" s="307"/>
      <c r="D299" s="305"/>
      <c r="E299" s="305"/>
      <c r="F299" s="305"/>
      <c r="G299" s="305"/>
      <c r="H299" s="305"/>
      <c r="I299" s="305"/>
      <c r="J299" s="305"/>
      <c r="K299" s="305"/>
      <c r="L299" s="305"/>
      <c r="M299" s="305"/>
      <c r="N299" s="305"/>
      <c r="O299" s="305"/>
      <c r="P299" s="308"/>
      <c r="Q299" s="308"/>
      <c r="R299" s="308"/>
      <c r="S299" s="308"/>
      <c r="T299" s="308"/>
      <c r="U299" s="308"/>
      <c r="V299" s="308"/>
      <c r="W299" s="308"/>
      <c r="X299" s="308"/>
      <c r="Y299" s="308"/>
      <c r="Z299" s="308"/>
    </row>
    <row r="300" ht="15.75" customHeight="1">
      <c r="A300" s="305"/>
      <c r="B300" s="306"/>
      <c r="C300" s="307"/>
      <c r="D300" s="305"/>
      <c r="E300" s="305"/>
      <c r="F300" s="305"/>
      <c r="G300" s="305"/>
      <c r="H300" s="305"/>
      <c r="I300" s="305"/>
      <c r="J300" s="305"/>
      <c r="K300" s="305"/>
      <c r="L300" s="305"/>
      <c r="M300" s="305"/>
      <c r="N300" s="305"/>
      <c r="O300" s="305"/>
      <c r="P300" s="308"/>
      <c r="Q300" s="308"/>
      <c r="R300" s="308"/>
      <c r="S300" s="308"/>
      <c r="T300" s="308"/>
      <c r="U300" s="308"/>
      <c r="V300" s="308"/>
      <c r="W300" s="308"/>
      <c r="X300" s="308"/>
      <c r="Y300" s="308"/>
      <c r="Z300" s="308"/>
    </row>
    <row r="301" ht="15.75" customHeight="1">
      <c r="A301" s="305"/>
      <c r="B301" s="306"/>
      <c r="C301" s="307"/>
      <c r="D301" s="305"/>
      <c r="E301" s="305"/>
      <c r="F301" s="305"/>
      <c r="G301" s="305"/>
      <c r="H301" s="305"/>
      <c r="I301" s="305"/>
      <c r="J301" s="305"/>
      <c r="K301" s="305"/>
      <c r="L301" s="305"/>
      <c r="M301" s="305"/>
      <c r="N301" s="305"/>
      <c r="O301" s="305"/>
      <c r="P301" s="308"/>
      <c r="Q301" s="308"/>
      <c r="R301" s="308"/>
      <c r="S301" s="308"/>
      <c r="T301" s="308"/>
      <c r="U301" s="308"/>
      <c r="V301" s="308"/>
      <c r="W301" s="308"/>
      <c r="X301" s="308"/>
      <c r="Y301" s="308"/>
      <c r="Z301" s="308"/>
    </row>
    <row r="302" ht="15.75" customHeight="1">
      <c r="A302" s="305"/>
      <c r="B302" s="306"/>
      <c r="C302" s="307"/>
      <c r="D302" s="305"/>
      <c r="E302" s="305"/>
      <c r="F302" s="305"/>
      <c r="G302" s="305"/>
      <c r="H302" s="305"/>
      <c r="I302" s="305"/>
      <c r="J302" s="305"/>
      <c r="K302" s="305"/>
      <c r="L302" s="305"/>
      <c r="M302" s="305"/>
      <c r="N302" s="305"/>
      <c r="O302" s="305"/>
      <c r="P302" s="308"/>
      <c r="Q302" s="308"/>
      <c r="R302" s="308"/>
      <c r="S302" s="308"/>
      <c r="T302" s="308"/>
      <c r="U302" s="308"/>
      <c r="V302" s="308"/>
      <c r="W302" s="308"/>
      <c r="X302" s="308"/>
      <c r="Y302" s="308"/>
      <c r="Z302" s="308"/>
    </row>
    <row r="303" ht="15.75" customHeight="1">
      <c r="A303" s="305"/>
      <c r="B303" s="306"/>
      <c r="C303" s="307"/>
      <c r="D303" s="305"/>
      <c r="E303" s="305"/>
      <c r="F303" s="305"/>
      <c r="G303" s="305"/>
      <c r="H303" s="305"/>
      <c r="I303" s="305"/>
      <c r="J303" s="305"/>
      <c r="K303" s="305"/>
      <c r="L303" s="305"/>
      <c r="M303" s="305"/>
      <c r="N303" s="305"/>
      <c r="O303" s="305"/>
      <c r="P303" s="308"/>
      <c r="Q303" s="308"/>
      <c r="R303" s="308"/>
      <c r="S303" s="308"/>
      <c r="T303" s="308"/>
      <c r="U303" s="308"/>
      <c r="V303" s="308"/>
      <c r="W303" s="308"/>
      <c r="X303" s="308"/>
      <c r="Y303" s="308"/>
      <c r="Z303" s="308"/>
    </row>
    <row r="304" ht="15.75" customHeight="1">
      <c r="A304" s="305"/>
      <c r="B304" s="306"/>
      <c r="C304" s="307"/>
      <c r="D304" s="305"/>
      <c r="E304" s="305"/>
      <c r="F304" s="305"/>
      <c r="G304" s="305"/>
      <c r="H304" s="305"/>
      <c r="I304" s="305"/>
      <c r="J304" s="305"/>
      <c r="K304" s="305"/>
      <c r="L304" s="305"/>
      <c r="M304" s="305"/>
      <c r="N304" s="305"/>
      <c r="O304" s="305"/>
      <c r="P304" s="308"/>
      <c r="Q304" s="308"/>
      <c r="R304" s="308"/>
      <c r="S304" s="308"/>
      <c r="T304" s="308"/>
      <c r="U304" s="308"/>
      <c r="V304" s="308"/>
      <c r="W304" s="308"/>
      <c r="X304" s="308"/>
      <c r="Y304" s="308"/>
      <c r="Z304" s="308"/>
    </row>
    <row r="305" ht="15.75" customHeight="1">
      <c r="A305" s="305"/>
      <c r="B305" s="306"/>
      <c r="C305" s="307"/>
      <c r="D305" s="305"/>
      <c r="E305" s="305"/>
      <c r="F305" s="305"/>
      <c r="G305" s="305"/>
      <c r="H305" s="305"/>
      <c r="I305" s="305"/>
      <c r="J305" s="305"/>
      <c r="K305" s="305"/>
      <c r="L305" s="305"/>
      <c r="M305" s="305"/>
      <c r="N305" s="305"/>
      <c r="O305" s="305"/>
      <c r="P305" s="308"/>
      <c r="Q305" s="308"/>
      <c r="R305" s="308"/>
      <c r="S305" s="308"/>
      <c r="T305" s="308"/>
      <c r="U305" s="308"/>
      <c r="V305" s="308"/>
      <c r="W305" s="308"/>
      <c r="X305" s="308"/>
      <c r="Y305" s="308"/>
      <c r="Z305" s="308"/>
    </row>
    <row r="306" ht="15.75" customHeight="1">
      <c r="A306" s="305"/>
      <c r="B306" s="306"/>
      <c r="C306" s="307"/>
      <c r="D306" s="305"/>
      <c r="E306" s="305"/>
      <c r="F306" s="305"/>
      <c r="G306" s="305"/>
      <c r="H306" s="305"/>
      <c r="I306" s="305"/>
      <c r="J306" s="305"/>
      <c r="K306" s="305"/>
      <c r="L306" s="305"/>
      <c r="M306" s="305"/>
      <c r="N306" s="305"/>
      <c r="O306" s="305"/>
      <c r="P306" s="308"/>
      <c r="Q306" s="308"/>
      <c r="R306" s="308"/>
      <c r="S306" s="308"/>
      <c r="T306" s="308"/>
      <c r="U306" s="308"/>
      <c r="V306" s="308"/>
      <c r="W306" s="308"/>
      <c r="X306" s="308"/>
      <c r="Y306" s="308"/>
      <c r="Z306" s="308"/>
    </row>
    <row r="307" ht="15.75" customHeight="1">
      <c r="A307" s="305"/>
      <c r="B307" s="306"/>
      <c r="C307" s="307"/>
      <c r="D307" s="305"/>
      <c r="E307" s="305"/>
      <c r="F307" s="305"/>
      <c r="G307" s="305"/>
      <c r="H307" s="305"/>
      <c r="I307" s="305"/>
      <c r="J307" s="305"/>
      <c r="K307" s="305"/>
      <c r="L307" s="305"/>
      <c r="M307" s="305"/>
      <c r="N307" s="305"/>
      <c r="O307" s="305"/>
      <c r="P307" s="308"/>
      <c r="Q307" s="308"/>
      <c r="R307" s="308"/>
      <c r="S307" s="308"/>
      <c r="T307" s="308"/>
      <c r="U307" s="308"/>
      <c r="V307" s="308"/>
      <c r="W307" s="308"/>
      <c r="X307" s="308"/>
      <c r="Y307" s="308"/>
      <c r="Z307" s="308"/>
    </row>
    <row r="308" ht="15.75" customHeight="1">
      <c r="A308" s="305"/>
      <c r="B308" s="306"/>
      <c r="C308" s="307"/>
      <c r="D308" s="305"/>
      <c r="E308" s="305"/>
      <c r="F308" s="305"/>
      <c r="G308" s="305"/>
      <c r="H308" s="305"/>
      <c r="I308" s="305"/>
      <c r="J308" s="305"/>
      <c r="K308" s="305"/>
      <c r="L308" s="305"/>
      <c r="M308" s="305"/>
      <c r="N308" s="305"/>
      <c r="O308" s="305"/>
      <c r="P308" s="308"/>
      <c r="Q308" s="308"/>
      <c r="R308" s="308"/>
      <c r="S308" s="308"/>
      <c r="T308" s="308"/>
      <c r="U308" s="308"/>
      <c r="V308" s="308"/>
      <c r="W308" s="308"/>
      <c r="X308" s="308"/>
      <c r="Y308" s="308"/>
      <c r="Z308" s="308"/>
    </row>
    <row r="309" ht="15.75" customHeight="1">
      <c r="A309" s="305"/>
      <c r="B309" s="306"/>
      <c r="C309" s="307"/>
      <c r="D309" s="305"/>
      <c r="E309" s="305"/>
      <c r="F309" s="305"/>
      <c r="G309" s="305"/>
      <c r="H309" s="305"/>
      <c r="I309" s="305"/>
      <c r="J309" s="305"/>
      <c r="K309" s="305"/>
      <c r="L309" s="305"/>
      <c r="M309" s="305"/>
      <c r="N309" s="305"/>
      <c r="O309" s="305"/>
      <c r="P309" s="308"/>
      <c r="Q309" s="308"/>
      <c r="R309" s="308"/>
      <c r="S309" s="308"/>
      <c r="T309" s="308"/>
      <c r="U309" s="308"/>
      <c r="V309" s="308"/>
      <c r="W309" s="308"/>
      <c r="X309" s="308"/>
      <c r="Y309" s="308"/>
      <c r="Z309" s="308"/>
    </row>
    <row r="310" ht="15.75" customHeight="1">
      <c r="A310" s="305"/>
      <c r="B310" s="306"/>
      <c r="C310" s="307"/>
      <c r="D310" s="305"/>
      <c r="E310" s="305"/>
      <c r="F310" s="305"/>
      <c r="G310" s="305"/>
      <c r="H310" s="305"/>
      <c r="I310" s="305"/>
      <c r="J310" s="305"/>
      <c r="K310" s="305"/>
      <c r="L310" s="305"/>
      <c r="M310" s="305"/>
      <c r="N310" s="305"/>
      <c r="O310" s="305"/>
      <c r="P310" s="308"/>
      <c r="Q310" s="308"/>
      <c r="R310" s="308"/>
      <c r="S310" s="308"/>
      <c r="T310" s="308"/>
      <c r="U310" s="308"/>
      <c r="V310" s="308"/>
      <c r="W310" s="308"/>
      <c r="X310" s="308"/>
      <c r="Y310" s="308"/>
      <c r="Z310" s="308"/>
    </row>
    <row r="311" ht="15.75" customHeight="1">
      <c r="A311" s="305"/>
      <c r="B311" s="306"/>
      <c r="C311" s="307"/>
      <c r="D311" s="305"/>
      <c r="E311" s="305"/>
      <c r="F311" s="305"/>
      <c r="G311" s="305"/>
      <c r="H311" s="305"/>
      <c r="I311" s="305"/>
      <c r="J311" s="305"/>
      <c r="K311" s="305"/>
      <c r="L311" s="305"/>
      <c r="M311" s="305"/>
      <c r="N311" s="305"/>
      <c r="O311" s="305"/>
      <c r="P311" s="308"/>
      <c r="Q311" s="308"/>
      <c r="R311" s="308"/>
      <c r="S311" s="308"/>
      <c r="T311" s="308"/>
      <c r="U311" s="308"/>
      <c r="V311" s="308"/>
      <c r="W311" s="308"/>
      <c r="X311" s="308"/>
      <c r="Y311" s="308"/>
      <c r="Z311" s="308"/>
    </row>
    <row r="312" ht="15.75" customHeight="1">
      <c r="A312" s="305"/>
      <c r="B312" s="306"/>
      <c r="C312" s="307"/>
      <c r="D312" s="305"/>
      <c r="E312" s="305"/>
      <c r="F312" s="305"/>
      <c r="G312" s="305"/>
      <c r="H312" s="305"/>
      <c r="I312" s="305"/>
      <c r="J312" s="305"/>
      <c r="K312" s="305"/>
      <c r="L312" s="305"/>
      <c r="M312" s="305"/>
      <c r="N312" s="305"/>
      <c r="O312" s="305"/>
      <c r="P312" s="308"/>
      <c r="Q312" s="308"/>
      <c r="R312" s="308"/>
      <c r="S312" s="308"/>
      <c r="T312" s="308"/>
      <c r="U312" s="308"/>
      <c r="V312" s="308"/>
      <c r="W312" s="308"/>
      <c r="X312" s="308"/>
      <c r="Y312" s="308"/>
      <c r="Z312" s="308"/>
    </row>
    <row r="313" ht="15.75" customHeight="1">
      <c r="A313" s="305"/>
      <c r="B313" s="306"/>
      <c r="C313" s="307"/>
      <c r="D313" s="305"/>
      <c r="E313" s="305"/>
      <c r="F313" s="305"/>
      <c r="G313" s="305"/>
      <c r="H313" s="305"/>
      <c r="I313" s="305"/>
      <c r="J313" s="305"/>
      <c r="K313" s="305"/>
      <c r="L313" s="305"/>
      <c r="M313" s="305"/>
      <c r="N313" s="305"/>
      <c r="O313" s="305"/>
      <c r="P313" s="308"/>
      <c r="Q313" s="308"/>
      <c r="R313" s="308"/>
      <c r="S313" s="308"/>
      <c r="T313" s="308"/>
      <c r="U313" s="308"/>
      <c r="V313" s="308"/>
      <c r="W313" s="308"/>
      <c r="X313" s="308"/>
      <c r="Y313" s="308"/>
      <c r="Z313" s="308"/>
    </row>
    <row r="314" ht="15.75" customHeight="1">
      <c r="A314" s="305"/>
      <c r="B314" s="306"/>
      <c r="C314" s="307"/>
      <c r="D314" s="305"/>
      <c r="E314" s="305"/>
      <c r="F314" s="305"/>
      <c r="G314" s="305"/>
      <c r="H314" s="305"/>
      <c r="I314" s="305"/>
      <c r="J314" s="305"/>
      <c r="K314" s="305"/>
      <c r="L314" s="305"/>
      <c r="M314" s="305"/>
      <c r="N314" s="305"/>
      <c r="O314" s="305"/>
      <c r="P314" s="308"/>
      <c r="Q314" s="308"/>
      <c r="R314" s="308"/>
      <c r="S314" s="308"/>
      <c r="T314" s="308"/>
      <c r="U314" s="308"/>
      <c r="V314" s="308"/>
      <c r="W314" s="308"/>
      <c r="X314" s="308"/>
      <c r="Y314" s="308"/>
      <c r="Z314" s="308"/>
    </row>
    <row r="315" ht="15.75" customHeight="1">
      <c r="A315" s="305"/>
      <c r="B315" s="306"/>
      <c r="C315" s="307"/>
      <c r="D315" s="305"/>
      <c r="E315" s="305"/>
      <c r="F315" s="305"/>
      <c r="G315" s="305"/>
      <c r="H315" s="305"/>
      <c r="I315" s="305"/>
      <c r="J315" s="305"/>
      <c r="K315" s="305"/>
      <c r="L315" s="305"/>
      <c r="M315" s="305"/>
      <c r="N315" s="305"/>
      <c r="O315" s="305"/>
      <c r="P315" s="308"/>
      <c r="Q315" s="308"/>
      <c r="R315" s="308"/>
      <c r="S315" s="308"/>
      <c r="T315" s="308"/>
      <c r="U315" s="308"/>
      <c r="V315" s="308"/>
      <c r="W315" s="308"/>
      <c r="X315" s="308"/>
      <c r="Y315" s="308"/>
      <c r="Z315" s="308"/>
    </row>
    <row r="316" ht="15.75" customHeight="1">
      <c r="A316" s="305"/>
      <c r="B316" s="306"/>
      <c r="C316" s="307"/>
      <c r="D316" s="305"/>
      <c r="E316" s="305"/>
      <c r="F316" s="305"/>
      <c r="G316" s="305"/>
      <c r="H316" s="305"/>
      <c r="I316" s="305"/>
      <c r="J316" s="305"/>
      <c r="K316" s="305"/>
      <c r="L316" s="305"/>
      <c r="M316" s="305"/>
      <c r="N316" s="305"/>
      <c r="O316" s="305"/>
      <c r="P316" s="308"/>
      <c r="Q316" s="308"/>
      <c r="R316" s="308"/>
      <c r="S316" s="308"/>
      <c r="T316" s="308"/>
      <c r="U316" s="308"/>
      <c r="V316" s="308"/>
      <c r="W316" s="308"/>
      <c r="X316" s="308"/>
      <c r="Y316" s="308"/>
      <c r="Z316" s="308"/>
    </row>
    <row r="317" ht="15.75" customHeight="1">
      <c r="A317" s="305"/>
      <c r="B317" s="306"/>
      <c r="C317" s="307"/>
      <c r="D317" s="305"/>
      <c r="E317" s="305"/>
      <c r="F317" s="305"/>
      <c r="G317" s="305"/>
      <c r="H317" s="305"/>
      <c r="I317" s="305"/>
      <c r="J317" s="305"/>
      <c r="K317" s="305"/>
      <c r="L317" s="305"/>
      <c r="M317" s="305"/>
      <c r="N317" s="305"/>
      <c r="O317" s="305"/>
      <c r="P317" s="308"/>
      <c r="Q317" s="308"/>
      <c r="R317" s="308"/>
      <c r="S317" s="308"/>
      <c r="T317" s="308"/>
      <c r="U317" s="308"/>
      <c r="V317" s="308"/>
      <c r="W317" s="308"/>
      <c r="X317" s="308"/>
      <c r="Y317" s="308"/>
      <c r="Z317" s="308"/>
    </row>
    <row r="318" ht="15.75" customHeight="1">
      <c r="A318" s="305"/>
      <c r="B318" s="306"/>
      <c r="C318" s="307"/>
      <c r="D318" s="305"/>
      <c r="E318" s="305"/>
      <c r="F318" s="305"/>
      <c r="G318" s="305"/>
      <c r="H318" s="305"/>
      <c r="I318" s="305"/>
      <c r="J318" s="305"/>
      <c r="K318" s="305"/>
      <c r="L318" s="305"/>
      <c r="M318" s="305"/>
      <c r="N318" s="305"/>
      <c r="O318" s="305"/>
      <c r="P318" s="308"/>
      <c r="Q318" s="308"/>
      <c r="R318" s="308"/>
      <c r="S318" s="308"/>
      <c r="T318" s="308"/>
      <c r="U318" s="308"/>
      <c r="V318" s="308"/>
      <c r="W318" s="308"/>
      <c r="X318" s="308"/>
      <c r="Y318" s="308"/>
      <c r="Z318" s="308"/>
    </row>
    <row r="319" ht="15.75" customHeight="1">
      <c r="A319" s="305"/>
      <c r="B319" s="306"/>
      <c r="C319" s="307"/>
      <c r="D319" s="305"/>
      <c r="E319" s="305"/>
      <c r="F319" s="305"/>
      <c r="G319" s="305"/>
      <c r="H319" s="305"/>
      <c r="I319" s="305"/>
      <c r="J319" s="305"/>
      <c r="K319" s="305"/>
      <c r="L319" s="305"/>
      <c r="M319" s="305"/>
      <c r="N319" s="305"/>
      <c r="O319" s="305"/>
      <c r="P319" s="308"/>
      <c r="Q319" s="308"/>
      <c r="R319" s="308"/>
      <c r="S319" s="308"/>
      <c r="T319" s="308"/>
      <c r="U319" s="308"/>
      <c r="V319" s="308"/>
      <c r="W319" s="308"/>
      <c r="X319" s="308"/>
      <c r="Y319" s="308"/>
      <c r="Z319" s="308"/>
    </row>
    <row r="320" ht="15.75" customHeight="1">
      <c r="A320" s="305"/>
      <c r="B320" s="306"/>
      <c r="C320" s="307"/>
      <c r="D320" s="305"/>
      <c r="E320" s="305"/>
      <c r="F320" s="305"/>
      <c r="G320" s="305"/>
      <c r="H320" s="305"/>
      <c r="I320" s="305"/>
      <c r="J320" s="305"/>
      <c r="K320" s="305"/>
      <c r="L320" s="305"/>
      <c r="M320" s="305"/>
      <c r="N320" s="305"/>
      <c r="O320" s="305"/>
      <c r="P320" s="308"/>
      <c r="Q320" s="308"/>
      <c r="R320" s="308"/>
      <c r="S320" s="308"/>
      <c r="T320" s="308"/>
      <c r="U320" s="308"/>
      <c r="V320" s="308"/>
      <c r="W320" s="308"/>
      <c r="X320" s="308"/>
      <c r="Y320" s="308"/>
      <c r="Z320" s="308"/>
    </row>
    <row r="321" ht="15.75" customHeight="1">
      <c r="A321" s="305"/>
      <c r="B321" s="306"/>
      <c r="C321" s="307"/>
      <c r="D321" s="305"/>
      <c r="E321" s="305"/>
      <c r="F321" s="305"/>
      <c r="G321" s="305"/>
      <c r="H321" s="305"/>
      <c r="I321" s="305"/>
      <c r="J321" s="305"/>
      <c r="K321" s="305"/>
      <c r="L321" s="305"/>
      <c r="M321" s="305"/>
      <c r="N321" s="305"/>
      <c r="O321" s="305"/>
      <c r="P321" s="308"/>
      <c r="Q321" s="308"/>
      <c r="R321" s="308"/>
      <c r="S321" s="308"/>
      <c r="T321" s="308"/>
      <c r="U321" s="308"/>
      <c r="V321" s="308"/>
      <c r="W321" s="308"/>
      <c r="X321" s="308"/>
      <c r="Y321" s="308"/>
      <c r="Z321" s="308"/>
    </row>
    <row r="322" ht="15.75" customHeight="1">
      <c r="A322" s="305"/>
      <c r="B322" s="306"/>
      <c r="C322" s="307"/>
      <c r="D322" s="305"/>
      <c r="E322" s="305"/>
      <c r="F322" s="305"/>
      <c r="G322" s="305"/>
      <c r="H322" s="305"/>
      <c r="I322" s="305"/>
      <c r="J322" s="305"/>
      <c r="K322" s="305"/>
      <c r="L322" s="305"/>
      <c r="M322" s="305"/>
      <c r="N322" s="305"/>
      <c r="O322" s="305"/>
      <c r="P322" s="308"/>
      <c r="Q322" s="308"/>
      <c r="R322" s="308"/>
      <c r="S322" s="308"/>
      <c r="T322" s="308"/>
      <c r="U322" s="308"/>
      <c r="V322" s="308"/>
      <c r="W322" s="308"/>
      <c r="X322" s="308"/>
      <c r="Y322" s="308"/>
      <c r="Z322" s="308"/>
    </row>
    <row r="323" ht="15.75" customHeight="1">
      <c r="A323" s="305"/>
      <c r="B323" s="306"/>
      <c r="C323" s="307"/>
      <c r="D323" s="305"/>
      <c r="E323" s="305"/>
      <c r="F323" s="305"/>
      <c r="G323" s="305"/>
      <c r="H323" s="305"/>
      <c r="I323" s="305"/>
      <c r="J323" s="305"/>
      <c r="K323" s="305"/>
      <c r="L323" s="305"/>
      <c r="M323" s="305"/>
      <c r="N323" s="305"/>
      <c r="O323" s="305"/>
      <c r="P323" s="308"/>
      <c r="Q323" s="308"/>
      <c r="R323" s="308"/>
      <c r="S323" s="308"/>
      <c r="T323" s="308"/>
      <c r="U323" s="308"/>
      <c r="V323" s="308"/>
      <c r="W323" s="308"/>
      <c r="X323" s="308"/>
      <c r="Y323" s="308"/>
      <c r="Z323" s="308"/>
    </row>
    <row r="324" ht="15.75" customHeight="1">
      <c r="A324" s="305"/>
      <c r="B324" s="306"/>
      <c r="C324" s="307"/>
      <c r="D324" s="305"/>
      <c r="E324" s="305"/>
      <c r="F324" s="305"/>
      <c r="G324" s="305"/>
      <c r="H324" s="305"/>
      <c r="I324" s="305"/>
      <c r="J324" s="305"/>
      <c r="K324" s="305"/>
      <c r="L324" s="305"/>
      <c r="M324" s="305"/>
      <c r="N324" s="305"/>
      <c r="O324" s="305"/>
      <c r="P324" s="308"/>
      <c r="Q324" s="308"/>
      <c r="R324" s="308"/>
      <c r="S324" s="308"/>
      <c r="T324" s="308"/>
      <c r="U324" s="308"/>
      <c r="V324" s="308"/>
      <c r="W324" s="308"/>
      <c r="X324" s="308"/>
      <c r="Y324" s="308"/>
      <c r="Z324" s="308"/>
    </row>
    <row r="325" ht="15.75" customHeight="1">
      <c r="A325" s="305"/>
      <c r="B325" s="306"/>
      <c r="C325" s="307"/>
      <c r="D325" s="305"/>
      <c r="E325" s="305"/>
      <c r="F325" s="305"/>
      <c r="G325" s="305"/>
      <c r="H325" s="305"/>
      <c r="I325" s="305"/>
      <c r="J325" s="305"/>
      <c r="K325" s="305"/>
      <c r="L325" s="305"/>
      <c r="M325" s="305"/>
      <c r="N325" s="305"/>
      <c r="O325" s="305"/>
      <c r="P325" s="308"/>
      <c r="Q325" s="308"/>
      <c r="R325" s="308"/>
      <c r="S325" s="308"/>
      <c r="T325" s="308"/>
      <c r="U325" s="308"/>
      <c r="V325" s="308"/>
      <c r="W325" s="308"/>
      <c r="X325" s="308"/>
      <c r="Y325" s="308"/>
      <c r="Z325" s="308"/>
    </row>
    <row r="326" ht="15.75" customHeight="1">
      <c r="A326" s="305"/>
      <c r="B326" s="306"/>
      <c r="C326" s="307"/>
      <c r="D326" s="305"/>
      <c r="E326" s="305"/>
      <c r="F326" s="305"/>
      <c r="G326" s="305"/>
      <c r="H326" s="305"/>
      <c r="I326" s="305"/>
      <c r="J326" s="305"/>
      <c r="K326" s="305"/>
      <c r="L326" s="305"/>
      <c r="M326" s="305"/>
      <c r="N326" s="305"/>
      <c r="O326" s="305"/>
      <c r="P326" s="308"/>
      <c r="Q326" s="308"/>
      <c r="R326" s="308"/>
      <c r="S326" s="308"/>
      <c r="T326" s="308"/>
      <c r="U326" s="308"/>
      <c r="V326" s="308"/>
      <c r="W326" s="308"/>
      <c r="X326" s="308"/>
      <c r="Y326" s="308"/>
      <c r="Z326" s="308"/>
    </row>
    <row r="327" ht="15.75" customHeight="1">
      <c r="A327" s="305"/>
      <c r="B327" s="306"/>
      <c r="C327" s="307"/>
      <c r="D327" s="305"/>
      <c r="E327" s="305"/>
      <c r="F327" s="305"/>
      <c r="G327" s="305"/>
      <c r="H327" s="305"/>
      <c r="I327" s="305"/>
      <c r="J327" s="305"/>
      <c r="K327" s="305"/>
      <c r="L327" s="305"/>
      <c r="M327" s="305"/>
      <c r="N327" s="305"/>
      <c r="O327" s="305"/>
      <c r="P327" s="308"/>
      <c r="Q327" s="308"/>
      <c r="R327" s="308"/>
      <c r="S327" s="308"/>
      <c r="T327" s="308"/>
      <c r="U327" s="308"/>
      <c r="V327" s="308"/>
      <c r="W327" s="308"/>
      <c r="X327" s="308"/>
      <c r="Y327" s="308"/>
      <c r="Z327" s="308"/>
    </row>
    <row r="328" ht="15.75" customHeight="1">
      <c r="A328" s="305"/>
      <c r="B328" s="306"/>
      <c r="C328" s="307"/>
      <c r="D328" s="305"/>
      <c r="E328" s="305"/>
      <c r="F328" s="305"/>
      <c r="G328" s="305"/>
      <c r="H328" s="305"/>
      <c r="I328" s="305"/>
      <c r="J328" s="305"/>
      <c r="K328" s="305"/>
      <c r="L328" s="305"/>
      <c r="M328" s="305"/>
      <c r="N328" s="305"/>
      <c r="O328" s="305"/>
      <c r="P328" s="308"/>
      <c r="Q328" s="308"/>
      <c r="R328" s="308"/>
      <c r="S328" s="308"/>
      <c r="T328" s="308"/>
      <c r="U328" s="308"/>
      <c r="V328" s="308"/>
      <c r="W328" s="308"/>
      <c r="X328" s="308"/>
      <c r="Y328" s="308"/>
      <c r="Z328" s="308"/>
    </row>
    <row r="329" ht="15.75" customHeight="1">
      <c r="A329" s="305"/>
      <c r="B329" s="306"/>
      <c r="C329" s="307"/>
      <c r="D329" s="305"/>
      <c r="E329" s="305"/>
      <c r="F329" s="305"/>
      <c r="G329" s="305"/>
      <c r="H329" s="305"/>
      <c r="I329" s="305"/>
      <c r="J329" s="305"/>
      <c r="K329" s="305"/>
      <c r="L329" s="305"/>
      <c r="M329" s="305"/>
      <c r="N329" s="305"/>
      <c r="O329" s="305"/>
      <c r="P329" s="308"/>
      <c r="Q329" s="308"/>
      <c r="R329" s="308"/>
      <c r="S329" s="308"/>
      <c r="T329" s="308"/>
      <c r="U329" s="308"/>
      <c r="V329" s="308"/>
      <c r="W329" s="308"/>
      <c r="X329" s="308"/>
      <c r="Y329" s="308"/>
      <c r="Z329" s="308"/>
    </row>
    <row r="330" ht="15.75" customHeight="1">
      <c r="A330" s="305"/>
      <c r="B330" s="306"/>
      <c r="C330" s="307"/>
      <c r="D330" s="305"/>
      <c r="E330" s="305"/>
      <c r="F330" s="305"/>
      <c r="G330" s="305"/>
      <c r="H330" s="305"/>
      <c r="I330" s="305"/>
      <c r="J330" s="305"/>
      <c r="K330" s="305"/>
      <c r="L330" s="305"/>
      <c r="M330" s="305"/>
      <c r="N330" s="305"/>
      <c r="O330" s="305"/>
      <c r="P330" s="308"/>
      <c r="Q330" s="308"/>
      <c r="R330" s="308"/>
      <c r="S330" s="308"/>
      <c r="T330" s="308"/>
      <c r="U330" s="308"/>
      <c r="V330" s="308"/>
      <c r="W330" s="308"/>
      <c r="X330" s="308"/>
      <c r="Y330" s="308"/>
      <c r="Z330" s="308"/>
    </row>
    <row r="331" ht="15.75" customHeight="1">
      <c r="A331" s="305"/>
      <c r="B331" s="306"/>
      <c r="C331" s="307"/>
      <c r="D331" s="305"/>
      <c r="E331" s="305"/>
      <c r="F331" s="305"/>
      <c r="G331" s="305"/>
      <c r="H331" s="305"/>
      <c r="I331" s="305"/>
      <c r="J331" s="305"/>
      <c r="K331" s="305"/>
      <c r="L331" s="305"/>
      <c r="M331" s="305"/>
      <c r="N331" s="305"/>
      <c r="O331" s="305"/>
      <c r="P331" s="308"/>
      <c r="Q331" s="308"/>
      <c r="R331" s="308"/>
      <c r="S331" s="308"/>
      <c r="T331" s="308"/>
      <c r="U331" s="308"/>
      <c r="V331" s="308"/>
      <c r="W331" s="308"/>
      <c r="X331" s="308"/>
      <c r="Y331" s="308"/>
      <c r="Z331" s="308"/>
    </row>
    <row r="332" ht="15.75" customHeight="1">
      <c r="A332" s="305"/>
      <c r="B332" s="306"/>
      <c r="C332" s="307"/>
      <c r="D332" s="305"/>
      <c r="E332" s="305"/>
      <c r="F332" s="305"/>
      <c r="G332" s="305"/>
      <c r="H332" s="305"/>
      <c r="I332" s="305"/>
      <c r="J332" s="305"/>
      <c r="K332" s="305"/>
      <c r="L332" s="305"/>
      <c r="M332" s="305"/>
      <c r="N332" s="305"/>
      <c r="O332" s="305"/>
      <c r="P332" s="308"/>
      <c r="Q332" s="308"/>
      <c r="R332" s="308"/>
      <c r="S332" s="308"/>
      <c r="T332" s="308"/>
      <c r="U332" s="308"/>
      <c r="V332" s="308"/>
      <c r="W332" s="308"/>
      <c r="X332" s="308"/>
      <c r="Y332" s="308"/>
      <c r="Z332" s="308"/>
    </row>
    <row r="333" ht="15.75" customHeight="1">
      <c r="A333" s="305"/>
      <c r="B333" s="306"/>
      <c r="C333" s="307"/>
      <c r="D333" s="305"/>
      <c r="E333" s="305"/>
      <c r="F333" s="305"/>
      <c r="G333" s="305"/>
      <c r="H333" s="305"/>
      <c r="I333" s="305"/>
      <c r="J333" s="305"/>
      <c r="K333" s="305"/>
      <c r="L333" s="305"/>
      <c r="M333" s="305"/>
      <c r="N333" s="305"/>
      <c r="O333" s="305"/>
      <c r="P333" s="308"/>
      <c r="Q333" s="308"/>
      <c r="R333" s="308"/>
      <c r="S333" s="308"/>
      <c r="T333" s="308"/>
      <c r="U333" s="308"/>
      <c r="V333" s="308"/>
      <c r="W333" s="308"/>
      <c r="X333" s="308"/>
      <c r="Y333" s="308"/>
      <c r="Z333" s="308"/>
    </row>
    <row r="334" ht="15.75" customHeight="1">
      <c r="A334" s="305"/>
      <c r="B334" s="306"/>
      <c r="C334" s="307"/>
      <c r="D334" s="305"/>
      <c r="E334" s="305"/>
      <c r="F334" s="305"/>
      <c r="G334" s="305"/>
      <c r="H334" s="305"/>
      <c r="I334" s="305"/>
      <c r="J334" s="305"/>
      <c r="K334" s="305"/>
      <c r="L334" s="305"/>
      <c r="M334" s="305"/>
      <c r="N334" s="305"/>
      <c r="O334" s="305"/>
      <c r="P334" s="308"/>
      <c r="Q334" s="308"/>
      <c r="R334" s="308"/>
      <c r="S334" s="308"/>
      <c r="T334" s="308"/>
      <c r="U334" s="308"/>
      <c r="V334" s="308"/>
      <c r="W334" s="308"/>
      <c r="X334" s="308"/>
      <c r="Y334" s="308"/>
      <c r="Z334" s="308"/>
    </row>
    <row r="335" ht="15.75" customHeight="1">
      <c r="A335" s="305"/>
      <c r="B335" s="306"/>
      <c r="C335" s="307"/>
      <c r="D335" s="305"/>
      <c r="E335" s="305"/>
      <c r="F335" s="305"/>
      <c r="G335" s="305"/>
      <c r="H335" s="305"/>
      <c r="I335" s="305"/>
      <c r="J335" s="305"/>
      <c r="K335" s="305"/>
      <c r="L335" s="305"/>
      <c r="M335" s="305"/>
      <c r="N335" s="305"/>
      <c r="O335" s="305"/>
      <c r="P335" s="308"/>
      <c r="Q335" s="308"/>
      <c r="R335" s="308"/>
      <c r="S335" s="308"/>
      <c r="T335" s="308"/>
      <c r="U335" s="308"/>
      <c r="V335" s="308"/>
      <c r="W335" s="308"/>
      <c r="X335" s="308"/>
      <c r="Y335" s="308"/>
      <c r="Z335" s="308"/>
    </row>
    <row r="336" ht="15.75" customHeight="1">
      <c r="A336" s="305"/>
      <c r="B336" s="306"/>
      <c r="C336" s="307"/>
      <c r="D336" s="305"/>
      <c r="E336" s="305"/>
      <c r="F336" s="305"/>
      <c r="G336" s="305"/>
      <c r="H336" s="305"/>
      <c r="I336" s="305"/>
      <c r="J336" s="305"/>
      <c r="K336" s="305"/>
      <c r="L336" s="305"/>
      <c r="M336" s="305"/>
      <c r="N336" s="305"/>
      <c r="O336" s="305"/>
      <c r="P336" s="308"/>
      <c r="Q336" s="308"/>
      <c r="R336" s="308"/>
      <c r="S336" s="308"/>
      <c r="T336" s="308"/>
      <c r="U336" s="308"/>
      <c r="V336" s="308"/>
      <c r="W336" s="308"/>
      <c r="X336" s="308"/>
      <c r="Y336" s="308"/>
      <c r="Z336" s="308"/>
    </row>
    <row r="337" ht="15.75" customHeight="1">
      <c r="A337" s="305"/>
      <c r="B337" s="306"/>
      <c r="C337" s="307"/>
      <c r="D337" s="305"/>
      <c r="E337" s="305"/>
      <c r="F337" s="305"/>
      <c r="G337" s="305"/>
      <c r="H337" s="305"/>
      <c r="I337" s="305"/>
      <c r="J337" s="305"/>
      <c r="K337" s="305"/>
      <c r="L337" s="305"/>
      <c r="M337" s="305"/>
      <c r="N337" s="305"/>
      <c r="O337" s="305"/>
      <c r="P337" s="308"/>
      <c r="Q337" s="308"/>
      <c r="R337" s="308"/>
      <c r="S337" s="308"/>
      <c r="T337" s="308"/>
      <c r="U337" s="308"/>
      <c r="V337" s="308"/>
      <c r="W337" s="308"/>
      <c r="X337" s="308"/>
      <c r="Y337" s="308"/>
      <c r="Z337" s="308"/>
    </row>
    <row r="338" ht="15.75" customHeight="1">
      <c r="A338" s="305"/>
      <c r="B338" s="306"/>
      <c r="C338" s="307"/>
      <c r="D338" s="305"/>
      <c r="E338" s="305"/>
      <c r="F338" s="305"/>
      <c r="G338" s="305"/>
      <c r="H338" s="305"/>
      <c r="I338" s="305"/>
      <c r="J338" s="305"/>
      <c r="K338" s="305"/>
      <c r="L338" s="305"/>
      <c r="M338" s="305"/>
      <c r="N338" s="305"/>
      <c r="O338" s="305"/>
      <c r="P338" s="308"/>
      <c r="Q338" s="308"/>
      <c r="R338" s="308"/>
      <c r="S338" s="308"/>
      <c r="T338" s="308"/>
      <c r="U338" s="308"/>
      <c r="V338" s="308"/>
      <c r="W338" s="308"/>
      <c r="X338" s="308"/>
      <c r="Y338" s="308"/>
      <c r="Z338" s="308"/>
    </row>
    <row r="339" ht="15.75" customHeight="1">
      <c r="A339" s="305"/>
      <c r="B339" s="306"/>
      <c r="C339" s="307"/>
      <c r="D339" s="305"/>
      <c r="E339" s="305"/>
      <c r="F339" s="305"/>
      <c r="G339" s="305"/>
      <c r="H339" s="305"/>
      <c r="I339" s="305"/>
      <c r="J339" s="305"/>
      <c r="K339" s="305"/>
      <c r="L339" s="305"/>
      <c r="M339" s="305"/>
      <c r="N339" s="305"/>
      <c r="O339" s="305"/>
      <c r="P339" s="308"/>
      <c r="Q339" s="308"/>
      <c r="R339" s="308"/>
      <c r="S339" s="308"/>
      <c r="T339" s="308"/>
      <c r="U339" s="308"/>
      <c r="V339" s="308"/>
      <c r="W339" s="308"/>
      <c r="X339" s="308"/>
      <c r="Y339" s="308"/>
      <c r="Z339" s="308"/>
    </row>
    <row r="340" ht="15.75" customHeight="1">
      <c r="A340" s="305"/>
      <c r="B340" s="306"/>
      <c r="C340" s="307"/>
      <c r="D340" s="305"/>
      <c r="E340" s="305"/>
      <c r="F340" s="305"/>
      <c r="G340" s="305"/>
      <c r="H340" s="305"/>
      <c r="I340" s="305"/>
      <c r="J340" s="305"/>
      <c r="K340" s="305"/>
      <c r="L340" s="305"/>
      <c r="M340" s="305"/>
      <c r="N340" s="305"/>
      <c r="O340" s="305"/>
      <c r="P340" s="308"/>
      <c r="Q340" s="308"/>
      <c r="R340" s="308"/>
      <c r="S340" s="308"/>
      <c r="T340" s="308"/>
      <c r="U340" s="308"/>
      <c r="V340" s="308"/>
      <c r="W340" s="308"/>
      <c r="X340" s="308"/>
      <c r="Y340" s="308"/>
      <c r="Z340" s="308"/>
    </row>
    <row r="341" ht="15.75" customHeight="1">
      <c r="A341" s="305"/>
      <c r="B341" s="306"/>
      <c r="C341" s="307"/>
      <c r="D341" s="305"/>
      <c r="E341" s="305"/>
      <c r="F341" s="305"/>
      <c r="G341" s="305"/>
      <c r="H341" s="305"/>
      <c r="I341" s="305"/>
      <c r="J341" s="305"/>
      <c r="K341" s="305"/>
      <c r="L341" s="305"/>
      <c r="M341" s="305"/>
      <c r="N341" s="305"/>
      <c r="O341" s="305"/>
      <c r="P341" s="308"/>
      <c r="Q341" s="308"/>
      <c r="R341" s="308"/>
      <c r="S341" s="308"/>
      <c r="T341" s="308"/>
      <c r="U341" s="308"/>
      <c r="V341" s="308"/>
      <c r="W341" s="308"/>
      <c r="X341" s="308"/>
      <c r="Y341" s="308"/>
      <c r="Z341" s="308"/>
    </row>
    <row r="342" ht="15.75" customHeight="1">
      <c r="A342" s="305"/>
      <c r="B342" s="306"/>
      <c r="C342" s="307"/>
      <c r="D342" s="305"/>
      <c r="E342" s="305"/>
      <c r="F342" s="305"/>
      <c r="G342" s="305"/>
      <c r="H342" s="305"/>
      <c r="I342" s="305"/>
      <c r="J342" s="305"/>
      <c r="K342" s="305"/>
      <c r="L342" s="305"/>
      <c r="M342" s="305"/>
      <c r="N342" s="305"/>
      <c r="O342" s="305"/>
      <c r="P342" s="308"/>
      <c r="Q342" s="308"/>
      <c r="R342" s="308"/>
      <c r="S342" s="308"/>
      <c r="T342" s="308"/>
      <c r="U342" s="308"/>
      <c r="V342" s="308"/>
      <c r="W342" s="308"/>
      <c r="X342" s="308"/>
      <c r="Y342" s="308"/>
      <c r="Z342" s="308"/>
    </row>
    <row r="343" ht="15.75" customHeight="1">
      <c r="A343" s="305"/>
      <c r="B343" s="306"/>
      <c r="C343" s="307"/>
      <c r="D343" s="305"/>
      <c r="E343" s="305"/>
      <c r="F343" s="305"/>
      <c r="G343" s="305"/>
      <c r="H343" s="305"/>
      <c r="I343" s="305"/>
      <c r="J343" s="305"/>
      <c r="K343" s="305"/>
      <c r="L343" s="305"/>
      <c r="M343" s="305"/>
      <c r="N343" s="305"/>
      <c r="O343" s="305"/>
      <c r="P343" s="308"/>
      <c r="Q343" s="308"/>
      <c r="R343" s="308"/>
      <c r="S343" s="308"/>
      <c r="T343" s="308"/>
      <c r="U343" s="308"/>
      <c r="V343" s="308"/>
      <c r="W343" s="308"/>
      <c r="X343" s="308"/>
      <c r="Y343" s="308"/>
      <c r="Z343" s="308"/>
    </row>
    <row r="344" ht="15.75" customHeight="1">
      <c r="A344" s="305"/>
      <c r="B344" s="306"/>
      <c r="C344" s="307"/>
      <c r="D344" s="305"/>
      <c r="E344" s="305"/>
      <c r="F344" s="305"/>
      <c r="G344" s="305"/>
      <c r="H344" s="305"/>
      <c r="I344" s="305"/>
      <c r="J344" s="305"/>
      <c r="K344" s="305"/>
      <c r="L344" s="305"/>
      <c r="M344" s="305"/>
      <c r="N344" s="305"/>
      <c r="O344" s="305"/>
      <c r="P344" s="308"/>
      <c r="Q344" s="308"/>
      <c r="R344" s="308"/>
      <c r="S344" s="308"/>
      <c r="T344" s="308"/>
      <c r="U344" s="308"/>
      <c r="V344" s="308"/>
      <c r="W344" s="308"/>
      <c r="X344" s="308"/>
      <c r="Y344" s="308"/>
      <c r="Z344" s="308"/>
    </row>
    <row r="345" ht="15.75" customHeight="1">
      <c r="A345" s="305"/>
      <c r="B345" s="306"/>
      <c r="C345" s="307"/>
      <c r="D345" s="305"/>
      <c r="E345" s="305"/>
      <c r="F345" s="305"/>
      <c r="G345" s="305"/>
      <c r="H345" s="305"/>
      <c r="I345" s="305"/>
      <c r="J345" s="305"/>
      <c r="K345" s="305"/>
      <c r="L345" s="305"/>
      <c r="M345" s="305"/>
      <c r="N345" s="305"/>
      <c r="O345" s="305"/>
      <c r="P345" s="308"/>
      <c r="Q345" s="308"/>
      <c r="R345" s="308"/>
      <c r="S345" s="308"/>
      <c r="T345" s="308"/>
      <c r="U345" s="308"/>
      <c r="V345" s="308"/>
      <c r="W345" s="308"/>
      <c r="X345" s="308"/>
      <c r="Y345" s="308"/>
      <c r="Z345" s="308"/>
    </row>
    <row r="346" ht="15.75" customHeight="1">
      <c r="A346" s="305"/>
      <c r="B346" s="306"/>
      <c r="C346" s="307"/>
      <c r="D346" s="305"/>
      <c r="E346" s="305"/>
      <c r="F346" s="305"/>
      <c r="G346" s="305"/>
      <c r="H346" s="305"/>
      <c r="I346" s="305"/>
      <c r="J346" s="305"/>
      <c r="K346" s="305"/>
      <c r="L346" s="305"/>
      <c r="M346" s="305"/>
      <c r="N346" s="305"/>
      <c r="O346" s="305"/>
      <c r="P346" s="308"/>
      <c r="Q346" s="308"/>
      <c r="R346" s="308"/>
      <c r="S346" s="308"/>
      <c r="T346" s="308"/>
      <c r="U346" s="308"/>
      <c r="V346" s="308"/>
      <c r="W346" s="308"/>
      <c r="X346" s="308"/>
      <c r="Y346" s="308"/>
      <c r="Z346" s="308"/>
    </row>
    <row r="347" ht="15.75" customHeight="1">
      <c r="A347" s="305"/>
      <c r="B347" s="306"/>
      <c r="C347" s="307"/>
      <c r="D347" s="305"/>
      <c r="E347" s="305"/>
      <c r="F347" s="305"/>
      <c r="G347" s="305"/>
      <c r="H347" s="305"/>
      <c r="I347" s="305"/>
      <c r="J347" s="305"/>
      <c r="K347" s="305"/>
      <c r="L347" s="305"/>
      <c r="M347" s="305"/>
      <c r="N347" s="305"/>
      <c r="O347" s="305"/>
      <c r="P347" s="308"/>
      <c r="Q347" s="308"/>
      <c r="R347" s="308"/>
      <c r="S347" s="308"/>
      <c r="T347" s="308"/>
      <c r="U347" s="308"/>
      <c r="V347" s="308"/>
      <c r="W347" s="308"/>
      <c r="X347" s="308"/>
      <c r="Y347" s="308"/>
      <c r="Z347" s="308"/>
    </row>
    <row r="348" ht="15.75" customHeight="1">
      <c r="A348" s="305"/>
      <c r="B348" s="306"/>
      <c r="C348" s="307"/>
      <c r="D348" s="305"/>
      <c r="E348" s="305"/>
      <c r="F348" s="305"/>
      <c r="G348" s="305"/>
      <c r="H348" s="305"/>
      <c r="I348" s="305"/>
      <c r="J348" s="305"/>
      <c r="K348" s="305"/>
      <c r="L348" s="305"/>
      <c r="M348" s="305"/>
      <c r="N348" s="305"/>
      <c r="O348" s="305"/>
      <c r="P348" s="308"/>
      <c r="Q348" s="308"/>
      <c r="R348" s="308"/>
      <c r="S348" s="308"/>
      <c r="T348" s="308"/>
      <c r="U348" s="308"/>
      <c r="V348" s="308"/>
      <c r="W348" s="308"/>
      <c r="X348" s="308"/>
      <c r="Y348" s="308"/>
      <c r="Z348" s="308"/>
    </row>
    <row r="349" ht="15.75" customHeight="1">
      <c r="A349" s="305"/>
      <c r="B349" s="306"/>
      <c r="C349" s="307"/>
      <c r="D349" s="305"/>
      <c r="E349" s="305"/>
      <c r="F349" s="305"/>
      <c r="G349" s="305"/>
      <c r="H349" s="305"/>
      <c r="I349" s="305"/>
      <c r="J349" s="305"/>
      <c r="K349" s="305"/>
      <c r="L349" s="305"/>
      <c r="M349" s="305"/>
      <c r="N349" s="305"/>
      <c r="O349" s="305"/>
      <c r="P349" s="308"/>
      <c r="Q349" s="308"/>
      <c r="R349" s="308"/>
      <c r="S349" s="308"/>
      <c r="T349" s="308"/>
      <c r="U349" s="308"/>
      <c r="V349" s="308"/>
      <c r="W349" s="308"/>
      <c r="X349" s="308"/>
      <c r="Y349" s="308"/>
      <c r="Z349" s="308"/>
    </row>
    <row r="350" ht="15.75" customHeight="1">
      <c r="A350" s="305"/>
      <c r="B350" s="306"/>
      <c r="C350" s="307"/>
      <c r="D350" s="305"/>
      <c r="E350" s="305"/>
      <c r="F350" s="305"/>
      <c r="G350" s="305"/>
      <c r="H350" s="305"/>
      <c r="I350" s="305"/>
      <c r="J350" s="305"/>
      <c r="K350" s="305"/>
      <c r="L350" s="305"/>
      <c r="M350" s="305"/>
      <c r="N350" s="305"/>
      <c r="O350" s="305"/>
      <c r="P350" s="308"/>
      <c r="Q350" s="308"/>
      <c r="R350" s="308"/>
      <c r="S350" s="308"/>
      <c r="T350" s="308"/>
      <c r="U350" s="308"/>
      <c r="V350" s="308"/>
      <c r="W350" s="308"/>
      <c r="X350" s="308"/>
      <c r="Y350" s="308"/>
      <c r="Z350" s="308"/>
    </row>
    <row r="351" ht="15.75" customHeight="1">
      <c r="A351" s="305"/>
      <c r="B351" s="306"/>
      <c r="C351" s="307"/>
      <c r="D351" s="305"/>
      <c r="E351" s="305"/>
      <c r="F351" s="305"/>
      <c r="G351" s="305"/>
      <c r="H351" s="305"/>
      <c r="I351" s="305"/>
      <c r="J351" s="305"/>
      <c r="K351" s="305"/>
      <c r="L351" s="305"/>
      <c r="M351" s="305"/>
      <c r="N351" s="305"/>
      <c r="O351" s="305"/>
      <c r="P351" s="308"/>
      <c r="Q351" s="308"/>
      <c r="R351" s="308"/>
      <c r="S351" s="308"/>
      <c r="T351" s="308"/>
      <c r="U351" s="308"/>
      <c r="V351" s="308"/>
      <c r="W351" s="308"/>
      <c r="X351" s="308"/>
      <c r="Y351" s="308"/>
      <c r="Z351" s="308"/>
    </row>
    <row r="352" ht="15.75" customHeight="1">
      <c r="A352" s="305"/>
      <c r="B352" s="306"/>
      <c r="C352" s="307"/>
      <c r="D352" s="305"/>
      <c r="E352" s="305"/>
      <c r="F352" s="305"/>
      <c r="G352" s="305"/>
      <c r="H352" s="305"/>
      <c r="I352" s="305"/>
      <c r="J352" s="305"/>
      <c r="K352" s="305"/>
      <c r="L352" s="305"/>
      <c r="M352" s="305"/>
      <c r="N352" s="305"/>
      <c r="O352" s="305"/>
      <c r="P352" s="308"/>
      <c r="Q352" s="308"/>
      <c r="R352" s="308"/>
      <c r="S352" s="308"/>
      <c r="T352" s="308"/>
      <c r="U352" s="308"/>
      <c r="V352" s="308"/>
      <c r="W352" s="308"/>
      <c r="X352" s="308"/>
      <c r="Y352" s="308"/>
      <c r="Z352" s="308"/>
    </row>
    <row r="353" ht="15.75" customHeight="1">
      <c r="A353" s="305"/>
      <c r="B353" s="306"/>
      <c r="C353" s="307"/>
      <c r="D353" s="305"/>
      <c r="E353" s="305"/>
      <c r="F353" s="305"/>
      <c r="G353" s="305"/>
      <c r="H353" s="305"/>
      <c r="I353" s="305"/>
      <c r="J353" s="305"/>
      <c r="K353" s="305"/>
      <c r="L353" s="305"/>
      <c r="M353" s="305"/>
      <c r="N353" s="305"/>
      <c r="O353" s="305"/>
      <c r="P353" s="308"/>
      <c r="Q353" s="308"/>
      <c r="R353" s="308"/>
      <c r="S353" s="308"/>
      <c r="T353" s="308"/>
      <c r="U353" s="308"/>
      <c r="V353" s="308"/>
      <c r="W353" s="308"/>
      <c r="X353" s="308"/>
      <c r="Y353" s="308"/>
      <c r="Z353" s="308"/>
    </row>
    <row r="354" ht="15.75" customHeight="1">
      <c r="A354" s="305"/>
      <c r="B354" s="306"/>
      <c r="C354" s="307"/>
      <c r="D354" s="305"/>
      <c r="E354" s="305"/>
      <c r="F354" s="305"/>
      <c r="G354" s="305"/>
      <c r="H354" s="305"/>
      <c r="I354" s="305"/>
      <c r="J354" s="305"/>
      <c r="K354" s="305"/>
      <c r="L354" s="305"/>
      <c r="M354" s="305"/>
      <c r="N354" s="305"/>
      <c r="O354" s="305"/>
      <c r="P354" s="308"/>
      <c r="Q354" s="308"/>
      <c r="R354" s="308"/>
      <c r="S354" s="308"/>
      <c r="T354" s="308"/>
      <c r="U354" s="308"/>
      <c r="V354" s="308"/>
      <c r="W354" s="308"/>
      <c r="X354" s="308"/>
      <c r="Y354" s="308"/>
      <c r="Z354" s="308"/>
    </row>
    <row r="355" ht="15.75" customHeight="1">
      <c r="A355" s="305"/>
      <c r="B355" s="306"/>
      <c r="C355" s="307"/>
      <c r="D355" s="305"/>
      <c r="E355" s="305"/>
      <c r="F355" s="305"/>
      <c r="G355" s="305"/>
      <c r="H355" s="305"/>
      <c r="I355" s="305"/>
      <c r="J355" s="305"/>
      <c r="K355" s="305"/>
      <c r="L355" s="305"/>
      <c r="M355" s="305"/>
      <c r="N355" s="305"/>
      <c r="O355" s="305"/>
      <c r="P355" s="308"/>
      <c r="Q355" s="308"/>
      <c r="R355" s="308"/>
      <c r="S355" s="308"/>
      <c r="T355" s="308"/>
      <c r="U355" s="308"/>
      <c r="V355" s="308"/>
      <c r="W355" s="308"/>
      <c r="X355" s="308"/>
      <c r="Y355" s="308"/>
      <c r="Z355" s="308"/>
    </row>
    <row r="356" ht="15.75" customHeight="1">
      <c r="A356" s="305"/>
      <c r="B356" s="306"/>
      <c r="C356" s="307"/>
      <c r="D356" s="305"/>
      <c r="E356" s="305"/>
      <c r="F356" s="305"/>
      <c r="G356" s="305"/>
      <c r="H356" s="305"/>
      <c r="I356" s="305"/>
      <c r="J356" s="305"/>
      <c r="K356" s="305"/>
      <c r="L356" s="305"/>
      <c r="M356" s="305"/>
      <c r="N356" s="305"/>
      <c r="O356" s="305"/>
      <c r="P356" s="308"/>
      <c r="Q356" s="308"/>
      <c r="R356" s="308"/>
      <c r="S356" s="308"/>
      <c r="T356" s="308"/>
      <c r="U356" s="308"/>
      <c r="V356" s="308"/>
      <c r="W356" s="308"/>
      <c r="X356" s="308"/>
      <c r="Y356" s="308"/>
      <c r="Z356" s="308"/>
    </row>
    <row r="357" ht="15.75" customHeight="1">
      <c r="A357" s="305"/>
      <c r="B357" s="306"/>
      <c r="C357" s="307"/>
      <c r="D357" s="305"/>
      <c r="E357" s="305"/>
      <c r="F357" s="305"/>
      <c r="G357" s="305"/>
      <c r="H357" s="305"/>
      <c r="I357" s="305"/>
      <c r="J357" s="305"/>
      <c r="K357" s="305"/>
      <c r="L357" s="305"/>
      <c r="M357" s="305"/>
      <c r="N357" s="305"/>
      <c r="O357" s="305"/>
      <c r="P357" s="308"/>
      <c r="Q357" s="308"/>
      <c r="R357" s="308"/>
      <c r="S357" s="308"/>
      <c r="T357" s="308"/>
      <c r="U357" s="308"/>
      <c r="V357" s="308"/>
      <c r="W357" s="308"/>
      <c r="X357" s="308"/>
      <c r="Y357" s="308"/>
      <c r="Z357" s="308"/>
    </row>
    <row r="358" ht="15.75" customHeight="1">
      <c r="A358" s="305"/>
      <c r="B358" s="306"/>
      <c r="C358" s="307"/>
      <c r="D358" s="305"/>
      <c r="E358" s="305"/>
      <c r="F358" s="305"/>
      <c r="G358" s="305"/>
      <c r="H358" s="305"/>
      <c r="I358" s="305"/>
      <c r="J358" s="305"/>
      <c r="K358" s="305"/>
      <c r="L358" s="305"/>
      <c r="M358" s="305"/>
      <c r="N358" s="305"/>
      <c r="O358" s="305"/>
      <c r="P358" s="308"/>
      <c r="Q358" s="308"/>
      <c r="R358" s="308"/>
      <c r="S358" s="308"/>
      <c r="T358" s="308"/>
      <c r="U358" s="308"/>
      <c r="V358" s="308"/>
      <c r="W358" s="308"/>
      <c r="X358" s="308"/>
      <c r="Y358" s="308"/>
      <c r="Z358" s="308"/>
    </row>
    <row r="359" ht="15.75" customHeight="1">
      <c r="A359" s="305"/>
      <c r="B359" s="306"/>
      <c r="C359" s="307"/>
      <c r="D359" s="305"/>
      <c r="E359" s="305"/>
      <c r="F359" s="305"/>
      <c r="G359" s="305"/>
      <c r="H359" s="305"/>
      <c r="I359" s="305"/>
      <c r="J359" s="305"/>
      <c r="K359" s="305"/>
      <c r="L359" s="305"/>
      <c r="M359" s="305"/>
      <c r="N359" s="305"/>
      <c r="O359" s="305"/>
      <c r="P359" s="308"/>
      <c r="Q359" s="308"/>
      <c r="R359" s="308"/>
      <c r="S359" s="308"/>
      <c r="T359" s="308"/>
      <c r="U359" s="308"/>
      <c r="V359" s="308"/>
      <c r="W359" s="308"/>
      <c r="X359" s="308"/>
      <c r="Y359" s="308"/>
      <c r="Z359" s="308"/>
    </row>
    <row r="360" ht="15.75" customHeight="1">
      <c r="A360" s="305"/>
      <c r="B360" s="306"/>
      <c r="C360" s="307"/>
      <c r="D360" s="305"/>
      <c r="E360" s="305"/>
      <c r="F360" s="305"/>
      <c r="G360" s="305"/>
      <c r="H360" s="305"/>
      <c r="I360" s="305"/>
      <c r="J360" s="305"/>
      <c r="K360" s="305"/>
      <c r="L360" s="305"/>
      <c r="M360" s="305"/>
      <c r="N360" s="305"/>
      <c r="O360" s="305"/>
      <c r="P360" s="308"/>
      <c r="Q360" s="308"/>
      <c r="R360" s="308"/>
      <c r="S360" s="308"/>
      <c r="T360" s="308"/>
      <c r="U360" s="308"/>
      <c r="V360" s="308"/>
      <c r="W360" s="308"/>
      <c r="X360" s="308"/>
      <c r="Y360" s="308"/>
      <c r="Z360" s="308"/>
    </row>
    <row r="361" ht="15.75" customHeight="1">
      <c r="A361" s="305"/>
      <c r="B361" s="306"/>
      <c r="C361" s="307"/>
      <c r="D361" s="305"/>
      <c r="E361" s="305"/>
      <c r="F361" s="305"/>
      <c r="G361" s="305"/>
      <c r="H361" s="305"/>
      <c r="I361" s="305"/>
      <c r="J361" s="305"/>
      <c r="K361" s="305"/>
      <c r="L361" s="305"/>
      <c r="M361" s="305"/>
      <c r="N361" s="305"/>
      <c r="O361" s="305"/>
      <c r="P361" s="308"/>
      <c r="Q361" s="308"/>
      <c r="R361" s="308"/>
      <c r="S361" s="308"/>
      <c r="T361" s="308"/>
      <c r="U361" s="308"/>
      <c r="V361" s="308"/>
      <c r="W361" s="308"/>
      <c r="X361" s="308"/>
      <c r="Y361" s="308"/>
      <c r="Z361" s="308"/>
    </row>
    <row r="362" ht="15.75" customHeight="1">
      <c r="A362" s="305"/>
      <c r="B362" s="306"/>
      <c r="C362" s="307"/>
      <c r="D362" s="305"/>
      <c r="E362" s="305"/>
      <c r="F362" s="305"/>
      <c r="G362" s="305"/>
      <c r="H362" s="305"/>
      <c r="I362" s="305"/>
      <c r="J362" s="305"/>
      <c r="K362" s="305"/>
      <c r="L362" s="305"/>
      <c r="M362" s="305"/>
      <c r="N362" s="305"/>
      <c r="O362" s="305"/>
      <c r="P362" s="308"/>
      <c r="Q362" s="308"/>
      <c r="R362" s="308"/>
      <c r="S362" s="308"/>
      <c r="T362" s="308"/>
      <c r="U362" s="308"/>
      <c r="V362" s="308"/>
      <c r="W362" s="308"/>
      <c r="X362" s="308"/>
      <c r="Y362" s="308"/>
      <c r="Z362" s="308"/>
    </row>
    <row r="363" ht="15.75" customHeight="1">
      <c r="A363" s="305"/>
      <c r="B363" s="306"/>
      <c r="C363" s="307"/>
      <c r="D363" s="305"/>
      <c r="E363" s="305"/>
      <c r="F363" s="305"/>
      <c r="G363" s="305"/>
      <c r="H363" s="305"/>
      <c r="I363" s="305"/>
      <c r="J363" s="305"/>
      <c r="K363" s="305"/>
      <c r="L363" s="305"/>
      <c r="M363" s="305"/>
      <c r="N363" s="305"/>
      <c r="O363" s="305"/>
      <c r="P363" s="308"/>
      <c r="Q363" s="308"/>
      <c r="R363" s="308"/>
      <c r="S363" s="308"/>
      <c r="T363" s="308"/>
      <c r="U363" s="308"/>
      <c r="V363" s="308"/>
      <c r="W363" s="308"/>
      <c r="X363" s="308"/>
      <c r="Y363" s="308"/>
      <c r="Z363" s="308"/>
    </row>
    <row r="364" ht="15.75" customHeight="1">
      <c r="A364" s="305"/>
      <c r="B364" s="306"/>
      <c r="C364" s="307"/>
      <c r="D364" s="305"/>
      <c r="E364" s="305"/>
      <c r="F364" s="305"/>
      <c r="G364" s="305"/>
      <c r="H364" s="305"/>
      <c r="I364" s="305"/>
      <c r="J364" s="305"/>
      <c r="K364" s="305"/>
      <c r="L364" s="305"/>
      <c r="M364" s="305"/>
      <c r="N364" s="305"/>
      <c r="O364" s="305"/>
      <c r="P364" s="308"/>
      <c r="Q364" s="308"/>
      <c r="R364" s="308"/>
      <c r="S364" s="308"/>
      <c r="T364" s="308"/>
      <c r="U364" s="308"/>
      <c r="V364" s="308"/>
      <c r="W364" s="308"/>
      <c r="X364" s="308"/>
      <c r="Y364" s="308"/>
      <c r="Z364" s="308"/>
    </row>
    <row r="365" ht="15.75" customHeight="1">
      <c r="A365" s="305"/>
      <c r="B365" s="306"/>
      <c r="C365" s="307"/>
      <c r="D365" s="305"/>
      <c r="E365" s="305"/>
      <c r="F365" s="305"/>
      <c r="G365" s="305"/>
      <c r="H365" s="305"/>
      <c r="I365" s="305"/>
      <c r="J365" s="305"/>
      <c r="K365" s="305"/>
      <c r="L365" s="305"/>
      <c r="M365" s="305"/>
      <c r="N365" s="305"/>
      <c r="O365" s="305"/>
      <c r="P365" s="308"/>
      <c r="Q365" s="308"/>
      <c r="R365" s="308"/>
      <c r="S365" s="308"/>
      <c r="T365" s="308"/>
      <c r="U365" s="308"/>
      <c r="V365" s="308"/>
      <c r="W365" s="308"/>
      <c r="X365" s="308"/>
      <c r="Y365" s="308"/>
      <c r="Z365" s="308"/>
    </row>
    <row r="366" ht="15.75" customHeight="1">
      <c r="A366" s="305"/>
      <c r="B366" s="306"/>
      <c r="C366" s="307"/>
      <c r="D366" s="305"/>
      <c r="E366" s="305"/>
      <c r="F366" s="305"/>
      <c r="G366" s="305"/>
      <c r="H366" s="305"/>
      <c r="I366" s="305"/>
      <c r="J366" s="305"/>
      <c r="K366" s="305"/>
      <c r="L366" s="305"/>
      <c r="M366" s="305"/>
      <c r="N366" s="305"/>
      <c r="O366" s="305"/>
      <c r="P366" s="308"/>
      <c r="Q366" s="308"/>
      <c r="R366" s="308"/>
      <c r="S366" s="308"/>
      <c r="T366" s="308"/>
      <c r="U366" s="308"/>
      <c r="V366" s="308"/>
      <c r="W366" s="308"/>
      <c r="X366" s="308"/>
      <c r="Y366" s="308"/>
      <c r="Z366" s="308"/>
    </row>
    <row r="367" ht="15.75" customHeight="1">
      <c r="A367" s="305"/>
      <c r="B367" s="306"/>
      <c r="C367" s="307"/>
      <c r="D367" s="305"/>
      <c r="E367" s="305"/>
      <c r="F367" s="305"/>
      <c r="G367" s="305"/>
      <c r="H367" s="305"/>
      <c r="I367" s="305"/>
      <c r="J367" s="305"/>
      <c r="K367" s="305"/>
      <c r="L367" s="305"/>
      <c r="M367" s="305"/>
      <c r="N367" s="305"/>
      <c r="O367" s="305"/>
      <c r="P367" s="308"/>
      <c r="Q367" s="308"/>
      <c r="R367" s="308"/>
      <c r="S367" s="308"/>
      <c r="T367" s="308"/>
      <c r="U367" s="308"/>
      <c r="V367" s="308"/>
      <c r="W367" s="308"/>
      <c r="X367" s="308"/>
      <c r="Y367" s="308"/>
      <c r="Z367" s="308"/>
    </row>
    <row r="368" ht="15.75" customHeight="1">
      <c r="A368" s="305"/>
      <c r="B368" s="306"/>
      <c r="C368" s="307"/>
      <c r="D368" s="305"/>
      <c r="E368" s="305"/>
      <c r="F368" s="305"/>
      <c r="G368" s="305"/>
      <c r="H368" s="305"/>
      <c r="I368" s="305"/>
      <c r="J368" s="305"/>
      <c r="K368" s="305"/>
      <c r="L368" s="305"/>
      <c r="M368" s="305"/>
      <c r="N368" s="305"/>
      <c r="O368" s="305"/>
      <c r="P368" s="308"/>
      <c r="Q368" s="308"/>
      <c r="R368" s="308"/>
      <c r="S368" s="308"/>
      <c r="T368" s="308"/>
      <c r="U368" s="308"/>
      <c r="V368" s="308"/>
      <c r="W368" s="308"/>
      <c r="X368" s="308"/>
      <c r="Y368" s="308"/>
      <c r="Z368" s="308"/>
    </row>
    <row r="369" ht="15.75" customHeight="1">
      <c r="A369" s="305"/>
      <c r="B369" s="306"/>
      <c r="C369" s="307"/>
      <c r="D369" s="305"/>
      <c r="E369" s="305"/>
      <c r="F369" s="305"/>
      <c r="G369" s="305"/>
      <c r="H369" s="305"/>
      <c r="I369" s="305"/>
      <c r="J369" s="305"/>
      <c r="K369" s="305"/>
      <c r="L369" s="305"/>
      <c r="M369" s="305"/>
      <c r="N369" s="305"/>
      <c r="O369" s="305"/>
      <c r="P369" s="308"/>
      <c r="Q369" s="308"/>
      <c r="R369" s="308"/>
      <c r="S369" s="308"/>
      <c r="T369" s="308"/>
      <c r="U369" s="308"/>
      <c r="V369" s="308"/>
      <c r="W369" s="308"/>
      <c r="X369" s="308"/>
      <c r="Y369" s="308"/>
      <c r="Z369" s="308"/>
    </row>
    <row r="370" ht="15.75" customHeight="1">
      <c r="A370" s="305"/>
      <c r="B370" s="306"/>
      <c r="C370" s="307"/>
      <c r="D370" s="305"/>
      <c r="E370" s="305"/>
      <c r="F370" s="305"/>
      <c r="G370" s="305"/>
      <c r="H370" s="305"/>
      <c r="I370" s="305"/>
      <c r="J370" s="305"/>
      <c r="K370" s="305"/>
      <c r="L370" s="305"/>
      <c r="M370" s="305"/>
      <c r="N370" s="305"/>
      <c r="O370" s="305"/>
      <c r="P370" s="308"/>
      <c r="Q370" s="308"/>
      <c r="R370" s="308"/>
      <c r="S370" s="308"/>
      <c r="T370" s="308"/>
      <c r="U370" s="308"/>
      <c r="V370" s="308"/>
      <c r="W370" s="308"/>
      <c r="X370" s="308"/>
      <c r="Y370" s="308"/>
      <c r="Z370" s="308"/>
    </row>
    <row r="371" ht="15.75" customHeight="1">
      <c r="A371" s="305"/>
      <c r="B371" s="306"/>
      <c r="C371" s="307"/>
      <c r="D371" s="305"/>
      <c r="E371" s="305"/>
      <c r="F371" s="305"/>
      <c r="G371" s="305"/>
      <c r="H371" s="305"/>
      <c r="I371" s="305"/>
      <c r="J371" s="305"/>
      <c r="K371" s="305"/>
      <c r="L371" s="305"/>
      <c r="M371" s="305"/>
      <c r="N371" s="305"/>
      <c r="O371" s="305"/>
      <c r="P371" s="308"/>
      <c r="Q371" s="308"/>
      <c r="R371" s="308"/>
      <c r="S371" s="308"/>
      <c r="T371" s="308"/>
      <c r="U371" s="308"/>
      <c r="V371" s="308"/>
      <c r="W371" s="308"/>
      <c r="X371" s="308"/>
      <c r="Y371" s="308"/>
      <c r="Z371" s="308"/>
    </row>
    <row r="372" ht="15.75" customHeight="1">
      <c r="A372" s="305"/>
      <c r="B372" s="306"/>
      <c r="C372" s="307"/>
      <c r="D372" s="305"/>
      <c r="E372" s="305"/>
      <c r="F372" s="305"/>
      <c r="G372" s="305"/>
      <c r="H372" s="305"/>
      <c r="I372" s="305"/>
      <c r="J372" s="305"/>
      <c r="K372" s="305"/>
      <c r="L372" s="305"/>
      <c r="M372" s="305"/>
      <c r="N372" s="305"/>
      <c r="O372" s="305"/>
      <c r="P372" s="308"/>
      <c r="Q372" s="308"/>
      <c r="R372" s="308"/>
      <c r="S372" s="308"/>
      <c r="T372" s="308"/>
      <c r="U372" s="308"/>
      <c r="V372" s="308"/>
      <c r="W372" s="308"/>
      <c r="X372" s="308"/>
      <c r="Y372" s="308"/>
      <c r="Z372" s="308"/>
    </row>
    <row r="373" ht="15.75" customHeight="1">
      <c r="A373" s="305"/>
      <c r="B373" s="524"/>
      <c r="C373" s="308"/>
      <c r="D373" s="308"/>
      <c r="E373" s="308"/>
      <c r="F373" s="305"/>
      <c r="G373" s="305"/>
      <c r="H373" s="305"/>
      <c r="I373" s="305"/>
      <c r="J373" s="305"/>
      <c r="K373" s="305"/>
      <c r="L373" s="305"/>
      <c r="M373" s="305"/>
      <c r="N373" s="305"/>
      <c r="O373" s="305"/>
      <c r="P373" s="308"/>
      <c r="Q373" s="308"/>
      <c r="R373" s="308"/>
      <c r="S373" s="308"/>
      <c r="T373" s="308"/>
      <c r="U373" s="308"/>
      <c r="V373" s="308"/>
      <c r="W373" s="308"/>
      <c r="X373" s="308"/>
      <c r="Y373" s="308"/>
      <c r="Z373" s="308"/>
    </row>
    <row r="374" ht="15.75" customHeight="1">
      <c r="A374" s="305"/>
      <c r="B374" s="524"/>
      <c r="C374" s="308"/>
      <c r="D374" s="308"/>
      <c r="E374" s="308"/>
      <c r="F374" s="305"/>
      <c r="G374" s="305"/>
      <c r="H374" s="305"/>
      <c r="I374" s="305"/>
      <c r="J374" s="305"/>
      <c r="K374" s="305"/>
      <c r="L374" s="305"/>
      <c r="M374" s="305"/>
      <c r="N374" s="305"/>
      <c r="O374" s="305"/>
      <c r="P374" s="308"/>
      <c r="Q374" s="308"/>
      <c r="R374" s="308"/>
      <c r="S374" s="308"/>
      <c r="T374" s="308"/>
      <c r="U374" s="308"/>
      <c r="V374" s="308"/>
      <c r="W374" s="308"/>
      <c r="X374" s="308"/>
      <c r="Y374" s="308"/>
      <c r="Z374" s="308"/>
    </row>
    <row r="375" ht="15.75" customHeight="1">
      <c r="A375" s="305"/>
      <c r="B375" s="524"/>
      <c r="C375" s="308"/>
      <c r="D375" s="308"/>
      <c r="E375" s="308"/>
      <c r="F375" s="305"/>
      <c r="G375" s="305"/>
      <c r="H375" s="305"/>
      <c r="I375" s="305"/>
      <c r="J375" s="305"/>
      <c r="K375" s="305"/>
      <c r="L375" s="305"/>
      <c r="M375" s="305"/>
      <c r="N375" s="305"/>
      <c r="O375" s="305"/>
      <c r="P375" s="308"/>
      <c r="Q375" s="308"/>
      <c r="R375" s="308"/>
      <c r="S375" s="308"/>
      <c r="T375" s="308"/>
      <c r="U375" s="308"/>
      <c r="V375" s="308"/>
      <c r="W375" s="308"/>
      <c r="X375" s="308"/>
      <c r="Y375" s="308"/>
      <c r="Z375" s="308"/>
    </row>
    <row r="376" ht="15.75" customHeight="1">
      <c r="A376" s="308"/>
      <c r="B376" s="524"/>
      <c r="C376" s="308"/>
      <c r="D376" s="308"/>
      <c r="E376" s="308"/>
      <c r="F376" s="308"/>
      <c r="G376" s="305"/>
      <c r="H376" s="305"/>
      <c r="I376" s="305"/>
      <c r="J376" s="305"/>
      <c r="K376" s="305"/>
      <c r="L376" s="305"/>
      <c r="M376" s="305"/>
      <c r="N376" s="305"/>
      <c r="O376" s="308"/>
      <c r="P376" s="308"/>
      <c r="Q376" s="308"/>
      <c r="R376" s="308"/>
      <c r="S376" s="308"/>
      <c r="T376" s="308"/>
      <c r="U376" s="308"/>
      <c r="V376" s="308"/>
      <c r="W376" s="308"/>
      <c r="X376" s="308"/>
      <c r="Y376" s="308"/>
      <c r="Z376" s="308"/>
    </row>
    <row r="377" ht="15.75" customHeight="1">
      <c r="A377" s="308"/>
      <c r="B377" s="524"/>
      <c r="C377" s="308"/>
      <c r="D377" s="308"/>
      <c r="E377" s="308"/>
      <c r="F377" s="308"/>
      <c r="G377" s="305"/>
      <c r="H377" s="305"/>
      <c r="I377" s="305"/>
      <c r="J377" s="305"/>
      <c r="K377" s="305"/>
      <c r="L377" s="305"/>
      <c r="M377" s="305"/>
      <c r="N377" s="305"/>
      <c r="O377" s="308"/>
      <c r="P377" s="308"/>
      <c r="Q377" s="308"/>
      <c r="R377" s="308"/>
      <c r="S377" s="308"/>
      <c r="T377" s="308"/>
      <c r="U377" s="308"/>
      <c r="V377" s="308"/>
      <c r="W377" s="308"/>
      <c r="X377" s="308"/>
      <c r="Y377" s="308"/>
      <c r="Z377" s="308"/>
    </row>
    <row r="378" ht="15.75" customHeight="1">
      <c r="A378" s="308"/>
      <c r="B378" s="524"/>
      <c r="C378" s="308"/>
      <c r="D378" s="308"/>
      <c r="E378" s="308"/>
      <c r="F378" s="308"/>
      <c r="G378" s="305"/>
      <c r="H378" s="305"/>
      <c r="I378" s="305"/>
      <c r="J378" s="305"/>
      <c r="K378" s="305"/>
      <c r="L378" s="305"/>
      <c r="M378" s="305"/>
      <c r="N378" s="305"/>
      <c r="O378" s="308"/>
      <c r="P378" s="308"/>
      <c r="Q378" s="308"/>
      <c r="R378" s="308"/>
      <c r="S378" s="308"/>
      <c r="T378" s="308"/>
      <c r="U378" s="308"/>
      <c r="V378" s="308"/>
      <c r="W378" s="308"/>
      <c r="X378" s="308"/>
      <c r="Y378" s="308"/>
      <c r="Z378" s="308"/>
    </row>
    <row r="379" ht="15.75" customHeight="1">
      <c r="A379" s="308"/>
      <c r="B379" s="524"/>
      <c r="C379" s="308"/>
      <c r="D379" s="308"/>
      <c r="E379" s="308"/>
      <c r="F379" s="308"/>
      <c r="G379" s="305"/>
      <c r="H379" s="305"/>
      <c r="I379" s="305"/>
      <c r="J379" s="305"/>
      <c r="K379" s="305"/>
      <c r="L379" s="305"/>
      <c r="M379" s="305"/>
      <c r="N379" s="305"/>
      <c r="O379" s="308"/>
      <c r="P379" s="308"/>
      <c r="Q379" s="308"/>
      <c r="R379" s="308"/>
      <c r="S379" s="308"/>
      <c r="T379" s="308"/>
      <c r="U379" s="308"/>
      <c r="V379" s="308"/>
      <c r="W379" s="308"/>
      <c r="X379" s="308"/>
      <c r="Y379" s="308"/>
      <c r="Z379" s="308"/>
    </row>
    <row r="380" ht="15.75" customHeight="1">
      <c r="A380" s="308"/>
      <c r="B380" s="524"/>
      <c r="C380" s="308"/>
      <c r="D380" s="308"/>
      <c r="E380" s="308"/>
      <c r="F380" s="308"/>
      <c r="G380" s="305"/>
      <c r="H380" s="305"/>
      <c r="I380" s="305"/>
      <c r="J380" s="305"/>
      <c r="K380" s="305"/>
      <c r="L380" s="305"/>
      <c r="M380" s="305"/>
      <c r="N380" s="305"/>
      <c r="O380" s="308"/>
      <c r="P380" s="308"/>
      <c r="Q380" s="308"/>
      <c r="R380" s="308"/>
      <c r="S380" s="308"/>
      <c r="T380" s="308"/>
      <c r="U380" s="308"/>
      <c r="V380" s="308"/>
      <c r="W380" s="308"/>
      <c r="X380" s="308"/>
      <c r="Y380" s="308"/>
      <c r="Z380" s="308"/>
    </row>
    <row r="381" ht="15.75" customHeight="1">
      <c r="A381" s="308"/>
      <c r="B381" s="524"/>
      <c r="C381" s="308"/>
      <c r="D381" s="308"/>
      <c r="E381" s="308"/>
      <c r="F381" s="308"/>
      <c r="G381" s="305"/>
      <c r="H381" s="305"/>
      <c r="I381" s="305"/>
      <c r="J381" s="305"/>
      <c r="K381" s="305"/>
      <c r="L381" s="305"/>
      <c r="M381" s="305"/>
      <c r="N381" s="308"/>
      <c r="O381" s="308"/>
      <c r="P381" s="308"/>
      <c r="Q381" s="308"/>
      <c r="R381" s="308"/>
      <c r="S381" s="308"/>
      <c r="T381" s="308"/>
      <c r="U381" s="308"/>
      <c r="V381" s="308"/>
      <c r="W381" s="308"/>
      <c r="X381" s="308"/>
      <c r="Y381" s="308"/>
      <c r="Z381" s="308"/>
    </row>
    <row r="382" ht="15.75" customHeight="1">
      <c r="A382" s="308"/>
      <c r="B382" s="524"/>
      <c r="C382" s="308"/>
      <c r="D382" s="308"/>
      <c r="E382" s="308"/>
      <c r="F382" s="308"/>
      <c r="G382" s="305"/>
      <c r="H382" s="305"/>
      <c r="I382" s="305"/>
      <c r="J382" s="305"/>
      <c r="K382" s="305"/>
      <c r="L382" s="305"/>
      <c r="M382" s="305"/>
      <c r="N382" s="308"/>
      <c r="O382" s="308"/>
      <c r="P382" s="308"/>
      <c r="Q382" s="308"/>
      <c r="R382" s="308"/>
      <c r="S382" s="308"/>
      <c r="T382" s="308"/>
      <c r="U382" s="308"/>
      <c r="V382" s="308"/>
      <c r="W382" s="308"/>
      <c r="X382" s="308"/>
      <c r="Y382" s="308"/>
      <c r="Z382" s="308"/>
    </row>
    <row r="383" ht="15.75" customHeight="1">
      <c r="A383" s="308"/>
      <c r="B383" s="524"/>
      <c r="C383" s="308"/>
      <c r="D383" s="308"/>
      <c r="E383" s="308"/>
      <c r="F383" s="308"/>
      <c r="G383" s="305"/>
      <c r="H383" s="305"/>
      <c r="I383" s="305"/>
      <c r="J383" s="305"/>
      <c r="K383" s="305"/>
      <c r="L383" s="305"/>
      <c r="M383" s="305"/>
      <c r="N383" s="308"/>
      <c r="O383" s="308"/>
      <c r="P383" s="308"/>
      <c r="Q383" s="308"/>
      <c r="R383" s="308"/>
      <c r="S383" s="308"/>
      <c r="T383" s="308"/>
      <c r="U383" s="308"/>
      <c r="V383" s="308"/>
      <c r="W383" s="308"/>
      <c r="X383" s="308"/>
      <c r="Y383" s="308"/>
      <c r="Z383" s="308"/>
    </row>
    <row r="384" ht="15.75" customHeight="1">
      <c r="A384" s="308"/>
      <c r="B384" s="524"/>
      <c r="C384" s="308"/>
      <c r="D384" s="308"/>
      <c r="E384" s="308"/>
      <c r="F384" s="308"/>
      <c r="G384" s="305"/>
      <c r="H384" s="305"/>
      <c r="I384" s="305"/>
      <c r="J384" s="305"/>
      <c r="K384" s="305"/>
      <c r="L384" s="305"/>
      <c r="M384" s="305"/>
      <c r="N384" s="308"/>
      <c r="O384" s="308"/>
      <c r="P384" s="308"/>
      <c r="Q384" s="308"/>
      <c r="R384" s="308"/>
      <c r="S384" s="308"/>
      <c r="T384" s="308"/>
      <c r="U384" s="308"/>
      <c r="V384" s="308"/>
      <c r="W384" s="308"/>
      <c r="X384" s="308"/>
      <c r="Y384" s="308"/>
      <c r="Z384" s="308"/>
    </row>
    <row r="385" ht="15.75" customHeight="1">
      <c r="A385" s="308"/>
      <c r="B385" s="524"/>
      <c r="C385" s="308"/>
      <c r="D385" s="308"/>
      <c r="E385" s="308"/>
      <c r="F385" s="308"/>
      <c r="G385" s="305"/>
      <c r="H385" s="305"/>
      <c r="I385" s="305"/>
      <c r="J385" s="305"/>
      <c r="K385" s="305"/>
      <c r="L385" s="305"/>
      <c r="M385" s="305"/>
      <c r="N385" s="308"/>
      <c r="O385" s="308"/>
      <c r="P385" s="308"/>
      <c r="Q385" s="308"/>
      <c r="R385" s="308"/>
      <c r="S385" s="308"/>
      <c r="T385" s="308"/>
      <c r="U385" s="308"/>
      <c r="V385" s="308"/>
      <c r="W385" s="308"/>
      <c r="X385" s="308"/>
      <c r="Y385" s="308"/>
      <c r="Z385" s="308"/>
    </row>
    <row r="386" ht="15.75" customHeight="1">
      <c r="A386" s="308"/>
      <c r="B386" s="524"/>
      <c r="C386" s="308"/>
      <c r="D386" s="308"/>
      <c r="E386" s="308"/>
      <c r="F386" s="308"/>
      <c r="G386" s="305"/>
      <c r="H386" s="305"/>
      <c r="I386" s="305"/>
      <c r="J386" s="305"/>
      <c r="K386" s="305"/>
      <c r="L386" s="305"/>
      <c r="M386" s="305"/>
      <c r="N386" s="308"/>
      <c r="O386" s="308"/>
      <c r="P386" s="308"/>
      <c r="Q386" s="308"/>
      <c r="R386" s="308"/>
      <c r="S386" s="308"/>
      <c r="T386" s="308"/>
      <c r="U386" s="308"/>
      <c r="V386" s="308"/>
      <c r="W386" s="308"/>
      <c r="X386" s="308"/>
      <c r="Y386" s="308"/>
      <c r="Z386" s="308"/>
    </row>
    <row r="387" ht="15.75" customHeight="1">
      <c r="A387" s="308"/>
      <c r="B387" s="524"/>
      <c r="C387" s="308"/>
      <c r="D387" s="308"/>
      <c r="E387" s="308"/>
      <c r="F387" s="308"/>
      <c r="G387" s="305"/>
      <c r="H387" s="305"/>
      <c r="I387" s="305"/>
      <c r="J387" s="305"/>
      <c r="K387" s="305"/>
      <c r="L387" s="305"/>
      <c r="M387" s="305"/>
      <c r="N387" s="308"/>
      <c r="O387" s="308"/>
      <c r="P387" s="308"/>
      <c r="Q387" s="308"/>
      <c r="R387" s="308"/>
      <c r="S387" s="308"/>
      <c r="T387" s="308"/>
      <c r="U387" s="308"/>
      <c r="V387" s="308"/>
      <c r="W387" s="308"/>
      <c r="X387" s="308"/>
      <c r="Y387" s="308"/>
      <c r="Z387" s="308"/>
    </row>
    <row r="388" ht="15.75" customHeight="1">
      <c r="A388" s="308"/>
      <c r="B388" s="524"/>
      <c r="C388" s="308"/>
      <c r="D388" s="308"/>
      <c r="E388" s="308"/>
      <c r="F388" s="308"/>
      <c r="G388" s="305"/>
      <c r="H388" s="305"/>
      <c r="I388" s="305"/>
      <c r="J388" s="305"/>
      <c r="K388" s="305"/>
      <c r="L388" s="305"/>
      <c r="M388" s="305"/>
      <c r="N388" s="308"/>
      <c r="O388" s="308"/>
      <c r="P388" s="308"/>
      <c r="Q388" s="308"/>
      <c r="R388" s="308"/>
      <c r="S388" s="308"/>
      <c r="T388" s="308"/>
      <c r="U388" s="308"/>
      <c r="V388" s="308"/>
      <c r="W388" s="308"/>
      <c r="X388" s="308"/>
      <c r="Y388" s="308"/>
      <c r="Z388" s="308"/>
    </row>
    <row r="389" ht="15.75" customHeight="1">
      <c r="A389" s="308"/>
      <c r="B389" s="524"/>
      <c r="C389" s="308"/>
      <c r="D389" s="308"/>
      <c r="E389" s="308"/>
      <c r="F389" s="308"/>
      <c r="G389" s="305"/>
      <c r="H389" s="305"/>
      <c r="I389" s="305"/>
      <c r="J389" s="305"/>
      <c r="K389" s="305"/>
      <c r="L389" s="305"/>
      <c r="M389" s="305"/>
      <c r="N389" s="308"/>
      <c r="O389" s="308"/>
      <c r="P389" s="308"/>
      <c r="Q389" s="308"/>
      <c r="R389" s="308"/>
      <c r="S389" s="308"/>
      <c r="T389" s="308"/>
      <c r="U389" s="308"/>
      <c r="V389" s="308"/>
      <c r="W389" s="308"/>
      <c r="X389" s="308"/>
      <c r="Y389" s="308"/>
      <c r="Z389" s="308"/>
    </row>
    <row r="390" ht="15.75" customHeight="1">
      <c r="A390" s="308"/>
      <c r="B390" s="524"/>
      <c r="C390" s="308"/>
      <c r="D390" s="308"/>
      <c r="E390" s="308"/>
      <c r="F390" s="308"/>
      <c r="G390" s="308"/>
      <c r="H390" s="308"/>
      <c r="I390" s="308"/>
      <c r="J390" s="308"/>
      <c r="K390" s="308"/>
      <c r="L390" s="308"/>
      <c r="M390" s="308"/>
      <c r="N390" s="308"/>
      <c r="O390" s="308"/>
      <c r="P390" s="308"/>
      <c r="Q390" s="308"/>
      <c r="R390" s="308"/>
      <c r="S390" s="308"/>
      <c r="T390" s="308"/>
      <c r="U390" s="308"/>
      <c r="V390" s="308"/>
      <c r="W390" s="308"/>
      <c r="X390" s="308"/>
      <c r="Y390" s="308"/>
      <c r="Z390" s="308"/>
    </row>
    <row r="391" ht="15.75" customHeight="1">
      <c r="A391" s="308"/>
      <c r="B391" s="524"/>
      <c r="C391" s="308"/>
      <c r="D391" s="308"/>
      <c r="E391" s="308"/>
      <c r="F391" s="308"/>
      <c r="G391" s="308"/>
      <c r="H391" s="308"/>
      <c r="I391" s="308"/>
      <c r="J391" s="308"/>
      <c r="K391" s="308"/>
      <c r="L391" s="308"/>
      <c r="M391" s="308"/>
      <c r="N391" s="308"/>
      <c r="O391" s="308"/>
      <c r="P391" s="308"/>
      <c r="Q391" s="308"/>
      <c r="R391" s="308"/>
      <c r="S391" s="308"/>
      <c r="T391" s="308"/>
      <c r="U391" s="308"/>
      <c r="V391" s="308"/>
      <c r="W391" s="308"/>
      <c r="X391" s="308"/>
      <c r="Y391" s="308"/>
      <c r="Z391" s="308"/>
    </row>
    <row r="392" ht="15.75" customHeight="1">
      <c r="A392" s="308"/>
      <c r="B392" s="524"/>
      <c r="C392" s="308"/>
      <c r="D392" s="308"/>
      <c r="E392" s="308"/>
      <c r="F392" s="308"/>
      <c r="G392" s="308"/>
      <c r="H392" s="308"/>
      <c r="I392" s="308"/>
      <c r="J392" s="308"/>
      <c r="K392" s="308"/>
      <c r="L392" s="308"/>
      <c r="M392" s="308"/>
      <c r="N392" s="308"/>
      <c r="O392" s="308"/>
      <c r="P392" s="308"/>
      <c r="Q392" s="308"/>
      <c r="R392" s="308"/>
      <c r="S392" s="308"/>
      <c r="T392" s="308"/>
      <c r="U392" s="308"/>
      <c r="V392" s="308"/>
      <c r="W392" s="308"/>
      <c r="X392" s="308"/>
      <c r="Y392" s="308"/>
      <c r="Z392" s="308"/>
    </row>
    <row r="393" ht="15.75" customHeight="1">
      <c r="A393" s="308"/>
      <c r="B393" s="524"/>
      <c r="C393" s="308"/>
      <c r="D393" s="308"/>
      <c r="E393" s="308"/>
      <c r="F393" s="308"/>
      <c r="G393" s="308"/>
      <c r="H393" s="308"/>
      <c r="I393" s="308"/>
      <c r="J393" s="308"/>
      <c r="K393" s="308"/>
      <c r="L393" s="308"/>
      <c r="M393" s="308"/>
      <c r="N393" s="308"/>
      <c r="O393" s="308"/>
      <c r="P393" s="308"/>
      <c r="Q393" s="308"/>
      <c r="R393" s="308"/>
      <c r="S393" s="308"/>
      <c r="T393" s="308"/>
      <c r="U393" s="308"/>
      <c r="V393" s="308"/>
      <c r="W393" s="308"/>
      <c r="X393" s="308"/>
      <c r="Y393" s="308"/>
      <c r="Z393" s="308"/>
    </row>
    <row r="394" ht="15.75" customHeight="1">
      <c r="A394" s="308"/>
      <c r="B394" s="524"/>
      <c r="C394" s="308"/>
      <c r="D394" s="308"/>
      <c r="E394" s="308"/>
      <c r="F394" s="308"/>
      <c r="G394" s="308"/>
      <c r="H394" s="308"/>
      <c r="I394" s="308"/>
      <c r="J394" s="308"/>
      <c r="K394" s="308"/>
      <c r="L394" s="308"/>
      <c r="M394" s="308"/>
      <c r="N394" s="308"/>
      <c r="O394" s="308"/>
      <c r="P394" s="308"/>
      <c r="Q394" s="308"/>
      <c r="R394" s="308"/>
      <c r="S394" s="308"/>
      <c r="T394" s="308"/>
      <c r="U394" s="308"/>
      <c r="V394" s="308"/>
      <c r="W394" s="308"/>
      <c r="X394" s="308"/>
      <c r="Y394" s="308"/>
      <c r="Z394" s="308"/>
    </row>
    <row r="395" ht="15.75" customHeight="1">
      <c r="A395" s="308"/>
      <c r="B395" s="524"/>
      <c r="C395" s="308"/>
      <c r="D395" s="308"/>
      <c r="E395" s="308"/>
      <c r="F395" s="308"/>
      <c r="G395" s="308"/>
      <c r="H395" s="308"/>
      <c r="I395" s="308"/>
      <c r="J395" s="308"/>
      <c r="K395" s="308"/>
      <c r="L395" s="308"/>
      <c r="M395" s="308"/>
      <c r="N395" s="308"/>
      <c r="O395" s="308"/>
      <c r="P395" s="308"/>
      <c r="Q395" s="308"/>
      <c r="R395" s="308"/>
      <c r="S395" s="308"/>
      <c r="T395" s="308"/>
      <c r="U395" s="308"/>
      <c r="V395" s="308"/>
      <c r="W395" s="308"/>
      <c r="X395" s="308"/>
      <c r="Y395" s="308"/>
      <c r="Z395" s="308"/>
    </row>
    <row r="396" ht="15.75" customHeight="1">
      <c r="A396" s="308"/>
      <c r="B396" s="524"/>
      <c r="C396" s="308"/>
      <c r="D396" s="308"/>
      <c r="E396" s="308"/>
      <c r="F396" s="308"/>
      <c r="G396" s="308"/>
      <c r="H396" s="308"/>
      <c r="I396" s="308"/>
      <c r="J396" s="308"/>
      <c r="K396" s="308"/>
      <c r="L396" s="308"/>
      <c r="M396" s="308"/>
      <c r="N396" s="308"/>
      <c r="O396" s="308"/>
      <c r="P396" s="308"/>
      <c r="Q396" s="308"/>
      <c r="R396" s="308"/>
      <c r="S396" s="308"/>
      <c r="T396" s="308"/>
      <c r="U396" s="308"/>
      <c r="V396" s="308"/>
      <c r="W396" s="308"/>
      <c r="X396" s="308"/>
      <c r="Y396" s="308"/>
      <c r="Z396" s="308"/>
    </row>
    <row r="397" ht="15.75" customHeight="1">
      <c r="A397" s="308"/>
      <c r="B397" s="524"/>
      <c r="C397" s="308"/>
      <c r="D397" s="308"/>
      <c r="E397" s="308"/>
      <c r="F397" s="308"/>
      <c r="G397" s="308"/>
      <c r="H397" s="308"/>
      <c r="I397" s="308"/>
      <c r="J397" s="308"/>
      <c r="K397" s="308"/>
      <c r="L397" s="308"/>
      <c r="M397" s="308"/>
      <c r="N397" s="308"/>
      <c r="O397" s="308"/>
      <c r="P397" s="308"/>
      <c r="Q397" s="308"/>
      <c r="R397" s="308"/>
      <c r="S397" s="308"/>
      <c r="T397" s="308"/>
      <c r="U397" s="308"/>
      <c r="V397" s="308"/>
      <c r="W397" s="308"/>
      <c r="X397" s="308"/>
      <c r="Y397" s="308"/>
      <c r="Z397" s="308"/>
    </row>
    <row r="398" ht="15.75" customHeight="1">
      <c r="A398" s="308"/>
      <c r="B398" s="524"/>
      <c r="C398" s="308"/>
      <c r="D398" s="308"/>
      <c r="E398" s="308"/>
      <c r="F398" s="308"/>
      <c r="G398" s="308"/>
      <c r="H398" s="308"/>
      <c r="I398" s="308"/>
      <c r="J398" s="308"/>
      <c r="K398" s="308"/>
      <c r="L398" s="308"/>
      <c r="M398" s="308"/>
      <c r="N398" s="308"/>
      <c r="O398" s="308"/>
      <c r="P398" s="308"/>
      <c r="Q398" s="308"/>
      <c r="R398" s="308"/>
      <c r="S398" s="308"/>
      <c r="T398" s="308"/>
      <c r="U398" s="308"/>
      <c r="V398" s="308"/>
      <c r="W398" s="308"/>
      <c r="X398" s="308"/>
      <c r="Y398" s="308"/>
      <c r="Z398" s="308"/>
    </row>
    <row r="399" ht="15.75" customHeight="1">
      <c r="A399" s="308"/>
      <c r="B399" s="524"/>
      <c r="C399" s="308"/>
      <c r="D399" s="308"/>
      <c r="E399" s="308"/>
      <c r="F399" s="308"/>
      <c r="G399" s="308"/>
      <c r="H399" s="308"/>
      <c r="I399" s="308"/>
      <c r="J399" s="308"/>
      <c r="K399" s="308"/>
      <c r="L399" s="308"/>
      <c r="M399" s="308"/>
      <c r="N399" s="308"/>
      <c r="O399" s="308"/>
      <c r="P399" s="308"/>
      <c r="Q399" s="308"/>
      <c r="R399" s="308"/>
      <c r="S399" s="308"/>
      <c r="T399" s="308"/>
      <c r="U399" s="308"/>
      <c r="V399" s="308"/>
      <c r="W399" s="308"/>
      <c r="X399" s="308"/>
      <c r="Y399" s="308"/>
      <c r="Z399" s="308"/>
    </row>
    <row r="400" ht="15.75" customHeight="1">
      <c r="A400" s="308"/>
      <c r="B400" s="524"/>
      <c r="C400" s="308"/>
      <c r="D400" s="308"/>
      <c r="E400" s="308"/>
      <c r="F400" s="308"/>
      <c r="G400" s="308"/>
      <c r="H400" s="308"/>
      <c r="I400" s="308"/>
      <c r="J400" s="308"/>
      <c r="K400" s="308"/>
      <c r="L400" s="308"/>
      <c r="M400" s="308"/>
      <c r="N400" s="308"/>
      <c r="O400" s="308"/>
      <c r="P400" s="308"/>
      <c r="Q400" s="308"/>
      <c r="R400" s="308"/>
      <c r="S400" s="308"/>
      <c r="T400" s="308"/>
      <c r="U400" s="308"/>
      <c r="V400" s="308"/>
      <c r="W400" s="308"/>
      <c r="X400" s="308"/>
      <c r="Y400" s="308"/>
      <c r="Z400" s="308"/>
    </row>
    <row r="401" ht="15.75" customHeight="1">
      <c r="A401" s="308"/>
      <c r="B401" s="524"/>
      <c r="C401" s="308"/>
      <c r="D401" s="308"/>
      <c r="E401" s="308"/>
      <c r="F401" s="308"/>
      <c r="G401" s="308"/>
      <c r="H401" s="308"/>
      <c r="I401" s="308"/>
      <c r="J401" s="308"/>
      <c r="K401" s="308"/>
      <c r="L401" s="308"/>
      <c r="M401" s="308"/>
      <c r="N401" s="308"/>
      <c r="O401" s="308"/>
      <c r="P401" s="308"/>
      <c r="Q401" s="308"/>
      <c r="R401" s="308"/>
      <c r="S401" s="308"/>
      <c r="T401" s="308"/>
      <c r="U401" s="308"/>
      <c r="V401" s="308"/>
      <c r="W401" s="308"/>
      <c r="X401" s="308"/>
      <c r="Y401" s="308"/>
      <c r="Z401" s="308"/>
    </row>
    <row r="402" ht="15.75" customHeight="1">
      <c r="A402" s="308"/>
      <c r="B402" s="524"/>
      <c r="C402" s="308"/>
      <c r="D402" s="308"/>
      <c r="E402" s="308"/>
      <c r="F402" s="308"/>
      <c r="G402" s="308"/>
      <c r="H402" s="308"/>
      <c r="I402" s="308"/>
      <c r="J402" s="308"/>
      <c r="K402" s="308"/>
      <c r="L402" s="308"/>
      <c r="M402" s="308"/>
      <c r="N402" s="308"/>
      <c r="O402" s="308"/>
      <c r="P402" s="308"/>
      <c r="Q402" s="308"/>
      <c r="R402" s="308"/>
      <c r="S402" s="308"/>
      <c r="T402" s="308"/>
      <c r="U402" s="308"/>
      <c r="V402" s="308"/>
      <c r="W402" s="308"/>
      <c r="X402" s="308"/>
      <c r="Y402" s="308"/>
      <c r="Z402" s="308"/>
    </row>
    <row r="403" ht="15.75" customHeight="1">
      <c r="A403" s="308"/>
      <c r="B403" s="524"/>
      <c r="C403" s="308"/>
      <c r="D403" s="308"/>
      <c r="E403" s="308"/>
      <c r="F403" s="308"/>
      <c r="G403" s="308"/>
      <c r="H403" s="308"/>
      <c r="I403" s="308"/>
      <c r="J403" s="308"/>
      <c r="K403" s="308"/>
      <c r="L403" s="308"/>
      <c r="M403" s="308"/>
      <c r="N403" s="308"/>
      <c r="O403" s="308"/>
      <c r="P403" s="308"/>
      <c r="Q403" s="308"/>
      <c r="R403" s="308"/>
      <c r="S403" s="308"/>
      <c r="T403" s="308"/>
      <c r="U403" s="308"/>
      <c r="V403" s="308"/>
      <c r="W403" s="308"/>
      <c r="X403" s="308"/>
      <c r="Y403" s="308"/>
      <c r="Z403" s="308"/>
    </row>
    <row r="404" ht="15.75" customHeight="1">
      <c r="A404" s="308"/>
      <c r="B404" s="524"/>
      <c r="C404" s="308"/>
      <c r="D404" s="308"/>
      <c r="E404" s="308"/>
      <c r="F404" s="308"/>
      <c r="G404" s="308"/>
      <c r="H404" s="308"/>
      <c r="I404" s="308"/>
      <c r="J404" s="308"/>
      <c r="K404" s="308"/>
      <c r="L404" s="308"/>
      <c r="M404" s="308"/>
      <c r="N404" s="308"/>
      <c r="O404" s="308"/>
      <c r="P404" s="308"/>
      <c r="Q404" s="308"/>
      <c r="R404" s="308"/>
      <c r="S404" s="308"/>
      <c r="T404" s="308"/>
      <c r="U404" s="308"/>
      <c r="V404" s="308"/>
      <c r="W404" s="308"/>
      <c r="X404" s="308"/>
      <c r="Y404" s="308"/>
      <c r="Z404" s="308"/>
    </row>
    <row r="405" ht="15.75" customHeight="1">
      <c r="A405" s="308"/>
      <c r="B405" s="524"/>
      <c r="C405" s="308"/>
      <c r="D405" s="308"/>
      <c r="E405" s="308"/>
      <c r="F405" s="308"/>
      <c r="G405" s="308"/>
      <c r="H405" s="308"/>
      <c r="I405" s="308"/>
      <c r="J405" s="308"/>
      <c r="K405" s="308"/>
      <c r="L405" s="308"/>
      <c r="M405" s="308"/>
      <c r="N405" s="308"/>
      <c r="O405" s="308"/>
      <c r="P405" s="308"/>
      <c r="Q405" s="308"/>
      <c r="R405" s="308"/>
      <c r="S405" s="308"/>
      <c r="T405" s="308"/>
      <c r="U405" s="308"/>
      <c r="V405" s="308"/>
      <c r="W405" s="308"/>
      <c r="X405" s="308"/>
      <c r="Y405" s="308"/>
      <c r="Z405" s="308"/>
    </row>
    <row r="406" ht="15.75" customHeight="1">
      <c r="A406" s="308"/>
      <c r="B406" s="524"/>
      <c r="C406" s="308"/>
      <c r="D406" s="308"/>
      <c r="E406" s="308"/>
      <c r="F406" s="308"/>
      <c r="G406" s="308"/>
      <c r="H406" s="308"/>
      <c r="I406" s="308"/>
      <c r="J406" s="308"/>
      <c r="K406" s="308"/>
      <c r="L406" s="308"/>
      <c r="M406" s="308"/>
      <c r="N406" s="308"/>
      <c r="O406" s="308"/>
      <c r="P406" s="308"/>
      <c r="Q406" s="308"/>
      <c r="R406" s="308"/>
      <c r="S406" s="308"/>
      <c r="T406" s="308"/>
      <c r="U406" s="308"/>
      <c r="V406" s="308"/>
      <c r="W406" s="308"/>
      <c r="X406" s="308"/>
      <c r="Y406" s="308"/>
      <c r="Z406" s="308"/>
    </row>
    <row r="407" ht="15.75" customHeight="1">
      <c r="A407" s="308"/>
      <c r="B407" s="524"/>
      <c r="C407" s="308"/>
      <c r="D407" s="308"/>
      <c r="E407" s="308"/>
      <c r="F407" s="308"/>
      <c r="G407" s="308"/>
      <c r="H407" s="308"/>
      <c r="I407" s="308"/>
      <c r="J407" s="308"/>
      <c r="K407" s="308"/>
      <c r="L407" s="308"/>
      <c r="M407" s="308"/>
      <c r="N407" s="308"/>
      <c r="O407" s="308"/>
      <c r="P407" s="308"/>
      <c r="Q407" s="308"/>
      <c r="R407" s="308"/>
      <c r="S407" s="308"/>
      <c r="T407" s="308"/>
      <c r="U407" s="308"/>
      <c r="V407" s="308"/>
      <c r="W407" s="308"/>
      <c r="X407" s="308"/>
      <c r="Y407" s="308"/>
      <c r="Z407" s="308"/>
    </row>
    <row r="408" ht="15.75" customHeight="1">
      <c r="A408" s="308"/>
      <c r="B408" s="524"/>
      <c r="C408" s="308"/>
      <c r="D408" s="308"/>
      <c r="E408" s="308"/>
      <c r="F408" s="308"/>
      <c r="G408" s="308"/>
      <c r="H408" s="308"/>
      <c r="I408" s="308"/>
      <c r="J408" s="308"/>
      <c r="K408" s="308"/>
      <c r="L408" s="308"/>
      <c r="M408" s="308"/>
      <c r="N408" s="308"/>
      <c r="O408" s="308"/>
      <c r="P408" s="308"/>
      <c r="Q408" s="308"/>
      <c r="R408" s="308"/>
      <c r="S408" s="308"/>
      <c r="T408" s="308"/>
      <c r="U408" s="308"/>
      <c r="V408" s="308"/>
      <c r="W408" s="308"/>
      <c r="X408" s="308"/>
      <c r="Y408" s="308"/>
      <c r="Z408" s="308"/>
    </row>
    <row r="409" ht="15.75" customHeight="1">
      <c r="A409" s="308"/>
      <c r="B409" s="524"/>
      <c r="C409" s="308"/>
      <c r="D409" s="308"/>
      <c r="E409" s="308"/>
      <c r="F409" s="308"/>
      <c r="G409" s="308"/>
      <c r="H409" s="308"/>
      <c r="I409" s="308"/>
      <c r="J409" s="308"/>
      <c r="K409" s="308"/>
      <c r="L409" s="308"/>
      <c r="M409" s="308"/>
      <c r="N409" s="308"/>
      <c r="O409" s="308"/>
      <c r="P409" s="308"/>
      <c r="Q409" s="308"/>
      <c r="R409" s="308"/>
      <c r="S409" s="308"/>
      <c r="T409" s="308"/>
      <c r="U409" s="308"/>
      <c r="V409" s="308"/>
      <c r="W409" s="308"/>
      <c r="X409" s="308"/>
      <c r="Y409" s="308"/>
      <c r="Z409" s="308"/>
    </row>
    <row r="410" ht="15.75" customHeight="1">
      <c r="A410" s="308"/>
      <c r="B410" s="524"/>
      <c r="C410" s="308"/>
      <c r="D410" s="308"/>
      <c r="E410" s="308"/>
      <c r="F410" s="308"/>
      <c r="G410" s="308"/>
      <c r="H410" s="308"/>
      <c r="I410" s="308"/>
      <c r="J410" s="308"/>
      <c r="K410" s="308"/>
      <c r="L410" s="308"/>
      <c r="M410" s="308"/>
      <c r="N410" s="308"/>
      <c r="O410" s="308"/>
      <c r="P410" s="308"/>
      <c r="Q410" s="308"/>
      <c r="R410" s="308"/>
      <c r="S410" s="308"/>
      <c r="T410" s="308"/>
      <c r="U410" s="308"/>
      <c r="V410" s="308"/>
      <c r="W410" s="308"/>
      <c r="X410" s="308"/>
      <c r="Y410" s="308"/>
      <c r="Z410" s="308"/>
    </row>
    <row r="411" ht="15.75" customHeight="1">
      <c r="A411" s="308"/>
      <c r="B411" s="524"/>
      <c r="C411" s="308"/>
      <c r="D411" s="308"/>
      <c r="E411" s="308"/>
      <c r="F411" s="308"/>
      <c r="G411" s="308"/>
      <c r="H411" s="308"/>
      <c r="I411" s="308"/>
      <c r="J411" s="308"/>
      <c r="K411" s="308"/>
      <c r="L411" s="308"/>
      <c r="M411" s="308"/>
      <c r="N411" s="308"/>
      <c r="O411" s="308"/>
      <c r="P411" s="308"/>
      <c r="Q411" s="308"/>
      <c r="R411" s="308"/>
      <c r="S411" s="308"/>
      <c r="T411" s="308"/>
      <c r="U411" s="308"/>
      <c r="V411" s="308"/>
      <c r="W411" s="308"/>
      <c r="X411" s="308"/>
      <c r="Y411" s="308"/>
      <c r="Z411" s="308"/>
    </row>
    <row r="412" ht="15.75" customHeight="1">
      <c r="A412" s="308"/>
      <c r="B412" s="524"/>
      <c r="C412" s="308"/>
      <c r="D412" s="308"/>
      <c r="E412" s="308"/>
      <c r="F412" s="308"/>
      <c r="G412" s="308"/>
      <c r="H412" s="308"/>
      <c r="I412" s="308"/>
      <c r="J412" s="308"/>
      <c r="K412" s="308"/>
      <c r="L412" s="308"/>
      <c r="M412" s="308"/>
      <c r="N412" s="308"/>
      <c r="O412" s="308"/>
      <c r="P412" s="308"/>
      <c r="Q412" s="308"/>
      <c r="R412" s="308"/>
      <c r="S412" s="308"/>
      <c r="T412" s="308"/>
      <c r="U412" s="308"/>
      <c r="V412" s="308"/>
      <c r="W412" s="308"/>
      <c r="X412" s="308"/>
      <c r="Y412" s="308"/>
      <c r="Z412" s="308"/>
    </row>
    <row r="413" ht="15.75" customHeight="1">
      <c r="A413" s="308"/>
      <c r="B413" s="524"/>
      <c r="C413" s="308"/>
      <c r="D413" s="308"/>
      <c r="E413" s="308"/>
      <c r="F413" s="308"/>
      <c r="G413" s="308"/>
      <c r="H413" s="308"/>
      <c r="I413" s="308"/>
      <c r="J413" s="308"/>
      <c r="K413" s="308"/>
      <c r="L413" s="308"/>
      <c r="M413" s="308"/>
      <c r="N413" s="308"/>
      <c r="O413" s="308"/>
      <c r="P413" s="308"/>
      <c r="Q413" s="308"/>
      <c r="R413" s="308"/>
      <c r="S413" s="308"/>
      <c r="T413" s="308"/>
      <c r="U413" s="308"/>
      <c r="V413" s="308"/>
      <c r="W413" s="308"/>
      <c r="X413" s="308"/>
      <c r="Y413" s="308"/>
      <c r="Z413" s="308"/>
    </row>
    <row r="414" ht="15.75" customHeight="1">
      <c r="A414" s="308"/>
      <c r="B414" s="524"/>
      <c r="C414" s="308"/>
      <c r="D414" s="308"/>
      <c r="E414" s="308"/>
      <c r="F414" s="308"/>
      <c r="G414" s="308"/>
      <c r="H414" s="308"/>
      <c r="I414" s="308"/>
      <c r="J414" s="308"/>
      <c r="K414" s="308"/>
      <c r="L414" s="308"/>
      <c r="M414" s="308"/>
      <c r="N414" s="308"/>
      <c r="O414" s="308"/>
      <c r="P414" s="308"/>
      <c r="Q414" s="308"/>
      <c r="R414" s="308"/>
      <c r="S414" s="308"/>
      <c r="T414" s="308"/>
      <c r="U414" s="308"/>
      <c r="V414" s="308"/>
      <c r="W414" s="308"/>
      <c r="X414" s="308"/>
      <c r="Y414" s="308"/>
      <c r="Z414" s="308"/>
    </row>
    <row r="415" ht="15.75" customHeight="1">
      <c r="A415" s="308"/>
      <c r="B415" s="524"/>
      <c r="C415" s="308"/>
      <c r="D415" s="308"/>
      <c r="E415" s="308"/>
      <c r="F415" s="308"/>
      <c r="G415" s="308"/>
      <c r="H415" s="308"/>
      <c r="I415" s="308"/>
      <c r="J415" s="308"/>
      <c r="K415" s="308"/>
      <c r="L415" s="308"/>
      <c r="M415" s="308"/>
      <c r="N415" s="308"/>
      <c r="O415" s="308"/>
      <c r="P415" s="308"/>
      <c r="Q415" s="308"/>
      <c r="R415" s="308"/>
      <c r="S415" s="308"/>
      <c r="T415" s="308"/>
      <c r="U415" s="308"/>
      <c r="V415" s="308"/>
      <c r="W415" s="308"/>
      <c r="X415" s="308"/>
      <c r="Y415" s="308"/>
      <c r="Z415" s="308"/>
    </row>
    <row r="416" ht="15.75" customHeight="1">
      <c r="A416" s="308"/>
      <c r="B416" s="524"/>
      <c r="C416" s="308"/>
      <c r="D416" s="308"/>
      <c r="E416" s="308"/>
      <c r="F416" s="308"/>
      <c r="G416" s="308"/>
      <c r="H416" s="308"/>
      <c r="I416" s="308"/>
      <c r="J416" s="308"/>
      <c r="K416" s="308"/>
      <c r="L416" s="308"/>
      <c r="M416" s="308"/>
      <c r="N416" s="308"/>
      <c r="O416" s="308"/>
      <c r="P416" s="308"/>
      <c r="Q416" s="308"/>
      <c r="R416" s="308"/>
      <c r="S416" s="308"/>
      <c r="T416" s="308"/>
      <c r="U416" s="308"/>
      <c r="V416" s="308"/>
      <c r="W416" s="308"/>
      <c r="X416" s="308"/>
      <c r="Y416" s="308"/>
      <c r="Z416" s="308"/>
    </row>
    <row r="417" ht="15.75" customHeight="1">
      <c r="A417" s="308"/>
      <c r="B417" s="524"/>
      <c r="C417" s="308"/>
      <c r="D417" s="308"/>
      <c r="E417" s="308"/>
      <c r="F417" s="308"/>
      <c r="G417" s="308"/>
      <c r="H417" s="308"/>
      <c r="I417" s="308"/>
      <c r="J417" s="308"/>
      <c r="K417" s="308"/>
      <c r="L417" s="308"/>
      <c r="M417" s="308"/>
      <c r="N417" s="308"/>
      <c r="O417" s="308"/>
      <c r="P417" s="308"/>
      <c r="Q417" s="308"/>
      <c r="R417" s="308"/>
      <c r="S417" s="308"/>
      <c r="T417" s="308"/>
      <c r="U417" s="308"/>
      <c r="V417" s="308"/>
      <c r="W417" s="308"/>
      <c r="X417" s="308"/>
      <c r="Y417" s="308"/>
      <c r="Z417" s="308"/>
    </row>
    <row r="418" ht="15.75" customHeight="1">
      <c r="A418" s="308"/>
      <c r="B418" s="524"/>
      <c r="C418" s="308"/>
      <c r="D418" s="308"/>
      <c r="E418" s="308"/>
      <c r="F418" s="308"/>
      <c r="G418" s="308"/>
      <c r="H418" s="308"/>
      <c r="I418" s="308"/>
      <c r="J418" s="308"/>
      <c r="K418" s="308"/>
      <c r="L418" s="308"/>
      <c r="M418" s="308"/>
      <c r="N418" s="308"/>
      <c r="O418" s="308"/>
      <c r="P418" s="308"/>
      <c r="Q418" s="308"/>
      <c r="R418" s="308"/>
      <c r="S418" s="308"/>
      <c r="T418" s="308"/>
      <c r="U418" s="308"/>
      <c r="V418" s="308"/>
      <c r="W418" s="308"/>
      <c r="X418" s="308"/>
      <c r="Y418" s="308"/>
      <c r="Z418" s="308"/>
    </row>
    <row r="419" ht="15.75" customHeight="1">
      <c r="A419" s="308"/>
      <c r="B419" s="524"/>
      <c r="C419" s="308"/>
      <c r="D419" s="308"/>
      <c r="E419" s="308"/>
      <c r="F419" s="308"/>
      <c r="G419" s="308"/>
      <c r="H419" s="308"/>
      <c r="I419" s="308"/>
      <c r="J419" s="308"/>
      <c r="K419" s="308"/>
      <c r="L419" s="308"/>
      <c r="M419" s="308"/>
      <c r="N419" s="308"/>
      <c r="O419" s="308"/>
      <c r="P419" s="308"/>
      <c r="Q419" s="308"/>
      <c r="R419" s="308"/>
      <c r="S419" s="308"/>
      <c r="T419" s="308"/>
      <c r="U419" s="308"/>
      <c r="V419" s="308"/>
      <c r="W419" s="308"/>
      <c r="X419" s="308"/>
      <c r="Y419" s="308"/>
      <c r="Z419" s="308"/>
    </row>
    <row r="420" ht="15.75" customHeight="1">
      <c r="A420" s="308"/>
      <c r="B420" s="524"/>
      <c r="C420" s="308"/>
      <c r="D420" s="308"/>
      <c r="E420" s="308"/>
      <c r="F420" s="308"/>
      <c r="G420" s="308"/>
      <c r="H420" s="308"/>
      <c r="I420" s="308"/>
      <c r="J420" s="308"/>
      <c r="K420" s="308"/>
      <c r="L420" s="308"/>
      <c r="M420" s="308"/>
      <c r="N420" s="308"/>
      <c r="O420" s="308"/>
      <c r="P420" s="308"/>
      <c r="Q420" s="308"/>
      <c r="R420" s="308"/>
      <c r="S420" s="308"/>
      <c r="T420" s="308"/>
      <c r="U420" s="308"/>
      <c r="V420" s="308"/>
      <c r="W420" s="308"/>
      <c r="X420" s="308"/>
      <c r="Y420" s="308"/>
      <c r="Z420" s="308"/>
    </row>
    <row r="421" ht="15.75" customHeight="1">
      <c r="A421" s="308"/>
      <c r="B421" s="524"/>
      <c r="C421" s="308"/>
      <c r="D421" s="308"/>
      <c r="E421" s="308"/>
      <c r="F421" s="308"/>
      <c r="G421" s="308"/>
      <c r="H421" s="308"/>
      <c r="I421" s="308"/>
      <c r="J421" s="308"/>
      <c r="K421" s="308"/>
      <c r="L421" s="308"/>
      <c r="M421" s="308"/>
      <c r="N421" s="308"/>
      <c r="O421" s="308"/>
      <c r="P421" s="308"/>
      <c r="Q421" s="308"/>
      <c r="R421" s="308"/>
      <c r="S421" s="308"/>
      <c r="T421" s="308"/>
      <c r="U421" s="308"/>
      <c r="V421" s="308"/>
      <c r="W421" s="308"/>
      <c r="X421" s="308"/>
      <c r="Y421" s="308"/>
      <c r="Z421" s="308"/>
    </row>
    <row r="422" ht="15.75" customHeight="1">
      <c r="A422" s="308"/>
      <c r="B422" s="524"/>
      <c r="C422" s="308"/>
      <c r="D422" s="308"/>
      <c r="E422" s="308"/>
      <c r="F422" s="308"/>
      <c r="G422" s="308"/>
      <c r="H422" s="308"/>
      <c r="I422" s="308"/>
      <c r="J422" s="308"/>
      <c r="K422" s="308"/>
      <c r="L422" s="308"/>
      <c r="M422" s="308"/>
      <c r="N422" s="308"/>
      <c r="O422" s="308"/>
      <c r="P422" s="308"/>
      <c r="Q422" s="308"/>
      <c r="R422" s="308"/>
      <c r="S422" s="308"/>
      <c r="T422" s="308"/>
      <c r="U422" s="308"/>
      <c r="V422" s="308"/>
      <c r="W422" s="308"/>
      <c r="X422" s="308"/>
      <c r="Y422" s="308"/>
      <c r="Z422" s="308"/>
    </row>
    <row r="423" ht="15.75" customHeight="1">
      <c r="A423" s="308"/>
      <c r="B423" s="524"/>
      <c r="C423" s="308"/>
      <c r="D423" s="308"/>
      <c r="E423" s="308"/>
      <c r="F423" s="308"/>
      <c r="G423" s="308"/>
      <c r="H423" s="308"/>
      <c r="I423" s="308"/>
      <c r="J423" s="308"/>
      <c r="K423" s="308"/>
      <c r="L423" s="308"/>
      <c r="M423" s="308"/>
      <c r="N423" s="308"/>
      <c r="O423" s="308"/>
      <c r="P423" s="308"/>
      <c r="Q423" s="308"/>
      <c r="R423" s="308"/>
      <c r="S423" s="308"/>
      <c r="T423" s="308"/>
      <c r="U423" s="308"/>
      <c r="V423" s="308"/>
      <c r="W423" s="308"/>
      <c r="X423" s="308"/>
      <c r="Y423" s="308"/>
      <c r="Z423" s="308"/>
    </row>
    <row r="424" ht="15.75" customHeight="1">
      <c r="A424" s="308"/>
      <c r="B424" s="524"/>
      <c r="C424" s="308"/>
      <c r="D424" s="308"/>
      <c r="E424" s="308"/>
      <c r="F424" s="308"/>
      <c r="G424" s="308"/>
      <c r="H424" s="308"/>
      <c r="I424" s="308"/>
      <c r="J424" s="308"/>
      <c r="K424" s="308"/>
      <c r="L424" s="308"/>
      <c r="M424" s="308"/>
      <c r="N424" s="308"/>
      <c r="O424" s="308"/>
      <c r="P424" s="308"/>
      <c r="Q424" s="308"/>
      <c r="R424" s="308"/>
      <c r="S424" s="308"/>
      <c r="T424" s="308"/>
      <c r="U424" s="308"/>
      <c r="V424" s="308"/>
      <c r="W424" s="308"/>
      <c r="X424" s="308"/>
      <c r="Y424" s="308"/>
      <c r="Z424" s="308"/>
    </row>
    <row r="425" ht="15.75" customHeight="1">
      <c r="A425" s="308"/>
      <c r="B425" s="524"/>
      <c r="C425" s="308"/>
      <c r="D425" s="308"/>
      <c r="E425" s="308"/>
      <c r="F425" s="308"/>
      <c r="G425" s="308"/>
      <c r="H425" s="308"/>
      <c r="I425" s="308"/>
      <c r="J425" s="308"/>
      <c r="K425" s="308"/>
      <c r="L425" s="308"/>
      <c r="M425" s="308"/>
      <c r="N425" s="308"/>
      <c r="O425" s="308"/>
      <c r="P425" s="308"/>
      <c r="Q425" s="308"/>
      <c r="R425" s="308"/>
      <c r="S425" s="308"/>
      <c r="T425" s="308"/>
      <c r="U425" s="308"/>
      <c r="V425" s="308"/>
      <c r="W425" s="308"/>
      <c r="X425" s="308"/>
      <c r="Y425" s="308"/>
      <c r="Z425" s="308"/>
    </row>
    <row r="426" ht="15.75" customHeight="1">
      <c r="A426" s="308"/>
      <c r="B426" s="524"/>
      <c r="C426" s="308"/>
      <c r="D426" s="308"/>
      <c r="E426" s="308"/>
      <c r="F426" s="308"/>
      <c r="G426" s="308"/>
      <c r="H426" s="308"/>
      <c r="I426" s="308"/>
      <c r="J426" s="308"/>
      <c r="K426" s="308"/>
      <c r="L426" s="308"/>
      <c r="M426" s="308"/>
      <c r="N426" s="308"/>
      <c r="O426" s="308"/>
      <c r="P426" s="308"/>
      <c r="Q426" s="308"/>
      <c r="R426" s="308"/>
      <c r="S426" s="308"/>
      <c r="T426" s="308"/>
      <c r="U426" s="308"/>
      <c r="V426" s="308"/>
      <c r="W426" s="308"/>
      <c r="X426" s="308"/>
      <c r="Y426" s="308"/>
      <c r="Z426" s="308"/>
    </row>
    <row r="427" ht="15.75" customHeight="1">
      <c r="A427" s="308"/>
      <c r="B427" s="524"/>
      <c r="C427" s="308"/>
      <c r="D427" s="308"/>
      <c r="E427" s="308"/>
      <c r="F427" s="308"/>
      <c r="G427" s="308"/>
      <c r="H427" s="308"/>
      <c r="I427" s="308"/>
      <c r="J427" s="308"/>
      <c r="K427" s="308"/>
      <c r="L427" s="308"/>
      <c r="M427" s="308"/>
      <c r="N427" s="308"/>
      <c r="O427" s="308"/>
      <c r="P427" s="308"/>
      <c r="Q427" s="308"/>
      <c r="R427" s="308"/>
      <c r="S427" s="308"/>
      <c r="T427" s="308"/>
      <c r="U427" s="308"/>
      <c r="V427" s="308"/>
      <c r="W427" s="308"/>
      <c r="X427" s="308"/>
      <c r="Y427" s="308"/>
      <c r="Z427" s="308"/>
    </row>
    <row r="428" ht="15.75" customHeight="1">
      <c r="A428" s="308"/>
      <c r="B428" s="524"/>
      <c r="C428" s="308"/>
      <c r="D428" s="308"/>
      <c r="E428" s="308"/>
      <c r="F428" s="308"/>
      <c r="G428" s="308"/>
      <c r="H428" s="308"/>
      <c r="I428" s="308"/>
      <c r="J428" s="308"/>
      <c r="K428" s="308"/>
      <c r="L428" s="308"/>
      <c r="M428" s="308"/>
      <c r="N428" s="308"/>
      <c r="O428" s="308"/>
      <c r="P428" s="308"/>
      <c r="Q428" s="308"/>
      <c r="R428" s="308"/>
      <c r="S428" s="308"/>
      <c r="T428" s="308"/>
      <c r="U428" s="308"/>
      <c r="V428" s="308"/>
      <c r="W428" s="308"/>
      <c r="X428" s="308"/>
      <c r="Y428" s="308"/>
      <c r="Z428" s="308"/>
    </row>
    <row r="429" ht="15.75" customHeight="1">
      <c r="A429" s="308"/>
      <c r="B429" s="524"/>
      <c r="C429" s="308"/>
      <c r="D429" s="308"/>
      <c r="E429" s="308"/>
      <c r="F429" s="308"/>
      <c r="G429" s="308"/>
      <c r="H429" s="308"/>
      <c r="I429" s="308"/>
      <c r="J429" s="308"/>
      <c r="K429" s="308"/>
      <c r="L429" s="308"/>
      <c r="M429" s="308"/>
      <c r="N429" s="308"/>
      <c r="O429" s="308"/>
      <c r="P429" s="308"/>
      <c r="Q429" s="308"/>
      <c r="R429" s="308"/>
      <c r="S429" s="308"/>
      <c r="T429" s="308"/>
      <c r="U429" s="308"/>
      <c r="V429" s="308"/>
      <c r="W429" s="308"/>
      <c r="X429" s="308"/>
      <c r="Y429" s="308"/>
      <c r="Z429" s="308"/>
    </row>
    <row r="430" ht="15.75" customHeight="1">
      <c r="A430" s="308"/>
      <c r="B430" s="524"/>
      <c r="C430" s="308"/>
      <c r="D430" s="308"/>
      <c r="E430" s="308"/>
      <c r="F430" s="308"/>
      <c r="G430" s="308"/>
      <c r="H430" s="308"/>
      <c r="I430" s="308"/>
      <c r="J430" s="308"/>
      <c r="K430" s="308"/>
      <c r="L430" s="308"/>
      <c r="M430" s="308"/>
      <c r="N430" s="308"/>
      <c r="O430" s="308"/>
      <c r="P430" s="308"/>
      <c r="Q430" s="308"/>
      <c r="R430" s="308"/>
      <c r="S430" s="308"/>
      <c r="T430" s="308"/>
      <c r="U430" s="308"/>
      <c r="V430" s="308"/>
      <c r="W430" s="308"/>
      <c r="X430" s="308"/>
      <c r="Y430" s="308"/>
      <c r="Z430" s="308"/>
    </row>
    <row r="431" ht="15.75" customHeight="1">
      <c r="A431" s="308"/>
      <c r="B431" s="524"/>
      <c r="C431" s="308"/>
      <c r="D431" s="308"/>
      <c r="E431" s="308"/>
      <c r="F431" s="308"/>
      <c r="G431" s="308"/>
      <c r="H431" s="308"/>
      <c r="I431" s="308"/>
      <c r="J431" s="308"/>
      <c r="K431" s="308"/>
      <c r="L431" s="308"/>
      <c r="M431" s="308"/>
      <c r="N431" s="308"/>
      <c r="O431" s="308"/>
      <c r="P431" s="308"/>
      <c r="Q431" s="308"/>
      <c r="R431" s="308"/>
      <c r="S431" s="308"/>
      <c r="T431" s="308"/>
      <c r="U431" s="308"/>
      <c r="V431" s="308"/>
      <c r="W431" s="308"/>
      <c r="X431" s="308"/>
      <c r="Y431" s="308"/>
      <c r="Z431" s="308"/>
    </row>
    <row r="432" ht="15.75" customHeight="1">
      <c r="A432" s="308"/>
      <c r="B432" s="524"/>
      <c r="C432" s="308"/>
      <c r="D432" s="308"/>
      <c r="E432" s="308"/>
      <c r="F432" s="308"/>
      <c r="G432" s="308"/>
      <c r="H432" s="308"/>
      <c r="I432" s="308"/>
      <c r="J432" s="308"/>
      <c r="K432" s="308"/>
      <c r="L432" s="308"/>
      <c r="M432" s="308"/>
      <c r="N432" s="308"/>
      <c r="O432" s="308"/>
      <c r="P432" s="308"/>
      <c r="Q432" s="308"/>
      <c r="R432" s="308"/>
      <c r="S432" s="308"/>
      <c r="T432" s="308"/>
      <c r="U432" s="308"/>
      <c r="V432" s="308"/>
      <c r="W432" s="308"/>
      <c r="X432" s="308"/>
      <c r="Y432" s="308"/>
      <c r="Z432" s="308"/>
    </row>
    <row r="433" ht="15.75" customHeight="1">
      <c r="A433" s="308"/>
      <c r="B433" s="524"/>
      <c r="C433" s="308"/>
      <c r="D433" s="308"/>
      <c r="E433" s="308"/>
      <c r="F433" s="308"/>
      <c r="G433" s="308"/>
      <c r="H433" s="308"/>
      <c r="I433" s="308"/>
      <c r="J433" s="308"/>
      <c r="K433" s="308"/>
      <c r="L433" s="308"/>
      <c r="M433" s="308"/>
      <c r="N433" s="308"/>
      <c r="O433" s="308"/>
      <c r="P433" s="308"/>
      <c r="Q433" s="308"/>
      <c r="R433" s="308"/>
      <c r="S433" s="308"/>
      <c r="T433" s="308"/>
      <c r="U433" s="308"/>
      <c r="V433" s="308"/>
      <c r="W433" s="308"/>
      <c r="X433" s="308"/>
      <c r="Y433" s="308"/>
      <c r="Z433" s="308"/>
    </row>
    <row r="434" ht="15.75" customHeight="1">
      <c r="A434" s="308"/>
      <c r="B434" s="524"/>
      <c r="C434" s="308"/>
      <c r="D434" s="308"/>
      <c r="E434" s="308"/>
      <c r="F434" s="308"/>
      <c r="G434" s="308"/>
      <c r="H434" s="308"/>
      <c r="I434" s="308"/>
      <c r="J434" s="308"/>
      <c r="K434" s="308"/>
      <c r="L434" s="308"/>
      <c r="M434" s="308"/>
      <c r="N434" s="308"/>
      <c r="O434" s="308"/>
      <c r="P434" s="308"/>
      <c r="Q434" s="308"/>
      <c r="R434" s="308"/>
      <c r="S434" s="308"/>
      <c r="T434" s="308"/>
      <c r="U434" s="308"/>
      <c r="V434" s="308"/>
      <c r="W434" s="308"/>
      <c r="X434" s="308"/>
      <c r="Y434" s="308"/>
      <c r="Z434" s="308"/>
    </row>
    <row r="435" ht="15.75" customHeight="1">
      <c r="A435" s="308"/>
      <c r="B435" s="524"/>
      <c r="C435" s="308"/>
      <c r="D435" s="308"/>
      <c r="E435" s="308"/>
      <c r="F435" s="308"/>
      <c r="G435" s="308"/>
      <c r="H435" s="308"/>
      <c r="I435" s="308"/>
      <c r="J435" s="308"/>
      <c r="K435" s="308"/>
      <c r="L435" s="308"/>
      <c r="M435" s="308"/>
      <c r="N435" s="308"/>
      <c r="O435" s="308"/>
      <c r="P435" s="308"/>
      <c r="Q435" s="308"/>
      <c r="R435" s="308"/>
      <c r="S435" s="308"/>
      <c r="T435" s="308"/>
      <c r="U435" s="308"/>
      <c r="V435" s="308"/>
      <c r="W435" s="308"/>
      <c r="X435" s="308"/>
      <c r="Y435" s="308"/>
      <c r="Z435" s="308"/>
    </row>
    <row r="436" ht="15.75" customHeight="1">
      <c r="A436" s="308"/>
      <c r="B436" s="524"/>
      <c r="C436" s="308"/>
      <c r="D436" s="308"/>
      <c r="E436" s="308"/>
      <c r="F436" s="308"/>
      <c r="G436" s="308"/>
      <c r="H436" s="308"/>
      <c r="I436" s="308"/>
      <c r="J436" s="308"/>
      <c r="K436" s="308"/>
      <c r="L436" s="308"/>
      <c r="M436" s="308"/>
      <c r="N436" s="308"/>
      <c r="O436" s="308"/>
      <c r="P436" s="308"/>
      <c r="Q436" s="308"/>
      <c r="R436" s="308"/>
      <c r="S436" s="308"/>
      <c r="T436" s="308"/>
      <c r="U436" s="308"/>
      <c r="V436" s="308"/>
      <c r="W436" s="308"/>
      <c r="X436" s="308"/>
      <c r="Y436" s="308"/>
      <c r="Z436" s="308"/>
    </row>
    <row r="437" ht="15.75" customHeight="1">
      <c r="A437" s="308"/>
      <c r="B437" s="524"/>
      <c r="C437" s="308"/>
      <c r="D437" s="308"/>
      <c r="E437" s="308"/>
      <c r="F437" s="308"/>
      <c r="G437" s="308"/>
      <c r="H437" s="308"/>
      <c r="I437" s="308"/>
      <c r="J437" s="308"/>
      <c r="K437" s="308"/>
      <c r="L437" s="308"/>
      <c r="M437" s="308"/>
      <c r="N437" s="308"/>
      <c r="O437" s="308"/>
      <c r="P437" s="308"/>
      <c r="Q437" s="308"/>
      <c r="R437" s="308"/>
      <c r="S437" s="308"/>
      <c r="T437" s="308"/>
      <c r="U437" s="308"/>
      <c r="V437" s="308"/>
      <c r="W437" s="308"/>
      <c r="X437" s="308"/>
      <c r="Y437" s="308"/>
      <c r="Z437" s="308"/>
    </row>
    <row r="438" ht="15.75" customHeight="1">
      <c r="A438" s="308"/>
      <c r="B438" s="524"/>
      <c r="C438" s="308"/>
      <c r="D438" s="308"/>
      <c r="E438" s="308"/>
      <c r="F438" s="308"/>
      <c r="G438" s="308"/>
      <c r="H438" s="308"/>
      <c r="I438" s="308"/>
      <c r="J438" s="308"/>
      <c r="K438" s="308"/>
      <c r="L438" s="308"/>
      <c r="M438" s="308"/>
      <c r="N438" s="308"/>
      <c r="O438" s="308"/>
      <c r="P438" s="308"/>
      <c r="Q438" s="308"/>
      <c r="R438" s="308"/>
      <c r="S438" s="308"/>
      <c r="T438" s="308"/>
      <c r="U438" s="308"/>
      <c r="V438" s="308"/>
      <c r="W438" s="308"/>
      <c r="X438" s="308"/>
      <c r="Y438" s="308"/>
      <c r="Z438" s="308"/>
    </row>
    <row r="439" ht="15.75" customHeight="1">
      <c r="A439" s="308"/>
      <c r="B439" s="524"/>
      <c r="C439" s="308"/>
      <c r="D439" s="308"/>
      <c r="E439" s="308"/>
      <c r="F439" s="308"/>
      <c r="G439" s="308"/>
      <c r="H439" s="308"/>
      <c r="I439" s="308"/>
      <c r="J439" s="308"/>
      <c r="K439" s="308"/>
      <c r="L439" s="308"/>
      <c r="M439" s="308"/>
      <c r="N439" s="308"/>
      <c r="O439" s="308"/>
      <c r="P439" s="308"/>
      <c r="Q439" s="308"/>
      <c r="R439" s="308"/>
      <c r="S439" s="308"/>
      <c r="T439" s="308"/>
      <c r="U439" s="308"/>
      <c r="V439" s="308"/>
      <c r="W439" s="308"/>
      <c r="X439" s="308"/>
      <c r="Y439" s="308"/>
      <c r="Z439" s="308"/>
    </row>
    <row r="440" ht="15.75" customHeight="1">
      <c r="A440" s="308"/>
      <c r="B440" s="524"/>
      <c r="C440" s="308"/>
      <c r="D440" s="308"/>
      <c r="E440" s="308"/>
      <c r="F440" s="308"/>
      <c r="G440" s="308"/>
      <c r="H440" s="308"/>
      <c r="I440" s="308"/>
      <c r="J440" s="308"/>
      <c r="K440" s="308"/>
      <c r="L440" s="308"/>
      <c r="M440" s="308"/>
      <c r="N440" s="308"/>
      <c r="O440" s="308"/>
      <c r="P440" s="308"/>
      <c r="Q440" s="308"/>
      <c r="R440" s="308"/>
      <c r="S440" s="308"/>
      <c r="T440" s="308"/>
      <c r="U440" s="308"/>
      <c r="V440" s="308"/>
      <c r="W440" s="308"/>
      <c r="X440" s="308"/>
      <c r="Y440" s="308"/>
      <c r="Z440" s="308"/>
    </row>
    <row r="441" ht="15.75" customHeight="1">
      <c r="A441" s="308"/>
      <c r="B441" s="524"/>
      <c r="C441" s="308"/>
      <c r="D441" s="308"/>
      <c r="E441" s="308"/>
      <c r="F441" s="308"/>
      <c r="G441" s="308"/>
      <c r="H441" s="308"/>
      <c r="I441" s="308"/>
      <c r="J441" s="308"/>
      <c r="K441" s="308"/>
      <c r="L441" s="308"/>
      <c r="M441" s="308"/>
      <c r="N441" s="308"/>
      <c r="O441" s="308"/>
      <c r="P441" s="308"/>
      <c r="Q441" s="308"/>
      <c r="R441" s="308"/>
      <c r="S441" s="308"/>
      <c r="T441" s="308"/>
      <c r="U441" s="308"/>
      <c r="V441" s="308"/>
      <c r="W441" s="308"/>
      <c r="X441" s="308"/>
      <c r="Y441" s="308"/>
      <c r="Z441" s="308"/>
    </row>
    <row r="442" ht="15.75" customHeight="1">
      <c r="A442" s="308"/>
      <c r="B442" s="524"/>
      <c r="C442" s="308"/>
      <c r="D442" s="308"/>
      <c r="E442" s="308"/>
      <c r="F442" s="308"/>
      <c r="G442" s="308"/>
      <c r="H442" s="308"/>
      <c r="I442" s="308"/>
      <c r="J442" s="308"/>
      <c r="K442" s="308"/>
      <c r="L442" s="308"/>
      <c r="M442" s="308"/>
      <c r="N442" s="308"/>
      <c r="O442" s="308"/>
      <c r="P442" s="308"/>
      <c r="Q442" s="308"/>
      <c r="R442" s="308"/>
      <c r="S442" s="308"/>
      <c r="T442" s="308"/>
      <c r="U442" s="308"/>
      <c r="V442" s="308"/>
      <c r="W442" s="308"/>
      <c r="X442" s="308"/>
      <c r="Y442" s="308"/>
      <c r="Z442" s="308"/>
    </row>
    <row r="443" ht="15.75" customHeight="1">
      <c r="A443" s="308"/>
      <c r="B443" s="524"/>
      <c r="C443" s="308"/>
      <c r="D443" s="308"/>
      <c r="E443" s="308"/>
      <c r="F443" s="308"/>
      <c r="G443" s="308"/>
      <c r="H443" s="308"/>
      <c r="I443" s="308"/>
      <c r="J443" s="308"/>
      <c r="K443" s="308"/>
      <c r="L443" s="308"/>
      <c r="M443" s="308"/>
      <c r="N443" s="308"/>
      <c r="O443" s="308"/>
      <c r="P443" s="308"/>
      <c r="Q443" s="308"/>
      <c r="R443" s="308"/>
      <c r="S443" s="308"/>
      <c r="T443" s="308"/>
      <c r="U443" s="308"/>
      <c r="V443" s="308"/>
      <c r="W443" s="308"/>
      <c r="X443" s="308"/>
      <c r="Y443" s="308"/>
      <c r="Z443" s="308"/>
    </row>
    <row r="444" ht="15.75" customHeight="1">
      <c r="A444" s="308"/>
      <c r="B444" s="524"/>
      <c r="C444" s="308"/>
      <c r="D444" s="308"/>
      <c r="E444" s="308"/>
      <c r="F444" s="308"/>
      <c r="G444" s="308"/>
      <c r="H444" s="308"/>
      <c r="I444" s="308"/>
      <c r="J444" s="308"/>
      <c r="K444" s="308"/>
      <c r="L444" s="308"/>
      <c r="M444" s="308"/>
      <c r="N444" s="308"/>
      <c r="O444" s="308"/>
      <c r="P444" s="308"/>
      <c r="Q444" s="308"/>
      <c r="R444" s="308"/>
      <c r="S444" s="308"/>
      <c r="T444" s="308"/>
      <c r="U444" s="308"/>
      <c r="V444" s="308"/>
      <c r="W444" s="308"/>
      <c r="X444" s="308"/>
      <c r="Y444" s="308"/>
      <c r="Z444" s="308"/>
    </row>
    <row r="445" ht="15.75" customHeight="1">
      <c r="A445" s="308"/>
      <c r="B445" s="524"/>
      <c r="C445" s="308"/>
      <c r="D445" s="308"/>
      <c r="E445" s="308"/>
      <c r="F445" s="308"/>
      <c r="G445" s="308"/>
      <c r="H445" s="308"/>
      <c r="I445" s="308"/>
      <c r="J445" s="308"/>
      <c r="K445" s="308"/>
      <c r="L445" s="308"/>
      <c r="M445" s="308"/>
      <c r="N445" s="308"/>
      <c r="O445" s="308"/>
      <c r="P445" s="308"/>
      <c r="Q445" s="308"/>
      <c r="R445" s="308"/>
      <c r="S445" s="308"/>
      <c r="T445" s="308"/>
      <c r="U445" s="308"/>
      <c r="V445" s="308"/>
      <c r="W445" s="308"/>
      <c r="X445" s="308"/>
      <c r="Y445" s="308"/>
      <c r="Z445" s="308"/>
    </row>
    <row r="446" ht="15.75" customHeight="1">
      <c r="A446" s="308"/>
      <c r="B446" s="524"/>
      <c r="C446" s="308"/>
      <c r="D446" s="308"/>
      <c r="E446" s="308"/>
      <c r="F446" s="308"/>
      <c r="G446" s="308"/>
      <c r="H446" s="308"/>
      <c r="I446" s="308"/>
      <c r="J446" s="308"/>
      <c r="K446" s="308"/>
      <c r="L446" s="308"/>
      <c r="M446" s="308"/>
      <c r="N446" s="308"/>
      <c r="O446" s="308"/>
      <c r="P446" s="308"/>
      <c r="Q446" s="308"/>
      <c r="R446" s="308"/>
      <c r="S446" s="308"/>
      <c r="T446" s="308"/>
      <c r="U446" s="308"/>
      <c r="V446" s="308"/>
      <c r="W446" s="308"/>
      <c r="X446" s="308"/>
      <c r="Y446" s="308"/>
      <c r="Z446" s="308"/>
    </row>
    <row r="447" ht="15.75" customHeight="1">
      <c r="A447" s="308"/>
      <c r="B447" s="524"/>
      <c r="C447" s="308"/>
      <c r="D447" s="308"/>
      <c r="E447" s="308"/>
      <c r="F447" s="308"/>
      <c r="G447" s="308"/>
      <c r="H447" s="308"/>
      <c r="I447" s="308"/>
      <c r="J447" s="308"/>
      <c r="K447" s="308"/>
      <c r="L447" s="308"/>
      <c r="M447" s="308"/>
      <c r="N447" s="308"/>
      <c r="O447" s="308"/>
      <c r="P447" s="308"/>
      <c r="Q447" s="308"/>
      <c r="R447" s="308"/>
      <c r="S447" s="308"/>
      <c r="T447" s="308"/>
      <c r="U447" s="308"/>
      <c r="V447" s="308"/>
      <c r="W447" s="308"/>
      <c r="X447" s="308"/>
      <c r="Y447" s="308"/>
      <c r="Z447" s="308"/>
    </row>
    <row r="448" ht="15.75" customHeight="1">
      <c r="A448" s="308"/>
      <c r="B448" s="524"/>
      <c r="C448" s="308"/>
      <c r="D448" s="308"/>
      <c r="E448" s="308"/>
      <c r="F448" s="308"/>
      <c r="G448" s="308"/>
      <c r="H448" s="308"/>
      <c r="I448" s="308"/>
      <c r="J448" s="308"/>
      <c r="K448" s="308"/>
      <c r="L448" s="308"/>
      <c r="M448" s="308"/>
      <c r="N448" s="308"/>
      <c r="O448" s="308"/>
      <c r="P448" s="308"/>
      <c r="Q448" s="308"/>
      <c r="R448" s="308"/>
      <c r="S448" s="308"/>
      <c r="T448" s="308"/>
      <c r="U448" s="308"/>
      <c r="V448" s="308"/>
      <c r="W448" s="308"/>
      <c r="X448" s="308"/>
      <c r="Y448" s="308"/>
      <c r="Z448" s="308"/>
    </row>
    <row r="449" ht="15.75" customHeight="1">
      <c r="A449" s="308"/>
      <c r="B449" s="524"/>
      <c r="C449" s="308"/>
      <c r="D449" s="308"/>
      <c r="E449" s="308"/>
      <c r="F449" s="308"/>
      <c r="G449" s="308"/>
      <c r="H449" s="308"/>
      <c r="I449" s="308"/>
      <c r="J449" s="308"/>
      <c r="K449" s="308"/>
      <c r="L449" s="308"/>
      <c r="M449" s="308"/>
      <c r="N449" s="308"/>
      <c r="O449" s="308"/>
      <c r="P449" s="308"/>
      <c r="Q449" s="308"/>
      <c r="R449" s="308"/>
      <c r="S449" s="308"/>
      <c r="T449" s="308"/>
      <c r="U449" s="308"/>
      <c r="V449" s="308"/>
      <c r="W449" s="308"/>
      <c r="X449" s="308"/>
      <c r="Y449" s="308"/>
      <c r="Z449" s="308"/>
    </row>
    <row r="450" ht="15.75" customHeight="1">
      <c r="A450" s="308"/>
      <c r="B450" s="524"/>
      <c r="C450" s="308"/>
      <c r="D450" s="308"/>
      <c r="E450" s="308"/>
      <c r="F450" s="308"/>
      <c r="G450" s="308"/>
      <c r="H450" s="308"/>
      <c r="I450" s="308"/>
      <c r="J450" s="308"/>
      <c r="K450" s="308"/>
      <c r="L450" s="308"/>
      <c r="M450" s="308"/>
      <c r="N450" s="308"/>
      <c r="O450" s="308"/>
      <c r="P450" s="308"/>
      <c r="Q450" s="308"/>
      <c r="R450" s="308"/>
      <c r="S450" s="308"/>
      <c r="T450" s="308"/>
      <c r="U450" s="308"/>
      <c r="V450" s="308"/>
      <c r="W450" s="308"/>
      <c r="X450" s="308"/>
      <c r="Y450" s="308"/>
      <c r="Z450" s="308"/>
    </row>
    <row r="451" ht="15.75" customHeight="1">
      <c r="A451" s="308"/>
      <c r="B451" s="524"/>
      <c r="C451" s="308"/>
      <c r="D451" s="308"/>
      <c r="E451" s="308"/>
      <c r="F451" s="308"/>
      <c r="G451" s="308"/>
      <c r="H451" s="308"/>
      <c r="I451" s="308"/>
      <c r="J451" s="308"/>
      <c r="K451" s="308"/>
      <c r="L451" s="308"/>
      <c r="M451" s="308"/>
      <c r="N451" s="308"/>
      <c r="O451" s="308"/>
      <c r="P451" s="308"/>
      <c r="Q451" s="308"/>
      <c r="R451" s="308"/>
      <c r="S451" s="308"/>
      <c r="T451" s="308"/>
      <c r="U451" s="308"/>
      <c r="V451" s="308"/>
      <c r="W451" s="308"/>
      <c r="X451" s="308"/>
      <c r="Y451" s="308"/>
      <c r="Z451" s="308"/>
    </row>
    <row r="452" ht="15.75" customHeight="1">
      <c r="A452" s="308"/>
      <c r="B452" s="524"/>
      <c r="C452" s="308"/>
      <c r="D452" s="308"/>
      <c r="E452" s="308"/>
      <c r="F452" s="308"/>
      <c r="G452" s="308"/>
      <c r="H452" s="308"/>
      <c r="I452" s="308"/>
      <c r="J452" s="308"/>
      <c r="K452" s="308"/>
      <c r="L452" s="308"/>
      <c r="M452" s="308"/>
      <c r="N452" s="308"/>
      <c r="O452" s="308"/>
      <c r="P452" s="308"/>
      <c r="Q452" s="308"/>
      <c r="R452" s="308"/>
      <c r="S452" s="308"/>
      <c r="T452" s="308"/>
      <c r="U452" s="308"/>
      <c r="V452" s="308"/>
      <c r="W452" s="308"/>
      <c r="X452" s="308"/>
      <c r="Y452" s="308"/>
      <c r="Z452" s="308"/>
    </row>
    <row r="453" ht="15.75" customHeight="1">
      <c r="A453" s="308"/>
      <c r="B453" s="524"/>
      <c r="C453" s="308"/>
      <c r="D453" s="308"/>
      <c r="E453" s="308"/>
      <c r="F453" s="308"/>
      <c r="G453" s="308"/>
      <c r="H453" s="308"/>
      <c r="I453" s="308"/>
      <c r="J453" s="308"/>
      <c r="K453" s="308"/>
      <c r="L453" s="308"/>
      <c r="M453" s="308"/>
      <c r="N453" s="308"/>
      <c r="O453" s="308"/>
      <c r="P453" s="308"/>
      <c r="Q453" s="308"/>
      <c r="R453" s="308"/>
      <c r="S453" s="308"/>
      <c r="T453" s="308"/>
      <c r="U453" s="308"/>
      <c r="V453" s="308"/>
      <c r="W453" s="308"/>
      <c r="X453" s="308"/>
      <c r="Y453" s="308"/>
      <c r="Z453" s="308"/>
    </row>
    <row r="454" ht="15.75" customHeight="1">
      <c r="A454" s="308"/>
      <c r="B454" s="524"/>
      <c r="C454" s="308"/>
      <c r="D454" s="308"/>
      <c r="E454" s="308"/>
      <c r="F454" s="308"/>
      <c r="G454" s="308"/>
      <c r="H454" s="308"/>
      <c r="I454" s="308"/>
      <c r="J454" s="308"/>
      <c r="K454" s="308"/>
      <c r="L454" s="308"/>
      <c r="M454" s="308"/>
      <c r="N454" s="308"/>
      <c r="O454" s="308"/>
      <c r="P454" s="308"/>
      <c r="Q454" s="308"/>
      <c r="R454" s="308"/>
      <c r="S454" s="308"/>
      <c r="T454" s="308"/>
      <c r="U454" s="308"/>
      <c r="V454" s="308"/>
      <c r="W454" s="308"/>
      <c r="X454" s="308"/>
      <c r="Y454" s="308"/>
      <c r="Z454" s="308"/>
    </row>
    <row r="455" ht="15.75" customHeight="1">
      <c r="A455" s="308"/>
      <c r="B455" s="524"/>
      <c r="C455" s="308"/>
      <c r="D455" s="308"/>
      <c r="E455" s="308"/>
      <c r="F455" s="308"/>
      <c r="G455" s="308"/>
      <c r="H455" s="308"/>
      <c r="I455" s="308"/>
      <c r="J455" s="308"/>
      <c r="K455" s="308"/>
      <c r="L455" s="308"/>
      <c r="M455" s="308"/>
      <c r="N455" s="308"/>
      <c r="O455" s="308"/>
      <c r="P455" s="308"/>
      <c r="Q455" s="308"/>
      <c r="R455" s="308"/>
      <c r="S455" s="308"/>
      <c r="T455" s="308"/>
      <c r="U455" s="308"/>
      <c r="V455" s="308"/>
      <c r="W455" s="308"/>
      <c r="X455" s="308"/>
      <c r="Y455" s="308"/>
      <c r="Z455" s="308"/>
    </row>
    <row r="456" ht="15.75" customHeight="1">
      <c r="A456" s="308"/>
      <c r="B456" s="524"/>
      <c r="C456" s="308"/>
      <c r="D456" s="308"/>
      <c r="E456" s="308"/>
      <c r="F456" s="308"/>
      <c r="G456" s="308"/>
      <c r="H456" s="308"/>
      <c r="I456" s="308"/>
      <c r="J456" s="308"/>
      <c r="K456" s="308"/>
      <c r="L456" s="308"/>
      <c r="M456" s="308"/>
      <c r="N456" s="308"/>
      <c r="O456" s="308"/>
      <c r="P456" s="308"/>
      <c r="Q456" s="308"/>
      <c r="R456" s="308"/>
      <c r="S456" s="308"/>
      <c r="T456" s="308"/>
      <c r="U456" s="308"/>
      <c r="V456" s="308"/>
      <c r="W456" s="308"/>
      <c r="X456" s="308"/>
      <c r="Y456" s="308"/>
      <c r="Z456" s="308"/>
    </row>
    <row r="457" ht="15.75" customHeight="1">
      <c r="A457" s="308"/>
      <c r="B457" s="524"/>
      <c r="C457" s="308"/>
      <c r="D457" s="308"/>
      <c r="E457" s="308"/>
      <c r="F457" s="308"/>
      <c r="G457" s="308"/>
      <c r="H457" s="308"/>
      <c r="I457" s="308"/>
      <c r="J457" s="308"/>
      <c r="K457" s="308"/>
      <c r="L457" s="308"/>
      <c r="M457" s="308"/>
      <c r="N457" s="308"/>
      <c r="O457" s="308"/>
      <c r="P457" s="308"/>
      <c r="Q457" s="308"/>
      <c r="R457" s="308"/>
      <c r="S457" s="308"/>
      <c r="T457" s="308"/>
      <c r="U457" s="308"/>
      <c r="V457" s="308"/>
      <c r="W457" s="308"/>
      <c r="X457" s="308"/>
      <c r="Y457" s="308"/>
      <c r="Z457" s="308"/>
    </row>
    <row r="458" ht="15.75" customHeight="1">
      <c r="A458" s="308"/>
      <c r="B458" s="524"/>
      <c r="C458" s="308"/>
      <c r="D458" s="308"/>
      <c r="E458" s="308"/>
      <c r="F458" s="308"/>
      <c r="G458" s="308"/>
      <c r="H458" s="308"/>
      <c r="I458" s="308"/>
      <c r="J458" s="308"/>
      <c r="K458" s="308"/>
      <c r="L458" s="308"/>
      <c r="M458" s="308"/>
      <c r="N458" s="308"/>
      <c r="O458" s="308"/>
      <c r="P458" s="308"/>
      <c r="Q458" s="308"/>
      <c r="R458" s="308"/>
      <c r="S458" s="308"/>
      <c r="T458" s="308"/>
      <c r="U458" s="308"/>
      <c r="V458" s="308"/>
      <c r="W458" s="308"/>
      <c r="X458" s="308"/>
      <c r="Y458" s="308"/>
      <c r="Z458" s="308"/>
    </row>
    <row r="459" ht="15.75" customHeight="1">
      <c r="A459" s="308"/>
      <c r="B459" s="524"/>
      <c r="C459" s="308"/>
      <c r="D459" s="308"/>
      <c r="E459" s="308"/>
      <c r="F459" s="308"/>
      <c r="G459" s="308"/>
      <c r="H459" s="308"/>
      <c r="I459" s="308"/>
      <c r="J459" s="308"/>
      <c r="K459" s="308"/>
      <c r="L459" s="308"/>
      <c r="M459" s="308"/>
      <c r="N459" s="308"/>
      <c r="O459" s="308"/>
      <c r="P459" s="308"/>
      <c r="Q459" s="308"/>
      <c r="R459" s="308"/>
      <c r="S459" s="308"/>
      <c r="T459" s="308"/>
      <c r="U459" s="308"/>
      <c r="V459" s="308"/>
      <c r="W459" s="308"/>
      <c r="X459" s="308"/>
      <c r="Y459" s="308"/>
      <c r="Z459" s="308"/>
    </row>
    <row r="460" ht="15.75" customHeight="1">
      <c r="A460" s="308"/>
      <c r="B460" s="524"/>
      <c r="C460" s="308"/>
      <c r="D460" s="308"/>
      <c r="E460" s="308"/>
      <c r="F460" s="308"/>
      <c r="G460" s="308"/>
      <c r="H460" s="308"/>
      <c r="I460" s="308"/>
      <c r="J460" s="308"/>
      <c r="K460" s="308"/>
      <c r="L460" s="308"/>
      <c r="M460" s="308"/>
      <c r="N460" s="308"/>
      <c r="O460" s="308"/>
      <c r="P460" s="308"/>
      <c r="Q460" s="308"/>
      <c r="R460" s="308"/>
      <c r="S460" s="308"/>
      <c r="T460" s="308"/>
      <c r="U460" s="308"/>
      <c r="V460" s="308"/>
      <c r="W460" s="308"/>
      <c r="X460" s="308"/>
      <c r="Y460" s="308"/>
      <c r="Z460" s="308"/>
    </row>
    <row r="461" ht="15.75" customHeight="1">
      <c r="A461" s="308"/>
      <c r="B461" s="524"/>
      <c r="C461" s="308"/>
      <c r="D461" s="308"/>
      <c r="E461" s="308"/>
      <c r="F461" s="308"/>
      <c r="G461" s="308"/>
      <c r="H461" s="308"/>
      <c r="I461" s="308"/>
      <c r="J461" s="308"/>
      <c r="K461" s="308"/>
      <c r="L461" s="308"/>
      <c r="M461" s="308"/>
      <c r="N461" s="308"/>
      <c r="O461" s="308"/>
      <c r="P461" s="308"/>
      <c r="Q461" s="308"/>
      <c r="R461" s="308"/>
      <c r="S461" s="308"/>
      <c r="T461" s="308"/>
      <c r="U461" s="308"/>
      <c r="V461" s="308"/>
      <c r="W461" s="308"/>
      <c r="X461" s="308"/>
      <c r="Y461" s="308"/>
      <c r="Z461" s="308"/>
    </row>
    <row r="462" ht="15.75" customHeight="1">
      <c r="A462" s="308"/>
      <c r="B462" s="524"/>
      <c r="C462" s="308"/>
      <c r="D462" s="308"/>
      <c r="E462" s="308"/>
      <c r="F462" s="308"/>
      <c r="G462" s="308"/>
      <c r="H462" s="308"/>
      <c r="I462" s="308"/>
      <c r="J462" s="308"/>
      <c r="K462" s="308"/>
      <c r="L462" s="308"/>
      <c r="M462" s="308"/>
      <c r="N462" s="308"/>
      <c r="O462" s="308"/>
      <c r="P462" s="308"/>
      <c r="Q462" s="308"/>
      <c r="R462" s="308"/>
      <c r="S462" s="308"/>
      <c r="T462" s="308"/>
      <c r="U462" s="308"/>
      <c r="V462" s="308"/>
      <c r="W462" s="308"/>
      <c r="X462" s="308"/>
      <c r="Y462" s="308"/>
      <c r="Z462" s="308"/>
    </row>
    <row r="463" ht="15.75" customHeight="1">
      <c r="A463" s="308"/>
      <c r="B463" s="524"/>
      <c r="C463" s="308"/>
      <c r="D463" s="308"/>
      <c r="E463" s="308"/>
      <c r="F463" s="308"/>
      <c r="G463" s="308"/>
      <c r="H463" s="308"/>
      <c r="I463" s="308"/>
      <c r="J463" s="308"/>
      <c r="K463" s="308"/>
      <c r="L463" s="308"/>
      <c r="M463" s="308"/>
      <c r="N463" s="308"/>
      <c r="O463" s="308"/>
      <c r="P463" s="308"/>
      <c r="Q463" s="308"/>
      <c r="R463" s="308"/>
      <c r="S463" s="308"/>
      <c r="T463" s="308"/>
      <c r="U463" s="308"/>
      <c r="V463" s="308"/>
      <c r="W463" s="308"/>
      <c r="X463" s="308"/>
      <c r="Y463" s="308"/>
      <c r="Z463" s="308"/>
    </row>
    <row r="464" ht="15.75" customHeight="1">
      <c r="A464" s="308"/>
      <c r="B464" s="524"/>
      <c r="C464" s="308"/>
      <c r="D464" s="308"/>
      <c r="E464" s="308"/>
      <c r="F464" s="308"/>
      <c r="G464" s="308"/>
      <c r="H464" s="308"/>
      <c r="I464" s="308"/>
      <c r="J464" s="308"/>
      <c r="K464" s="308"/>
      <c r="L464" s="308"/>
      <c r="M464" s="308"/>
      <c r="N464" s="308"/>
      <c r="O464" s="308"/>
      <c r="P464" s="308"/>
      <c r="Q464" s="308"/>
      <c r="R464" s="308"/>
      <c r="S464" s="308"/>
      <c r="T464" s="308"/>
      <c r="U464" s="308"/>
      <c r="V464" s="308"/>
      <c r="W464" s="308"/>
      <c r="X464" s="308"/>
      <c r="Y464" s="308"/>
      <c r="Z464" s="308"/>
    </row>
    <row r="465" ht="15.75" customHeight="1">
      <c r="A465" s="308"/>
      <c r="B465" s="524"/>
      <c r="C465" s="308"/>
      <c r="D465" s="308"/>
      <c r="E465" s="308"/>
      <c r="F465" s="308"/>
      <c r="G465" s="308"/>
      <c r="H465" s="308"/>
      <c r="I465" s="308"/>
      <c r="J465" s="308"/>
      <c r="K465" s="308"/>
      <c r="L465" s="308"/>
      <c r="M465" s="308"/>
      <c r="N465" s="308"/>
      <c r="O465" s="308"/>
      <c r="P465" s="308"/>
      <c r="Q465" s="308"/>
      <c r="R465" s="308"/>
      <c r="S465" s="308"/>
      <c r="T465" s="308"/>
      <c r="U465" s="308"/>
      <c r="V465" s="308"/>
      <c r="W465" s="308"/>
      <c r="X465" s="308"/>
      <c r="Y465" s="308"/>
      <c r="Z465" s="308"/>
    </row>
    <row r="466" ht="15.75" customHeight="1">
      <c r="A466" s="308"/>
      <c r="B466" s="524"/>
      <c r="C466" s="308"/>
      <c r="D466" s="308"/>
      <c r="E466" s="308"/>
      <c r="F466" s="308"/>
      <c r="G466" s="308"/>
      <c r="H466" s="308"/>
      <c r="I466" s="308"/>
      <c r="J466" s="308"/>
      <c r="K466" s="308"/>
      <c r="L466" s="308"/>
      <c r="M466" s="308"/>
      <c r="N466" s="308"/>
      <c r="O466" s="308"/>
      <c r="P466" s="308"/>
      <c r="Q466" s="308"/>
      <c r="R466" s="308"/>
      <c r="S466" s="308"/>
      <c r="T466" s="308"/>
      <c r="U466" s="308"/>
      <c r="V466" s="308"/>
      <c r="W466" s="308"/>
      <c r="X466" s="308"/>
      <c r="Y466" s="308"/>
      <c r="Z466" s="308"/>
    </row>
    <row r="467" ht="15.75" customHeight="1">
      <c r="A467" s="308"/>
      <c r="B467" s="524"/>
      <c r="C467" s="308"/>
      <c r="D467" s="308"/>
      <c r="E467" s="308"/>
      <c r="F467" s="308"/>
      <c r="G467" s="308"/>
      <c r="H467" s="308"/>
      <c r="I467" s="308"/>
      <c r="J467" s="308"/>
      <c r="K467" s="308"/>
      <c r="L467" s="308"/>
      <c r="M467" s="308"/>
      <c r="N467" s="308"/>
      <c r="O467" s="308"/>
      <c r="P467" s="308"/>
      <c r="Q467" s="308"/>
      <c r="R467" s="308"/>
      <c r="S467" s="308"/>
      <c r="T467" s="308"/>
      <c r="U467" s="308"/>
      <c r="V467" s="308"/>
      <c r="W467" s="308"/>
      <c r="X467" s="308"/>
      <c r="Y467" s="308"/>
      <c r="Z467" s="308"/>
    </row>
    <row r="468" ht="15.75" customHeight="1">
      <c r="A468" s="308"/>
      <c r="B468" s="524"/>
      <c r="C468" s="308"/>
      <c r="D468" s="308"/>
      <c r="E468" s="308"/>
      <c r="F468" s="308"/>
      <c r="G468" s="308"/>
      <c r="H468" s="308"/>
      <c r="I468" s="308"/>
      <c r="J468" s="308"/>
      <c r="K468" s="308"/>
      <c r="L468" s="308"/>
      <c r="M468" s="308"/>
      <c r="N468" s="308"/>
      <c r="O468" s="308"/>
      <c r="P468" s="308"/>
      <c r="Q468" s="308"/>
      <c r="R468" s="308"/>
      <c r="S468" s="308"/>
      <c r="T468" s="308"/>
      <c r="U468" s="308"/>
      <c r="V468" s="308"/>
      <c r="W468" s="308"/>
      <c r="X468" s="308"/>
      <c r="Y468" s="308"/>
      <c r="Z468" s="308"/>
    </row>
    <row r="469" ht="15.75" customHeight="1">
      <c r="A469" s="308"/>
      <c r="B469" s="524"/>
      <c r="C469" s="308"/>
      <c r="D469" s="308"/>
      <c r="E469" s="308"/>
      <c r="F469" s="308"/>
      <c r="G469" s="308"/>
      <c r="H469" s="308"/>
      <c r="I469" s="308"/>
      <c r="J469" s="308"/>
      <c r="K469" s="308"/>
      <c r="L469" s="308"/>
      <c r="M469" s="308"/>
      <c r="N469" s="308"/>
      <c r="O469" s="308"/>
      <c r="P469" s="308"/>
      <c r="Q469" s="308"/>
      <c r="R469" s="308"/>
      <c r="S469" s="308"/>
      <c r="T469" s="308"/>
      <c r="U469" s="308"/>
      <c r="V469" s="308"/>
      <c r="W469" s="308"/>
      <c r="X469" s="308"/>
      <c r="Y469" s="308"/>
      <c r="Z469" s="308"/>
    </row>
    <row r="470" ht="15.75" customHeight="1">
      <c r="A470" s="308"/>
      <c r="B470" s="524"/>
      <c r="C470" s="308"/>
      <c r="D470" s="308"/>
      <c r="E470" s="308"/>
      <c r="F470" s="308"/>
      <c r="G470" s="308"/>
      <c r="H470" s="308"/>
      <c r="I470" s="308"/>
      <c r="J470" s="308"/>
      <c r="K470" s="308"/>
      <c r="L470" s="308"/>
      <c r="M470" s="308"/>
      <c r="N470" s="308"/>
      <c r="O470" s="308"/>
      <c r="P470" s="308"/>
      <c r="Q470" s="308"/>
      <c r="R470" s="308"/>
      <c r="S470" s="308"/>
      <c r="T470" s="308"/>
      <c r="U470" s="308"/>
      <c r="V470" s="308"/>
      <c r="W470" s="308"/>
      <c r="X470" s="308"/>
      <c r="Y470" s="308"/>
      <c r="Z470" s="308"/>
    </row>
    <row r="471" ht="15.75" customHeight="1">
      <c r="A471" s="308"/>
      <c r="B471" s="524"/>
      <c r="C471" s="308"/>
      <c r="D471" s="308"/>
      <c r="E471" s="308"/>
      <c r="F471" s="308"/>
      <c r="G471" s="308"/>
      <c r="H471" s="308"/>
      <c r="I471" s="308"/>
      <c r="J471" s="308"/>
      <c r="K471" s="308"/>
      <c r="L471" s="308"/>
      <c r="M471" s="308"/>
      <c r="N471" s="308"/>
      <c r="O471" s="308"/>
      <c r="P471" s="308"/>
      <c r="Q471" s="308"/>
      <c r="R471" s="308"/>
      <c r="S471" s="308"/>
      <c r="T471" s="308"/>
      <c r="U471" s="308"/>
      <c r="V471" s="308"/>
      <c r="W471" s="308"/>
      <c r="X471" s="308"/>
      <c r="Y471" s="308"/>
      <c r="Z471" s="308"/>
    </row>
    <row r="472" ht="15.75" customHeight="1">
      <c r="A472" s="308"/>
      <c r="B472" s="524"/>
      <c r="C472" s="308"/>
      <c r="D472" s="308"/>
      <c r="E472" s="308"/>
      <c r="F472" s="308"/>
      <c r="G472" s="308"/>
      <c r="H472" s="308"/>
      <c r="I472" s="308"/>
      <c r="J472" s="308"/>
      <c r="K472" s="308"/>
      <c r="L472" s="308"/>
      <c r="M472" s="308"/>
      <c r="N472" s="308"/>
      <c r="O472" s="308"/>
      <c r="P472" s="308"/>
      <c r="Q472" s="308"/>
      <c r="R472" s="308"/>
      <c r="S472" s="308"/>
      <c r="T472" s="308"/>
      <c r="U472" s="308"/>
      <c r="V472" s="308"/>
      <c r="W472" s="308"/>
      <c r="X472" s="308"/>
      <c r="Y472" s="308"/>
      <c r="Z472" s="308"/>
    </row>
    <row r="473" ht="15.75" customHeight="1">
      <c r="A473" s="308"/>
      <c r="B473" s="524"/>
      <c r="C473" s="308"/>
      <c r="D473" s="308"/>
      <c r="E473" s="308"/>
      <c r="F473" s="308"/>
      <c r="G473" s="308"/>
      <c r="H473" s="308"/>
      <c r="I473" s="308"/>
      <c r="J473" s="308"/>
      <c r="K473" s="308"/>
      <c r="L473" s="308"/>
      <c r="M473" s="308"/>
      <c r="N473" s="308"/>
      <c r="O473" s="308"/>
      <c r="P473" s="308"/>
      <c r="Q473" s="308"/>
      <c r="R473" s="308"/>
      <c r="S473" s="308"/>
      <c r="T473" s="308"/>
      <c r="U473" s="308"/>
      <c r="V473" s="308"/>
      <c r="W473" s="308"/>
      <c r="X473" s="308"/>
      <c r="Y473" s="308"/>
      <c r="Z473" s="308"/>
    </row>
    <row r="474" ht="15.75" customHeight="1">
      <c r="A474" s="308"/>
      <c r="B474" s="524"/>
      <c r="C474" s="308"/>
      <c r="D474" s="308"/>
      <c r="E474" s="308"/>
      <c r="F474" s="308"/>
      <c r="G474" s="308"/>
      <c r="H474" s="308"/>
      <c r="I474" s="308"/>
      <c r="J474" s="308"/>
      <c r="K474" s="308"/>
      <c r="L474" s="308"/>
      <c r="M474" s="308"/>
      <c r="N474" s="308"/>
      <c r="O474" s="308"/>
      <c r="P474" s="308"/>
      <c r="Q474" s="308"/>
      <c r="R474" s="308"/>
      <c r="S474" s="308"/>
      <c r="T474" s="308"/>
      <c r="U474" s="308"/>
      <c r="V474" s="308"/>
      <c r="W474" s="308"/>
      <c r="X474" s="308"/>
      <c r="Y474" s="308"/>
      <c r="Z474" s="308"/>
    </row>
    <row r="475" ht="15.75" customHeight="1">
      <c r="A475" s="308"/>
      <c r="B475" s="524"/>
      <c r="C475" s="308"/>
      <c r="D475" s="308"/>
      <c r="E475" s="308"/>
      <c r="F475" s="308"/>
      <c r="G475" s="308"/>
      <c r="H475" s="308"/>
      <c r="I475" s="308"/>
      <c r="J475" s="308"/>
      <c r="K475" s="308"/>
      <c r="L475" s="308"/>
      <c r="M475" s="308"/>
      <c r="N475" s="308"/>
      <c r="O475" s="308"/>
      <c r="P475" s="308"/>
      <c r="Q475" s="308"/>
      <c r="R475" s="308"/>
      <c r="S475" s="308"/>
      <c r="T475" s="308"/>
      <c r="U475" s="308"/>
      <c r="V475" s="308"/>
      <c r="W475" s="308"/>
      <c r="X475" s="308"/>
      <c r="Y475" s="308"/>
      <c r="Z475" s="308"/>
    </row>
    <row r="476" ht="15.75" customHeight="1">
      <c r="A476" s="308"/>
      <c r="B476" s="524"/>
      <c r="C476" s="308"/>
      <c r="D476" s="308"/>
      <c r="E476" s="308"/>
      <c r="F476" s="308"/>
      <c r="G476" s="308"/>
      <c r="H476" s="308"/>
      <c r="I476" s="308"/>
      <c r="J476" s="308"/>
      <c r="K476" s="308"/>
      <c r="L476" s="308"/>
      <c r="M476" s="308"/>
      <c r="N476" s="308"/>
      <c r="O476" s="308"/>
      <c r="P476" s="308"/>
      <c r="Q476" s="308"/>
      <c r="R476" s="308"/>
      <c r="S476" s="308"/>
      <c r="T476" s="308"/>
      <c r="U476" s="308"/>
      <c r="V476" s="308"/>
      <c r="W476" s="308"/>
      <c r="X476" s="308"/>
      <c r="Y476" s="308"/>
      <c r="Z476" s="308"/>
    </row>
    <row r="477" ht="15.75" customHeight="1">
      <c r="A477" s="308"/>
      <c r="B477" s="524"/>
      <c r="C477" s="308"/>
      <c r="D477" s="308"/>
      <c r="E477" s="308"/>
      <c r="F477" s="308"/>
      <c r="G477" s="308"/>
      <c r="H477" s="308"/>
      <c r="I477" s="308"/>
      <c r="J477" s="308"/>
      <c r="K477" s="308"/>
      <c r="L477" s="308"/>
      <c r="M477" s="308"/>
      <c r="N477" s="308"/>
      <c r="O477" s="308"/>
      <c r="P477" s="308"/>
      <c r="Q477" s="308"/>
      <c r="R477" s="308"/>
      <c r="S477" s="308"/>
      <c r="T477" s="308"/>
      <c r="U477" s="308"/>
      <c r="V477" s="308"/>
      <c r="W477" s="308"/>
      <c r="X477" s="308"/>
      <c r="Y477" s="308"/>
      <c r="Z477" s="308"/>
    </row>
    <row r="478" ht="15.75" customHeight="1">
      <c r="A478" s="308"/>
      <c r="B478" s="524"/>
      <c r="C478" s="308"/>
      <c r="D478" s="308"/>
      <c r="E478" s="308"/>
      <c r="F478" s="308"/>
      <c r="G478" s="308"/>
      <c r="H478" s="308"/>
      <c r="I478" s="308"/>
      <c r="J478" s="308"/>
      <c r="K478" s="308"/>
      <c r="L478" s="308"/>
      <c r="M478" s="308"/>
      <c r="N478" s="308"/>
      <c r="O478" s="308"/>
      <c r="P478" s="308"/>
      <c r="Q478" s="308"/>
      <c r="R478" s="308"/>
      <c r="S478" s="308"/>
      <c r="T478" s="308"/>
      <c r="U478" s="308"/>
      <c r="V478" s="308"/>
      <c r="W478" s="308"/>
      <c r="X478" s="308"/>
      <c r="Y478" s="308"/>
      <c r="Z478" s="308"/>
    </row>
    <row r="479" ht="15.75" customHeight="1">
      <c r="A479" s="308"/>
      <c r="B479" s="524"/>
      <c r="C479" s="308"/>
      <c r="D479" s="308"/>
      <c r="E479" s="308"/>
      <c r="F479" s="308"/>
      <c r="G479" s="308"/>
      <c r="H479" s="308"/>
      <c r="I479" s="308"/>
      <c r="J479" s="308"/>
      <c r="K479" s="308"/>
      <c r="L479" s="308"/>
      <c r="M479" s="308"/>
      <c r="N479" s="308"/>
      <c r="O479" s="308"/>
      <c r="P479" s="308"/>
      <c r="Q479" s="308"/>
      <c r="R479" s="308"/>
      <c r="S479" s="308"/>
      <c r="T479" s="308"/>
      <c r="U479" s="308"/>
      <c r="V479" s="308"/>
      <c r="W479" s="308"/>
      <c r="X479" s="308"/>
      <c r="Y479" s="308"/>
      <c r="Z479" s="308"/>
    </row>
    <row r="480" ht="15.75" customHeight="1">
      <c r="A480" s="308"/>
      <c r="B480" s="524"/>
      <c r="C480" s="308"/>
      <c r="D480" s="308"/>
      <c r="E480" s="308"/>
      <c r="F480" s="308"/>
      <c r="G480" s="308"/>
      <c r="H480" s="308"/>
      <c r="I480" s="308"/>
      <c r="J480" s="308"/>
      <c r="K480" s="308"/>
      <c r="L480" s="308"/>
      <c r="M480" s="308"/>
      <c r="N480" s="308"/>
      <c r="O480" s="308"/>
      <c r="P480" s="308"/>
      <c r="Q480" s="308"/>
      <c r="R480" s="308"/>
      <c r="S480" s="308"/>
      <c r="T480" s="308"/>
      <c r="U480" s="308"/>
      <c r="V480" s="308"/>
      <c r="W480" s="308"/>
      <c r="X480" s="308"/>
      <c r="Y480" s="308"/>
      <c r="Z480" s="308"/>
    </row>
    <row r="481" ht="15.75" customHeight="1">
      <c r="A481" s="308"/>
      <c r="B481" s="524"/>
      <c r="C481" s="308"/>
      <c r="D481" s="308"/>
      <c r="E481" s="308"/>
      <c r="F481" s="308"/>
      <c r="G481" s="308"/>
      <c r="H481" s="308"/>
      <c r="I481" s="308"/>
      <c r="J481" s="308"/>
      <c r="K481" s="308"/>
      <c r="L481" s="308"/>
      <c r="M481" s="308"/>
      <c r="N481" s="308"/>
      <c r="O481" s="308"/>
      <c r="P481" s="308"/>
      <c r="Q481" s="308"/>
      <c r="R481" s="308"/>
      <c r="S481" s="308"/>
      <c r="T481" s="308"/>
      <c r="U481" s="308"/>
      <c r="V481" s="308"/>
      <c r="W481" s="308"/>
      <c r="X481" s="308"/>
      <c r="Y481" s="308"/>
      <c r="Z481" s="308"/>
    </row>
    <row r="482" ht="15.75" customHeight="1">
      <c r="A482" s="308"/>
      <c r="B482" s="524"/>
      <c r="C482" s="308"/>
      <c r="D482" s="308"/>
      <c r="E482" s="308"/>
      <c r="F482" s="308"/>
      <c r="G482" s="308"/>
      <c r="H482" s="308"/>
      <c r="I482" s="308"/>
      <c r="J482" s="308"/>
      <c r="K482" s="308"/>
      <c r="L482" s="308"/>
      <c r="M482" s="308"/>
      <c r="N482" s="308"/>
      <c r="O482" s="308"/>
      <c r="P482" s="308"/>
      <c r="Q482" s="308"/>
      <c r="R482" s="308"/>
      <c r="S482" s="308"/>
      <c r="T482" s="308"/>
      <c r="U482" s="308"/>
      <c r="V482" s="308"/>
      <c r="W482" s="308"/>
      <c r="X482" s="308"/>
      <c r="Y482" s="308"/>
      <c r="Z482" s="308"/>
    </row>
    <row r="483" ht="15.75" customHeight="1">
      <c r="A483" s="308"/>
      <c r="B483" s="524"/>
      <c r="C483" s="308"/>
      <c r="D483" s="308"/>
      <c r="E483" s="308"/>
      <c r="F483" s="308"/>
      <c r="G483" s="308"/>
      <c r="H483" s="308"/>
      <c r="I483" s="308"/>
      <c r="J483" s="308"/>
      <c r="K483" s="308"/>
      <c r="L483" s="308"/>
      <c r="M483" s="308"/>
      <c r="N483" s="308"/>
      <c r="O483" s="308"/>
      <c r="P483" s="308"/>
      <c r="Q483" s="308"/>
      <c r="R483" s="308"/>
      <c r="S483" s="308"/>
      <c r="T483" s="308"/>
      <c r="U483" s="308"/>
      <c r="V483" s="308"/>
      <c r="W483" s="308"/>
      <c r="X483" s="308"/>
      <c r="Y483" s="308"/>
      <c r="Z483" s="308"/>
    </row>
    <row r="484" ht="15.75" customHeight="1">
      <c r="A484" s="308"/>
      <c r="B484" s="524"/>
      <c r="C484" s="308"/>
      <c r="D484" s="308"/>
      <c r="E484" s="308"/>
      <c r="F484" s="308"/>
      <c r="G484" s="308"/>
      <c r="H484" s="308"/>
      <c r="I484" s="308"/>
      <c r="J484" s="308"/>
      <c r="K484" s="308"/>
      <c r="L484" s="308"/>
      <c r="M484" s="308"/>
      <c r="N484" s="308"/>
      <c r="O484" s="308"/>
      <c r="P484" s="308"/>
      <c r="Q484" s="308"/>
      <c r="R484" s="308"/>
      <c r="S484" s="308"/>
      <c r="T484" s="308"/>
      <c r="U484" s="308"/>
      <c r="V484" s="308"/>
      <c r="W484" s="308"/>
      <c r="X484" s="308"/>
      <c r="Y484" s="308"/>
      <c r="Z484" s="308"/>
    </row>
    <row r="485" ht="15.75" customHeight="1">
      <c r="A485" s="308"/>
      <c r="B485" s="524"/>
      <c r="C485" s="308"/>
      <c r="D485" s="308"/>
      <c r="E485" s="308"/>
      <c r="F485" s="308"/>
      <c r="G485" s="308"/>
      <c r="H485" s="308"/>
      <c r="I485" s="308"/>
      <c r="J485" s="308"/>
      <c r="K485" s="308"/>
      <c r="L485" s="308"/>
      <c r="M485" s="308"/>
      <c r="N485" s="308"/>
      <c r="O485" s="308"/>
      <c r="P485" s="308"/>
      <c r="Q485" s="308"/>
      <c r="R485" s="308"/>
      <c r="S485" s="308"/>
      <c r="T485" s="308"/>
      <c r="U485" s="308"/>
      <c r="V485" s="308"/>
      <c r="W485" s="308"/>
      <c r="X485" s="308"/>
      <c r="Y485" s="308"/>
      <c r="Z485" s="308"/>
    </row>
    <row r="486" ht="15.75" customHeight="1">
      <c r="A486" s="308"/>
      <c r="B486" s="524"/>
      <c r="C486" s="308"/>
      <c r="D486" s="308"/>
      <c r="E486" s="308"/>
      <c r="F486" s="308"/>
      <c r="G486" s="308"/>
      <c r="H486" s="308"/>
      <c r="I486" s="308"/>
      <c r="J486" s="308"/>
      <c r="K486" s="308"/>
      <c r="L486" s="308"/>
      <c r="M486" s="308"/>
      <c r="N486" s="308"/>
      <c r="O486" s="308"/>
      <c r="P486" s="308"/>
      <c r="Q486" s="308"/>
      <c r="R486" s="308"/>
      <c r="S486" s="308"/>
      <c r="T486" s="308"/>
      <c r="U486" s="308"/>
      <c r="V486" s="308"/>
      <c r="W486" s="308"/>
      <c r="X486" s="308"/>
      <c r="Y486" s="308"/>
      <c r="Z486" s="308"/>
    </row>
    <row r="487" ht="15.75" customHeight="1">
      <c r="A487" s="308"/>
      <c r="B487" s="524"/>
      <c r="C487" s="308"/>
      <c r="D487" s="308"/>
      <c r="E487" s="308"/>
      <c r="F487" s="308"/>
      <c r="G487" s="308"/>
      <c r="H487" s="308"/>
      <c r="I487" s="308"/>
      <c r="J487" s="308"/>
      <c r="K487" s="308"/>
      <c r="L487" s="308"/>
      <c r="M487" s="308"/>
      <c r="N487" s="308"/>
      <c r="O487" s="308"/>
      <c r="P487" s="308"/>
      <c r="Q487" s="308"/>
      <c r="R487" s="308"/>
      <c r="S487" s="308"/>
      <c r="T487" s="308"/>
      <c r="U487" s="308"/>
      <c r="V487" s="308"/>
      <c r="W487" s="308"/>
      <c r="X487" s="308"/>
      <c r="Y487" s="308"/>
      <c r="Z487" s="308"/>
    </row>
    <row r="488" ht="15.75" customHeight="1">
      <c r="A488" s="308"/>
      <c r="B488" s="524"/>
      <c r="C488" s="308"/>
      <c r="D488" s="308"/>
      <c r="E488" s="308"/>
      <c r="F488" s="308"/>
      <c r="G488" s="308"/>
      <c r="H488" s="308"/>
      <c r="I488" s="308"/>
      <c r="J488" s="308"/>
      <c r="K488" s="308"/>
      <c r="L488" s="308"/>
      <c r="M488" s="308"/>
      <c r="N488" s="308"/>
      <c r="O488" s="308"/>
      <c r="P488" s="308"/>
      <c r="Q488" s="308"/>
      <c r="R488" s="308"/>
      <c r="S488" s="308"/>
      <c r="T488" s="308"/>
      <c r="U488" s="308"/>
      <c r="V488" s="308"/>
      <c r="W488" s="308"/>
      <c r="X488" s="308"/>
      <c r="Y488" s="308"/>
      <c r="Z488" s="308"/>
    </row>
    <row r="489" ht="15.75" customHeight="1">
      <c r="A489" s="308"/>
      <c r="B489" s="524"/>
      <c r="C489" s="308"/>
      <c r="D489" s="308"/>
      <c r="E489" s="308"/>
      <c r="F489" s="308"/>
      <c r="G489" s="308"/>
      <c r="H489" s="308"/>
      <c r="I489" s="308"/>
      <c r="J489" s="308"/>
      <c r="K489" s="308"/>
      <c r="L489" s="308"/>
      <c r="M489" s="308"/>
      <c r="N489" s="308"/>
      <c r="O489" s="308"/>
      <c r="P489" s="308"/>
      <c r="Q489" s="308"/>
      <c r="R489" s="308"/>
      <c r="S489" s="308"/>
      <c r="T489" s="308"/>
      <c r="U489" s="308"/>
      <c r="V489" s="308"/>
      <c r="W489" s="308"/>
      <c r="X489" s="308"/>
      <c r="Y489" s="308"/>
      <c r="Z489" s="308"/>
    </row>
    <row r="490" ht="15.75" customHeight="1">
      <c r="A490" s="308"/>
      <c r="B490" s="524"/>
      <c r="C490" s="308"/>
      <c r="D490" s="308"/>
      <c r="E490" s="308"/>
      <c r="F490" s="308"/>
      <c r="G490" s="308"/>
      <c r="H490" s="308"/>
      <c r="I490" s="308"/>
      <c r="J490" s="308"/>
      <c r="K490" s="308"/>
      <c r="L490" s="308"/>
      <c r="M490" s="308"/>
      <c r="N490" s="308"/>
      <c r="O490" s="308"/>
      <c r="P490" s="308"/>
      <c r="Q490" s="308"/>
      <c r="R490" s="308"/>
      <c r="S490" s="308"/>
      <c r="T490" s="308"/>
      <c r="U490" s="308"/>
      <c r="V490" s="308"/>
      <c r="W490" s="308"/>
      <c r="X490" s="308"/>
      <c r="Y490" s="308"/>
      <c r="Z490" s="308"/>
    </row>
    <row r="491" ht="15.75" customHeight="1">
      <c r="A491" s="308"/>
      <c r="B491" s="524"/>
      <c r="C491" s="308"/>
      <c r="D491" s="308"/>
      <c r="E491" s="308"/>
      <c r="F491" s="308"/>
      <c r="G491" s="308"/>
      <c r="H491" s="308"/>
      <c r="I491" s="308"/>
      <c r="J491" s="308"/>
      <c r="K491" s="308"/>
      <c r="L491" s="308"/>
      <c r="M491" s="308"/>
      <c r="N491" s="308"/>
      <c r="O491" s="308"/>
      <c r="P491" s="308"/>
      <c r="Q491" s="308"/>
      <c r="R491" s="308"/>
      <c r="S491" s="308"/>
      <c r="T491" s="308"/>
      <c r="U491" s="308"/>
      <c r="V491" s="308"/>
      <c r="W491" s="308"/>
      <c r="X491" s="308"/>
      <c r="Y491" s="308"/>
      <c r="Z491" s="308"/>
    </row>
    <row r="492" ht="15.75" customHeight="1">
      <c r="A492" s="308"/>
      <c r="B492" s="524"/>
      <c r="C492" s="308"/>
      <c r="D492" s="308"/>
      <c r="E492" s="308"/>
      <c r="F492" s="308"/>
      <c r="G492" s="308"/>
      <c r="H492" s="308"/>
      <c r="I492" s="308"/>
      <c r="J492" s="308"/>
      <c r="K492" s="308"/>
      <c r="L492" s="308"/>
      <c r="M492" s="308"/>
      <c r="N492" s="308"/>
      <c r="O492" s="308"/>
      <c r="P492" s="308"/>
      <c r="Q492" s="308"/>
      <c r="R492" s="308"/>
      <c r="S492" s="308"/>
      <c r="T492" s="308"/>
      <c r="U492" s="308"/>
      <c r="V492" s="308"/>
      <c r="W492" s="308"/>
      <c r="X492" s="308"/>
      <c r="Y492" s="308"/>
      <c r="Z492" s="308"/>
    </row>
    <row r="493" ht="15.75" customHeight="1">
      <c r="A493" s="308"/>
      <c r="B493" s="524"/>
      <c r="C493" s="308"/>
      <c r="D493" s="308"/>
      <c r="E493" s="308"/>
      <c r="F493" s="308"/>
      <c r="G493" s="308"/>
      <c r="H493" s="308"/>
      <c r="I493" s="308"/>
      <c r="J493" s="308"/>
      <c r="K493" s="308"/>
      <c r="L493" s="308"/>
      <c r="M493" s="308"/>
      <c r="N493" s="308"/>
      <c r="O493" s="308"/>
      <c r="P493" s="308"/>
      <c r="Q493" s="308"/>
      <c r="R493" s="308"/>
      <c r="S493" s="308"/>
      <c r="T493" s="308"/>
      <c r="U493" s="308"/>
      <c r="V493" s="308"/>
      <c r="W493" s="308"/>
      <c r="X493" s="308"/>
      <c r="Y493" s="308"/>
      <c r="Z493" s="308"/>
    </row>
    <row r="494" ht="15.75" customHeight="1">
      <c r="A494" s="308"/>
      <c r="B494" s="524"/>
      <c r="C494" s="308"/>
      <c r="D494" s="308"/>
      <c r="E494" s="308"/>
      <c r="F494" s="308"/>
      <c r="G494" s="308"/>
      <c r="H494" s="308"/>
      <c r="I494" s="308"/>
      <c r="J494" s="308"/>
      <c r="K494" s="308"/>
      <c r="L494" s="308"/>
      <c r="M494" s="308"/>
      <c r="N494" s="308"/>
      <c r="O494" s="308"/>
      <c r="P494" s="308"/>
      <c r="Q494" s="308"/>
      <c r="R494" s="308"/>
      <c r="S494" s="308"/>
      <c r="T494" s="308"/>
      <c r="U494" s="308"/>
      <c r="V494" s="308"/>
      <c r="W494" s="308"/>
      <c r="X494" s="308"/>
      <c r="Y494" s="308"/>
      <c r="Z494" s="308"/>
    </row>
    <row r="495" ht="15.75" customHeight="1">
      <c r="A495" s="308"/>
      <c r="B495" s="524"/>
      <c r="C495" s="308"/>
      <c r="D495" s="308"/>
      <c r="E495" s="308"/>
      <c r="F495" s="308"/>
      <c r="G495" s="308"/>
      <c r="H495" s="308"/>
      <c r="I495" s="308"/>
      <c r="J495" s="308"/>
      <c r="K495" s="308"/>
      <c r="L495" s="308"/>
      <c r="M495" s="308"/>
      <c r="N495" s="308"/>
      <c r="O495" s="308"/>
      <c r="P495" s="308"/>
      <c r="Q495" s="308"/>
      <c r="R495" s="308"/>
      <c r="S495" s="308"/>
      <c r="T495" s="308"/>
      <c r="U495" s="308"/>
      <c r="V495" s="308"/>
      <c r="W495" s="308"/>
      <c r="X495" s="308"/>
      <c r="Y495" s="308"/>
      <c r="Z495" s="308"/>
    </row>
    <row r="496" ht="15.75" customHeight="1">
      <c r="A496" s="308"/>
      <c r="B496" s="524"/>
      <c r="C496" s="308"/>
      <c r="D496" s="308"/>
      <c r="E496" s="308"/>
      <c r="F496" s="308"/>
      <c r="G496" s="308"/>
      <c r="H496" s="308"/>
      <c r="I496" s="308"/>
      <c r="J496" s="308"/>
      <c r="K496" s="308"/>
      <c r="L496" s="308"/>
      <c r="M496" s="308"/>
      <c r="N496" s="308"/>
      <c r="O496" s="308"/>
      <c r="P496" s="308"/>
      <c r="Q496" s="308"/>
      <c r="R496" s="308"/>
      <c r="S496" s="308"/>
      <c r="T496" s="308"/>
      <c r="U496" s="308"/>
      <c r="V496" s="308"/>
      <c r="W496" s="308"/>
      <c r="X496" s="308"/>
      <c r="Y496" s="308"/>
      <c r="Z496" s="308"/>
    </row>
    <row r="497" ht="15.75" customHeight="1">
      <c r="A497" s="308"/>
      <c r="B497" s="524"/>
      <c r="C497" s="308"/>
      <c r="D497" s="308"/>
      <c r="E497" s="308"/>
      <c r="F497" s="308"/>
      <c r="G497" s="308"/>
      <c r="H497" s="308"/>
      <c r="I497" s="308"/>
      <c r="J497" s="308"/>
      <c r="K497" s="308"/>
      <c r="L497" s="308"/>
      <c r="M497" s="308"/>
      <c r="N497" s="308"/>
      <c r="O497" s="308"/>
      <c r="P497" s="308"/>
      <c r="Q497" s="308"/>
      <c r="R497" s="308"/>
      <c r="S497" s="308"/>
      <c r="T497" s="308"/>
      <c r="U497" s="308"/>
      <c r="V497" s="308"/>
      <c r="W497" s="308"/>
      <c r="X497" s="308"/>
      <c r="Y497" s="308"/>
      <c r="Z497" s="308"/>
    </row>
    <row r="498" ht="15.75" customHeight="1">
      <c r="A498" s="308"/>
      <c r="B498" s="524"/>
      <c r="C498" s="308"/>
      <c r="D498" s="308"/>
      <c r="E498" s="308"/>
      <c r="F498" s="308"/>
      <c r="G498" s="308"/>
      <c r="H498" s="308"/>
      <c r="I498" s="308"/>
      <c r="J498" s="308"/>
      <c r="K498" s="308"/>
      <c r="L498" s="308"/>
      <c r="M498" s="308"/>
      <c r="N498" s="308"/>
      <c r="O498" s="308"/>
      <c r="P498" s="308"/>
      <c r="Q498" s="308"/>
      <c r="R498" s="308"/>
      <c r="S498" s="308"/>
      <c r="T498" s="308"/>
      <c r="U498" s="308"/>
      <c r="V498" s="308"/>
      <c r="W498" s="308"/>
      <c r="X498" s="308"/>
      <c r="Y498" s="308"/>
      <c r="Z498" s="308"/>
    </row>
    <row r="499" ht="15.75" customHeight="1">
      <c r="A499" s="308"/>
      <c r="B499" s="524"/>
      <c r="C499" s="308"/>
      <c r="D499" s="308"/>
      <c r="E499" s="308"/>
      <c r="F499" s="308"/>
      <c r="G499" s="308"/>
      <c r="H499" s="308"/>
      <c r="I499" s="308"/>
      <c r="J499" s="308"/>
      <c r="K499" s="308"/>
      <c r="L499" s="308"/>
      <c r="M499" s="308"/>
      <c r="N499" s="308"/>
      <c r="O499" s="308"/>
      <c r="P499" s="308"/>
      <c r="Q499" s="308"/>
      <c r="R499" s="308"/>
      <c r="S499" s="308"/>
      <c r="T499" s="308"/>
      <c r="U499" s="308"/>
      <c r="V499" s="308"/>
      <c r="W499" s="308"/>
      <c r="X499" s="308"/>
      <c r="Y499" s="308"/>
      <c r="Z499" s="308"/>
    </row>
    <row r="500" ht="15.75" customHeight="1">
      <c r="A500" s="308"/>
      <c r="B500" s="524"/>
      <c r="C500" s="308"/>
      <c r="D500" s="308"/>
      <c r="E500" s="308"/>
      <c r="F500" s="308"/>
      <c r="G500" s="308"/>
      <c r="H500" s="308"/>
      <c r="I500" s="308"/>
      <c r="J500" s="308"/>
      <c r="K500" s="308"/>
      <c r="L500" s="308"/>
      <c r="M500" s="308"/>
      <c r="N500" s="308"/>
      <c r="O500" s="308"/>
      <c r="P500" s="308"/>
      <c r="Q500" s="308"/>
      <c r="R500" s="308"/>
      <c r="S500" s="308"/>
      <c r="T500" s="308"/>
      <c r="U500" s="308"/>
      <c r="V500" s="308"/>
      <c r="W500" s="308"/>
      <c r="X500" s="308"/>
      <c r="Y500" s="308"/>
      <c r="Z500" s="308"/>
    </row>
    <row r="501" ht="15.75" customHeight="1">
      <c r="A501" s="308"/>
      <c r="B501" s="524"/>
      <c r="C501" s="308"/>
      <c r="D501" s="308"/>
      <c r="E501" s="308"/>
      <c r="F501" s="308"/>
      <c r="G501" s="308"/>
      <c r="H501" s="308"/>
      <c r="I501" s="308"/>
      <c r="J501" s="308"/>
      <c r="K501" s="308"/>
      <c r="L501" s="308"/>
      <c r="M501" s="308"/>
      <c r="N501" s="308"/>
      <c r="O501" s="308"/>
      <c r="P501" s="308"/>
      <c r="Q501" s="308"/>
      <c r="R501" s="308"/>
      <c r="S501" s="308"/>
      <c r="T501" s="308"/>
      <c r="U501" s="308"/>
      <c r="V501" s="308"/>
      <c r="W501" s="308"/>
      <c r="X501" s="308"/>
      <c r="Y501" s="308"/>
      <c r="Z501" s="308"/>
    </row>
    <row r="502" ht="15.75" customHeight="1">
      <c r="A502" s="308"/>
      <c r="B502" s="524"/>
      <c r="C502" s="308"/>
      <c r="D502" s="308"/>
      <c r="E502" s="308"/>
      <c r="F502" s="308"/>
      <c r="G502" s="308"/>
      <c r="H502" s="308"/>
      <c r="I502" s="308"/>
      <c r="J502" s="308"/>
      <c r="K502" s="308"/>
      <c r="L502" s="308"/>
      <c r="M502" s="308"/>
      <c r="N502" s="308"/>
      <c r="O502" s="308"/>
      <c r="P502" s="308"/>
      <c r="Q502" s="308"/>
      <c r="R502" s="308"/>
      <c r="S502" s="308"/>
      <c r="T502" s="308"/>
      <c r="U502" s="308"/>
      <c r="V502" s="308"/>
      <c r="W502" s="308"/>
      <c r="X502" s="308"/>
      <c r="Y502" s="308"/>
      <c r="Z502" s="308"/>
    </row>
    <row r="503" ht="15.75" customHeight="1">
      <c r="A503" s="308"/>
      <c r="B503" s="524"/>
      <c r="C503" s="308"/>
      <c r="D503" s="308"/>
      <c r="E503" s="308"/>
      <c r="F503" s="308"/>
      <c r="G503" s="308"/>
      <c r="H503" s="308"/>
      <c r="I503" s="308"/>
      <c r="J503" s="308"/>
      <c r="K503" s="308"/>
      <c r="L503" s="308"/>
      <c r="M503" s="308"/>
      <c r="N503" s="308"/>
      <c r="O503" s="308"/>
      <c r="P503" s="308"/>
      <c r="Q503" s="308"/>
      <c r="R503" s="308"/>
      <c r="S503" s="308"/>
      <c r="T503" s="308"/>
      <c r="U503" s="308"/>
      <c r="V503" s="308"/>
      <c r="W503" s="308"/>
      <c r="X503" s="308"/>
      <c r="Y503" s="308"/>
      <c r="Z503" s="308"/>
    </row>
    <row r="504" ht="15.75" customHeight="1">
      <c r="A504" s="308"/>
      <c r="B504" s="524"/>
      <c r="C504" s="308"/>
      <c r="D504" s="308"/>
      <c r="E504" s="308"/>
      <c r="F504" s="308"/>
      <c r="G504" s="308"/>
      <c r="H504" s="308"/>
      <c r="I504" s="308"/>
      <c r="J504" s="308"/>
      <c r="K504" s="308"/>
      <c r="L504" s="308"/>
      <c r="M504" s="308"/>
      <c r="N504" s="308"/>
      <c r="O504" s="308"/>
      <c r="P504" s="308"/>
      <c r="Q504" s="308"/>
      <c r="R504" s="308"/>
      <c r="S504" s="308"/>
      <c r="T504" s="308"/>
      <c r="U504" s="308"/>
      <c r="V504" s="308"/>
      <c r="W504" s="308"/>
      <c r="X504" s="308"/>
      <c r="Y504" s="308"/>
      <c r="Z504" s="308"/>
    </row>
    <row r="505" ht="15.75" customHeight="1">
      <c r="A505" s="308"/>
      <c r="B505" s="524"/>
      <c r="C505" s="308"/>
      <c r="D505" s="308"/>
      <c r="E505" s="308"/>
      <c r="F505" s="308"/>
      <c r="G505" s="308"/>
      <c r="H505" s="308"/>
      <c r="I505" s="308"/>
      <c r="J505" s="308"/>
      <c r="K505" s="308"/>
      <c r="L505" s="308"/>
      <c r="M505" s="308"/>
      <c r="N505" s="308"/>
      <c r="O505" s="308"/>
      <c r="P505" s="308"/>
      <c r="Q505" s="308"/>
      <c r="R505" s="308"/>
      <c r="S505" s="308"/>
      <c r="T505" s="308"/>
      <c r="U505" s="308"/>
      <c r="V505" s="308"/>
      <c r="W505" s="308"/>
      <c r="X505" s="308"/>
      <c r="Y505" s="308"/>
      <c r="Z505" s="308"/>
    </row>
    <row r="506" ht="15.75" customHeight="1">
      <c r="A506" s="308"/>
      <c r="B506" s="524"/>
      <c r="C506" s="308"/>
      <c r="D506" s="308"/>
      <c r="E506" s="308"/>
      <c r="F506" s="308"/>
      <c r="G506" s="308"/>
      <c r="H506" s="308"/>
      <c r="I506" s="308"/>
      <c r="J506" s="308"/>
      <c r="K506" s="308"/>
      <c r="L506" s="308"/>
      <c r="M506" s="308"/>
      <c r="N506" s="308"/>
      <c r="O506" s="308"/>
      <c r="P506" s="308"/>
      <c r="Q506" s="308"/>
      <c r="R506" s="308"/>
      <c r="S506" s="308"/>
      <c r="T506" s="308"/>
      <c r="U506" s="308"/>
      <c r="V506" s="308"/>
      <c r="W506" s="308"/>
      <c r="X506" s="308"/>
      <c r="Y506" s="308"/>
      <c r="Z506" s="308"/>
    </row>
    <row r="507" ht="15.75" customHeight="1">
      <c r="A507" s="308"/>
      <c r="B507" s="524"/>
      <c r="C507" s="308"/>
      <c r="D507" s="308"/>
      <c r="E507" s="308"/>
      <c r="F507" s="308"/>
      <c r="G507" s="308"/>
      <c r="H507" s="308"/>
      <c r="I507" s="308"/>
      <c r="J507" s="308"/>
      <c r="K507" s="308"/>
      <c r="L507" s="308"/>
      <c r="M507" s="308"/>
      <c r="N507" s="308"/>
      <c r="O507" s="308"/>
      <c r="P507" s="308"/>
      <c r="Q507" s="308"/>
      <c r="R507" s="308"/>
      <c r="S507" s="308"/>
      <c r="T507" s="308"/>
      <c r="U507" s="308"/>
      <c r="V507" s="308"/>
      <c r="W507" s="308"/>
      <c r="X507" s="308"/>
      <c r="Y507" s="308"/>
      <c r="Z507" s="308"/>
    </row>
    <row r="508" ht="15.75" customHeight="1">
      <c r="A508" s="308"/>
      <c r="B508" s="524"/>
      <c r="C508" s="308"/>
      <c r="D508" s="308"/>
      <c r="E508" s="308"/>
      <c r="F508" s="308"/>
      <c r="G508" s="308"/>
      <c r="H508" s="308"/>
      <c r="I508" s="308"/>
      <c r="J508" s="308"/>
      <c r="K508" s="308"/>
      <c r="L508" s="308"/>
      <c r="M508" s="308"/>
      <c r="N508" s="308"/>
      <c r="O508" s="308"/>
      <c r="P508" s="308"/>
      <c r="Q508" s="308"/>
      <c r="R508" s="308"/>
      <c r="S508" s="308"/>
      <c r="T508" s="308"/>
      <c r="U508" s="308"/>
      <c r="V508" s="308"/>
      <c r="W508" s="308"/>
      <c r="X508" s="308"/>
      <c r="Y508" s="308"/>
      <c r="Z508" s="308"/>
    </row>
    <row r="509" ht="15.75" customHeight="1">
      <c r="A509" s="308"/>
      <c r="B509" s="524"/>
      <c r="C509" s="308"/>
      <c r="D509" s="308"/>
      <c r="E509" s="308"/>
      <c r="F509" s="308"/>
      <c r="G509" s="308"/>
      <c r="H509" s="308"/>
      <c r="I509" s="308"/>
      <c r="J509" s="308"/>
      <c r="K509" s="308"/>
      <c r="L509" s="308"/>
      <c r="M509" s="308"/>
      <c r="N509" s="308"/>
      <c r="O509" s="308"/>
      <c r="P509" s="308"/>
      <c r="Q509" s="308"/>
      <c r="R509" s="308"/>
      <c r="S509" s="308"/>
      <c r="T509" s="308"/>
      <c r="U509" s="308"/>
      <c r="V509" s="308"/>
      <c r="W509" s="308"/>
      <c r="X509" s="308"/>
      <c r="Y509" s="308"/>
      <c r="Z509" s="308"/>
    </row>
    <row r="510" ht="15.75" customHeight="1">
      <c r="A510" s="308"/>
      <c r="B510" s="524"/>
      <c r="C510" s="308"/>
      <c r="D510" s="308"/>
      <c r="E510" s="308"/>
      <c r="F510" s="308"/>
      <c r="G510" s="308"/>
      <c r="H510" s="308"/>
      <c r="I510" s="308"/>
      <c r="J510" s="308"/>
      <c r="K510" s="308"/>
      <c r="L510" s="308"/>
      <c r="M510" s="308"/>
      <c r="N510" s="308"/>
      <c r="O510" s="308"/>
      <c r="P510" s="308"/>
      <c r="Q510" s="308"/>
      <c r="R510" s="308"/>
      <c r="S510" s="308"/>
      <c r="T510" s="308"/>
      <c r="U510" s="308"/>
      <c r="V510" s="308"/>
      <c r="W510" s="308"/>
      <c r="X510" s="308"/>
      <c r="Y510" s="308"/>
      <c r="Z510" s="308"/>
    </row>
    <row r="511" ht="15.75" customHeight="1">
      <c r="A511" s="308"/>
      <c r="B511" s="524"/>
      <c r="C511" s="308"/>
      <c r="D511" s="308"/>
      <c r="E511" s="308"/>
      <c r="F511" s="308"/>
      <c r="G511" s="308"/>
      <c r="H511" s="308"/>
      <c r="I511" s="308"/>
      <c r="J511" s="308"/>
      <c r="K511" s="308"/>
      <c r="L511" s="308"/>
      <c r="M511" s="308"/>
      <c r="N511" s="308"/>
      <c r="O511" s="308"/>
      <c r="P511" s="308"/>
      <c r="Q511" s="308"/>
      <c r="R511" s="308"/>
      <c r="S511" s="308"/>
      <c r="T511" s="308"/>
      <c r="U511" s="308"/>
      <c r="V511" s="308"/>
      <c r="W511" s="308"/>
      <c r="X511" s="308"/>
      <c r="Y511" s="308"/>
      <c r="Z511" s="308"/>
    </row>
    <row r="512" ht="15.75" customHeight="1">
      <c r="A512" s="308"/>
      <c r="B512" s="524"/>
      <c r="C512" s="308"/>
      <c r="D512" s="308"/>
      <c r="E512" s="308"/>
      <c r="F512" s="308"/>
      <c r="G512" s="308"/>
      <c r="H512" s="308"/>
      <c r="I512" s="308"/>
      <c r="J512" s="308"/>
      <c r="K512" s="308"/>
      <c r="L512" s="308"/>
      <c r="M512" s="308"/>
      <c r="N512" s="308"/>
      <c r="O512" s="308"/>
      <c r="P512" s="308"/>
      <c r="Q512" s="308"/>
      <c r="R512" s="308"/>
      <c r="S512" s="308"/>
      <c r="T512" s="308"/>
      <c r="U512" s="308"/>
      <c r="V512" s="308"/>
      <c r="W512" s="308"/>
      <c r="X512" s="308"/>
      <c r="Y512" s="308"/>
      <c r="Z512" s="308"/>
    </row>
    <row r="513" ht="15.75" customHeight="1">
      <c r="A513" s="308"/>
      <c r="B513" s="524"/>
      <c r="C513" s="308"/>
      <c r="D513" s="308"/>
      <c r="E513" s="308"/>
      <c r="F513" s="308"/>
      <c r="G513" s="308"/>
      <c r="H513" s="308"/>
      <c r="I513" s="308"/>
      <c r="J513" s="308"/>
      <c r="K513" s="308"/>
      <c r="L513" s="308"/>
      <c r="M513" s="308"/>
      <c r="N513" s="308"/>
      <c r="O513" s="308"/>
      <c r="P513" s="308"/>
      <c r="Q513" s="308"/>
      <c r="R513" s="308"/>
      <c r="S513" s="308"/>
      <c r="T513" s="308"/>
      <c r="U513" s="308"/>
      <c r="V513" s="308"/>
      <c r="W513" s="308"/>
      <c r="X513" s="308"/>
      <c r="Y513" s="308"/>
      <c r="Z513" s="308"/>
    </row>
    <row r="514" ht="15.75" customHeight="1">
      <c r="A514" s="308"/>
      <c r="B514" s="524"/>
      <c r="C514" s="308"/>
      <c r="D514" s="308"/>
      <c r="E514" s="308"/>
      <c r="F514" s="308"/>
      <c r="G514" s="308"/>
      <c r="H514" s="308"/>
      <c r="I514" s="308"/>
      <c r="J514" s="308"/>
      <c r="K514" s="308"/>
      <c r="L514" s="308"/>
      <c r="M514" s="308"/>
      <c r="N514" s="308"/>
      <c r="O514" s="308"/>
      <c r="P514" s="308"/>
      <c r="Q514" s="308"/>
      <c r="R514" s="308"/>
      <c r="S514" s="308"/>
      <c r="T514" s="308"/>
      <c r="U514" s="308"/>
      <c r="V514" s="308"/>
      <c r="W514" s="308"/>
      <c r="X514" s="308"/>
      <c r="Y514" s="308"/>
      <c r="Z514" s="308"/>
    </row>
    <row r="515" ht="15.75" customHeight="1">
      <c r="A515" s="308"/>
      <c r="B515" s="524"/>
      <c r="C515" s="308"/>
      <c r="D515" s="308"/>
      <c r="E515" s="308"/>
      <c r="F515" s="308"/>
      <c r="G515" s="308"/>
      <c r="H515" s="308"/>
      <c r="I515" s="308"/>
      <c r="J515" s="308"/>
      <c r="K515" s="308"/>
      <c r="L515" s="308"/>
      <c r="M515" s="308"/>
      <c r="N515" s="308"/>
      <c r="O515" s="308"/>
      <c r="P515" s="308"/>
      <c r="Q515" s="308"/>
      <c r="R515" s="308"/>
      <c r="S515" s="308"/>
      <c r="T515" s="308"/>
      <c r="U515" s="308"/>
      <c r="V515" s="308"/>
      <c r="W515" s="308"/>
      <c r="X515" s="308"/>
      <c r="Y515" s="308"/>
      <c r="Z515" s="308"/>
    </row>
    <row r="516" ht="15.75" customHeight="1">
      <c r="A516" s="308"/>
      <c r="B516" s="524"/>
      <c r="C516" s="308"/>
      <c r="D516" s="308"/>
      <c r="E516" s="308"/>
      <c r="F516" s="308"/>
      <c r="G516" s="308"/>
      <c r="H516" s="308"/>
      <c r="I516" s="308"/>
      <c r="J516" s="308"/>
      <c r="K516" s="308"/>
      <c r="L516" s="308"/>
      <c r="M516" s="308"/>
      <c r="N516" s="308"/>
      <c r="O516" s="308"/>
      <c r="P516" s="308"/>
      <c r="Q516" s="308"/>
      <c r="R516" s="308"/>
      <c r="S516" s="308"/>
      <c r="T516" s="308"/>
      <c r="U516" s="308"/>
      <c r="V516" s="308"/>
      <c r="W516" s="308"/>
      <c r="X516" s="308"/>
      <c r="Y516" s="308"/>
      <c r="Z516" s="308"/>
    </row>
    <row r="517" ht="15.75" customHeight="1">
      <c r="A517" s="308"/>
      <c r="B517" s="524"/>
      <c r="C517" s="308"/>
      <c r="D517" s="308"/>
      <c r="E517" s="308"/>
      <c r="F517" s="308"/>
      <c r="G517" s="308"/>
      <c r="H517" s="308"/>
      <c r="I517" s="308"/>
      <c r="J517" s="308"/>
      <c r="K517" s="308"/>
      <c r="L517" s="308"/>
      <c r="M517" s="308"/>
      <c r="N517" s="308"/>
      <c r="O517" s="308"/>
      <c r="P517" s="308"/>
      <c r="Q517" s="308"/>
      <c r="R517" s="308"/>
      <c r="S517" s="308"/>
      <c r="T517" s="308"/>
      <c r="U517" s="308"/>
      <c r="V517" s="308"/>
      <c r="W517" s="308"/>
      <c r="X517" s="308"/>
      <c r="Y517" s="308"/>
      <c r="Z517" s="308"/>
    </row>
    <row r="518" ht="15.75" customHeight="1">
      <c r="A518" s="308"/>
      <c r="B518" s="524"/>
      <c r="C518" s="308"/>
      <c r="D518" s="308"/>
      <c r="E518" s="308"/>
      <c r="F518" s="308"/>
      <c r="G518" s="308"/>
      <c r="H518" s="308"/>
      <c r="I518" s="308"/>
      <c r="J518" s="308"/>
      <c r="K518" s="308"/>
      <c r="L518" s="308"/>
      <c r="M518" s="308"/>
      <c r="N518" s="308"/>
      <c r="O518" s="308"/>
      <c r="P518" s="308"/>
      <c r="Q518" s="308"/>
      <c r="R518" s="308"/>
      <c r="S518" s="308"/>
      <c r="T518" s="308"/>
      <c r="U518" s="308"/>
      <c r="V518" s="308"/>
      <c r="W518" s="308"/>
      <c r="X518" s="308"/>
      <c r="Y518" s="308"/>
      <c r="Z518" s="308"/>
    </row>
    <row r="519" ht="15.75" customHeight="1">
      <c r="A519" s="308"/>
      <c r="B519" s="524"/>
      <c r="C519" s="308"/>
      <c r="D519" s="308"/>
      <c r="E519" s="308"/>
      <c r="F519" s="308"/>
      <c r="G519" s="308"/>
      <c r="H519" s="308"/>
      <c r="I519" s="308"/>
      <c r="J519" s="308"/>
      <c r="K519" s="308"/>
      <c r="L519" s="308"/>
      <c r="M519" s="308"/>
      <c r="N519" s="308"/>
      <c r="O519" s="308"/>
      <c r="P519" s="308"/>
      <c r="Q519" s="308"/>
      <c r="R519" s="308"/>
      <c r="S519" s="308"/>
      <c r="T519" s="308"/>
      <c r="U519" s="308"/>
      <c r="V519" s="308"/>
      <c r="W519" s="308"/>
      <c r="X519" s="308"/>
      <c r="Y519" s="308"/>
      <c r="Z519" s="308"/>
    </row>
    <row r="520" ht="15.75" customHeight="1">
      <c r="A520" s="308"/>
      <c r="B520" s="524"/>
      <c r="C520" s="308"/>
      <c r="D520" s="308"/>
      <c r="E520" s="308"/>
      <c r="F520" s="308"/>
      <c r="G520" s="308"/>
      <c r="H520" s="308"/>
      <c r="I520" s="308"/>
      <c r="J520" s="308"/>
      <c r="K520" s="308"/>
      <c r="L520" s="308"/>
      <c r="M520" s="308"/>
      <c r="N520" s="308"/>
      <c r="O520" s="308"/>
      <c r="P520" s="308"/>
      <c r="Q520" s="308"/>
      <c r="R520" s="308"/>
      <c r="S520" s="308"/>
      <c r="T520" s="308"/>
      <c r="U520" s="308"/>
      <c r="V520" s="308"/>
      <c r="W520" s="308"/>
      <c r="X520" s="308"/>
      <c r="Y520" s="308"/>
      <c r="Z520" s="308"/>
    </row>
    <row r="521" ht="15.75" customHeight="1">
      <c r="A521" s="308"/>
      <c r="B521" s="524"/>
      <c r="C521" s="308"/>
      <c r="D521" s="308"/>
      <c r="E521" s="308"/>
      <c r="F521" s="308"/>
      <c r="G521" s="308"/>
      <c r="H521" s="308"/>
      <c r="I521" s="308"/>
      <c r="J521" s="308"/>
      <c r="K521" s="308"/>
      <c r="L521" s="308"/>
      <c r="M521" s="308"/>
      <c r="N521" s="308"/>
      <c r="O521" s="308"/>
      <c r="P521" s="308"/>
      <c r="Q521" s="308"/>
      <c r="R521" s="308"/>
      <c r="S521" s="308"/>
      <c r="T521" s="308"/>
      <c r="U521" s="308"/>
      <c r="V521" s="308"/>
      <c r="W521" s="308"/>
      <c r="X521" s="308"/>
      <c r="Y521" s="308"/>
      <c r="Z521" s="308"/>
    </row>
    <row r="522" ht="15.75" customHeight="1">
      <c r="A522" s="308"/>
      <c r="B522" s="524"/>
      <c r="C522" s="308"/>
      <c r="D522" s="308"/>
      <c r="E522" s="308"/>
      <c r="F522" s="308"/>
      <c r="G522" s="308"/>
      <c r="H522" s="308"/>
      <c r="I522" s="308"/>
      <c r="J522" s="308"/>
      <c r="K522" s="308"/>
      <c r="L522" s="308"/>
      <c r="M522" s="308"/>
      <c r="N522" s="308"/>
      <c r="O522" s="308"/>
      <c r="P522" s="308"/>
      <c r="Q522" s="308"/>
      <c r="R522" s="308"/>
      <c r="S522" s="308"/>
      <c r="T522" s="308"/>
      <c r="U522" s="308"/>
      <c r="V522" s="308"/>
      <c r="W522" s="308"/>
      <c r="X522" s="308"/>
      <c r="Y522" s="308"/>
      <c r="Z522" s="308"/>
    </row>
    <row r="523" ht="15.75" customHeight="1">
      <c r="A523" s="308"/>
      <c r="B523" s="524"/>
      <c r="C523" s="308"/>
      <c r="D523" s="308"/>
      <c r="E523" s="308"/>
      <c r="F523" s="308"/>
      <c r="G523" s="308"/>
      <c r="H523" s="308"/>
      <c r="I523" s="308"/>
      <c r="J523" s="308"/>
      <c r="K523" s="308"/>
      <c r="L523" s="308"/>
      <c r="M523" s="308"/>
      <c r="N523" s="308"/>
      <c r="O523" s="308"/>
      <c r="P523" s="308"/>
      <c r="Q523" s="308"/>
      <c r="R523" s="308"/>
      <c r="S523" s="308"/>
      <c r="T523" s="308"/>
      <c r="U523" s="308"/>
      <c r="V523" s="308"/>
      <c r="W523" s="308"/>
      <c r="X523" s="308"/>
      <c r="Y523" s="308"/>
      <c r="Z523" s="308"/>
    </row>
    <row r="524" ht="15.75" customHeight="1">
      <c r="A524" s="308"/>
      <c r="B524" s="524"/>
      <c r="C524" s="308"/>
      <c r="D524" s="308"/>
      <c r="E524" s="308"/>
      <c r="F524" s="308"/>
      <c r="G524" s="308"/>
      <c r="H524" s="308"/>
      <c r="I524" s="308"/>
      <c r="J524" s="308"/>
      <c r="K524" s="308"/>
      <c r="L524" s="308"/>
      <c r="M524" s="308"/>
      <c r="N524" s="308"/>
      <c r="O524" s="308"/>
      <c r="P524" s="308"/>
      <c r="Q524" s="308"/>
      <c r="R524" s="308"/>
      <c r="S524" s="308"/>
      <c r="T524" s="308"/>
      <c r="U524" s="308"/>
      <c r="V524" s="308"/>
      <c r="W524" s="308"/>
      <c r="X524" s="308"/>
      <c r="Y524" s="308"/>
      <c r="Z524" s="308"/>
    </row>
    <row r="525" ht="15.75" customHeight="1">
      <c r="A525" s="308"/>
      <c r="B525" s="524"/>
      <c r="C525" s="308"/>
      <c r="D525" s="308"/>
      <c r="E525" s="308"/>
      <c r="F525" s="308"/>
      <c r="G525" s="308"/>
      <c r="H525" s="308"/>
      <c r="I525" s="308"/>
      <c r="J525" s="308"/>
      <c r="K525" s="308"/>
      <c r="L525" s="308"/>
      <c r="M525" s="308"/>
      <c r="N525" s="308"/>
      <c r="O525" s="308"/>
      <c r="P525" s="308"/>
      <c r="Q525" s="308"/>
      <c r="R525" s="308"/>
      <c r="S525" s="308"/>
      <c r="T525" s="308"/>
      <c r="U525" s="308"/>
      <c r="V525" s="308"/>
      <c r="W525" s="308"/>
      <c r="X525" s="308"/>
      <c r="Y525" s="308"/>
      <c r="Z525" s="308"/>
    </row>
    <row r="526" ht="15.75" customHeight="1">
      <c r="A526" s="308"/>
      <c r="B526" s="524"/>
      <c r="C526" s="308"/>
      <c r="D526" s="308"/>
      <c r="E526" s="308"/>
      <c r="F526" s="308"/>
      <c r="G526" s="308"/>
      <c r="H526" s="308"/>
      <c r="I526" s="308"/>
      <c r="J526" s="308"/>
      <c r="K526" s="308"/>
      <c r="L526" s="308"/>
      <c r="M526" s="308"/>
      <c r="N526" s="308"/>
      <c r="O526" s="308"/>
      <c r="P526" s="308"/>
      <c r="Q526" s="308"/>
      <c r="R526" s="308"/>
      <c r="S526" s="308"/>
      <c r="T526" s="308"/>
      <c r="U526" s="308"/>
      <c r="V526" s="308"/>
      <c r="W526" s="308"/>
      <c r="X526" s="308"/>
      <c r="Y526" s="308"/>
      <c r="Z526" s="308"/>
    </row>
    <row r="527" ht="15.75" customHeight="1">
      <c r="A527" s="308"/>
      <c r="B527" s="524"/>
      <c r="C527" s="308"/>
      <c r="D527" s="308"/>
      <c r="E527" s="308"/>
      <c r="F527" s="308"/>
      <c r="G527" s="308"/>
      <c r="H527" s="308"/>
      <c r="I527" s="308"/>
      <c r="J527" s="308"/>
      <c r="K527" s="308"/>
      <c r="L527" s="308"/>
      <c r="M527" s="308"/>
      <c r="N527" s="308"/>
      <c r="O527" s="308"/>
      <c r="P527" s="308"/>
      <c r="Q527" s="308"/>
      <c r="R527" s="308"/>
      <c r="S527" s="308"/>
      <c r="T527" s="308"/>
      <c r="U527" s="308"/>
      <c r="V527" s="308"/>
      <c r="W527" s="308"/>
      <c r="X527" s="308"/>
      <c r="Y527" s="308"/>
      <c r="Z527" s="308"/>
    </row>
    <row r="528" ht="15.75" customHeight="1">
      <c r="A528" s="308"/>
      <c r="B528" s="524"/>
      <c r="C528" s="308"/>
      <c r="D528" s="308"/>
      <c r="E528" s="308"/>
      <c r="F528" s="308"/>
      <c r="G528" s="308"/>
      <c r="H528" s="308"/>
      <c r="I528" s="308"/>
      <c r="J528" s="308"/>
      <c r="K528" s="308"/>
      <c r="L528" s="308"/>
      <c r="M528" s="308"/>
      <c r="N528" s="308"/>
      <c r="O528" s="308"/>
      <c r="P528" s="308"/>
      <c r="Q528" s="308"/>
      <c r="R528" s="308"/>
      <c r="S528" s="308"/>
      <c r="T528" s="308"/>
      <c r="U528" s="308"/>
      <c r="V528" s="308"/>
      <c r="W528" s="308"/>
      <c r="X528" s="308"/>
      <c r="Y528" s="308"/>
      <c r="Z528" s="308"/>
    </row>
    <row r="529" ht="15.75" customHeight="1">
      <c r="A529" s="308"/>
      <c r="B529" s="524"/>
      <c r="C529" s="308"/>
      <c r="D529" s="308"/>
      <c r="E529" s="308"/>
      <c r="F529" s="308"/>
      <c r="G529" s="308"/>
      <c r="H529" s="308"/>
      <c r="I529" s="308"/>
      <c r="J529" s="308"/>
      <c r="K529" s="308"/>
      <c r="L529" s="308"/>
      <c r="M529" s="308"/>
      <c r="N529" s="308"/>
      <c r="O529" s="308"/>
      <c r="P529" s="308"/>
      <c r="Q529" s="308"/>
      <c r="R529" s="308"/>
      <c r="S529" s="308"/>
      <c r="T529" s="308"/>
      <c r="U529" s="308"/>
      <c r="V529" s="308"/>
      <c r="W529" s="308"/>
      <c r="X529" s="308"/>
      <c r="Y529" s="308"/>
      <c r="Z529" s="308"/>
    </row>
    <row r="530" ht="15.75" customHeight="1">
      <c r="A530" s="308"/>
      <c r="B530" s="524"/>
      <c r="C530" s="308"/>
      <c r="D530" s="308"/>
      <c r="E530" s="308"/>
      <c r="F530" s="308"/>
      <c r="G530" s="308"/>
      <c r="H530" s="308"/>
      <c r="I530" s="308"/>
      <c r="J530" s="308"/>
      <c r="K530" s="308"/>
      <c r="L530" s="308"/>
      <c r="M530" s="308"/>
      <c r="N530" s="308"/>
      <c r="O530" s="308"/>
      <c r="P530" s="308"/>
      <c r="Q530" s="308"/>
      <c r="R530" s="308"/>
      <c r="S530" s="308"/>
      <c r="T530" s="308"/>
      <c r="U530" s="308"/>
      <c r="V530" s="308"/>
      <c r="W530" s="308"/>
      <c r="X530" s="308"/>
      <c r="Y530" s="308"/>
      <c r="Z530" s="308"/>
    </row>
    <row r="531" ht="15.75" customHeight="1">
      <c r="A531" s="308"/>
      <c r="B531" s="524"/>
      <c r="C531" s="308"/>
      <c r="D531" s="308"/>
      <c r="E531" s="308"/>
      <c r="F531" s="308"/>
      <c r="G531" s="308"/>
      <c r="H531" s="308"/>
      <c r="I531" s="308"/>
      <c r="J531" s="308"/>
      <c r="K531" s="308"/>
      <c r="L531" s="308"/>
      <c r="M531" s="308"/>
      <c r="N531" s="308"/>
      <c r="O531" s="308"/>
      <c r="P531" s="308"/>
      <c r="Q531" s="308"/>
      <c r="R531" s="308"/>
      <c r="S531" s="308"/>
      <c r="T531" s="308"/>
      <c r="U531" s="308"/>
      <c r="V531" s="308"/>
      <c r="W531" s="308"/>
      <c r="X531" s="308"/>
      <c r="Y531" s="308"/>
      <c r="Z531" s="308"/>
    </row>
    <row r="532" ht="15.75" customHeight="1">
      <c r="A532" s="308"/>
      <c r="B532" s="524"/>
      <c r="C532" s="308"/>
      <c r="D532" s="308"/>
      <c r="E532" s="308"/>
      <c r="F532" s="308"/>
      <c r="G532" s="308"/>
      <c r="H532" s="308"/>
      <c r="I532" s="308"/>
      <c r="J532" s="308"/>
      <c r="K532" s="308"/>
      <c r="L532" s="308"/>
      <c r="M532" s="308"/>
      <c r="N532" s="308"/>
      <c r="O532" s="308"/>
      <c r="P532" s="308"/>
      <c r="Q532" s="308"/>
      <c r="R532" s="308"/>
      <c r="S532" s="308"/>
      <c r="T532" s="308"/>
      <c r="U532" s="308"/>
      <c r="V532" s="308"/>
      <c r="W532" s="308"/>
      <c r="X532" s="308"/>
      <c r="Y532" s="308"/>
      <c r="Z532" s="308"/>
    </row>
    <row r="533" ht="15.75" customHeight="1">
      <c r="A533" s="308"/>
      <c r="B533" s="524"/>
      <c r="C533" s="308"/>
      <c r="D533" s="308"/>
      <c r="E533" s="308"/>
      <c r="F533" s="308"/>
      <c r="G533" s="308"/>
      <c r="H533" s="308"/>
      <c r="I533" s="308"/>
      <c r="J533" s="308"/>
      <c r="K533" s="308"/>
      <c r="L533" s="308"/>
      <c r="M533" s="308"/>
      <c r="N533" s="308"/>
      <c r="O533" s="308"/>
      <c r="P533" s="308"/>
      <c r="Q533" s="308"/>
      <c r="R533" s="308"/>
      <c r="S533" s="308"/>
      <c r="T533" s="308"/>
      <c r="U533" s="308"/>
      <c r="V533" s="308"/>
      <c r="W533" s="308"/>
      <c r="X533" s="308"/>
      <c r="Y533" s="308"/>
      <c r="Z533" s="308"/>
    </row>
    <row r="534" ht="15.75" customHeight="1">
      <c r="A534" s="308"/>
      <c r="B534" s="524"/>
      <c r="C534" s="308"/>
      <c r="D534" s="308"/>
      <c r="E534" s="308"/>
      <c r="F534" s="308"/>
      <c r="G534" s="308"/>
      <c r="H534" s="308"/>
      <c r="I534" s="308"/>
      <c r="J534" s="308"/>
      <c r="K534" s="308"/>
      <c r="L534" s="308"/>
      <c r="M534" s="308"/>
      <c r="N534" s="308"/>
      <c r="O534" s="308"/>
      <c r="P534" s="308"/>
      <c r="Q534" s="308"/>
      <c r="R534" s="308"/>
      <c r="S534" s="308"/>
      <c r="T534" s="308"/>
      <c r="U534" s="308"/>
      <c r="V534" s="308"/>
      <c r="W534" s="308"/>
      <c r="X534" s="308"/>
      <c r="Y534" s="308"/>
      <c r="Z534" s="308"/>
    </row>
    <row r="535" ht="15.75" customHeight="1">
      <c r="A535" s="308"/>
      <c r="B535" s="524"/>
      <c r="C535" s="308"/>
      <c r="D535" s="308"/>
      <c r="E535" s="308"/>
      <c r="F535" s="308"/>
      <c r="G535" s="308"/>
      <c r="H535" s="308"/>
      <c r="I535" s="308"/>
      <c r="J535" s="308"/>
      <c r="K535" s="308"/>
      <c r="L535" s="308"/>
      <c r="M535" s="308"/>
      <c r="N535" s="308"/>
      <c r="O535" s="308"/>
      <c r="P535" s="308"/>
      <c r="Q535" s="308"/>
      <c r="R535" s="308"/>
      <c r="S535" s="308"/>
      <c r="T535" s="308"/>
      <c r="U535" s="308"/>
      <c r="V535" s="308"/>
      <c r="W535" s="308"/>
      <c r="X535" s="308"/>
      <c r="Y535" s="308"/>
      <c r="Z535" s="308"/>
    </row>
    <row r="536" ht="15.75" customHeight="1">
      <c r="A536" s="308"/>
      <c r="B536" s="524"/>
      <c r="C536" s="308"/>
      <c r="D536" s="308"/>
      <c r="E536" s="308"/>
      <c r="F536" s="308"/>
      <c r="G536" s="308"/>
      <c r="H536" s="308"/>
      <c r="I536" s="308"/>
      <c r="J536" s="308"/>
      <c r="K536" s="308"/>
      <c r="L536" s="308"/>
      <c r="M536" s="308"/>
      <c r="N536" s="308"/>
      <c r="O536" s="308"/>
      <c r="P536" s="308"/>
      <c r="Q536" s="308"/>
      <c r="R536" s="308"/>
      <c r="S536" s="308"/>
      <c r="T536" s="308"/>
      <c r="U536" s="308"/>
      <c r="V536" s="308"/>
      <c r="W536" s="308"/>
      <c r="X536" s="308"/>
      <c r="Y536" s="308"/>
      <c r="Z536" s="308"/>
    </row>
    <row r="537" ht="15.75" customHeight="1">
      <c r="A537" s="308"/>
      <c r="B537" s="524"/>
      <c r="C537" s="308"/>
      <c r="D537" s="308"/>
      <c r="E537" s="308"/>
      <c r="F537" s="308"/>
      <c r="G537" s="308"/>
      <c r="H537" s="308"/>
      <c r="I537" s="308"/>
      <c r="J537" s="308"/>
      <c r="K537" s="308"/>
      <c r="L537" s="308"/>
      <c r="M537" s="308"/>
      <c r="N537" s="308"/>
      <c r="O537" s="308"/>
      <c r="P537" s="308"/>
      <c r="Q537" s="308"/>
      <c r="R537" s="308"/>
      <c r="S537" s="308"/>
      <c r="T537" s="308"/>
      <c r="U537" s="308"/>
      <c r="V537" s="308"/>
      <c r="W537" s="308"/>
      <c r="X537" s="308"/>
      <c r="Y537" s="308"/>
      <c r="Z537" s="308"/>
    </row>
    <row r="538" ht="15.75" customHeight="1">
      <c r="A538" s="308"/>
      <c r="B538" s="524"/>
      <c r="C538" s="308"/>
      <c r="D538" s="308"/>
      <c r="E538" s="308"/>
      <c r="F538" s="308"/>
      <c r="G538" s="308"/>
      <c r="H538" s="308"/>
      <c r="I538" s="308"/>
      <c r="J538" s="308"/>
      <c r="K538" s="308"/>
      <c r="L538" s="308"/>
      <c r="M538" s="308"/>
      <c r="N538" s="308"/>
      <c r="O538" s="308"/>
      <c r="P538" s="308"/>
      <c r="Q538" s="308"/>
      <c r="R538" s="308"/>
      <c r="S538" s="308"/>
      <c r="T538" s="308"/>
      <c r="U538" s="308"/>
      <c r="V538" s="308"/>
      <c r="W538" s="308"/>
      <c r="X538" s="308"/>
      <c r="Y538" s="308"/>
      <c r="Z538" s="308"/>
    </row>
    <row r="539" ht="15.75" customHeight="1">
      <c r="A539" s="308"/>
      <c r="B539" s="524"/>
      <c r="C539" s="308"/>
      <c r="D539" s="308"/>
      <c r="E539" s="308"/>
      <c r="F539" s="308"/>
      <c r="G539" s="308"/>
      <c r="H539" s="308"/>
      <c r="I539" s="308"/>
      <c r="J539" s="308"/>
      <c r="K539" s="308"/>
      <c r="L539" s="308"/>
      <c r="M539" s="308"/>
      <c r="N539" s="308"/>
      <c r="O539" s="308"/>
      <c r="P539" s="308"/>
      <c r="Q539" s="308"/>
      <c r="R539" s="308"/>
      <c r="S539" s="308"/>
      <c r="T539" s="308"/>
      <c r="U539" s="308"/>
      <c r="V539" s="308"/>
      <c r="W539" s="308"/>
      <c r="X539" s="308"/>
      <c r="Y539" s="308"/>
      <c r="Z539" s="308"/>
    </row>
    <row r="540" ht="15.75" customHeight="1">
      <c r="A540" s="308"/>
      <c r="B540" s="524"/>
      <c r="C540" s="308"/>
      <c r="D540" s="308"/>
      <c r="E540" s="308"/>
      <c r="F540" s="308"/>
      <c r="G540" s="308"/>
      <c r="H540" s="308"/>
      <c r="I540" s="308"/>
      <c r="J540" s="308"/>
      <c r="K540" s="308"/>
      <c r="L540" s="308"/>
      <c r="M540" s="308"/>
      <c r="N540" s="308"/>
      <c r="O540" s="308"/>
      <c r="P540" s="308"/>
      <c r="Q540" s="308"/>
      <c r="R540" s="308"/>
      <c r="S540" s="308"/>
      <c r="T540" s="308"/>
      <c r="U540" s="308"/>
      <c r="V540" s="308"/>
      <c r="W540" s="308"/>
      <c r="X540" s="308"/>
      <c r="Y540" s="308"/>
      <c r="Z540" s="308"/>
    </row>
    <row r="541" ht="15.75" customHeight="1">
      <c r="A541" s="308"/>
      <c r="B541" s="524"/>
      <c r="C541" s="308"/>
      <c r="D541" s="308"/>
      <c r="E541" s="308"/>
      <c r="F541" s="308"/>
      <c r="G541" s="308"/>
      <c r="H541" s="308"/>
      <c r="I541" s="308"/>
      <c r="J541" s="308"/>
      <c r="K541" s="308"/>
      <c r="L541" s="308"/>
      <c r="M541" s="308"/>
      <c r="N541" s="308"/>
      <c r="O541" s="308"/>
      <c r="P541" s="308"/>
      <c r="Q541" s="308"/>
      <c r="R541" s="308"/>
      <c r="S541" s="308"/>
      <c r="T541" s="308"/>
      <c r="U541" s="308"/>
      <c r="V541" s="308"/>
      <c r="W541" s="308"/>
      <c r="X541" s="308"/>
      <c r="Y541" s="308"/>
      <c r="Z541" s="308"/>
    </row>
    <row r="542" ht="15.75" customHeight="1">
      <c r="A542" s="308"/>
      <c r="B542" s="524"/>
      <c r="C542" s="308"/>
      <c r="D542" s="308"/>
      <c r="E542" s="308"/>
      <c r="F542" s="308"/>
      <c r="G542" s="308"/>
      <c r="H542" s="308"/>
      <c r="I542" s="308"/>
      <c r="J542" s="308"/>
      <c r="K542" s="308"/>
      <c r="L542" s="308"/>
      <c r="M542" s="308"/>
      <c r="N542" s="308"/>
      <c r="O542" s="308"/>
      <c r="P542" s="308"/>
      <c r="Q542" s="308"/>
      <c r="R542" s="308"/>
      <c r="S542" s="308"/>
      <c r="T542" s="308"/>
      <c r="U542" s="308"/>
      <c r="V542" s="308"/>
      <c r="W542" s="308"/>
      <c r="X542" s="308"/>
      <c r="Y542" s="308"/>
      <c r="Z542" s="308"/>
    </row>
    <row r="543" ht="15.75" customHeight="1">
      <c r="A543" s="308"/>
      <c r="B543" s="524"/>
      <c r="C543" s="308"/>
      <c r="D543" s="308"/>
      <c r="E543" s="308"/>
      <c r="F543" s="308"/>
      <c r="G543" s="308"/>
      <c r="H543" s="308"/>
      <c r="I543" s="308"/>
      <c r="J543" s="308"/>
      <c r="K543" s="308"/>
      <c r="L543" s="308"/>
      <c r="M543" s="308"/>
      <c r="N543" s="308"/>
      <c r="O543" s="308"/>
      <c r="P543" s="308"/>
      <c r="Q543" s="308"/>
      <c r="R543" s="308"/>
      <c r="S543" s="308"/>
      <c r="T543" s="308"/>
      <c r="U543" s="308"/>
      <c r="V543" s="308"/>
      <c r="W543" s="308"/>
      <c r="X543" s="308"/>
      <c r="Y543" s="308"/>
      <c r="Z543" s="308"/>
    </row>
    <row r="544" ht="15.75" customHeight="1">
      <c r="A544" s="308"/>
      <c r="B544" s="524"/>
      <c r="C544" s="308"/>
      <c r="D544" s="308"/>
      <c r="E544" s="308"/>
      <c r="F544" s="308"/>
      <c r="G544" s="308"/>
      <c r="H544" s="308"/>
      <c r="I544" s="308"/>
      <c r="J544" s="308"/>
      <c r="K544" s="308"/>
      <c r="L544" s="308"/>
      <c r="M544" s="308"/>
      <c r="N544" s="308"/>
      <c r="O544" s="308"/>
      <c r="P544" s="308"/>
      <c r="Q544" s="308"/>
      <c r="R544" s="308"/>
      <c r="S544" s="308"/>
      <c r="T544" s="308"/>
      <c r="U544" s="308"/>
      <c r="V544" s="308"/>
      <c r="W544" s="308"/>
      <c r="X544" s="308"/>
      <c r="Y544" s="308"/>
      <c r="Z544" s="308"/>
    </row>
    <row r="545" ht="15.75" customHeight="1">
      <c r="A545" s="308"/>
      <c r="B545" s="524"/>
      <c r="C545" s="308"/>
      <c r="D545" s="308"/>
      <c r="E545" s="308"/>
      <c r="F545" s="308"/>
      <c r="G545" s="308"/>
      <c r="H545" s="308"/>
      <c r="I545" s="308"/>
      <c r="J545" s="308"/>
      <c r="K545" s="308"/>
      <c r="L545" s="308"/>
      <c r="M545" s="308"/>
      <c r="N545" s="308"/>
      <c r="O545" s="308"/>
      <c r="P545" s="308"/>
      <c r="Q545" s="308"/>
      <c r="R545" s="308"/>
      <c r="S545" s="308"/>
      <c r="T545" s="308"/>
      <c r="U545" s="308"/>
      <c r="V545" s="308"/>
      <c r="W545" s="308"/>
      <c r="X545" s="308"/>
      <c r="Y545" s="308"/>
      <c r="Z545" s="308"/>
    </row>
    <row r="546" ht="15.75" customHeight="1">
      <c r="A546" s="308"/>
      <c r="B546" s="524"/>
      <c r="C546" s="308"/>
      <c r="D546" s="308"/>
      <c r="E546" s="308"/>
      <c r="F546" s="308"/>
      <c r="G546" s="308"/>
      <c r="H546" s="308"/>
      <c r="I546" s="308"/>
      <c r="J546" s="308"/>
      <c r="K546" s="308"/>
      <c r="L546" s="308"/>
      <c r="M546" s="308"/>
      <c r="N546" s="308"/>
      <c r="O546" s="308"/>
      <c r="P546" s="308"/>
      <c r="Q546" s="308"/>
      <c r="R546" s="308"/>
      <c r="S546" s="308"/>
      <c r="T546" s="308"/>
      <c r="U546" s="308"/>
      <c r="V546" s="308"/>
      <c r="W546" s="308"/>
      <c r="X546" s="308"/>
      <c r="Y546" s="308"/>
      <c r="Z546" s="308"/>
    </row>
    <row r="547" ht="15.75" customHeight="1">
      <c r="A547" s="308"/>
      <c r="B547" s="524"/>
      <c r="C547" s="308"/>
      <c r="D547" s="308"/>
      <c r="E547" s="308"/>
      <c r="F547" s="308"/>
      <c r="G547" s="308"/>
      <c r="H547" s="308"/>
      <c r="I547" s="308"/>
      <c r="J547" s="308"/>
      <c r="K547" s="308"/>
      <c r="L547" s="308"/>
      <c r="M547" s="308"/>
      <c r="N547" s="308"/>
      <c r="O547" s="308"/>
      <c r="P547" s="308"/>
      <c r="Q547" s="308"/>
      <c r="R547" s="308"/>
      <c r="S547" s="308"/>
      <c r="T547" s="308"/>
      <c r="U547" s="308"/>
      <c r="V547" s="308"/>
      <c r="W547" s="308"/>
      <c r="X547" s="308"/>
      <c r="Y547" s="308"/>
      <c r="Z547" s="308"/>
    </row>
    <row r="548" ht="15.75" customHeight="1">
      <c r="A548" s="308"/>
      <c r="B548" s="524"/>
      <c r="C548" s="308"/>
      <c r="D548" s="308"/>
      <c r="E548" s="308"/>
      <c r="F548" s="308"/>
      <c r="G548" s="308"/>
      <c r="H548" s="308"/>
      <c r="I548" s="308"/>
      <c r="J548" s="308"/>
      <c r="K548" s="308"/>
      <c r="L548" s="308"/>
      <c r="M548" s="308"/>
      <c r="N548" s="308"/>
      <c r="O548" s="308"/>
      <c r="P548" s="308"/>
      <c r="Q548" s="308"/>
      <c r="R548" s="308"/>
      <c r="S548" s="308"/>
      <c r="T548" s="308"/>
      <c r="U548" s="308"/>
      <c r="V548" s="308"/>
      <c r="W548" s="308"/>
      <c r="X548" s="308"/>
      <c r="Y548" s="308"/>
      <c r="Z548" s="308"/>
    </row>
    <row r="549" ht="15.75" customHeight="1">
      <c r="A549" s="308"/>
      <c r="B549" s="524"/>
      <c r="C549" s="308"/>
      <c r="D549" s="308"/>
      <c r="E549" s="308"/>
      <c r="F549" s="308"/>
      <c r="G549" s="308"/>
      <c r="H549" s="308"/>
      <c r="I549" s="308"/>
      <c r="J549" s="308"/>
      <c r="K549" s="308"/>
      <c r="L549" s="308"/>
      <c r="M549" s="308"/>
      <c r="N549" s="308"/>
      <c r="O549" s="308"/>
      <c r="P549" s="308"/>
      <c r="Q549" s="308"/>
      <c r="R549" s="308"/>
      <c r="S549" s="308"/>
      <c r="T549" s="308"/>
      <c r="U549" s="308"/>
      <c r="V549" s="308"/>
      <c r="W549" s="308"/>
      <c r="X549" s="308"/>
      <c r="Y549" s="308"/>
      <c r="Z549" s="308"/>
    </row>
    <row r="550" ht="15.75" customHeight="1">
      <c r="A550" s="308"/>
      <c r="B550" s="524"/>
      <c r="C550" s="308"/>
      <c r="D550" s="308"/>
      <c r="E550" s="308"/>
      <c r="F550" s="308"/>
      <c r="G550" s="308"/>
      <c r="H550" s="308"/>
      <c r="I550" s="308"/>
      <c r="J550" s="308"/>
      <c r="K550" s="308"/>
      <c r="L550" s="308"/>
      <c r="M550" s="308"/>
      <c r="N550" s="308"/>
      <c r="O550" s="308"/>
      <c r="P550" s="308"/>
      <c r="Q550" s="308"/>
      <c r="R550" s="308"/>
      <c r="S550" s="308"/>
      <c r="T550" s="308"/>
      <c r="U550" s="308"/>
      <c r="V550" s="308"/>
      <c r="W550" s="308"/>
      <c r="X550" s="308"/>
      <c r="Y550" s="308"/>
      <c r="Z550" s="308"/>
    </row>
    <row r="551" ht="15.75" customHeight="1">
      <c r="A551" s="308"/>
      <c r="B551" s="524"/>
      <c r="C551" s="308"/>
      <c r="D551" s="308"/>
      <c r="E551" s="308"/>
      <c r="F551" s="308"/>
      <c r="G551" s="308"/>
      <c r="H551" s="308"/>
      <c r="I551" s="308"/>
      <c r="J551" s="308"/>
      <c r="K551" s="308"/>
      <c r="L551" s="308"/>
      <c r="M551" s="308"/>
      <c r="N551" s="308"/>
      <c r="O551" s="308"/>
      <c r="P551" s="308"/>
      <c r="Q551" s="308"/>
      <c r="R551" s="308"/>
      <c r="S551" s="308"/>
      <c r="T551" s="308"/>
      <c r="U551" s="308"/>
      <c r="V551" s="308"/>
      <c r="W551" s="308"/>
      <c r="X551" s="308"/>
      <c r="Y551" s="308"/>
      <c r="Z551" s="308"/>
    </row>
    <row r="552" ht="15.75" customHeight="1">
      <c r="A552" s="308"/>
      <c r="B552" s="524"/>
      <c r="C552" s="308"/>
      <c r="D552" s="308"/>
      <c r="E552" s="308"/>
      <c r="F552" s="308"/>
      <c r="G552" s="308"/>
      <c r="H552" s="308"/>
      <c r="I552" s="308"/>
      <c r="J552" s="308"/>
      <c r="K552" s="308"/>
      <c r="L552" s="308"/>
      <c r="M552" s="308"/>
      <c r="N552" s="308"/>
      <c r="O552" s="308"/>
      <c r="P552" s="308"/>
      <c r="Q552" s="308"/>
      <c r="R552" s="308"/>
      <c r="S552" s="308"/>
      <c r="T552" s="308"/>
      <c r="U552" s="308"/>
      <c r="V552" s="308"/>
      <c r="W552" s="308"/>
      <c r="X552" s="308"/>
      <c r="Y552" s="308"/>
      <c r="Z552" s="308"/>
    </row>
    <row r="553" ht="15.75" customHeight="1">
      <c r="A553" s="308"/>
      <c r="B553" s="524"/>
      <c r="C553" s="308"/>
      <c r="D553" s="308"/>
      <c r="E553" s="308"/>
      <c r="F553" s="308"/>
      <c r="G553" s="308"/>
      <c r="H553" s="308"/>
      <c r="I553" s="308"/>
      <c r="J553" s="308"/>
      <c r="K553" s="308"/>
      <c r="L553" s="308"/>
      <c r="M553" s="308"/>
      <c r="N553" s="308"/>
      <c r="O553" s="308"/>
      <c r="P553" s="308"/>
      <c r="Q553" s="308"/>
      <c r="R553" s="308"/>
      <c r="S553" s="308"/>
      <c r="T553" s="308"/>
      <c r="U553" s="308"/>
      <c r="V553" s="308"/>
      <c r="W553" s="308"/>
      <c r="X553" s="308"/>
      <c r="Y553" s="308"/>
      <c r="Z553" s="308"/>
    </row>
    <row r="554" ht="15.75" customHeight="1">
      <c r="A554" s="308"/>
      <c r="B554" s="524"/>
      <c r="C554" s="308"/>
      <c r="D554" s="308"/>
      <c r="E554" s="308"/>
      <c r="F554" s="308"/>
      <c r="G554" s="308"/>
      <c r="H554" s="308"/>
      <c r="I554" s="308"/>
      <c r="J554" s="308"/>
      <c r="K554" s="308"/>
      <c r="L554" s="308"/>
      <c r="M554" s="308"/>
      <c r="N554" s="308"/>
      <c r="O554" s="308"/>
      <c r="P554" s="308"/>
      <c r="Q554" s="308"/>
      <c r="R554" s="308"/>
      <c r="S554" s="308"/>
      <c r="T554" s="308"/>
      <c r="U554" s="308"/>
      <c r="V554" s="308"/>
      <c r="W554" s="308"/>
      <c r="X554" s="308"/>
      <c r="Y554" s="308"/>
      <c r="Z554" s="308"/>
    </row>
    <row r="555" ht="15.75" customHeight="1">
      <c r="A555" s="308"/>
      <c r="B555" s="524"/>
      <c r="C555" s="308"/>
      <c r="D555" s="308"/>
      <c r="E555" s="308"/>
      <c r="F555" s="308"/>
      <c r="G555" s="308"/>
      <c r="H555" s="308"/>
      <c r="I555" s="308"/>
      <c r="J555" s="308"/>
      <c r="K555" s="308"/>
      <c r="L555" s="308"/>
      <c r="M555" s="308"/>
      <c r="N555" s="308"/>
      <c r="O555" s="308"/>
      <c r="P555" s="308"/>
      <c r="Q555" s="308"/>
      <c r="R555" s="308"/>
      <c r="S555" s="308"/>
      <c r="T555" s="308"/>
      <c r="U555" s="308"/>
      <c r="V555" s="308"/>
      <c r="W555" s="308"/>
      <c r="X555" s="308"/>
      <c r="Y555" s="308"/>
      <c r="Z555" s="308"/>
    </row>
    <row r="556" ht="15.75" customHeight="1">
      <c r="A556" s="308"/>
      <c r="B556" s="524"/>
      <c r="C556" s="308"/>
      <c r="D556" s="308"/>
      <c r="E556" s="308"/>
      <c r="F556" s="308"/>
      <c r="G556" s="308"/>
      <c r="H556" s="308"/>
      <c r="I556" s="308"/>
      <c r="J556" s="308"/>
      <c r="K556" s="308"/>
      <c r="L556" s="308"/>
      <c r="M556" s="308"/>
      <c r="N556" s="308"/>
      <c r="O556" s="308"/>
      <c r="P556" s="308"/>
      <c r="Q556" s="308"/>
      <c r="R556" s="308"/>
      <c r="S556" s="308"/>
      <c r="T556" s="308"/>
      <c r="U556" s="308"/>
      <c r="V556" s="308"/>
      <c r="W556" s="308"/>
      <c r="X556" s="308"/>
      <c r="Y556" s="308"/>
      <c r="Z556" s="308"/>
    </row>
    <row r="557" ht="15.75" customHeight="1">
      <c r="A557" s="308"/>
      <c r="B557" s="524"/>
      <c r="C557" s="308"/>
      <c r="D557" s="308"/>
      <c r="E557" s="308"/>
      <c r="F557" s="308"/>
      <c r="G557" s="308"/>
      <c r="H557" s="308"/>
      <c r="I557" s="308"/>
      <c r="J557" s="308"/>
      <c r="K557" s="308"/>
      <c r="L557" s="308"/>
      <c r="M557" s="308"/>
      <c r="N557" s="308"/>
      <c r="O557" s="308"/>
      <c r="P557" s="308"/>
      <c r="Q557" s="308"/>
      <c r="R557" s="308"/>
      <c r="S557" s="308"/>
      <c r="T557" s="308"/>
      <c r="U557" s="308"/>
      <c r="V557" s="308"/>
      <c r="W557" s="308"/>
      <c r="X557" s="308"/>
      <c r="Y557" s="308"/>
      <c r="Z557" s="308"/>
    </row>
    <row r="558" ht="15.75" customHeight="1">
      <c r="A558" s="308"/>
      <c r="B558" s="524"/>
      <c r="C558" s="308"/>
      <c r="D558" s="308"/>
      <c r="E558" s="308"/>
      <c r="F558" s="308"/>
      <c r="G558" s="308"/>
      <c r="H558" s="308"/>
      <c r="I558" s="308"/>
      <c r="J558" s="308"/>
      <c r="K558" s="308"/>
      <c r="L558" s="308"/>
      <c r="M558" s="308"/>
      <c r="N558" s="308"/>
      <c r="O558" s="308"/>
      <c r="P558" s="308"/>
      <c r="Q558" s="308"/>
      <c r="R558" s="308"/>
      <c r="S558" s="308"/>
      <c r="T558" s="308"/>
      <c r="U558" s="308"/>
      <c r="V558" s="308"/>
      <c r="W558" s="308"/>
      <c r="X558" s="308"/>
      <c r="Y558" s="308"/>
      <c r="Z558" s="308"/>
    </row>
    <row r="559" ht="15.75" customHeight="1">
      <c r="A559" s="308"/>
      <c r="B559" s="524"/>
      <c r="C559" s="308"/>
      <c r="D559" s="308"/>
      <c r="E559" s="308"/>
      <c r="F559" s="308"/>
      <c r="G559" s="308"/>
      <c r="H559" s="308"/>
      <c r="I559" s="308"/>
      <c r="J559" s="308"/>
      <c r="K559" s="308"/>
      <c r="L559" s="308"/>
      <c r="M559" s="308"/>
      <c r="N559" s="308"/>
      <c r="O559" s="308"/>
      <c r="P559" s="308"/>
      <c r="Q559" s="308"/>
      <c r="R559" s="308"/>
      <c r="S559" s="308"/>
      <c r="T559" s="308"/>
      <c r="U559" s="308"/>
      <c r="V559" s="308"/>
      <c r="W559" s="308"/>
      <c r="X559" s="308"/>
      <c r="Y559" s="308"/>
      <c r="Z559" s="308"/>
    </row>
    <row r="560" ht="15.75" customHeight="1">
      <c r="A560" s="308"/>
      <c r="B560" s="524"/>
      <c r="C560" s="308"/>
      <c r="D560" s="308"/>
      <c r="E560" s="308"/>
      <c r="F560" s="308"/>
      <c r="G560" s="308"/>
      <c r="H560" s="308"/>
      <c r="I560" s="308"/>
      <c r="J560" s="308"/>
      <c r="K560" s="308"/>
      <c r="L560" s="308"/>
      <c r="M560" s="308"/>
      <c r="N560" s="308"/>
      <c r="O560" s="308"/>
      <c r="P560" s="308"/>
      <c r="Q560" s="308"/>
      <c r="R560" s="308"/>
      <c r="S560" s="308"/>
      <c r="T560" s="308"/>
      <c r="U560" s="308"/>
      <c r="V560" s="308"/>
      <c r="W560" s="308"/>
      <c r="X560" s="308"/>
      <c r="Y560" s="308"/>
      <c r="Z560" s="308"/>
    </row>
    <row r="561" ht="15.75" customHeight="1">
      <c r="A561" s="308"/>
      <c r="B561" s="524"/>
      <c r="C561" s="308"/>
      <c r="D561" s="308"/>
      <c r="E561" s="308"/>
      <c r="F561" s="308"/>
      <c r="G561" s="308"/>
      <c r="H561" s="308"/>
      <c r="I561" s="308"/>
      <c r="J561" s="308"/>
      <c r="K561" s="308"/>
      <c r="L561" s="308"/>
      <c r="M561" s="308"/>
      <c r="N561" s="308"/>
      <c r="O561" s="308"/>
      <c r="P561" s="308"/>
      <c r="Q561" s="308"/>
      <c r="R561" s="308"/>
      <c r="S561" s="308"/>
      <c r="T561" s="308"/>
      <c r="U561" s="308"/>
      <c r="V561" s="308"/>
      <c r="W561" s="308"/>
      <c r="X561" s="308"/>
      <c r="Y561" s="308"/>
      <c r="Z561" s="308"/>
    </row>
    <row r="562" ht="15.75" customHeight="1">
      <c r="A562" s="308"/>
      <c r="B562" s="524"/>
      <c r="C562" s="308"/>
      <c r="D562" s="308"/>
      <c r="E562" s="308"/>
      <c r="F562" s="308"/>
      <c r="G562" s="308"/>
      <c r="H562" s="308"/>
      <c r="I562" s="308"/>
      <c r="J562" s="308"/>
      <c r="K562" s="308"/>
      <c r="L562" s="308"/>
      <c r="M562" s="308"/>
      <c r="N562" s="308"/>
      <c r="O562" s="308"/>
      <c r="P562" s="308"/>
      <c r="Q562" s="308"/>
      <c r="R562" s="308"/>
      <c r="S562" s="308"/>
      <c r="T562" s="308"/>
      <c r="U562" s="308"/>
      <c r="V562" s="308"/>
      <c r="W562" s="308"/>
      <c r="X562" s="308"/>
      <c r="Y562" s="308"/>
      <c r="Z562" s="308"/>
    </row>
    <row r="563" ht="15.75" customHeight="1">
      <c r="A563" s="308"/>
      <c r="B563" s="524"/>
      <c r="C563" s="308"/>
      <c r="D563" s="308"/>
      <c r="E563" s="308"/>
      <c r="F563" s="308"/>
      <c r="G563" s="308"/>
      <c r="H563" s="308"/>
      <c r="I563" s="308"/>
      <c r="J563" s="308"/>
      <c r="K563" s="308"/>
      <c r="L563" s="308"/>
      <c r="M563" s="308"/>
      <c r="N563" s="308"/>
      <c r="O563" s="308"/>
      <c r="P563" s="308"/>
      <c r="Q563" s="308"/>
      <c r="R563" s="308"/>
      <c r="S563" s="308"/>
      <c r="T563" s="308"/>
      <c r="U563" s="308"/>
      <c r="V563" s="308"/>
      <c r="W563" s="308"/>
      <c r="X563" s="308"/>
      <c r="Y563" s="308"/>
      <c r="Z563" s="308"/>
    </row>
    <row r="564" ht="15.75" customHeight="1">
      <c r="A564" s="308"/>
      <c r="B564" s="524"/>
      <c r="C564" s="308"/>
      <c r="D564" s="308"/>
      <c r="E564" s="308"/>
      <c r="F564" s="308"/>
      <c r="G564" s="308"/>
      <c r="H564" s="308"/>
      <c r="I564" s="308"/>
      <c r="J564" s="308"/>
      <c r="K564" s="308"/>
      <c r="L564" s="308"/>
      <c r="M564" s="308"/>
      <c r="N564" s="308"/>
      <c r="O564" s="308"/>
      <c r="P564" s="308"/>
      <c r="Q564" s="308"/>
      <c r="R564" s="308"/>
      <c r="S564" s="308"/>
      <c r="T564" s="308"/>
      <c r="U564" s="308"/>
      <c r="V564" s="308"/>
      <c r="W564" s="308"/>
      <c r="X564" s="308"/>
      <c r="Y564" s="308"/>
      <c r="Z564" s="308"/>
    </row>
    <row r="565" ht="15.75" customHeight="1">
      <c r="A565" s="308"/>
      <c r="B565" s="524"/>
      <c r="C565" s="308"/>
      <c r="D565" s="308"/>
      <c r="E565" s="308"/>
      <c r="F565" s="308"/>
      <c r="G565" s="308"/>
      <c r="H565" s="308"/>
      <c r="I565" s="308"/>
      <c r="J565" s="308"/>
      <c r="K565" s="308"/>
      <c r="L565" s="308"/>
      <c r="M565" s="308"/>
      <c r="N565" s="308"/>
      <c r="O565" s="308"/>
      <c r="P565" s="308"/>
      <c r="Q565" s="308"/>
      <c r="R565" s="308"/>
      <c r="S565" s="308"/>
      <c r="T565" s="308"/>
      <c r="U565" s="308"/>
      <c r="V565" s="308"/>
      <c r="W565" s="308"/>
      <c r="X565" s="308"/>
      <c r="Y565" s="308"/>
      <c r="Z565" s="308"/>
    </row>
    <row r="566" ht="15.75" customHeight="1">
      <c r="A566" s="308"/>
      <c r="B566" s="524"/>
      <c r="C566" s="308"/>
      <c r="D566" s="308"/>
      <c r="E566" s="308"/>
      <c r="F566" s="308"/>
      <c r="G566" s="308"/>
      <c r="H566" s="308"/>
      <c r="I566" s="308"/>
      <c r="J566" s="308"/>
      <c r="K566" s="308"/>
      <c r="L566" s="308"/>
      <c r="M566" s="308"/>
      <c r="N566" s="308"/>
      <c r="O566" s="308"/>
      <c r="P566" s="308"/>
      <c r="Q566" s="308"/>
      <c r="R566" s="308"/>
      <c r="S566" s="308"/>
      <c r="T566" s="308"/>
      <c r="U566" s="308"/>
      <c r="V566" s="308"/>
      <c r="W566" s="308"/>
      <c r="X566" s="308"/>
      <c r="Y566" s="308"/>
      <c r="Z566" s="308"/>
    </row>
    <row r="567" ht="15.75" customHeight="1">
      <c r="A567" s="308"/>
      <c r="B567" s="524"/>
      <c r="C567" s="308"/>
      <c r="D567" s="308"/>
      <c r="E567" s="308"/>
      <c r="F567" s="308"/>
      <c r="G567" s="308"/>
      <c r="H567" s="308"/>
      <c r="I567" s="308"/>
      <c r="J567" s="308"/>
      <c r="K567" s="308"/>
      <c r="L567" s="308"/>
      <c r="M567" s="308"/>
      <c r="N567" s="308"/>
      <c r="O567" s="308"/>
      <c r="P567" s="308"/>
      <c r="Q567" s="308"/>
      <c r="R567" s="308"/>
      <c r="S567" s="308"/>
      <c r="T567" s="308"/>
      <c r="U567" s="308"/>
      <c r="V567" s="308"/>
      <c r="W567" s="308"/>
      <c r="X567" s="308"/>
      <c r="Y567" s="308"/>
      <c r="Z567" s="308"/>
    </row>
    <row r="568" ht="15.75" customHeight="1">
      <c r="A568" s="308"/>
      <c r="B568" s="524"/>
      <c r="C568" s="308"/>
      <c r="D568" s="308"/>
      <c r="E568" s="308"/>
      <c r="F568" s="308"/>
      <c r="G568" s="308"/>
      <c r="H568" s="308"/>
      <c r="I568" s="308"/>
      <c r="J568" s="308"/>
      <c r="K568" s="308"/>
      <c r="L568" s="308"/>
      <c r="M568" s="308"/>
      <c r="N568" s="308"/>
      <c r="O568" s="308"/>
      <c r="P568" s="308"/>
      <c r="Q568" s="308"/>
      <c r="R568" s="308"/>
      <c r="S568" s="308"/>
      <c r="T568" s="308"/>
      <c r="U568" s="308"/>
      <c r="V568" s="308"/>
      <c r="W568" s="308"/>
      <c r="X568" s="308"/>
      <c r="Y568" s="308"/>
      <c r="Z568" s="308"/>
    </row>
    <row r="569" ht="15.75" customHeight="1">
      <c r="A569" s="308"/>
      <c r="B569" s="524"/>
      <c r="C569" s="308"/>
      <c r="D569" s="308"/>
      <c r="E569" s="308"/>
      <c r="F569" s="308"/>
      <c r="G569" s="308"/>
      <c r="H569" s="308"/>
      <c r="I569" s="308"/>
      <c r="J569" s="308"/>
      <c r="K569" s="308"/>
      <c r="L569" s="308"/>
      <c r="M569" s="308"/>
      <c r="N569" s="308"/>
      <c r="O569" s="308"/>
      <c r="P569" s="308"/>
      <c r="Q569" s="308"/>
      <c r="R569" s="308"/>
      <c r="S569" s="308"/>
      <c r="T569" s="308"/>
      <c r="U569" s="308"/>
      <c r="V569" s="308"/>
      <c r="W569" s="308"/>
      <c r="X569" s="308"/>
      <c r="Y569" s="308"/>
      <c r="Z569" s="308"/>
    </row>
    <row r="570" ht="15.75" customHeight="1">
      <c r="A570" s="308"/>
      <c r="B570" s="524"/>
      <c r="C570" s="308"/>
      <c r="D570" s="308"/>
      <c r="E570" s="308"/>
      <c r="F570" s="308"/>
      <c r="G570" s="308"/>
      <c r="H570" s="308"/>
      <c r="I570" s="308"/>
      <c r="J570" s="308"/>
      <c r="K570" s="308"/>
      <c r="L570" s="308"/>
      <c r="M570" s="308"/>
      <c r="N570" s="308"/>
      <c r="O570" s="308"/>
      <c r="P570" s="308"/>
      <c r="Q570" s="308"/>
      <c r="R570" s="308"/>
      <c r="S570" s="308"/>
      <c r="T570" s="308"/>
      <c r="U570" s="308"/>
      <c r="V570" s="308"/>
      <c r="W570" s="308"/>
      <c r="X570" s="308"/>
      <c r="Y570" s="308"/>
      <c r="Z570" s="308"/>
    </row>
    <row r="571" ht="15.75" customHeight="1">
      <c r="A571" s="308"/>
      <c r="B571" s="524"/>
      <c r="C571" s="308"/>
      <c r="D571" s="308"/>
      <c r="E571" s="308"/>
      <c r="F571" s="308"/>
      <c r="G571" s="308"/>
      <c r="H571" s="308"/>
      <c r="I571" s="308"/>
      <c r="J571" s="308"/>
      <c r="K571" s="308"/>
      <c r="L571" s="308"/>
      <c r="M571" s="308"/>
      <c r="N571" s="308"/>
      <c r="O571" s="308"/>
      <c r="P571" s="308"/>
      <c r="Q571" s="308"/>
      <c r="R571" s="308"/>
      <c r="S571" s="308"/>
      <c r="T571" s="308"/>
      <c r="U571" s="308"/>
      <c r="V571" s="308"/>
      <c r="W571" s="308"/>
      <c r="X571" s="308"/>
      <c r="Y571" s="308"/>
      <c r="Z571" s="308"/>
    </row>
    <row r="572" ht="15.75" customHeight="1">
      <c r="A572" s="308"/>
      <c r="B572" s="524"/>
      <c r="C572" s="308"/>
      <c r="D572" s="308"/>
      <c r="E572" s="308"/>
      <c r="F572" s="308"/>
      <c r="G572" s="308"/>
      <c r="H572" s="308"/>
      <c r="I572" s="308"/>
      <c r="J572" s="308"/>
      <c r="K572" s="308"/>
      <c r="L572" s="308"/>
      <c r="M572" s="308"/>
      <c r="N572" s="308"/>
      <c r="O572" s="308"/>
      <c r="P572" s="308"/>
      <c r="Q572" s="308"/>
      <c r="R572" s="308"/>
      <c r="S572" s="308"/>
      <c r="T572" s="308"/>
      <c r="U572" s="308"/>
      <c r="V572" s="308"/>
      <c r="W572" s="308"/>
      <c r="X572" s="308"/>
      <c r="Y572" s="308"/>
      <c r="Z572" s="308"/>
    </row>
    <row r="573" ht="15.75" customHeight="1">
      <c r="A573" s="308"/>
      <c r="B573" s="524"/>
      <c r="C573" s="308"/>
      <c r="D573" s="308"/>
      <c r="E573" s="308"/>
      <c r="F573" s="308"/>
      <c r="G573" s="308"/>
      <c r="H573" s="308"/>
      <c r="I573" s="308"/>
      <c r="J573" s="308"/>
      <c r="K573" s="308"/>
      <c r="L573" s="308"/>
      <c r="M573" s="308"/>
      <c r="N573" s="308"/>
      <c r="O573" s="308"/>
      <c r="P573" s="308"/>
      <c r="Q573" s="308"/>
      <c r="R573" s="308"/>
      <c r="S573" s="308"/>
      <c r="T573" s="308"/>
      <c r="U573" s="308"/>
      <c r="V573" s="308"/>
      <c r="W573" s="308"/>
      <c r="X573" s="308"/>
      <c r="Y573" s="308"/>
      <c r="Z573" s="308"/>
    </row>
    <row r="574" ht="15.75" customHeight="1">
      <c r="A574" s="308"/>
      <c r="B574" s="524"/>
      <c r="C574" s="308"/>
      <c r="D574" s="308"/>
      <c r="E574" s="308"/>
      <c r="F574" s="308"/>
      <c r="G574" s="308"/>
      <c r="H574" s="308"/>
      <c r="I574" s="308"/>
      <c r="J574" s="308"/>
      <c r="K574" s="308"/>
      <c r="L574" s="308"/>
      <c r="M574" s="308"/>
      <c r="N574" s="308"/>
      <c r="O574" s="308"/>
      <c r="P574" s="308"/>
      <c r="Q574" s="308"/>
      <c r="R574" s="308"/>
      <c r="S574" s="308"/>
      <c r="T574" s="308"/>
      <c r="U574" s="308"/>
      <c r="V574" s="308"/>
      <c r="W574" s="308"/>
      <c r="X574" s="308"/>
      <c r="Y574" s="308"/>
      <c r="Z574" s="308"/>
    </row>
    <row r="575" ht="15.75" customHeight="1">
      <c r="A575" s="308"/>
      <c r="B575" s="524"/>
      <c r="C575" s="308"/>
      <c r="D575" s="308"/>
      <c r="E575" s="308"/>
      <c r="F575" s="308"/>
      <c r="G575" s="308"/>
      <c r="H575" s="308"/>
      <c r="I575" s="308"/>
      <c r="J575" s="308"/>
      <c r="K575" s="308"/>
      <c r="L575" s="308"/>
      <c r="M575" s="308"/>
      <c r="N575" s="308"/>
      <c r="O575" s="308"/>
      <c r="P575" s="308"/>
      <c r="Q575" s="308"/>
      <c r="R575" s="308"/>
      <c r="S575" s="308"/>
      <c r="T575" s="308"/>
      <c r="U575" s="308"/>
      <c r="V575" s="308"/>
      <c r="W575" s="308"/>
      <c r="X575" s="308"/>
      <c r="Y575" s="308"/>
      <c r="Z575" s="308"/>
    </row>
    <row r="576" ht="15.75" customHeight="1">
      <c r="A576" s="308"/>
      <c r="B576" s="524"/>
      <c r="C576" s="308"/>
      <c r="D576" s="308"/>
      <c r="E576" s="308"/>
      <c r="F576" s="308"/>
      <c r="G576" s="308"/>
      <c r="H576" s="308"/>
      <c r="I576" s="308"/>
      <c r="J576" s="308"/>
      <c r="K576" s="308"/>
      <c r="L576" s="308"/>
      <c r="M576" s="308"/>
      <c r="N576" s="308"/>
      <c r="O576" s="308"/>
      <c r="P576" s="308"/>
      <c r="Q576" s="308"/>
      <c r="R576" s="308"/>
      <c r="S576" s="308"/>
      <c r="T576" s="308"/>
      <c r="U576" s="308"/>
      <c r="V576" s="308"/>
      <c r="W576" s="308"/>
      <c r="X576" s="308"/>
      <c r="Y576" s="308"/>
      <c r="Z576" s="308"/>
    </row>
    <row r="577" ht="15.75" customHeight="1">
      <c r="A577" s="308"/>
      <c r="B577" s="524"/>
      <c r="C577" s="308"/>
      <c r="D577" s="308"/>
      <c r="E577" s="308"/>
      <c r="F577" s="308"/>
      <c r="G577" s="308"/>
      <c r="H577" s="308"/>
      <c r="I577" s="308"/>
      <c r="J577" s="308"/>
      <c r="K577" s="308"/>
      <c r="L577" s="308"/>
      <c r="M577" s="308"/>
      <c r="N577" s="308"/>
      <c r="O577" s="308"/>
      <c r="P577" s="308"/>
      <c r="Q577" s="308"/>
      <c r="R577" s="308"/>
      <c r="S577" s="308"/>
      <c r="T577" s="308"/>
      <c r="U577" s="308"/>
      <c r="V577" s="308"/>
      <c r="W577" s="308"/>
      <c r="X577" s="308"/>
      <c r="Y577" s="308"/>
      <c r="Z577" s="308"/>
    </row>
    <row r="578" ht="15.75" customHeight="1">
      <c r="A578" s="308"/>
      <c r="B578" s="524"/>
      <c r="C578" s="308"/>
      <c r="D578" s="308"/>
      <c r="E578" s="308"/>
      <c r="F578" s="308"/>
      <c r="G578" s="308"/>
      <c r="H578" s="308"/>
      <c r="I578" s="308"/>
      <c r="J578" s="308"/>
      <c r="K578" s="308"/>
      <c r="L578" s="308"/>
      <c r="M578" s="308"/>
      <c r="N578" s="308"/>
      <c r="O578" s="308"/>
      <c r="P578" s="308"/>
      <c r="Q578" s="308"/>
      <c r="R578" s="308"/>
      <c r="S578" s="308"/>
      <c r="T578" s="308"/>
      <c r="U578" s="308"/>
      <c r="V578" s="308"/>
      <c r="W578" s="308"/>
      <c r="X578" s="308"/>
      <c r="Y578" s="308"/>
      <c r="Z578" s="308"/>
    </row>
    <row r="579" ht="15.75" customHeight="1">
      <c r="A579" s="308"/>
      <c r="B579" s="524"/>
      <c r="C579" s="308"/>
      <c r="D579" s="308"/>
      <c r="E579" s="308"/>
      <c r="F579" s="308"/>
      <c r="G579" s="308"/>
      <c r="H579" s="308"/>
      <c r="I579" s="308"/>
      <c r="J579" s="308"/>
      <c r="K579" s="308"/>
      <c r="L579" s="308"/>
      <c r="M579" s="308"/>
      <c r="N579" s="308"/>
      <c r="O579" s="308"/>
      <c r="P579" s="308"/>
      <c r="Q579" s="308"/>
      <c r="R579" s="308"/>
      <c r="S579" s="308"/>
      <c r="T579" s="308"/>
      <c r="U579" s="308"/>
      <c r="V579" s="308"/>
      <c r="W579" s="308"/>
      <c r="X579" s="308"/>
      <c r="Y579" s="308"/>
      <c r="Z579" s="308"/>
    </row>
    <row r="580" ht="15.75" customHeight="1">
      <c r="A580" s="308"/>
      <c r="B580" s="524"/>
      <c r="C580" s="308"/>
      <c r="D580" s="308"/>
      <c r="E580" s="308"/>
      <c r="F580" s="308"/>
      <c r="G580" s="308"/>
      <c r="H580" s="308"/>
      <c r="I580" s="308"/>
      <c r="J580" s="308"/>
      <c r="K580" s="308"/>
      <c r="L580" s="308"/>
      <c r="M580" s="308"/>
      <c r="N580" s="308"/>
      <c r="O580" s="308"/>
      <c r="P580" s="308"/>
      <c r="Q580" s="308"/>
      <c r="R580" s="308"/>
      <c r="S580" s="308"/>
      <c r="T580" s="308"/>
      <c r="U580" s="308"/>
      <c r="V580" s="308"/>
      <c r="W580" s="308"/>
      <c r="X580" s="308"/>
      <c r="Y580" s="308"/>
      <c r="Z580" s="308"/>
    </row>
    <row r="581" ht="15.75" customHeight="1">
      <c r="A581" s="308"/>
      <c r="B581" s="524"/>
      <c r="C581" s="308"/>
      <c r="D581" s="308"/>
      <c r="E581" s="308"/>
      <c r="F581" s="308"/>
      <c r="G581" s="308"/>
      <c r="H581" s="308"/>
      <c r="I581" s="308"/>
      <c r="J581" s="308"/>
      <c r="K581" s="308"/>
      <c r="L581" s="308"/>
      <c r="M581" s="308"/>
      <c r="N581" s="308"/>
      <c r="O581" s="308"/>
      <c r="P581" s="308"/>
      <c r="Q581" s="308"/>
      <c r="R581" s="308"/>
      <c r="S581" s="308"/>
      <c r="T581" s="308"/>
      <c r="U581" s="308"/>
      <c r="V581" s="308"/>
      <c r="W581" s="308"/>
      <c r="X581" s="308"/>
      <c r="Y581" s="308"/>
      <c r="Z581" s="308"/>
    </row>
    <row r="582" ht="15.75" customHeight="1">
      <c r="A582" s="308"/>
      <c r="B582" s="524"/>
      <c r="C582" s="308"/>
      <c r="D582" s="308"/>
      <c r="E582" s="308"/>
      <c r="F582" s="308"/>
      <c r="G582" s="308"/>
      <c r="H582" s="308"/>
      <c r="I582" s="308"/>
      <c r="J582" s="308"/>
      <c r="K582" s="308"/>
      <c r="L582" s="308"/>
      <c r="M582" s="308"/>
      <c r="N582" s="308"/>
      <c r="O582" s="308"/>
      <c r="P582" s="308"/>
      <c r="Q582" s="308"/>
      <c r="R582" s="308"/>
      <c r="S582" s="308"/>
      <c r="T582" s="308"/>
      <c r="U582" s="308"/>
      <c r="V582" s="308"/>
      <c r="W582" s="308"/>
      <c r="X582" s="308"/>
      <c r="Y582" s="308"/>
      <c r="Z582" s="308"/>
    </row>
    <row r="583" ht="15.75" customHeight="1">
      <c r="A583" s="308"/>
      <c r="B583" s="524"/>
      <c r="C583" s="308"/>
      <c r="D583" s="308"/>
      <c r="E583" s="308"/>
      <c r="F583" s="308"/>
      <c r="G583" s="308"/>
      <c r="H583" s="308"/>
      <c r="I583" s="308"/>
      <c r="J583" s="308"/>
      <c r="K583" s="308"/>
      <c r="L583" s="308"/>
      <c r="M583" s="308"/>
      <c r="N583" s="308"/>
      <c r="O583" s="308"/>
      <c r="P583" s="308"/>
      <c r="Q583" s="308"/>
      <c r="R583" s="308"/>
      <c r="S583" s="308"/>
      <c r="T583" s="308"/>
      <c r="U583" s="308"/>
      <c r="V583" s="308"/>
      <c r="W583" s="308"/>
      <c r="X583" s="308"/>
      <c r="Y583" s="308"/>
      <c r="Z583" s="308"/>
    </row>
    <row r="584" ht="15.75" customHeight="1">
      <c r="A584" s="308"/>
      <c r="B584" s="524"/>
      <c r="C584" s="308"/>
      <c r="D584" s="308"/>
      <c r="E584" s="308"/>
      <c r="F584" s="308"/>
      <c r="G584" s="308"/>
      <c r="H584" s="308"/>
      <c r="I584" s="308"/>
      <c r="J584" s="308"/>
      <c r="K584" s="308"/>
      <c r="L584" s="308"/>
      <c r="M584" s="308"/>
      <c r="N584" s="308"/>
      <c r="O584" s="308"/>
      <c r="P584" s="308"/>
      <c r="Q584" s="308"/>
      <c r="R584" s="308"/>
      <c r="S584" s="308"/>
      <c r="T584" s="308"/>
      <c r="U584" s="308"/>
      <c r="V584" s="308"/>
      <c r="W584" s="308"/>
      <c r="X584" s="308"/>
      <c r="Y584" s="308"/>
      <c r="Z584" s="308"/>
    </row>
    <row r="585" ht="15.75" customHeight="1">
      <c r="A585" s="308"/>
      <c r="B585" s="524"/>
      <c r="C585" s="308"/>
      <c r="D585" s="308"/>
      <c r="E585" s="308"/>
      <c r="F585" s="308"/>
      <c r="G585" s="308"/>
      <c r="H585" s="308"/>
      <c r="I585" s="308"/>
      <c r="J585" s="308"/>
      <c r="K585" s="308"/>
      <c r="L585" s="308"/>
      <c r="M585" s="308"/>
      <c r="N585" s="308"/>
      <c r="O585" s="308"/>
      <c r="P585" s="308"/>
      <c r="Q585" s="308"/>
      <c r="R585" s="308"/>
      <c r="S585" s="308"/>
      <c r="T585" s="308"/>
      <c r="U585" s="308"/>
      <c r="V585" s="308"/>
      <c r="W585" s="308"/>
      <c r="X585" s="308"/>
      <c r="Y585" s="308"/>
      <c r="Z585" s="308"/>
    </row>
    <row r="586" ht="15.75" customHeight="1">
      <c r="A586" s="308"/>
      <c r="B586" s="524"/>
      <c r="C586" s="308"/>
      <c r="D586" s="308"/>
      <c r="E586" s="308"/>
      <c r="F586" s="308"/>
      <c r="G586" s="308"/>
      <c r="H586" s="308"/>
      <c r="I586" s="308"/>
      <c r="J586" s="308"/>
      <c r="K586" s="308"/>
      <c r="L586" s="308"/>
      <c r="M586" s="308"/>
      <c r="N586" s="308"/>
      <c r="O586" s="308"/>
      <c r="P586" s="308"/>
      <c r="Q586" s="308"/>
      <c r="R586" s="308"/>
      <c r="S586" s="308"/>
      <c r="T586" s="308"/>
      <c r="U586" s="308"/>
      <c r="V586" s="308"/>
      <c r="W586" s="308"/>
      <c r="X586" s="308"/>
      <c r="Y586" s="308"/>
      <c r="Z586" s="308"/>
    </row>
    <row r="587" ht="15.75" customHeight="1">
      <c r="A587" s="308"/>
      <c r="B587" s="524"/>
      <c r="C587" s="308"/>
      <c r="D587" s="308"/>
      <c r="E587" s="308"/>
      <c r="F587" s="308"/>
      <c r="G587" s="308"/>
      <c r="H587" s="308"/>
      <c r="I587" s="308"/>
      <c r="J587" s="308"/>
      <c r="K587" s="308"/>
      <c r="L587" s="308"/>
      <c r="M587" s="308"/>
      <c r="N587" s="308"/>
      <c r="O587" s="308"/>
      <c r="P587" s="308"/>
      <c r="Q587" s="308"/>
      <c r="R587" s="308"/>
      <c r="S587" s="308"/>
      <c r="T587" s="308"/>
      <c r="U587" s="308"/>
      <c r="V587" s="308"/>
      <c r="W587" s="308"/>
      <c r="X587" s="308"/>
      <c r="Y587" s="308"/>
      <c r="Z587" s="308"/>
    </row>
    <row r="588" ht="15.75" customHeight="1">
      <c r="A588" s="308"/>
      <c r="B588" s="524"/>
      <c r="C588" s="308"/>
      <c r="D588" s="308"/>
      <c r="E588" s="308"/>
      <c r="F588" s="308"/>
      <c r="G588" s="308"/>
      <c r="H588" s="308"/>
      <c r="I588" s="308"/>
      <c r="J588" s="308"/>
      <c r="K588" s="308"/>
      <c r="L588" s="308"/>
      <c r="M588" s="308"/>
      <c r="N588" s="308"/>
      <c r="O588" s="308"/>
      <c r="P588" s="308"/>
      <c r="Q588" s="308"/>
      <c r="R588" s="308"/>
      <c r="S588" s="308"/>
      <c r="T588" s="308"/>
      <c r="U588" s="308"/>
      <c r="V588" s="308"/>
      <c r="W588" s="308"/>
      <c r="X588" s="308"/>
      <c r="Y588" s="308"/>
      <c r="Z588" s="308"/>
    </row>
    <row r="589" ht="15.75" customHeight="1">
      <c r="A589" s="308"/>
      <c r="B589" s="524"/>
      <c r="C589" s="308"/>
      <c r="D589" s="308"/>
      <c r="E589" s="308"/>
      <c r="F589" s="308"/>
      <c r="G589" s="308"/>
      <c r="H589" s="308"/>
      <c r="I589" s="308"/>
      <c r="J589" s="308"/>
      <c r="K589" s="308"/>
      <c r="L589" s="308"/>
      <c r="M589" s="308"/>
      <c r="N589" s="308"/>
      <c r="O589" s="308"/>
      <c r="P589" s="308"/>
      <c r="Q589" s="308"/>
      <c r="R589" s="308"/>
      <c r="S589" s="308"/>
      <c r="T589" s="308"/>
      <c r="U589" s="308"/>
      <c r="V589" s="308"/>
      <c r="W589" s="308"/>
      <c r="X589" s="308"/>
      <c r="Y589" s="308"/>
      <c r="Z589" s="308"/>
    </row>
    <row r="590" ht="15.75" customHeight="1">
      <c r="A590" s="308"/>
      <c r="B590" s="524"/>
      <c r="C590" s="308"/>
      <c r="D590" s="308"/>
      <c r="E590" s="308"/>
      <c r="F590" s="308"/>
      <c r="G590" s="308"/>
      <c r="H590" s="308"/>
      <c r="I590" s="308"/>
      <c r="J590" s="308"/>
      <c r="K590" s="308"/>
      <c r="L590" s="308"/>
      <c r="M590" s="308"/>
      <c r="N590" s="308"/>
      <c r="O590" s="308"/>
      <c r="P590" s="308"/>
      <c r="Q590" s="308"/>
      <c r="R590" s="308"/>
      <c r="S590" s="308"/>
      <c r="T590" s="308"/>
      <c r="U590" s="308"/>
      <c r="V590" s="308"/>
      <c r="W590" s="308"/>
      <c r="X590" s="308"/>
      <c r="Y590" s="308"/>
      <c r="Z590" s="308"/>
    </row>
    <row r="591" ht="15.75" customHeight="1">
      <c r="A591" s="308"/>
      <c r="B591" s="524"/>
      <c r="C591" s="308"/>
      <c r="D591" s="308"/>
      <c r="E591" s="308"/>
      <c r="F591" s="308"/>
      <c r="G591" s="308"/>
      <c r="H591" s="308"/>
      <c r="I591" s="308"/>
      <c r="J591" s="308"/>
      <c r="K591" s="308"/>
      <c r="L591" s="308"/>
      <c r="M591" s="308"/>
      <c r="N591" s="308"/>
      <c r="O591" s="308"/>
      <c r="P591" s="308"/>
      <c r="Q591" s="308"/>
      <c r="R591" s="308"/>
      <c r="S591" s="308"/>
      <c r="T591" s="308"/>
      <c r="U591" s="308"/>
      <c r="V591" s="308"/>
      <c r="W591" s="308"/>
      <c r="X591" s="308"/>
      <c r="Y591" s="308"/>
      <c r="Z591" s="308"/>
    </row>
    <row r="592" ht="15.75" customHeight="1">
      <c r="A592" s="308"/>
      <c r="B592" s="524"/>
      <c r="C592" s="308"/>
      <c r="D592" s="308"/>
      <c r="E592" s="308"/>
      <c r="F592" s="308"/>
      <c r="G592" s="308"/>
      <c r="H592" s="308"/>
      <c r="I592" s="308"/>
      <c r="J592" s="308"/>
      <c r="K592" s="308"/>
      <c r="L592" s="308"/>
      <c r="M592" s="308"/>
      <c r="N592" s="308"/>
      <c r="O592" s="308"/>
      <c r="P592" s="308"/>
      <c r="Q592" s="308"/>
      <c r="R592" s="308"/>
      <c r="S592" s="308"/>
      <c r="T592" s="308"/>
      <c r="U592" s="308"/>
      <c r="V592" s="308"/>
      <c r="W592" s="308"/>
      <c r="X592" s="308"/>
      <c r="Y592" s="308"/>
      <c r="Z592" s="308"/>
    </row>
    <row r="593" ht="15.75" customHeight="1">
      <c r="A593" s="308"/>
      <c r="B593" s="524"/>
      <c r="C593" s="308"/>
      <c r="D593" s="308"/>
      <c r="E593" s="308"/>
      <c r="F593" s="308"/>
      <c r="G593" s="308"/>
      <c r="H593" s="308"/>
      <c r="I593" s="308"/>
      <c r="J593" s="308"/>
      <c r="K593" s="308"/>
      <c r="L593" s="308"/>
      <c r="M593" s="308"/>
      <c r="N593" s="308"/>
      <c r="O593" s="308"/>
      <c r="P593" s="308"/>
      <c r="Q593" s="308"/>
      <c r="R593" s="308"/>
      <c r="S593" s="308"/>
      <c r="T593" s="308"/>
      <c r="U593" s="308"/>
      <c r="V593" s="308"/>
      <c r="W593" s="308"/>
      <c r="X593" s="308"/>
      <c r="Y593" s="308"/>
      <c r="Z593" s="308"/>
    </row>
    <row r="594" ht="15.75" customHeight="1">
      <c r="A594" s="308"/>
      <c r="B594" s="524"/>
      <c r="C594" s="308"/>
      <c r="D594" s="308"/>
      <c r="E594" s="308"/>
      <c r="F594" s="308"/>
      <c r="G594" s="308"/>
      <c r="H594" s="308"/>
      <c r="I594" s="308"/>
      <c r="J594" s="308"/>
      <c r="K594" s="308"/>
      <c r="L594" s="308"/>
      <c r="M594" s="308"/>
      <c r="N594" s="308"/>
      <c r="O594" s="308"/>
      <c r="P594" s="308"/>
      <c r="Q594" s="308"/>
      <c r="R594" s="308"/>
      <c r="S594" s="308"/>
      <c r="T594" s="308"/>
      <c r="U594" s="308"/>
      <c r="V594" s="308"/>
      <c r="W594" s="308"/>
      <c r="X594" s="308"/>
      <c r="Y594" s="308"/>
      <c r="Z594" s="308"/>
    </row>
    <row r="595" ht="15.75" customHeight="1">
      <c r="A595" s="308"/>
      <c r="B595" s="524"/>
      <c r="C595" s="308"/>
      <c r="D595" s="308"/>
      <c r="E595" s="308"/>
      <c r="F595" s="308"/>
      <c r="G595" s="308"/>
      <c r="H595" s="308"/>
      <c r="I595" s="308"/>
      <c r="J595" s="308"/>
      <c r="K595" s="308"/>
      <c r="L595" s="308"/>
      <c r="M595" s="308"/>
      <c r="N595" s="308"/>
      <c r="O595" s="308"/>
      <c r="P595" s="308"/>
      <c r="Q595" s="308"/>
      <c r="R595" s="308"/>
      <c r="S595" s="308"/>
      <c r="T595" s="308"/>
      <c r="U595" s="308"/>
      <c r="V595" s="308"/>
      <c r="W595" s="308"/>
      <c r="X595" s="308"/>
      <c r="Y595" s="308"/>
      <c r="Z595" s="308"/>
    </row>
    <row r="596" ht="15.75" customHeight="1">
      <c r="A596" s="308"/>
      <c r="B596" s="524"/>
      <c r="C596" s="308"/>
      <c r="D596" s="308"/>
      <c r="E596" s="308"/>
      <c r="F596" s="308"/>
      <c r="G596" s="308"/>
      <c r="H596" s="308"/>
      <c r="I596" s="308"/>
      <c r="J596" s="308"/>
      <c r="K596" s="308"/>
      <c r="L596" s="308"/>
      <c r="M596" s="308"/>
      <c r="N596" s="308"/>
      <c r="O596" s="308"/>
      <c r="P596" s="308"/>
      <c r="Q596" s="308"/>
      <c r="R596" s="308"/>
      <c r="S596" s="308"/>
      <c r="T596" s="308"/>
      <c r="U596" s="308"/>
      <c r="V596" s="308"/>
      <c r="W596" s="308"/>
      <c r="X596" s="308"/>
      <c r="Y596" s="308"/>
      <c r="Z596" s="308"/>
    </row>
    <row r="597" ht="15.75" customHeight="1">
      <c r="A597" s="308"/>
      <c r="B597" s="524"/>
      <c r="C597" s="308"/>
      <c r="D597" s="308"/>
      <c r="E597" s="308"/>
      <c r="F597" s="308"/>
      <c r="G597" s="308"/>
      <c r="H597" s="308"/>
      <c r="I597" s="308"/>
      <c r="J597" s="308"/>
      <c r="K597" s="308"/>
      <c r="L597" s="308"/>
      <c r="M597" s="308"/>
      <c r="N597" s="308"/>
      <c r="O597" s="308"/>
      <c r="P597" s="308"/>
      <c r="Q597" s="308"/>
      <c r="R597" s="308"/>
      <c r="S597" s="308"/>
      <c r="T597" s="308"/>
      <c r="U597" s="308"/>
      <c r="V597" s="308"/>
      <c r="W597" s="308"/>
      <c r="X597" s="308"/>
      <c r="Y597" s="308"/>
      <c r="Z597" s="308"/>
    </row>
    <row r="598" ht="15.75" customHeight="1">
      <c r="A598" s="308"/>
      <c r="B598" s="524"/>
      <c r="C598" s="308"/>
      <c r="D598" s="308"/>
      <c r="E598" s="308"/>
      <c r="F598" s="308"/>
      <c r="G598" s="308"/>
      <c r="H598" s="308"/>
      <c r="I598" s="308"/>
      <c r="J598" s="308"/>
      <c r="K598" s="308"/>
      <c r="L598" s="308"/>
      <c r="M598" s="308"/>
      <c r="N598" s="308"/>
      <c r="O598" s="308"/>
      <c r="P598" s="308"/>
      <c r="Q598" s="308"/>
      <c r="R598" s="308"/>
      <c r="S598" s="308"/>
      <c r="T598" s="308"/>
      <c r="U598" s="308"/>
      <c r="V598" s="308"/>
      <c r="W598" s="308"/>
      <c r="X598" s="308"/>
      <c r="Y598" s="308"/>
      <c r="Z598" s="308"/>
    </row>
    <row r="599" ht="15.75" customHeight="1">
      <c r="A599" s="308"/>
      <c r="B599" s="524"/>
      <c r="C599" s="308"/>
      <c r="D599" s="308"/>
      <c r="E599" s="308"/>
      <c r="F599" s="308"/>
      <c r="G599" s="308"/>
      <c r="H599" s="308"/>
      <c r="I599" s="308"/>
      <c r="J599" s="308"/>
      <c r="K599" s="308"/>
      <c r="L599" s="308"/>
      <c r="M599" s="308"/>
      <c r="N599" s="308"/>
      <c r="O599" s="308"/>
      <c r="P599" s="308"/>
      <c r="Q599" s="308"/>
      <c r="R599" s="308"/>
      <c r="S599" s="308"/>
      <c r="T599" s="308"/>
      <c r="U599" s="308"/>
      <c r="V599" s="308"/>
      <c r="W599" s="308"/>
      <c r="X599" s="308"/>
      <c r="Y599" s="308"/>
      <c r="Z599" s="308"/>
    </row>
    <row r="600" ht="15.75" customHeight="1">
      <c r="A600" s="308"/>
      <c r="B600" s="524"/>
      <c r="C600" s="308"/>
      <c r="D600" s="308"/>
      <c r="E600" s="308"/>
      <c r="F600" s="308"/>
      <c r="G600" s="308"/>
      <c r="H600" s="308"/>
      <c r="I600" s="308"/>
      <c r="J600" s="308"/>
      <c r="K600" s="308"/>
      <c r="L600" s="308"/>
      <c r="M600" s="308"/>
      <c r="N600" s="308"/>
      <c r="O600" s="308"/>
      <c r="P600" s="308"/>
      <c r="Q600" s="308"/>
      <c r="R600" s="308"/>
      <c r="S600" s="308"/>
      <c r="T600" s="308"/>
      <c r="U600" s="308"/>
      <c r="V600" s="308"/>
      <c r="W600" s="308"/>
      <c r="X600" s="308"/>
      <c r="Y600" s="308"/>
      <c r="Z600" s="308"/>
    </row>
    <row r="601" ht="15.75" customHeight="1">
      <c r="A601" s="308"/>
      <c r="B601" s="524"/>
      <c r="C601" s="308"/>
      <c r="D601" s="308"/>
      <c r="E601" s="308"/>
      <c r="F601" s="308"/>
      <c r="G601" s="308"/>
      <c r="H601" s="308"/>
      <c r="I601" s="308"/>
      <c r="J601" s="308"/>
      <c r="K601" s="308"/>
      <c r="L601" s="308"/>
      <c r="M601" s="308"/>
      <c r="N601" s="308"/>
      <c r="O601" s="308"/>
      <c r="P601" s="308"/>
      <c r="Q601" s="308"/>
      <c r="R601" s="308"/>
      <c r="S601" s="308"/>
      <c r="T601" s="308"/>
      <c r="U601" s="308"/>
      <c r="V601" s="308"/>
      <c r="W601" s="308"/>
      <c r="X601" s="308"/>
      <c r="Y601" s="308"/>
      <c r="Z601" s="308"/>
    </row>
    <row r="602" ht="15.75" customHeight="1">
      <c r="A602" s="308"/>
      <c r="B602" s="524"/>
      <c r="C602" s="308"/>
      <c r="D602" s="308"/>
      <c r="E602" s="308"/>
      <c r="F602" s="308"/>
      <c r="G602" s="308"/>
      <c r="H602" s="308"/>
      <c r="I602" s="308"/>
      <c r="J602" s="308"/>
      <c r="K602" s="308"/>
      <c r="L602" s="308"/>
      <c r="M602" s="308"/>
      <c r="N602" s="308"/>
      <c r="O602" s="308"/>
      <c r="P602" s="308"/>
      <c r="Q602" s="308"/>
      <c r="R602" s="308"/>
      <c r="S602" s="308"/>
      <c r="T602" s="308"/>
      <c r="U602" s="308"/>
      <c r="V602" s="308"/>
      <c r="W602" s="308"/>
      <c r="X602" s="308"/>
      <c r="Y602" s="308"/>
      <c r="Z602" s="308"/>
    </row>
    <row r="603" ht="15.75" customHeight="1">
      <c r="A603" s="308"/>
      <c r="B603" s="524"/>
      <c r="C603" s="308"/>
      <c r="D603" s="308"/>
      <c r="E603" s="308"/>
      <c r="F603" s="308"/>
      <c r="G603" s="308"/>
      <c r="H603" s="308"/>
      <c r="I603" s="308"/>
      <c r="J603" s="308"/>
      <c r="K603" s="308"/>
      <c r="L603" s="308"/>
      <c r="M603" s="308"/>
      <c r="N603" s="308"/>
      <c r="O603" s="308"/>
      <c r="P603" s="308"/>
      <c r="Q603" s="308"/>
      <c r="R603" s="308"/>
      <c r="S603" s="308"/>
      <c r="T603" s="308"/>
      <c r="U603" s="308"/>
      <c r="V603" s="308"/>
      <c r="W603" s="308"/>
      <c r="X603" s="308"/>
      <c r="Y603" s="308"/>
      <c r="Z603" s="308"/>
    </row>
    <row r="604" ht="15.75" customHeight="1">
      <c r="A604" s="308"/>
      <c r="B604" s="524"/>
      <c r="C604" s="308"/>
      <c r="D604" s="308"/>
      <c r="E604" s="308"/>
      <c r="F604" s="308"/>
      <c r="G604" s="308"/>
      <c r="H604" s="308"/>
      <c r="I604" s="308"/>
      <c r="J604" s="308"/>
      <c r="K604" s="308"/>
      <c r="L604" s="308"/>
      <c r="M604" s="308"/>
      <c r="N604" s="308"/>
      <c r="O604" s="308"/>
      <c r="P604" s="308"/>
      <c r="Q604" s="308"/>
      <c r="R604" s="308"/>
      <c r="S604" s="308"/>
      <c r="T604" s="308"/>
      <c r="U604" s="308"/>
      <c r="V604" s="308"/>
      <c r="W604" s="308"/>
      <c r="X604" s="308"/>
      <c r="Y604" s="308"/>
      <c r="Z604" s="308"/>
    </row>
    <row r="605" ht="15.75" customHeight="1">
      <c r="A605" s="308"/>
      <c r="B605" s="524"/>
      <c r="C605" s="308"/>
      <c r="D605" s="308"/>
      <c r="E605" s="308"/>
      <c r="F605" s="308"/>
      <c r="G605" s="308"/>
      <c r="H605" s="308"/>
      <c r="I605" s="308"/>
      <c r="J605" s="308"/>
      <c r="K605" s="308"/>
      <c r="L605" s="308"/>
      <c r="M605" s="308"/>
      <c r="N605" s="308"/>
      <c r="O605" s="308"/>
      <c r="P605" s="308"/>
      <c r="Q605" s="308"/>
      <c r="R605" s="308"/>
      <c r="S605" s="308"/>
      <c r="T605" s="308"/>
      <c r="U605" s="308"/>
      <c r="V605" s="308"/>
      <c r="W605" s="308"/>
      <c r="X605" s="308"/>
      <c r="Y605" s="308"/>
      <c r="Z605" s="308"/>
    </row>
    <row r="606" ht="15.75" customHeight="1">
      <c r="A606" s="308"/>
      <c r="B606" s="524"/>
      <c r="C606" s="308"/>
      <c r="D606" s="308"/>
      <c r="E606" s="308"/>
      <c r="F606" s="308"/>
      <c r="G606" s="308"/>
      <c r="H606" s="308"/>
      <c r="I606" s="308"/>
      <c r="J606" s="308"/>
      <c r="K606" s="308"/>
      <c r="L606" s="308"/>
      <c r="M606" s="308"/>
      <c r="N606" s="308"/>
      <c r="O606" s="308"/>
      <c r="P606" s="308"/>
      <c r="Q606" s="308"/>
      <c r="R606" s="308"/>
      <c r="S606" s="308"/>
      <c r="T606" s="308"/>
      <c r="U606" s="308"/>
      <c r="V606" s="308"/>
      <c r="W606" s="308"/>
      <c r="X606" s="308"/>
      <c r="Y606" s="308"/>
      <c r="Z606" s="308"/>
    </row>
    <row r="607" ht="15.75" customHeight="1">
      <c r="A607" s="308"/>
      <c r="B607" s="524"/>
      <c r="C607" s="308"/>
      <c r="D607" s="308"/>
      <c r="E607" s="308"/>
      <c r="F607" s="308"/>
      <c r="G607" s="308"/>
      <c r="H607" s="308"/>
      <c r="I607" s="308"/>
      <c r="J607" s="308"/>
      <c r="K607" s="308"/>
      <c r="L607" s="308"/>
      <c r="M607" s="308"/>
      <c r="N607" s="308"/>
      <c r="O607" s="308"/>
      <c r="P607" s="308"/>
      <c r="Q607" s="308"/>
      <c r="R607" s="308"/>
      <c r="S607" s="308"/>
      <c r="T607" s="308"/>
      <c r="U607" s="308"/>
      <c r="V607" s="308"/>
      <c r="W607" s="308"/>
      <c r="X607" s="308"/>
      <c r="Y607" s="308"/>
      <c r="Z607" s="308"/>
    </row>
    <row r="608" ht="15.75" customHeight="1">
      <c r="A608" s="308"/>
      <c r="B608" s="524"/>
      <c r="C608" s="308"/>
      <c r="D608" s="308"/>
      <c r="E608" s="308"/>
      <c r="F608" s="308"/>
      <c r="G608" s="308"/>
      <c r="H608" s="308"/>
      <c r="I608" s="308"/>
      <c r="J608" s="308"/>
      <c r="K608" s="308"/>
      <c r="L608" s="308"/>
      <c r="M608" s="308"/>
      <c r="N608" s="308"/>
      <c r="O608" s="308"/>
      <c r="P608" s="308"/>
      <c r="Q608" s="308"/>
      <c r="R608" s="308"/>
      <c r="S608" s="308"/>
      <c r="T608" s="308"/>
      <c r="U608" s="308"/>
      <c r="V608" s="308"/>
      <c r="W608" s="308"/>
      <c r="X608" s="308"/>
      <c r="Y608" s="308"/>
      <c r="Z608" s="308"/>
    </row>
    <row r="609" ht="15.75" customHeight="1">
      <c r="A609" s="308"/>
      <c r="B609" s="524"/>
      <c r="C609" s="308"/>
      <c r="D609" s="308"/>
      <c r="E609" s="308"/>
      <c r="F609" s="308"/>
      <c r="G609" s="308"/>
      <c r="H609" s="308"/>
      <c r="I609" s="308"/>
      <c r="J609" s="308"/>
      <c r="K609" s="308"/>
      <c r="L609" s="308"/>
      <c r="M609" s="308"/>
      <c r="N609" s="308"/>
      <c r="O609" s="308"/>
      <c r="P609" s="308"/>
      <c r="Q609" s="308"/>
      <c r="R609" s="308"/>
      <c r="S609" s="308"/>
      <c r="T609" s="308"/>
      <c r="U609" s="308"/>
      <c r="V609" s="308"/>
      <c r="W609" s="308"/>
      <c r="X609" s="308"/>
      <c r="Y609" s="308"/>
      <c r="Z609" s="308"/>
    </row>
    <row r="610" ht="15.75" customHeight="1">
      <c r="A610" s="308"/>
      <c r="B610" s="524"/>
      <c r="C610" s="308"/>
      <c r="D610" s="308"/>
      <c r="E610" s="308"/>
      <c r="F610" s="308"/>
      <c r="G610" s="308"/>
      <c r="H610" s="308"/>
      <c r="I610" s="308"/>
      <c r="J610" s="308"/>
      <c r="K610" s="308"/>
      <c r="L610" s="308"/>
      <c r="M610" s="308"/>
      <c r="N610" s="308"/>
      <c r="O610" s="308"/>
      <c r="P610" s="308"/>
      <c r="Q610" s="308"/>
      <c r="R610" s="308"/>
      <c r="S610" s="308"/>
      <c r="T610" s="308"/>
      <c r="U610" s="308"/>
      <c r="V610" s="308"/>
      <c r="W610" s="308"/>
      <c r="X610" s="308"/>
      <c r="Y610" s="308"/>
      <c r="Z610" s="308"/>
    </row>
    <row r="611" ht="15.75" customHeight="1">
      <c r="A611" s="308"/>
      <c r="B611" s="524"/>
      <c r="C611" s="308"/>
      <c r="D611" s="308"/>
      <c r="E611" s="308"/>
      <c r="F611" s="308"/>
      <c r="G611" s="308"/>
      <c r="H611" s="308"/>
      <c r="I611" s="308"/>
      <c r="J611" s="308"/>
      <c r="K611" s="308"/>
      <c r="L611" s="308"/>
      <c r="M611" s="308"/>
      <c r="N611" s="308"/>
      <c r="O611" s="308"/>
      <c r="P611" s="308"/>
      <c r="Q611" s="308"/>
      <c r="R611" s="308"/>
      <c r="S611" s="308"/>
      <c r="T611" s="308"/>
      <c r="U611" s="308"/>
      <c r="V611" s="308"/>
      <c r="W611" s="308"/>
      <c r="X611" s="308"/>
      <c r="Y611" s="308"/>
      <c r="Z611" s="308"/>
    </row>
    <row r="612" ht="15.75" customHeight="1">
      <c r="A612" s="308"/>
      <c r="B612" s="524"/>
      <c r="C612" s="308"/>
      <c r="D612" s="308"/>
      <c r="E612" s="308"/>
      <c r="F612" s="308"/>
      <c r="G612" s="308"/>
      <c r="H612" s="308"/>
      <c r="I612" s="308"/>
      <c r="J612" s="308"/>
      <c r="K612" s="308"/>
      <c r="L612" s="308"/>
      <c r="M612" s="308"/>
      <c r="N612" s="308"/>
      <c r="O612" s="308"/>
      <c r="P612" s="308"/>
      <c r="Q612" s="308"/>
      <c r="R612" s="308"/>
      <c r="S612" s="308"/>
      <c r="T612" s="308"/>
      <c r="U612" s="308"/>
      <c r="V612" s="308"/>
      <c r="W612" s="308"/>
      <c r="X612" s="308"/>
      <c r="Y612" s="308"/>
      <c r="Z612" s="308"/>
    </row>
    <row r="613" ht="15.75" customHeight="1">
      <c r="A613" s="308"/>
      <c r="B613" s="524"/>
      <c r="C613" s="308"/>
      <c r="D613" s="308"/>
      <c r="E613" s="308"/>
      <c r="F613" s="308"/>
      <c r="G613" s="308"/>
      <c r="H613" s="308"/>
      <c r="I613" s="308"/>
      <c r="J613" s="308"/>
      <c r="K613" s="308"/>
      <c r="L613" s="308"/>
      <c r="M613" s="308"/>
      <c r="N613" s="308"/>
      <c r="O613" s="308"/>
      <c r="P613" s="308"/>
      <c r="Q613" s="308"/>
      <c r="R613" s="308"/>
      <c r="S613" s="308"/>
      <c r="T613" s="308"/>
      <c r="U613" s="308"/>
      <c r="V613" s="308"/>
      <c r="W613" s="308"/>
      <c r="X613" s="308"/>
      <c r="Y613" s="308"/>
      <c r="Z613" s="308"/>
    </row>
    <row r="614" ht="15.75" customHeight="1">
      <c r="A614" s="308"/>
      <c r="B614" s="524"/>
      <c r="C614" s="308"/>
      <c r="D614" s="308"/>
      <c r="E614" s="308"/>
      <c r="F614" s="308"/>
      <c r="G614" s="308"/>
      <c r="H614" s="308"/>
      <c r="I614" s="308"/>
      <c r="J614" s="308"/>
      <c r="K614" s="308"/>
      <c r="L614" s="308"/>
      <c r="M614" s="308"/>
      <c r="N614" s="308"/>
      <c r="O614" s="308"/>
      <c r="P614" s="308"/>
      <c r="Q614" s="308"/>
      <c r="R614" s="308"/>
      <c r="S614" s="308"/>
      <c r="T614" s="308"/>
      <c r="U614" s="308"/>
      <c r="V614" s="308"/>
      <c r="W614" s="308"/>
      <c r="X614" s="308"/>
      <c r="Y614" s="308"/>
      <c r="Z614" s="308"/>
    </row>
    <row r="615" ht="15.75" customHeight="1">
      <c r="A615" s="308"/>
      <c r="B615" s="524"/>
      <c r="C615" s="308"/>
      <c r="D615" s="308"/>
      <c r="E615" s="308"/>
      <c r="F615" s="308"/>
      <c r="G615" s="308"/>
      <c r="H615" s="308"/>
      <c r="I615" s="308"/>
      <c r="J615" s="308"/>
      <c r="K615" s="308"/>
      <c r="L615" s="308"/>
      <c r="M615" s="308"/>
      <c r="N615" s="308"/>
      <c r="O615" s="308"/>
      <c r="P615" s="308"/>
      <c r="Q615" s="308"/>
      <c r="R615" s="308"/>
      <c r="S615" s="308"/>
      <c r="T615" s="308"/>
      <c r="U615" s="308"/>
      <c r="V615" s="308"/>
      <c r="W615" s="308"/>
      <c r="X615" s="308"/>
      <c r="Y615" s="308"/>
      <c r="Z615" s="308"/>
    </row>
    <row r="616" ht="15.75" customHeight="1">
      <c r="A616" s="308"/>
      <c r="B616" s="524"/>
      <c r="C616" s="308"/>
      <c r="D616" s="308"/>
      <c r="E616" s="308"/>
      <c r="F616" s="308"/>
      <c r="G616" s="308"/>
      <c r="H616" s="308"/>
      <c r="I616" s="308"/>
      <c r="J616" s="308"/>
      <c r="K616" s="308"/>
      <c r="L616" s="308"/>
      <c r="M616" s="308"/>
      <c r="N616" s="308"/>
      <c r="O616" s="308"/>
      <c r="P616" s="308"/>
      <c r="Q616" s="308"/>
      <c r="R616" s="308"/>
      <c r="S616" s="308"/>
      <c r="T616" s="308"/>
      <c r="U616" s="308"/>
      <c r="V616" s="308"/>
      <c r="W616" s="308"/>
      <c r="X616" s="308"/>
      <c r="Y616" s="308"/>
      <c r="Z616" s="308"/>
    </row>
    <row r="617" ht="15.75" customHeight="1">
      <c r="A617" s="308"/>
      <c r="B617" s="524"/>
      <c r="C617" s="308"/>
      <c r="D617" s="308"/>
      <c r="E617" s="308"/>
      <c r="F617" s="308"/>
      <c r="G617" s="308"/>
      <c r="H617" s="308"/>
      <c r="I617" s="308"/>
      <c r="J617" s="308"/>
      <c r="K617" s="308"/>
      <c r="L617" s="308"/>
      <c r="M617" s="308"/>
      <c r="N617" s="308"/>
      <c r="O617" s="308"/>
      <c r="P617" s="308"/>
      <c r="Q617" s="308"/>
      <c r="R617" s="308"/>
      <c r="S617" s="308"/>
      <c r="T617" s="308"/>
      <c r="U617" s="308"/>
      <c r="V617" s="308"/>
      <c r="W617" s="308"/>
      <c r="X617" s="308"/>
      <c r="Y617" s="308"/>
      <c r="Z617" s="308"/>
    </row>
    <row r="618" ht="15.75" customHeight="1">
      <c r="A618" s="308"/>
      <c r="B618" s="524"/>
      <c r="C618" s="308"/>
      <c r="D618" s="308"/>
      <c r="E618" s="308"/>
      <c r="F618" s="308"/>
      <c r="G618" s="308"/>
      <c r="H618" s="308"/>
      <c r="I618" s="308"/>
      <c r="J618" s="308"/>
      <c r="K618" s="308"/>
      <c r="L618" s="308"/>
      <c r="M618" s="308"/>
      <c r="N618" s="308"/>
      <c r="O618" s="308"/>
      <c r="P618" s="308"/>
      <c r="Q618" s="308"/>
      <c r="R618" s="308"/>
      <c r="S618" s="308"/>
      <c r="T618" s="308"/>
      <c r="U618" s="308"/>
      <c r="V618" s="308"/>
      <c r="W618" s="308"/>
      <c r="X618" s="308"/>
      <c r="Y618" s="308"/>
      <c r="Z618" s="308"/>
    </row>
    <row r="619" ht="15.75" customHeight="1">
      <c r="A619" s="308"/>
      <c r="B619" s="524"/>
      <c r="C619" s="308"/>
      <c r="D619" s="308"/>
      <c r="E619" s="308"/>
      <c r="F619" s="308"/>
      <c r="G619" s="308"/>
      <c r="H619" s="308"/>
      <c r="I619" s="308"/>
      <c r="J619" s="308"/>
      <c r="K619" s="308"/>
      <c r="L619" s="308"/>
      <c r="M619" s="308"/>
      <c r="N619" s="308"/>
      <c r="O619" s="308"/>
      <c r="P619" s="308"/>
      <c r="Q619" s="308"/>
      <c r="R619" s="308"/>
      <c r="S619" s="308"/>
      <c r="T619" s="308"/>
      <c r="U619" s="308"/>
      <c r="V619" s="308"/>
      <c r="W619" s="308"/>
      <c r="X619" s="308"/>
      <c r="Y619" s="308"/>
      <c r="Z619" s="308"/>
    </row>
    <row r="620" ht="15.75" customHeight="1">
      <c r="A620" s="308"/>
      <c r="B620" s="524"/>
      <c r="C620" s="308"/>
      <c r="D620" s="308"/>
      <c r="E620" s="308"/>
      <c r="F620" s="308"/>
      <c r="G620" s="308"/>
      <c r="H620" s="308"/>
      <c r="I620" s="308"/>
      <c r="J620" s="308"/>
      <c r="K620" s="308"/>
      <c r="L620" s="308"/>
      <c r="M620" s="308"/>
      <c r="N620" s="308"/>
      <c r="O620" s="308"/>
      <c r="P620" s="308"/>
      <c r="Q620" s="308"/>
      <c r="R620" s="308"/>
      <c r="S620" s="308"/>
      <c r="T620" s="308"/>
      <c r="U620" s="308"/>
      <c r="V620" s="308"/>
      <c r="W620" s="308"/>
      <c r="X620" s="308"/>
      <c r="Y620" s="308"/>
      <c r="Z620" s="308"/>
    </row>
    <row r="621" ht="15.75" customHeight="1">
      <c r="A621" s="308"/>
      <c r="B621" s="524"/>
      <c r="C621" s="308"/>
      <c r="D621" s="308"/>
      <c r="E621" s="308"/>
      <c r="F621" s="308"/>
      <c r="G621" s="308"/>
      <c r="H621" s="308"/>
      <c r="I621" s="308"/>
      <c r="J621" s="308"/>
      <c r="K621" s="308"/>
      <c r="L621" s="308"/>
      <c r="M621" s="308"/>
      <c r="N621" s="308"/>
      <c r="O621" s="308"/>
      <c r="P621" s="308"/>
      <c r="Q621" s="308"/>
      <c r="R621" s="308"/>
      <c r="S621" s="308"/>
      <c r="T621" s="308"/>
      <c r="U621" s="308"/>
      <c r="V621" s="308"/>
      <c r="W621" s="308"/>
      <c r="X621" s="308"/>
      <c r="Y621" s="308"/>
      <c r="Z621" s="308"/>
    </row>
    <row r="622" ht="15.75" customHeight="1">
      <c r="A622" s="308"/>
      <c r="B622" s="524"/>
      <c r="C622" s="308"/>
      <c r="D622" s="308"/>
      <c r="E622" s="308"/>
      <c r="F622" s="308"/>
      <c r="G622" s="308"/>
      <c r="H622" s="308"/>
      <c r="I622" s="308"/>
      <c r="J622" s="308"/>
      <c r="K622" s="308"/>
      <c r="L622" s="308"/>
      <c r="M622" s="308"/>
      <c r="N622" s="308"/>
      <c r="O622" s="308"/>
      <c r="P622" s="308"/>
      <c r="Q622" s="308"/>
      <c r="R622" s="308"/>
      <c r="S622" s="308"/>
      <c r="T622" s="308"/>
      <c r="U622" s="308"/>
      <c r="V622" s="308"/>
      <c r="W622" s="308"/>
      <c r="X622" s="308"/>
      <c r="Y622" s="308"/>
      <c r="Z622" s="308"/>
    </row>
    <row r="623" ht="15.75" customHeight="1">
      <c r="A623" s="308"/>
      <c r="B623" s="524"/>
      <c r="C623" s="308"/>
      <c r="D623" s="308"/>
      <c r="E623" s="308"/>
      <c r="F623" s="308"/>
      <c r="G623" s="308"/>
      <c r="H623" s="308"/>
      <c r="I623" s="308"/>
      <c r="J623" s="308"/>
      <c r="K623" s="308"/>
      <c r="L623" s="308"/>
      <c r="M623" s="308"/>
      <c r="N623" s="308"/>
      <c r="O623" s="308"/>
      <c r="P623" s="308"/>
      <c r="Q623" s="308"/>
      <c r="R623" s="308"/>
      <c r="S623" s="308"/>
      <c r="T623" s="308"/>
      <c r="U623" s="308"/>
      <c r="V623" s="308"/>
      <c r="W623" s="308"/>
      <c r="X623" s="308"/>
      <c r="Y623" s="308"/>
      <c r="Z623" s="308"/>
    </row>
    <row r="624" ht="15.75" customHeight="1">
      <c r="A624" s="308"/>
      <c r="B624" s="524"/>
      <c r="C624" s="308"/>
      <c r="D624" s="308"/>
      <c r="E624" s="308"/>
      <c r="F624" s="308"/>
      <c r="G624" s="308"/>
      <c r="H624" s="308"/>
      <c r="I624" s="308"/>
      <c r="J624" s="308"/>
      <c r="K624" s="308"/>
      <c r="L624" s="308"/>
      <c r="M624" s="308"/>
      <c r="N624" s="308"/>
      <c r="O624" s="308"/>
      <c r="P624" s="308"/>
      <c r="Q624" s="308"/>
      <c r="R624" s="308"/>
      <c r="S624" s="308"/>
      <c r="T624" s="308"/>
      <c r="U624" s="308"/>
      <c r="V624" s="308"/>
      <c r="W624" s="308"/>
      <c r="X624" s="308"/>
      <c r="Y624" s="308"/>
      <c r="Z624" s="308"/>
    </row>
    <row r="625" ht="15.75" customHeight="1">
      <c r="A625" s="308"/>
      <c r="B625" s="524"/>
      <c r="C625" s="308"/>
      <c r="D625" s="308"/>
      <c r="E625" s="308"/>
      <c r="F625" s="308"/>
      <c r="G625" s="308"/>
      <c r="H625" s="308"/>
      <c r="I625" s="308"/>
      <c r="J625" s="308"/>
      <c r="K625" s="308"/>
      <c r="L625" s="308"/>
      <c r="M625" s="308"/>
      <c r="N625" s="308"/>
      <c r="O625" s="308"/>
      <c r="P625" s="308"/>
      <c r="Q625" s="308"/>
      <c r="R625" s="308"/>
      <c r="S625" s="308"/>
      <c r="T625" s="308"/>
      <c r="U625" s="308"/>
      <c r="V625" s="308"/>
      <c r="W625" s="308"/>
      <c r="X625" s="308"/>
      <c r="Y625" s="308"/>
      <c r="Z625" s="308"/>
    </row>
    <row r="626" ht="15.75" customHeight="1">
      <c r="A626" s="308"/>
      <c r="B626" s="524"/>
      <c r="C626" s="308"/>
      <c r="D626" s="308"/>
      <c r="E626" s="308"/>
      <c r="F626" s="308"/>
      <c r="G626" s="308"/>
      <c r="H626" s="308"/>
      <c r="I626" s="308"/>
      <c r="J626" s="308"/>
      <c r="K626" s="308"/>
      <c r="L626" s="308"/>
      <c r="M626" s="308"/>
      <c r="N626" s="308"/>
      <c r="O626" s="308"/>
      <c r="P626" s="308"/>
      <c r="Q626" s="308"/>
      <c r="R626" s="308"/>
      <c r="S626" s="308"/>
      <c r="T626" s="308"/>
      <c r="U626" s="308"/>
      <c r="V626" s="308"/>
      <c r="W626" s="308"/>
      <c r="X626" s="308"/>
      <c r="Y626" s="308"/>
      <c r="Z626" s="308"/>
    </row>
    <row r="627" ht="15.75" customHeight="1">
      <c r="A627" s="308"/>
      <c r="B627" s="524"/>
      <c r="C627" s="308"/>
      <c r="D627" s="308"/>
      <c r="E627" s="308"/>
      <c r="F627" s="308"/>
      <c r="G627" s="308"/>
      <c r="H627" s="308"/>
      <c r="I627" s="308"/>
      <c r="J627" s="308"/>
      <c r="K627" s="308"/>
      <c r="L627" s="308"/>
      <c r="M627" s="308"/>
      <c r="N627" s="308"/>
      <c r="O627" s="308"/>
      <c r="P627" s="308"/>
      <c r="Q627" s="308"/>
      <c r="R627" s="308"/>
      <c r="S627" s="308"/>
      <c r="T627" s="308"/>
      <c r="U627" s="308"/>
      <c r="V627" s="308"/>
      <c r="W627" s="308"/>
      <c r="X627" s="308"/>
      <c r="Y627" s="308"/>
      <c r="Z627" s="308"/>
    </row>
    <row r="628" ht="15.75" customHeight="1">
      <c r="A628" s="308"/>
      <c r="B628" s="524"/>
      <c r="C628" s="308"/>
      <c r="D628" s="308"/>
      <c r="E628" s="308"/>
      <c r="F628" s="308"/>
      <c r="G628" s="308"/>
      <c r="H628" s="308"/>
      <c r="I628" s="308"/>
      <c r="J628" s="308"/>
      <c r="K628" s="308"/>
      <c r="L628" s="308"/>
      <c r="M628" s="308"/>
      <c r="N628" s="308"/>
      <c r="O628" s="308"/>
      <c r="P628" s="308"/>
      <c r="Q628" s="308"/>
      <c r="R628" s="308"/>
      <c r="S628" s="308"/>
      <c r="T628" s="308"/>
      <c r="U628" s="308"/>
      <c r="V628" s="308"/>
      <c r="W628" s="308"/>
      <c r="X628" s="308"/>
      <c r="Y628" s="308"/>
      <c r="Z628" s="308"/>
    </row>
    <row r="629" ht="15.75" customHeight="1">
      <c r="A629" s="308"/>
      <c r="B629" s="524"/>
      <c r="C629" s="308"/>
      <c r="D629" s="308"/>
      <c r="E629" s="308"/>
      <c r="F629" s="308"/>
      <c r="G629" s="308"/>
      <c r="H629" s="308"/>
      <c r="I629" s="308"/>
      <c r="J629" s="308"/>
      <c r="K629" s="308"/>
      <c r="L629" s="308"/>
      <c r="M629" s="308"/>
      <c r="N629" s="308"/>
      <c r="O629" s="308"/>
      <c r="P629" s="308"/>
      <c r="Q629" s="308"/>
      <c r="R629" s="308"/>
      <c r="S629" s="308"/>
      <c r="T629" s="308"/>
      <c r="U629" s="308"/>
      <c r="V629" s="308"/>
      <c r="W629" s="308"/>
      <c r="X629" s="308"/>
      <c r="Y629" s="308"/>
      <c r="Z629" s="308"/>
    </row>
    <row r="630" ht="15.75" customHeight="1">
      <c r="A630" s="308"/>
      <c r="B630" s="524"/>
      <c r="C630" s="308"/>
      <c r="D630" s="308"/>
      <c r="E630" s="308"/>
      <c r="F630" s="308"/>
      <c r="G630" s="308"/>
      <c r="H630" s="308"/>
      <c r="I630" s="308"/>
      <c r="J630" s="308"/>
      <c r="K630" s="308"/>
      <c r="L630" s="308"/>
      <c r="M630" s="308"/>
      <c r="N630" s="308"/>
      <c r="O630" s="308"/>
      <c r="P630" s="308"/>
      <c r="Q630" s="308"/>
      <c r="R630" s="308"/>
      <c r="S630" s="308"/>
      <c r="T630" s="308"/>
      <c r="U630" s="308"/>
      <c r="V630" s="308"/>
      <c r="W630" s="308"/>
      <c r="X630" s="308"/>
      <c r="Y630" s="308"/>
      <c r="Z630" s="308"/>
    </row>
    <row r="631" ht="15.75" customHeight="1">
      <c r="A631" s="308"/>
      <c r="B631" s="524"/>
      <c r="C631" s="308"/>
      <c r="D631" s="308"/>
      <c r="E631" s="308"/>
      <c r="F631" s="308"/>
      <c r="G631" s="308"/>
      <c r="H631" s="308"/>
      <c r="I631" s="308"/>
      <c r="J631" s="308"/>
      <c r="K631" s="308"/>
      <c r="L631" s="308"/>
      <c r="M631" s="308"/>
      <c r="N631" s="308"/>
      <c r="O631" s="308"/>
      <c r="P631" s="308"/>
      <c r="Q631" s="308"/>
      <c r="R631" s="308"/>
      <c r="S631" s="308"/>
      <c r="T631" s="308"/>
      <c r="U631" s="308"/>
      <c r="V631" s="308"/>
      <c r="W631" s="308"/>
      <c r="X631" s="308"/>
      <c r="Y631" s="308"/>
      <c r="Z631" s="308"/>
    </row>
    <row r="632" ht="15.75" customHeight="1">
      <c r="A632" s="308"/>
      <c r="B632" s="524"/>
      <c r="C632" s="308"/>
      <c r="D632" s="308"/>
      <c r="E632" s="308"/>
      <c r="F632" s="308"/>
      <c r="G632" s="308"/>
      <c r="H632" s="308"/>
      <c r="I632" s="308"/>
      <c r="J632" s="308"/>
      <c r="K632" s="308"/>
      <c r="L632" s="308"/>
      <c r="M632" s="308"/>
      <c r="N632" s="308"/>
      <c r="O632" s="308"/>
      <c r="P632" s="308"/>
      <c r="Q632" s="308"/>
      <c r="R632" s="308"/>
      <c r="S632" s="308"/>
      <c r="T632" s="308"/>
      <c r="U632" s="308"/>
      <c r="V632" s="308"/>
      <c r="W632" s="308"/>
      <c r="X632" s="308"/>
      <c r="Y632" s="308"/>
      <c r="Z632" s="308"/>
    </row>
    <row r="633" ht="15.75" customHeight="1">
      <c r="A633" s="308"/>
      <c r="B633" s="524"/>
      <c r="C633" s="308"/>
      <c r="D633" s="308"/>
      <c r="E633" s="308"/>
      <c r="F633" s="308"/>
      <c r="G633" s="308"/>
      <c r="H633" s="308"/>
      <c r="I633" s="308"/>
      <c r="J633" s="308"/>
      <c r="K633" s="308"/>
      <c r="L633" s="308"/>
      <c r="M633" s="308"/>
      <c r="N633" s="308"/>
      <c r="O633" s="308"/>
      <c r="P633" s="308"/>
      <c r="Q633" s="308"/>
      <c r="R633" s="308"/>
      <c r="S633" s="308"/>
      <c r="T633" s="308"/>
      <c r="U633" s="308"/>
      <c r="V633" s="308"/>
      <c r="W633" s="308"/>
      <c r="X633" s="308"/>
      <c r="Y633" s="308"/>
      <c r="Z633" s="308"/>
    </row>
    <row r="634" ht="15.75" customHeight="1">
      <c r="A634" s="308"/>
      <c r="B634" s="524"/>
      <c r="C634" s="308"/>
      <c r="D634" s="308"/>
      <c r="E634" s="308"/>
      <c r="F634" s="308"/>
      <c r="G634" s="308"/>
      <c r="H634" s="308"/>
      <c r="I634" s="308"/>
      <c r="J634" s="308"/>
      <c r="K634" s="308"/>
      <c r="L634" s="308"/>
      <c r="M634" s="308"/>
      <c r="N634" s="308"/>
      <c r="O634" s="308"/>
      <c r="P634" s="308"/>
      <c r="Q634" s="308"/>
      <c r="R634" s="308"/>
      <c r="S634" s="308"/>
      <c r="T634" s="308"/>
      <c r="U634" s="308"/>
      <c r="V634" s="308"/>
      <c r="W634" s="308"/>
      <c r="X634" s="308"/>
      <c r="Y634" s="308"/>
      <c r="Z634" s="308"/>
    </row>
    <row r="635" ht="15.75" customHeight="1">
      <c r="A635" s="308"/>
      <c r="B635" s="524"/>
      <c r="C635" s="308"/>
      <c r="D635" s="308"/>
      <c r="E635" s="308"/>
      <c r="F635" s="308"/>
      <c r="G635" s="308"/>
      <c r="H635" s="308"/>
      <c r="I635" s="308"/>
      <c r="J635" s="308"/>
      <c r="K635" s="308"/>
      <c r="L635" s="308"/>
      <c r="M635" s="308"/>
      <c r="N635" s="308"/>
      <c r="O635" s="308"/>
      <c r="P635" s="308"/>
      <c r="Q635" s="308"/>
      <c r="R635" s="308"/>
      <c r="S635" s="308"/>
      <c r="T635" s="308"/>
      <c r="U635" s="308"/>
      <c r="V635" s="308"/>
      <c r="W635" s="308"/>
      <c r="X635" s="308"/>
      <c r="Y635" s="308"/>
      <c r="Z635" s="308"/>
    </row>
    <row r="636" ht="15.75" customHeight="1">
      <c r="A636" s="308"/>
      <c r="B636" s="524"/>
      <c r="C636" s="308"/>
      <c r="D636" s="308"/>
      <c r="E636" s="308"/>
      <c r="F636" s="308"/>
      <c r="G636" s="308"/>
      <c r="H636" s="308"/>
      <c r="I636" s="308"/>
      <c r="J636" s="308"/>
      <c r="K636" s="308"/>
      <c r="L636" s="308"/>
      <c r="M636" s="308"/>
      <c r="N636" s="308"/>
      <c r="O636" s="308"/>
      <c r="P636" s="308"/>
      <c r="Q636" s="308"/>
      <c r="R636" s="308"/>
      <c r="S636" s="308"/>
      <c r="T636" s="308"/>
      <c r="U636" s="308"/>
      <c r="V636" s="308"/>
      <c r="W636" s="308"/>
      <c r="X636" s="308"/>
      <c r="Y636" s="308"/>
      <c r="Z636" s="308"/>
    </row>
    <row r="637" ht="15.75" customHeight="1">
      <c r="A637" s="308"/>
      <c r="B637" s="524"/>
      <c r="C637" s="308"/>
      <c r="D637" s="308"/>
      <c r="E637" s="308"/>
      <c r="F637" s="308"/>
      <c r="G637" s="308"/>
      <c r="H637" s="308"/>
      <c r="I637" s="308"/>
      <c r="J637" s="308"/>
      <c r="K637" s="308"/>
      <c r="L637" s="308"/>
      <c r="M637" s="308"/>
      <c r="N637" s="308"/>
      <c r="O637" s="308"/>
      <c r="P637" s="308"/>
      <c r="Q637" s="308"/>
      <c r="R637" s="308"/>
      <c r="S637" s="308"/>
      <c r="T637" s="308"/>
      <c r="U637" s="308"/>
      <c r="V637" s="308"/>
      <c r="W637" s="308"/>
      <c r="X637" s="308"/>
      <c r="Y637" s="308"/>
      <c r="Z637" s="308"/>
    </row>
    <row r="638" ht="15.75" customHeight="1">
      <c r="A638" s="308"/>
      <c r="B638" s="524"/>
      <c r="C638" s="308"/>
      <c r="D638" s="308"/>
      <c r="E638" s="308"/>
      <c r="F638" s="308"/>
      <c r="G638" s="308"/>
      <c r="H638" s="308"/>
      <c r="I638" s="308"/>
      <c r="J638" s="308"/>
      <c r="K638" s="308"/>
      <c r="L638" s="308"/>
      <c r="M638" s="308"/>
      <c r="N638" s="308"/>
      <c r="O638" s="308"/>
      <c r="P638" s="308"/>
      <c r="Q638" s="308"/>
      <c r="R638" s="308"/>
      <c r="S638" s="308"/>
      <c r="T638" s="308"/>
      <c r="U638" s="308"/>
      <c r="V638" s="308"/>
      <c r="W638" s="308"/>
      <c r="X638" s="308"/>
      <c r="Y638" s="308"/>
      <c r="Z638" s="308"/>
    </row>
    <row r="639" ht="15.75" customHeight="1">
      <c r="A639" s="308"/>
      <c r="B639" s="524"/>
      <c r="C639" s="308"/>
      <c r="D639" s="308"/>
      <c r="E639" s="308"/>
      <c r="F639" s="308"/>
      <c r="G639" s="308"/>
      <c r="H639" s="308"/>
      <c r="I639" s="308"/>
      <c r="J639" s="308"/>
      <c r="K639" s="308"/>
      <c r="L639" s="308"/>
      <c r="M639" s="308"/>
      <c r="N639" s="308"/>
      <c r="O639" s="308"/>
      <c r="P639" s="308"/>
      <c r="Q639" s="308"/>
      <c r="R639" s="308"/>
      <c r="S639" s="308"/>
      <c r="T639" s="308"/>
      <c r="U639" s="308"/>
      <c r="V639" s="308"/>
      <c r="W639" s="308"/>
      <c r="X639" s="308"/>
      <c r="Y639" s="308"/>
      <c r="Z639" s="308"/>
    </row>
    <row r="640" ht="15.75" customHeight="1">
      <c r="A640" s="308"/>
      <c r="B640" s="524"/>
      <c r="C640" s="308"/>
      <c r="D640" s="308"/>
      <c r="E640" s="308"/>
      <c r="F640" s="308"/>
      <c r="G640" s="308"/>
      <c r="H640" s="308"/>
      <c r="I640" s="308"/>
      <c r="J640" s="308"/>
      <c r="K640" s="308"/>
      <c r="L640" s="308"/>
      <c r="M640" s="308"/>
      <c r="N640" s="308"/>
      <c r="O640" s="308"/>
      <c r="P640" s="308"/>
      <c r="Q640" s="308"/>
      <c r="R640" s="308"/>
      <c r="S640" s="308"/>
      <c r="T640" s="308"/>
      <c r="U640" s="308"/>
      <c r="V640" s="308"/>
      <c r="W640" s="308"/>
      <c r="X640" s="308"/>
      <c r="Y640" s="308"/>
      <c r="Z640" s="308"/>
    </row>
    <row r="641" ht="15.75" customHeight="1">
      <c r="A641" s="308"/>
      <c r="B641" s="524"/>
      <c r="C641" s="308"/>
      <c r="D641" s="308"/>
      <c r="E641" s="308"/>
      <c r="F641" s="308"/>
      <c r="G641" s="308"/>
      <c r="H641" s="308"/>
      <c r="I641" s="308"/>
      <c r="J641" s="308"/>
      <c r="K641" s="308"/>
      <c r="L641" s="308"/>
      <c r="M641" s="308"/>
      <c r="N641" s="308"/>
      <c r="O641" s="308"/>
      <c r="P641" s="308"/>
      <c r="Q641" s="308"/>
      <c r="R641" s="308"/>
      <c r="S641" s="308"/>
      <c r="T641" s="308"/>
      <c r="U641" s="308"/>
      <c r="V641" s="308"/>
      <c r="W641" s="308"/>
      <c r="X641" s="308"/>
      <c r="Y641" s="308"/>
      <c r="Z641" s="308"/>
    </row>
    <row r="642" ht="15.75" customHeight="1">
      <c r="A642" s="308"/>
      <c r="B642" s="524"/>
      <c r="C642" s="308"/>
      <c r="D642" s="308"/>
      <c r="E642" s="308"/>
      <c r="F642" s="308"/>
      <c r="G642" s="308"/>
      <c r="H642" s="308"/>
      <c r="I642" s="308"/>
      <c r="J642" s="308"/>
      <c r="K642" s="308"/>
      <c r="L642" s="308"/>
      <c r="M642" s="308"/>
      <c r="N642" s="308"/>
      <c r="O642" s="308"/>
      <c r="P642" s="308"/>
      <c r="Q642" s="308"/>
      <c r="R642" s="308"/>
      <c r="S642" s="308"/>
      <c r="T642" s="308"/>
      <c r="U642" s="308"/>
      <c r="V642" s="308"/>
      <c r="W642" s="308"/>
      <c r="X642" s="308"/>
      <c r="Y642" s="308"/>
      <c r="Z642" s="308"/>
    </row>
    <row r="643" ht="15.75" customHeight="1">
      <c r="A643" s="308"/>
      <c r="B643" s="524"/>
      <c r="C643" s="308"/>
      <c r="D643" s="308"/>
      <c r="E643" s="308"/>
      <c r="F643" s="308"/>
      <c r="G643" s="308"/>
      <c r="H643" s="308"/>
      <c r="I643" s="308"/>
      <c r="J643" s="308"/>
      <c r="K643" s="308"/>
      <c r="L643" s="308"/>
      <c r="M643" s="308"/>
      <c r="N643" s="308"/>
      <c r="O643" s="308"/>
      <c r="P643" s="308"/>
      <c r="Q643" s="308"/>
      <c r="R643" s="308"/>
      <c r="S643" s="308"/>
      <c r="T643" s="308"/>
      <c r="U643" s="308"/>
      <c r="V643" s="308"/>
      <c r="W643" s="308"/>
      <c r="X643" s="308"/>
      <c r="Y643" s="308"/>
      <c r="Z643" s="308"/>
    </row>
    <row r="644" ht="15.75" customHeight="1">
      <c r="A644" s="308"/>
      <c r="B644" s="524"/>
      <c r="C644" s="308"/>
      <c r="D644" s="308"/>
      <c r="E644" s="308"/>
      <c r="F644" s="308"/>
      <c r="G644" s="308"/>
      <c r="H644" s="308"/>
      <c r="I644" s="308"/>
      <c r="J644" s="308"/>
      <c r="K644" s="308"/>
      <c r="L644" s="308"/>
      <c r="M644" s="308"/>
      <c r="N644" s="308"/>
      <c r="O644" s="308"/>
      <c r="P644" s="308"/>
      <c r="Q644" s="308"/>
      <c r="R644" s="308"/>
      <c r="S644" s="308"/>
      <c r="T644" s="308"/>
      <c r="U644" s="308"/>
      <c r="V644" s="308"/>
      <c r="W644" s="308"/>
      <c r="X644" s="308"/>
      <c r="Y644" s="308"/>
      <c r="Z644" s="308"/>
    </row>
    <row r="645" ht="15.75" customHeight="1">
      <c r="A645" s="308"/>
      <c r="B645" s="524"/>
      <c r="C645" s="308"/>
      <c r="D645" s="308"/>
      <c r="E645" s="308"/>
      <c r="F645" s="308"/>
      <c r="G645" s="308"/>
      <c r="H645" s="308"/>
      <c r="I645" s="308"/>
      <c r="J645" s="308"/>
      <c r="K645" s="308"/>
      <c r="L645" s="308"/>
      <c r="M645" s="308"/>
      <c r="N645" s="308"/>
      <c r="O645" s="308"/>
      <c r="P645" s="308"/>
      <c r="Q645" s="308"/>
      <c r="R645" s="308"/>
      <c r="S645" s="308"/>
      <c r="T645" s="308"/>
      <c r="U645" s="308"/>
      <c r="V645" s="308"/>
      <c r="W645" s="308"/>
      <c r="X645" s="308"/>
      <c r="Y645" s="308"/>
      <c r="Z645" s="308"/>
    </row>
    <row r="646" ht="15.75" customHeight="1">
      <c r="A646" s="308"/>
      <c r="B646" s="524"/>
      <c r="C646" s="308"/>
      <c r="D646" s="308"/>
      <c r="E646" s="308"/>
      <c r="F646" s="308"/>
      <c r="G646" s="308"/>
      <c r="H646" s="308"/>
      <c r="I646" s="308"/>
      <c r="J646" s="308"/>
      <c r="K646" s="308"/>
      <c r="L646" s="308"/>
      <c r="M646" s="308"/>
      <c r="N646" s="308"/>
      <c r="O646" s="308"/>
      <c r="P646" s="308"/>
      <c r="Q646" s="308"/>
      <c r="R646" s="308"/>
      <c r="S646" s="308"/>
      <c r="T646" s="308"/>
      <c r="U646" s="308"/>
      <c r="V646" s="308"/>
      <c r="W646" s="308"/>
      <c r="X646" s="308"/>
      <c r="Y646" s="308"/>
      <c r="Z646" s="308"/>
    </row>
    <row r="647" ht="15.75" customHeight="1">
      <c r="A647" s="308"/>
      <c r="B647" s="524"/>
      <c r="C647" s="308"/>
      <c r="D647" s="308"/>
      <c r="E647" s="308"/>
      <c r="F647" s="308"/>
      <c r="G647" s="308"/>
      <c r="H647" s="308"/>
      <c r="I647" s="308"/>
      <c r="J647" s="308"/>
      <c r="K647" s="308"/>
      <c r="L647" s="308"/>
      <c r="M647" s="308"/>
      <c r="N647" s="308"/>
      <c r="O647" s="308"/>
      <c r="P647" s="308"/>
      <c r="Q647" s="308"/>
      <c r="R647" s="308"/>
      <c r="S647" s="308"/>
      <c r="T647" s="308"/>
      <c r="U647" s="308"/>
      <c r="V647" s="308"/>
      <c r="W647" s="308"/>
      <c r="X647" s="308"/>
      <c r="Y647" s="308"/>
      <c r="Z647" s="308"/>
    </row>
    <row r="648" ht="15.75" customHeight="1">
      <c r="A648" s="308"/>
      <c r="B648" s="524"/>
      <c r="C648" s="308"/>
      <c r="D648" s="308"/>
      <c r="E648" s="308"/>
      <c r="F648" s="308"/>
      <c r="G648" s="308"/>
      <c r="H648" s="308"/>
      <c r="I648" s="308"/>
      <c r="J648" s="308"/>
      <c r="K648" s="308"/>
      <c r="L648" s="308"/>
      <c r="M648" s="308"/>
      <c r="N648" s="308"/>
      <c r="O648" s="308"/>
      <c r="P648" s="308"/>
      <c r="Q648" s="308"/>
      <c r="R648" s="308"/>
      <c r="S648" s="308"/>
      <c r="T648" s="308"/>
      <c r="U648" s="308"/>
      <c r="V648" s="308"/>
      <c r="W648" s="308"/>
      <c r="X648" s="308"/>
      <c r="Y648" s="308"/>
      <c r="Z648" s="308"/>
    </row>
    <row r="649" ht="15.75" customHeight="1">
      <c r="A649" s="308"/>
      <c r="B649" s="524"/>
      <c r="C649" s="308"/>
      <c r="D649" s="308"/>
      <c r="E649" s="308"/>
      <c r="F649" s="308"/>
      <c r="G649" s="308"/>
      <c r="H649" s="308"/>
      <c r="I649" s="308"/>
      <c r="J649" s="308"/>
      <c r="K649" s="308"/>
      <c r="L649" s="308"/>
      <c r="M649" s="308"/>
      <c r="N649" s="308"/>
      <c r="O649" s="308"/>
      <c r="P649" s="308"/>
      <c r="Q649" s="308"/>
      <c r="R649" s="308"/>
      <c r="S649" s="308"/>
      <c r="T649" s="308"/>
      <c r="U649" s="308"/>
      <c r="V649" s="308"/>
      <c r="W649" s="308"/>
      <c r="X649" s="308"/>
      <c r="Y649" s="308"/>
      <c r="Z649" s="308"/>
    </row>
    <row r="650" ht="15.75" customHeight="1">
      <c r="A650" s="308"/>
      <c r="B650" s="524"/>
      <c r="C650" s="308"/>
      <c r="D650" s="308"/>
      <c r="E650" s="308"/>
      <c r="F650" s="308"/>
      <c r="G650" s="308"/>
      <c r="H650" s="308"/>
      <c r="I650" s="308"/>
      <c r="J650" s="308"/>
      <c r="K650" s="308"/>
      <c r="L650" s="308"/>
      <c r="M650" s="308"/>
      <c r="N650" s="308"/>
      <c r="O650" s="308"/>
      <c r="P650" s="308"/>
      <c r="Q650" s="308"/>
      <c r="R650" s="308"/>
      <c r="S650" s="308"/>
      <c r="T650" s="308"/>
      <c r="U650" s="308"/>
      <c r="V650" s="308"/>
      <c r="W650" s="308"/>
      <c r="X650" s="308"/>
      <c r="Y650" s="308"/>
      <c r="Z650" s="308"/>
    </row>
    <row r="651" ht="15.75" customHeight="1">
      <c r="A651" s="308"/>
      <c r="B651" s="524"/>
      <c r="C651" s="308"/>
      <c r="D651" s="308"/>
      <c r="E651" s="308"/>
      <c r="F651" s="308"/>
      <c r="G651" s="308"/>
      <c r="H651" s="308"/>
      <c r="I651" s="308"/>
      <c r="J651" s="308"/>
      <c r="K651" s="308"/>
      <c r="L651" s="308"/>
      <c r="M651" s="308"/>
      <c r="N651" s="308"/>
      <c r="O651" s="308"/>
      <c r="P651" s="308"/>
      <c r="Q651" s="308"/>
      <c r="R651" s="308"/>
      <c r="S651" s="308"/>
      <c r="T651" s="308"/>
      <c r="U651" s="308"/>
      <c r="V651" s="308"/>
      <c r="W651" s="308"/>
      <c r="X651" s="308"/>
      <c r="Y651" s="308"/>
      <c r="Z651" s="308"/>
    </row>
    <row r="652" ht="15.75" customHeight="1">
      <c r="A652" s="308"/>
      <c r="B652" s="524"/>
      <c r="C652" s="308"/>
      <c r="D652" s="308"/>
      <c r="E652" s="308"/>
      <c r="F652" s="308"/>
      <c r="G652" s="308"/>
      <c r="H652" s="308"/>
      <c r="I652" s="308"/>
      <c r="J652" s="308"/>
      <c r="K652" s="308"/>
      <c r="L652" s="308"/>
      <c r="M652" s="308"/>
      <c r="N652" s="308"/>
      <c r="O652" s="308"/>
      <c r="P652" s="308"/>
      <c r="Q652" s="308"/>
      <c r="R652" s="308"/>
      <c r="S652" s="308"/>
      <c r="T652" s="308"/>
      <c r="U652" s="308"/>
      <c r="V652" s="308"/>
      <c r="W652" s="308"/>
      <c r="X652" s="308"/>
      <c r="Y652" s="308"/>
      <c r="Z652" s="308"/>
    </row>
    <row r="653" ht="15.75" customHeight="1">
      <c r="A653" s="308"/>
      <c r="B653" s="524"/>
      <c r="C653" s="308"/>
      <c r="D653" s="308"/>
      <c r="E653" s="308"/>
      <c r="F653" s="308"/>
      <c r="G653" s="308"/>
      <c r="H653" s="308"/>
      <c r="I653" s="308"/>
      <c r="J653" s="308"/>
      <c r="K653" s="308"/>
      <c r="L653" s="308"/>
      <c r="M653" s="308"/>
      <c r="N653" s="308"/>
      <c r="O653" s="308"/>
      <c r="P653" s="308"/>
      <c r="Q653" s="308"/>
      <c r="R653" s="308"/>
      <c r="S653" s="308"/>
      <c r="T653" s="308"/>
      <c r="U653" s="308"/>
      <c r="V653" s="308"/>
      <c r="W653" s="308"/>
      <c r="X653" s="308"/>
      <c r="Y653" s="308"/>
      <c r="Z653" s="308"/>
    </row>
    <row r="654" ht="15.75" customHeight="1">
      <c r="A654" s="308"/>
      <c r="B654" s="524"/>
      <c r="C654" s="308"/>
      <c r="D654" s="308"/>
      <c r="E654" s="308"/>
      <c r="F654" s="308"/>
      <c r="G654" s="308"/>
      <c r="H654" s="308"/>
      <c r="I654" s="308"/>
      <c r="J654" s="308"/>
      <c r="K654" s="308"/>
      <c r="L654" s="308"/>
      <c r="M654" s="308"/>
      <c r="N654" s="308"/>
      <c r="O654" s="308"/>
      <c r="P654" s="308"/>
      <c r="Q654" s="308"/>
      <c r="R654" s="308"/>
      <c r="S654" s="308"/>
      <c r="T654" s="308"/>
      <c r="U654" s="308"/>
      <c r="V654" s="308"/>
      <c r="W654" s="308"/>
      <c r="X654" s="308"/>
      <c r="Y654" s="308"/>
      <c r="Z654" s="308"/>
    </row>
    <row r="655" ht="15.75" customHeight="1">
      <c r="A655" s="308"/>
      <c r="B655" s="524"/>
      <c r="C655" s="308"/>
      <c r="D655" s="308"/>
      <c r="E655" s="308"/>
      <c r="F655" s="308"/>
      <c r="G655" s="308"/>
      <c r="H655" s="308"/>
      <c r="I655" s="308"/>
      <c r="J655" s="308"/>
      <c r="K655" s="308"/>
      <c r="L655" s="308"/>
      <c r="M655" s="308"/>
      <c r="N655" s="308"/>
      <c r="O655" s="308"/>
      <c r="P655" s="308"/>
      <c r="Q655" s="308"/>
      <c r="R655" s="308"/>
      <c r="S655" s="308"/>
      <c r="T655" s="308"/>
      <c r="U655" s="308"/>
      <c r="V655" s="308"/>
      <c r="W655" s="308"/>
      <c r="X655" s="308"/>
      <c r="Y655" s="308"/>
      <c r="Z655" s="308"/>
    </row>
    <row r="656" ht="15.75" customHeight="1">
      <c r="A656" s="308"/>
      <c r="B656" s="524"/>
      <c r="C656" s="308"/>
      <c r="D656" s="308"/>
      <c r="E656" s="308"/>
      <c r="F656" s="308"/>
      <c r="G656" s="308"/>
      <c r="H656" s="308"/>
      <c r="I656" s="308"/>
      <c r="J656" s="308"/>
      <c r="K656" s="308"/>
      <c r="L656" s="308"/>
      <c r="M656" s="308"/>
      <c r="N656" s="308"/>
      <c r="O656" s="308"/>
      <c r="P656" s="308"/>
      <c r="Q656" s="308"/>
      <c r="R656" s="308"/>
      <c r="S656" s="308"/>
      <c r="T656" s="308"/>
      <c r="U656" s="308"/>
      <c r="V656" s="308"/>
      <c r="W656" s="308"/>
      <c r="X656" s="308"/>
      <c r="Y656" s="308"/>
      <c r="Z656" s="308"/>
    </row>
    <row r="657" ht="15.75" customHeight="1">
      <c r="A657" s="308"/>
      <c r="B657" s="524"/>
      <c r="C657" s="308"/>
      <c r="D657" s="308"/>
      <c r="E657" s="308"/>
      <c r="F657" s="308"/>
      <c r="G657" s="308"/>
      <c r="H657" s="308"/>
      <c r="I657" s="308"/>
      <c r="J657" s="308"/>
      <c r="K657" s="308"/>
      <c r="L657" s="308"/>
      <c r="M657" s="308"/>
      <c r="N657" s="308"/>
      <c r="O657" s="308"/>
      <c r="P657" s="308"/>
      <c r="Q657" s="308"/>
      <c r="R657" s="308"/>
      <c r="S657" s="308"/>
      <c r="T657" s="308"/>
      <c r="U657" s="308"/>
      <c r="V657" s="308"/>
      <c r="W657" s="308"/>
      <c r="X657" s="308"/>
      <c r="Y657" s="308"/>
      <c r="Z657" s="308"/>
    </row>
    <row r="658" ht="15.75" customHeight="1">
      <c r="A658" s="308"/>
      <c r="B658" s="524"/>
      <c r="C658" s="308"/>
      <c r="D658" s="308"/>
      <c r="E658" s="308"/>
      <c r="F658" s="308"/>
      <c r="G658" s="308"/>
      <c r="H658" s="308"/>
      <c r="I658" s="308"/>
      <c r="J658" s="308"/>
      <c r="K658" s="308"/>
      <c r="L658" s="308"/>
      <c r="M658" s="308"/>
      <c r="N658" s="308"/>
      <c r="O658" s="308"/>
      <c r="P658" s="308"/>
      <c r="Q658" s="308"/>
      <c r="R658" s="308"/>
      <c r="S658" s="308"/>
      <c r="T658" s="308"/>
      <c r="U658" s="308"/>
      <c r="V658" s="308"/>
      <c r="W658" s="308"/>
      <c r="X658" s="308"/>
      <c r="Y658" s="308"/>
      <c r="Z658" s="308"/>
    </row>
    <row r="659" ht="15.75" customHeight="1">
      <c r="A659" s="308"/>
      <c r="B659" s="524"/>
      <c r="C659" s="308"/>
      <c r="D659" s="308"/>
      <c r="E659" s="308"/>
      <c r="F659" s="308"/>
      <c r="G659" s="308"/>
      <c r="H659" s="308"/>
      <c r="I659" s="308"/>
      <c r="J659" s="308"/>
      <c r="K659" s="308"/>
      <c r="L659" s="308"/>
      <c r="M659" s="308"/>
      <c r="N659" s="308"/>
      <c r="O659" s="308"/>
      <c r="P659" s="308"/>
      <c r="Q659" s="308"/>
      <c r="R659" s="308"/>
      <c r="S659" s="308"/>
      <c r="T659" s="308"/>
      <c r="U659" s="308"/>
      <c r="V659" s="308"/>
      <c r="W659" s="308"/>
      <c r="X659" s="308"/>
      <c r="Y659" s="308"/>
      <c r="Z659" s="308"/>
    </row>
    <row r="660" ht="15.75" customHeight="1">
      <c r="A660" s="308"/>
      <c r="B660" s="524"/>
      <c r="C660" s="308"/>
      <c r="D660" s="308"/>
      <c r="E660" s="308"/>
      <c r="F660" s="308"/>
      <c r="G660" s="308"/>
      <c r="H660" s="308"/>
      <c r="I660" s="308"/>
      <c r="J660" s="308"/>
      <c r="K660" s="308"/>
      <c r="L660" s="308"/>
      <c r="M660" s="308"/>
      <c r="N660" s="308"/>
      <c r="O660" s="308"/>
      <c r="P660" s="308"/>
      <c r="Q660" s="308"/>
      <c r="R660" s="308"/>
      <c r="S660" s="308"/>
      <c r="T660" s="308"/>
      <c r="U660" s="308"/>
      <c r="V660" s="308"/>
      <c r="W660" s="308"/>
      <c r="X660" s="308"/>
      <c r="Y660" s="308"/>
      <c r="Z660" s="308"/>
    </row>
    <row r="661" ht="15.75" customHeight="1">
      <c r="A661" s="308"/>
      <c r="B661" s="524"/>
      <c r="C661" s="308"/>
      <c r="D661" s="308"/>
      <c r="E661" s="308"/>
      <c r="F661" s="308"/>
      <c r="G661" s="308"/>
      <c r="H661" s="308"/>
      <c r="I661" s="308"/>
      <c r="J661" s="308"/>
      <c r="K661" s="308"/>
      <c r="L661" s="308"/>
      <c r="M661" s="308"/>
      <c r="N661" s="308"/>
      <c r="O661" s="308"/>
      <c r="P661" s="308"/>
      <c r="Q661" s="308"/>
      <c r="R661" s="308"/>
      <c r="S661" s="308"/>
      <c r="T661" s="308"/>
      <c r="U661" s="308"/>
      <c r="V661" s="308"/>
      <c r="W661" s="308"/>
      <c r="X661" s="308"/>
      <c r="Y661" s="308"/>
      <c r="Z661" s="308"/>
    </row>
    <row r="662" ht="15.75" customHeight="1">
      <c r="A662" s="308"/>
      <c r="B662" s="524"/>
      <c r="C662" s="308"/>
      <c r="D662" s="308"/>
      <c r="E662" s="308"/>
      <c r="F662" s="308"/>
      <c r="G662" s="308"/>
      <c r="H662" s="308"/>
      <c r="I662" s="308"/>
      <c r="J662" s="308"/>
      <c r="K662" s="308"/>
      <c r="L662" s="308"/>
      <c r="M662" s="308"/>
      <c r="N662" s="308"/>
      <c r="O662" s="308"/>
      <c r="P662" s="308"/>
      <c r="Q662" s="308"/>
      <c r="R662" s="308"/>
      <c r="S662" s="308"/>
      <c r="T662" s="308"/>
      <c r="U662" s="308"/>
      <c r="V662" s="308"/>
      <c r="W662" s="308"/>
      <c r="X662" s="308"/>
      <c r="Y662" s="308"/>
      <c r="Z662" s="308"/>
    </row>
    <row r="663" ht="15.75" customHeight="1">
      <c r="A663" s="308"/>
      <c r="B663" s="524"/>
      <c r="C663" s="308"/>
      <c r="D663" s="308"/>
      <c r="E663" s="308"/>
      <c r="F663" s="308"/>
      <c r="G663" s="308"/>
      <c r="H663" s="308"/>
      <c r="I663" s="308"/>
      <c r="J663" s="308"/>
      <c r="K663" s="308"/>
      <c r="L663" s="308"/>
      <c r="M663" s="308"/>
      <c r="N663" s="308"/>
      <c r="O663" s="308"/>
      <c r="P663" s="308"/>
      <c r="Q663" s="308"/>
      <c r="R663" s="308"/>
      <c r="S663" s="308"/>
      <c r="T663" s="308"/>
      <c r="U663" s="308"/>
      <c r="V663" s="308"/>
      <c r="W663" s="308"/>
      <c r="X663" s="308"/>
      <c r="Y663" s="308"/>
      <c r="Z663" s="308"/>
    </row>
    <row r="664" ht="15.75" customHeight="1">
      <c r="A664" s="308"/>
      <c r="B664" s="524"/>
      <c r="C664" s="308"/>
      <c r="D664" s="308"/>
      <c r="E664" s="308"/>
      <c r="F664" s="308"/>
      <c r="G664" s="308"/>
      <c r="H664" s="308"/>
      <c r="I664" s="308"/>
      <c r="J664" s="308"/>
      <c r="K664" s="308"/>
      <c r="L664" s="308"/>
      <c r="M664" s="308"/>
      <c r="N664" s="308"/>
      <c r="O664" s="308"/>
      <c r="P664" s="308"/>
      <c r="Q664" s="308"/>
      <c r="R664" s="308"/>
      <c r="S664" s="308"/>
      <c r="T664" s="308"/>
      <c r="U664" s="308"/>
      <c r="V664" s="308"/>
      <c r="W664" s="308"/>
      <c r="X664" s="308"/>
      <c r="Y664" s="308"/>
      <c r="Z664" s="308"/>
    </row>
    <row r="665" ht="15.75" customHeight="1">
      <c r="A665" s="308"/>
      <c r="B665" s="524"/>
      <c r="C665" s="308"/>
      <c r="D665" s="308"/>
      <c r="E665" s="308"/>
      <c r="F665" s="308"/>
      <c r="G665" s="308"/>
      <c r="H665" s="308"/>
      <c r="I665" s="308"/>
      <c r="J665" s="308"/>
      <c r="K665" s="308"/>
      <c r="L665" s="308"/>
      <c r="M665" s="308"/>
      <c r="N665" s="308"/>
      <c r="O665" s="308"/>
      <c r="P665" s="308"/>
      <c r="Q665" s="308"/>
      <c r="R665" s="308"/>
      <c r="S665" s="308"/>
      <c r="T665" s="308"/>
      <c r="U665" s="308"/>
      <c r="V665" s="308"/>
      <c r="W665" s="308"/>
      <c r="X665" s="308"/>
      <c r="Y665" s="308"/>
      <c r="Z665" s="308"/>
    </row>
    <row r="666" ht="15.75" customHeight="1">
      <c r="A666" s="308"/>
      <c r="B666" s="524"/>
      <c r="C666" s="308"/>
      <c r="D666" s="308"/>
      <c r="E666" s="308"/>
      <c r="F666" s="308"/>
      <c r="G666" s="308"/>
      <c r="H666" s="308"/>
      <c r="I666" s="308"/>
      <c r="J666" s="308"/>
      <c r="K666" s="308"/>
      <c r="L666" s="308"/>
      <c r="M666" s="308"/>
      <c r="N666" s="308"/>
      <c r="O666" s="308"/>
      <c r="P666" s="308"/>
      <c r="Q666" s="308"/>
      <c r="R666" s="308"/>
      <c r="S666" s="308"/>
      <c r="T666" s="308"/>
      <c r="U666" s="308"/>
      <c r="V666" s="308"/>
      <c r="W666" s="308"/>
      <c r="X666" s="308"/>
      <c r="Y666" s="308"/>
      <c r="Z666" s="308"/>
    </row>
    <row r="667" ht="15.75" customHeight="1">
      <c r="A667" s="308"/>
      <c r="B667" s="524"/>
      <c r="C667" s="308"/>
      <c r="D667" s="308"/>
      <c r="E667" s="308"/>
      <c r="F667" s="308"/>
      <c r="G667" s="308"/>
      <c r="H667" s="308"/>
      <c r="I667" s="308"/>
      <c r="J667" s="308"/>
      <c r="K667" s="308"/>
      <c r="L667" s="308"/>
      <c r="M667" s="308"/>
      <c r="N667" s="308"/>
      <c r="O667" s="308"/>
      <c r="P667" s="308"/>
      <c r="Q667" s="308"/>
      <c r="R667" s="308"/>
      <c r="S667" s="308"/>
      <c r="T667" s="308"/>
      <c r="U667" s="308"/>
      <c r="V667" s="308"/>
      <c r="W667" s="308"/>
      <c r="X667" s="308"/>
      <c r="Y667" s="308"/>
      <c r="Z667" s="308"/>
    </row>
    <row r="668" ht="15.75" customHeight="1">
      <c r="A668" s="308"/>
      <c r="B668" s="524"/>
      <c r="C668" s="308"/>
      <c r="D668" s="308"/>
      <c r="E668" s="308"/>
      <c r="F668" s="308"/>
      <c r="G668" s="308"/>
      <c r="H668" s="308"/>
      <c r="I668" s="308"/>
      <c r="J668" s="308"/>
      <c r="K668" s="308"/>
      <c r="L668" s="308"/>
      <c r="M668" s="308"/>
      <c r="N668" s="308"/>
      <c r="O668" s="308"/>
      <c r="P668" s="308"/>
      <c r="Q668" s="308"/>
      <c r="R668" s="308"/>
      <c r="S668" s="308"/>
      <c r="T668" s="308"/>
      <c r="U668" s="308"/>
      <c r="V668" s="308"/>
      <c r="W668" s="308"/>
      <c r="X668" s="308"/>
      <c r="Y668" s="308"/>
      <c r="Z668" s="308"/>
    </row>
    <row r="669" ht="15.75" customHeight="1">
      <c r="A669" s="308"/>
      <c r="B669" s="524"/>
      <c r="C669" s="308"/>
      <c r="D669" s="308"/>
      <c r="E669" s="308"/>
      <c r="F669" s="308"/>
      <c r="G669" s="308"/>
      <c r="H669" s="308"/>
      <c r="I669" s="308"/>
      <c r="J669" s="308"/>
      <c r="K669" s="308"/>
      <c r="L669" s="308"/>
      <c r="M669" s="308"/>
      <c r="N669" s="308"/>
      <c r="O669" s="308"/>
      <c r="P669" s="308"/>
      <c r="Q669" s="308"/>
      <c r="R669" s="308"/>
      <c r="S669" s="308"/>
      <c r="T669" s="308"/>
      <c r="U669" s="308"/>
      <c r="V669" s="308"/>
      <c r="W669" s="308"/>
      <c r="X669" s="308"/>
      <c r="Y669" s="308"/>
      <c r="Z669" s="308"/>
    </row>
    <row r="670" ht="15.75" customHeight="1">
      <c r="A670" s="308"/>
      <c r="B670" s="524"/>
      <c r="C670" s="308"/>
      <c r="D670" s="308"/>
      <c r="E670" s="308"/>
      <c r="F670" s="308"/>
      <c r="G670" s="308"/>
      <c r="H670" s="308"/>
      <c r="I670" s="308"/>
      <c r="J670" s="308"/>
      <c r="K670" s="308"/>
      <c r="L670" s="308"/>
      <c r="M670" s="308"/>
      <c r="N670" s="308"/>
      <c r="O670" s="308"/>
      <c r="P670" s="308"/>
      <c r="Q670" s="308"/>
      <c r="R670" s="308"/>
      <c r="S670" s="308"/>
      <c r="T670" s="308"/>
      <c r="U670" s="308"/>
      <c r="V670" s="308"/>
      <c r="W670" s="308"/>
      <c r="X670" s="308"/>
      <c r="Y670" s="308"/>
      <c r="Z670" s="308"/>
    </row>
    <row r="671" ht="15.75" customHeight="1">
      <c r="A671" s="308"/>
      <c r="B671" s="524"/>
      <c r="C671" s="308"/>
      <c r="D671" s="308"/>
      <c r="E671" s="308"/>
      <c r="F671" s="308"/>
      <c r="G671" s="308"/>
      <c r="H671" s="308"/>
      <c r="I671" s="308"/>
      <c r="J671" s="308"/>
      <c r="K671" s="308"/>
      <c r="L671" s="308"/>
      <c r="M671" s="308"/>
      <c r="N671" s="308"/>
      <c r="O671" s="308"/>
      <c r="P671" s="308"/>
      <c r="Q671" s="308"/>
      <c r="R671" s="308"/>
      <c r="S671" s="308"/>
      <c r="T671" s="308"/>
      <c r="U671" s="308"/>
      <c r="V671" s="308"/>
      <c r="W671" s="308"/>
      <c r="X671" s="308"/>
      <c r="Y671" s="308"/>
      <c r="Z671" s="308"/>
    </row>
    <row r="672" ht="15.75" customHeight="1">
      <c r="A672" s="308"/>
      <c r="B672" s="524"/>
      <c r="C672" s="308"/>
      <c r="D672" s="308"/>
      <c r="E672" s="308"/>
      <c r="F672" s="308"/>
      <c r="G672" s="308"/>
      <c r="H672" s="308"/>
      <c r="I672" s="308"/>
      <c r="J672" s="308"/>
      <c r="K672" s="308"/>
      <c r="L672" s="308"/>
      <c r="M672" s="308"/>
      <c r="N672" s="308"/>
      <c r="O672" s="308"/>
      <c r="P672" s="308"/>
      <c r="Q672" s="308"/>
      <c r="R672" s="308"/>
      <c r="S672" s="308"/>
      <c r="T672" s="308"/>
      <c r="U672" s="308"/>
      <c r="V672" s="308"/>
      <c r="W672" s="308"/>
      <c r="X672" s="308"/>
      <c r="Y672" s="308"/>
      <c r="Z672" s="308"/>
    </row>
    <row r="673" ht="15.75" customHeight="1">
      <c r="A673" s="308"/>
      <c r="B673" s="524"/>
      <c r="C673" s="308"/>
      <c r="D673" s="308"/>
      <c r="E673" s="308"/>
      <c r="F673" s="308"/>
      <c r="G673" s="308"/>
      <c r="H673" s="308"/>
      <c r="I673" s="308"/>
      <c r="J673" s="308"/>
      <c r="K673" s="308"/>
      <c r="L673" s="308"/>
      <c r="M673" s="308"/>
      <c r="N673" s="308"/>
      <c r="O673" s="308"/>
      <c r="P673" s="308"/>
      <c r="Q673" s="308"/>
      <c r="R673" s="308"/>
      <c r="S673" s="308"/>
      <c r="T673" s="308"/>
      <c r="U673" s="308"/>
      <c r="V673" s="308"/>
      <c r="W673" s="308"/>
      <c r="X673" s="308"/>
      <c r="Y673" s="308"/>
      <c r="Z673" s="308"/>
    </row>
    <row r="674" ht="15.75" customHeight="1">
      <c r="A674" s="308"/>
      <c r="B674" s="524"/>
      <c r="C674" s="308"/>
      <c r="D674" s="308"/>
      <c r="E674" s="308"/>
      <c r="F674" s="308"/>
      <c r="G674" s="308"/>
      <c r="H674" s="308"/>
      <c r="I674" s="308"/>
      <c r="J674" s="308"/>
      <c r="K674" s="308"/>
      <c r="L674" s="308"/>
      <c r="M674" s="308"/>
      <c r="N674" s="308"/>
      <c r="O674" s="308"/>
      <c r="P674" s="308"/>
      <c r="Q674" s="308"/>
      <c r="R674" s="308"/>
      <c r="S674" s="308"/>
      <c r="T674" s="308"/>
      <c r="U674" s="308"/>
      <c r="V674" s="308"/>
      <c r="W674" s="308"/>
      <c r="X674" s="308"/>
      <c r="Y674" s="308"/>
      <c r="Z674" s="308"/>
    </row>
    <row r="675" ht="15.75" customHeight="1">
      <c r="A675" s="308"/>
      <c r="B675" s="524"/>
      <c r="C675" s="308"/>
      <c r="D675" s="308"/>
      <c r="E675" s="308"/>
      <c r="F675" s="308"/>
      <c r="G675" s="308"/>
      <c r="H675" s="308"/>
      <c r="I675" s="308"/>
      <c r="J675" s="308"/>
      <c r="K675" s="308"/>
      <c r="L675" s="308"/>
      <c r="M675" s="308"/>
      <c r="N675" s="308"/>
      <c r="O675" s="308"/>
      <c r="P675" s="308"/>
      <c r="Q675" s="308"/>
      <c r="R675" s="308"/>
      <c r="S675" s="308"/>
      <c r="T675" s="308"/>
      <c r="U675" s="308"/>
      <c r="V675" s="308"/>
      <c r="W675" s="308"/>
      <c r="X675" s="308"/>
      <c r="Y675" s="308"/>
      <c r="Z675" s="308"/>
    </row>
    <row r="676" ht="15.75" customHeight="1">
      <c r="A676" s="308"/>
      <c r="B676" s="524"/>
      <c r="C676" s="308"/>
      <c r="D676" s="308"/>
      <c r="E676" s="308"/>
      <c r="F676" s="308"/>
      <c r="G676" s="308"/>
      <c r="H676" s="308"/>
      <c r="I676" s="308"/>
      <c r="J676" s="308"/>
      <c r="K676" s="308"/>
      <c r="L676" s="308"/>
      <c r="M676" s="308"/>
      <c r="N676" s="308"/>
      <c r="O676" s="308"/>
      <c r="P676" s="308"/>
      <c r="Q676" s="308"/>
      <c r="R676" s="308"/>
      <c r="S676" s="308"/>
      <c r="T676" s="308"/>
      <c r="U676" s="308"/>
      <c r="V676" s="308"/>
      <c r="W676" s="308"/>
      <c r="X676" s="308"/>
      <c r="Y676" s="308"/>
      <c r="Z676" s="308"/>
    </row>
    <row r="677" ht="15.75" customHeight="1">
      <c r="A677" s="308"/>
      <c r="B677" s="524"/>
      <c r="C677" s="308"/>
      <c r="D677" s="308"/>
      <c r="E677" s="308"/>
      <c r="F677" s="308"/>
      <c r="G677" s="308"/>
      <c r="H677" s="308"/>
      <c r="I677" s="308"/>
      <c r="J677" s="308"/>
      <c r="K677" s="308"/>
      <c r="L677" s="308"/>
      <c r="M677" s="308"/>
      <c r="N677" s="308"/>
      <c r="O677" s="308"/>
      <c r="P677" s="308"/>
      <c r="Q677" s="308"/>
      <c r="R677" s="308"/>
      <c r="S677" s="308"/>
      <c r="T677" s="308"/>
      <c r="U677" s="308"/>
      <c r="V677" s="308"/>
      <c r="W677" s="308"/>
      <c r="X677" s="308"/>
      <c r="Y677" s="308"/>
      <c r="Z677" s="308"/>
    </row>
    <row r="678" ht="15.75" customHeight="1">
      <c r="A678" s="308"/>
      <c r="B678" s="524"/>
      <c r="C678" s="308"/>
      <c r="D678" s="308"/>
      <c r="E678" s="308"/>
      <c r="F678" s="308"/>
      <c r="G678" s="308"/>
      <c r="H678" s="308"/>
      <c r="I678" s="308"/>
      <c r="J678" s="308"/>
      <c r="K678" s="308"/>
      <c r="L678" s="308"/>
      <c r="M678" s="308"/>
      <c r="N678" s="308"/>
      <c r="O678" s="308"/>
      <c r="P678" s="308"/>
      <c r="Q678" s="308"/>
      <c r="R678" s="308"/>
      <c r="S678" s="308"/>
      <c r="T678" s="308"/>
      <c r="U678" s="308"/>
      <c r="V678" s="308"/>
      <c r="W678" s="308"/>
      <c r="X678" s="308"/>
      <c r="Y678" s="308"/>
      <c r="Z678" s="308"/>
    </row>
    <row r="679" ht="15.75" customHeight="1">
      <c r="A679" s="308"/>
      <c r="B679" s="524"/>
      <c r="C679" s="308"/>
      <c r="D679" s="308"/>
      <c r="E679" s="308"/>
      <c r="F679" s="308"/>
      <c r="G679" s="308"/>
      <c r="H679" s="308"/>
      <c r="I679" s="308"/>
      <c r="J679" s="308"/>
      <c r="K679" s="308"/>
      <c r="L679" s="308"/>
      <c r="M679" s="308"/>
      <c r="N679" s="308"/>
      <c r="O679" s="308"/>
      <c r="P679" s="308"/>
      <c r="Q679" s="308"/>
      <c r="R679" s="308"/>
      <c r="S679" s="308"/>
      <c r="T679" s="308"/>
      <c r="U679" s="308"/>
      <c r="V679" s="308"/>
      <c r="W679" s="308"/>
      <c r="X679" s="308"/>
      <c r="Y679" s="308"/>
      <c r="Z679" s="308"/>
    </row>
    <row r="680" ht="15.75" customHeight="1">
      <c r="A680" s="308"/>
      <c r="B680" s="524"/>
      <c r="C680" s="308"/>
      <c r="D680" s="308"/>
      <c r="E680" s="308"/>
      <c r="F680" s="308"/>
      <c r="G680" s="308"/>
      <c r="H680" s="308"/>
      <c r="I680" s="308"/>
      <c r="J680" s="308"/>
      <c r="K680" s="308"/>
      <c r="L680" s="308"/>
      <c r="M680" s="308"/>
      <c r="N680" s="308"/>
      <c r="O680" s="308"/>
      <c r="P680" s="308"/>
      <c r="Q680" s="308"/>
      <c r="R680" s="308"/>
      <c r="S680" s="308"/>
      <c r="T680" s="308"/>
      <c r="U680" s="308"/>
      <c r="V680" s="308"/>
      <c r="W680" s="308"/>
      <c r="X680" s="308"/>
      <c r="Y680" s="308"/>
      <c r="Z680" s="308"/>
    </row>
    <row r="681" ht="15.75" customHeight="1">
      <c r="A681" s="308"/>
      <c r="B681" s="524"/>
      <c r="C681" s="308"/>
      <c r="D681" s="308"/>
      <c r="E681" s="308"/>
      <c r="F681" s="308"/>
      <c r="G681" s="308"/>
      <c r="H681" s="308"/>
      <c r="I681" s="308"/>
      <c r="J681" s="308"/>
      <c r="K681" s="308"/>
      <c r="L681" s="308"/>
      <c r="M681" s="308"/>
      <c r="N681" s="308"/>
      <c r="O681" s="308"/>
      <c r="P681" s="308"/>
      <c r="Q681" s="308"/>
      <c r="R681" s="308"/>
      <c r="S681" s="308"/>
      <c r="T681" s="308"/>
      <c r="U681" s="308"/>
      <c r="V681" s="308"/>
      <c r="W681" s="308"/>
      <c r="X681" s="308"/>
      <c r="Y681" s="308"/>
      <c r="Z681" s="308"/>
    </row>
    <row r="682" ht="15.75" customHeight="1">
      <c r="A682" s="308"/>
      <c r="B682" s="524"/>
      <c r="C682" s="308"/>
      <c r="D682" s="308"/>
      <c r="E682" s="308"/>
      <c r="F682" s="308"/>
      <c r="G682" s="308"/>
      <c r="H682" s="308"/>
      <c r="I682" s="308"/>
      <c r="J682" s="308"/>
      <c r="K682" s="308"/>
      <c r="L682" s="308"/>
      <c r="M682" s="308"/>
      <c r="N682" s="308"/>
      <c r="O682" s="308"/>
      <c r="P682" s="308"/>
      <c r="Q682" s="308"/>
      <c r="R682" s="308"/>
      <c r="S682" s="308"/>
      <c r="T682" s="308"/>
      <c r="U682" s="308"/>
      <c r="V682" s="308"/>
      <c r="W682" s="308"/>
      <c r="X682" s="308"/>
      <c r="Y682" s="308"/>
      <c r="Z682" s="308"/>
    </row>
    <row r="683" ht="15.75" customHeight="1">
      <c r="A683" s="308"/>
      <c r="B683" s="524"/>
      <c r="C683" s="308"/>
      <c r="D683" s="308"/>
      <c r="E683" s="308"/>
      <c r="F683" s="308"/>
      <c r="G683" s="308"/>
      <c r="H683" s="308"/>
      <c r="I683" s="308"/>
      <c r="J683" s="308"/>
      <c r="K683" s="308"/>
      <c r="L683" s="308"/>
      <c r="M683" s="308"/>
      <c r="N683" s="308"/>
      <c r="O683" s="308"/>
      <c r="P683" s="308"/>
      <c r="Q683" s="308"/>
      <c r="R683" s="308"/>
      <c r="S683" s="308"/>
      <c r="T683" s="308"/>
      <c r="U683" s="308"/>
      <c r="V683" s="308"/>
      <c r="W683" s="308"/>
      <c r="X683" s="308"/>
      <c r="Y683" s="308"/>
      <c r="Z683" s="308"/>
    </row>
    <row r="684" ht="15.75" customHeight="1">
      <c r="A684" s="308"/>
      <c r="B684" s="524"/>
      <c r="C684" s="308"/>
      <c r="D684" s="308"/>
      <c r="E684" s="308"/>
      <c r="F684" s="308"/>
      <c r="G684" s="308"/>
      <c r="H684" s="308"/>
      <c r="I684" s="308"/>
      <c r="J684" s="308"/>
      <c r="K684" s="308"/>
      <c r="L684" s="308"/>
      <c r="M684" s="308"/>
      <c r="N684" s="308"/>
      <c r="O684" s="308"/>
      <c r="P684" s="308"/>
      <c r="Q684" s="308"/>
      <c r="R684" s="308"/>
      <c r="S684" s="308"/>
      <c r="T684" s="308"/>
      <c r="U684" s="308"/>
      <c r="V684" s="308"/>
      <c r="W684" s="308"/>
      <c r="X684" s="308"/>
      <c r="Y684" s="308"/>
      <c r="Z684" s="308"/>
    </row>
    <row r="685" ht="15.75" customHeight="1">
      <c r="A685" s="308"/>
      <c r="B685" s="524"/>
      <c r="C685" s="308"/>
      <c r="D685" s="308"/>
      <c r="E685" s="308"/>
      <c r="F685" s="308"/>
      <c r="G685" s="308"/>
      <c r="H685" s="308"/>
      <c r="I685" s="308"/>
      <c r="J685" s="308"/>
      <c r="K685" s="308"/>
      <c r="L685" s="308"/>
      <c r="M685" s="308"/>
      <c r="N685" s="308"/>
      <c r="O685" s="308"/>
      <c r="P685" s="308"/>
      <c r="Q685" s="308"/>
      <c r="R685" s="308"/>
      <c r="S685" s="308"/>
      <c r="T685" s="308"/>
      <c r="U685" s="308"/>
      <c r="V685" s="308"/>
      <c r="W685" s="308"/>
      <c r="X685" s="308"/>
      <c r="Y685" s="308"/>
      <c r="Z685" s="308"/>
    </row>
    <row r="686" ht="15.75" customHeight="1">
      <c r="A686" s="308"/>
      <c r="B686" s="524"/>
      <c r="C686" s="308"/>
      <c r="D686" s="308"/>
      <c r="E686" s="308"/>
      <c r="F686" s="308"/>
      <c r="G686" s="308"/>
      <c r="H686" s="308"/>
      <c r="I686" s="308"/>
      <c r="J686" s="308"/>
      <c r="K686" s="308"/>
      <c r="L686" s="308"/>
      <c r="M686" s="308"/>
      <c r="N686" s="308"/>
      <c r="O686" s="308"/>
      <c r="P686" s="308"/>
      <c r="Q686" s="308"/>
      <c r="R686" s="308"/>
      <c r="S686" s="308"/>
      <c r="T686" s="308"/>
      <c r="U686" s="308"/>
      <c r="V686" s="308"/>
      <c r="W686" s="308"/>
      <c r="X686" s="308"/>
      <c r="Y686" s="308"/>
      <c r="Z686" s="308"/>
    </row>
    <row r="687" ht="15.75" customHeight="1">
      <c r="A687" s="308"/>
      <c r="B687" s="524"/>
      <c r="C687" s="308"/>
      <c r="D687" s="308"/>
      <c r="E687" s="308"/>
      <c r="F687" s="308"/>
      <c r="G687" s="308"/>
      <c r="H687" s="308"/>
      <c r="I687" s="308"/>
      <c r="J687" s="308"/>
      <c r="K687" s="308"/>
      <c r="L687" s="308"/>
      <c r="M687" s="308"/>
      <c r="N687" s="308"/>
      <c r="O687" s="308"/>
      <c r="P687" s="308"/>
      <c r="Q687" s="308"/>
      <c r="R687" s="308"/>
      <c r="S687" s="308"/>
      <c r="T687" s="308"/>
      <c r="U687" s="308"/>
      <c r="V687" s="308"/>
      <c r="W687" s="308"/>
      <c r="X687" s="308"/>
      <c r="Y687" s="308"/>
      <c r="Z687" s="308"/>
    </row>
    <row r="688" ht="15.75" customHeight="1">
      <c r="A688" s="308"/>
      <c r="B688" s="524"/>
      <c r="C688" s="308"/>
      <c r="D688" s="308"/>
      <c r="E688" s="308"/>
      <c r="F688" s="308"/>
      <c r="G688" s="308"/>
      <c r="H688" s="308"/>
      <c r="I688" s="308"/>
      <c r="J688" s="308"/>
      <c r="K688" s="308"/>
      <c r="L688" s="308"/>
      <c r="M688" s="308"/>
      <c r="N688" s="308"/>
      <c r="O688" s="308"/>
      <c r="P688" s="308"/>
      <c r="Q688" s="308"/>
      <c r="R688" s="308"/>
      <c r="S688" s="308"/>
      <c r="T688" s="308"/>
      <c r="U688" s="308"/>
      <c r="V688" s="308"/>
      <c r="W688" s="308"/>
      <c r="X688" s="308"/>
      <c r="Y688" s="308"/>
      <c r="Z688" s="308"/>
    </row>
    <row r="689" ht="15.75" customHeight="1">
      <c r="A689" s="308"/>
      <c r="B689" s="524"/>
      <c r="C689" s="308"/>
      <c r="D689" s="308"/>
      <c r="E689" s="308"/>
      <c r="F689" s="308"/>
      <c r="G689" s="308"/>
      <c r="H689" s="308"/>
      <c r="I689" s="308"/>
      <c r="J689" s="308"/>
      <c r="K689" s="308"/>
      <c r="L689" s="308"/>
      <c r="M689" s="308"/>
      <c r="N689" s="308"/>
      <c r="O689" s="308"/>
      <c r="P689" s="308"/>
      <c r="Q689" s="308"/>
      <c r="R689" s="308"/>
      <c r="S689" s="308"/>
      <c r="T689" s="308"/>
      <c r="U689" s="308"/>
      <c r="V689" s="308"/>
      <c r="W689" s="308"/>
      <c r="X689" s="308"/>
      <c r="Y689" s="308"/>
      <c r="Z689" s="308"/>
    </row>
    <row r="690" ht="15.75" customHeight="1">
      <c r="A690" s="308"/>
      <c r="B690" s="524"/>
      <c r="C690" s="308"/>
      <c r="D690" s="308"/>
      <c r="E690" s="308"/>
      <c r="F690" s="308"/>
      <c r="G690" s="308"/>
      <c r="H690" s="308"/>
      <c r="I690" s="308"/>
      <c r="J690" s="308"/>
      <c r="K690" s="308"/>
      <c r="L690" s="308"/>
      <c r="M690" s="308"/>
      <c r="N690" s="308"/>
      <c r="O690" s="308"/>
      <c r="P690" s="308"/>
      <c r="Q690" s="308"/>
      <c r="R690" s="308"/>
      <c r="S690" s="308"/>
      <c r="T690" s="308"/>
      <c r="U690" s="308"/>
      <c r="V690" s="308"/>
      <c r="W690" s="308"/>
      <c r="X690" s="308"/>
      <c r="Y690" s="308"/>
      <c r="Z690" s="308"/>
    </row>
    <row r="691" ht="15.75" customHeight="1">
      <c r="A691" s="308"/>
      <c r="B691" s="524"/>
      <c r="C691" s="308"/>
      <c r="D691" s="308"/>
      <c r="E691" s="308"/>
      <c r="F691" s="308"/>
      <c r="G691" s="308"/>
      <c r="H691" s="308"/>
      <c r="I691" s="308"/>
      <c r="J691" s="308"/>
      <c r="K691" s="308"/>
      <c r="L691" s="308"/>
      <c r="M691" s="308"/>
      <c r="N691" s="308"/>
      <c r="O691" s="308"/>
      <c r="P691" s="308"/>
      <c r="Q691" s="308"/>
      <c r="R691" s="308"/>
      <c r="S691" s="308"/>
      <c r="T691" s="308"/>
      <c r="U691" s="308"/>
      <c r="V691" s="308"/>
      <c r="W691" s="308"/>
      <c r="X691" s="308"/>
      <c r="Y691" s="308"/>
      <c r="Z691" s="308"/>
    </row>
    <row r="692" ht="15.75" customHeight="1">
      <c r="A692" s="308"/>
      <c r="B692" s="524"/>
      <c r="C692" s="308"/>
      <c r="D692" s="308"/>
      <c r="E692" s="308"/>
      <c r="F692" s="308"/>
      <c r="G692" s="308"/>
      <c r="H692" s="308"/>
      <c r="I692" s="308"/>
      <c r="J692" s="308"/>
      <c r="K692" s="308"/>
      <c r="L692" s="308"/>
      <c r="M692" s="308"/>
      <c r="N692" s="308"/>
      <c r="O692" s="308"/>
      <c r="P692" s="308"/>
      <c r="Q692" s="308"/>
      <c r="R692" s="308"/>
      <c r="S692" s="308"/>
      <c r="T692" s="308"/>
      <c r="U692" s="308"/>
      <c r="V692" s="308"/>
      <c r="W692" s="308"/>
      <c r="X692" s="308"/>
      <c r="Y692" s="308"/>
      <c r="Z692" s="308"/>
    </row>
    <row r="693" ht="15.75" customHeight="1">
      <c r="A693" s="308"/>
      <c r="B693" s="524"/>
      <c r="C693" s="308"/>
      <c r="D693" s="308"/>
      <c r="E693" s="308"/>
      <c r="F693" s="308"/>
      <c r="G693" s="308"/>
      <c r="H693" s="308"/>
      <c r="I693" s="308"/>
      <c r="J693" s="308"/>
      <c r="K693" s="308"/>
      <c r="L693" s="308"/>
      <c r="M693" s="308"/>
      <c r="N693" s="308"/>
      <c r="O693" s="308"/>
      <c r="P693" s="308"/>
      <c r="Q693" s="308"/>
      <c r="R693" s="308"/>
      <c r="S693" s="308"/>
      <c r="T693" s="308"/>
      <c r="U693" s="308"/>
      <c r="V693" s="308"/>
      <c r="W693" s="308"/>
      <c r="X693" s="308"/>
      <c r="Y693" s="308"/>
      <c r="Z693" s="308"/>
    </row>
    <row r="694" ht="15.75" customHeight="1">
      <c r="A694" s="308"/>
      <c r="B694" s="524"/>
      <c r="C694" s="308"/>
      <c r="D694" s="308"/>
      <c r="E694" s="308"/>
      <c r="F694" s="308"/>
      <c r="G694" s="308"/>
      <c r="H694" s="308"/>
      <c r="I694" s="308"/>
      <c r="J694" s="308"/>
      <c r="K694" s="308"/>
      <c r="L694" s="308"/>
      <c r="M694" s="308"/>
      <c r="N694" s="308"/>
      <c r="O694" s="308"/>
      <c r="P694" s="308"/>
      <c r="Q694" s="308"/>
      <c r="R694" s="308"/>
      <c r="S694" s="308"/>
      <c r="T694" s="308"/>
      <c r="U694" s="308"/>
      <c r="V694" s="308"/>
      <c r="W694" s="308"/>
      <c r="X694" s="308"/>
      <c r="Y694" s="308"/>
      <c r="Z694" s="308"/>
    </row>
    <row r="695" ht="15.75" customHeight="1">
      <c r="A695" s="308"/>
      <c r="B695" s="524"/>
      <c r="C695" s="308"/>
      <c r="D695" s="308"/>
      <c r="E695" s="308"/>
      <c r="F695" s="308"/>
      <c r="G695" s="308"/>
      <c r="H695" s="308"/>
      <c r="I695" s="308"/>
      <c r="J695" s="308"/>
      <c r="K695" s="308"/>
      <c r="L695" s="308"/>
      <c r="M695" s="308"/>
      <c r="N695" s="308"/>
      <c r="O695" s="308"/>
      <c r="P695" s="308"/>
      <c r="Q695" s="308"/>
      <c r="R695" s="308"/>
      <c r="S695" s="308"/>
      <c r="T695" s="308"/>
      <c r="U695" s="308"/>
      <c r="V695" s="308"/>
      <c r="W695" s="308"/>
      <c r="X695" s="308"/>
      <c r="Y695" s="308"/>
      <c r="Z695" s="308"/>
    </row>
    <row r="696" ht="15.75" customHeight="1">
      <c r="A696" s="308"/>
      <c r="B696" s="524"/>
      <c r="C696" s="308"/>
      <c r="D696" s="308"/>
      <c r="E696" s="308"/>
      <c r="F696" s="308"/>
      <c r="G696" s="308"/>
      <c r="H696" s="308"/>
      <c r="I696" s="308"/>
      <c r="J696" s="308"/>
      <c r="K696" s="308"/>
      <c r="L696" s="308"/>
      <c r="M696" s="308"/>
      <c r="N696" s="308"/>
      <c r="O696" s="308"/>
      <c r="P696" s="308"/>
      <c r="Q696" s="308"/>
      <c r="R696" s="308"/>
      <c r="S696" s="308"/>
      <c r="T696" s="308"/>
      <c r="U696" s="308"/>
      <c r="V696" s="308"/>
      <c r="W696" s="308"/>
      <c r="X696" s="308"/>
      <c r="Y696" s="308"/>
      <c r="Z696" s="308"/>
    </row>
    <row r="697" ht="15.75" customHeight="1">
      <c r="A697" s="308"/>
      <c r="B697" s="524"/>
      <c r="C697" s="308"/>
      <c r="D697" s="308"/>
      <c r="E697" s="308"/>
      <c r="F697" s="308"/>
      <c r="G697" s="308"/>
      <c r="H697" s="308"/>
      <c r="I697" s="308"/>
      <c r="J697" s="308"/>
      <c r="K697" s="308"/>
      <c r="L697" s="308"/>
      <c r="M697" s="308"/>
      <c r="N697" s="308"/>
      <c r="O697" s="308"/>
      <c r="P697" s="308"/>
      <c r="Q697" s="308"/>
      <c r="R697" s="308"/>
      <c r="S697" s="308"/>
      <c r="T697" s="308"/>
      <c r="U697" s="308"/>
      <c r="V697" s="308"/>
      <c r="W697" s="308"/>
      <c r="X697" s="308"/>
      <c r="Y697" s="308"/>
      <c r="Z697" s="308"/>
    </row>
    <row r="698" ht="15.75" customHeight="1">
      <c r="A698" s="308"/>
      <c r="B698" s="524"/>
      <c r="C698" s="308"/>
      <c r="D698" s="308"/>
      <c r="E698" s="308"/>
      <c r="F698" s="308"/>
      <c r="G698" s="308"/>
      <c r="H698" s="308"/>
      <c r="I698" s="308"/>
      <c r="J698" s="308"/>
      <c r="K698" s="308"/>
      <c r="L698" s="308"/>
      <c r="M698" s="308"/>
      <c r="N698" s="308"/>
      <c r="O698" s="308"/>
      <c r="P698" s="308"/>
      <c r="Q698" s="308"/>
      <c r="R698" s="308"/>
      <c r="S698" s="308"/>
      <c r="T698" s="308"/>
      <c r="U698" s="308"/>
      <c r="V698" s="308"/>
      <c r="W698" s="308"/>
      <c r="X698" s="308"/>
      <c r="Y698" s="308"/>
      <c r="Z698" s="308"/>
    </row>
    <row r="699" ht="15.75" customHeight="1">
      <c r="A699" s="308"/>
      <c r="B699" s="524"/>
      <c r="C699" s="308"/>
      <c r="D699" s="308"/>
      <c r="E699" s="308"/>
      <c r="F699" s="308"/>
      <c r="G699" s="308"/>
      <c r="H699" s="308"/>
      <c r="I699" s="308"/>
      <c r="J699" s="308"/>
      <c r="K699" s="308"/>
      <c r="L699" s="308"/>
      <c r="M699" s="308"/>
      <c r="N699" s="308"/>
      <c r="O699" s="308"/>
      <c r="P699" s="308"/>
      <c r="Q699" s="308"/>
      <c r="R699" s="308"/>
      <c r="S699" s="308"/>
      <c r="T699" s="308"/>
      <c r="U699" s="308"/>
      <c r="V699" s="308"/>
      <c r="W699" s="308"/>
      <c r="X699" s="308"/>
      <c r="Y699" s="308"/>
      <c r="Z699" s="308"/>
    </row>
    <row r="700" ht="15.75" customHeight="1">
      <c r="A700" s="308"/>
      <c r="B700" s="524"/>
      <c r="C700" s="308"/>
      <c r="D700" s="308"/>
      <c r="E700" s="308"/>
      <c r="F700" s="308"/>
      <c r="G700" s="308"/>
      <c r="H700" s="308"/>
      <c r="I700" s="308"/>
      <c r="J700" s="308"/>
      <c r="K700" s="308"/>
      <c r="L700" s="308"/>
      <c r="M700" s="308"/>
      <c r="N700" s="308"/>
      <c r="O700" s="308"/>
      <c r="P700" s="308"/>
      <c r="Q700" s="308"/>
      <c r="R700" s="308"/>
      <c r="S700" s="308"/>
      <c r="T700" s="308"/>
      <c r="U700" s="308"/>
      <c r="V700" s="308"/>
      <c r="W700" s="308"/>
      <c r="X700" s="308"/>
      <c r="Y700" s="308"/>
      <c r="Z700" s="308"/>
    </row>
    <row r="701" ht="15.75" customHeight="1">
      <c r="A701" s="308"/>
      <c r="B701" s="524"/>
      <c r="C701" s="308"/>
      <c r="D701" s="308"/>
      <c r="E701" s="308"/>
      <c r="F701" s="308"/>
      <c r="G701" s="308"/>
      <c r="H701" s="308"/>
      <c r="I701" s="308"/>
      <c r="J701" s="308"/>
      <c r="K701" s="308"/>
      <c r="L701" s="308"/>
      <c r="M701" s="308"/>
      <c r="N701" s="308"/>
      <c r="O701" s="308"/>
      <c r="P701" s="308"/>
      <c r="Q701" s="308"/>
      <c r="R701" s="308"/>
      <c r="S701" s="308"/>
      <c r="T701" s="308"/>
      <c r="U701" s="308"/>
      <c r="V701" s="308"/>
      <c r="W701" s="308"/>
      <c r="X701" s="308"/>
      <c r="Y701" s="308"/>
      <c r="Z701" s="308"/>
    </row>
    <row r="702" ht="15.75" customHeight="1">
      <c r="A702" s="308"/>
      <c r="B702" s="524"/>
      <c r="C702" s="308"/>
      <c r="D702" s="308"/>
      <c r="E702" s="308"/>
      <c r="F702" s="308"/>
      <c r="G702" s="308"/>
      <c r="H702" s="308"/>
      <c r="I702" s="308"/>
      <c r="J702" s="308"/>
      <c r="K702" s="308"/>
      <c r="L702" s="308"/>
      <c r="M702" s="308"/>
      <c r="N702" s="308"/>
      <c r="O702" s="308"/>
      <c r="P702" s="308"/>
      <c r="Q702" s="308"/>
      <c r="R702" s="308"/>
      <c r="S702" s="308"/>
      <c r="T702" s="308"/>
      <c r="U702" s="308"/>
      <c r="V702" s="308"/>
      <c r="W702" s="308"/>
      <c r="X702" s="308"/>
      <c r="Y702" s="308"/>
      <c r="Z702" s="308"/>
    </row>
    <row r="703" ht="15.75" customHeight="1">
      <c r="A703" s="308"/>
      <c r="B703" s="524"/>
      <c r="C703" s="308"/>
      <c r="D703" s="308"/>
      <c r="E703" s="308"/>
      <c r="F703" s="308"/>
      <c r="G703" s="308"/>
      <c r="H703" s="308"/>
      <c r="I703" s="308"/>
      <c r="J703" s="308"/>
      <c r="K703" s="308"/>
      <c r="L703" s="308"/>
      <c r="M703" s="308"/>
      <c r="N703" s="308"/>
      <c r="O703" s="308"/>
      <c r="P703" s="308"/>
      <c r="Q703" s="308"/>
      <c r="R703" s="308"/>
      <c r="S703" s="308"/>
      <c r="T703" s="308"/>
      <c r="U703" s="308"/>
      <c r="V703" s="308"/>
      <c r="W703" s="308"/>
      <c r="X703" s="308"/>
      <c r="Y703" s="308"/>
      <c r="Z703" s="308"/>
    </row>
    <row r="704" ht="15.75" customHeight="1">
      <c r="A704" s="308"/>
      <c r="B704" s="524"/>
      <c r="C704" s="308"/>
      <c r="D704" s="308"/>
      <c r="E704" s="308"/>
      <c r="F704" s="308"/>
      <c r="G704" s="308"/>
      <c r="H704" s="308"/>
      <c r="I704" s="308"/>
      <c r="J704" s="308"/>
      <c r="K704" s="308"/>
      <c r="L704" s="308"/>
      <c r="M704" s="308"/>
      <c r="N704" s="308"/>
      <c r="O704" s="308"/>
      <c r="P704" s="308"/>
      <c r="Q704" s="308"/>
      <c r="R704" s="308"/>
      <c r="S704" s="308"/>
      <c r="T704" s="308"/>
      <c r="U704" s="308"/>
      <c r="V704" s="308"/>
      <c r="W704" s="308"/>
      <c r="X704" s="308"/>
      <c r="Y704" s="308"/>
      <c r="Z704" s="308"/>
    </row>
    <row r="705" ht="15.75" customHeight="1">
      <c r="A705" s="308"/>
      <c r="B705" s="524"/>
      <c r="C705" s="308"/>
      <c r="D705" s="308"/>
      <c r="E705" s="308"/>
      <c r="F705" s="308"/>
      <c r="G705" s="308"/>
      <c r="H705" s="308"/>
      <c r="I705" s="308"/>
      <c r="J705" s="308"/>
      <c r="K705" s="308"/>
      <c r="L705" s="308"/>
      <c r="M705" s="308"/>
      <c r="N705" s="308"/>
      <c r="O705" s="308"/>
      <c r="P705" s="308"/>
      <c r="Q705" s="308"/>
      <c r="R705" s="308"/>
      <c r="S705" s="308"/>
      <c r="T705" s="308"/>
      <c r="U705" s="308"/>
      <c r="V705" s="308"/>
      <c r="W705" s="308"/>
      <c r="X705" s="308"/>
      <c r="Y705" s="308"/>
      <c r="Z705" s="308"/>
    </row>
    <row r="706" ht="15.75" customHeight="1">
      <c r="A706" s="308"/>
      <c r="B706" s="524"/>
      <c r="C706" s="308"/>
      <c r="D706" s="308"/>
      <c r="E706" s="308"/>
      <c r="F706" s="308"/>
      <c r="G706" s="308"/>
      <c r="H706" s="308"/>
      <c r="I706" s="308"/>
      <c r="J706" s="308"/>
      <c r="K706" s="308"/>
      <c r="L706" s="308"/>
      <c r="M706" s="308"/>
      <c r="N706" s="308"/>
      <c r="O706" s="308"/>
      <c r="P706" s="308"/>
      <c r="Q706" s="308"/>
      <c r="R706" s="308"/>
      <c r="S706" s="308"/>
      <c r="T706" s="308"/>
      <c r="U706" s="308"/>
      <c r="V706" s="308"/>
      <c r="W706" s="308"/>
      <c r="X706" s="308"/>
      <c r="Y706" s="308"/>
      <c r="Z706" s="308"/>
    </row>
    <row r="707" ht="15.75" customHeight="1">
      <c r="A707" s="308"/>
      <c r="B707" s="524"/>
      <c r="C707" s="308"/>
      <c r="D707" s="308"/>
      <c r="E707" s="308"/>
      <c r="F707" s="308"/>
      <c r="G707" s="308"/>
      <c r="H707" s="308"/>
      <c r="I707" s="308"/>
      <c r="J707" s="308"/>
      <c r="K707" s="308"/>
      <c r="L707" s="308"/>
      <c r="M707" s="308"/>
      <c r="N707" s="308"/>
      <c r="O707" s="308"/>
      <c r="P707" s="308"/>
      <c r="Q707" s="308"/>
      <c r="R707" s="308"/>
      <c r="S707" s="308"/>
      <c r="T707" s="308"/>
      <c r="U707" s="308"/>
      <c r="V707" s="308"/>
      <c r="W707" s="308"/>
      <c r="X707" s="308"/>
      <c r="Y707" s="308"/>
      <c r="Z707" s="308"/>
    </row>
    <row r="708" ht="15.75" customHeight="1">
      <c r="A708" s="308"/>
      <c r="B708" s="524"/>
      <c r="C708" s="308"/>
      <c r="D708" s="308"/>
      <c r="E708" s="308"/>
      <c r="F708" s="308"/>
      <c r="G708" s="308"/>
      <c r="H708" s="308"/>
      <c r="I708" s="308"/>
      <c r="J708" s="308"/>
      <c r="K708" s="308"/>
      <c r="L708" s="308"/>
      <c r="M708" s="308"/>
      <c r="N708" s="308"/>
      <c r="O708" s="308"/>
      <c r="P708" s="308"/>
      <c r="Q708" s="308"/>
      <c r="R708" s="308"/>
      <c r="S708" s="308"/>
      <c r="T708" s="308"/>
      <c r="U708" s="308"/>
      <c r="V708" s="308"/>
      <c r="W708" s="308"/>
      <c r="X708" s="308"/>
      <c r="Y708" s="308"/>
      <c r="Z708" s="308"/>
    </row>
    <row r="709" ht="15.75" customHeight="1">
      <c r="A709" s="308"/>
      <c r="B709" s="524"/>
      <c r="C709" s="308"/>
      <c r="D709" s="308"/>
      <c r="E709" s="308"/>
      <c r="F709" s="308"/>
      <c r="G709" s="308"/>
      <c r="H709" s="308"/>
      <c r="I709" s="308"/>
      <c r="J709" s="308"/>
      <c r="K709" s="308"/>
      <c r="L709" s="308"/>
      <c r="M709" s="308"/>
      <c r="N709" s="308"/>
      <c r="O709" s="308"/>
      <c r="P709" s="308"/>
      <c r="Q709" s="308"/>
      <c r="R709" s="308"/>
      <c r="S709" s="308"/>
      <c r="T709" s="308"/>
      <c r="U709" s="308"/>
      <c r="V709" s="308"/>
      <c r="W709" s="308"/>
      <c r="X709" s="308"/>
      <c r="Y709" s="308"/>
      <c r="Z709" s="308"/>
    </row>
    <row r="710" ht="15.75" customHeight="1">
      <c r="A710" s="308"/>
      <c r="B710" s="524"/>
      <c r="C710" s="308"/>
      <c r="D710" s="308"/>
      <c r="E710" s="308"/>
      <c r="F710" s="308"/>
      <c r="G710" s="308"/>
      <c r="H710" s="308"/>
      <c r="I710" s="308"/>
      <c r="J710" s="308"/>
      <c r="K710" s="308"/>
      <c r="L710" s="308"/>
      <c r="M710" s="308"/>
      <c r="N710" s="308"/>
      <c r="O710" s="308"/>
      <c r="P710" s="308"/>
      <c r="Q710" s="308"/>
      <c r="R710" s="308"/>
      <c r="S710" s="308"/>
      <c r="T710" s="308"/>
      <c r="U710" s="308"/>
      <c r="V710" s="308"/>
      <c r="W710" s="308"/>
      <c r="X710" s="308"/>
      <c r="Y710" s="308"/>
      <c r="Z710" s="308"/>
    </row>
    <row r="711" ht="15.75" customHeight="1">
      <c r="A711" s="308"/>
      <c r="B711" s="524"/>
      <c r="C711" s="308"/>
      <c r="D711" s="308"/>
      <c r="E711" s="308"/>
      <c r="F711" s="308"/>
      <c r="G711" s="308"/>
      <c r="H711" s="308"/>
      <c r="I711" s="308"/>
      <c r="J711" s="308"/>
      <c r="K711" s="308"/>
      <c r="L711" s="308"/>
      <c r="M711" s="308"/>
      <c r="N711" s="308"/>
      <c r="O711" s="308"/>
      <c r="P711" s="308"/>
      <c r="Q711" s="308"/>
      <c r="R711" s="308"/>
      <c r="S711" s="308"/>
      <c r="T711" s="308"/>
      <c r="U711" s="308"/>
      <c r="V711" s="308"/>
      <c r="W711" s="308"/>
      <c r="X711" s="308"/>
      <c r="Y711" s="308"/>
      <c r="Z711" s="308"/>
    </row>
    <row r="712" ht="15.75" customHeight="1">
      <c r="A712" s="308"/>
      <c r="B712" s="524"/>
      <c r="C712" s="308"/>
      <c r="D712" s="308"/>
      <c r="E712" s="308"/>
      <c r="F712" s="308"/>
      <c r="G712" s="308"/>
      <c r="H712" s="308"/>
      <c r="I712" s="308"/>
      <c r="J712" s="308"/>
      <c r="K712" s="308"/>
      <c r="L712" s="308"/>
      <c r="M712" s="308"/>
      <c r="N712" s="308"/>
      <c r="O712" s="308"/>
      <c r="P712" s="308"/>
      <c r="Q712" s="308"/>
      <c r="R712" s="308"/>
      <c r="S712" s="308"/>
      <c r="T712" s="308"/>
      <c r="U712" s="308"/>
      <c r="V712" s="308"/>
      <c r="W712" s="308"/>
      <c r="X712" s="308"/>
      <c r="Y712" s="308"/>
      <c r="Z712" s="308"/>
    </row>
    <row r="713" ht="15.75" customHeight="1">
      <c r="A713" s="308"/>
      <c r="B713" s="524"/>
      <c r="C713" s="308"/>
      <c r="D713" s="308"/>
      <c r="E713" s="308"/>
      <c r="F713" s="308"/>
      <c r="G713" s="308"/>
      <c r="H713" s="308"/>
      <c r="I713" s="308"/>
      <c r="J713" s="308"/>
      <c r="K713" s="308"/>
      <c r="L713" s="308"/>
      <c r="M713" s="308"/>
      <c r="N713" s="308"/>
      <c r="O713" s="308"/>
      <c r="P713" s="308"/>
      <c r="Q713" s="308"/>
      <c r="R713" s="308"/>
      <c r="S713" s="308"/>
      <c r="T713" s="308"/>
      <c r="U713" s="308"/>
      <c r="V713" s="308"/>
      <c r="W713" s="308"/>
      <c r="X713" s="308"/>
      <c r="Y713" s="308"/>
      <c r="Z713" s="308"/>
    </row>
    <row r="714" ht="15.75" customHeight="1">
      <c r="A714" s="308"/>
      <c r="B714" s="524"/>
      <c r="C714" s="308"/>
      <c r="D714" s="308"/>
      <c r="E714" s="308"/>
      <c r="F714" s="308"/>
      <c r="G714" s="308"/>
      <c r="H714" s="308"/>
      <c r="I714" s="308"/>
      <c r="J714" s="308"/>
      <c r="K714" s="308"/>
      <c r="L714" s="308"/>
      <c r="M714" s="308"/>
      <c r="N714" s="308"/>
      <c r="O714" s="308"/>
      <c r="P714" s="308"/>
      <c r="Q714" s="308"/>
      <c r="R714" s="308"/>
      <c r="S714" s="308"/>
      <c r="T714" s="308"/>
      <c r="U714" s="308"/>
      <c r="V714" s="308"/>
      <c r="W714" s="308"/>
      <c r="X714" s="308"/>
      <c r="Y714" s="308"/>
      <c r="Z714" s="308"/>
    </row>
    <row r="715" ht="15.75" customHeight="1">
      <c r="A715" s="308"/>
      <c r="B715" s="524"/>
      <c r="C715" s="308"/>
      <c r="D715" s="308"/>
      <c r="E715" s="308"/>
      <c r="F715" s="308"/>
      <c r="G715" s="308"/>
      <c r="H715" s="308"/>
      <c r="I715" s="308"/>
      <c r="J715" s="308"/>
      <c r="K715" s="308"/>
      <c r="L715" s="308"/>
      <c r="M715" s="308"/>
      <c r="N715" s="308"/>
      <c r="O715" s="308"/>
      <c r="P715" s="308"/>
      <c r="Q715" s="308"/>
      <c r="R715" s="308"/>
      <c r="S715" s="308"/>
      <c r="T715" s="308"/>
      <c r="U715" s="308"/>
      <c r="V715" s="308"/>
      <c r="W715" s="308"/>
      <c r="X715" s="308"/>
      <c r="Y715" s="308"/>
      <c r="Z715" s="308"/>
    </row>
    <row r="716" ht="15.75" customHeight="1">
      <c r="A716" s="308"/>
      <c r="B716" s="524"/>
      <c r="C716" s="308"/>
      <c r="D716" s="308"/>
      <c r="E716" s="308"/>
      <c r="F716" s="308"/>
      <c r="G716" s="308"/>
      <c r="H716" s="308"/>
      <c r="I716" s="308"/>
      <c r="J716" s="308"/>
      <c r="K716" s="308"/>
      <c r="L716" s="308"/>
      <c r="M716" s="308"/>
      <c r="N716" s="308"/>
      <c r="O716" s="308"/>
      <c r="P716" s="308"/>
      <c r="Q716" s="308"/>
      <c r="R716" s="308"/>
      <c r="S716" s="308"/>
      <c r="T716" s="308"/>
      <c r="U716" s="308"/>
      <c r="V716" s="308"/>
      <c r="W716" s="308"/>
      <c r="X716" s="308"/>
      <c r="Y716" s="308"/>
      <c r="Z716" s="308"/>
    </row>
    <row r="717" ht="15.75" customHeight="1">
      <c r="A717" s="308"/>
      <c r="B717" s="524"/>
      <c r="C717" s="308"/>
      <c r="D717" s="308"/>
      <c r="E717" s="308"/>
      <c r="F717" s="308"/>
      <c r="G717" s="308"/>
      <c r="H717" s="308"/>
      <c r="I717" s="308"/>
      <c r="J717" s="308"/>
      <c r="K717" s="308"/>
      <c r="L717" s="308"/>
      <c r="M717" s="308"/>
      <c r="N717" s="308"/>
      <c r="O717" s="308"/>
      <c r="P717" s="308"/>
      <c r="Q717" s="308"/>
      <c r="R717" s="308"/>
      <c r="S717" s="308"/>
      <c r="T717" s="308"/>
      <c r="U717" s="308"/>
      <c r="V717" s="308"/>
      <c r="W717" s="308"/>
      <c r="X717" s="308"/>
      <c r="Y717" s="308"/>
      <c r="Z717" s="308"/>
    </row>
    <row r="718" ht="15.75" customHeight="1">
      <c r="A718" s="308"/>
      <c r="B718" s="524"/>
      <c r="C718" s="308"/>
      <c r="D718" s="308"/>
      <c r="E718" s="308"/>
      <c r="F718" s="308"/>
      <c r="G718" s="308"/>
      <c r="H718" s="308"/>
      <c r="I718" s="308"/>
      <c r="J718" s="308"/>
      <c r="K718" s="308"/>
      <c r="L718" s="308"/>
      <c r="M718" s="308"/>
      <c r="N718" s="308"/>
      <c r="O718" s="308"/>
      <c r="P718" s="308"/>
      <c r="Q718" s="308"/>
      <c r="R718" s="308"/>
      <c r="S718" s="308"/>
      <c r="T718" s="308"/>
      <c r="U718" s="308"/>
      <c r="V718" s="308"/>
      <c r="W718" s="308"/>
      <c r="X718" s="308"/>
      <c r="Y718" s="308"/>
      <c r="Z718" s="308"/>
    </row>
    <row r="719" ht="15.75" customHeight="1">
      <c r="A719" s="308"/>
      <c r="B719" s="524"/>
      <c r="C719" s="308"/>
      <c r="D719" s="308"/>
      <c r="E719" s="308"/>
      <c r="F719" s="308"/>
      <c r="G719" s="308"/>
      <c r="H719" s="308"/>
      <c r="I719" s="308"/>
      <c r="J719" s="308"/>
      <c r="K719" s="308"/>
      <c r="L719" s="308"/>
      <c r="M719" s="308"/>
      <c r="N719" s="308"/>
      <c r="O719" s="308"/>
      <c r="P719" s="308"/>
      <c r="Q719" s="308"/>
      <c r="R719" s="308"/>
      <c r="S719" s="308"/>
      <c r="T719" s="308"/>
      <c r="U719" s="308"/>
      <c r="V719" s="308"/>
      <c r="W719" s="308"/>
      <c r="X719" s="308"/>
      <c r="Y719" s="308"/>
      <c r="Z719" s="308"/>
    </row>
    <row r="720" ht="15.75" customHeight="1">
      <c r="A720" s="308"/>
      <c r="B720" s="524"/>
      <c r="C720" s="308"/>
      <c r="D720" s="308"/>
      <c r="E720" s="308"/>
      <c r="F720" s="308"/>
      <c r="G720" s="308"/>
      <c r="H720" s="308"/>
      <c r="I720" s="308"/>
      <c r="J720" s="308"/>
      <c r="K720" s="308"/>
      <c r="L720" s="308"/>
      <c r="M720" s="308"/>
      <c r="N720" s="308"/>
      <c r="O720" s="308"/>
      <c r="P720" s="308"/>
      <c r="Q720" s="308"/>
      <c r="R720" s="308"/>
      <c r="S720" s="308"/>
      <c r="T720" s="308"/>
      <c r="U720" s="308"/>
      <c r="V720" s="308"/>
      <c r="W720" s="308"/>
      <c r="X720" s="308"/>
      <c r="Y720" s="308"/>
      <c r="Z720" s="308"/>
    </row>
    <row r="721" ht="15.75" customHeight="1">
      <c r="A721" s="308"/>
      <c r="B721" s="524"/>
      <c r="C721" s="308"/>
      <c r="D721" s="308"/>
      <c r="E721" s="308"/>
      <c r="F721" s="308"/>
      <c r="G721" s="308"/>
      <c r="H721" s="308"/>
      <c r="I721" s="308"/>
      <c r="J721" s="308"/>
      <c r="K721" s="308"/>
      <c r="L721" s="308"/>
      <c r="M721" s="308"/>
      <c r="N721" s="308"/>
      <c r="O721" s="308"/>
      <c r="P721" s="308"/>
      <c r="Q721" s="308"/>
      <c r="R721" s="308"/>
      <c r="S721" s="308"/>
      <c r="T721" s="308"/>
      <c r="U721" s="308"/>
      <c r="V721" s="308"/>
      <c r="W721" s="308"/>
      <c r="X721" s="308"/>
      <c r="Y721" s="308"/>
      <c r="Z721" s="308"/>
    </row>
    <row r="722" ht="15.75" customHeight="1">
      <c r="A722" s="308"/>
      <c r="B722" s="524"/>
      <c r="C722" s="308"/>
      <c r="D722" s="308"/>
      <c r="E722" s="308"/>
      <c r="F722" s="308"/>
      <c r="G722" s="308"/>
      <c r="H722" s="308"/>
      <c r="I722" s="308"/>
      <c r="J722" s="308"/>
      <c r="K722" s="308"/>
      <c r="L722" s="308"/>
      <c r="M722" s="308"/>
      <c r="N722" s="308"/>
      <c r="O722" s="308"/>
      <c r="P722" s="308"/>
      <c r="Q722" s="308"/>
      <c r="R722" s="308"/>
      <c r="S722" s="308"/>
      <c r="T722" s="308"/>
      <c r="U722" s="308"/>
      <c r="V722" s="308"/>
      <c r="W722" s="308"/>
      <c r="X722" s="308"/>
      <c r="Y722" s="308"/>
      <c r="Z722" s="308"/>
    </row>
    <row r="723" ht="15.75" customHeight="1">
      <c r="A723" s="308"/>
      <c r="B723" s="524"/>
      <c r="C723" s="308"/>
      <c r="D723" s="308"/>
      <c r="E723" s="308"/>
      <c r="F723" s="308"/>
      <c r="G723" s="308"/>
      <c r="H723" s="308"/>
      <c r="I723" s="308"/>
      <c r="J723" s="308"/>
      <c r="K723" s="308"/>
      <c r="L723" s="308"/>
      <c r="M723" s="308"/>
      <c r="N723" s="308"/>
      <c r="O723" s="308"/>
      <c r="P723" s="308"/>
      <c r="Q723" s="308"/>
      <c r="R723" s="308"/>
      <c r="S723" s="308"/>
      <c r="T723" s="308"/>
      <c r="U723" s="308"/>
      <c r="V723" s="308"/>
      <c r="W723" s="308"/>
      <c r="X723" s="308"/>
      <c r="Y723" s="308"/>
      <c r="Z723" s="308"/>
    </row>
    <row r="724" ht="15.75" customHeight="1">
      <c r="A724" s="308"/>
      <c r="B724" s="524"/>
      <c r="C724" s="308"/>
      <c r="D724" s="308"/>
      <c r="E724" s="308"/>
      <c r="F724" s="308"/>
      <c r="G724" s="308"/>
      <c r="H724" s="308"/>
      <c r="I724" s="308"/>
      <c r="J724" s="308"/>
      <c r="K724" s="308"/>
      <c r="L724" s="308"/>
      <c r="M724" s="308"/>
      <c r="N724" s="308"/>
      <c r="O724" s="308"/>
      <c r="P724" s="308"/>
      <c r="Q724" s="308"/>
      <c r="R724" s="308"/>
      <c r="S724" s="308"/>
      <c r="T724" s="308"/>
      <c r="U724" s="308"/>
      <c r="V724" s="308"/>
      <c r="W724" s="308"/>
      <c r="X724" s="308"/>
      <c r="Y724" s="308"/>
      <c r="Z724" s="308"/>
    </row>
    <row r="725" ht="15.75" customHeight="1">
      <c r="A725" s="308"/>
      <c r="B725" s="524"/>
      <c r="C725" s="308"/>
      <c r="D725" s="308"/>
      <c r="E725" s="308"/>
      <c r="F725" s="308"/>
      <c r="G725" s="308"/>
      <c r="H725" s="308"/>
      <c r="I725" s="308"/>
      <c r="J725" s="308"/>
      <c r="K725" s="308"/>
      <c r="L725" s="308"/>
      <c r="M725" s="308"/>
      <c r="N725" s="308"/>
      <c r="O725" s="308"/>
      <c r="P725" s="308"/>
      <c r="Q725" s="308"/>
      <c r="R725" s="308"/>
      <c r="S725" s="308"/>
      <c r="T725" s="308"/>
      <c r="U725" s="308"/>
      <c r="V725" s="308"/>
      <c r="W725" s="308"/>
      <c r="X725" s="308"/>
      <c r="Y725" s="308"/>
      <c r="Z725" s="308"/>
    </row>
    <row r="726" ht="15.75" customHeight="1">
      <c r="A726" s="308"/>
      <c r="B726" s="524"/>
      <c r="C726" s="308"/>
      <c r="D726" s="308"/>
      <c r="E726" s="308"/>
      <c r="F726" s="308"/>
      <c r="G726" s="308"/>
      <c r="H726" s="308"/>
      <c r="I726" s="308"/>
      <c r="J726" s="308"/>
      <c r="K726" s="308"/>
      <c r="L726" s="308"/>
      <c r="M726" s="308"/>
      <c r="N726" s="308"/>
      <c r="O726" s="308"/>
      <c r="P726" s="308"/>
      <c r="Q726" s="308"/>
      <c r="R726" s="308"/>
      <c r="S726" s="308"/>
      <c r="T726" s="308"/>
      <c r="U726" s="308"/>
      <c r="V726" s="308"/>
      <c r="W726" s="308"/>
      <c r="X726" s="308"/>
      <c r="Y726" s="308"/>
      <c r="Z726" s="308"/>
    </row>
    <row r="727" ht="15.75" customHeight="1">
      <c r="A727" s="308"/>
      <c r="B727" s="524"/>
      <c r="C727" s="308"/>
      <c r="D727" s="308"/>
      <c r="E727" s="308"/>
      <c r="F727" s="308"/>
      <c r="G727" s="308"/>
      <c r="H727" s="308"/>
      <c r="I727" s="308"/>
      <c r="J727" s="308"/>
      <c r="K727" s="308"/>
      <c r="L727" s="308"/>
      <c r="M727" s="308"/>
      <c r="N727" s="308"/>
      <c r="O727" s="308"/>
      <c r="P727" s="308"/>
      <c r="Q727" s="308"/>
      <c r="R727" s="308"/>
      <c r="S727" s="308"/>
      <c r="T727" s="308"/>
      <c r="U727" s="308"/>
      <c r="V727" s="308"/>
      <c r="W727" s="308"/>
      <c r="X727" s="308"/>
      <c r="Y727" s="308"/>
      <c r="Z727" s="308"/>
    </row>
    <row r="728" ht="15.75" customHeight="1">
      <c r="A728" s="308"/>
      <c r="B728" s="524"/>
      <c r="C728" s="308"/>
      <c r="D728" s="308"/>
      <c r="E728" s="308"/>
      <c r="F728" s="308"/>
      <c r="G728" s="308"/>
      <c r="H728" s="308"/>
      <c r="I728" s="308"/>
      <c r="J728" s="308"/>
      <c r="K728" s="308"/>
      <c r="L728" s="308"/>
      <c r="M728" s="308"/>
      <c r="N728" s="308"/>
      <c r="O728" s="308"/>
      <c r="P728" s="308"/>
      <c r="Q728" s="308"/>
      <c r="R728" s="308"/>
      <c r="S728" s="308"/>
      <c r="T728" s="308"/>
      <c r="U728" s="308"/>
      <c r="V728" s="308"/>
      <c r="W728" s="308"/>
      <c r="X728" s="308"/>
      <c r="Y728" s="308"/>
      <c r="Z728" s="308"/>
    </row>
    <row r="729" ht="15.75" customHeight="1">
      <c r="A729" s="308"/>
      <c r="B729" s="524"/>
      <c r="C729" s="308"/>
      <c r="D729" s="308"/>
      <c r="E729" s="308"/>
      <c r="F729" s="308"/>
      <c r="G729" s="308"/>
      <c r="H729" s="308"/>
      <c r="I729" s="308"/>
      <c r="J729" s="308"/>
      <c r="K729" s="308"/>
      <c r="L729" s="308"/>
      <c r="M729" s="308"/>
      <c r="N729" s="308"/>
      <c r="O729" s="308"/>
      <c r="P729" s="308"/>
      <c r="Q729" s="308"/>
      <c r="R729" s="308"/>
      <c r="S729" s="308"/>
      <c r="T729" s="308"/>
      <c r="U729" s="308"/>
      <c r="V729" s="308"/>
      <c r="W729" s="308"/>
      <c r="X729" s="308"/>
      <c r="Y729" s="308"/>
      <c r="Z729" s="308"/>
    </row>
    <row r="730" ht="15.75" customHeight="1">
      <c r="A730" s="308"/>
      <c r="B730" s="524"/>
      <c r="C730" s="308"/>
      <c r="D730" s="308"/>
      <c r="E730" s="308"/>
      <c r="F730" s="308"/>
      <c r="G730" s="308"/>
      <c r="H730" s="308"/>
      <c r="I730" s="308"/>
      <c r="J730" s="308"/>
      <c r="K730" s="308"/>
      <c r="L730" s="308"/>
      <c r="M730" s="308"/>
      <c r="N730" s="308"/>
      <c r="O730" s="308"/>
      <c r="P730" s="308"/>
      <c r="Q730" s="308"/>
      <c r="R730" s="308"/>
      <c r="S730" s="308"/>
      <c r="T730" s="308"/>
      <c r="U730" s="308"/>
      <c r="V730" s="308"/>
      <c r="W730" s="308"/>
      <c r="X730" s="308"/>
      <c r="Y730" s="308"/>
      <c r="Z730" s="308"/>
    </row>
    <row r="731" ht="15.75" customHeight="1">
      <c r="A731" s="308"/>
      <c r="B731" s="524"/>
      <c r="C731" s="308"/>
      <c r="D731" s="308"/>
      <c r="E731" s="308"/>
      <c r="F731" s="308"/>
      <c r="G731" s="308"/>
      <c r="H731" s="308"/>
      <c r="I731" s="308"/>
      <c r="J731" s="308"/>
      <c r="K731" s="308"/>
      <c r="L731" s="308"/>
      <c r="M731" s="308"/>
      <c r="N731" s="308"/>
      <c r="O731" s="308"/>
      <c r="P731" s="308"/>
      <c r="Q731" s="308"/>
      <c r="R731" s="308"/>
      <c r="S731" s="308"/>
      <c r="T731" s="308"/>
      <c r="U731" s="308"/>
      <c r="V731" s="308"/>
      <c r="W731" s="308"/>
      <c r="X731" s="308"/>
      <c r="Y731" s="308"/>
      <c r="Z731" s="308"/>
    </row>
    <row r="732" ht="15.75" customHeight="1">
      <c r="A732" s="308"/>
      <c r="B732" s="524"/>
      <c r="C732" s="308"/>
      <c r="D732" s="308"/>
      <c r="E732" s="308"/>
      <c r="F732" s="308"/>
      <c r="G732" s="308"/>
      <c r="H732" s="308"/>
      <c r="I732" s="308"/>
      <c r="J732" s="308"/>
      <c r="K732" s="308"/>
      <c r="L732" s="308"/>
      <c r="M732" s="308"/>
      <c r="N732" s="308"/>
      <c r="O732" s="308"/>
      <c r="P732" s="308"/>
      <c r="Q732" s="308"/>
      <c r="R732" s="308"/>
      <c r="S732" s="308"/>
      <c r="T732" s="308"/>
      <c r="U732" s="308"/>
      <c r="V732" s="308"/>
      <c r="W732" s="308"/>
      <c r="X732" s="308"/>
      <c r="Y732" s="308"/>
      <c r="Z732" s="308"/>
    </row>
    <row r="733" ht="15.75" customHeight="1">
      <c r="A733" s="308"/>
      <c r="B733" s="524"/>
      <c r="C733" s="308"/>
      <c r="D733" s="308"/>
      <c r="E733" s="308"/>
      <c r="F733" s="308"/>
      <c r="G733" s="308"/>
      <c r="H733" s="308"/>
      <c r="I733" s="308"/>
      <c r="J733" s="308"/>
      <c r="K733" s="308"/>
      <c r="L733" s="308"/>
      <c r="M733" s="308"/>
      <c r="N733" s="308"/>
      <c r="O733" s="308"/>
      <c r="P733" s="308"/>
      <c r="Q733" s="308"/>
      <c r="R733" s="308"/>
      <c r="S733" s="308"/>
      <c r="T733" s="308"/>
      <c r="U733" s="308"/>
      <c r="V733" s="308"/>
      <c r="W733" s="308"/>
      <c r="X733" s="308"/>
      <c r="Y733" s="308"/>
      <c r="Z733" s="308"/>
    </row>
    <row r="734" ht="15.75" customHeight="1">
      <c r="A734" s="308"/>
      <c r="B734" s="524"/>
      <c r="C734" s="308"/>
      <c r="D734" s="308"/>
      <c r="E734" s="308"/>
      <c r="F734" s="308"/>
      <c r="G734" s="308"/>
      <c r="H734" s="308"/>
      <c r="I734" s="308"/>
      <c r="J734" s="308"/>
      <c r="K734" s="308"/>
      <c r="L734" s="308"/>
      <c r="M734" s="308"/>
      <c r="N734" s="308"/>
      <c r="O734" s="308"/>
      <c r="P734" s="308"/>
      <c r="Q734" s="308"/>
      <c r="R734" s="308"/>
      <c r="S734" s="308"/>
      <c r="T734" s="308"/>
      <c r="U734" s="308"/>
      <c r="V734" s="308"/>
      <c r="W734" s="308"/>
      <c r="X734" s="308"/>
      <c r="Y734" s="308"/>
      <c r="Z734" s="308"/>
    </row>
    <row r="735" ht="15.75" customHeight="1">
      <c r="A735" s="308"/>
      <c r="B735" s="524"/>
      <c r="C735" s="308"/>
      <c r="D735" s="308"/>
      <c r="E735" s="308"/>
      <c r="F735" s="308"/>
      <c r="G735" s="308"/>
      <c r="H735" s="308"/>
      <c r="I735" s="308"/>
      <c r="J735" s="308"/>
      <c r="K735" s="308"/>
      <c r="L735" s="308"/>
      <c r="M735" s="308"/>
      <c r="N735" s="308"/>
      <c r="O735" s="308"/>
      <c r="P735" s="308"/>
      <c r="Q735" s="308"/>
      <c r="R735" s="308"/>
      <c r="S735" s="308"/>
      <c r="T735" s="308"/>
      <c r="U735" s="308"/>
      <c r="V735" s="308"/>
      <c r="W735" s="308"/>
      <c r="X735" s="308"/>
      <c r="Y735" s="308"/>
      <c r="Z735" s="308"/>
    </row>
    <row r="736" ht="15.75" customHeight="1">
      <c r="A736" s="308"/>
      <c r="B736" s="524"/>
      <c r="C736" s="308"/>
      <c r="D736" s="308"/>
      <c r="E736" s="308"/>
      <c r="F736" s="308"/>
      <c r="G736" s="308"/>
      <c r="H736" s="308"/>
      <c r="I736" s="308"/>
      <c r="J736" s="308"/>
      <c r="K736" s="308"/>
      <c r="L736" s="308"/>
      <c r="M736" s="308"/>
      <c r="N736" s="308"/>
      <c r="O736" s="308"/>
      <c r="P736" s="308"/>
      <c r="Q736" s="308"/>
      <c r="R736" s="308"/>
      <c r="S736" s="308"/>
      <c r="T736" s="308"/>
      <c r="U736" s="308"/>
      <c r="V736" s="308"/>
      <c r="W736" s="308"/>
      <c r="X736" s="308"/>
      <c r="Y736" s="308"/>
      <c r="Z736" s="308"/>
    </row>
    <row r="737" ht="15.75" customHeight="1">
      <c r="A737" s="308"/>
      <c r="B737" s="524"/>
      <c r="C737" s="308"/>
      <c r="D737" s="308"/>
      <c r="E737" s="308"/>
      <c r="F737" s="308"/>
      <c r="G737" s="308"/>
      <c r="H737" s="308"/>
      <c r="I737" s="308"/>
      <c r="J737" s="308"/>
      <c r="K737" s="308"/>
      <c r="L737" s="308"/>
      <c r="M737" s="308"/>
      <c r="N737" s="308"/>
      <c r="O737" s="308"/>
      <c r="P737" s="308"/>
      <c r="Q737" s="308"/>
      <c r="R737" s="308"/>
      <c r="S737" s="308"/>
      <c r="T737" s="308"/>
      <c r="U737" s="308"/>
      <c r="V737" s="308"/>
      <c r="W737" s="308"/>
      <c r="X737" s="308"/>
      <c r="Y737" s="308"/>
      <c r="Z737" s="308"/>
    </row>
    <row r="738" ht="15.75" customHeight="1">
      <c r="A738" s="308"/>
      <c r="B738" s="524"/>
      <c r="C738" s="308"/>
      <c r="D738" s="308"/>
      <c r="E738" s="308"/>
      <c r="F738" s="308"/>
      <c r="G738" s="308"/>
      <c r="H738" s="308"/>
      <c r="I738" s="308"/>
      <c r="J738" s="308"/>
      <c r="K738" s="308"/>
      <c r="L738" s="308"/>
      <c r="M738" s="308"/>
      <c r="N738" s="308"/>
      <c r="O738" s="308"/>
      <c r="P738" s="308"/>
      <c r="Q738" s="308"/>
      <c r="R738" s="308"/>
      <c r="S738" s="308"/>
      <c r="T738" s="308"/>
      <c r="U738" s="308"/>
      <c r="V738" s="308"/>
      <c r="W738" s="308"/>
      <c r="X738" s="308"/>
      <c r="Y738" s="308"/>
      <c r="Z738" s="308"/>
    </row>
    <row r="739" ht="15.75" customHeight="1">
      <c r="A739" s="308"/>
      <c r="B739" s="524"/>
      <c r="C739" s="308"/>
      <c r="D739" s="308"/>
      <c r="E739" s="308"/>
      <c r="F739" s="308"/>
      <c r="G739" s="308"/>
      <c r="H739" s="308"/>
      <c r="I739" s="308"/>
      <c r="J739" s="308"/>
      <c r="K739" s="308"/>
      <c r="L739" s="308"/>
      <c r="M739" s="308"/>
      <c r="N739" s="308"/>
      <c r="O739" s="308"/>
      <c r="P739" s="308"/>
      <c r="Q739" s="308"/>
      <c r="R739" s="308"/>
      <c r="S739" s="308"/>
      <c r="T739" s="308"/>
      <c r="U739" s="308"/>
      <c r="V739" s="308"/>
      <c r="W739" s="308"/>
      <c r="X739" s="308"/>
      <c r="Y739" s="308"/>
      <c r="Z739" s="308"/>
    </row>
    <row r="740" ht="15.75" customHeight="1">
      <c r="A740" s="308"/>
      <c r="B740" s="524"/>
      <c r="C740" s="308"/>
      <c r="D740" s="308"/>
      <c r="E740" s="308"/>
      <c r="F740" s="308"/>
      <c r="G740" s="308"/>
      <c r="H740" s="308"/>
      <c r="I740" s="308"/>
      <c r="J740" s="308"/>
      <c r="K740" s="308"/>
      <c r="L740" s="308"/>
      <c r="M740" s="308"/>
      <c r="N740" s="308"/>
      <c r="O740" s="308"/>
      <c r="P740" s="308"/>
      <c r="Q740" s="308"/>
      <c r="R740" s="308"/>
      <c r="S740" s="308"/>
      <c r="T740" s="308"/>
      <c r="U740" s="308"/>
      <c r="V740" s="308"/>
      <c r="W740" s="308"/>
      <c r="X740" s="308"/>
      <c r="Y740" s="308"/>
      <c r="Z740" s="308"/>
    </row>
    <row r="741" ht="15.75" customHeight="1">
      <c r="A741" s="308"/>
      <c r="B741" s="524"/>
      <c r="C741" s="308"/>
      <c r="D741" s="308"/>
      <c r="E741" s="308"/>
      <c r="F741" s="308"/>
      <c r="G741" s="308"/>
      <c r="H741" s="308"/>
      <c r="I741" s="308"/>
      <c r="J741" s="308"/>
      <c r="K741" s="308"/>
      <c r="L741" s="308"/>
      <c r="M741" s="308"/>
      <c r="N741" s="308"/>
      <c r="O741" s="308"/>
      <c r="P741" s="308"/>
      <c r="Q741" s="308"/>
      <c r="R741" s="308"/>
      <c r="S741" s="308"/>
      <c r="T741" s="308"/>
      <c r="U741" s="308"/>
      <c r="V741" s="308"/>
      <c r="W741" s="308"/>
      <c r="X741" s="308"/>
      <c r="Y741" s="308"/>
      <c r="Z741" s="308"/>
    </row>
    <row r="742" ht="15.75" customHeight="1">
      <c r="A742" s="308"/>
      <c r="B742" s="524"/>
      <c r="C742" s="308"/>
      <c r="D742" s="308"/>
      <c r="E742" s="308"/>
      <c r="F742" s="308"/>
      <c r="G742" s="308"/>
      <c r="H742" s="308"/>
      <c r="I742" s="308"/>
      <c r="J742" s="308"/>
      <c r="K742" s="308"/>
      <c r="L742" s="308"/>
      <c r="M742" s="308"/>
      <c r="N742" s="308"/>
      <c r="O742" s="308"/>
      <c r="P742" s="308"/>
      <c r="Q742" s="308"/>
      <c r="R742" s="308"/>
      <c r="S742" s="308"/>
      <c r="T742" s="308"/>
      <c r="U742" s="308"/>
      <c r="V742" s="308"/>
      <c r="W742" s="308"/>
      <c r="X742" s="308"/>
      <c r="Y742" s="308"/>
      <c r="Z742" s="308"/>
    </row>
    <row r="743" ht="15.75" customHeight="1">
      <c r="A743" s="308"/>
      <c r="B743" s="524"/>
      <c r="C743" s="308"/>
      <c r="D743" s="308"/>
      <c r="E743" s="308"/>
      <c r="F743" s="308"/>
      <c r="G743" s="308"/>
      <c r="H743" s="308"/>
      <c r="I743" s="308"/>
      <c r="J743" s="308"/>
      <c r="K743" s="308"/>
      <c r="L743" s="308"/>
      <c r="M743" s="308"/>
      <c r="N743" s="308"/>
      <c r="O743" s="308"/>
      <c r="P743" s="308"/>
      <c r="Q743" s="308"/>
      <c r="R743" s="308"/>
      <c r="S743" s="308"/>
      <c r="T743" s="308"/>
      <c r="U743" s="308"/>
      <c r="V743" s="308"/>
      <c r="W743" s="308"/>
      <c r="X743" s="308"/>
      <c r="Y743" s="308"/>
      <c r="Z743" s="308"/>
    </row>
    <row r="744" ht="15.75" customHeight="1">
      <c r="A744" s="308"/>
      <c r="B744" s="524"/>
      <c r="C744" s="308"/>
      <c r="D744" s="308"/>
      <c r="E744" s="308"/>
      <c r="F744" s="308"/>
      <c r="G744" s="308"/>
      <c r="H744" s="308"/>
      <c r="I744" s="308"/>
      <c r="J744" s="308"/>
      <c r="K744" s="308"/>
      <c r="L744" s="308"/>
      <c r="M744" s="308"/>
      <c r="N744" s="308"/>
      <c r="O744" s="308"/>
      <c r="P744" s="308"/>
      <c r="Q744" s="308"/>
      <c r="R744" s="308"/>
      <c r="S744" s="308"/>
      <c r="T744" s="308"/>
      <c r="U744" s="308"/>
      <c r="V744" s="308"/>
      <c r="W744" s="308"/>
      <c r="X744" s="308"/>
      <c r="Y744" s="308"/>
      <c r="Z744" s="308"/>
    </row>
    <row r="745" ht="15.75" customHeight="1">
      <c r="A745" s="308"/>
      <c r="B745" s="524"/>
      <c r="C745" s="308"/>
      <c r="D745" s="308"/>
      <c r="E745" s="308"/>
      <c r="F745" s="308"/>
      <c r="G745" s="308"/>
      <c r="H745" s="308"/>
      <c r="I745" s="308"/>
      <c r="J745" s="308"/>
      <c r="K745" s="308"/>
      <c r="L745" s="308"/>
      <c r="M745" s="308"/>
      <c r="N745" s="308"/>
      <c r="O745" s="308"/>
      <c r="P745" s="308"/>
      <c r="Q745" s="308"/>
      <c r="R745" s="308"/>
      <c r="S745" s="308"/>
      <c r="T745" s="308"/>
      <c r="U745" s="308"/>
      <c r="V745" s="308"/>
      <c r="W745" s="308"/>
      <c r="X745" s="308"/>
      <c r="Y745" s="308"/>
      <c r="Z745" s="308"/>
    </row>
    <row r="746" ht="15.75" customHeight="1">
      <c r="A746" s="308"/>
      <c r="B746" s="524"/>
      <c r="C746" s="308"/>
      <c r="D746" s="308"/>
      <c r="E746" s="308"/>
      <c r="F746" s="308"/>
      <c r="G746" s="308"/>
      <c r="H746" s="308"/>
      <c r="I746" s="308"/>
      <c r="J746" s="308"/>
      <c r="K746" s="308"/>
      <c r="L746" s="308"/>
      <c r="M746" s="308"/>
      <c r="N746" s="308"/>
      <c r="O746" s="308"/>
      <c r="P746" s="308"/>
      <c r="Q746" s="308"/>
      <c r="R746" s="308"/>
      <c r="S746" s="308"/>
      <c r="T746" s="308"/>
      <c r="U746" s="308"/>
      <c r="V746" s="308"/>
      <c r="W746" s="308"/>
      <c r="X746" s="308"/>
      <c r="Y746" s="308"/>
      <c r="Z746" s="308"/>
    </row>
    <row r="747" ht="15.75" customHeight="1">
      <c r="A747" s="308"/>
      <c r="B747" s="524"/>
      <c r="C747" s="308"/>
      <c r="D747" s="308"/>
      <c r="E747" s="308"/>
      <c r="F747" s="308"/>
      <c r="G747" s="308"/>
      <c r="H747" s="308"/>
      <c r="I747" s="308"/>
      <c r="J747" s="308"/>
      <c r="K747" s="308"/>
      <c r="L747" s="308"/>
      <c r="M747" s="308"/>
      <c r="N747" s="308"/>
      <c r="O747" s="308"/>
      <c r="P747" s="308"/>
      <c r="Q747" s="308"/>
      <c r="R747" s="308"/>
      <c r="S747" s="308"/>
      <c r="T747" s="308"/>
      <c r="U747" s="308"/>
      <c r="V747" s="308"/>
      <c r="W747" s="308"/>
      <c r="X747" s="308"/>
      <c r="Y747" s="308"/>
      <c r="Z747" s="308"/>
    </row>
    <row r="748" ht="15.75" customHeight="1">
      <c r="A748" s="308"/>
      <c r="B748" s="524"/>
      <c r="C748" s="308"/>
      <c r="D748" s="308"/>
      <c r="E748" s="308"/>
      <c r="F748" s="308"/>
      <c r="G748" s="308"/>
      <c r="H748" s="308"/>
      <c r="I748" s="308"/>
      <c r="J748" s="308"/>
      <c r="K748" s="308"/>
      <c r="L748" s="308"/>
      <c r="M748" s="308"/>
      <c r="N748" s="308"/>
      <c r="O748" s="308"/>
      <c r="P748" s="308"/>
      <c r="Q748" s="308"/>
      <c r="R748" s="308"/>
      <c r="S748" s="308"/>
      <c r="T748" s="308"/>
      <c r="U748" s="308"/>
      <c r="V748" s="308"/>
      <c r="W748" s="308"/>
      <c r="X748" s="308"/>
      <c r="Y748" s="308"/>
      <c r="Z748" s="308"/>
    </row>
    <row r="749" ht="15.75" customHeight="1">
      <c r="A749" s="308"/>
      <c r="B749" s="524"/>
      <c r="C749" s="308"/>
      <c r="D749" s="308"/>
      <c r="E749" s="308"/>
      <c r="F749" s="308"/>
      <c r="G749" s="308"/>
      <c r="H749" s="308"/>
      <c r="I749" s="308"/>
      <c r="J749" s="308"/>
      <c r="K749" s="308"/>
      <c r="L749" s="308"/>
      <c r="M749" s="308"/>
      <c r="N749" s="308"/>
      <c r="O749" s="308"/>
      <c r="P749" s="308"/>
      <c r="Q749" s="308"/>
      <c r="R749" s="308"/>
      <c r="S749" s="308"/>
      <c r="T749" s="308"/>
      <c r="U749" s="308"/>
      <c r="V749" s="308"/>
      <c r="W749" s="308"/>
      <c r="X749" s="308"/>
      <c r="Y749" s="308"/>
      <c r="Z749" s="308"/>
    </row>
    <row r="750" ht="15.75" customHeight="1">
      <c r="A750" s="308"/>
      <c r="B750" s="524"/>
      <c r="C750" s="308"/>
      <c r="D750" s="308"/>
      <c r="E750" s="308"/>
      <c r="F750" s="308"/>
      <c r="G750" s="308"/>
      <c r="H750" s="308"/>
      <c r="I750" s="308"/>
      <c r="J750" s="308"/>
      <c r="K750" s="308"/>
      <c r="L750" s="308"/>
      <c r="M750" s="308"/>
      <c r="N750" s="308"/>
      <c r="O750" s="308"/>
      <c r="P750" s="308"/>
      <c r="Q750" s="308"/>
      <c r="R750" s="308"/>
      <c r="S750" s="308"/>
      <c r="T750" s="308"/>
      <c r="U750" s="308"/>
      <c r="V750" s="308"/>
      <c r="W750" s="308"/>
      <c r="X750" s="308"/>
      <c r="Y750" s="308"/>
      <c r="Z750" s="308"/>
    </row>
    <row r="751" ht="15.75" customHeight="1">
      <c r="A751" s="308"/>
      <c r="B751" s="524"/>
      <c r="C751" s="308"/>
      <c r="D751" s="308"/>
      <c r="E751" s="308"/>
      <c r="F751" s="308"/>
      <c r="G751" s="308"/>
      <c r="H751" s="308"/>
      <c r="I751" s="308"/>
      <c r="J751" s="308"/>
      <c r="K751" s="308"/>
      <c r="L751" s="308"/>
      <c r="M751" s="308"/>
      <c r="N751" s="308"/>
      <c r="O751" s="308"/>
      <c r="P751" s="308"/>
      <c r="Q751" s="308"/>
      <c r="R751" s="308"/>
      <c r="S751" s="308"/>
      <c r="T751" s="308"/>
      <c r="U751" s="308"/>
      <c r="V751" s="308"/>
      <c r="W751" s="308"/>
      <c r="X751" s="308"/>
      <c r="Y751" s="308"/>
      <c r="Z751" s="308"/>
    </row>
    <row r="752" ht="15.75" customHeight="1">
      <c r="A752" s="308"/>
      <c r="B752" s="524"/>
      <c r="C752" s="308"/>
      <c r="D752" s="308"/>
      <c r="E752" s="308"/>
      <c r="F752" s="308"/>
      <c r="G752" s="308"/>
      <c r="H752" s="308"/>
      <c r="I752" s="308"/>
      <c r="J752" s="308"/>
      <c r="K752" s="308"/>
      <c r="L752" s="308"/>
      <c r="M752" s="308"/>
      <c r="N752" s="308"/>
      <c r="O752" s="308"/>
      <c r="P752" s="308"/>
      <c r="Q752" s="308"/>
      <c r="R752" s="308"/>
      <c r="S752" s="308"/>
      <c r="T752" s="308"/>
      <c r="U752" s="308"/>
      <c r="V752" s="308"/>
      <c r="W752" s="308"/>
      <c r="X752" s="308"/>
      <c r="Y752" s="308"/>
      <c r="Z752" s="308"/>
    </row>
    <row r="753" ht="15.75" customHeight="1">
      <c r="A753" s="308"/>
      <c r="B753" s="524"/>
      <c r="C753" s="308"/>
      <c r="D753" s="308"/>
      <c r="E753" s="308"/>
      <c r="F753" s="308"/>
      <c r="G753" s="308"/>
      <c r="H753" s="308"/>
      <c r="I753" s="308"/>
      <c r="J753" s="308"/>
      <c r="K753" s="308"/>
      <c r="L753" s="308"/>
      <c r="M753" s="308"/>
      <c r="N753" s="308"/>
      <c r="O753" s="308"/>
      <c r="P753" s="308"/>
      <c r="Q753" s="308"/>
      <c r="R753" s="308"/>
      <c r="S753" s="308"/>
      <c r="T753" s="308"/>
      <c r="U753" s="308"/>
      <c r="V753" s="308"/>
      <c r="W753" s="308"/>
      <c r="X753" s="308"/>
      <c r="Y753" s="308"/>
      <c r="Z753" s="308"/>
    </row>
    <row r="754" ht="15.75" customHeight="1">
      <c r="A754" s="308"/>
      <c r="B754" s="524"/>
      <c r="C754" s="308"/>
      <c r="D754" s="308"/>
      <c r="E754" s="308"/>
      <c r="F754" s="308"/>
      <c r="G754" s="308"/>
      <c r="H754" s="308"/>
      <c r="I754" s="308"/>
      <c r="J754" s="308"/>
      <c r="K754" s="308"/>
      <c r="L754" s="308"/>
      <c r="M754" s="308"/>
      <c r="N754" s="308"/>
      <c r="O754" s="308"/>
      <c r="P754" s="308"/>
      <c r="Q754" s="308"/>
      <c r="R754" s="308"/>
      <c r="S754" s="308"/>
      <c r="T754" s="308"/>
      <c r="U754" s="308"/>
      <c r="V754" s="308"/>
      <c r="W754" s="308"/>
      <c r="X754" s="308"/>
      <c r="Y754" s="308"/>
      <c r="Z754" s="308"/>
    </row>
    <row r="755" ht="15.75" customHeight="1">
      <c r="A755" s="308"/>
      <c r="B755" s="524"/>
      <c r="C755" s="308"/>
      <c r="D755" s="308"/>
      <c r="E755" s="308"/>
      <c r="F755" s="308"/>
      <c r="G755" s="308"/>
      <c r="H755" s="308"/>
      <c r="I755" s="308"/>
      <c r="J755" s="308"/>
      <c r="K755" s="308"/>
      <c r="L755" s="308"/>
      <c r="M755" s="308"/>
      <c r="N755" s="308"/>
      <c r="O755" s="308"/>
      <c r="P755" s="308"/>
      <c r="Q755" s="308"/>
      <c r="R755" s="308"/>
      <c r="S755" s="308"/>
      <c r="T755" s="308"/>
      <c r="U755" s="308"/>
      <c r="V755" s="308"/>
      <c r="W755" s="308"/>
      <c r="X755" s="308"/>
      <c r="Y755" s="308"/>
      <c r="Z755" s="308"/>
    </row>
    <row r="756" ht="15.75" customHeight="1">
      <c r="A756" s="308"/>
      <c r="B756" s="524"/>
      <c r="C756" s="308"/>
      <c r="D756" s="308"/>
      <c r="E756" s="308"/>
      <c r="F756" s="308"/>
      <c r="G756" s="308"/>
      <c r="H756" s="308"/>
      <c r="I756" s="308"/>
      <c r="J756" s="308"/>
      <c r="K756" s="308"/>
      <c r="L756" s="308"/>
      <c r="M756" s="308"/>
      <c r="N756" s="308"/>
      <c r="O756" s="308"/>
      <c r="P756" s="308"/>
      <c r="Q756" s="308"/>
      <c r="R756" s="308"/>
      <c r="S756" s="308"/>
      <c r="T756" s="308"/>
      <c r="U756" s="308"/>
      <c r="V756" s="308"/>
      <c r="W756" s="308"/>
      <c r="X756" s="308"/>
      <c r="Y756" s="308"/>
      <c r="Z756" s="308"/>
    </row>
    <row r="757" ht="15.75" customHeight="1">
      <c r="A757" s="308"/>
      <c r="B757" s="524"/>
      <c r="C757" s="308"/>
      <c r="D757" s="308"/>
      <c r="E757" s="308"/>
      <c r="F757" s="308"/>
      <c r="G757" s="308"/>
      <c r="H757" s="308"/>
      <c r="I757" s="308"/>
      <c r="J757" s="308"/>
      <c r="K757" s="308"/>
      <c r="L757" s="308"/>
      <c r="M757" s="308"/>
      <c r="N757" s="308"/>
      <c r="O757" s="308"/>
      <c r="P757" s="308"/>
      <c r="Q757" s="308"/>
      <c r="R757" s="308"/>
      <c r="S757" s="308"/>
      <c r="T757" s="308"/>
      <c r="U757" s="308"/>
      <c r="V757" s="308"/>
      <c r="W757" s="308"/>
      <c r="X757" s="308"/>
      <c r="Y757" s="308"/>
      <c r="Z757" s="308"/>
    </row>
    <row r="758" ht="15.75" customHeight="1">
      <c r="A758" s="308"/>
      <c r="B758" s="524"/>
      <c r="C758" s="308"/>
      <c r="D758" s="308"/>
      <c r="E758" s="308"/>
      <c r="F758" s="308"/>
      <c r="G758" s="308"/>
      <c r="H758" s="308"/>
      <c r="I758" s="308"/>
      <c r="J758" s="308"/>
      <c r="K758" s="308"/>
      <c r="L758" s="308"/>
      <c r="M758" s="308"/>
      <c r="N758" s="308"/>
      <c r="O758" s="308"/>
      <c r="P758" s="308"/>
      <c r="Q758" s="308"/>
      <c r="R758" s="308"/>
      <c r="S758" s="308"/>
      <c r="T758" s="308"/>
      <c r="U758" s="308"/>
      <c r="V758" s="308"/>
      <c r="W758" s="308"/>
      <c r="X758" s="308"/>
      <c r="Y758" s="308"/>
      <c r="Z758" s="308"/>
    </row>
    <row r="759" ht="15.75" customHeight="1">
      <c r="A759" s="308"/>
      <c r="B759" s="524"/>
      <c r="C759" s="308"/>
      <c r="D759" s="308"/>
      <c r="E759" s="308"/>
      <c r="F759" s="308"/>
      <c r="G759" s="308"/>
      <c r="H759" s="308"/>
      <c r="I759" s="308"/>
      <c r="J759" s="308"/>
      <c r="K759" s="308"/>
      <c r="L759" s="308"/>
      <c r="M759" s="308"/>
      <c r="N759" s="308"/>
      <c r="O759" s="308"/>
      <c r="P759" s="308"/>
      <c r="Q759" s="308"/>
      <c r="R759" s="308"/>
      <c r="S759" s="308"/>
      <c r="T759" s="308"/>
      <c r="U759" s="308"/>
      <c r="V759" s="308"/>
      <c r="W759" s="308"/>
      <c r="X759" s="308"/>
      <c r="Y759" s="308"/>
      <c r="Z759" s="308"/>
    </row>
    <row r="760" ht="15.75" customHeight="1">
      <c r="A760" s="308"/>
      <c r="B760" s="524"/>
      <c r="C760" s="308"/>
      <c r="D760" s="308"/>
      <c r="E760" s="308"/>
      <c r="F760" s="308"/>
      <c r="G760" s="308"/>
      <c r="H760" s="308"/>
      <c r="I760" s="308"/>
      <c r="J760" s="308"/>
      <c r="K760" s="308"/>
      <c r="L760" s="308"/>
      <c r="M760" s="308"/>
      <c r="N760" s="308"/>
      <c r="O760" s="308"/>
      <c r="P760" s="308"/>
      <c r="Q760" s="308"/>
      <c r="R760" s="308"/>
      <c r="S760" s="308"/>
      <c r="T760" s="308"/>
      <c r="U760" s="308"/>
      <c r="V760" s="308"/>
      <c r="W760" s="308"/>
      <c r="X760" s="308"/>
      <c r="Y760" s="308"/>
      <c r="Z760" s="308"/>
    </row>
    <row r="761" ht="15.75" customHeight="1">
      <c r="A761" s="308"/>
      <c r="B761" s="524"/>
      <c r="C761" s="308"/>
      <c r="D761" s="308"/>
      <c r="E761" s="308"/>
      <c r="F761" s="308"/>
      <c r="G761" s="308"/>
      <c r="H761" s="308"/>
      <c r="I761" s="308"/>
      <c r="J761" s="308"/>
      <c r="K761" s="308"/>
      <c r="L761" s="308"/>
      <c r="M761" s="308"/>
      <c r="N761" s="308"/>
      <c r="O761" s="308"/>
      <c r="P761" s="308"/>
      <c r="Q761" s="308"/>
      <c r="R761" s="308"/>
      <c r="S761" s="308"/>
      <c r="T761" s="308"/>
      <c r="U761" s="308"/>
      <c r="V761" s="308"/>
      <c r="W761" s="308"/>
      <c r="X761" s="308"/>
      <c r="Y761" s="308"/>
      <c r="Z761" s="308"/>
    </row>
    <row r="762" ht="15.75" customHeight="1">
      <c r="A762" s="308"/>
      <c r="B762" s="524"/>
      <c r="C762" s="308"/>
      <c r="D762" s="308"/>
      <c r="E762" s="308"/>
      <c r="F762" s="308"/>
      <c r="G762" s="308"/>
      <c r="H762" s="308"/>
      <c r="I762" s="308"/>
      <c r="J762" s="308"/>
      <c r="K762" s="308"/>
      <c r="L762" s="308"/>
      <c r="M762" s="308"/>
      <c r="N762" s="308"/>
      <c r="O762" s="308"/>
      <c r="P762" s="308"/>
      <c r="Q762" s="308"/>
      <c r="R762" s="308"/>
      <c r="S762" s="308"/>
      <c r="T762" s="308"/>
      <c r="U762" s="308"/>
      <c r="V762" s="308"/>
      <c r="W762" s="308"/>
      <c r="X762" s="308"/>
      <c r="Y762" s="308"/>
      <c r="Z762" s="308"/>
    </row>
    <row r="763" ht="15.75" customHeight="1">
      <c r="A763" s="308"/>
      <c r="B763" s="524"/>
      <c r="C763" s="308"/>
      <c r="D763" s="308"/>
      <c r="E763" s="308"/>
      <c r="F763" s="308"/>
      <c r="G763" s="308"/>
      <c r="H763" s="308"/>
      <c r="I763" s="308"/>
      <c r="J763" s="308"/>
      <c r="K763" s="308"/>
      <c r="L763" s="308"/>
      <c r="M763" s="308"/>
      <c r="N763" s="308"/>
      <c r="O763" s="308"/>
      <c r="P763" s="308"/>
      <c r="Q763" s="308"/>
      <c r="R763" s="308"/>
      <c r="S763" s="308"/>
      <c r="T763" s="308"/>
      <c r="U763" s="308"/>
      <c r="V763" s="308"/>
      <c r="W763" s="308"/>
      <c r="X763" s="308"/>
      <c r="Y763" s="308"/>
      <c r="Z763" s="308"/>
    </row>
    <row r="764" ht="15.75" customHeight="1">
      <c r="A764" s="308"/>
      <c r="B764" s="524"/>
      <c r="C764" s="308"/>
      <c r="D764" s="308"/>
      <c r="E764" s="308"/>
      <c r="F764" s="308"/>
      <c r="G764" s="308"/>
      <c r="H764" s="308"/>
      <c r="I764" s="308"/>
      <c r="J764" s="308"/>
      <c r="K764" s="308"/>
      <c r="L764" s="308"/>
      <c r="M764" s="308"/>
      <c r="N764" s="308"/>
      <c r="O764" s="308"/>
      <c r="P764" s="308"/>
      <c r="Q764" s="308"/>
      <c r="R764" s="308"/>
      <c r="S764" s="308"/>
      <c r="T764" s="308"/>
      <c r="U764" s="308"/>
      <c r="V764" s="308"/>
      <c r="W764" s="308"/>
      <c r="X764" s="308"/>
      <c r="Y764" s="308"/>
      <c r="Z764" s="308"/>
    </row>
    <row r="765" ht="15.75" customHeight="1">
      <c r="A765" s="308"/>
      <c r="B765" s="524"/>
      <c r="C765" s="308"/>
      <c r="D765" s="308"/>
      <c r="E765" s="308"/>
      <c r="F765" s="308"/>
      <c r="G765" s="308"/>
      <c r="H765" s="308"/>
      <c r="I765" s="308"/>
      <c r="J765" s="308"/>
      <c r="K765" s="308"/>
      <c r="L765" s="308"/>
      <c r="M765" s="308"/>
      <c r="N765" s="308"/>
      <c r="O765" s="308"/>
      <c r="P765" s="308"/>
      <c r="Q765" s="308"/>
      <c r="R765" s="308"/>
      <c r="S765" s="308"/>
      <c r="T765" s="308"/>
      <c r="U765" s="308"/>
      <c r="V765" s="308"/>
      <c r="W765" s="308"/>
      <c r="X765" s="308"/>
      <c r="Y765" s="308"/>
      <c r="Z765" s="308"/>
    </row>
    <row r="766" ht="15.75" customHeight="1">
      <c r="A766" s="308"/>
      <c r="B766" s="524"/>
      <c r="C766" s="308"/>
      <c r="D766" s="308"/>
      <c r="E766" s="308"/>
      <c r="F766" s="308"/>
      <c r="G766" s="308"/>
      <c r="H766" s="308"/>
      <c r="I766" s="308"/>
      <c r="J766" s="308"/>
      <c r="K766" s="308"/>
      <c r="L766" s="308"/>
      <c r="M766" s="308"/>
      <c r="N766" s="308"/>
      <c r="O766" s="308"/>
      <c r="P766" s="308"/>
      <c r="Q766" s="308"/>
      <c r="R766" s="308"/>
      <c r="S766" s="308"/>
      <c r="T766" s="308"/>
      <c r="U766" s="308"/>
      <c r="V766" s="308"/>
      <c r="W766" s="308"/>
      <c r="X766" s="308"/>
      <c r="Y766" s="308"/>
      <c r="Z766" s="308"/>
    </row>
    <row r="767" ht="15.75" customHeight="1">
      <c r="A767" s="308"/>
      <c r="B767" s="524"/>
      <c r="C767" s="308"/>
      <c r="D767" s="308"/>
      <c r="E767" s="308"/>
      <c r="F767" s="308"/>
      <c r="G767" s="308"/>
      <c r="H767" s="308"/>
      <c r="I767" s="308"/>
      <c r="J767" s="308"/>
      <c r="K767" s="308"/>
      <c r="L767" s="308"/>
      <c r="M767" s="308"/>
      <c r="N767" s="308"/>
      <c r="O767" s="308"/>
      <c r="P767" s="308"/>
      <c r="Q767" s="308"/>
      <c r="R767" s="308"/>
      <c r="S767" s="308"/>
      <c r="T767" s="308"/>
      <c r="U767" s="308"/>
      <c r="V767" s="308"/>
      <c r="W767" s="308"/>
      <c r="X767" s="308"/>
      <c r="Y767" s="308"/>
      <c r="Z767" s="308"/>
    </row>
    <row r="768" ht="15.75" customHeight="1">
      <c r="A768" s="308"/>
      <c r="B768" s="524"/>
      <c r="C768" s="308"/>
      <c r="D768" s="308"/>
      <c r="E768" s="308"/>
      <c r="F768" s="308"/>
      <c r="G768" s="308"/>
      <c r="H768" s="308"/>
      <c r="I768" s="308"/>
      <c r="J768" s="308"/>
      <c r="K768" s="308"/>
      <c r="L768" s="308"/>
      <c r="M768" s="308"/>
      <c r="N768" s="308"/>
      <c r="O768" s="308"/>
      <c r="P768" s="308"/>
      <c r="Q768" s="308"/>
      <c r="R768" s="308"/>
      <c r="S768" s="308"/>
      <c r="T768" s="308"/>
      <c r="U768" s="308"/>
      <c r="V768" s="308"/>
      <c r="W768" s="308"/>
      <c r="X768" s="308"/>
      <c r="Y768" s="308"/>
      <c r="Z768" s="308"/>
    </row>
    <row r="769" ht="15.75" customHeight="1">
      <c r="A769" s="308"/>
      <c r="B769" s="524"/>
      <c r="C769" s="308"/>
      <c r="D769" s="308"/>
      <c r="E769" s="308"/>
      <c r="F769" s="308"/>
      <c r="G769" s="308"/>
      <c r="H769" s="308"/>
      <c r="I769" s="308"/>
      <c r="J769" s="308"/>
      <c r="K769" s="308"/>
      <c r="L769" s="308"/>
      <c r="M769" s="308"/>
      <c r="N769" s="308"/>
      <c r="O769" s="308"/>
      <c r="P769" s="308"/>
      <c r="Q769" s="308"/>
      <c r="R769" s="308"/>
      <c r="S769" s="308"/>
      <c r="T769" s="308"/>
      <c r="U769" s="308"/>
      <c r="V769" s="308"/>
      <c r="W769" s="308"/>
      <c r="X769" s="308"/>
      <c r="Y769" s="308"/>
      <c r="Z769" s="308"/>
    </row>
    <row r="770" ht="15.75" customHeight="1">
      <c r="A770" s="308"/>
      <c r="B770" s="524"/>
      <c r="C770" s="308"/>
      <c r="D770" s="308"/>
      <c r="E770" s="308"/>
      <c r="F770" s="308"/>
      <c r="G770" s="308"/>
      <c r="H770" s="308"/>
      <c r="I770" s="308"/>
      <c r="J770" s="308"/>
      <c r="K770" s="308"/>
      <c r="L770" s="308"/>
      <c r="M770" s="308"/>
      <c r="N770" s="308"/>
      <c r="O770" s="308"/>
      <c r="P770" s="308"/>
      <c r="Q770" s="308"/>
      <c r="R770" s="308"/>
      <c r="S770" s="308"/>
      <c r="T770" s="308"/>
      <c r="U770" s="308"/>
      <c r="V770" s="308"/>
      <c r="W770" s="308"/>
      <c r="X770" s="308"/>
      <c r="Y770" s="308"/>
      <c r="Z770" s="308"/>
    </row>
    <row r="771" ht="15.75" customHeight="1">
      <c r="A771" s="308"/>
      <c r="B771" s="524"/>
      <c r="C771" s="308"/>
      <c r="D771" s="308"/>
      <c r="E771" s="308"/>
      <c r="F771" s="308"/>
      <c r="G771" s="308"/>
      <c r="H771" s="308"/>
      <c r="I771" s="308"/>
      <c r="J771" s="308"/>
      <c r="K771" s="308"/>
      <c r="L771" s="308"/>
      <c r="M771" s="308"/>
      <c r="N771" s="308"/>
      <c r="O771" s="308"/>
      <c r="P771" s="308"/>
      <c r="Q771" s="308"/>
      <c r="R771" s="308"/>
      <c r="S771" s="308"/>
      <c r="T771" s="308"/>
      <c r="U771" s="308"/>
      <c r="V771" s="308"/>
      <c r="W771" s="308"/>
      <c r="X771" s="308"/>
      <c r="Y771" s="308"/>
      <c r="Z771" s="308"/>
    </row>
    <row r="772" ht="15.75" customHeight="1">
      <c r="A772" s="308"/>
      <c r="B772" s="524"/>
      <c r="C772" s="308"/>
      <c r="D772" s="308"/>
      <c r="E772" s="308"/>
      <c r="F772" s="308"/>
      <c r="G772" s="308"/>
      <c r="H772" s="308"/>
      <c r="I772" s="308"/>
      <c r="J772" s="308"/>
      <c r="K772" s="308"/>
      <c r="L772" s="308"/>
      <c r="M772" s="308"/>
      <c r="N772" s="308"/>
      <c r="O772" s="308"/>
      <c r="P772" s="308"/>
      <c r="Q772" s="308"/>
      <c r="R772" s="308"/>
      <c r="S772" s="308"/>
      <c r="T772" s="308"/>
      <c r="U772" s="308"/>
      <c r="V772" s="308"/>
      <c r="W772" s="308"/>
      <c r="X772" s="308"/>
      <c r="Y772" s="308"/>
      <c r="Z772" s="308"/>
    </row>
    <row r="773" ht="15.75" customHeight="1">
      <c r="A773" s="308"/>
      <c r="B773" s="524"/>
      <c r="C773" s="308"/>
      <c r="D773" s="308"/>
      <c r="E773" s="308"/>
      <c r="F773" s="308"/>
      <c r="G773" s="308"/>
      <c r="H773" s="308"/>
      <c r="I773" s="308"/>
      <c r="J773" s="308"/>
      <c r="K773" s="308"/>
      <c r="L773" s="308"/>
      <c r="M773" s="308"/>
      <c r="N773" s="308"/>
      <c r="O773" s="308"/>
      <c r="P773" s="308"/>
      <c r="Q773" s="308"/>
      <c r="R773" s="308"/>
      <c r="S773" s="308"/>
      <c r="T773" s="308"/>
      <c r="U773" s="308"/>
      <c r="V773" s="308"/>
      <c r="W773" s="308"/>
      <c r="X773" s="308"/>
      <c r="Y773" s="308"/>
      <c r="Z773" s="308"/>
    </row>
    <row r="774" ht="15.75" customHeight="1">
      <c r="A774" s="308"/>
      <c r="B774" s="524"/>
      <c r="C774" s="308"/>
      <c r="D774" s="308"/>
      <c r="E774" s="308"/>
      <c r="F774" s="308"/>
      <c r="G774" s="308"/>
      <c r="H774" s="308"/>
      <c r="I774" s="308"/>
      <c r="J774" s="308"/>
      <c r="K774" s="308"/>
      <c r="L774" s="308"/>
      <c r="M774" s="308"/>
      <c r="N774" s="308"/>
      <c r="O774" s="308"/>
      <c r="P774" s="308"/>
      <c r="Q774" s="308"/>
      <c r="R774" s="308"/>
      <c r="S774" s="308"/>
      <c r="T774" s="308"/>
      <c r="U774" s="308"/>
      <c r="V774" s="308"/>
      <c r="W774" s="308"/>
      <c r="X774" s="308"/>
      <c r="Y774" s="308"/>
      <c r="Z774" s="308"/>
    </row>
    <row r="775" ht="15.75" customHeight="1">
      <c r="A775" s="308"/>
      <c r="B775" s="524"/>
      <c r="C775" s="308"/>
      <c r="D775" s="308"/>
      <c r="E775" s="308"/>
      <c r="F775" s="308"/>
      <c r="G775" s="308"/>
      <c r="H775" s="308"/>
      <c r="I775" s="308"/>
      <c r="J775" s="308"/>
      <c r="K775" s="308"/>
      <c r="L775" s="308"/>
      <c r="M775" s="308"/>
      <c r="N775" s="308"/>
      <c r="O775" s="308"/>
      <c r="P775" s="308"/>
      <c r="Q775" s="308"/>
      <c r="R775" s="308"/>
      <c r="S775" s="308"/>
      <c r="T775" s="308"/>
      <c r="U775" s="308"/>
      <c r="V775" s="308"/>
      <c r="W775" s="308"/>
      <c r="X775" s="308"/>
      <c r="Y775" s="308"/>
      <c r="Z775" s="308"/>
    </row>
    <row r="776" ht="15.75" customHeight="1">
      <c r="A776" s="308"/>
      <c r="B776" s="524"/>
      <c r="C776" s="308"/>
      <c r="D776" s="308"/>
      <c r="E776" s="308"/>
      <c r="F776" s="308"/>
      <c r="G776" s="308"/>
      <c r="H776" s="308"/>
      <c r="I776" s="308"/>
      <c r="J776" s="308"/>
      <c r="K776" s="308"/>
      <c r="L776" s="308"/>
      <c r="M776" s="308"/>
      <c r="N776" s="308"/>
      <c r="O776" s="308"/>
      <c r="P776" s="308"/>
      <c r="Q776" s="308"/>
      <c r="R776" s="308"/>
      <c r="S776" s="308"/>
      <c r="T776" s="308"/>
      <c r="U776" s="308"/>
      <c r="V776" s="308"/>
      <c r="W776" s="308"/>
      <c r="X776" s="308"/>
      <c r="Y776" s="308"/>
      <c r="Z776" s="308"/>
    </row>
    <row r="777" ht="15.75" customHeight="1">
      <c r="A777" s="308"/>
      <c r="B777" s="524"/>
      <c r="C777" s="308"/>
      <c r="D777" s="308"/>
      <c r="E777" s="308"/>
      <c r="F777" s="308"/>
      <c r="G777" s="308"/>
      <c r="H777" s="308"/>
      <c r="I777" s="308"/>
      <c r="J777" s="308"/>
      <c r="K777" s="308"/>
      <c r="L777" s="308"/>
      <c r="M777" s="308"/>
      <c r="N777" s="308"/>
      <c r="O777" s="308"/>
      <c r="P777" s="308"/>
      <c r="Q777" s="308"/>
      <c r="R777" s="308"/>
      <c r="S777" s="308"/>
      <c r="T777" s="308"/>
      <c r="U777" s="308"/>
      <c r="V777" s="308"/>
      <c r="W777" s="308"/>
      <c r="X777" s="308"/>
      <c r="Y777" s="308"/>
      <c r="Z777" s="308"/>
    </row>
    <row r="778" ht="15.75" customHeight="1">
      <c r="A778" s="308"/>
      <c r="B778" s="524"/>
      <c r="C778" s="308"/>
      <c r="D778" s="308"/>
      <c r="E778" s="308"/>
      <c r="F778" s="308"/>
      <c r="G778" s="308"/>
      <c r="H778" s="308"/>
      <c r="I778" s="308"/>
      <c r="J778" s="308"/>
      <c r="K778" s="308"/>
      <c r="L778" s="308"/>
      <c r="M778" s="308"/>
      <c r="N778" s="308"/>
      <c r="O778" s="308"/>
      <c r="P778" s="308"/>
      <c r="Q778" s="308"/>
      <c r="R778" s="308"/>
      <c r="S778" s="308"/>
      <c r="T778" s="308"/>
      <c r="U778" s="308"/>
      <c r="V778" s="308"/>
      <c r="W778" s="308"/>
      <c r="X778" s="308"/>
      <c r="Y778" s="308"/>
      <c r="Z778" s="308"/>
    </row>
    <row r="779" ht="15.75" customHeight="1">
      <c r="A779" s="308"/>
      <c r="B779" s="524"/>
      <c r="C779" s="308"/>
      <c r="D779" s="308"/>
      <c r="E779" s="308"/>
      <c r="F779" s="308"/>
      <c r="G779" s="308"/>
      <c r="H779" s="308"/>
      <c r="I779" s="308"/>
      <c r="J779" s="308"/>
      <c r="K779" s="308"/>
      <c r="L779" s="308"/>
      <c r="M779" s="308"/>
      <c r="N779" s="308"/>
      <c r="O779" s="308"/>
      <c r="P779" s="308"/>
      <c r="Q779" s="308"/>
      <c r="R779" s="308"/>
      <c r="S779" s="308"/>
      <c r="T779" s="308"/>
      <c r="U779" s="308"/>
      <c r="V779" s="308"/>
      <c r="W779" s="308"/>
      <c r="X779" s="308"/>
      <c r="Y779" s="308"/>
      <c r="Z779" s="308"/>
    </row>
    <row r="780" ht="15.75" customHeight="1">
      <c r="A780" s="308"/>
      <c r="B780" s="524"/>
      <c r="C780" s="308"/>
      <c r="D780" s="308"/>
      <c r="E780" s="308"/>
      <c r="F780" s="308"/>
      <c r="G780" s="308"/>
      <c r="H780" s="308"/>
      <c r="I780" s="308"/>
      <c r="J780" s="308"/>
      <c r="K780" s="308"/>
      <c r="L780" s="308"/>
      <c r="M780" s="308"/>
      <c r="N780" s="308"/>
      <c r="O780" s="308"/>
      <c r="P780" s="308"/>
      <c r="Q780" s="308"/>
      <c r="R780" s="308"/>
      <c r="S780" s="308"/>
      <c r="T780" s="308"/>
      <c r="U780" s="308"/>
      <c r="V780" s="308"/>
      <c r="W780" s="308"/>
      <c r="X780" s="308"/>
      <c r="Y780" s="308"/>
      <c r="Z780" s="308"/>
    </row>
    <row r="781" ht="15.75" customHeight="1">
      <c r="A781" s="308"/>
      <c r="B781" s="524"/>
      <c r="C781" s="308"/>
      <c r="D781" s="308"/>
      <c r="E781" s="308"/>
      <c r="F781" s="308"/>
      <c r="G781" s="308"/>
      <c r="H781" s="308"/>
      <c r="I781" s="308"/>
      <c r="J781" s="308"/>
      <c r="K781" s="308"/>
      <c r="L781" s="308"/>
      <c r="M781" s="308"/>
      <c r="N781" s="308"/>
      <c r="O781" s="308"/>
      <c r="P781" s="308"/>
      <c r="Q781" s="308"/>
      <c r="R781" s="308"/>
      <c r="S781" s="308"/>
      <c r="T781" s="308"/>
      <c r="U781" s="308"/>
      <c r="V781" s="308"/>
      <c r="W781" s="308"/>
      <c r="X781" s="308"/>
      <c r="Y781" s="308"/>
      <c r="Z781" s="308"/>
    </row>
    <row r="782" ht="15.75" customHeight="1">
      <c r="A782" s="308"/>
      <c r="B782" s="524"/>
      <c r="C782" s="308"/>
      <c r="D782" s="308"/>
      <c r="E782" s="308"/>
      <c r="F782" s="308"/>
      <c r="G782" s="308"/>
      <c r="H782" s="308"/>
      <c r="I782" s="308"/>
      <c r="J782" s="308"/>
      <c r="K782" s="308"/>
      <c r="L782" s="308"/>
      <c r="M782" s="308"/>
      <c r="N782" s="308"/>
      <c r="O782" s="308"/>
      <c r="P782" s="308"/>
      <c r="Q782" s="308"/>
      <c r="R782" s="308"/>
      <c r="S782" s="308"/>
      <c r="T782" s="308"/>
      <c r="U782" s="308"/>
      <c r="V782" s="308"/>
      <c r="W782" s="308"/>
      <c r="X782" s="308"/>
      <c r="Y782" s="308"/>
      <c r="Z782" s="308"/>
    </row>
    <row r="783" ht="15.75" customHeight="1">
      <c r="A783" s="308"/>
      <c r="B783" s="524"/>
      <c r="C783" s="308"/>
      <c r="D783" s="308"/>
      <c r="E783" s="308"/>
      <c r="F783" s="308"/>
      <c r="G783" s="308"/>
      <c r="H783" s="308"/>
      <c r="I783" s="308"/>
      <c r="J783" s="308"/>
      <c r="K783" s="308"/>
      <c r="L783" s="308"/>
      <c r="M783" s="308"/>
      <c r="N783" s="308"/>
      <c r="O783" s="308"/>
      <c r="P783" s="308"/>
      <c r="Q783" s="308"/>
      <c r="R783" s="308"/>
      <c r="S783" s="308"/>
      <c r="T783" s="308"/>
      <c r="U783" s="308"/>
      <c r="V783" s="308"/>
      <c r="W783" s="308"/>
      <c r="X783" s="308"/>
      <c r="Y783" s="308"/>
      <c r="Z783" s="308"/>
    </row>
    <row r="784" ht="15.75" customHeight="1">
      <c r="A784" s="308"/>
      <c r="B784" s="524"/>
      <c r="C784" s="308"/>
      <c r="D784" s="308"/>
      <c r="E784" s="308"/>
      <c r="F784" s="308"/>
      <c r="G784" s="308"/>
      <c r="H784" s="308"/>
      <c r="I784" s="308"/>
      <c r="J784" s="308"/>
      <c r="K784" s="308"/>
      <c r="L784" s="308"/>
      <c r="M784" s="308"/>
      <c r="N784" s="308"/>
      <c r="O784" s="308"/>
      <c r="P784" s="308"/>
      <c r="Q784" s="308"/>
      <c r="R784" s="308"/>
      <c r="S784" s="308"/>
      <c r="T784" s="308"/>
      <c r="U784" s="308"/>
      <c r="V784" s="308"/>
      <c r="W784" s="308"/>
      <c r="X784" s="308"/>
      <c r="Y784" s="308"/>
      <c r="Z784" s="308"/>
    </row>
    <row r="785" ht="15.75" customHeight="1">
      <c r="A785" s="308"/>
      <c r="B785" s="524"/>
      <c r="C785" s="308"/>
      <c r="D785" s="308"/>
      <c r="E785" s="308"/>
      <c r="F785" s="308"/>
      <c r="G785" s="308"/>
      <c r="H785" s="308"/>
      <c r="I785" s="308"/>
      <c r="J785" s="308"/>
      <c r="K785" s="308"/>
      <c r="L785" s="308"/>
      <c r="M785" s="308"/>
      <c r="N785" s="308"/>
      <c r="O785" s="308"/>
      <c r="P785" s="308"/>
      <c r="Q785" s="308"/>
      <c r="R785" s="308"/>
      <c r="S785" s="308"/>
      <c r="T785" s="308"/>
      <c r="U785" s="308"/>
      <c r="V785" s="308"/>
      <c r="W785" s="308"/>
      <c r="X785" s="308"/>
      <c r="Y785" s="308"/>
      <c r="Z785" s="308"/>
    </row>
    <row r="786" ht="15.75" customHeight="1">
      <c r="A786" s="308"/>
      <c r="B786" s="524"/>
      <c r="C786" s="308"/>
      <c r="D786" s="308"/>
      <c r="E786" s="308"/>
      <c r="F786" s="308"/>
      <c r="G786" s="308"/>
      <c r="H786" s="308"/>
      <c r="I786" s="308"/>
      <c r="J786" s="308"/>
      <c r="K786" s="308"/>
      <c r="L786" s="308"/>
      <c r="M786" s="308"/>
      <c r="N786" s="308"/>
      <c r="O786" s="308"/>
      <c r="P786" s="308"/>
      <c r="Q786" s="308"/>
      <c r="R786" s="308"/>
      <c r="S786" s="308"/>
      <c r="T786" s="308"/>
      <c r="U786" s="308"/>
      <c r="V786" s="308"/>
      <c r="W786" s="308"/>
      <c r="X786" s="308"/>
      <c r="Y786" s="308"/>
      <c r="Z786" s="308"/>
    </row>
    <row r="787" ht="15.75" customHeight="1">
      <c r="A787" s="308"/>
      <c r="B787" s="524"/>
      <c r="C787" s="308"/>
      <c r="D787" s="308"/>
      <c r="E787" s="308"/>
      <c r="F787" s="308"/>
      <c r="G787" s="308"/>
      <c r="H787" s="308"/>
      <c r="I787" s="308"/>
      <c r="J787" s="308"/>
      <c r="K787" s="308"/>
      <c r="L787" s="308"/>
      <c r="M787" s="308"/>
      <c r="N787" s="308"/>
      <c r="O787" s="308"/>
      <c r="P787" s="308"/>
      <c r="Q787" s="308"/>
      <c r="R787" s="308"/>
      <c r="S787" s="308"/>
      <c r="T787" s="308"/>
      <c r="U787" s="308"/>
      <c r="V787" s="308"/>
      <c r="W787" s="308"/>
      <c r="X787" s="308"/>
      <c r="Y787" s="308"/>
      <c r="Z787" s="308"/>
    </row>
    <row r="788" ht="15.75" customHeight="1">
      <c r="A788" s="308"/>
      <c r="B788" s="524"/>
      <c r="C788" s="308"/>
      <c r="D788" s="308"/>
      <c r="E788" s="308"/>
      <c r="F788" s="308"/>
      <c r="G788" s="308"/>
      <c r="H788" s="308"/>
      <c r="I788" s="308"/>
      <c r="J788" s="308"/>
      <c r="K788" s="308"/>
      <c r="L788" s="308"/>
      <c r="M788" s="308"/>
      <c r="N788" s="308"/>
      <c r="O788" s="308"/>
      <c r="P788" s="308"/>
      <c r="Q788" s="308"/>
      <c r="R788" s="308"/>
      <c r="S788" s="308"/>
      <c r="T788" s="308"/>
      <c r="U788" s="308"/>
      <c r="V788" s="308"/>
      <c r="W788" s="308"/>
      <c r="X788" s="308"/>
      <c r="Y788" s="308"/>
      <c r="Z788" s="308"/>
    </row>
    <row r="789" ht="15.75" customHeight="1">
      <c r="A789" s="308"/>
      <c r="B789" s="524"/>
      <c r="C789" s="308"/>
      <c r="D789" s="308"/>
      <c r="E789" s="308"/>
      <c r="F789" s="308"/>
      <c r="G789" s="308"/>
      <c r="H789" s="308"/>
      <c r="I789" s="308"/>
      <c r="J789" s="308"/>
      <c r="K789" s="308"/>
      <c r="L789" s="308"/>
      <c r="M789" s="308"/>
      <c r="N789" s="308"/>
      <c r="O789" s="308"/>
      <c r="P789" s="308"/>
      <c r="Q789" s="308"/>
      <c r="R789" s="308"/>
      <c r="S789" s="308"/>
      <c r="T789" s="308"/>
      <c r="U789" s="308"/>
      <c r="V789" s="308"/>
      <c r="W789" s="308"/>
      <c r="X789" s="308"/>
      <c r="Y789" s="308"/>
      <c r="Z789" s="308"/>
    </row>
    <row r="790" ht="15.75" customHeight="1">
      <c r="A790" s="308"/>
      <c r="B790" s="524"/>
      <c r="C790" s="308"/>
      <c r="D790" s="308"/>
      <c r="E790" s="308"/>
      <c r="F790" s="308"/>
      <c r="G790" s="308"/>
      <c r="H790" s="308"/>
      <c r="I790" s="308"/>
      <c r="J790" s="308"/>
      <c r="K790" s="308"/>
      <c r="L790" s="308"/>
      <c r="M790" s="308"/>
      <c r="N790" s="308"/>
      <c r="O790" s="308"/>
      <c r="P790" s="308"/>
      <c r="Q790" s="308"/>
      <c r="R790" s="308"/>
      <c r="S790" s="308"/>
      <c r="T790" s="308"/>
      <c r="U790" s="308"/>
      <c r="V790" s="308"/>
      <c r="W790" s="308"/>
      <c r="X790" s="308"/>
      <c r="Y790" s="308"/>
      <c r="Z790" s="308"/>
    </row>
    <row r="791" ht="15.75" customHeight="1">
      <c r="A791" s="308"/>
      <c r="B791" s="524"/>
      <c r="C791" s="308"/>
      <c r="D791" s="308"/>
      <c r="E791" s="308"/>
      <c r="F791" s="308"/>
      <c r="G791" s="308"/>
      <c r="H791" s="308"/>
      <c r="I791" s="308"/>
      <c r="J791" s="308"/>
      <c r="K791" s="308"/>
      <c r="L791" s="308"/>
      <c r="M791" s="308"/>
      <c r="N791" s="308"/>
      <c r="O791" s="308"/>
      <c r="P791" s="308"/>
      <c r="Q791" s="308"/>
      <c r="R791" s="308"/>
      <c r="S791" s="308"/>
      <c r="T791" s="308"/>
      <c r="U791" s="308"/>
      <c r="V791" s="308"/>
      <c r="W791" s="308"/>
      <c r="X791" s="308"/>
      <c r="Y791" s="308"/>
      <c r="Z791" s="308"/>
    </row>
    <row r="792" ht="15.75" customHeight="1">
      <c r="A792" s="308"/>
      <c r="B792" s="524"/>
      <c r="C792" s="308"/>
      <c r="D792" s="308"/>
      <c r="E792" s="308"/>
      <c r="F792" s="308"/>
      <c r="G792" s="308"/>
      <c r="H792" s="308"/>
      <c r="I792" s="308"/>
      <c r="J792" s="308"/>
      <c r="K792" s="308"/>
      <c r="L792" s="308"/>
      <c r="M792" s="308"/>
      <c r="N792" s="308"/>
      <c r="O792" s="308"/>
      <c r="P792" s="308"/>
      <c r="Q792" s="308"/>
      <c r="R792" s="308"/>
      <c r="S792" s="308"/>
      <c r="T792" s="308"/>
      <c r="U792" s="308"/>
      <c r="V792" s="308"/>
      <c r="W792" s="308"/>
      <c r="X792" s="308"/>
      <c r="Y792" s="308"/>
      <c r="Z792" s="308"/>
    </row>
    <row r="793" ht="15.75" customHeight="1">
      <c r="A793" s="308"/>
      <c r="B793" s="524"/>
      <c r="C793" s="308"/>
      <c r="D793" s="308"/>
      <c r="E793" s="308"/>
      <c r="F793" s="308"/>
      <c r="G793" s="308"/>
      <c r="H793" s="308"/>
      <c r="I793" s="308"/>
      <c r="J793" s="308"/>
      <c r="K793" s="308"/>
      <c r="L793" s="308"/>
      <c r="M793" s="308"/>
      <c r="N793" s="308"/>
      <c r="O793" s="308"/>
      <c r="P793" s="308"/>
      <c r="Q793" s="308"/>
      <c r="R793" s="308"/>
      <c r="S793" s="308"/>
      <c r="T793" s="308"/>
      <c r="U793" s="308"/>
      <c r="V793" s="308"/>
      <c r="W793" s="308"/>
      <c r="X793" s="308"/>
      <c r="Y793" s="308"/>
      <c r="Z793" s="308"/>
    </row>
    <row r="794" ht="15.75" customHeight="1">
      <c r="A794" s="308"/>
      <c r="B794" s="524"/>
      <c r="C794" s="308"/>
      <c r="D794" s="308"/>
      <c r="E794" s="308"/>
      <c r="F794" s="308"/>
      <c r="G794" s="308"/>
      <c r="H794" s="308"/>
      <c r="I794" s="308"/>
      <c r="J794" s="308"/>
      <c r="K794" s="308"/>
      <c r="L794" s="308"/>
      <c r="M794" s="308"/>
      <c r="N794" s="308"/>
      <c r="O794" s="308"/>
      <c r="P794" s="308"/>
      <c r="Q794" s="308"/>
      <c r="R794" s="308"/>
      <c r="S794" s="308"/>
      <c r="T794" s="308"/>
      <c r="U794" s="308"/>
      <c r="V794" s="308"/>
      <c r="W794" s="308"/>
      <c r="X794" s="308"/>
      <c r="Y794" s="308"/>
      <c r="Z794" s="308"/>
    </row>
    <row r="795" ht="15.75" customHeight="1">
      <c r="A795" s="308"/>
      <c r="B795" s="524"/>
      <c r="C795" s="308"/>
      <c r="D795" s="308"/>
      <c r="E795" s="308"/>
      <c r="F795" s="308"/>
      <c r="G795" s="308"/>
      <c r="H795" s="308"/>
      <c r="I795" s="308"/>
      <c r="J795" s="308"/>
      <c r="K795" s="308"/>
      <c r="L795" s="308"/>
      <c r="M795" s="308"/>
      <c r="N795" s="308"/>
      <c r="O795" s="308"/>
      <c r="P795" s="308"/>
      <c r="Q795" s="308"/>
      <c r="R795" s="308"/>
      <c r="S795" s="308"/>
      <c r="T795" s="308"/>
      <c r="U795" s="308"/>
      <c r="V795" s="308"/>
      <c r="W795" s="308"/>
      <c r="X795" s="308"/>
      <c r="Y795" s="308"/>
      <c r="Z795" s="308"/>
    </row>
    <row r="796" ht="15.75" customHeight="1">
      <c r="A796" s="308"/>
      <c r="B796" s="524"/>
      <c r="C796" s="308"/>
      <c r="D796" s="308"/>
      <c r="E796" s="308"/>
      <c r="F796" s="308"/>
      <c r="G796" s="308"/>
      <c r="H796" s="308"/>
      <c r="I796" s="308"/>
      <c r="J796" s="308"/>
      <c r="K796" s="308"/>
      <c r="L796" s="308"/>
      <c r="M796" s="308"/>
      <c r="N796" s="308"/>
      <c r="O796" s="308"/>
      <c r="P796" s="308"/>
      <c r="Q796" s="308"/>
      <c r="R796" s="308"/>
      <c r="S796" s="308"/>
      <c r="T796" s="308"/>
      <c r="U796" s="308"/>
      <c r="V796" s="308"/>
      <c r="W796" s="308"/>
      <c r="X796" s="308"/>
      <c r="Y796" s="308"/>
      <c r="Z796" s="308"/>
    </row>
    <row r="797" ht="15.75" customHeight="1">
      <c r="A797" s="308"/>
      <c r="B797" s="524"/>
      <c r="C797" s="308"/>
      <c r="D797" s="308"/>
      <c r="E797" s="308"/>
      <c r="F797" s="308"/>
      <c r="G797" s="308"/>
      <c r="H797" s="308"/>
      <c r="I797" s="308"/>
      <c r="J797" s="308"/>
      <c r="K797" s="308"/>
      <c r="L797" s="308"/>
      <c r="M797" s="308"/>
      <c r="N797" s="308"/>
      <c r="O797" s="308"/>
      <c r="P797" s="308"/>
      <c r="Q797" s="308"/>
      <c r="R797" s="308"/>
      <c r="S797" s="308"/>
      <c r="T797" s="308"/>
      <c r="U797" s="308"/>
      <c r="V797" s="308"/>
      <c r="W797" s="308"/>
      <c r="X797" s="308"/>
      <c r="Y797" s="308"/>
      <c r="Z797" s="308"/>
    </row>
    <row r="798" ht="15.75" customHeight="1">
      <c r="A798" s="308"/>
      <c r="B798" s="524"/>
      <c r="C798" s="308"/>
      <c r="D798" s="308"/>
      <c r="E798" s="308"/>
      <c r="F798" s="308"/>
      <c r="G798" s="308"/>
      <c r="H798" s="308"/>
      <c r="I798" s="308"/>
      <c r="J798" s="308"/>
      <c r="K798" s="308"/>
      <c r="L798" s="308"/>
      <c r="M798" s="308"/>
      <c r="N798" s="308"/>
      <c r="O798" s="308"/>
      <c r="P798" s="308"/>
      <c r="Q798" s="308"/>
      <c r="R798" s="308"/>
      <c r="S798" s="308"/>
      <c r="T798" s="308"/>
      <c r="U798" s="308"/>
      <c r="V798" s="308"/>
      <c r="W798" s="308"/>
      <c r="X798" s="308"/>
      <c r="Y798" s="308"/>
      <c r="Z798" s="308"/>
    </row>
    <row r="799" ht="15.75" customHeight="1">
      <c r="A799" s="308"/>
      <c r="B799" s="524"/>
      <c r="C799" s="308"/>
      <c r="D799" s="308"/>
      <c r="E799" s="308"/>
      <c r="F799" s="308"/>
      <c r="G799" s="308"/>
      <c r="H799" s="308"/>
      <c r="I799" s="308"/>
      <c r="J799" s="308"/>
      <c r="K799" s="308"/>
      <c r="L799" s="308"/>
      <c r="M799" s="308"/>
      <c r="N799" s="308"/>
      <c r="O799" s="308"/>
      <c r="P799" s="308"/>
      <c r="Q799" s="308"/>
      <c r="R799" s="308"/>
      <c r="S799" s="308"/>
      <c r="T799" s="308"/>
      <c r="U799" s="308"/>
      <c r="V799" s="308"/>
      <c r="W799" s="308"/>
      <c r="X799" s="308"/>
      <c r="Y799" s="308"/>
      <c r="Z799" s="308"/>
    </row>
    <row r="800" ht="15.75" customHeight="1">
      <c r="A800" s="308"/>
      <c r="B800" s="524"/>
      <c r="C800" s="308"/>
      <c r="D800" s="308"/>
      <c r="E800" s="308"/>
      <c r="F800" s="308"/>
      <c r="G800" s="308"/>
      <c r="H800" s="308"/>
      <c r="I800" s="308"/>
      <c r="J800" s="308"/>
      <c r="K800" s="308"/>
      <c r="L800" s="308"/>
      <c r="M800" s="308"/>
      <c r="N800" s="308"/>
      <c r="O800" s="308"/>
      <c r="P800" s="308"/>
      <c r="Q800" s="308"/>
      <c r="R800" s="308"/>
      <c r="S800" s="308"/>
      <c r="T800" s="308"/>
      <c r="U800" s="308"/>
      <c r="V800" s="308"/>
      <c r="W800" s="308"/>
      <c r="X800" s="308"/>
      <c r="Y800" s="308"/>
      <c r="Z800" s="308"/>
    </row>
    <row r="801" ht="15.75" customHeight="1">
      <c r="A801" s="308"/>
      <c r="B801" s="524"/>
      <c r="C801" s="308"/>
      <c r="D801" s="308"/>
      <c r="E801" s="308"/>
      <c r="F801" s="308"/>
      <c r="G801" s="308"/>
      <c r="H801" s="308"/>
      <c r="I801" s="308"/>
      <c r="J801" s="308"/>
      <c r="K801" s="308"/>
      <c r="L801" s="308"/>
      <c r="M801" s="308"/>
      <c r="N801" s="308"/>
      <c r="O801" s="308"/>
      <c r="P801" s="308"/>
      <c r="Q801" s="308"/>
      <c r="R801" s="308"/>
      <c r="S801" s="308"/>
      <c r="T801" s="308"/>
      <c r="U801" s="308"/>
      <c r="V801" s="308"/>
      <c r="W801" s="308"/>
      <c r="X801" s="308"/>
      <c r="Y801" s="308"/>
      <c r="Z801" s="308"/>
    </row>
    <row r="802" ht="15.75" customHeight="1">
      <c r="A802" s="308"/>
      <c r="B802" s="524"/>
      <c r="C802" s="308"/>
      <c r="D802" s="308"/>
      <c r="E802" s="308"/>
      <c r="F802" s="308"/>
      <c r="G802" s="308"/>
      <c r="H802" s="308"/>
      <c r="I802" s="308"/>
      <c r="J802" s="308"/>
      <c r="K802" s="308"/>
      <c r="L802" s="308"/>
      <c r="M802" s="308"/>
      <c r="N802" s="308"/>
      <c r="O802" s="308"/>
      <c r="P802" s="308"/>
      <c r="Q802" s="308"/>
      <c r="R802" s="308"/>
      <c r="S802" s="308"/>
      <c r="T802" s="308"/>
      <c r="U802" s="308"/>
      <c r="V802" s="308"/>
      <c r="W802" s="308"/>
      <c r="X802" s="308"/>
      <c r="Y802" s="308"/>
      <c r="Z802" s="308"/>
    </row>
    <row r="803" ht="15.75" customHeight="1">
      <c r="A803" s="308"/>
      <c r="B803" s="524"/>
      <c r="C803" s="308"/>
      <c r="D803" s="308"/>
      <c r="E803" s="308"/>
      <c r="F803" s="308"/>
      <c r="G803" s="308"/>
      <c r="H803" s="308"/>
      <c r="I803" s="308"/>
      <c r="J803" s="308"/>
      <c r="K803" s="308"/>
      <c r="L803" s="308"/>
      <c r="M803" s="308"/>
      <c r="N803" s="308"/>
      <c r="O803" s="308"/>
      <c r="P803" s="308"/>
      <c r="Q803" s="308"/>
      <c r="R803" s="308"/>
      <c r="S803" s="308"/>
      <c r="T803" s="308"/>
      <c r="U803" s="308"/>
      <c r="V803" s="308"/>
      <c r="W803" s="308"/>
      <c r="X803" s="308"/>
      <c r="Y803" s="308"/>
      <c r="Z803" s="308"/>
    </row>
    <row r="804" ht="15.75" customHeight="1">
      <c r="A804" s="308"/>
      <c r="B804" s="524"/>
      <c r="C804" s="308"/>
      <c r="D804" s="308"/>
      <c r="E804" s="308"/>
      <c r="F804" s="308"/>
      <c r="G804" s="308"/>
      <c r="H804" s="308"/>
      <c r="I804" s="308"/>
      <c r="J804" s="308"/>
      <c r="K804" s="308"/>
      <c r="L804" s="308"/>
      <c r="M804" s="308"/>
      <c r="N804" s="308"/>
      <c r="O804" s="308"/>
      <c r="P804" s="308"/>
      <c r="Q804" s="308"/>
      <c r="R804" s="308"/>
      <c r="S804" s="308"/>
      <c r="T804" s="308"/>
      <c r="U804" s="308"/>
      <c r="V804" s="308"/>
      <c r="W804" s="308"/>
      <c r="X804" s="308"/>
      <c r="Y804" s="308"/>
      <c r="Z804" s="308"/>
    </row>
    <row r="805" ht="15.75" customHeight="1">
      <c r="A805" s="308"/>
      <c r="B805" s="524"/>
      <c r="C805" s="308"/>
      <c r="D805" s="308"/>
      <c r="E805" s="308"/>
      <c r="F805" s="308"/>
      <c r="G805" s="308"/>
      <c r="H805" s="308"/>
      <c r="I805" s="308"/>
      <c r="J805" s="308"/>
      <c r="K805" s="308"/>
      <c r="L805" s="308"/>
      <c r="M805" s="308"/>
      <c r="N805" s="308"/>
      <c r="O805" s="308"/>
      <c r="P805" s="308"/>
      <c r="Q805" s="308"/>
      <c r="R805" s="308"/>
      <c r="S805" s="308"/>
      <c r="T805" s="308"/>
      <c r="U805" s="308"/>
      <c r="V805" s="308"/>
      <c r="W805" s="308"/>
      <c r="X805" s="308"/>
      <c r="Y805" s="308"/>
      <c r="Z805" s="308"/>
    </row>
    <row r="806" ht="15.75" customHeight="1">
      <c r="A806" s="308"/>
      <c r="B806" s="524"/>
      <c r="C806" s="308"/>
      <c r="D806" s="308"/>
      <c r="E806" s="308"/>
      <c r="F806" s="308"/>
      <c r="G806" s="308"/>
      <c r="H806" s="308"/>
      <c r="I806" s="308"/>
      <c r="J806" s="308"/>
      <c r="K806" s="308"/>
      <c r="L806" s="308"/>
      <c r="M806" s="308"/>
      <c r="N806" s="308"/>
      <c r="O806" s="308"/>
      <c r="P806" s="308"/>
      <c r="Q806" s="308"/>
      <c r="R806" s="308"/>
      <c r="S806" s="308"/>
      <c r="T806" s="308"/>
      <c r="U806" s="308"/>
      <c r="V806" s="308"/>
      <c r="W806" s="308"/>
      <c r="X806" s="308"/>
      <c r="Y806" s="308"/>
      <c r="Z806" s="308"/>
    </row>
    <row r="807" ht="15.75" customHeight="1">
      <c r="A807" s="308"/>
      <c r="B807" s="524"/>
      <c r="C807" s="308"/>
      <c r="D807" s="308"/>
      <c r="E807" s="308"/>
      <c r="F807" s="308"/>
      <c r="G807" s="308"/>
      <c r="H807" s="308"/>
      <c r="I807" s="308"/>
      <c r="J807" s="308"/>
      <c r="K807" s="308"/>
      <c r="L807" s="308"/>
      <c r="M807" s="308"/>
      <c r="N807" s="308"/>
      <c r="O807" s="308"/>
      <c r="P807" s="308"/>
      <c r="Q807" s="308"/>
      <c r="R807" s="308"/>
      <c r="S807" s="308"/>
      <c r="T807" s="308"/>
      <c r="U807" s="308"/>
      <c r="V807" s="308"/>
      <c r="W807" s="308"/>
      <c r="X807" s="308"/>
      <c r="Y807" s="308"/>
      <c r="Z807" s="308"/>
    </row>
    <row r="808" ht="15.75" customHeight="1">
      <c r="A808" s="308"/>
      <c r="B808" s="524"/>
      <c r="C808" s="308"/>
      <c r="D808" s="308"/>
      <c r="E808" s="308"/>
      <c r="F808" s="308"/>
      <c r="G808" s="308"/>
      <c r="H808" s="308"/>
      <c r="I808" s="308"/>
      <c r="J808" s="308"/>
      <c r="K808" s="308"/>
      <c r="L808" s="308"/>
      <c r="M808" s="308"/>
      <c r="N808" s="308"/>
      <c r="O808" s="308"/>
      <c r="P808" s="308"/>
      <c r="Q808" s="308"/>
      <c r="R808" s="308"/>
      <c r="S808" s="308"/>
      <c r="T808" s="308"/>
      <c r="U808" s="308"/>
      <c r="V808" s="308"/>
      <c r="W808" s="308"/>
      <c r="X808" s="308"/>
      <c r="Y808" s="308"/>
      <c r="Z808" s="308"/>
    </row>
    <row r="809" ht="15.75" customHeight="1">
      <c r="A809" s="308"/>
      <c r="B809" s="524"/>
      <c r="C809" s="308"/>
      <c r="D809" s="308"/>
      <c r="E809" s="308"/>
      <c r="F809" s="308"/>
      <c r="G809" s="308"/>
      <c r="H809" s="308"/>
      <c r="I809" s="308"/>
      <c r="J809" s="308"/>
      <c r="K809" s="308"/>
      <c r="L809" s="308"/>
      <c r="M809" s="308"/>
      <c r="N809" s="308"/>
      <c r="O809" s="308"/>
      <c r="P809" s="308"/>
      <c r="Q809" s="308"/>
      <c r="R809" s="308"/>
      <c r="S809" s="308"/>
      <c r="T809" s="308"/>
      <c r="U809" s="308"/>
      <c r="V809" s="308"/>
      <c r="W809" s="308"/>
      <c r="X809" s="308"/>
      <c r="Y809" s="308"/>
      <c r="Z809" s="308"/>
    </row>
    <row r="810" ht="15.75" customHeight="1">
      <c r="A810" s="308"/>
      <c r="B810" s="524"/>
      <c r="C810" s="308"/>
      <c r="D810" s="308"/>
      <c r="E810" s="308"/>
      <c r="F810" s="308"/>
      <c r="G810" s="308"/>
      <c r="H810" s="308"/>
      <c r="I810" s="308"/>
      <c r="J810" s="308"/>
      <c r="K810" s="308"/>
      <c r="L810" s="308"/>
      <c r="M810" s="308"/>
      <c r="N810" s="308"/>
      <c r="O810" s="308"/>
      <c r="P810" s="308"/>
      <c r="Q810" s="308"/>
      <c r="R810" s="308"/>
      <c r="S810" s="308"/>
      <c r="T810" s="308"/>
      <c r="U810" s="308"/>
      <c r="V810" s="308"/>
      <c r="W810" s="308"/>
      <c r="X810" s="308"/>
      <c r="Y810" s="308"/>
      <c r="Z810" s="308"/>
    </row>
    <row r="811" ht="15.75" customHeight="1">
      <c r="A811" s="308"/>
      <c r="B811" s="524"/>
      <c r="C811" s="308"/>
      <c r="D811" s="308"/>
      <c r="E811" s="308"/>
      <c r="F811" s="308"/>
      <c r="G811" s="308"/>
      <c r="H811" s="308"/>
      <c r="I811" s="308"/>
      <c r="J811" s="308"/>
      <c r="K811" s="308"/>
      <c r="L811" s="308"/>
      <c r="M811" s="308"/>
      <c r="N811" s="308"/>
      <c r="O811" s="308"/>
      <c r="P811" s="308"/>
      <c r="Q811" s="308"/>
      <c r="R811" s="308"/>
      <c r="S811" s="308"/>
      <c r="T811" s="308"/>
      <c r="U811" s="308"/>
      <c r="V811" s="308"/>
      <c r="W811" s="308"/>
      <c r="X811" s="308"/>
      <c r="Y811" s="308"/>
      <c r="Z811" s="308"/>
    </row>
    <row r="812" ht="15.75" customHeight="1">
      <c r="A812" s="308"/>
      <c r="B812" s="524"/>
      <c r="C812" s="308"/>
      <c r="D812" s="308"/>
      <c r="E812" s="308"/>
      <c r="F812" s="308"/>
      <c r="G812" s="308"/>
      <c r="H812" s="308"/>
      <c r="I812" s="308"/>
      <c r="J812" s="308"/>
      <c r="K812" s="308"/>
      <c r="L812" s="308"/>
      <c r="M812" s="308"/>
      <c r="N812" s="308"/>
      <c r="O812" s="308"/>
      <c r="P812" s="308"/>
      <c r="Q812" s="308"/>
      <c r="R812" s="308"/>
      <c r="S812" s="308"/>
      <c r="T812" s="308"/>
      <c r="U812" s="308"/>
      <c r="V812" s="308"/>
      <c r="W812" s="308"/>
      <c r="X812" s="308"/>
      <c r="Y812" s="308"/>
      <c r="Z812" s="308"/>
    </row>
    <row r="813" ht="15.75" customHeight="1">
      <c r="A813" s="308"/>
      <c r="B813" s="524"/>
      <c r="C813" s="308"/>
      <c r="D813" s="308"/>
      <c r="E813" s="308"/>
      <c r="F813" s="308"/>
      <c r="G813" s="308"/>
      <c r="H813" s="308"/>
      <c r="I813" s="308"/>
      <c r="J813" s="308"/>
      <c r="K813" s="308"/>
      <c r="L813" s="308"/>
      <c r="M813" s="308"/>
      <c r="N813" s="308"/>
      <c r="O813" s="308"/>
      <c r="P813" s="308"/>
      <c r="Q813" s="308"/>
      <c r="R813" s="308"/>
      <c r="S813" s="308"/>
      <c r="T813" s="308"/>
      <c r="U813" s="308"/>
      <c r="V813" s="308"/>
      <c r="W813" s="308"/>
      <c r="X813" s="308"/>
      <c r="Y813" s="308"/>
      <c r="Z813" s="308"/>
    </row>
    <row r="814" ht="15.75" customHeight="1">
      <c r="A814" s="308"/>
      <c r="B814" s="524"/>
      <c r="C814" s="308"/>
      <c r="D814" s="308"/>
      <c r="E814" s="308"/>
      <c r="F814" s="308"/>
      <c r="G814" s="308"/>
      <c r="H814" s="308"/>
      <c r="I814" s="308"/>
      <c r="J814" s="308"/>
      <c r="K814" s="308"/>
      <c r="L814" s="308"/>
      <c r="M814" s="308"/>
      <c r="N814" s="308"/>
      <c r="O814" s="308"/>
      <c r="P814" s="308"/>
      <c r="Q814" s="308"/>
      <c r="R814" s="308"/>
      <c r="S814" s="308"/>
      <c r="T814" s="308"/>
      <c r="U814" s="308"/>
      <c r="V814" s="308"/>
      <c r="W814" s="308"/>
      <c r="X814" s="308"/>
      <c r="Y814" s="308"/>
      <c r="Z814" s="308"/>
    </row>
    <row r="815" ht="15.75" customHeight="1">
      <c r="A815" s="308"/>
      <c r="B815" s="524"/>
      <c r="C815" s="308"/>
      <c r="D815" s="308"/>
      <c r="E815" s="308"/>
      <c r="F815" s="308"/>
      <c r="G815" s="308"/>
      <c r="H815" s="308"/>
      <c r="I815" s="308"/>
      <c r="J815" s="308"/>
      <c r="K815" s="308"/>
      <c r="L815" s="308"/>
      <c r="M815" s="308"/>
      <c r="N815" s="308"/>
      <c r="O815" s="308"/>
      <c r="P815" s="308"/>
      <c r="Q815" s="308"/>
      <c r="R815" s="308"/>
      <c r="S815" s="308"/>
      <c r="T815" s="308"/>
      <c r="U815" s="308"/>
      <c r="V815" s="308"/>
      <c r="W815" s="308"/>
      <c r="X815" s="308"/>
      <c r="Y815" s="308"/>
      <c r="Z815" s="308"/>
    </row>
    <row r="816" ht="15.75" customHeight="1">
      <c r="A816" s="308"/>
      <c r="B816" s="524"/>
      <c r="C816" s="308"/>
      <c r="D816" s="308"/>
      <c r="E816" s="308"/>
      <c r="F816" s="308"/>
      <c r="G816" s="308"/>
      <c r="H816" s="308"/>
      <c r="I816" s="308"/>
      <c r="J816" s="308"/>
      <c r="K816" s="308"/>
      <c r="L816" s="308"/>
      <c r="M816" s="308"/>
      <c r="N816" s="308"/>
      <c r="O816" s="308"/>
      <c r="P816" s="308"/>
      <c r="Q816" s="308"/>
      <c r="R816" s="308"/>
      <c r="S816" s="308"/>
      <c r="T816" s="308"/>
      <c r="U816" s="308"/>
      <c r="V816" s="308"/>
      <c r="W816" s="308"/>
      <c r="X816" s="308"/>
      <c r="Y816" s="308"/>
      <c r="Z816" s="308"/>
    </row>
    <row r="817" ht="15.75" customHeight="1">
      <c r="A817" s="308"/>
      <c r="B817" s="524"/>
      <c r="C817" s="308"/>
      <c r="D817" s="308"/>
      <c r="E817" s="308"/>
      <c r="F817" s="308"/>
      <c r="G817" s="308"/>
      <c r="H817" s="308"/>
      <c r="I817" s="308"/>
      <c r="J817" s="308"/>
      <c r="K817" s="308"/>
      <c r="L817" s="308"/>
      <c r="M817" s="308"/>
      <c r="N817" s="308"/>
      <c r="O817" s="308"/>
      <c r="P817" s="308"/>
      <c r="Q817" s="308"/>
      <c r="R817" s="308"/>
      <c r="S817" s="308"/>
      <c r="T817" s="308"/>
      <c r="U817" s="308"/>
      <c r="V817" s="308"/>
      <c r="W817" s="308"/>
      <c r="X817" s="308"/>
      <c r="Y817" s="308"/>
      <c r="Z817" s="308"/>
    </row>
    <row r="818" ht="15.75" customHeight="1">
      <c r="A818" s="308"/>
      <c r="B818" s="524"/>
      <c r="C818" s="308"/>
      <c r="D818" s="308"/>
      <c r="E818" s="308"/>
      <c r="F818" s="308"/>
      <c r="G818" s="308"/>
      <c r="H818" s="308"/>
      <c r="I818" s="308"/>
      <c r="J818" s="308"/>
      <c r="K818" s="308"/>
      <c r="L818" s="308"/>
      <c r="M818" s="308"/>
      <c r="N818" s="308"/>
      <c r="O818" s="308"/>
      <c r="P818" s="308"/>
      <c r="Q818" s="308"/>
      <c r="R818" s="308"/>
      <c r="S818" s="308"/>
      <c r="T818" s="308"/>
      <c r="U818" s="308"/>
      <c r="V818" s="308"/>
      <c r="W818" s="308"/>
      <c r="X818" s="308"/>
      <c r="Y818" s="308"/>
      <c r="Z818" s="308"/>
    </row>
    <row r="819" ht="15.75" customHeight="1">
      <c r="A819" s="308"/>
      <c r="B819" s="524"/>
      <c r="C819" s="308"/>
      <c r="D819" s="308"/>
      <c r="E819" s="308"/>
      <c r="F819" s="308"/>
      <c r="G819" s="308"/>
      <c r="H819" s="308"/>
      <c r="I819" s="308"/>
      <c r="J819" s="308"/>
      <c r="K819" s="308"/>
      <c r="L819" s="308"/>
      <c r="M819" s="308"/>
      <c r="N819" s="308"/>
      <c r="O819" s="308"/>
      <c r="P819" s="308"/>
      <c r="Q819" s="308"/>
      <c r="R819" s="308"/>
      <c r="S819" s="308"/>
      <c r="T819" s="308"/>
      <c r="U819" s="308"/>
      <c r="V819" s="308"/>
      <c r="W819" s="308"/>
      <c r="X819" s="308"/>
      <c r="Y819" s="308"/>
      <c r="Z819" s="308"/>
    </row>
    <row r="820" ht="15.75" customHeight="1">
      <c r="A820" s="308"/>
      <c r="B820" s="524"/>
      <c r="C820" s="308"/>
      <c r="D820" s="308"/>
      <c r="E820" s="308"/>
      <c r="F820" s="308"/>
      <c r="G820" s="308"/>
      <c r="H820" s="308"/>
      <c r="I820" s="308"/>
      <c r="J820" s="308"/>
      <c r="K820" s="308"/>
      <c r="L820" s="308"/>
      <c r="M820" s="308"/>
      <c r="N820" s="308"/>
      <c r="O820" s="308"/>
      <c r="P820" s="308"/>
      <c r="Q820" s="308"/>
      <c r="R820" s="308"/>
      <c r="S820" s="308"/>
      <c r="T820" s="308"/>
      <c r="U820" s="308"/>
      <c r="V820" s="308"/>
      <c r="W820" s="308"/>
      <c r="X820" s="308"/>
      <c r="Y820" s="308"/>
      <c r="Z820" s="308"/>
    </row>
    <row r="821" ht="15.75" customHeight="1">
      <c r="A821" s="308"/>
      <c r="B821" s="524"/>
      <c r="C821" s="308"/>
      <c r="D821" s="308"/>
      <c r="E821" s="308"/>
      <c r="F821" s="308"/>
      <c r="G821" s="308"/>
      <c r="H821" s="308"/>
      <c r="I821" s="308"/>
      <c r="J821" s="308"/>
      <c r="K821" s="308"/>
      <c r="L821" s="308"/>
      <c r="M821" s="308"/>
      <c r="N821" s="308"/>
      <c r="O821" s="308"/>
      <c r="P821" s="308"/>
      <c r="Q821" s="308"/>
      <c r="R821" s="308"/>
      <c r="S821" s="308"/>
      <c r="T821" s="308"/>
      <c r="U821" s="308"/>
      <c r="V821" s="308"/>
      <c r="W821" s="308"/>
      <c r="X821" s="308"/>
      <c r="Y821" s="308"/>
      <c r="Z821" s="308"/>
    </row>
    <row r="822" ht="15.75" customHeight="1">
      <c r="A822" s="308"/>
      <c r="B822" s="524"/>
      <c r="C822" s="308"/>
      <c r="D822" s="308"/>
      <c r="E822" s="308"/>
      <c r="F822" s="308"/>
      <c r="G822" s="308"/>
      <c r="H822" s="308"/>
      <c r="I822" s="308"/>
      <c r="J822" s="308"/>
      <c r="K822" s="308"/>
      <c r="L822" s="308"/>
      <c r="M822" s="308"/>
      <c r="N822" s="308"/>
      <c r="O822" s="308"/>
      <c r="P822" s="308"/>
      <c r="Q822" s="308"/>
      <c r="R822" s="308"/>
      <c r="S822" s="308"/>
      <c r="T822" s="308"/>
      <c r="U822" s="308"/>
      <c r="V822" s="308"/>
      <c r="W822" s="308"/>
      <c r="X822" s="308"/>
      <c r="Y822" s="308"/>
      <c r="Z822" s="308"/>
    </row>
    <row r="823" ht="15.75" customHeight="1">
      <c r="A823" s="308"/>
      <c r="B823" s="524"/>
      <c r="C823" s="308"/>
      <c r="D823" s="308"/>
      <c r="E823" s="308"/>
      <c r="F823" s="308"/>
      <c r="G823" s="308"/>
      <c r="H823" s="308"/>
      <c r="I823" s="308"/>
      <c r="J823" s="308"/>
      <c r="K823" s="308"/>
      <c r="L823" s="308"/>
      <c r="M823" s="308"/>
      <c r="N823" s="308"/>
      <c r="O823" s="308"/>
      <c r="P823" s="308"/>
      <c r="Q823" s="308"/>
      <c r="R823" s="308"/>
      <c r="S823" s="308"/>
      <c r="T823" s="308"/>
      <c r="U823" s="308"/>
      <c r="V823" s="308"/>
      <c r="W823" s="308"/>
      <c r="X823" s="308"/>
      <c r="Y823" s="308"/>
      <c r="Z823" s="308"/>
    </row>
    <row r="824" ht="15.75" customHeight="1">
      <c r="A824" s="308"/>
      <c r="B824" s="524"/>
      <c r="C824" s="308"/>
      <c r="D824" s="308"/>
      <c r="E824" s="308"/>
      <c r="F824" s="308"/>
      <c r="G824" s="308"/>
      <c r="H824" s="308"/>
      <c r="I824" s="308"/>
      <c r="J824" s="308"/>
      <c r="K824" s="308"/>
      <c r="L824" s="308"/>
      <c r="M824" s="308"/>
      <c r="N824" s="308"/>
      <c r="O824" s="308"/>
      <c r="P824" s="308"/>
      <c r="Q824" s="308"/>
      <c r="R824" s="308"/>
      <c r="S824" s="308"/>
      <c r="T824" s="308"/>
      <c r="U824" s="308"/>
      <c r="V824" s="308"/>
      <c r="W824" s="308"/>
      <c r="X824" s="308"/>
      <c r="Y824" s="308"/>
      <c r="Z824" s="308"/>
    </row>
    <row r="825" ht="15.75" customHeight="1">
      <c r="A825" s="308"/>
      <c r="B825" s="524"/>
      <c r="C825" s="308"/>
      <c r="D825" s="308"/>
      <c r="E825" s="308"/>
      <c r="F825" s="308"/>
      <c r="G825" s="308"/>
      <c r="H825" s="308"/>
      <c r="I825" s="308"/>
      <c r="J825" s="308"/>
      <c r="K825" s="308"/>
      <c r="L825" s="308"/>
      <c r="M825" s="308"/>
      <c r="N825" s="308"/>
      <c r="O825" s="308"/>
      <c r="P825" s="308"/>
      <c r="Q825" s="308"/>
      <c r="R825" s="308"/>
      <c r="S825" s="308"/>
      <c r="T825" s="308"/>
      <c r="U825" s="308"/>
      <c r="V825" s="308"/>
      <c r="W825" s="308"/>
      <c r="X825" s="308"/>
      <c r="Y825" s="308"/>
      <c r="Z825" s="308"/>
    </row>
    <row r="826" ht="15.75" customHeight="1">
      <c r="A826" s="308"/>
      <c r="B826" s="524"/>
      <c r="C826" s="308"/>
      <c r="D826" s="308"/>
      <c r="E826" s="308"/>
      <c r="F826" s="308"/>
      <c r="G826" s="308"/>
      <c r="H826" s="308"/>
      <c r="I826" s="308"/>
      <c r="J826" s="308"/>
      <c r="K826" s="308"/>
      <c r="L826" s="308"/>
      <c r="M826" s="308"/>
      <c r="N826" s="308"/>
      <c r="O826" s="308"/>
      <c r="P826" s="308"/>
      <c r="Q826" s="308"/>
      <c r="R826" s="308"/>
      <c r="S826" s="308"/>
      <c r="T826" s="308"/>
      <c r="U826" s="308"/>
      <c r="V826" s="308"/>
      <c r="W826" s="308"/>
      <c r="X826" s="308"/>
      <c r="Y826" s="308"/>
      <c r="Z826" s="308"/>
    </row>
    <row r="827" ht="15.75" customHeight="1">
      <c r="A827" s="308"/>
      <c r="B827" s="524"/>
      <c r="C827" s="308"/>
      <c r="D827" s="308"/>
      <c r="E827" s="308"/>
      <c r="F827" s="308"/>
      <c r="G827" s="308"/>
      <c r="H827" s="308"/>
      <c r="I827" s="308"/>
      <c r="J827" s="308"/>
      <c r="K827" s="308"/>
      <c r="L827" s="308"/>
      <c r="M827" s="308"/>
      <c r="N827" s="308"/>
      <c r="O827" s="308"/>
      <c r="P827" s="308"/>
      <c r="Q827" s="308"/>
      <c r="R827" s="308"/>
      <c r="S827" s="308"/>
      <c r="T827" s="308"/>
      <c r="U827" s="308"/>
      <c r="V827" s="308"/>
      <c r="W827" s="308"/>
      <c r="X827" s="308"/>
      <c r="Y827" s="308"/>
      <c r="Z827" s="308"/>
    </row>
    <row r="828" ht="15.75" customHeight="1">
      <c r="A828" s="308"/>
      <c r="B828" s="524"/>
      <c r="C828" s="308"/>
      <c r="D828" s="308"/>
      <c r="E828" s="308"/>
      <c r="F828" s="308"/>
      <c r="G828" s="308"/>
      <c r="H828" s="308"/>
      <c r="I828" s="308"/>
      <c r="J828" s="308"/>
      <c r="K828" s="308"/>
      <c r="L828" s="308"/>
      <c r="M828" s="308"/>
      <c r="N828" s="308"/>
      <c r="O828" s="308"/>
      <c r="P828" s="308"/>
      <c r="Q828" s="308"/>
      <c r="R828" s="308"/>
      <c r="S828" s="308"/>
      <c r="T828" s="308"/>
      <c r="U828" s="308"/>
      <c r="V828" s="308"/>
      <c r="W828" s="308"/>
      <c r="X828" s="308"/>
      <c r="Y828" s="308"/>
      <c r="Z828" s="308"/>
    </row>
    <row r="829" ht="15.75" customHeight="1">
      <c r="A829" s="308"/>
      <c r="B829" s="524"/>
      <c r="C829" s="308"/>
      <c r="D829" s="308"/>
      <c r="E829" s="308"/>
      <c r="F829" s="308"/>
      <c r="G829" s="308"/>
      <c r="H829" s="308"/>
      <c r="I829" s="308"/>
      <c r="J829" s="308"/>
      <c r="K829" s="308"/>
      <c r="L829" s="308"/>
      <c r="M829" s="308"/>
      <c r="N829" s="308"/>
      <c r="O829" s="308"/>
      <c r="P829" s="308"/>
      <c r="Q829" s="308"/>
      <c r="R829" s="308"/>
      <c r="S829" s="308"/>
      <c r="T829" s="308"/>
      <c r="U829" s="308"/>
      <c r="V829" s="308"/>
      <c r="W829" s="308"/>
      <c r="X829" s="308"/>
      <c r="Y829" s="308"/>
      <c r="Z829" s="308"/>
    </row>
    <row r="830" ht="15.75" customHeight="1">
      <c r="A830" s="308"/>
      <c r="B830" s="524"/>
      <c r="C830" s="308"/>
      <c r="D830" s="308"/>
      <c r="E830" s="308"/>
      <c r="F830" s="308"/>
      <c r="G830" s="308"/>
      <c r="H830" s="308"/>
      <c r="I830" s="308"/>
      <c r="J830" s="308"/>
      <c r="K830" s="308"/>
      <c r="L830" s="308"/>
      <c r="M830" s="308"/>
      <c r="N830" s="308"/>
      <c r="O830" s="308"/>
      <c r="P830" s="308"/>
      <c r="Q830" s="308"/>
      <c r="R830" s="308"/>
      <c r="S830" s="308"/>
      <c r="T830" s="308"/>
      <c r="U830" s="308"/>
      <c r="V830" s="308"/>
      <c r="W830" s="308"/>
      <c r="X830" s="308"/>
      <c r="Y830" s="308"/>
      <c r="Z830" s="308"/>
    </row>
    <row r="831" ht="15.75" customHeight="1">
      <c r="A831" s="308"/>
      <c r="B831" s="524"/>
      <c r="C831" s="308"/>
      <c r="D831" s="308"/>
      <c r="E831" s="308"/>
      <c r="F831" s="308"/>
      <c r="G831" s="308"/>
      <c r="H831" s="308"/>
      <c r="I831" s="308"/>
      <c r="J831" s="308"/>
      <c r="K831" s="308"/>
      <c r="L831" s="308"/>
      <c r="M831" s="308"/>
      <c r="N831" s="308"/>
      <c r="O831" s="308"/>
      <c r="P831" s="308"/>
      <c r="Q831" s="308"/>
      <c r="R831" s="308"/>
      <c r="S831" s="308"/>
      <c r="T831" s="308"/>
      <c r="U831" s="308"/>
      <c r="V831" s="308"/>
      <c r="W831" s="308"/>
      <c r="X831" s="308"/>
      <c r="Y831" s="308"/>
      <c r="Z831" s="308"/>
    </row>
    <row r="832" ht="15.75" customHeight="1">
      <c r="A832" s="308"/>
      <c r="B832" s="524"/>
      <c r="C832" s="308"/>
      <c r="D832" s="308"/>
      <c r="E832" s="308"/>
      <c r="F832" s="308"/>
      <c r="G832" s="308"/>
      <c r="H832" s="308"/>
      <c r="I832" s="308"/>
      <c r="J832" s="308"/>
      <c r="K832" s="308"/>
      <c r="L832" s="308"/>
      <c r="M832" s="308"/>
      <c r="N832" s="308"/>
      <c r="O832" s="308"/>
      <c r="P832" s="308"/>
      <c r="Q832" s="308"/>
      <c r="R832" s="308"/>
      <c r="S832" s="308"/>
      <c r="T832" s="308"/>
      <c r="U832" s="308"/>
      <c r="V832" s="308"/>
      <c r="W832" s="308"/>
      <c r="X832" s="308"/>
      <c r="Y832" s="308"/>
      <c r="Z832" s="308"/>
    </row>
    <row r="833" ht="15.75" customHeight="1">
      <c r="A833" s="308"/>
      <c r="B833" s="524"/>
      <c r="C833" s="308"/>
      <c r="D833" s="308"/>
      <c r="E833" s="308"/>
      <c r="F833" s="308"/>
      <c r="G833" s="308"/>
      <c r="H833" s="308"/>
      <c r="I833" s="308"/>
      <c r="J833" s="308"/>
      <c r="K833" s="308"/>
      <c r="L833" s="308"/>
      <c r="M833" s="308"/>
      <c r="N833" s="308"/>
      <c r="O833" s="308"/>
      <c r="P833" s="308"/>
      <c r="Q833" s="308"/>
      <c r="R833" s="308"/>
      <c r="S833" s="308"/>
      <c r="T833" s="308"/>
      <c r="U833" s="308"/>
      <c r="V833" s="308"/>
      <c r="W833" s="308"/>
      <c r="X833" s="308"/>
      <c r="Y833" s="308"/>
      <c r="Z833" s="308"/>
    </row>
    <row r="834" ht="15.75" customHeight="1">
      <c r="A834" s="308"/>
      <c r="B834" s="524"/>
      <c r="C834" s="308"/>
      <c r="D834" s="308"/>
      <c r="E834" s="308"/>
      <c r="F834" s="308"/>
      <c r="G834" s="308"/>
      <c r="H834" s="308"/>
      <c r="I834" s="308"/>
      <c r="J834" s="308"/>
      <c r="K834" s="308"/>
      <c r="L834" s="308"/>
      <c r="M834" s="308"/>
      <c r="N834" s="308"/>
      <c r="O834" s="308"/>
      <c r="P834" s="308"/>
      <c r="Q834" s="308"/>
      <c r="R834" s="308"/>
      <c r="S834" s="308"/>
      <c r="T834" s="308"/>
      <c r="U834" s="308"/>
      <c r="V834" s="308"/>
      <c r="W834" s="308"/>
      <c r="X834" s="308"/>
      <c r="Y834" s="308"/>
      <c r="Z834" s="308"/>
    </row>
    <row r="835" ht="15.75" customHeight="1">
      <c r="A835" s="308"/>
      <c r="B835" s="524"/>
      <c r="C835" s="308"/>
      <c r="D835" s="308"/>
      <c r="E835" s="308"/>
      <c r="F835" s="308"/>
      <c r="G835" s="308"/>
      <c r="H835" s="308"/>
      <c r="I835" s="308"/>
      <c r="J835" s="308"/>
      <c r="K835" s="308"/>
      <c r="L835" s="308"/>
      <c r="M835" s="308"/>
      <c r="N835" s="308"/>
      <c r="O835" s="308"/>
      <c r="P835" s="308"/>
      <c r="Q835" s="308"/>
      <c r="R835" s="308"/>
      <c r="S835" s="308"/>
      <c r="T835" s="308"/>
      <c r="U835" s="308"/>
      <c r="V835" s="308"/>
      <c r="W835" s="308"/>
      <c r="X835" s="308"/>
      <c r="Y835" s="308"/>
      <c r="Z835" s="308"/>
    </row>
    <row r="836" ht="15.75" customHeight="1">
      <c r="A836" s="308"/>
      <c r="B836" s="524"/>
      <c r="C836" s="308"/>
      <c r="D836" s="308"/>
      <c r="E836" s="308"/>
      <c r="F836" s="308"/>
      <c r="G836" s="308"/>
      <c r="H836" s="308"/>
      <c r="I836" s="308"/>
      <c r="J836" s="308"/>
      <c r="K836" s="308"/>
      <c r="L836" s="308"/>
      <c r="M836" s="308"/>
      <c r="N836" s="308"/>
      <c r="O836" s="308"/>
      <c r="P836" s="308"/>
      <c r="Q836" s="308"/>
      <c r="R836" s="308"/>
      <c r="S836" s="308"/>
      <c r="T836" s="308"/>
      <c r="U836" s="308"/>
      <c r="V836" s="308"/>
      <c r="W836" s="308"/>
      <c r="X836" s="308"/>
      <c r="Y836" s="308"/>
      <c r="Z836" s="308"/>
    </row>
    <row r="837" ht="15.75" customHeight="1">
      <c r="A837" s="308"/>
      <c r="B837" s="524"/>
      <c r="C837" s="308"/>
      <c r="D837" s="308"/>
      <c r="E837" s="308"/>
      <c r="F837" s="308"/>
      <c r="G837" s="308"/>
      <c r="H837" s="308"/>
      <c r="I837" s="308"/>
      <c r="J837" s="308"/>
      <c r="K837" s="308"/>
      <c r="L837" s="308"/>
      <c r="M837" s="308"/>
      <c r="N837" s="308"/>
      <c r="O837" s="308"/>
      <c r="P837" s="308"/>
      <c r="Q837" s="308"/>
      <c r="R837" s="308"/>
      <c r="S837" s="308"/>
      <c r="T837" s="308"/>
      <c r="U837" s="308"/>
      <c r="V837" s="308"/>
      <c r="W837" s="308"/>
      <c r="X837" s="308"/>
      <c r="Y837" s="308"/>
      <c r="Z837" s="308"/>
    </row>
    <row r="838" ht="15.75" customHeight="1">
      <c r="A838" s="308"/>
      <c r="B838" s="524"/>
      <c r="C838" s="308"/>
      <c r="D838" s="308"/>
      <c r="E838" s="308"/>
      <c r="F838" s="308"/>
      <c r="G838" s="308"/>
      <c r="H838" s="308"/>
      <c r="I838" s="308"/>
      <c r="J838" s="308"/>
      <c r="K838" s="308"/>
      <c r="L838" s="308"/>
      <c r="M838" s="308"/>
      <c r="N838" s="308"/>
      <c r="O838" s="308"/>
      <c r="P838" s="308"/>
      <c r="Q838" s="308"/>
      <c r="R838" s="308"/>
      <c r="S838" s="308"/>
      <c r="T838" s="308"/>
      <c r="U838" s="308"/>
      <c r="V838" s="308"/>
      <c r="W838" s="308"/>
      <c r="X838" s="308"/>
      <c r="Y838" s="308"/>
      <c r="Z838" s="308"/>
    </row>
    <row r="839" ht="15.75" customHeight="1">
      <c r="A839" s="308"/>
      <c r="B839" s="524"/>
      <c r="C839" s="308"/>
      <c r="D839" s="308"/>
      <c r="E839" s="308"/>
      <c r="F839" s="308"/>
      <c r="G839" s="308"/>
      <c r="H839" s="308"/>
      <c r="I839" s="308"/>
      <c r="J839" s="308"/>
      <c r="K839" s="308"/>
      <c r="L839" s="308"/>
      <c r="M839" s="308"/>
      <c r="N839" s="308"/>
      <c r="O839" s="308"/>
      <c r="P839" s="308"/>
      <c r="Q839" s="308"/>
      <c r="R839" s="308"/>
      <c r="S839" s="308"/>
      <c r="T839" s="308"/>
      <c r="U839" s="308"/>
      <c r="V839" s="308"/>
      <c r="W839" s="308"/>
      <c r="X839" s="308"/>
      <c r="Y839" s="308"/>
      <c r="Z839" s="308"/>
    </row>
    <row r="840" ht="15.75" customHeight="1">
      <c r="A840" s="308"/>
      <c r="B840" s="524"/>
      <c r="C840" s="308"/>
      <c r="D840" s="308"/>
      <c r="E840" s="308"/>
      <c r="F840" s="308"/>
      <c r="G840" s="308"/>
      <c r="H840" s="308"/>
      <c r="I840" s="308"/>
      <c r="J840" s="308"/>
      <c r="K840" s="308"/>
      <c r="L840" s="308"/>
      <c r="M840" s="308"/>
      <c r="N840" s="308"/>
      <c r="O840" s="308"/>
      <c r="P840" s="308"/>
      <c r="Q840" s="308"/>
      <c r="R840" s="308"/>
      <c r="S840" s="308"/>
      <c r="T840" s="308"/>
      <c r="U840" s="308"/>
      <c r="V840" s="308"/>
      <c r="W840" s="308"/>
      <c r="X840" s="308"/>
      <c r="Y840" s="308"/>
      <c r="Z840" s="308"/>
    </row>
    <row r="841" ht="15.75" customHeight="1">
      <c r="A841" s="308"/>
      <c r="B841" s="524"/>
      <c r="C841" s="308"/>
      <c r="D841" s="308"/>
      <c r="E841" s="308"/>
      <c r="F841" s="308"/>
      <c r="G841" s="308"/>
      <c r="H841" s="308"/>
      <c r="I841" s="308"/>
      <c r="J841" s="308"/>
      <c r="K841" s="308"/>
      <c r="L841" s="308"/>
      <c r="M841" s="308"/>
      <c r="N841" s="308"/>
      <c r="O841" s="308"/>
      <c r="P841" s="308"/>
      <c r="Q841" s="308"/>
      <c r="R841" s="308"/>
      <c r="S841" s="308"/>
      <c r="T841" s="308"/>
      <c r="U841" s="308"/>
      <c r="V841" s="308"/>
      <c r="W841" s="308"/>
      <c r="X841" s="308"/>
      <c r="Y841" s="308"/>
      <c r="Z841" s="308"/>
    </row>
    <row r="842" ht="15.75" customHeight="1">
      <c r="A842" s="308"/>
      <c r="B842" s="524"/>
      <c r="C842" s="308"/>
      <c r="D842" s="308"/>
      <c r="E842" s="308"/>
      <c r="F842" s="308"/>
      <c r="G842" s="308"/>
      <c r="H842" s="308"/>
      <c r="I842" s="308"/>
      <c r="J842" s="308"/>
      <c r="K842" s="308"/>
      <c r="L842" s="308"/>
      <c r="M842" s="308"/>
      <c r="N842" s="308"/>
      <c r="O842" s="308"/>
      <c r="P842" s="308"/>
      <c r="Q842" s="308"/>
      <c r="R842" s="308"/>
      <c r="S842" s="308"/>
      <c r="T842" s="308"/>
      <c r="U842" s="308"/>
      <c r="V842" s="308"/>
      <c r="W842" s="308"/>
      <c r="X842" s="308"/>
      <c r="Y842" s="308"/>
      <c r="Z842" s="308"/>
    </row>
    <row r="843" ht="15.75" customHeight="1">
      <c r="A843" s="308"/>
      <c r="B843" s="524"/>
      <c r="C843" s="308"/>
      <c r="D843" s="308"/>
      <c r="E843" s="308"/>
      <c r="F843" s="308"/>
      <c r="G843" s="308"/>
      <c r="H843" s="308"/>
      <c r="I843" s="308"/>
      <c r="J843" s="308"/>
      <c r="K843" s="308"/>
      <c r="L843" s="308"/>
      <c r="M843" s="308"/>
      <c r="N843" s="308"/>
      <c r="O843" s="308"/>
      <c r="P843" s="308"/>
      <c r="Q843" s="308"/>
      <c r="R843" s="308"/>
      <c r="S843" s="308"/>
      <c r="T843" s="308"/>
      <c r="U843" s="308"/>
      <c r="V843" s="308"/>
      <c r="W843" s="308"/>
      <c r="X843" s="308"/>
      <c r="Y843" s="308"/>
      <c r="Z843" s="308"/>
    </row>
    <row r="844" ht="15.75" customHeight="1">
      <c r="A844" s="308"/>
      <c r="B844" s="524"/>
      <c r="C844" s="308"/>
      <c r="D844" s="308"/>
      <c r="E844" s="308"/>
      <c r="F844" s="308"/>
      <c r="G844" s="308"/>
      <c r="H844" s="308"/>
      <c r="I844" s="308"/>
      <c r="J844" s="308"/>
      <c r="K844" s="308"/>
      <c r="L844" s="308"/>
      <c r="M844" s="308"/>
      <c r="N844" s="308"/>
      <c r="O844" s="308"/>
      <c r="P844" s="308"/>
      <c r="Q844" s="308"/>
      <c r="R844" s="308"/>
      <c r="S844" s="308"/>
      <c r="T844" s="308"/>
      <c r="U844" s="308"/>
      <c r="V844" s="308"/>
      <c r="W844" s="308"/>
      <c r="X844" s="308"/>
      <c r="Y844" s="308"/>
      <c r="Z844" s="308"/>
    </row>
    <row r="845" ht="15.75" customHeight="1">
      <c r="A845" s="308"/>
      <c r="B845" s="524"/>
      <c r="C845" s="308"/>
      <c r="D845" s="308"/>
      <c r="E845" s="308"/>
      <c r="F845" s="308"/>
      <c r="G845" s="308"/>
      <c r="H845" s="308"/>
      <c r="I845" s="308"/>
      <c r="J845" s="308"/>
      <c r="K845" s="308"/>
      <c r="L845" s="308"/>
      <c r="M845" s="308"/>
      <c r="N845" s="308"/>
      <c r="O845" s="308"/>
      <c r="P845" s="308"/>
      <c r="Q845" s="308"/>
      <c r="R845" s="308"/>
      <c r="S845" s="308"/>
      <c r="T845" s="308"/>
      <c r="U845" s="308"/>
      <c r="V845" s="308"/>
      <c r="W845" s="308"/>
      <c r="X845" s="308"/>
      <c r="Y845" s="308"/>
      <c r="Z845" s="308"/>
    </row>
    <row r="846" ht="15.75" customHeight="1">
      <c r="A846" s="308"/>
      <c r="B846" s="524"/>
      <c r="C846" s="308"/>
      <c r="D846" s="308"/>
      <c r="E846" s="308"/>
      <c r="F846" s="308"/>
      <c r="G846" s="308"/>
      <c r="H846" s="308"/>
      <c r="I846" s="308"/>
      <c r="J846" s="308"/>
      <c r="K846" s="308"/>
      <c r="L846" s="308"/>
      <c r="M846" s="308"/>
      <c r="N846" s="308"/>
      <c r="O846" s="308"/>
      <c r="P846" s="308"/>
      <c r="Q846" s="308"/>
      <c r="R846" s="308"/>
      <c r="S846" s="308"/>
      <c r="T846" s="308"/>
      <c r="U846" s="308"/>
      <c r="V846" s="308"/>
      <c r="W846" s="308"/>
      <c r="X846" s="308"/>
      <c r="Y846" s="308"/>
      <c r="Z846" s="308"/>
    </row>
    <row r="847" ht="15.75" customHeight="1">
      <c r="A847" s="308"/>
      <c r="B847" s="524"/>
      <c r="C847" s="308"/>
      <c r="D847" s="308"/>
      <c r="E847" s="308"/>
      <c r="F847" s="308"/>
      <c r="G847" s="308"/>
      <c r="H847" s="308"/>
      <c r="I847" s="308"/>
      <c r="J847" s="308"/>
      <c r="K847" s="308"/>
      <c r="L847" s="308"/>
      <c r="M847" s="308"/>
      <c r="N847" s="308"/>
      <c r="O847" s="308"/>
      <c r="P847" s="308"/>
      <c r="Q847" s="308"/>
      <c r="R847" s="308"/>
      <c r="S847" s="308"/>
      <c r="T847" s="308"/>
      <c r="U847" s="308"/>
      <c r="V847" s="308"/>
      <c r="W847" s="308"/>
      <c r="X847" s="308"/>
      <c r="Y847" s="308"/>
      <c r="Z847" s="308"/>
    </row>
    <row r="848" ht="15.75" customHeight="1">
      <c r="A848" s="308"/>
      <c r="B848" s="524"/>
      <c r="C848" s="308"/>
      <c r="D848" s="308"/>
      <c r="E848" s="308"/>
      <c r="F848" s="308"/>
      <c r="G848" s="308"/>
      <c r="H848" s="308"/>
      <c r="I848" s="308"/>
      <c r="J848" s="308"/>
      <c r="K848" s="308"/>
      <c r="L848" s="308"/>
      <c r="M848" s="308"/>
      <c r="N848" s="308"/>
      <c r="O848" s="308"/>
      <c r="P848" s="308"/>
      <c r="Q848" s="308"/>
      <c r="R848" s="308"/>
      <c r="S848" s="308"/>
      <c r="T848" s="308"/>
      <c r="U848" s="308"/>
      <c r="V848" s="308"/>
      <c r="W848" s="308"/>
      <c r="X848" s="308"/>
      <c r="Y848" s="308"/>
      <c r="Z848" s="308"/>
    </row>
    <row r="849" ht="15.75" customHeight="1">
      <c r="A849" s="308"/>
      <c r="B849" s="524"/>
      <c r="C849" s="308"/>
      <c r="D849" s="308"/>
      <c r="E849" s="308"/>
      <c r="F849" s="308"/>
      <c r="G849" s="308"/>
      <c r="H849" s="308"/>
      <c r="I849" s="308"/>
      <c r="J849" s="308"/>
      <c r="K849" s="308"/>
      <c r="L849" s="308"/>
      <c r="M849" s="308"/>
      <c r="N849" s="308"/>
      <c r="O849" s="308"/>
      <c r="P849" s="308"/>
      <c r="Q849" s="308"/>
      <c r="R849" s="308"/>
      <c r="S849" s="308"/>
      <c r="T849" s="308"/>
      <c r="U849" s="308"/>
      <c r="V849" s="308"/>
      <c r="W849" s="308"/>
      <c r="X849" s="308"/>
      <c r="Y849" s="308"/>
      <c r="Z849" s="308"/>
    </row>
    <row r="850" ht="15.75" customHeight="1">
      <c r="A850" s="308"/>
      <c r="B850" s="524"/>
      <c r="C850" s="308"/>
      <c r="D850" s="308"/>
      <c r="E850" s="308"/>
      <c r="F850" s="308"/>
      <c r="G850" s="308"/>
      <c r="H850" s="308"/>
      <c r="I850" s="308"/>
      <c r="J850" s="308"/>
      <c r="K850" s="308"/>
      <c r="L850" s="308"/>
      <c r="M850" s="308"/>
      <c r="N850" s="308"/>
      <c r="O850" s="308"/>
      <c r="P850" s="308"/>
      <c r="Q850" s="308"/>
      <c r="R850" s="308"/>
      <c r="S850" s="308"/>
      <c r="T850" s="308"/>
      <c r="U850" s="308"/>
      <c r="V850" s="308"/>
      <c r="W850" s="308"/>
      <c r="X850" s="308"/>
      <c r="Y850" s="308"/>
      <c r="Z850" s="308"/>
    </row>
    <row r="851" ht="15.75" customHeight="1">
      <c r="A851" s="308"/>
      <c r="B851" s="524"/>
      <c r="C851" s="308"/>
      <c r="D851" s="308"/>
      <c r="E851" s="308"/>
      <c r="F851" s="308"/>
      <c r="G851" s="308"/>
      <c r="H851" s="308"/>
      <c r="I851" s="308"/>
      <c r="J851" s="308"/>
      <c r="K851" s="308"/>
      <c r="L851" s="308"/>
      <c r="M851" s="308"/>
      <c r="N851" s="308"/>
      <c r="O851" s="308"/>
      <c r="P851" s="308"/>
      <c r="Q851" s="308"/>
      <c r="R851" s="308"/>
      <c r="S851" s="308"/>
      <c r="T851" s="308"/>
      <c r="U851" s="308"/>
      <c r="V851" s="308"/>
      <c r="W851" s="308"/>
      <c r="X851" s="308"/>
      <c r="Y851" s="308"/>
      <c r="Z851" s="308"/>
    </row>
    <row r="852" ht="15.75" customHeight="1">
      <c r="A852" s="308"/>
      <c r="B852" s="524"/>
      <c r="C852" s="308"/>
      <c r="D852" s="308"/>
      <c r="E852" s="308"/>
      <c r="F852" s="308"/>
      <c r="G852" s="308"/>
      <c r="H852" s="308"/>
      <c r="I852" s="308"/>
      <c r="J852" s="308"/>
      <c r="K852" s="308"/>
      <c r="L852" s="308"/>
      <c r="M852" s="308"/>
      <c r="N852" s="308"/>
      <c r="O852" s="308"/>
      <c r="P852" s="308"/>
      <c r="Q852" s="308"/>
      <c r="R852" s="308"/>
      <c r="S852" s="308"/>
      <c r="T852" s="308"/>
      <c r="U852" s="308"/>
      <c r="V852" s="308"/>
      <c r="W852" s="308"/>
      <c r="X852" s="308"/>
      <c r="Y852" s="308"/>
      <c r="Z852" s="308"/>
    </row>
    <row r="853" ht="15.75" customHeight="1">
      <c r="A853" s="308"/>
      <c r="B853" s="524"/>
      <c r="C853" s="308"/>
      <c r="D853" s="308"/>
      <c r="E853" s="308"/>
      <c r="F853" s="308"/>
      <c r="G853" s="308"/>
      <c r="H853" s="308"/>
      <c r="I853" s="308"/>
      <c r="J853" s="308"/>
      <c r="K853" s="308"/>
      <c r="L853" s="308"/>
      <c r="M853" s="308"/>
      <c r="N853" s="308"/>
      <c r="O853" s="308"/>
      <c r="P853" s="308"/>
      <c r="Q853" s="308"/>
      <c r="R853" s="308"/>
      <c r="S853" s="308"/>
      <c r="T853" s="308"/>
      <c r="U853" s="308"/>
      <c r="V853" s="308"/>
      <c r="W853" s="308"/>
      <c r="X853" s="308"/>
      <c r="Y853" s="308"/>
      <c r="Z853" s="308"/>
    </row>
    <row r="854" ht="15.75" customHeight="1">
      <c r="A854" s="308"/>
      <c r="B854" s="524"/>
      <c r="C854" s="308"/>
      <c r="D854" s="308"/>
      <c r="E854" s="308"/>
      <c r="F854" s="308"/>
      <c r="G854" s="308"/>
      <c r="H854" s="308"/>
      <c r="I854" s="308"/>
      <c r="J854" s="308"/>
      <c r="K854" s="308"/>
      <c r="L854" s="308"/>
      <c r="M854" s="308"/>
      <c r="N854" s="308"/>
      <c r="O854" s="308"/>
      <c r="P854" s="308"/>
      <c r="Q854" s="308"/>
      <c r="R854" s="308"/>
      <c r="S854" s="308"/>
      <c r="T854" s="308"/>
      <c r="U854" s="308"/>
      <c r="V854" s="308"/>
      <c r="W854" s="308"/>
      <c r="X854" s="308"/>
      <c r="Y854" s="308"/>
      <c r="Z854" s="308"/>
    </row>
    <row r="855" ht="15.75" customHeight="1">
      <c r="A855" s="308"/>
      <c r="B855" s="524"/>
      <c r="C855" s="308"/>
      <c r="D855" s="308"/>
      <c r="E855" s="308"/>
      <c r="F855" s="308"/>
      <c r="G855" s="308"/>
      <c r="H855" s="308"/>
      <c r="I855" s="308"/>
      <c r="J855" s="308"/>
      <c r="K855" s="308"/>
      <c r="L855" s="308"/>
      <c r="M855" s="308"/>
      <c r="N855" s="308"/>
      <c r="O855" s="308"/>
      <c r="P855" s="308"/>
      <c r="Q855" s="308"/>
      <c r="R855" s="308"/>
      <c r="S855" s="308"/>
      <c r="T855" s="308"/>
      <c r="U855" s="308"/>
      <c r="V855" s="308"/>
      <c r="W855" s="308"/>
      <c r="X855" s="308"/>
      <c r="Y855" s="308"/>
      <c r="Z855" s="308"/>
    </row>
    <row r="856" ht="15.75" customHeight="1">
      <c r="A856" s="308"/>
      <c r="B856" s="524"/>
      <c r="C856" s="308"/>
      <c r="D856" s="308"/>
      <c r="E856" s="308"/>
      <c r="F856" s="308"/>
      <c r="G856" s="308"/>
      <c r="H856" s="308"/>
      <c r="I856" s="308"/>
      <c r="J856" s="308"/>
      <c r="K856" s="308"/>
      <c r="L856" s="308"/>
      <c r="M856" s="308"/>
      <c r="N856" s="308"/>
      <c r="O856" s="308"/>
      <c r="P856" s="308"/>
      <c r="Q856" s="308"/>
      <c r="R856" s="308"/>
      <c r="S856" s="308"/>
      <c r="T856" s="308"/>
      <c r="U856" s="308"/>
      <c r="V856" s="308"/>
      <c r="W856" s="308"/>
      <c r="X856" s="308"/>
      <c r="Y856" s="308"/>
      <c r="Z856" s="308"/>
    </row>
    <row r="857" ht="15.75" customHeight="1">
      <c r="A857" s="308"/>
      <c r="B857" s="524"/>
      <c r="C857" s="308"/>
      <c r="D857" s="308"/>
      <c r="E857" s="308"/>
      <c r="F857" s="308"/>
      <c r="G857" s="308"/>
      <c r="H857" s="308"/>
      <c r="I857" s="308"/>
      <c r="J857" s="308"/>
      <c r="K857" s="308"/>
      <c r="L857" s="308"/>
      <c r="M857" s="308"/>
      <c r="N857" s="308"/>
      <c r="O857" s="308"/>
      <c r="P857" s="308"/>
      <c r="Q857" s="308"/>
      <c r="R857" s="308"/>
      <c r="S857" s="308"/>
      <c r="T857" s="308"/>
      <c r="U857" s="308"/>
      <c r="V857" s="308"/>
      <c r="W857" s="308"/>
      <c r="X857" s="308"/>
      <c r="Y857" s="308"/>
      <c r="Z857" s="308"/>
    </row>
    <row r="858" ht="15.75" customHeight="1">
      <c r="A858" s="308"/>
      <c r="B858" s="524"/>
      <c r="C858" s="308"/>
      <c r="D858" s="308"/>
      <c r="E858" s="308"/>
      <c r="F858" s="308"/>
      <c r="G858" s="308"/>
      <c r="H858" s="308"/>
      <c r="I858" s="308"/>
      <c r="J858" s="308"/>
      <c r="K858" s="308"/>
      <c r="L858" s="308"/>
      <c r="M858" s="308"/>
      <c r="N858" s="308"/>
      <c r="O858" s="308"/>
      <c r="P858" s="308"/>
      <c r="Q858" s="308"/>
      <c r="R858" s="308"/>
      <c r="S858" s="308"/>
      <c r="T858" s="308"/>
      <c r="U858" s="308"/>
      <c r="V858" s="308"/>
      <c r="W858" s="308"/>
      <c r="X858" s="308"/>
      <c r="Y858" s="308"/>
      <c r="Z858" s="308"/>
    </row>
    <row r="859" ht="15.75" customHeight="1">
      <c r="A859" s="308"/>
      <c r="B859" s="524"/>
      <c r="C859" s="308"/>
      <c r="D859" s="308"/>
      <c r="E859" s="308"/>
      <c r="F859" s="308"/>
      <c r="G859" s="308"/>
      <c r="H859" s="308"/>
      <c r="I859" s="308"/>
      <c r="J859" s="308"/>
      <c r="K859" s="308"/>
      <c r="L859" s="308"/>
      <c r="M859" s="308"/>
      <c r="N859" s="308"/>
      <c r="O859" s="308"/>
      <c r="P859" s="308"/>
      <c r="Q859" s="308"/>
      <c r="R859" s="308"/>
      <c r="S859" s="308"/>
      <c r="T859" s="308"/>
      <c r="U859" s="308"/>
      <c r="V859" s="308"/>
      <c r="W859" s="308"/>
      <c r="X859" s="308"/>
      <c r="Y859" s="308"/>
      <c r="Z859" s="308"/>
    </row>
    <row r="860" ht="15.75" customHeight="1">
      <c r="A860" s="308"/>
      <c r="B860" s="524"/>
      <c r="C860" s="308"/>
      <c r="D860" s="308"/>
      <c r="E860" s="308"/>
      <c r="F860" s="308"/>
      <c r="G860" s="308"/>
      <c r="H860" s="308"/>
      <c r="I860" s="308"/>
      <c r="J860" s="308"/>
      <c r="K860" s="308"/>
      <c r="L860" s="308"/>
      <c r="M860" s="308"/>
      <c r="N860" s="308"/>
      <c r="O860" s="308"/>
      <c r="P860" s="308"/>
      <c r="Q860" s="308"/>
      <c r="R860" s="308"/>
      <c r="S860" s="308"/>
      <c r="T860" s="308"/>
      <c r="U860" s="308"/>
      <c r="V860" s="308"/>
      <c r="W860" s="308"/>
      <c r="X860" s="308"/>
      <c r="Y860" s="308"/>
      <c r="Z860" s="308"/>
    </row>
    <row r="861" ht="15.75" customHeight="1">
      <c r="A861" s="308"/>
      <c r="B861" s="524"/>
      <c r="C861" s="308"/>
      <c r="D861" s="308"/>
      <c r="E861" s="308"/>
      <c r="F861" s="308"/>
      <c r="G861" s="308"/>
      <c r="H861" s="308"/>
      <c r="I861" s="308"/>
      <c r="J861" s="308"/>
      <c r="K861" s="308"/>
      <c r="L861" s="308"/>
      <c r="M861" s="308"/>
      <c r="N861" s="308"/>
      <c r="O861" s="308"/>
      <c r="P861" s="308"/>
      <c r="Q861" s="308"/>
      <c r="R861" s="308"/>
      <c r="S861" s="308"/>
      <c r="T861" s="308"/>
      <c r="U861" s="308"/>
      <c r="V861" s="308"/>
      <c r="W861" s="308"/>
      <c r="X861" s="308"/>
      <c r="Y861" s="308"/>
      <c r="Z861" s="308"/>
    </row>
    <row r="862" ht="15.75" customHeight="1">
      <c r="A862" s="308"/>
      <c r="B862" s="524"/>
      <c r="C862" s="308"/>
      <c r="D862" s="308"/>
      <c r="E862" s="308"/>
      <c r="F862" s="308"/>
      <c r="G862" s="308"/>
      <c r="H862" s="308"/>
      <c r="I862" s="308"/>
      <c r="J862" s="308"/>
      <c r="K862" s="308"/>
      <c r="L862" s="308"/>
      <c r="M862" s="308"/>
      <c r="N862" s="308"/>
      <c r="O862" s="308"/>
      <c r="P862" s="308"/>
      <c r="Q862" s="308"/>
      <c r="R862" s="308"/>
      <c r="S862" s="308"/>
      <c r="T862" s="308"/>
      <c r="U862" s="308"/>
      <c r="V862" s="308"/>
      <c r="W862" s="308"/>
      <c r="X862" s="308"/>
      <c r="Y862" s="308"/>
      <c r="Z862" s="308"/>
    </row>
    <row r="863" ht="15.75" customHeight="1">
      <c r="A863" s="308"/>
      <c r="B863" s="524"/>
      <c r="C863" s="308"/>
      <c r="D863" s="308"/>
      <c r="E863" s="308"/>
      <c r="F863" s="308"/>
      <c r="G863" s="308"/>
      <c r="H863" s="308"/>
      <c r="I863" s="308"/>
      <c r="J863" s="308"/>
      <c r="K863" s="308"/>
      <c r="L863" s="308"/>
      <c r="M863" s="308"/>
      <c r="N863" s="308"/>
      <c r="O863" s="308"/>
      <c r="P863" s="308"/>
      <c r="Q863" s="308"/>
      <c r="R863" s="308"/>
      <c r="S863" s="308"/>
      <c r="T863" s="308"/>
      <c r="U863" s="308"/>
      <c r="V863" s="308"/>
      <c r="W863" s="308"/>
      <c r="X863" s="308"/>
      <c r="Y863" s="308"/>
      <c r="Z863" s="308"/>
    </row>
    <row r="864" ht="15.75" customHeight="1">
      <c r="A864" s="308"/>
      <c r="B864" s="524"/>
      <c r="C864" s="308"/>
      <c r="D864" s="308"/>
      <c r="E864" s="308"/>
      <c r="F864" s="308"/>
      <c r="G864" s="308"/>
      <c r="H864" s="308"/>
      <c r="I864" s="308"/>
      <c r="J864" s="308"/>
      <c r="K864" s="308"/>
      <c r="L864" s="308"/>
      <c r="M864" s="308"/>
      <c r="N864" s="308"/>
      <c r="O864" s="308"/>
      <c r="P864" s="308"/>
      <c r="Q864" s="308"/>
      <c r="R864" s="308"/>
      <c r="S864" s="308"/>
      <c r="T864" s="308"/>
      <c r="U864" s="308"/>
      <c r="V864" s="308"/>
      <c r="W864" s="308"/>
      <c r="X864" s="308"/>
      <c r="Y864" s="308"/>
      <c r="Z864" s="308"/>
    </row>
    <row r="865" ht="15.75" customHeight="1">
      <c r="A865" s="308"/>
      <c r="B865" s="524"/>
      <c r="C865" s="308"/>
      <c r="D865" s="308"/>
      <c r="E865" s="308"/>
      <c r="F865" s="308"/>
      <c r="G865" s="308"/>
      <c r="H865" s="308"/>
      <c r="I865" s="308"/>
      <c r="J865" s="308"/>
      <c r="K865" s="308"/>
      <c r="L865" s="308"/>
      <c r="M865" s="308"/>
      <c r="N865" s="308"/>
      <c r="O865" s="308"/>
      <c r="P865" s="308"/>
      <c r="Q865" s="308"/>
      <c r="R865" s="308"/>
      <c r="S865" s="308"/>
      <c r="T865" s="308"/>
      <c r="U865" s="308"/>
      <c r="V865" s="308"/>
      <c r="W865" s="308"/>
      <c r="X865" s="308"/>
      <c r="Y865" s="308"/>
      <c r="Z865" s="308"/>
    </row>
    <row r="866" ht="15.75" customHeight="1">
      <c r="A866" s="308"/>
      <c r="B866" s="524"/>
      <c r="C866" s="308"/>
      <c r="D866" s="308"/>
      <c r="E866" s="308"/>
      <c r="F866" s="308"/>
      <c r="G866" s="308"/>
      <c r="H866" s="308"/>
      <c r="I866" s="308"/>
      <c r="J866" s="308"/>
      <c r="K866" s="308"/>
      <c r="L866" s="308"/>
      <c r="M866" s="308"/>
      <c r="N866" s="308"/>
      <c r="O866" s="308"/>
      <c r="P866" s="308"/>
      <c r="Q866" s="308"/>
      <c r="R866" s="308"/>
      <c r="S866" s="308"/>
      <c r="T866" s="308"/>
      <c r="U866" s="308"/>
      <c r="V866" s="308"/>
      <c r="W866" s="308"/>
      <c r="X866" s="308"/>
      <c r="Y866" s="308"/>
      <c r="Z866" s="308"/>
    </row>
    <row r="867" ht="15.75" customHeight="1">
      <c r="A867" s="308"/>
      <c r="B867" s="524"/>
      <c r="C867" s="308"/>
      <c r="D867" s="308"/>
      <c r="E867" s="308"/>
      <c r="F867" s="308"/>
      <c r="G867" s="308"/>
      <c r="H867" s="308"/>
      <c r="I867" s="308"/>
      <c r="J867" s="308"/>
      <c r="K867" s="308"/>
      <c r="L867" s="308"/>
      <c r="M867" s="308"/>
      <c r="N867" s="308"/>
      <c r="O867" s="308"/>
      <c r="P867" s="308"/>
      <c r="Q867" s="308"/>
      <c r="R867" s="308"/>
      <c r="S867" s="308"/>
      <c r="T867" s="308"/>
      <c r="U867" s="308"/>
      <c r="V867" s="308"/>
      <c r="W867" s="308"/>
      <c r="X867" s="308"/>
      <c r="Y867" s="308"/>
      <c r="Z867" s="308"/>
    </row>
    <row r="868" ht="15.75" customHeight="1">
      <c r="A868" s="308"/>
      <c r="B868" s="524"/>
      <c r="C868" s="308"/>
      <c r="D868" s="308"/>
      <c r="E868" s="308"/>
      <c r="F868" s="308"/>
      <c r="G868" s="308"/>
      <c r="H868" s="308"/>
      <c r="I868" s="308"/>
      <c r="J868" s="308"/>
      <c r="K868" s="308"/>
      <c r="L868" s="308"/>
      <c r="M868" s="308"/>
      <c r="N868" s="308"/>
      <c r="O868" s="308"/>
      <c r="P868" s="308"/>
      <c r="Q868" s="308"/>
      <c r="R868" s="308"/>
      <c r="S868" s="308"/>
      <c r="T868" s="308"/>
      <c r="U868" s="308"/>
      <c r="V868" s="308"/>
      <c r="W868" s="308"/>
      <c r="X868" s="308"/>
      <c r="Y868" s="308"/>
      <c r="Z868" s="308"/>
    </row>
    <row r="869" ht="15.75" customHeight="1">
      <c r="A869" s="308"/>
      <c r="B869" s="524"/>
      <c r="C869" s="308"/>
      <c r="D869" s="308"/>
      <c r="E869" s="308"/>
      <c r="F869" s="308"/>
      <c r="G869" s="308"/>
      <c r="H869" s="308"/>
      <c r="I869" s="308"/>
      <c r="J869" s="308"/>
      <c r="K869" s="308"/>
      <c r="L869" s="308"/>
      <c r="M869" s="308"/>
      <c r="N869" s="308"/>
      <c r="O869" s="308"/>
      <c r="P869" s="308"/>
      <c r="Q869" s="308"/>
      <c r="R869" s="308"/>
      <c r="S869" s="308"/>
      <c r="T869" s="308"/>
      <c r="U869" s="308"/>
      <c r="V869" s="308"/>
      <c r="W869" s="308"/>
      <c r="X869" s="308"/>
      <c r="Y869" s="308"/>
      <c r="Z869" s="308"/>
    </row>
    <row r="870" ht="15.75" customHeight="1">
      <c r="A870" s="308"/>
      <c r="B870" s="524"/>
      <c r="C870" s="308"/>
      <c r="D870" s="308"/>
      <c r="E870" s="308"/>
      <c r="F870" s="308"/>
      <c r="G870" s="308"/>
      <c r="H870" s="308"/>
      <c r="I870" s="308"/>
      <c r="J870" s="308"/>
      <c r="K870" s="308"/>
      <c r="L870" s="308"/>
      <c r="M870" s="308"/>
      <c r="N870" s="308"/>
      <c r="O870" s="308"/>
      <c r="P870" s="308"/>
      <c r="Q870" s="308"/>
      <c r="R870" s="308"/>
      <c r="S870" s="308"/>
      <c r="T870" s="308"/>
      <c r="U870" s="308"/>
      <c r="V870" s="308"/>
      <c r="W870" s="308"/>
      <c r="X870" s="308"/>
      <c r="Y870" s="308"/>
      <c r="Z870" s="308"/>
    </row>
    <row r="871" ht="15.75" customHeight="1">
      <c r="A871" s="308"/>
      <c r="B871" s="524"/>
      <c r="C871" s="308"/>
      <c r="D871" s="308"/>
      <c r="E871" s="308"/>
      <c r="F871" s="308"/>
      <c r="G871" s="308"/>
      <c r="H871" s="308"/>
      <c r="I871" s="308"/>
      <c r="J871" s="308"/>
      <c r="K871" s="308"/>
      <c r="L871" s="308"/>
      <c r="M871" s="308"/>
      <c r="N871" s="308"/>
      <c r="O871" s="308"/>
      <c r="P871" s="308"/>
      <c r="Q871" s="308"/>
      <c r="R871" s="308"/>
      <c r="S871" s="308"/>
      <c r="T871" s="308"/>
      <c r="U871" s="308"/>
      <c r="V871" s="308"/>
      <c r="W871" s="308"/>
      <c r="X871" s="308"/>
      <c r="Y871" s="308"/>
      <c r="Z871" s="308"/>
    </row>
    <row r="872" ht="15.75" customHeight="1">
      <c r="A872" s="308"/>
      <c r="B872" s="524"/>
      <c r="C872" s="308"/>
      <c r="D872" s="308"/>
      <c r="E872" s="308"/>
      <c r="F872" s="308"/>
      <c r="G872" s="308"/>
      <c r="H872" s="308"/>
      <c r="I872" s="308"/>
      <c r="J872" s="308"/>
      <c r="K872" s="308"/>
      <c r="L872" s="308"/>
      <c r="M872" s="308"/>
      <c r="N872" s="308"/>
      <c r="O872" s="308"/>
      <c r="P872" s="308"/>
      <c r="Q872" s="308"/>
      <c r="R872" s="308"/>
      <c r="S872" s="308"/>
      <c r="T872" s="308"/>
      <c r="U872" s="308"/>
      <c r="V872" s="308"/>
      <c r="W872" s="308"/>
      <c r="X872" s="308"/>
      <c r="Y872" s="308"/>
      <c r="Z872" s="308"/>
    </row>
    <row r="873" ht="15.75" customHeight="1">
      <c r="A873" s="308"/>
      <c r="B873" s="524"/>
      <c r="C873" s="308"/>
      <c r="D873" s="308"/>
      <c r="E873" s="308"/>
      <c r="F873" s="308"/>
      <c r="G873" s="308"/>
      <c r="H873" s="308"/>
      <c r="I873" s="308"/>
      <c r="J873" s="308"/>
      <c r="K873" s="308"/>
      <c r="L873" s="308"/>
      <c r="M873" s="308"/>
      <c r="N873" s="308"/>
      <c r="O873" s="308"/>
      <c r="P873" s="308"/>
      <c r="Q873" s="308"/>
      <c r="R873" s="308"/>
      <c r="S873" s="308"/>
      <c r="T873" s="308"/>
      <c r="U873" s="308"/>
      <c r="V873" s="308"/>
      <c r="W873" s="308"/>
      <c r="X873" s="308"/>
      <c r="Y873" s="308"/>
      <c r="Z873" s="308"/>
    </row>
    <row r="874" ht="15.75" customHeight="1">
      <c r="A874" s="308"/>
      <c r="B874" s="524"/>
      <c r="C874" s="308"/>
      <c r="D874" s="308"/>
      <c r="E874" s="308"/>
      <c r="F874" s="308"/>
      <c r="G874" s="308"/>
      <c r="H874" s="308"/>
      <c r="I874" s="308"/>
      <c r="J874" s="308"/>
      <c r="K874" s="308"/>
      <c r="L874" s="308"/>
      <c r="M874" s="308"/>
      <c r="N874" s="308"/>
      <c r="O874" s="308"/>
      <c r="P874" s="308"/>
      <c r="Q874" s="308"/>
      <c r="R874" s="308"/>
      <c r="S874" s="308"/>
      <c r="T874" s="308"/>
      <c r="U874" s="308"/>
      <c r="V874" s="308"/>
      <c r="W874" s="308"/>
      <c r="X874" s="308"/>
      <c r="Y874" s="308"/>
      <c r="Z874" s="308"/>
    </row>
    <row r="875" ht="15.75" customHeight="1">
      <c r="A875" s="308"/>
      <c r="B875" s="524"/>
      <c r="C875" s="308"/>
      <c r="D875" s="308"/>
      <c r="E875" s="308"/>
      <c r="F875" s="308"/>
      <c r="G875" s="308"/>
      <c r="H875" s="308"/>
      <c r="I875" s="308"/>
      <c r="J875" s="308"/>
      <c r="K875" s="308"/>
      <c r="L875" s="308"/>
      <c r="M875" s="308"/>
      <c r="N875" s="308"/>
      <c r="O875" s="308"/>
      <c r="P875" s="308"/>
      <c r="Q875" s="308"/>
      <c r="R875" s="308"/>
      <c r="S875" s="308"/>
      <c r="T875" s="308"/>
      <c r="U875" s="308"/>
      <c r="V875" s="308"/>
      <c r="W875" s="308"/>
      <c r="X875" s="308"/>
      <c r="Y875" s="308"/>
      <c r="Z875" s="308"/>
    </row>
    <row r="876" ht="15.75" customHeight="1">
      <c r="A876" s="308"/>
      <c r="B876" s="524"/>
      <c r="C876" s="308"/>
      <c r="D876" s="308"/>
      <c r="E876" s="308"/>
      <c r="F876" s="308"/>
      <c r="G876" s="308"/>
      <c r="H876" s="308"/>
      <c r="I876" s="308"/>
      <c r="J876" s="308"/>
      <c r="K876" s="308"/>
      <c r="L876" s="308"/>
      <c r="M876" s="308"/>
      <c r="N876" s="308"/>
      <c r="O876" s="308"/>
      <c r="P876" s="308"/>
      <c r="Q876" s="308"/>
      <c r="R876" s="308"/>
      <c r="S876" s="308"/>
      <c r="T876" s="308"/>
      <c r="U876" s="308"/>
      <c r="V876" s="308"/>
      <c r="W876" s="308"/>
      <c r="X876" s="308"/>
      <c r="Y876" s="308"/>
      <c r="Z876" s="308"/>
    </row>
    <row r="877" ht="15.75" customHeight="1">
      <c r="A877" s="308"/>
      <c r="B877" s="524"/>
      <c r="C877" s="308"/>
      <c r="D877" s="308"/>
      <c r="E877" s="308"/>
      <c r="F877" s="308"/>
      <c r="G877" s="308"/>
      <c r="H877" s="308"/>
      <c r="I877" s="308"/>
      <c r="J877" s="308"/>
      <c r="K877" s="308"/>
      <c r="L877" s="308"/>
      <c r="M877" s="308"/>
      <c r="N877" s="308"/>
      <c r="O877" s="308"/>
      <c r="P877" s="308"/>
      <c r="Q877" s="308"/>
      <c r="R877" s="308"/>
      <c r="S877" s="308"/>
      <c r="T877" s="308"/>
      <c r="U877" s="308"/>
      <c r="V877" s="308"/>
      <c r="W877" s="308"/>
      <c r="X877" s="308"/>
      <c r="Y877" s="308"/>
      <c r="Z877" s="308"/>
    </row>
    <row r="878" ht="15.75" customHeight="1">
      <c r="A878" s="308"/>
      <c r="B878" s="524"/>
      <c r="C878" s="308"/>
      <c r="D878" s="308"/>
      <c r="E878" s="308"/>
      <c r="F878" s="308"/>
      <c r="G878" s="308"/>
      <c r="H878" s="308"/>
      <c r="I878" s="308"/>
      <c r="J878" s="308"/>
      <c r="K878" s="308"/>
      <c r="L878" s="308"/>
      <c r="M878" s="308"/>
      <c r="N878" s="308"/>
      <c r="O878" s="308"/>
      <c r="P878" s="308"/>
      <c r="Q878" s="308"/>
      <c r="R878" s="308"/>
      <c r="S878" s="308"/>
      <c r="T878" s="308"/>
      <c r="U878" s="308"/>
      <c r="V878" s="308"/>
      <c r="W878" s="308"/>
      <c r="X878" s="308"/>
      <c r="Y878" s="308"/>
      <c r="Z878" s="308"/>
    </row>
    <row r="879" ht="15.75" customHeight="1">
      <c r="A879" s="308"/>
      <c r="B879" s="524"/>
      <c r="C879" s="308"/>
      <c r="D879" s="308"/>
      <c r="E879" s="308"/>
      <c r="F879" s="308"/>
      <c r="G879" s="308"/>
      <c r="H879" s="308"/>
      <c r="I879" s="308"/>
      <c r="J879" s="308"/>
      <c r="K879" s="308"/>
      <c r="L879" s="308"/>
      <c r="M879" s="308"/>
      <c r="N879" s="308"/>
      <c r="O879" s="308"/>
      <c r="P879" s="308"/>
      <c r="Q879" s="308"/>
      <c r="R879" s="308"/>
      <c r="S879" s="308"/>
      <c r="T879" s="308"/>
      <c r="U879" s="308"/>
      <c r="V879" s="308"/>
      <c r="W879" s="308"/>
      <c r="X879" s="308"/>
      <c r="Y879" s="308"/>
      <c r="Z879" s="308"/>
    </row>
    <row r="880" ht="15.75" customHeight="1">
      <c r="A880" s="308"/>
      <c r="B880" s="524"/>
      <c r="C880" s="308"/>
      <c r="D880" s="308"/>
      <c r="E880" s="308"/>
      <c r="F880" s="308"/>
      <c r="G880" s="308"/>
      <c r="H880" s="308"/>
      <c r="I880" s="308"/>
      <c r="J880" s="308"/>
      <c r="K880" s="308"/>
      <c r="L880" s="308"/>
      <c r="M880" s="308"/>
      <c r="N880" s="308"/>
      <c r="O880" s="308"/>
      <c r="P880" s="308"/>
      <c r="Q880" s="308"/>
      <c r="R880" s="308"/>
      <c r="S880" s="308"/>
      <c r="T880" s="308"/>
      <c r="U880" s="308"/>
      <c r="V880" s="308"/>
      <c r="W880" s="308"/>
      <c r="X880" s="308"/>
      <c r="Y880" s="308"/>
      <c r="Z880" s="308"/>
    </row>
    <row r="881" ht="15.75" customHeight="1">
      <c r="A881" s="308"/>
      <c r="B881" s="524"/>
      <c r="C881" s="308"/>
      <c r="D881" s="308"/>
      <c r="E881" s="308"/>
      <c r="F881" s="308"/>
      <c r="G881" s="308"/>
      <c r="H881" s="308"/>
      <c r="I881" s="308"/>
      <c r="J881" s="308"/>
      <c r="K881" s="308"/>
      <c r="L881" s="308"/>
      <c r="M881" s="308"/>
      <c r="N881" s="308"/>
      <c r="O881" s="308"/>
      <c r="P881" s="308"/>
      <c r="Q881" s="308"/>
      <c r="R881" s="308"/>
      <c r="S881" s="308"/>
      <c r="T881" s="308"/>
      <c r="U881" s="308"/>
      <c r="V881" s="308"/>
      <c r="W881" s="308"/>
      <c r="X881" s="308"/>
      <c r="Y881" s="308"/>
      <c r="Z881" s="308"/>
    </row>
    <row r="882" ht="15.75" customHeight="1">
      <c r="A882" s="308"/>
      <c r="B882" s="524"/>
      <c r="C882" s="308"/>
      <c r="D882" s="308"/>
      <c r="E882" s="308"/>
      <c r="F882" s="308"/>
      <c r="G882" s="308"/>
      <c r="H882" s="308"/>
      <c r="I882" s="308"/>
      <c r="J882" s="308"/>
      <c r="K882" s="308"/>
      <c r="L882" s="308"/>
      <c r="M882" s="308"/>
      <c r="N882" s="308"/>
      <c r="O882" s="308"/>
      <c r="P882" s="308"/>
      <c r="Q882" s="308"/>
      <c r="R882" s="308"/>
      <c r="S882" s="308"/>
      <c r="T882" s="308"/>
      <c r="U882" s="308"/>
      <c r="V882" s="308"/>
      <c r="W882" s="308"/>
      <c r="X882" s="308"/>
      <c r="Y882" s="308"/>
      <c r="Z882" s="308"/>
    </row>
    <row r="883" ht="15.75" customHeight="1">
      <c r="A883" s="308"/>
      <c r="B883" s="524"/>
      <c r="C883" s="308"/>
      <c r="D883" s="308"/>
      <c r="E883" s="308"/>
      <c r="F883" s="308"/>
      <c r="G883" s="308"/>
      <c r="H883" s="308"/>
      <c r="I883" s="308"/>
      <c r="J883" s="308"/>
      <c r="K883" s="308"/>
      <c r="L883" s="308"/>
      <c r="M883" s="308"/>
      <c r="N883" s="308"/>
      <c r="O883" s="308"/>
      <c r="P883" s="308"/>
      <c r="Q883" s="308"/>
      <c r="R883" s="308"/>
      <c r="S883" s="308"/>
      <c r="T883" s="308"/>
      <c r="U883" s="308"/>
      <c r="V883" s="308"/>
      <c r="W883" s="308"/>
      <c r="X883" s="308"/>
      <c r="Y883" s="308"/>
      <c r="Z883" s="308"/>
    </row>
    <row r="884" ht="15.75" customHeight="1">
      <c r="A884" s="308"/>
      <c r="B884" s="524"/>
      <c r="C884" s="308"/>
      <c r="D884" s="308"/>
      <c r="E884" s="308"/>
      <c r="F884" s="308"/>
      <c r="G884" s="308"/>
      <c r="H884" s="308"/>
      <c r="I884" s="308"/>
      <c r="J884" s="308"/>
      <c r="K884" s="308"/>
      <c r="L884" s="308"/>
      <c r="M884" s="308"/>
      <c r="N884" s="308"/>
      <c r="O884" s="308"/>
      <c r="P884" s="308"/>
      <c r="Q884" s="308"/>
      <c r="R884" s="308"/>
      <c r="S884" s="308"/>
      <c r="T884" s="308"/>
      <c r="U884" s="308"/>
      <c r="V884" s="308"/>
      <c r="W884" s="308"/>
      <c r="X884" s="308"/>
      <c r="Y884" s="308"/>
      <c r="Z884" s="308"/>
    </row>
    <row r="885" ht="15.75" customHeight="1">
      <c r="A885" s="308"/>
      <c r="B885" s="524"/>
      <c r="C885" s="308"/>
      <c r="D885" s="308"/>
      <c r="E885" s="308"/>
      <c r="F885" s="308"/>
      <c r="G885" s="308"/>
      <c r="H885" s="308"/>
      <c r="I885" s="308"/>
      <c r="J885" s="308"/>
      <c r="K885" s="308"/>
      <c r="L885" s="308"/>
      <c r="M885" s="308"/>
      <c r="N885" s="308"/>
      <c r="O885" s="308"/>
      <c r="P885" s="308"/>
      <c r="Q885" s="308"/>
      <c r="R885" s="308"/>
      <c r="S885" s="308"/>
      <c r="T885" s="308"/>
      <c r="U885" s="308"/>
      <c r="V885" s="308"/>
      <c r="W885" s="308"/>
      <c r="X885" s="308"/>
      <c r="Y885" s="308"/>
      <c r="Z885" s="308"/>
    </row>
    <row r="886" ht="15.75" customHeight="1">
      <c r="A886" s="308"/>
      <c r="B886" s="524"/>
      <c r="C886" s="308"/>
      <c r="D886" s="308"/>
      <c r="E886" s="308"/>
      <c r="F886" s="308"/>
      <c r="G886" s="308"/>
      <c r="H886" s="308"/>
      <c r="I886" s="308"/>
      <c r="J886" s="308"/>
      <c r="K886" s="308"/>
      <c r="L886" s="308"/>
      <c r="M886" s="308"/>
      <c r="N886" s="308"/>
      <c r="O886" s="308"/>
      <c r="P886" s="308"/>
      <c r="Q886" s="308"/>
      <c r="R886" s="308"/>
      <c r="S886" s="308"/>
      <c r="T886" s="308"/>
      <c r="U886" s="308"/>
      <c r="V886" s="308"/>
      <c r="W886" s="308"/>
      <c r="X886" s="308"/>
      <c r="Y886" s="308"/>
      <c r="Z886" s="308"/>
    </row>
    <row r="887" ht="15.75" customHeight="1">
      <c r="A887" s="308"/>
      <c r="B887" s="524"/>
      <c r="C887" s="308"/>
      <c r="D887" s="308"/>
      <c r="E887" s="308"/>
      <c r="F887" s="308"/>
      <c r="G887" s="308"/>
      <c r="H887" s="308"/>
      <c r="I887" s="308"/>
      <c r="J887" s="308"/>
      <c r="K887" s="308"/>
      <c r="L887" s="308"/>
      <c r="M887" s="308"/>
      <c r="N887" s="308"/>
      <c r="O887" s="308"/>
      <c r="P887" s="308"/>
      <c r="Q887" s="308"/>
      <c r="R887" s="308"/>
      <c r="S887" s="308"/>
      <c r="T887" s="308"/>
      <c r="U887" s="308"/>
      <c r="V887" s="308"/>
      <c r="W887" s="308"/>
      <c r="X887" s="308"/>
      <c r="Y887" s="308"/>
      <c r="Z887" s="308"/>
    </row>
    <row r="888" ht="15.75" customHeight="1">
      <c r="A888" s="308"/>
      <c r="B888" s="524"/>
      <c r="C888" s="308"/>
      <c r="D888" s="308"/>
      <c r="E888" s="308"/>
      <c r="F888" s="308"/>
      <c r="G888" s="308"/>
      <c r="H888" s="308"/>
      <c r="I888" s="308"/>
      <c r="J888" s="308"/>
      <c r="K888" s="308"/>
      <c r="L888" s="308"/>
      <c r="M888" s="308"/>
      <c r="N888" s="308"/>
      <c r="O888" s="308"/>
      <c r="P888" s="308"/>
      <c r="Q888" s="308"/>
      <c r="R888" s="308"/>
      <c r="S888" s="308"/>
      <c r="T888" s="308"/>
      <c r="U888" s="308"/>
      <c r="V888" s="308"/>
      <c r="W888" s="308"/>
      <c r="X888" s="308"/>
      <c r="Y888" s="308"/>
      <c r="Z888" s="308"/>
    </row>
    <row r="889" ht="15.75" customHeight="1">
      <c r="A889" s="308"/>
      <c r="B889" s="524"/>
      <c r="C889" s="308"/>
      <c r="D889" s="308"/>
      <c r="E889" s="308"/>
      <c r="F889" s="308"/>
      <c r="G889" s="308"/>
      <c r="H889" s="308"/>
      <c r="I889" s="308"/>
      <c r="J889" s="308"/>
      <c r="K889" s="308"/>
      <c r="L889" s="308"/>
      <c r="M889" s="308"/>
      <c r="N889" s="308"/>
      <c r="O889" s="308"/>
      <c r="P889" s="308"/>
      <c r="Q889" s="308"/>
      <c r="R889" s="308"/>
      <c r="S889" s="308"/>
      <c r="T889" s="308"/>
      <c r="U889" s="308"/>
      <c r="V889" s="308"/>
      <c r="W889" s="308"/>
      <c r="X889" s="308"/>
      <c r="Y889" s="308"/>
      <c r="Z889" s="308"/>
    </row>
    <row r="890" ht="15.75" customHeight="1">
      <c r="A890" s="308"/>
      <c r="B890" s="524"/>
      <c r="C890" s="308"/>
      <c r="D890" s="308"/>
      <c r="E890" s="308"/>
      <c r="F890" s="308"/>
      <c r="G890" s="308"/>
      <c r="H890" s="308"/>
      <c r="I890" s="308"/>
      <c r="J890" s="308"/>
      <c r="K890" s="308"/>
      <c r="L890" s="308"/>
      <c r="M890" s="308"/>
      <c r="N890" s="308"/>
      <c r="O890" s="308"/>
      <c r="P890" s="308"/>
      <c r="Q890" s="308"/>
      <c r="R890" s="308"/>
      <c r="S890" s="308"/>
      <c r="T890" s="308"/>
      <c r="U890" s="308"/>
      <c r="V890" s="308"/>
      <c r="W890" s="308"/>
      <c r="X890" s="308"/>
      <c r="Y890" s="308"/>
      <c r="Z890" s="308"/>
    </row>
    <row r="891" ht="15.75" customHeight="1">
      <c r="A891" s="308"/>
      <c r="B891" s="524"/>
      <c r="C891" s="308"/>
      <c r="D891" s="308"/>
      <c r="E891" s="308"/>
      <c r="F891" s="308"/>
      <c r="G891" s="308"/>
      <c r="H891" s="308"/>
      <c r="I891" s="308"/>
      <c r="J891" s="308"/>
      <c r="K891" s="308"/>
      <c r="L891" s="308"/>
      <c r="M891" s="308"/>
      <c r="N891" s="308"/>
      <c r="O891" s="308"/>
      <c r="P891" s="308"/>
      <c r="Q891" s="308"/>
      <c r="R891" s="308"/>
      <c r="S891" s="308"/>
      <c r="T891" s="308"/>
      <c r="U891" s="308"/>
      <c r="V891" s="308"/>
      <c r="W891" s="308"/>
      <c r="X891" s="308"/>
      <c r="Y891" s="308"/>
      <c r="Z891" s="308"/>
    </row>
    <row r="892" ht="15.75" customHeight="1">
      <c r="A892" s="308"/>
      <c r="B892" s="524"/>
      <c r="C892" s="308"/>
      <c r="D892" s="308"/>
      <c r="E892" s="308"/>
      <c r="F892" s="308"/>
      <c r="G892" s="308"/>
      <c r="H892" s="308"/>
      <c r="I892" s="308"/>
      <c r="J892" s="308"/>
      <c r="K892" s="308"/>
      <c r="L892" s="308"/>
      <c r="M892" s="308"/>
      <c r="N892" s="308"/>
      <c r="O892" s="308"/>
      <c r="P892" s="308"/>
      <c r="Q892" s="308"/>
      <c r="R892" s="308"/>
      <c r="S892" s="308"/>
      <c r="T892" s="308"/>
      <c r="U892" s="308"/>
      <c r="V892" s="308"/>
      <c r="W892" s="308"/>
      <c r="X892" s="308"/>
      <c r="Y892" s="308"/>
      <c r="Z892" s="308"/>
    </row>
    <row r="893" ht="15.75" customHeight="1">
      <c r="A893" s="308"/>
      <c r="B893" s="524"/>
      <c r="C893" s="308"/>
      <c r="D893" s="308"/>
      <c r="E893" s="308"/>
      <c r="F893" s="308"/>
      <c r="G893" s="308"/>
      <c r="H893" s="308"/>
      <c r="I893" s="308"/>
      <c r="J893" s="308"/>
      <c r="K893" s="308"/>
      <c r="L893" s="308"/>
      <c r="M893" s="308"/>
      <c r="N893" s="308"/>
      <c r="O893" s="308"/>
      <c r="P893" s="308"/>
      <c r="Q893" s="308"/>
      <c r="R893" s="308"/>
      <c r="S893" s="308"/>
      <c r="T893" s="308"/>
      <c r="U893" s="308"/>
      <c r="V893" s="308"/>
      <c r="W893" s="308"/>
      <c r="X893" s="308"/>
      <c r="Y893" s="308"/>
      <c r="Z893" s="308"/>
    </row>
    <row r="894" ht="15.75" customHeight="1">
      <c r="A894" s="308"/>
      <c r="B894" s="524"/>
      <c r="C894" s="308"/>
      <c r="D894" s="308"/>
      <c r="E894" s="308"/>
      <c r="F894" s="308"/>
      <c r="G894" s="308"/>
      <c r="H894" s="308"/>
      <c r="I894" s="308"/>
      <c r="J894" s="308"/>
      <c r="K894" s="308"/>
      <c r="L894" s="308"/>
      <c r="M894" s="308"/>
      <c r="N894" s="308"/>
      <c r="O894" s="308"/>
      <c r="P894" s="308"/>
      <c r="Q894" s="308"/>
      <c r="R894" s="308"/>
      <c r="S894" s="308"/>
      <c r="T894" s="308"/>
      <c r="U894" s="308"/>
      <c r="V894" s="308"/>
      <c r="W894" s="308"/>
      <c r="X894" s="308"/>
      <c r="Y894" s="308"/>
      <c r="Z894" s="308"/>
    </row>
    <row r="895" ht="15.75" customHeight="1">
      <c r="A895" s="308"/>
      <c r="B895" s="524"/>
      <c r="C895" s="308"/>
      <c r="D895" s="308"/>
      <c r="E895" s="308"/>
      <c r="F895" s="308"/>
      <c r="G895" s="308"/>
      <c r="H895" s="308"/>
      <c r="I895" s="308"/>
      <c r="J895" s="308"/>
      <c r="K895" s="308"/>
      <c r="L895" s="308"/>
      <c r="M895" s="308"/>
      <c r="N895" s="308"/>
      <c r="O895" s="308"/>
      <c r="P895" s="308"/>
      <c r="Q895" s="308"/>
      <c r="R895" s="308"/>
      <c r="S895" s="308"/>
      <c r="T895" s="308"/>
      <c r="U895" s="308"/>
      <c r="V895" s="308"/>
      <c r="W895" s="308"/>
      <c r="X895" s="308"/>
      <c r="Y895" s="308"/>
      <c r="Z895" s="308"/>
    </row>
    <row r="896" ht="15.75" customHeight="1">
      <c r="A896" s="308"/>
      <c r="B896" s="524"/>
      <c r="C896" s="308"/>
      <c r="D896" s="308"/>
      <c r="E896" s="308"/>
      <c r="F896" s="308"/>
      <c r="G896" s="308"/>
      <c r="H896" s="308"/>
      <c r="I896" s="308"/>
      <c r="J896" s="308"/>
      <c r="K896" s="308"/>
      <c r="L896" s="308"/>
      <c r="M896" s="308"/>
      <c r="N896" s="308"/>
      <c r="O896" s="308"/>
      <c r="P896" s="308"/>
      <c r="Q896" s="308"/>
      <c r="R896" s="308"/>
      <c r="S896" s="308"/>
      <c r="T896" s="308"/>
      <c r="U896" s="308"/>
      <c r="V896" s="308"/>
      <c r="W896" s="308"/>
      <c r="X896" s="308"/>
      <c r="Y896" s="308"/>
      <c r="Z896" s="308"/>
    </row>
    <row r="897" ht="15.75" customHeight="1">
      <c r="A897" s="308"/>
      <c r="B897" s="524"/>
      <c r="C897" s="308"/>
      <c r="D897" s="308"/>
      <c r="E897" s="308"/>
      <c r="F897" s="308"/>
      <c r="G897" s="308"/>
      <c r="H897" s="308"/>
      <c r="I897" s="308"/>
      <c r="J897" s="308"/>
      <c r="K897" s="308"/>
      <c r="L897" s="308"/>
      <c r="M897" s="308"/>
      <c r="N897" s="308"/>
      <c r="O897" s="308"/>
      <c r="P897" s="308"/>
      <c r="Q897" s="308"/>
      <c r="R897" s="308"/>
      <c r="S897" s="308"/>
      <c r="T897" s="308"/>
      <c r="U897" s="308"/>
      <c r="V897" s="308"/>
      <c r="W897" s="308"/>
      <c r="X897" s="308"/>
      <c r="Y897" s="308"/>
      <c r="Z897" s="308"/>
    </row>
    <row r="898" ht="15.75" customHeight="1">
      <c r="A898" s="308"/>
      <c r="B898" s="524"/>
      <c r="C898" s="308"/>
      <c r="D898" s="308"/>
      <c r="E898" s="308"/>
      <c r="F898" s="308"/>
      <c r="G898" s="308"/>
      <c r="H898" s="308"/>
      <c r="I898" s="308"/>
      <c r="J898" s="308"/>
      <c r="K898" s="308"/>
      <c r="L898" s="308"/>
      <c r="M898" s="308"/>
      <c r="N898" s="308"/>
      <c r="O898" s="308"/>
      <c r="P898" s="308"/>
      <c r="Q898" s="308"/>
      <c r="R898" s="308"/>
      <c r="S898" s="308"/>
      <c r="T898" s="308"/>
      <c r="U898" s="308"/>
      <c r="V898" s="308"/>
      <c r="W898" s="308"/>
      <c r="X898" s="308"/>
      <c r="Y898" s="308"/>
      <c r="Z898" s="308"/>
    </row>
    <row r="899" ht="15.75" customHeight="1">
      <c r="A899" s="308"/>
      <c r="B899" s="524"/>
      <c r="C899" s="308"/>
      <c r="D899" s="308"/>
      <c r="E899" s="308"/>
      <c r="F899" s="308"/>
      <c r="G899" s="308"/>
      <c r="H899" s="308"/>
      <c r="I899" s="308"/>
      <c r="J899" s="308"/>
      <c r="K899" s="308"/>
      <c r="L899" s="308"/>
      <c r="M899" s="308"/>
      <c r="N899" s="308"/>
      <c r="O899" s="308"/>
      <c r="P899" s="308"/>
      <c r="Q899" s="308"/>
      <c r="R899" s="308"/>
      <c r="S899" s="308"/>
      <c r="T899" s="308"/>
      <c r="U899" s="308"/>
      <c r="V899" s="308"/>
      <c r="W899" s="308"/>
      <c r="X899" s="308"/>
      <c r="Y899" s="308"/>
      <c r="Z899" s="308"/>
    </row>
    <row r="900" ht="15.75" customHeight="1">
      <c r="A900" s="308"/>
      <c r="B900" s="524"/>
      <c r="C900" s="308"/>
      <c r="D900" s="308"/>
      <c r="E900" s="308"/>
      <c r="F900" s="308"/>
      <c r="G900" s="308"/>
      <c r="H900" s="308"/>
      <c r="I900" s="308"/>
      <c r="J900" s="308"/>
      <c r="K900" s="308"/>
      <c r="L900" s="308"/>
      <c r="M900" s="308"/>
      <c r="N900" s="308"/>
      <c r="O900" s="308"/>
      <c r="P900" s="308"/>
      <c r="Q900" s="308"/>
      <c r="R900" s="308"/>
      <c r="S900" s="308"/>
      <c r="T900" s="308"/>
      <c r="U900" s="308"/>
      <c r="V900" s="308"/>
      <c r="W900" s="308"/>
      <c r="X900" s="308"/>
      <c r="Y900" s="308"/>
      <c r="Z900" s="308"/>
    </row>
    <row r="901" ht="15.75" customHeight="1">
      <c r="A901" s="308"/>
      <c r="B901" s="524"/>
      <c r="C901" s="308"/>
      <c r="D901" s="308"/>
      <c r="E901" s="308"/>
      <c r="F901" s="308"/>
      <c r="G901" s="308"/>
      <c r="H901" s="308"/>
      <c r="I901" s="308"/>
      <c r="J901" s="308"/>
      <c r="K901" s="308"/>
      <c r="L901" s="308"/>
      <c r="M901" s="308"/>
      <c r="N901" s="308"/>
      <c r="O901" s="308"/>
      <c r="P901" s="308"/>
      <c r="Q901" s="308"/>
      <c r="R901" s="308"/>
      <c r="S901" s="308"/>
      <c r="T901" s="308"/>
      <c r="U901" s="308"/>
      <c r="V901" s="308"/>
      <c r="W901" s="308"/>
      <c r="X901" s="308"/>
      <c r="Y901" s="308"/>
      <c r="Z901" s="308"/>
    </row>
    <row r="902" ht="15.75" customHeight="1">
      <c r="A902" s="308"/>
      <c r="B902" s="524"/>
      <c r="C902" s="308"/>
      <c r="D902" s="308"/>
      <c r="E902" s="308"/>
      <c r="F902" s="308"/>
      <c r="G902" s="308"/>
      <c r="H902" s="308"/>
      <c r="I902" s="308"/>
      <c r="J902" s="308"/>
      <c r="K902" s="308"/>
      <c r="L902" s="308"/>
      <c r="M902" s="308"/>
      <c r="N902" s="308"/>
      <c r="O902" s="308"/>
      <c r="P902" s="308"/>
      <c r="Q902" s="308"/>
      <c r="R902" s="308"/>
      <c r="S902" s="308"/>
      <c r="T902" s="308"/>
      <c r="U902" s="308"/>
      <c r="V902" s="308"/>
      <c r="W902" s="308"/>
      <c r="X902" s="308"/>
      <c r="Y902" s="308"/>
      <c r="Z902" s="308"/>
    </row>
    <row r="903" ht="15.75" customHeight="1">
      <c r="A903" s="308"/>
      <c r="B903" s="524"/>
      <c r="C903" s="308"/>
      <c r="D903" s="308"/>
      <c r="E903" s="308"/>
      <c r="F903" s="308"/>
      <c r="G903" s="308"/>
      <c r="H903" s="308"/>
      <c r="I903" s="308"/>
      <c r="J903" s="308"/>
      <c r="K903" s="308"/>
      <c r="L903" s="308"/>
      <c r="M903" s="308"/>
      <c r="N903" s="308"/>
      <c r="O903" s="308"/>
      <c r="P903" s="308"/>
      <c r="Q903" s="308"/>
      <c r="R903" s="308"/>
      <c r="S903" s="308"/>
      <c r="T903" s="308"/>
      <c r="U903" s="308"/>
      <c r="V903" s="308"/>
      <c r="W903" s="308"/>
      <c r="X903" s="308"/>
      <c r="Y903" s="308"/>
      <c r="Z903" s="308"/>
    </row>
    <row r="904" ht="15.75" customHeight="1">
      <c r="A904" s="308"/>
      <c r="B904" s="524"/>
      <c r="C904" s="308"/>
      <c r="D904" s="308"/>
      <c r="E904" s="308"/>
      <c r="F904" s="308"/>
      <c r="G904" s="308"/>
      <c r="H904" s="308"/>
      <c r="I904" s="308"/>
      <c r="J904" s="308"/>
      <c r="K904" s="308"/>
      <c r="L904" s="308"/>
      <c r="M904" s="308"/>
      <c r="N904" s="308"/>
      <c r="O904" s="308"/>
      <c r="P904" s="308"/>
      <c r="Q904" s="308"/>
      <c r="R904" s="308"/>
      <c r="S904" s="308"/>
      <c r="T904" s="308"/>
      <c r="U904" s="308"/>
      <c r="V904" s="308"/>
      <c r="W904" s="308"/>
      <c r="X904" s="308"/>
      <c r="Y904" s="308"/>
      <c r="Z904" s="308"/>
    </row>
    <row r="905" ht="15.75" customHeight="1">
      <c r="A905" s="308"/>
      <c r="B905" s="524"/>
      <c r="C905" s="308"/>
      <c r="D905" s="308"/>
      <c r="E905" s="308"/>
      <c r="F905" s="308"/>
      <c r="G905" s="308"/>
      <c r="H905" s="308"/>
      <c r="I905" s="308"/>
      <c r="J905" s="308"/>
      <c r="K905" s="308"/>
      <c r="L905" s="308"/>
      <c r="M905" s="308"/>
      <c r="N905" s="308"/>
      <c r="O905" s="308"/>
      <c r="P905" s="308"/>
      <c r="Q905" s="308"/>
      <c r="R905" s="308"/>
      <c r="S905" s="308"/>
      <c r="T905" s="308"/>
      <c r="U905" s="308"/>
      <c r="V905" s="308"/>
      <c r="W905" s="308"/>
      <c r="X905" s="308"/>
      <c r="Y905" s="308"/>
      <c r="Z905" s="308"/>
    </row>
    <row r="906" ht="15.75" customHeight="1">
      <c r="A906" s="308"/>
      <c r="B906" s="524"/>
      <c r="C906" s="308"/>
      <c r="D906" s="308"/>
      <c r="E906" s="308"/>
      <c r="F906" s="308"/>
      <c r="G906" s="308"/>
      <c r="H906" s="308"/>
      <c r="I906" s="308"/>
      <c r="J906" s="308"/>
      <c r="K906" s="308"/>
      <c r="L906" s="308"/>
      <c r="M906" s="308"/>
      <c r="N906" s="308"/>
      <c r="O906" s="308"/>
      <c r="P906" s="308"/>
      <c r="Q906" s="308"/>
      <c r="R906" s="308"/>
      <c r="S906" s="308"/>
      <c r="T906" s="308"/>
      <c r="U906" s="308"/>
      <c r="V906" s="308"/>
      <c r="W906" s="308"/>
      <c r="X906" s="308"/>
      <c r="Y906" s="308"/>
      <c r="Z906" s="308"/>
    </row>
    <row r="907" ht="15.75" customHeight="1">
      <c r="A907" s="308"/>
      <c r="B907" s="524"/>
      <c r="C907" s="308"/>
      <c r="D907" s="308"/>
      <c r="E907" s="308"/>
      <c r="F907" s="308"/>
      <c r="G907" s="308"/>
      <c r="H907" s="308"/>
      <c r="I907" s="308"/>
      <c r="J907" s="308"/>
      <c r="K907" s="308"/>
      <c r="L907" s="308"/>
      <c r="M907" s="308"/>
      <c r="N907" s="308"/>
      <c r="O907" s="308"/>
      <c r="P907" s="308"/>
      <c r="Q907" s="308"/>
      <c r="R907" s="308"/>
      <c r="S907" s="308"/>
      <c r="T907" s="308"/>
      <c r="U907" s="308"/>
      <c r="V907" s="308"/>
      <c r="W907" s="308"/>
      <c r="X907" s="308"/>
      <c r="Y907" s="308"/>
      <c r="Z907" s="308"/>
    </row>
    <row r="908" ht="15.75" customHeight="1">
      <c r="A908" s="308"/>
      <c r="B908" s="524"/>
      <c r="C908" s="308"/>
      <c r="D908" s="308"/>
      <c r="E908" s="308"/>
      <c r="F908" s="308"/>
      <c r="G908" s="308"/>
      <c r="H908" s="308"/>
      <c r="I908" s="308"/>
      <c r="J908" s="308"/>
      <c r="K908" s="308"/>
      <c r="L908" s="308"/>
      <c r="M908" s="308"/>
      <c r="N908" s="308"/>
      <c r="O908" s="308"/>
      <c r="P908" s="308"/>
      <c r="Q908" s="308"/>
      <c r="R908" s="308"/>
      <c r="S908" s="308"/>
      <c r="T908" s="308"/>
      <c r="U908" s="308"/>
      <c r="V908" s="308"/>
      <c r="W908" s="308"/>
      <c r="X908" s="308"/>
      <c r="Y908" s="308"/>
      <c r="Z908" s="308"/>
    </row>
    <row r="909" ht="15.75" customHeight="1">
      <c r="A909" s="308"/>
      <c r="B909" s="524"/>
      <c r="C909" s="308"/>
      <c r="D909" s="308"/>
      <c r="E909" s="308"/>
      <c r="F909" s="308"/>
      <c r="G909" s="308"/>
      <c r="H909" s="308"/>
      <c r="I909" s="308"/>
      <c r="J909" s="308"/>
      <c r="K909" s="308"/>
      <c r="L909" s="308"/>
      <c r="M909" s="308"/>
      <c r="N909" s="308"/>
      <c r="O909" s="308"/>
      <c r="P909" s="308"/>
      <c r="Q909" s="308"/>
      <c r="R909" s="308"/>
      <c r="S909" s="308"/>
      <c r="T909" s="308"/>
      <c r="U909" s="308"/>
      <c r="V909" s="308"/>
      <c r="W909" s="308"/>
      <c r="X909" s="308"/>
      <c r="Y909" s="308"/>
      <c r="Z909" s="308"/>
    </row>
    <row r="910" ht="15.75" customHeight="1">
      <c r="A910" s="308"/>
      <c r="B910" s="524"/>
      <c r="C910" s="308"/>
      <c r="D910" s="308"/>
      <c r="E910" s="308"/>
      <c r="F910" s="308"/>
      <c r="G910" s="308"/>
      <c r="H910" s="308"/>
      <c r="I910" s="308"/>
      <c r="J910" s="308"/>
      <c r="K910" s="308"/>
      <c r="L910" s="308"/>
      <c r="M910" s="308"/>
      <c r="N910" s="308"/>
      <c r="O910" s="308"/>
      <c r="P910" s="308"/>
      <c r="Q910" s="308"/>
      <c r="R910" s="308"/>
      <c r="S910" s="308"/>
      <c r="T910" s="308"/>
      <c r="U910" s="308"/>
      <c r="V910" s="308"/>
      <c r="W910" s="308"/>
      <c r="X910" s="308"/>
      <c r="Y910" s="308"/>
      <c r="Z910" s="308"/>
    </row>
    <row r="911" ht="15.75" customHeight="1">
      <c r="A911" s="308"/>
      <c r="B911" s="524"/>
      <c r="C911" s="308"/>
      <c r="D911" s="308"/>
      <c r="E911" s="308"/>
      <c r="F911" s="308"/>
      <c r="G911" s="308"/>
      <c r="H911" s="308"/>
      <c r="I911" s="308"/>
      <c r="J911" s="308"/>
      <c r="K911" s="308"/>
      <c r="L911" s="308"/>
      <c r="M911" s="308"/>
      <c r="N911" s="308"/>
      <c r="O911" s="308"/>
      <c r="P911" s="308"/>
      <c r="Q911" s="308"/>
      <c r="R911" s="308"/>
      <c r="S911" s="308"/>
      <c r="T911" s="308"/>
      <c r="U911" s="308"/>
      <c r="V911" s="308"/>
      <c r="W911" s="308"/>
      <c r="X911" s="308"/>
      <c r="Y911" s="308"/>
      <c r="Z911" s="308"/>
    </row>
    <row r="912" ht="15.75" customHeight="1">
      <c r="A912" s="308"/>
      <c r="B912" s="524"/>
      <c r="C912" s="308"/>
      <c r="D912" s="308"/>
      <c r="E912" s="308"/>
      <c r="F912" s="308"/>
      <c r="G912" s="308"/>
      <c r="H912" s="308"/>
      <c r="I912" s="308"/>
      <c r="J912" s="308"/>
      <c r="K912" s="308"/>
      <c r="L912" s="308"/>
      <c r="M912" s="308"/>
      <c r="N912" s="308"/>
      <c r="O912" s="308"/>
      <c r="P912" s="308"/>
      <c r="Q912" s="308"/>
      <c r="R912" s="308"/>
      <c r="S912" s="308"/>
      <c r="T912" s="308"/>
      <c r="U912" s="308"/>
      <c r="V912" s="308"/>
      <c r="W912" s="308"/>
      <c r="X912" s="308"/>
      <c r="Y912" s="308"/>
      <c r="Z912" s="308"/>
    </row>
    <row r="913" ht="15.75" customHeight="1">
      <c r="A913" s="308"/>
      <c r="B913" s="524"/>
      <c r="C913" s="308"/>
      <c r="D913" s="308"/>
      <c r="E913" s="308"/>
      <c r="F913" s="308"/>
      <c r="G913" s="308"/>
      <c r="H913" s="308"/>
      <c r="I913" s="308"/>
      <c r="J913" s="308"/>
      <c r="K913" s="308"/>
      <c r="L913" s="308"/>
      <c r="M913" s="308"/>
      <c r="N913" s="308"/>
      <c r="O913" s="308"/>
      <c r="P913" s="308"/>
      <c r="Q913" s="308"/>
      <c r="R913" s="308"/>
      <c r="S913" s="308"/>
      <c r="T913" s="308"/>
      <c r="U913" s="308"/>
      <c r="V913" s="308"/>
      <c r="W913" s="308"/>
      <c r="X913" s="308"/>
      <c r="Y913" s="308"/>
      <c r="Z913" s="308"/>
    </row>
    <row r="914" ht="15.75" customHeight="1">
      <c r="A914" s="308"/>
      <c r="B914" s="524"/>
      <c r="C914" s="308"/>
      <c r="D914" s="308"/>
      <c r="E914" s="308"/>
      <c r="F914" s="308"/>
      <c r="G914" s="308"/>
      <c r="H914" s="308"/>
      <c r="I914" s="308"/>
      <c r="J914" s="308"/>
      <c r="K914" s="308"/>
      <c r="L914" s="308"/>
      <c r="M914" s="308"/>
      <c r="N914" s="308"/>
      <c r="O914" s="308"/>
      <c r="P914" s="308"/>
      <c r="Q914" s="308"/>
      <c r="R914" s="308"/>
      <c r="S914" s="308"/>
      <c r="T914" s="308"/>
      <c r="U914" s="308"/>
      <c r="V914" s="308"/>
      <c r="W914" s="308"/>
      <c r="X914" s="308"/>
      <c r="Y914" s="308"/>
      <c r="Z914" s="308"/>
    </row>
    <row r="915" ht="15.75" customHeight="1">
      <c r="A915" s="308"/>
      <c r="B915" s="524"/>
      <c r="C915" s="308"/>
      <c r="D915" s="308"/>
      <c r="E915" s="308"/>
      <c r="F915" s="308"/>
      <c r="G915" s="308"/>
      <c r="H915" s="308"/>
      <c r="I915" s="308"/>
      <c r="J915" s="308"/>
      <c r="K915" s="308"/>
      <c r="L915" s="308"/>
      <c r="M915" s="308"/>
      <c r="N915" s="308"/>
      <c r="O915" s="308"/>
      <c r="P915" s="308"/>
      <c r="Q915" s="308"/>
      <c r="R915" s="308"/>
      <c r="S915" s="308"/>
      <c r="T915" s="308"/>
      <c r="U915" s="308"/>
      <c r="V915" s="308"/>
      <c r="W915" s="308"/>
      <c r="X915" s="308"/>
      <c r="Y915" s="308"/>
      <c r="Z915" s="308"/>
    </row>
    <row r="916" ht="15.75" customHeight="1">
      <c r="A916" s="308"/>
      <c r="B916" s="524"/>
      <c r="C916" s="308"/>
      <c r="D916" s="308"/>
      <c r="E916" s="308"/>
      <c r="F916" s="308"/>
      <c r="G916" s="308"/>
      <c r="H916" s="308"/>
      <c r="I916" s="308"/>
      <c r="J916" s="308"/>
      <c r="K916" s="308"/>
      <c r="L916" s="308"/>
      <c r="M916" s="308"/>
      <c r="N916" s="308"/>
      <c r="O916" s="308"/>
      <c r="P916" s="308"/>
      <c r="Q916" s="308"/>
      <c r="R916" s="308"/>
      <c r="S916" s="308"/>
      <c r="T916" s="308"/>
      <c r="U916" s="308"/>
      <c r="V916" s="308"/>
      <c r="W916" s="308"/>
      <c r="X916" s="308"/>
      <c r="Y916" s="308"/>
      <c r="Z916" s="308"/>
    </row>
    <row r="917" ht="15.75" customHeight="1">
      <c r="A917" s="308"/>
      <c r="B917" s="524"/>
      <c r="C917" s="308"/>
      <c r="D917" s="308"/>
      <c r="E917" s="308"/>
      <c r="F917" s="308"/>
      <c r="G917" s="308"/>
      <c r="H917" s="308"/>
      <c r="I917" s="308"/>
      <c r="J917" s="308"/>
      <c r="K917" s="308"/>
      <c r="L917" s="308"/>
      <c r="M917" s="308"/>
      <c r="N917" s="308"/>
      <c r="O917" s="308"/>
      <c r="P917" s="308"/>
      <c r="Q917" s="308"/>
      <c r="R917" s="308"/>
      <c r="S917" s="308"/>
      <c r="T917" s="308"/>
      <c r="U917" s="308"/>
      <c r="V917" s="308"/>
      <c r="W917" s="308"/>
      <c r="X917" s="308"/>
      <c r="Y917" s="308"/>
      <c r="Z917" s="308"/>
    </row>
    <row r="918" ht="15.75" customHeight="1">
      <c r="A918" s="308"/>
      <c r="B918" s="524"/>
      <c r="C918" s="308"/>
      <c r="D918" s="308"/>
      <c r="E918" s="308"/>
      <c r="F918" s="308"/>
      <c r="G918" s="308"/>
      <c r="H918" s="308"/>
      <c r="I918" s="308"/>
      <c r="J918" s="308"/>
      <c r="K918" s="308"/>
      <c r="L918" s="308"/>
      <c r="M918" s="308"/>
      <c r="N918" s="308"/>
      <c r="O918" s="308"/>
      <c r="P918" s="308"/>
      <c r="Q918" s="308"/>
      <c r="R918" s="308"/>
      <c r="S918" s="308"/>
      <c r="T918" s="308"/>
      <c r="U918" s="308"/>
      <c r="V918" s="308"/>
      <c r="W918" s="308"/>
      <c r="X918" s="308"/>
      <c r="Y918" s="308"/>
      <c r="Z918" s="308"/>
    </row>
    <row r="919" ht="15.75" customHeight="1">
      <c r="A919" s="308"/>
      <c r="B919" s="524"/>
      <c r="C919" s="308"/>
      <c r="D919" s="308"/>
      <c r="E919" s="308"/>
      <c r="F919" s="308"/>
      <c r="G919" s="308"/>
      <c r="H919" s="308"/>
      <c r="I919" s="308"/>
      <c r="J919" s="308"/>
      <c r="K919" s="308"/>
      <c r="L919" s="308"/>
      <c r="M919" s="308"/>
      <c r="N919" s="308"/>
      <c r="O919" s="308"/>
      <c r="P919" s="308"/>
      <c r="Q919" s="308"/>
      <c r="R919" s="308"/>
      <c r="S919" s="308"/>
      <c r="T919" s="308"/>
      <c r="U919" s="308"/>
      <c r="V919" s="308"/>
      <c r="W919" s="308"/>
      <c r="X919" s="308"/>
      <c r="Y919" s="308"/>
      <c r="Z919" s="308"/>
    </row>
    <row r="920" ht="15.75" customHeight="1">
      <c r="A920" s="308"/>
      <c r="B920" s="524"/>
      <c r="C920" s="308"/>
      <c r="D920" s="308"/>
      <c r="E920" s="308"/>
      <c r="F920" s="308"/>
      <c r="G920" s="308"/>
      <c r="H920" s="308"/>
      <c r="I920" s="308"/>
      <c r="J920" s="308"/>
      <c r="K920" s="308"/>
      <c r="L920" s="308"/>
      <c r="M920" s="308"/>
      <c r="N920" s="308"/>
      <c r="O920" s="308"/>
      <c r="P920" s="308"/>
      <c r="Q920" s="308"/>
      <c r="R920" s="308"/>
      <c r="S920" s="308"/>
      <c r="T920" s="308"/>
      <c r="U920" s="308"/>
      <c r="V920" s="308"/>
      <c r="W920" s="308"/>
      <c r="X920" s="308"/>
      <c r="Y920" s="308"/>
      <c r="Z920" s="308"/>
    </row>
    <row r="921" ht="15.75" customHeight="1">
      <c r="A921" s="308"/>
      <c r="B921" s="524"/>
      <c r="C921" s="308"/>
      <c r="D921" s="308"/>
      <c r="E921" s="308"/>
      <c r="F921" s="308"/>
      <c r="G921" s="308"/>
      <c r="H921" s="308"/>
      <c r="I921" s="308"/>
      <c r="J921" s="308"/>
      <c r="K921" s="308"/>
      <c r="L921" s="308"/>
      <c r="M921" s="308"/>
      <c r="N921" s="308"/>
      <c r="O921" s="308"/>
      <c r="P921" s="308"/>
      <c r="Q921" s="308"/>
      <c r="R921" s="308"/>
      <c r="S921" s="308"/>
      <c r="T921" s="308"/>
      <c r="U921" s="308"/>
      <c r="V921" s="308"/>
      <c r="W921" s="308"/>
      <c r="X921" s="308"/>
      <c r="Y921" s="308"/>
      <c r="Z921" s="308"/>
    </row>
    <row r="922" ht="15.75" customHeight="1">
      <c r="A922" s="308"/>
      <c r="B922" s="524"/>
      <c r="C922" s="308"/>
      <c r="D922" s="308"/>
      <c r="E922" s="308"/>
      <c r="F922" s="308"/>
      <c r="G922" s="308"/>
      <c r="H922" s="308"/>
      <c r="I922" s="308"/>
      <c r="J922" s="308"/>
      <c r="K922" s="308"/>
      <c r="L922" s="308"/>
      <c r="M922" s="308"/>
      <c r="N922" s="308"/>
      <c r="O922" s="308"/>
      <c r="P922" s="308"/>
      <c r="Q922" s="308"/>
      <c r="R922" s="308"/>
      <c r="S922" s="308"/>
      <c r="T922" s="308"/>
      <c r="U922" s="308"/>
      <c r="V922" s="308"/>
      <c r="W922" s="308"/>
      <c r="X922" s="308"/>
      <c r="Y922" s="308"/>
      <c r="Z922" s="308"/>
    </row>
    <row r="923" ht="15.75" customHeight="1">
      <c r="A923" s="308"/>
      <c r="B923" s="524"/>
      <c r="C923" s="308"/>
      <c r="D923" s="308"/>
      <c r="E923" s="308"/>
      <c r="F923" s="308"/>
      <c r="G923" s="308"/>
      <c r="H923" s="308"/>
      <c r="I923" s="308"/>
      <c r="J923" s="308"/>
      <c r="K923" s="308"/>
      <c r="L923" s="308"/>
      <c r="M923" s="308"/>
      <c r="N923" s="308"/>
      <c r="O923" s="308"/>
      <c r="P923" s="308"/>
      <c r="Q923" s="308"/>
      <c r="R923" s="308"/>
      <c r="S923" s="308"/>
      <c r="T923" s="308"/>
      <c r="U923" s="308"/>
      <c r="V923" s="308"/>
      <c r="W923" s="308"/>
      <c r="X923" s="308"/>
      <c r="Y923" s="308"/>
      <c r="Z923" s="308"/>
    </row>
    <row r="924" ht="15.75" customHeight="1">
      <c r="A924" s="308"/>
      <c r="B924" s="524"/>
      <c r="C924" s="308"/>
      <c r="D924" s="308"/>
      <c r="E924" s="308"/>
      <c r="F924" s="308"/>
      <c r="G924" s="308"/>
      <c r="H924" s="308"/>
      <c r="I924" s="308"/>
      <c r="J924" s="308"/>
      <c r="K924" s="308"/>
      <c r="L924" s="308"/>
      <c r="M924" s="308"/>
      <c r="N924" s="308"/>
      <c r="O924" s="308"/>
      <c r="P924" s="308"/>
      <c r="Q924" s="308"/>
      <c r="R924" s="308"/>
      <c r="S924" s="308"/>
      <c r="T924" s="308"/>
      <c r="U924" s="308"/>
      <c r="V924" s="308"/>
      <c r="W924" s="308"/>
      <c r="X924" s="308"/>
      <c r="Y924" s="308"/>
      <c r="Z924" s="308"/>
    </row>
    <row r="925" ht="15.75" customHeight="1">
      <c r="A925" s="308"/>
      <c r="B925" s="524"/>
      <c r="C925" s="308"/>
      <c r="D925" s="308"/>
      <c r="E925" s="308"/>
      <c r="F925" s="308"/>
      <c r="G925" s="308"/>
      <c r="H925" s="308"/>
      <c r="I925" s="308"/>
      <c r="J925" s="308"/>
      <c r="K925" s="308"/>
      <c r="L925" s="308"/>
      <c r="M925" s="308"/>
      <c r="N925" s="308"/>
      <c r="O925" s="308"/>
      <c r="P925" s="308"/>
      <c r="Q925" s="308"/>
      <c r="R925" s="308"/>
      <c r="S925" s="308"/>
      <c r="T925" s="308"/>
      <c r="U925" s="308"/>
      <c r="V925" s="308"/>
      <c r="W925" s="308"/>
      <c r="X925" s="308"/>
      <c r="Y925" s="308"/>
      <c r="Z925" s="308"/>
    </row>
    <row r="926" ht="15.75" customHeight="1">
      <c r="A926" s="308"/>
      <c r="B926" s="524"/>
      <c r="C926" s="308"/>
      <c r="D926" s="308"/>
      <c r="E926" s="308"/>
      <c r="F926" s="308"/>
      <c r="G926" s="308"/>
      <c r="H926" s="308"/>
      <c r="I926" s="308"/>
      <c r="J926" s="308"/>
      <c r="K926" s="308"/>
      <c r="L926" s="308"/>
      <c r="M926" s="308"/>
      <c r="N926" s="308"/>
      <c r="O926" s="308"/>
      <c r="P926" s="308"/>
      <c r="Q926" s="308"/>
      <c r="R926" s="308"/>
      <c r="S926" s="308"/>
      <c r="T926" s="308"/>
      <c r="U926" s="308"/>
      <c r="V926" s="308"/>
      <c r="W926" s="308"/>
      <c r="X926" s="308"/>
      <c r="Y926" s="308"/>
      <c r="Z926" s="308"/>
    </row>
    <row r="927" ht="15.75" customHeight="1">
      <c r="A927" s="308"/>
      <c r="B927" s="524"/>
      <c r="C927" s="308"/>
      <c r="D927" s="308"/>
      <c r="E927" s="308"/>
      <c r="F927" s="308"/>
      <c r="G927" s="308"/>
      <c r="H927" s="308"/>
      <c r="I927" s="308"/>
      <c r="J927" s="308"/>
      <c r="K927" s="308"/>
      <c r="L927" s="308"/>
      <c r="M927" s="308"/>
      <c r="N927" s="308"/>
      <c r="O927" s="308"/>
      <c r="P927" s="308"/>
      <c r="Q927" s="308"/>
      <c r="R927" s="308"/>
      <c r="S927" s="308"/>
      <c r="T927" s="308"/>
      <c r="U927" s="308"/>
      <c r="V927" s="308"/>
      <c r="W927" s="308"/>
      <c r="X927" s="308"/>
      <c r="Y927" s="308"/>
      <c r="Z927" s="308"/>
    </row>
    <row r="928" ht="15.75" customHeight="1">
      <c r="A928" s="308"/>
      <c r="B928" s="524"/>
      <c r="C928" s="308"/>
      <c r="D928" s="308"/>
      <c r="E928" s="308"/>
      <c r="F928" s="308"/>
      <c r="G928" s="308"/>
      <c r="H928" s="308"/>
      <c r="I928" s="308"/>
      <c r="J928" s="308"/>
      <c r="K928" s="308"/>
      <c r="L928" s="308"/>
      <c r="M928" s="308"/>
      <c r="N928" s="308"/>
      <c r="O928" s="308"/>
      <c r="P928" s="308"/>
      <c r="Q928" s="308"/>
      <c r="R928" s="308"/>
      <c r="S928" s="308"/>
      <c r="T928" s="308"/>
      <c r="U928" s="308"/>
      <c r="V928" s="308"/>
      <c r="W928" s="308"/>
      <c r="X928" s="308"/>
      <c r="Y928" s="308"/>
      <c r="Z928" s="308"/>
    </row>
    <row r="929" ht="15.75" customHeight="1">
      <c r="A929" s="308"/>
      <c r="B929" s="524"/>
      <c r="C929" s="308"/>
      <c r="D929" s="308"/>
      <c r="E929" s="308"/>
      <c r="F929" s="308"/>
      <c r="G929" s="308"/>
      <c r="H929" s="308"/>
      <c r="I929" s="308"/>
      <c r="J929" s="308"/>
      <c r="K929" s="308"/>
      <c r="L929" s="308"/>
      <c r="M929" s="308"/>
      <c r="N929" s="308"/>
      <c r="O929" s="308"/>
      <c r="P929" s="308"/>
      <c r="Q929" s="308"/>
      <c r="R929" s="308"/>
      <c r="S929" s="308"/>
      <c r="T929" s="308"/>
      <c r="U929" s="308"/>
      <c r="V929" s="308"/>
      <c r="W929" s="308"/>
      <c r="X929" s="308"/>
      <c r="Y929" s="308"/>
      <c r="Z929" s="308"/>
    </row>
    <row r="930" ht="15.75" customHeight="1">
      <c r="A930" s="308"/>
      <c r="B930" s="524"/>
      <c r="C930" s="308"/>
      <c r="D930" s="308"/>
      <c r="E930" s="308"/>
      <c r="F930" s="308"/>
      <c r="G930" s="308"/>
      <c r="H930" s="308"/>
      <c r="I930" s="308"/>
      <c r="J930" s="308"/>
      <c r="K930" s="308"/>
      <c r="L930" s="308"/>
      <c r="M930" s="308"/>
      <c r="N930" s="308"/>
      <c r="O930" s="308"/>
      <c r="P930" s="308"/>
      <c r="Q930" s="308"/>
      <c r="R930" s="308"/>
      <c r="S930" s="308"/>
      <c r="T930" s="308"/>
      <c r="U930" s="308"/>
      <c r="V930" s="308"/>
      <c r="W930" s="308"/>
      <c r="X930" s="308"/>
      <c r="Y930" s="308"/>
      <c r="Z930" s="308"/>
    </row>
    <row r="931" ht="15.75" customHeight="1">
      <c r="A931" s="308"/>
      <c r="B931" s="524"/>
      <c r="C931" s="308"/>
      <c r="D931" s="308"/>
      <c r="E931" s="308"/>
      <c r="F931" s="308"/>
      <c r="G931" s="308"/>
      <c r="H931" s="308"/>
      <c r="I931" s="308"/>
      <c r="J931" s="308"/>
      <c r="K931" s="308"/>
      <c r="L931" s="308"/>
      <c r="M931" s="308"/>
      <c r="N931" s="308"/>
      <c r="O931" s="308"/>
      <c r="P931" s="308"/>
      <c r="Q931" s="308"/>
      <c r="R931" s="308"/>
      <c r="S931" s="308"/>
      <c r="T931" s="308"/>
      <c r="U931" s="308"/>
      <c r="V931" s="308"/>
      <c r="W931" s="308"/>
      <c r="X931" s="308"/>
      <c r="Y931" s="308"/>
      <c r="Z931" s="308"/>
    </row>
    <row r="932" ht="15.75" customHeight="1">
      <c r="A932" s="308"/>
      <c r="B932" s="524"/>
      <c r="C932" s="308"/>
      <c r="D932" s="308"/>
      <c r="E932" s="308"/>
      <c r="F932" s="308"/>
      <c r="G932" s="308"/>
      <c r="H932" s="308"/>
      <c r="I932" s="308"/>
      <c r="J932" s="308"/>
      <c r="K932" s="308"/>
      <c r="L932" s="308"/>
      <c r="M932" s="308"/>
      <c r="N932" s="308"/>
      <c r="O932" s="308"/>
      <c r="P932" s="308"/>
      <c r="Q932" s="308"/>
      <c r="R932" s="308"/>
      <c r="S932" s="308"/>
      <c r="T932" s="308"/>
      <c r="U932" s="308"/>
      <c r="V932" s="308"/>
      <c r="W932" s="308"/>
      <c r="X932" s="308"/>
      <c r="Y932" s="308"/>
      <c r="Z932" s="308"/>
    </row>
    <row r="933" ht="15.75" customHeight="1">
      <c r="A933" s="308"/>
      <c r="B933" s="524"/>
      <c r="C933" s="308"/>
      <c r="D933" s="308"/>
      <c r="E933" s="308"/>
      <c r="F933" s="308"/>
      <c r="G933" s="308"/>
      <c r="H933" s="308"/>
      <c r="I933" s="308"/>
      <c r="J933" s="308"/>
      <c r="K933" s="308"/>
      <c r="L933" s="308"/>
      <c r="M933" s="308"/>
      <c r="N933" s="308"/>
      <c r="O933" s="308"/>
      <c r="P933" s="308"/>
      <c r="Q933" s="308"/>
      <c r="R933" s="308"/>
      <c r="S933" s="308"/>
      <c r="T933" s="308"/>
      <c r="U933" s="308"/>
      <c r="V933" s="308"/>
      <c r="W933" s="308"/>
      <c r="X933" s="308"/>
      <c r="Y933" s="308"/>
      <c r="Z933" s="308"/>
    </row>
    <row r="934" ht="15.75" customHeight="1">
      <c r="A934" s="308"/>
      <c r="B934" s="524"/>
      <c r="C934" s="308"/>
      <c r="D934" s="308"/>
      <c r="E934" s="308"/>
      <c r="F934" s="308"/>
      <c r="G934" s="308"/>
      <c r="H934" s="308"/>
      <c r="I934" s="308"/>
      <c r="J934" s="308"/>
      <c r="K934" s="308"/>
      <c r="L934" s="308"/>
      <c r="M934" s="308"/>
      <c r="N934" s="308"/>
      <c r="O934" s="308"/>
      <c r="P934" s="308"/>
      <c r="Q934" s="308"/>
      <c r="R934" s="308"/>
      <c r="S934" s="308"/>
      <c r="T934" s="308"/>
      <c r="U934" s="308"/>
      <c r="V934" s="308"/>
      <c r="W934" s="308"/>
      <c r="X934" s="308"/>
      <c r="Y934" s="308"/>
      <c r="Z934" s="308"/>
    </row>
    <row r="935" ht="15.75" customHeight="1">
      <c r="A935" s="308"/>
      <c r="B935" s="524"/>
      <c r="C935" s="308"/>
      <c r="D935" s="308"/>
      <c r="E935" s="308"/>
      <c r="F935" s="308"/>
      <c r="G935" s="308"/>
      <c r="H935" s="308"/>
      <c r="I935" s="308"/>
      <c r="J935" s="308"/>
      <c r="K935" s="308"/>
      <c r="L935" s="308"/>
      <c r="M935" s="308"/>
      <c r="N935" s="308"/>
      <c r="O935" s="308"/>
      <c r="P935" s="308"/>
      <c r="Q935" s="308"/>
      <c r="R935" s="308"/>
      <c r="S935" s="308"/>
      <c r="T935" s="308"/>
      <c r="U935" s="308"/>
      <c r="V935" s="308"/>
      <c r="W935" s="308"/>
      <c r="X935" s="308"/>
      <c r="Y935" s="308"/>
      <c r="Z935" s="308"/>
    </row>
    <row r="936" ht="15.75" customHeight="1">
      <c r="A936" s="308"/>
      <c r="B936" s="524"/>
      <c r="C936" s="308"/>
      <c r="D936" s="308"/>
      <c r="E936" s="308"/>
      <c r="F936" s="308"/>
      <c r="G936" s="308"/>
      <c r="H936" s="308"/>
      <c r="I936" s="308"/>
      <c r="J936" s="308"/>
      <c r="K936" s="308"/>
      <c r="L936" s="308"/>
      <c r="M936" s="308"/>
      <c r="N936" s="308"/>
      <c r="O936" s="308"/>
      <c r="P936" s="308"/>
      <c r="Q936" s="308"/>
      <c r="R936" s="308"/>
      <c r="S936" s="308"/>
      <c r="T936" s="308"/>
      <c r="U936" s="308"/>
      <c r="V936" s="308"/>
      <c r="W936" s="308"/>
      <c r="X936" s="308"/>
      <c r="Y936" s="308"/>
      <c r="Z936" s="308"/>
    </row>
    <row r="937" ht="15.75" customHeight="1">
      <c r="A937" s="308"/>
      <c r="B937" s="524"/>
      <c r="C937" s="308"/>
      <c r="D937" s="308"/>
      <c r="E937" s="308"/>
      <c r="F937" s="308"/>
      <c r="G937" s="308"/>
      <c r="H937" s="308"/>
      <c r="I937" s="308"/>
      <c r="J937" s="308"/>
      <c r="K937" s="308"/>
      <c r="L937" s="308"/>
      <c r="M937" s="308"/>
      <c r="N937" s="308"/>
      <c r="O937" s="308"/>
      <c r="P937" s="308"/>
      <c r="Q937" s="308"/>
      <c r="R937" s="308"/>
      <c r="S937" s="308"/>
      <c r="T937" s="308"/>
      <c r="U937" s="308"/>
      <c r="V937" s="308"/>
      <c r="W937" s="308"/>
      <c r="X937" s="308"/>
      <c r="Y937" s="308"/>
      <c r="Z937" s="308"/>
    </row>
    <row r="938" ht="15.75" customHeight="1">
      <c r="A938" s="308"/>
      <c r="B938" s="524"/>
      <c r="C938" s="308"/>
      <c r="D938" s="308"/>
      <c r="E938" s="308"/>
      <c r="F938" s="308"/>
      <c r="G938" s="308"/>
      <c r="H938" s="308"/>
      <c r="I938" s="308"/>
      <c r="J938" s="308"/>
      <c r="K938" s="308"/>
      <c r="L938" s="308"/>
      <c r="M938" s="308"/>
      <c r="N938" s="308"/>
      <c r="O938" s="308"/>
      <c r="P938" s="308"/>
      <c r="Q938" s="308"/>
      <c r="R938" s="308"/>
      <c r="S938" s="308"/>
      <c r="T938" s="308"/>
      <c r="U938" s="308"/>
      <c r="V938" s="308"/>
      <c r="W938" s="308"/>
      <c r="X938" s="308"/>
      <c r="Y938" s="308"/>
      <c r="Z938" s="308"/>
    </row>
    <row r="939" ht="15.75" customHeight="1">
      <c r="A939" s="308"/>
      <c r="B939" s="524"/>
      <c r="C939" s="308"/>
      <c r="D939" s="308"/>
      <c r="E939" s="308"/>
      <c r="F939" s="308"/>
      <c r="G939" s="308"/>
      <c r="H939" s="308"/>
      <c r="I939" s="308"/>
      <c r="J939" s="308"/>
      <c r="K939" s="308"/>
      <c r="L939" s="308"/>
      <c r="M939" s="308"/>
      <c r="N939" s="308"/>
      <c r="O939" s="308"/>
      <c r="P939" s="308"/>
      <c r="Q939" s="308"/>
      <c r="R939" s="308"/>
      <c r="S939" s="308"/>
      <c r="T939" s="308"/>
      <c r="U939" s="308"/>
      <c r="V939" s="308"/>
      <c r="W939" s="308"/>
      <c r="X939" s="308"/>
      <c r="Y939" s="308"/>
      <c r="Z939" s="308"/>
    </row>
    <row r="940" ht="15.75" customHeight="1">
      <c r="A940" s="308"/>
      <c r="B940" s="524"/>
      <c r="C940" s="308"/>
      <c r="D940" s="308"/>
      <c r="E940" s="308"/>
      <c r="F940" s="308"/>
      <c r="G940" s="308"/>
      <c r="H940" s="308"/>
      <c r="I940" s="308"/>
      <c r="J940" s="308"/>
      <c r="K940" s="308"/>
      <c r="L940" s="308"/>
      <c r="M940" s="308"/>
      <c r="N940" s="308"/>
      <c r="O940" s="308"/>
      <c r="P940" s="308"/>
      <c r="Q940" s="308"/>
      <c r="R940" s="308"/>
      <c r="S940" s="308"/>
      <c r="T940" s="308"/>
      <c r="U940" s="308"/>
      <c r="V940" s="308"/>
      <c r="W940" s="308"/>
      <c r="X940" s="308"/>
      <c r="Y940" s="308"/>
      <c r="Z940" s="308"/>
    </row>
    <row r="941" ht="15.75" customHeight="1">
      <c r="A941" s="308"/>
      <c r="B941" s="524"/>
      <c r="C941" s="308"/>
      <c r="D941" s="308"/>
      <c r="E941" s="308"/>
      <c r="F941" s="308"/>
      <c r="G941" s="308"/>
      <c r="H941" s="308"/>
      <c r="I941" s="308"/>
      <c r="J941" s="308"/>
      <c r="K941" s="308"/>
      <c r="L941" s="308"/>
      <c r="M941" s="308"/>
      <c r="N941" s="308"/>
      <c r="O941" s="308"/>
      <c r="P941" s="308"/>
      <c r="Q941" s="308"/>
      <c r="R941" s="308"/>
      <c r="S941" s="308"/>
      <c r="T941" s="308"/>
      <c r="U941" s="308"/>
      <c r="V941" s="308"/>
      <c r="W941" s="308"/>
      <c r="X941" s="308"/>
      <c r="Y941" s="308"/>
      <c r="Z941" s="308"/>
    </row>
    <row r="942" ht="15.75" customHeight="1">
      <c r="A942" s="308"/>
      <c r="B942" s="524"/>
      <c r="C942" s="308"/>
      <c r="D942" s="308"/>
      <c r="E942" s="308"/>
      <c r="F942" s="308"/>
      <c r="G942" s="308"/>
      <c r="H942" s="308"/>
      <c r="I942" s="308"/>
      <c r="J942" s="308"/>
      <c r="K942" s="308"/>
      <c r="L942" s="308"/>
      <c r="M942" s="308"/>
      <c r="N942" s="308"/>
      <c r="O942" s="308"/>
      <c r="P942" s="308"/>
      <c r="Q942" s="308"/>
      <c r="R942" s="308"/>
      <c r="S942" s="308"/>
      <c r="T942" s="308"/>
      <c r="U942" s="308"/>
      <c r="V942" s="308"/>
      <c r="W942" s="308"/>
      <c r="X942" s="308"/>
      <c r="Y942" s="308"/>
      <c r="Z942" s="308"/>
    </row>
    <row r="943" ht="15.75" customHeight="1">
      <c r="A943" s="308"/>
      <c r="B943" s="524"/>
      <c r="C943" s="308"/>
      <c r="D943" s="308"/>
      <c r="E943" s="308"/>
      <c r="F943" s="308"/>
      <c r="G943" s="308"/>
      <c r="H943" s="308"/>
      <c r="I943" s="308"/>
      <c r="J943" s="308"/>
      <c r="K943" s="308"/>
      <c r="L943" s="308"/>
      <c r="M943" s="308"/>
      <c r="N943" s="308"/>
      <c r="O943" s="308"/>
      <c r="P943" s="308"/>
      <c r="Q943" s="308"/>
      <c r="R943" s="308"/>
      <c r="S943" s="308"/>
      <c r="T943" s="308"/>
      <c r="U943" s="308"/>
      <c r="V943" s="308"/>
      <c r="W943" s="308"/>
      <c r="X943" s="308"/>
      <c r="Y943" s="308"/>
      <c r="Z943" s="308"/>
    </row>
    <row r="944" ht="15.75" customHeight="1">
      <c r="A944" s="308"/>
      <c r="B944" s="524"/>
      <c r="C944" s="308"/>
      <c r="D944" s="308"/>
      <c r="E944" s="308"/>
      <c r="F944" s="308"/>
      <c r="G944" s="308"/>
      <c r="H944" s="308"/>
      <c r="I944" s="308"/>
      <c r="J944" s="308"/>
      <c r="K944" s="308"/>
      <c r="L944" s="308"/>
      <c r="M944" s="308"/>
      <c r="N944" s="308"/>
      <c r="O944" s="308"/>
      <c r="P944" s="308"/>
      <c r="Q944" s="308"/>
      <c r="R944" s="308"/>
      <c r="S944" s="308"/>
      <c r="T944" s="308"/>
      <c r="U944" s="308"/>
      <c r="V944" s="308"/>
      <c r="W944" s="308"/>
      <c r="X944" s="308"/>
      <c r="Y944" s="308"/>
      <c r="Z944" s="308"/>
    </row>
    <row r="945" ht="15.75" customHeight="1">
      <c r="A945" s="308"/>
      <c r="B945" s="524"/>
      <c r="C945" s="308"/>
      <c r="D945" s="308"/>
      <c r="E945" s="308"/>
      <c r="F945" s="308"/>
      <c r="G945" s="308"/>
      <c r="H945" s="308"/>
      <c r="I945" s="308"/>
      <c r="J945" s="308"/>
      <c r="K945" s="308"/>
      <c r="L945" s="308"/>
      <c r="M945" s="308"/>
      <c r="N945" s="308"/>
      <c r="O945" s="308"/>
      <c r="P945" s="308"/>
      <c r="Q945" s="308"/>
      <c r="R945" s="308"/>
      <c r="S945" s="308"/>
      <c r="T945" s="308"/>
      <c r="U945" s="308"/>
      <c r="V945" s="308"/>
      <c r="W945" s="308"/>
      <c r="X945" s="308"/>
      <c r="Y945" s="308"/>
      <c r="Z945" s="308"/>
    </row>
    <row r="946" ht="15.75" customHeight="1">
      <c r="A946" s="308"/>
      <c r="B946" s="524"/>
      <c r="C946" s="308"/>
      <c r="D946" s="308"/>
      <c r="E946" s="308"/>
      <c r="F946" s="308"/>
      <c r="G946" s="308"/>
      <c r="H946" s="308"/>
      <c r="I946" s="308"/>
      <c r="J946" s="308"/>
      <c r="K946" s="308"/>
      <c r="L946" s="308"/>
      <c r="M946" s="308"/>
      <c r="N946" s="308"/>
      <c r="O946" s="308"/>
      <c r="P946" s="308"/>
      <c r="Q946" s="308"/>
      <c r="R946" s="308"/>
      <c r="S946" s="308"/>
      <c r="T946" s="308"/>
      <c r="U946" s="308"/>
      <c r="V946" s="308"/>
      <c r="W946" s="308"/>
      <c r="X946" s="308"/>
      <c r="Y946" s="308"/>
      <c r="Z946" s="308"/>
    </row>
    <row r="947" ht="15.75" customHeight="1">
      <c r="A947" s="308"/>
      <c r="B947" s="524"/>
      <c r="C947" s="308"/>
      <c r="D947" s="308"/>
      <c r="E947" s="308"/>
      <c r="F947" s="308"/>
      <c r="G947" s="308"/>
      <c r="H947" s="308"/>
      <c r="I947" s="308"/>
      <c r="J947" s="308"/>
      <c r="K947" s="308"/>
      <c r="L947" s="308"/>
      <c r="M947" s="308"/>
      <c r="N947" s="308"/>
      <c r="O947" s="308"/>
      <c r="P947" s="308"/>
      <c r="Q947" s="308"/>
      <c r="R947" s="308"/>
      <c r="S947" s="308"/>
      <c r="T947" s="308"/>
      <c r="U947" s="308"/>
      <c r="V947" s="308"/>
      <c r="W947" s="308"/>
      <c r="X947" s="308"/>
      <c r="Y947" s="308"/>
      <c r="Z947" s="308"/>
    </row>
    <row r="948" ht="15.75" customHeight="1">
      <c r="A948" s="308"/>
      <c r="B948" s="524"/>
      <c r="C948" s="308"/>
      <c r="D948" s="308"/>
      <c r="E948" s="308"/>
      <c r="F948" s="308"/>
      <c r="G948" s="308"/>
      <c r="H948" s="308"/>
      <c r="I948" s="308"/>
      <c r="J948" s="308"/>
      <c r="K948" s="308"/>
      <c r="L948" s="308"/>
      <c r="M948" s="308"/>
      <c r="N948" s="308"/>
      <c r="O948" s="308"/>
      <c r="P948" s="308"/>
      <c r="Q948" s="308"/>
      <c r="R948" s="308"/>
      <c r="S948" s="308"/>
      <c r="T948" s="308"/>
      <c r="U948" s="308"/>
      <c r="V948" s="308"/>
      <c r="W948" s="308"/>
      <c r="X948" s="308"/>
      <c r="Y948" s="308"/>
      <c r="Z948" s="308"/>
    </row>
    <row r="949" ht="15.75" customHeight="1">
      <c r="A949" s="308"/>
      <c r="B949" s="524"/>
      <c r="C949" s="308"/>
      <c r="D949" s="308"/>
      <c r="E949" s="308"/>
      <c r="F949" s="308"/>
      <c r="G949" s="308"/>
      <c r="H949" s="308"/>
      <c r="I949" s="308"/>
      <c r="J949" s="308"/>
      <c r="K949" s="308"/>
      <c r="L949" s="308"/>
      <c r="M949" s="308"/>
      <c r="N949" s="308"/>
      <c r="O949" s="308"/>
      <c r="P949" s="308"/>
      <c r="Q949" s="308"/>
      <c r="R949" s="308"/>
      <c r="S949" s="308"/>
      <c r="T949" s="308"/>
      <c r="U949" s="308"/>
      <c r="V949" s="308"/>
      <c r="W949" s="308"/>
      <c r="X949" s="308"/>
      <c r="Y949" s="308"/>
      <c r="Z949" s="308"/>
    </row>
    <row r="950" ht="15.75" customHeight="1">
      <c r="A950" s="308"/>
      <c r="B950" s="524"/>
      <c r="C950" s="308"/>
      <c r="D950" s="308"/>
      <c r="E950" s="308"/>
      <c r="F950" s="308"/>
      <c r="G950" s="308"/>
      <c r="H950" s="308"/>
      <c r="I950" s="308"/>
      <c r="J950" s="308"/>
      <c r="K950" s="308"/>
      <c r="L950" s="308"/>
      <c r="M950" s="308"/>
      <c r="N950" s="308"/>
      <c r="O950" s="308"/>
      <c r="P950" s="308"/>
      <c r="Q950" s="308"/>
      <c r="R950" s="308"/>
      <c r="S950" s="308"/>
      <c r="T950" s="308"/>
      <c r="U950" s="308"/>
      <c r="V950" s="308"/>
      <c r="W950" s="308"/>
      <c r="X950" s="308"/>
      <c r="Y950" s="308"/>
      <c r="Z950" s="308"/>
    </row>
    <row r="951" ht="15.75" customHeight="1">
      <c r="A951" s="308"/>
      <c r="B951" s="524"/>
      <c r="C951" s="308"/>
      <c r="D951" s="308"/>
      <c r="E951" s="308"/>
      <c r="F951" s="308"/>
      <c r="G951" s="308"/>
      <c r="H951" s="308"/>
      <c r="I951" s="308"/>
      <c r="J951" s="308"/>
      <c r="K951" s="308"/>
      <c r="L951" s="308"/>
      <c r="M951" s="308"/>
      <c r="N951" s="308"/>
      <c r="O951" s="308"/>
      <c r="P951" s="308"/>
      <c r="Q951" s="308"/>
      <c r="R951" s="308"/>
      <c r="S951" s="308"/>
      <c r="T951" s="308"/>
      <c r="U951" s="308"/>
      <c r="V951" s="308"/>
      <c r="W951" s="308"/>
      <c r="X951" s="308"/>
      <c r="Y951" s="308"/>
      <c r="Z951" s="308"/>
    </row>
    <row r="952" ht="15.75" customHeight="1">
      <c r="A952" s="308"/>
      <c r="B952" s="524"/>
      <c r="C952" s="308"/>
      <c r="D952" s="308"/>
      <c r="E952" s="308"/>
      <c r="F952" s="308"/>
      <c r="G952" s="308"/>
      <c r="H952" s="308"/>
      <c r="I952" s="308"/>
      <c r="J952" s="308"/>
      <c r="K952" s="308"/>
      <c r="L952" s="308"/>
      <c r="M952" s="308"/>
      <c r="N952" s="308"/>
      <c r="O952" s="308"/>
      <c r="P952" s="308"/>
      <c r="Q952" s="308"/>
      <c r="R952" s="308"/>
      <c r="S952" s="308"/>
      <c r="T952" s="308"/>
      <c r="U952" s="308"/>
      <c r="V952" s="308"/>
      <c r="W952" s="308"/>
      <c r="X952" s="308"/>
      <c r="Y952" s="308"/>
      <c r="Z952" s="308"/>
    </row>
    <row r="953" ht="15.75" customHeight="1">
      <c r="A953" s="308"/>
      <c r="B953" s="524"/>
      <c r="C953" s="308"/>
      <c r="D953" s="308"/>
      <c r="E953" s="308"/>
      <c r="F953" s="308"/>
      <c r="G953" s="308"/>
      <c r="H953" s="308"/>
      <c r="I953" s="308"/>
      <c r="J953" s="308"/>
      <c r="K953" s="308"/>
      <c r="L953" s="308"/>
      <c r="M953" s="308"/>
      <c r="N953" s="308"/>
      <c r="O953" s="308"/>
      <c r="P953" s="308"/>
      <c r="Q953" s="308"/>
      <c r="R953" s="308"/>
      <c r="S953" s="308"/>
      <c r="T953" s="308"/>
      <c r="U953" s="308"/>
      <c r="V953" s="308"/>
      <c r="W953" s="308"/>
      <c r="X953" s="308"/>
      <c r="Y953" s="308"/>
      <c r="Z953" s="308"/>
    </row>
    <row r="954" ht="15.75" customHeight="1">
      <c r="A954" s="308"/>
      <c r="B954" s="524"/>
      <c r="C954" s="308"/>
      <c r="D954" s="308"/>
      <c r="E954" s="308"/>
      <c r="F954" s="308"/>
      <c r="G954" s="308"/>
      <c r="H954" s="308"/>
      <c r="I954" s="308"/>
      <c r="J954" s="308"/>
      <c r="K954" s="308"/>
      <c r="L954" s="308"/>
      <c r="M954" s="308"/>
      <c r="N954" s="308"/>
      <c r="O954" s="308"/>
      <c r="P954" s="308"/>
      <c r="Q954" s="308"/>
      <c r="R954" s="308"/>
      <c r="S954" s="308"/>
      <c r="T954" s="308"/>
      <c r="U954" s="308"/>
      <c r="V954" s="308"/>
      <c r="W954" s="308"/>
      <c r="X954" s="308"/>
      <c r="Y954" s="308"/>
      <c r="Z954" s="308"/>
    </row>
    <row r="955" ht="15.75" customHeight="1">
      <c r="A955" s="308"/>
      <c r="B955" s="524"/>
      <c r="C955" s="308"/>
      <c r="D955" s="308"/>
      <c r="E955" s="308"/>
      <c r="F955" s="308"/>
      <c r="G955" s="308"/>
      <c r="H955" s="308"/>
      <c r="I955" s="308"/>
      <c r="J955" s="308"/>
      <c r="K955" s="308"/>
      <c r="L955" s="308"/>
      <c r="M955" s="308"/>
      <c r="N955" s="308"/>
      <c r="O955" s="308"/>
      <c r="P955" s="308"/>
      <c r="Q955" s="308"/>
      <c r="R955" s="308"/>
      <c r="S955" s="308"/>
      <c r="T955" s="308"/>
      <c r="U955" s="308"/>
      <c r="V955" s="308"/>
      <c r="W955" s="308"/>
      <c r="X955" s="308"/>
      <c r="Y955" s="308"/>
      <c r="Z955" s="308"/>
    </row>
    <row r="956" ht="15.75" customHeight="1">
      <c r="A956" s="308"/>
      <c r="B956" s="524"/>
      <c r="C956" s="308"/>
      <c r="D956" s="308"/>
      <c r="E956" s="308"/>
      <c r="F956" s="308"/>
      <c r="G956" s="308"/>
      <c r="H956" s="308"/>
      <c r="I956" s="308"/>
      <c r="J956" s="308"/>
      <c r="K956" s="308"/>
      <c r="L956" s="308"/>
      <c r="M956" s="308"/>
      <c r="N956" s="308"/>
      <c r="O956" s="308"/>
      <c r="P956" s="308"/>
      <c r="Q956" s="308"/>
      <c r="R956" s="308"/>
      <c r="S956" s="308"/>
      <c r="T956" s="308"/>
      <c r="U956" s="308"/>
      <c r="V956" s="308"/>
      <c r="W956" s="308"/>
      <c r="X956" s="308"/>
      <c r="Y956" s="308"/>
      <c r="Z956" s="308"/>
    </row>
    <row r="957" ht="15.75" customHeight="1">
      <c r="A957" s="308"/>
      <c r="B957" s="524"/>
      <c r="C957" s="308"/>
      <c r="D957" s="308"/>
      <c r="E957" s="308"/>
      <c r="F957" s="308"/>
      <c r="G957" s="308"/>
      <c r="H957" s="308"/>
      <c r="I957" s="308"/>
      <c r="J957" s="308"/>
      <c r="K957" s="308"/>
      <c r="L957" s="308"/>
      <c r="M957" s="308"/>
      <c r="N957" s="308"/>
      <c r="O957" s="308"/>
      <c r="P957" s="308"/>
      <c r="Q957" s="308"/>
      <c r="R957" s="308"/>
      <c r="S957" s="308"/>
      <c r="T957" s="308"/>
      <c r="U957" s="308"/>
      <c r="V957" s="308"/>
      <c r="W957" s="308"/>
      <c r="X957" s="308"/>
      <c r="Y957" s="308"/>
      <c r="Z957" s="308"/>
    </row>
    <row r="958" ht="15.75" customHeight="1">
      <c r="A958" s="308"/>
      <c r="B958" s="524"/>
      <c r="C958" s="308"/>
      <c r="D958" s="308"/>
      <c r="E958" s="308"/>
      <c r="F958" s="308"/>
      <c r="G958" s="308"/>
      <c r="H958" s="308"/>
      <c r="I958" s="308"/>
      <c r="J958" s="308"/>
      <c r="K958" s="308"/>
      <c r="L958" s="308"/>
      <c r="M958" s="308"/>
      <c r="N958" s="308"/>
      <c r="O958" s="308"/>
      <c r="P958" s="308"/>
      <c r="Q958" s="308"/>
      <c r="R958" s="308"/>
      <c r="S958" s="308"/>
      <c r="T958" s="308"/>
      <c r="U958" s="308"/>
      <c r="V958" s="308"/>
      <c r="W958" s="308"/>
      <c r="X958" s="308"/>
      <c r="Y958" s="308"/>
      <c r="Z958" s="308"/>
    </row>
    <row r="959" ht="15.75" customHeight="1">
      <c r="A959" s="308"/>
      <c r="B959" s="524"/>
      <c r="C959" s="308"/>
      <c r="D959" s="308"/>
      <c r="E959" s="308"/>
      <c r="F959" s="308"/>
      <c r="G959" s="308"/>
      <c r="H959" s="308"/>
      <c r="I959" s="308"/>
      <c r="J959" s="308"/>
      <c r="K959" s="308"/>
      <c r="L959" s="308"/>
      <c r="M959" s="308"/>
      <c r="N959" s="308"/>
      <c r="O959" s="308"/>
      <c r="P959" s="308"/>
      <c r="Q959" s="308"/>
      <c r="R959" s="308"/>
      <c r="S959" s="308"/>
      <c r="T959" s="308"/>
      <c r="U959" s="308"/>
      <c r="V959" s="308"/>
      <c r="W959" s="308"/>
      <c r="X959" s="308"/>
      <c r="Y959" s="308"/>
      <c r="Z959" s="308"/>
    </row>
    <row r="960" ht="15.75" customHeight="1">
      <c r="A960" s="308"/>
      <c r="B960" s="524"/>
      <c r="C960" s="308"/>
      <c r="D960" s="308"/>
      <c r="E960" s="308"/>
      <c r="F960" s="308"/>
      <c r="G960" s="308"/>
      <c r="H960" s="308"/>
      <c r="I960" s="308"/>
      <c r="J960" s="308"/>
      <c r="K960" s="308"/>
      <c r="L960" s="308"/>
      <c r="M960" s="308"/>
      <c r="N960" s="308"/>
      <c r="O960" s="308"/>
      <c r="P960" s="308"/>
      <c r="Q960" s="308"/>
      <c r="R960" s="308"/>
      <c r="S960" s="308"/>
      <c r="T960" s="308"/>
      <c r="U960" s="308"/>
      <c r="V960" s="308"/>
      <c r="W960" s="308"/>
      <c r="X960" s="308"/>
      <c r="Y960" s="308"/>
      <c r="Z960" s="308"/>
    </row>
    <row r="961" ht="15.75" customHeight="1">
      <c r="A961" s="308"/>
      <c r="B961" s="524"/>
      <c r="C961" s="308"/>
      <c r="D961" s="308"/>
      <c r="E961" s="308"/>
      <c r="F961" s="308"/>
      <c r="G961" s="308"/>
      <c r="H961" s="308"/>
      <c r="I961" s="308"/>
      <c r="J961" s="308"/>
      <c r="K961" s="308"/>
      <c r="L961" s="308"/>
      <c r="M961" s="308"/>
      <c r="N961" s="308"/>
      <c r="O961" s="308"/>
      <c r="P961" s="308"/>
      <c r="Q961" s="308"/>
      <c r="R961" s="308"/>
      <c r="S961" s="308"/>
      <c r="T961" s="308"/>
      <c r="U961" s="308"/>
      <c r="V961" s="308"/>
      <c r="W961" s="308"/>
      <c r="X961" s="308"/>
      <c r="Y961" s="308"/>
      <c r="Z961" s="308"/>
    </row>
    <row r="962" ht="15.75" customHeight="1">
      <c r="A962" s="308"/>
      <c r="B962" s="524"/>
      <c r="C962" s="308"/>
      <c r="D962" s="308"/>
      <c r="E962" s="308"/>
      <c r="F962" s="308"/>
      <c r="G962" s="308"/>
      <c r="H962" s="308"/>
      <c r="I962" s="308"/>
      <c r="J962" s="308"/>
      <c r="K962" s="308"/>
      <c r="L962" s="308"/>
      <c r="M962" s="308"/>
      <c r="N962" s="308"/>
      <c r="O962" s="308"/>
      <c r="P962" s="308"/>
      <c r="Q962" s="308"/>
      <c r="R962" s="308"/>
      <c r="S962" s="308"/>
      <c r="T962" s="308"/>
      <c r="U962" s="308"/>
      <c r="V962" s="308"/>
      <c r="W962" s="308"/>
      <c r="X962" s="308"/>
      <c r="Y962" s="308"/>
      <c r="Z962" s="308"/>
    </row>
    <row r="963" ht="15.75" customHeight="1">
      <c r="A963" s="308"/>
      <c r="B963" s="524"/>
      <c r="C963" s="308"/>
      <c r="D963" s="308"/>
      <c r="E963" s="308"/>
      <c r="F963" s="308"/>
      <c r="G963" s="308"/>
      <c r="H963" s="308"/>
      <c r="I963" s="308"/>
      <c r="J963" s="308"/>
      <c r="K963" s="308"/>
      <c r="L963" s="308"/>
      <c r="M963" s="308"/>
      <c r="N963" s="308"/>
      <c r="O963" s="308"/>
      <c r="P963" s="308"/>
      <c r="Q963" s="308"/>
      <c r="R963" s="308"/>
      <c r="S963" s="308"/>
      <c r="T963" s="308"/>
      <c r="U963" s="308"/>
      <c r="V963" s="308"/>
      <c r="W963" s="308"/>
      <c r="X963" s="308"/>
      <c r="Y963" s="308"/>
      <c r="Z963" s="308"/>
    </row>
    <row r="964" ht="15.75" customHeight="1">
      <c r="A964" s="308"/>
      <c r="B964" s="524"/>
      <c r="C964" s="308"/>
      <c r="D964" s="308"/>
      <c r="E964" s="308"/>
      <c r="F964" s="308"/>
      <c r="G964" s="308"/>
      <c r="H964" s="308"/>
      <c r="I964" s="308"/>
      <c r="J964" s="308"/>
      <c r="K964" s="308"/>
      <c r="L964" s="308"/>
      <c r="M964" s="308"/>
      <c r="N964" s="308"/>
      <c r="O964" s="308"/>
      <c r="P964" s="308"/>
      <c r="Q964" s="308"/>
      <c r="R964" s="308"/>
      <c r="S964" s="308"/>
      <c r="T964" s="308"/>
      <c r="U964" s="308"/>
      <c r="V964" s="308"/>
      <c r="W964" s="308"/>
      <c r="X964" s="308"/>
      <c r="Y964" s="308"/>
      <c r="Z964" s="308"/>
    </row>
    <row r="965" ht="15.75" customHeight="1">
      <c r="A965" s="308"/>
      <c r="B965" s="524"/>
      <c r="C965" s="308"/>
      <c r="D965" s="308"/>
      <c r="E965" s="308"/>
      <c r="F965" s="308"/>
      <c r="G965" s="308"/>
      <c r="H965" s="308"/>
      <c r="I965" s="308"/>
      <c r="J965" s="308"/>
      <c r="K965" s="308"/>
      <c r="L965" s="308"/>
      <c r="M965" s="308"/>
      <c r="N965" s="308"/>
      <c r="O965" s="308"/>
      <c r="P965" s="308"/>
      <c r="Q965" s="308"/>
      <c r="R965" s="308"/>
      <c r="S965" s="308"/>
      <c r="T965" s="308"/>
      <c r="U965" s="308"/>
      <c r="V965" s="308"/>
      <c r="W965" s="308"/>
      <c r="X965" s="308"/>
      <c r="Y965" s="308"/>
      <c r="Z965" s="308"/>
    </row>
    <row r="966" ht="15.75" customHeight="1">
      <c r="A966" s="308"/>
      <c r="B966" s="524"/>
      <c r="C966" s="308"/>
      <c r="D966" s="308"/>
      <c r="E966" s="308"/>
      <c r="F966" s="308"/>
      <c r="G966" s="308"/>
      <c r="H966" s="308"/>
      <c r="I966" s="308"/>
      <c r="J966" s="308"/>
      <c r="K966" s="308"/>
      <c r="L966" s="308"/>
      <c r="M966" s="308"/>
      <c r="N966" s="308"/>
      <c r="O966" s="308"/>
      <c r="P966" s="308"/>
      <c r="Q966" s="308"/>
      <c r="R966" s="308"/>
      <c r="S966" s="308"/>
      <c r="T966" s="308"/>
      <c r="U966" s="308"/>
      <c r="V966" s="308"/>
      <c r="W966" s="308"/>
      <c r="X966" s="308"/>
      <c r="Y966" s="308"/>
      <c r="Z966" s="308"/>
    </row>
    <row r="967" ht="15.75" customHeight="1">
      <c r="A967" s="308"/>
      <c r="B967" s="524"/>
      <c r="C967" s="308"/>
      <c r="D967" s="308"/>
      <c r="E967" s="308"/>
      <c r="F967" s="308"/>
      <c r="G967" s="308"/>
      <c r="H967" s="308"/>
      <c r="I967" s="308"/>
      <c r="J967" s="308"/>
      <c r="K967" s="308"/>
      <c r="L967" s="308"/>
      <c r="M967" s="308"/>
      <c r="N967" s="308"/>
      <c r="O967" s="308"/>
      <c r="P967" s="308"/>
      <c r="Q967" s="308"/>
      <c r="R967" s="308"/>
      <c r="S967" s="308"/>
      <c r="T967" s="308"/>
      <c r="U967" s="308"/>
      <c r="V967" s="308"/>
      <c r="W967" s="308"/>
      <c r="X967" s="308"/>
      <c r="Y967" s="308"/>
      <c r="Z967" s="308"/>
    </row>
    <row r="968" ht="15.75" customHeight="1">
      <c r="A968" s="308"/>
      <c r="B968" s="524"/>
      <c r="C968" s="308"/>
      <c r="D968" s="308"/>
      <c r="E968" s="308"/>
      <c r="F968" s="308"/>
      <c r="G968" s="308"/>
      <c r="H968" s="308"/>
      <c r="I968" s="308"/>
      <c r="J968" s="308"/>
      <c r="K968" s="308"/>
      <c r="L968" s="308"/>
      <c r="M968" s="308"/>
      <c r="N968" s="308"/>
      <c r="O968" s="308"/>
      <c r="P968" s="308"/>
      <c r="Q968" s="308"/>
      <c r="R968" s="308"/>
      <c r="S968" s="308"/>
      <c r="T968" s="308"/>
      <c r="U968" s="308"/>
      <c r="V968" s="308"/>
      <c r="W968" s="308"/>
      <c r="X968" s="308"/>
      <c r="Y968" s="308"/>
      <c r="Z968" s="308"/>
    </row>
    <row r="969" ht="15.75" customHeight="1">
      <c r="A969" s="308"/>
      <c r="B969" s="524"/>
      <c r="C969" s="308"/>
      <c r="D969" s="308"/>
      <c r="E969" s="308"/>
      <c r="F969" s="308"/>
      <c r="G969" s="308"/>
      <c r="H969" s="308"/>
      <c r="I969" s="308"/>
      <c r="J969" s="308"/>
      <c r="K969" s="308"/>
      <c r="L969" s="308"/>
      <c r="M969" s="308"/>
      <c r="N969" s="308"/>
      <c r="O969" s="308"/>
      <c r="P969" s="308"/>
      <c r="Q969" s="308"/>
      <c r="R969" s="308"/>
      <c r="S969" s="308"/>
      <c r="T969" s="308"/>
      <c r="U969" s="308"/>
      <c r="V969" s="308"/>
      <c r="W969" s="308"/>
      <c r="X969" s="308"/>
      <c r="Y969" s="308"/>
      <c r="Z969" s="308"/>
    </row>
    <row r="970" ht="15.75" customHeight="1">
      <c r="A970" s="308"/>
      <c r="B970" s="524"/>
      <c r="C970" s="308"/>
      <c r="D970" s="308"/>
      <c r="E970" s="308"/>
      <c r="F970" s="308"/>
      <c r="G970" s="308"/>
      <c r="H970" s="308"/>
      <c r="I970" s="308"/>
      <c r="J970" s="308"/>
      <c r="K970" s="308"/>
      <c r="L970" s="308"/>
      <c r="M970" s="308"/>
      <c r="N970" s="308"/>
      <c r="O970" s="308"/>
      <c r="P970" s="308"/>
      <c r="Q970" s="308"/>
      <c r="R970" s="308"/>
      <c r="S970" s="308"/>
      <c r="T970" s="308"/>
      <c r="U970" s="308"/>
      <c r="V970" s="308"/>
      <c r="W970" s="308"/>
      <c r="X970" s="308"/>
      <c r="Y970" s="308"/>
      <c r="Z970" s="308"/>
    </row>
    <row r="971" ht="15.75" customHeight="1">
      <c r="A971" s="308"/>
      <c r="B971" s="524"/>
      <c r="C971" s="308"/>
      <c r="D971" s="308"/>
      <c r="E971" s="308"/>
      <c r="F971" s="308"/>
      <c r="G971" s="308"/>
      <c r="H971" s="308"/>
      <c r="I971" s="308"/>
      <c r="J971" s="308"/>
      <c r="K971" s="308"/>
      <c r="L971" s="308"/>
      <c r="M971" s="308"/>
      <c r="N971" s="308"/>
      <c r="O971" s="308"/>
      <c r="P971" s="308"/>
      <c r="Q971" s="308"/>
      <c r="R971" s="308"/>
      <c r="S971" s="308"/>
      <c r="T971" s="308"/>
      <c r="U971" s="308"/>
      <c r="V971" s="308"/>
      <c r="W971" s="308"/>
      <c r="X971" s="308"/>
      <c r="Y971" s="308"/>
      <c r="Z971" s="308"/>
    </row>
    <row r="972" ht="15.75" customHeight="1">
      <c r="A972" s="308"/>
      <c r="B972" s="524"/>
      <c r="C972" s="308"/>
      <c r="D972" s="308"/>
      <c r="E972" s="308"/>
      <c r="F972" s="308"/>
      <c r="G972" s="308"/>
      <c r="H972" s="308"/>
      <c r="I972" s="308"/>
      <c r="J972" s="308"/>
      <c r="K972" s="308"/>
      <c r="L972" s="308"/>
      <c r="M972" s="308"/>
      <c r="N972" s="308"/>
      <c r="O972" s="308"/>
      <c r="P972" s="308"/>
      <c r="Q972" s="308"/>
      <c r="R972" s="308"/>
      <c r="S972" s="308"/>
      <c r="T972" s="308"/>
      <c r="U972" s="308"/>
      <c r="V972" s="308"/>
      <c r="W972" s="308"/>
      <c r="X972" s="308"/>
      <c r="Y972" s="308"/>
      <c r="Z972" s="308"/>
    </row>
    <row r="973" ht="15.75" customHeight="1">
      <c r="A973" s="308"/>
      <c r="B973" s="524"/>
      <c r="C973" s="308"/>
      <c r="D973" s="308"/>
      <c r="E973" s="308"/>
      <c r="F973" s="308"/>
      <c r="G973" s="308"/>
      <c r="H973" s="308"/>
      <c r="I973" s="308"/>
      <c r="J973" s="308"/>
      <c r="K973" s="308"/>
      <c r="L973" s="308"/>
      <c r="M973" s="308"/>
      <c r="N973" s="308"/>
      <c r="O973" s="308"/>
      <c r="P973" s="308"/>
      <c r="Q973" s="308"/>
      <c r="R973" s="308"/>
      <c r="S973" s="308"/>
      <c r="T973" s="308"/>
      <c r="U973" s="308"/>
      <c r="V973" s="308"/>
      <c r="W973" s="308"/>
      <c r="X973" s="308"/>
      <c r="Y973" s="308"/>
      <c r="Z973" s="308"/>
    </row>
    <row r="974" ht="15.75" customHeight="1">
      <c r="A974" s="308"/>
      <c r="B974" s="524"/>
      <c r="C974" s="308"/>
      <c r="D974" s="308"/>
      <c r="E974" s="308"/>
      <c r="F974" s="308"/>
      <c r="G974" s="308"/>
      <c r="H974" s="308"/>
      <c r="I974" s="308"/>
      <c r="J974" s="308"/>
      <c r="K974" s="308"/>
      <c r="L974" s="308"/>
      <c r="M974" s="308"/>
      <c r="N974" s="308"/>
      <c r="O974" s="308"/>
      <c r="P974" s="308"/>
      <c r="Q974" s="308"/>
      <c r="R974" s="308"/>
      <c r="S974" s="308"/>
      <c r="T974" s="308"/>
      <c r="U974" s="308"/>
      <c r="V974" s="308"/>
      <c r="W974" s="308"/>
      <c r="X974" s="308"/>
      <c r="Y974" s="308"/>
      <c r="Z974" s="308"/>
    </row>
    <row r="975" ht="15.75" customHeight="1">
      <c r="A975" s="308"/>
      <c r="B975" s="524"/>
      <c r="C975" s="308"/>
      <c r="D975" s="308"/>
      <c r="E975" s="308"/>
      <c r="F975" s="308"/>
      <c r="G975" s="308"/>
      <c r="H975" s="308"/>
      <c r="I975" s="308"/>
      <c r="J975" s="308"/>
      <c r="K975" s="308"/>
      <c r="L975" s="308"/>
      <c r="M975" s="308"/>
      <c r="N975" s="308"/>
      <c r="O975" s="308"/>
      <c r="P975" s="308"/>
      <c r="Q975" s="308"/>
      <c r="R975" s="308"/>
      <c r="S975" s="308"/>
      <c r="T975" s="308"/>
      <c r="U975" s="308"/>
      <c r="V975" s="308"/>
      <c r="W975" s="308"/>
      <c r="X975" s="308"/>
      <c r="Y975" s="308"/>
      <c r="Z975" s="308"/>
    </row>
    <row r="976" ht="15.75" customHeight="1">
      <c r="A976" s="308"/>
      <c r="B976" s="524"/>
      <c r="C976" s="308"/>
      <c r="D976" s="308"/>
      <c r="E976" s="308"/>
      <c r="F976" s="308"/>
      <c r="G976" s="308"/>
      <c r="H976" s="308"/>
      <c r="I976" s="308"/>
      <c r="J976" s="308"/>
      <c r="K976" s="308"/>
      <c r="L976" s="308"/>
      <c r="M976" s="308"/>
      <c r="N976" s="308"/>
      <c r="O976" s="308"/>
      <c r="P976" s="308"/>
      <c r="Q976" s="308"/>
      <c r="R976" s="308"/>
      <c r="S976" s="308"/>
      <c r="T976" s="308"/>
      <c r="U976" s="308"/>
      <c r="V976" s="308"/>
      <c r="W976" s="308"/>
      <c r="X976" s="308"/>
      <c r="Y976" s="308"/>
      <c r="Z976" s="308"/>
    </row>
    <row r="977" ht="15.75" customHeight="1">
      <c r="A977" s="308"/>
      <c r="B977" s="524"/>
      <c r="C977" s="308"/>
      <c r="D977" s="308"/>
      <c r="E977" s="308"/>
      <c r="F977" s="308"/>
      <c r="G977" s="308"/>
      <c r="H977" s="308"/>
      <c r="I977" s="308"/>
      <c r="J977" s="308"/>
      <c r="K977" s="308"/>
      <c r="L977" s="308"/>
      <c r="M977" s="308"/>
      <c r="N977" s="308"/>
      <c r="O977" s="308"/>
      <c r="P977" s="308"/>
      <c r="Q977" s="308"/>
      <c r="R977" s="308"/>
      <c r="S977" s="308"/>
      <c r="T977" s="308"/>
      <c r="U977" s="308"/>
      <c r="V977" s="308"/>
      <c r="W977" s="308"/>
      <c r="X977" s="308"/>
      <c r="Y977" s="308"/>
      <c r="Z977" s="308"/>
    </row>
    <row r="978" ht="15.75" customHeight="1">
      <c r="A978" s="308"/>
      <c r="B978" s="524"/>
      <c r="C978" s="308"/>
      <c r="D978" s="308"/>
      <c r="E978" s="308"/>
      <c r="F978" s="308"/>
      <c r="G978" s="308"/>
      <c r="H978" s="308"/>
      <c r="I978" s="308"/>
      <c r="J978" s="308"/>
      <c r="K978" s="308"/>
      <c r="L978" s="308"/>
      <c r="M978" s="308"/>
      <c r="N978" s="308"/>
      <c r="O978" s="308"/>
      <c r="P978" s="308"/>
      <c r="Q978" s="308"/>
      <c r="R978" s="308"/>
      <c r="S978" s="308"/>
      <c r="T978" s="308"/>
      <c r="U978" s="308"/>
      <c r="V978" s="308"/>
      <c r="W978" s="308"/>
      <c r="X978" s="308"/>
      <c r="Y978" s="308"/>
      <c r="Z978" s="308"/>
    </row>
    <row r="979" ht="15.75" customHeight="1">
      <c r="A979" s="308"/>
      <c r="B979" s="524"/>
      <c r="C979" s="308"/>
      <c r="D979" s="308"/>
      <c r="E979" s="308"/>
      <c r="F979" s="308"/>
      <c r="G979" s="308"/>
      <c r="H979" s="308"/>
      <c r="I979" s="308"/>
      <c r="J979" s="308"/>
      <c r="K979" s="308"/>
      <c r="L979" s="308"/>
      <c r="M979" s="308"/>
      <c r="N979" s="308"/>
      <c r="O979" s="308"/>
      <c r="P979" s="308"/>
      <c r="Q979" s="308"/>
      <c r="R979" s="308"/>
      <c r="S979" s="308"/>
      <c r="T979" s="308"/>
      <c r="U979" s="308"/>
      <c r="V979" s="308"/>
      <c r="W979" s="308"/>
      <c r="X979" s="308"/>
      <c r="Y979" s="308"/>
      <c r="Z979" s="308"/>
    </row>
    <row r="980" ht="15.75" customHeight="1">
      <c r="A980" s="308"/>
      <c r="B980" s="524"/>
      <c r="C980" s="308"/>
      <c r="D980" s="308"/>
      <c r="E980" s="308"/>
      <c r="F980" s="308"/>
      <c r="G980" s="308"/>
      <c r="H980" s="308"/>
      <c r="I980" s="308"/>
      <c r="J980" s="308"/>
      <c r="K980" s="308"/>
      <c r="L980" s="308"/>
      <c r="M980" s="308"/>
      <c r="N980" s="308"/>
      <c r="O980" s="308"/>
      <c r="P980" s="308"/>
      <c r="Q980" s="308"/>
      <c r="R980" s="308"/>
      <c r="S980" s="308"/>
      <c r="T980" s="308"/>
      <c r="U980" s="308"/>
      <c r="V980" s="308"/>
      <c r="W980" s="308"/>
      <c r="X980" s="308"/>
      <c r="Y980" s="308"/>
      <c r="Z980" s="308"/>
    </row>
    <row r="981" ht="15.75" customHeight="1">
      <c r="A981" s="308"/>
      <c r="B981" s="524"/>
      <c r="C981" s="308"/>
      <c r="D981" s="308"/>
      <c r="E981" s="308"/>
      <c r="F981" s="308"/>
      <c r="G981" s="308"/>
      <c r="H981" s="308"/>
      <c r="I981" s="308"/>
      <c r="J981" s="308"/>
      <c r="K981" s="308"/>
      <c r="L981" s="308"/>
      <c r="M981" s="308"/>
      <c r="N981" s="308"/>
      <c r="O981" s="308"/>
      <c r="P981" s="308"/>
      <c r="Q981" s="308"/>
      <c r="R981" s="308"/>
      <c r="S981" s="308"/>
      <c r="T981" s="308"/>
      <c r="U981" s="308"/>
      <c r="V981" s="308"/>
      <c r="W981" s="308"/>
      <c r="X981" s="308"/>
      <c r="Y981" s="308"/>
      <c r="Z981" s="308"/>
    </row>
    <row r="982" ht="15.75" customHeight="1">
      <c r="A982" s="308"/>
      <c r="B982" s="524"/>
      <c r="C982" s="308"/>
      <c r="D982" s="308"/>
      <c r="E982" s="308"/>
      <c r="F982" s="308"/>
      <c r="G982" s="308"/>
      <c r="H982" s="308"/>
      <c r="I982" s="308"/>
      <c r="J982" s="308"/>
      <c r="K982" s="308"/>
      <c r="L982" s="308"/>
      <c r="M982" s="308"/>
      <c r="N982" s="308"/>
      <c r="O982" s="308"/>
      <c r="P982" s="308"/>
      <c r="Q982" s="308"/>
      <c r="R982" s="308"/>
      <c r="S982" s="308"/>
      <c r="T982" s="308"/>
      <c r="U982" s="308"/>
      <c r="V982" s="308"/>
      <c r="W982" s="308"/>
      <c r="X982" s="308"/>
      <c r="Y982" s="308"/>
      <c r="Z982" s="308"/>
    </row>
    <row r="983" ht="15.75" customHeight="1">
      <c r="A983" s="308"/>
      <c r="B983" s="524"/>
      <c r="C983" s="308"/>
      <c r="D983" s="308"/>
      <c r="E983" s="308"/>
      <c r="F983" s="308"/>
      <c r="G983" s="308"/>
      <c r="H983" s="308"/>
      <c r="I983" s="308"/>
      <c r="J983" s="308"/>
      <c r="K983" s="308"/>
      <c r="L983" s="308"/>
      <c r="M983" s="308"/>
      <c r="N983" s="308"/>
      <c r="O983" s="308"/>
      <c r="P983" s="308"/>
      <c r="Q983" s="308"/>
      <c r="R983" s="308"/>
      <c r="S983" s="308"/>
      <c r="T983" s="308"/>
      <c r="U983" s="308"/>
      <c r="V983" s="308"/>
      <c r="W983" s="308"/>
      <c r="X983" s="308"/>
      <c r="Y983" s="308"/>
      <c r="Z983" s="308"/>
    </row>
    <row r="984" ht="15.75" customHeight="1">
      <c r="A984" s="308"/>
      <c r="B984" s="524"/>
      <c r="C984" s="308"/>
      <c r="D984" s="308"/>
      <c r="E984" s="308"/>
      <c r="F984" s="308"/>
      <c r="G984" s="308"/>
      <c r="H984" s="308"/>
      <c r="I984" s="308"/>
      <c r="J984" s="308"/>
      <c r="K984" s="308"/>
      <c r="L984" s="308"/>
      <c r="M984" s="308"/>
      <c r="N984" s="308"/>
      <c r="O984" s="308"/>
      <c r="P984" s="308"/>
      <c r="Q984" s="308"/>
      <c r="R984" s="308"/>
      <c r="S984" s="308"/>
      <c r="T984" s="308"/>
      <c r="U984" s="308"/>
      <c r="V984" s="308"/>
      <c r="W984" s="308"/>
      <c r="X984" s="308"/>
      <c r="Y984" s="308"/>
      <c r="Z984" s="308"/>
    </row>
    <row r="985" ht="15.75" customHeight="1">
      <c r="A985" s="308"/>
      <c r="B985" s="524"/>
      <c r="C985" s="308"/>
      <c r="D985" s="308"/>
      <c r="E985" s="308"/>
      <c r="F985" s="308"/>
      <c r="G985" s="308"/>
      <c r="H985" s="308"/>
      <c r="I985" s="308"/>
      <c r="J985" s="308"/>
      <c r="K985" s="308"/>
      <c r="L985" s="308"/>
      <c r="M985" s="308"/>
      <c r="N985" s="308"/>
      <c r="O985" s="308"/>
      <c r="P985" s="308"/>
      <c r="Q985" s="308"/>
      <c r="R985" s="308"/>
      <c r="S985" s="308"/>
      <c r="T985" s="308"/>
      <c r="U985" s="308"/>
      <c r="V985" s="308"/>
      <c r="W985" s="308"/>
      <c r="X985" s="308"/>
      <c r="Y985" s="308"/>
      <c r="Z985" s="308"/>
    </row>
    <row r="986" ht="15.75" customHeight="1">
      <c r="A986" s="308"/>
      <c r="B986" s="524"/>
      <c r="C986" s="308"/>
      <c r="D986" s="308"/>
      <c r="E986" s="308"/>
      <c r="F986" s="308"/>
      <c r="G986" s="308"/>
      <c r="H986" s="308"/>
      <c r="I986" s="308"/>
      <c r="J986" s="308"/>
      <c r="K986" s="308"/>
      <c r="L986" s="308"/>
      <c r="M986" s="308"/>
      <c r="N986" s="308"/>
      <c r="O986" s="308"/>
      <c r="P986" s="308"/>
      <c r="Q986" s="308"/>
      <c r="R986" s="308"/>
      <c r="S986" s="308"/>
      <c r="T986" s="308"/>
      <c r="U986" s="308"/>
      <c r="V986" s="308"/>
      <c r="W986" s="308"/>
      <c r="X986" s="308"/>
      <c r="Y986" s="308"/>
      <c r="Z986" s="308"/>
    </row>
    <row r="987" ht="15.75" customHeight="1">
      <c r="A987" s="308"/>
      <c r="B987" s="524"/>
      <c r="C987" s="308"/>
      <c r="D987" s="308"/>
      <c r="E987" s="308"/>
      <c r="F987" s="308"/>
      <c r="G987" s="308"/>
      <c r="H987" s="308"/>
      <c r="I987" s="308"/>
      <c r="J987" s="308"/>
      <c r="K987" s="308"/>
      <c r="L987" s="308"/>
      <c r="M987" s="308"/>
      <c r="N987" s="308"/>
      <c r="O987" s="308"/>
      <c r="P987" s="308"/>
      <c r="Q987" s="308"/>
      <c r="R987" s="308"/>
      <c r="S987" s="308"/>
      <c r="T987" s="308"/>
      <c r="U987" s="308"/>
      <c r="V987" s="308"/>
      <c r="W987" s="308"/>
      <c r="X987" s="308"/>
      <c r="Y987" s="308"/>
      <c r="Z987" s="308"/>
    </row>
    <row r="988" ht="15.75" customHeight="1">
      <c r="A988" s="308"/>
      <c r="B988" s="524"/>
      <c r="C988" s="308"/>
      <c r="D988" s="308"/>
      <c r="E988" s="308"/>
      <c r="F988" s="308"/>
      <c r="G988" s="308"/>
      <c r="H988" s="308"/>
      <c r="I988" s="308"/>
      <c r="J988" s="308"/>
      <c r="K988" s="308"/>
      <c r="L988" s="308"/>
      <c r="M988" s="308"/>
      <c r="N988" s="308"/>
      <c r="O988" s="308"/>
      <c r="P988" s="308"/>
      <c r="Q988" s="308"/>
      <c r="R988" s="308"/>
      <c r="S988" s="308"/>
      <c r="T988" s="308"/>
      <c r="U988" s="308"/>
      <c r="V988" s="308"/>
      <c r="W988" s="308"/>
      <c r="X988" s="308"/>
      <c r="Y988" s="308"/>
      <c r="Z988" s="308"/>
    </row>
    <row r="989" ht="15.75" customHeight="1">
      <c r="A989" s="308"/>
      <c r="B989" s="524"/>
      <c r="C989" s="308"/>
      <c r="D989" s="308"/>
      <c r="E989" s="308"/>
      <c r="F989" s="308"/>
      <c r="G989" s="308"/>
      <c r="H989" s="308"/>
      <c r="I989" s="308"/>
      <c r="J989" s="308"/>
      <c r="K989" s="308"/>
      <c r="L989" s="308"/>
      <c r="M989" s="308"/>
      <c r="N989" s="308"/>
      <c r="O989" s="308"/>
      <c r="P989" s="308"/>
      <c r="Q989" s="308"/>
      <c r="R989" s="308"/>
      <c r="S989" s="308"/>
      <c r="T989" s="308"/>
      <c r="U989" s="308"/>
      <c r="V989" s="308"/>
      <c r="W989" s="308"/>
      <c r="X989" s="308"/>
      <c r="Y989" s="308"/>
      <c r="Z989" s="308"/>
    </row>
    <row r="990" ht="15.75" customHeight="1">
      <c r="A990" s="308"/>
      <c r="B990" s="524"/>
      <c r="C990" s="308"/>
      <c r="D990" s="308"/>
      <c r="E990" s="308"/>
      <c r="F990" s="308"/>
      <c r="G990" s="308"/>
      <c r="H990" s="308"/>
      <c r="I990" s="308"/>
      <c r="J990" s="308"/>
      <c r="K990" s="308"/>
      <c r="L990" s="308"/>
      <c r="M990" s="308"/>
      <c r="N990" s="308"/>
      <c r="O990" s="308"/>
      <c r="P990" s="308"/>
      <c r="Q990" s="308"/>
      <c r="R990" s="308"/>
      <c r="S990" s="308"/>
      <c r="T990" s="308"/>
      <c r="U990" s="308"/>
      <c r="V990" s="308"/>
      <c r="W990" s="308"/>
      <c r="X990" s="308"/>
      <c r="Y990" s="308"/>
      <c r="Z990" s="308"/>
    </row>
    <row r="991" ht="15.75" customHeight="1">
      <c r="A991" s="308"/>
      <c r="B991" s="524"/>
      <c r="C991" s="308"/>
      <c r="D991" s="308"/>
      <c r="E991" s="308"/>
      <c r="F991" s="308"/>
      <c r="G991" s="308"/>
      <c r="H991" s="308"/>
      <c r="I991" s="308"/>
      <c r="J991" s="308"/>
      <c r="K991" s="308"/>
      <c r="L991" s="308"/>
      <c r="M991" s="308"/>
      <c r="N991" s="308"/>
      <c r="O991" s="308"/>
      <c r="P991" s="308"/>
      <c r="Q991" s="308"/>
      <c r="R991" s="308"/>
      <c r="S991" s="308"/>
      <c r="T991" s="308"/>
      <c r="U991" s="308"/>
      <c r="V991" s="308"/>
      <c r="W991" s="308"/>
      <c r="X991" s="308"/>
      <c r="Y991" s="308"/>
      <c r="Z991" s="308"/>
    </row>
    <row r="992" ht="15.75" customHeight="1">
      <c r="A992" s="308"/>
      <c r="B992" s="524"/>
      <c r="C992" s="308"/>
      <c r="D992" s="308"/>
      <c r="E992" s="308"/>
      <c r="F992" s="308"/>
      <c r="G992" s="308"/>
      <c r="H992" s="308"/>
      <c r="I992" s="308"/>
      <c r="J992" s="308"/>
      <c r="K992" s="308"/>
      <c r="L992" s="308"/>
      <c r="M992" s="308"/>
      <c r="N992" s="308"/>
      <c r="O992" s="308"/>
      <c r="P992" s="308"/>
      <c r="Q992" s="308"/>
      <c r="R992" s="308"/>
      <c r="S992" s="308"/>
      <c r="T992" s="308"/>
      <c r="U992" s="308"/>
      <c r="V992" s="308"/>
      <c r="W992" s="308"/>
      <c r="X992" s="308"/>
      <c r="Y992" s="308"/>
      <c r="Z992" s="308"/>
    </row>
    <row r="993" ht="15.75" customHeight="1">
      <c r="A993" s="308"/>
      <c r="B993" s="524"/>
      <c r="C993" s="308"/>
      <c r="D993" s="308"/>
      <c r="E993" s="308"/>
      <c r="F993" s="308"/>
      <c r="G993" s="308"/>
      <c r="H993" s="308"/>
      <c r="I993" s="308"/>
      <c r="J993" s="308"/>
      <c r="K993" s="308"/>
      <c r="L993" s="308"/>
      <c r="M993" s="308"/>
      <c r="N993" s="308"/>
      <c r="O993" s="308"/>
      <c r="P993" s="308"/>
      <c r="Q993" s="308"/>
      <c r="R993" s="308"/>
      <c r="S993" s="308"/>
      <c r="T993" s="308"/>
      <c r="U993" s="308"/>
      <c r="V993" s="308"/>
      <c r="W993" s="308"/>
      <c r="X993" s="308"/>
      <c r="Y993" s="308"/>
      <c r="Z993" s="308"/>
    </row>
    <row r="994" ht="15.75" customHeight="1">
      <c r="A994" s="308"/>
      <c r="B994" s="524"/>
      <c r="C994" s="308"/>
      <c r="D994" s="308"/>
      <c r="E994" s="308"/>
      <c r="F994" s="308"/>
      <c r="G994" s="308"/>
      <c r="H994" s="308"/>
      <c r="I994" s="308"/>
      <c r="J994" s="308"/>
      <c r="K994" s="308"/>
      <c r="L994" s="308"/>
      <c r="M994" s="308"/>
      <c r="N994" s="308"/>
      <c r="O994" s="308"/>
      <c r="P994" s="308"/>
      <c r="Q994" s="308"/>
      <c r="R994" s="308"/>
      <c r="S994" s="308"/>
      <c r="T994" s="308"/>
      <c r="U994" s="308"/>
      <c r="V994" s="308"/>
      <c r="W994" s="308"/>
      <c r="X994" s="308"/>
      <c r="Y994" s="308"/>
      <c r="Z994" s="308"/>
    </row>
    <row r="995" ht="15.75" customHeight="1">
      <c r="A995" s="308"/>
      <c r="B995" s="524"/>
      <c r="C995" s="308"/>
      <c r="D995" s="308"/>
      <c r="E995" s="308"/>
      <c r="F995" s="308"/>
      <c r="G995" s="308"/>
      <c r="H995" s="308"/>
      <c r="I995" s="308"/>
      <c r="J995" s="308"/>
      <c r="K995" s="308"/>
      <c r="L995" s="308"/>
      <c r="M995" s="308"/>
      <c r="N995" s="308"/>
      <c r="O995" s="308"/>
      <c r="P995" s="308"/>
      <c r="Q995" s="308"/>
      <c r="R995" s="308"/>
      <c r="S995" s="308"/>
      <c r="T995" s="308"/>
      <c r="U995" s="308"/>
      <c r="V995" s="308"/>
      <c r="W995" s="308"/>
      <c r="X995" s="308"/>
      <c r="Y995" s="308"/>
      <c r="Z995" s="308"/>
    </row>
    <row r="996" ht="15.75" customHeight="1">
      <c r="A996" s="308"/>
      <c r="B996" s="524"/>
      <c r="C996" s="308"/>
      <c r="D996" s="308"/>
      <c r="E996" s="308"/>
      <c r="F996" s="308"/>
      <c r="G996" s="308"/>
      <c r="H996" s="308"/>
      <c r="I996" s="308"/>
      <c r="J996" s="308"/>
      <c r="K996" s="308"/>
      <c r="L996" s="308"/>
      <c r="M996" s="308"/>
      <c r="N996" s="308"/>
      <c r="O996" s="308"/>
      <c r="P996" s="308"/>
      <c r="Q996" s="308"/>
      <c r="R996" s="308"/>
      <c r="S996" s="308"/>
      <c r="T996" s="308"/>
      <c r="U996" s="308"/>
      <c r="V996" s="308"/>
      <c r="W996" s="308"/>
      <c r="X996" s="308"/>
      <c r="Y996" s="308"/>
      <c r="Z996" s="308"/>
    </row>
    <row r="997" ht="15.75" customHeight="1">
      <c r="A997" s="308"/>
      <c r="B997" s="524"/>
      <c r="C997" s="308"/>
      <c r="D997" s="308"/>
      <c r="E997" s="308"/>
      <c r="F997" s="308"/>
      <c r="G997" s="308"/>
      <c r="H997" s="308"/>
      <c r="I997" s="308"/>
      <c r="J997" s="308"/>
      <c r="K997" s="308"/>
      <c r="L997" s="308"/>
      <c r="M997" s="308"/>
      <c r="N997" s="308"/>
      <c r="O997" s="308"/>
      <c r="P997" s="308"/>
      <c r="Q997" s="308"/>
      <c r="R997" s="308"/>
      <c r="S997" s="308"/>
      <c r="T997" s="308"/>
      <c r="U997" s="308"/>
      <c r="V997" s="308"/>
      <c r="W997" s="308"/>
      <c r="X997" s="308"/>
      <c r="Y997" s="308"/>
      <c r="Z997" s="308"/>
    </row>
    <row r="998" ht="15.75" customHeight="1">
      <c r="A998" s="308"/>
      <c r="B998" s="524"/>
      <c r="C998" s="308"/>
      <c r="D998" s="308"/>
      <c r="E998" s="308"/>
      <c r="F998" s="308"/>
      <c r="G998" s="308"/>
      <c r="H998" s="308"/>
      <c r="I998" s="308"/>
      <c r="J998" s="308"/>
      <c r="K998" s="308"/>
      <c r="L998" s="308"/>
      <c r="M998" s="308"/>
      <c r="N998" s="308"/>
      <c r="O998" s="308"/>
      <c r="P998" s="308"/>
      <c r="Q998" s="308"/>
      <c r="R998" s="308"/>
      <c r="S998" s="308"/>
      <c r="T998" s="308"/>
      <c r="U998" s="308"/>
      <c r="V998" s="308"/>
      <c r="W998" s="308"/>
      <c r="X998" s="308"/>
      <c r="Y998" s="308"/>
      <c r="Z998" s="308"/>
    </row>
    <row r="999" ht="15.75" customHeight="1">
      <c r="A999" s="308"/>
      <c r="B999" s="524"/>
      <c r="C999" s="308"/>
      <c r="D999" s="308"/>
      <c r="E999" s="308"/>
      <c r="F999" s="308"/>
      <c r="G999" s="308"/>
      <c r="H999" s="308"/>
      <c r="I999" s="308"/>
      <c r="J999" s="308"/>
      <c r="K999" s="308"/>
      <c r="L999" s="308"/>
      <c r="M999" s="308"/>
      <c r="N999" s="308"/>
      <c r="O999" s="308"/>
      <c r="P999" s="308"/>
      <c r="Q999" s="308"/>
      <c r="R999" s="308"/>
      <c r="S999" s="308"/>
      <c r="T999" s="308"/>
      <c r="U999" s="308"/>
      <c r="V999" s="308"/>
      <c r="W999" s="308"/>
      <c r="X999" s="308"/>
      <c r="Y999" s="308"/>
      <c r="Z999" s="308"/>
    </row>
    <row r="1000" ht="15.75" customHeight="1">
      <c r="A1000" s="308"/>
      <c r="B1000" s="524"/>
      <c r="C1000" s="308"/>
      <c r="D1000" s="308"/>
      <c r="E1000" s="308"/>
      <c r="F1000" s="308"/>
      <c r="G1000" s="308"/>
      <c r="H1000" s="308"/>
      <c r="I1000" s="308"/>
      <c r="J1000" s="308"/>
      <c r="K1000" s="308"/>
      <c r="L1000" s="308"/>
      <c r="M1000" s="308"/>
      <c r="N1000" s="308"/>
      <c r="O1000" s="308"/>
      <c r="P1000" s="308"/>
      <c r="Q1000" s="308"/>
      <c r="R1000" s="308"/>
      <c r="S1000" s="308"/>
      <c r="T1000" s="308"/>
      <c r="U1000" s="308"/>
      <c r="V1000" s="308"/>
      <c r="W1000" s="308"/>
      <c r="X1000" s="308"/>
      <c r="Y1000" s="308"/>
      <c r="Z1000" s="308"/>
    </row>
    <row r="1001" ht="15.75" customHeight="1">
      <c r="A1001" s="308"/>
      <c r="B1001" s="524"/>
      <c r="C1001" s="308"/>
      <c r="D1001" s="308"/>
      <c r="E1001" s="308"/>
      <c r="F1001" s="308"/>
      <c r="G1001" s="308"/>
      <c r="H1001" s="308"/>
      <c r="I1001" s="308"/>
      <c r="J1001" s="308"/>
      <c r="K1001" s="308"/>
      <c r="L1001" s="308"/>
      <c r="M1001" s="308"/>
      <c r="N1001" s="308"/>
      <c r="O1001" s="308"/>
      <c r="P1001" s="308"/>
      <c r="Q1001" s="308"/>
      <c r="R1001" s="308"/>
      <c r="S1001" s="308"/>
      <c r="T1001" s="308"/>
      <c r="U1001" s="308"/>
      <c r="V1001" s="308"/>
      <c r="W1001" s="308"/>
      <c r="X1001" s="308"/>
      <c r="Y1001" s="308"/>
      <c r="Z1001" s="308"/>
    </row>
    <row r="1002" ht="15.75" customHeight="1">
      <c r="A1002" s="308"/>
      <c r="B1002" s="524"/>
      <c r="C1002" s="308"/>
      <c r="D1002" s="308"/>
      <c r="E1002" s="308"/>
      <c r="F1002" s="308"/>
      <c r="G1002" s="308"/>
      <c r="H1002" s="308"/>
      <c r="I1002" s="308"/>
      <c r="J1002" s="308"/>
      <c r="K1002" s="308"/>
      <c r="L1002" s="308"/>
      <c r="M1002" s="308"/>
      <c r="N1002" s="308"/>
      <c r="O1002" s="308"/>
      <c r="P1002" s="308"/>
      <c r="Q1002" s="308"/>
      <c r="R1002" s="308"/>
      <c r="S1002" s="308"/>
      <c r="T1002" s="308"/>
      <c r="U1002" s="308"/>
      <c r="V1002" s="308"/>
      <c r="W1002" s="308"/>
      <c r="X1002" s="308"/>
      <c r="Y1002" s="308"/>
      <c r="Z1002" s="308"/>
    </row>
    <row r="1003" ht="15.75" customHeight="1">
      <c r="A1003" s="308"/>
      <c r="B1003" s="524"/>
      <c r="C1003" s="308"/>
      <c r="D1003" s="308"/>
      <c r="E1003" s="308"/>
      <c r="F1003" s="308"/>
      <c r="G1003" s="308"/>
      <c r="H1003" s="308"/>
      <c r="I1003" s="308"/>
      <c r="J1003" s="308"/>
      <c r="K1003" s="308"/>
      <c r="L1003" s="308"/>
      <c r="M1003" s="308"/>
      <c r="N1003" s="308"/>
      <c r="O1003" s="308"/>
      <c r="P1003" s="308"/>
      <c r="Q1003" s="308"/>
      <c r="R1003" s="308"/>
      <c r="S1003" s="308"/>
      <c r="T1003" s="308"/>
      <c r="U1003" s="308"/>
      <c r="V1003" s="308"/>
      <c r="W1003" s="308"/>
      <c r="X1003" s="308"/>
      <c r="Y1003" s="308"/>
      <c r="Z1003" s="308"/>
    </row>
    <row r="1004" ht="15.75" customHeight="1">
      <c r="A1004" s="308"/>
      <c r="B1004" s="524"/>
      <c r="C1004" s="308"/>
      <c r="D1004" s="308"/>
      <c r="E1004" s="308"/>
      <c r="F1004" s="308"/>
      <c r="G1004" s="308"/>
      <c r="H1004" s="308"/>
      <c r="I1004" s="308"/>
      <c r="J1004" s="308"/>
      <c r="K1004" s="308"/>
      <c r="L1004" s="308"/>
      <c r="M1004" s="308"/>
      <c r="N1004" s="308"/>
      <c r="O1004" s="308"/>
      <c r="P1004" s="308"/>
      <c r="Q1004" s="308"/>
      <c r="R1004" s="308"/>
      <c r="S1004" s="308"/>
      <c r="T1004" s="308"/>
      <c r="U1004" s="308"/>
      <c r="V1004" s="308"/>
      <c r="W1004" s="308"/>
      <c r="X1004" s="308"/>
      <c r="Y1004" s="308"/>
      <c r="Z1004" s="308"/>
    </row>
    <row r="1005" ht="15.75" customHeight="1">
      <c r="A1005" s="308"/>
      <c r="B1005" s="524"/>
      <c r="C1005" s="308"/>
      <c r="D1005" s="308"/>
      <c r="E1005" s="308"/>
      <c r="F1005" s="308"/>
      <c r="G1005" s="308"/>
      <c r="H1005" s="308"/>
      <c r="I1005" s="308"/>
      <c r="J1005" s="308"/>
      <c r="K1005" s="308"/>
      <c r="L1005" s="308"/>
      <c r="M1005" s="308"/>
      <c r="N1005" s="308"/>
      <c r="O1005" s="308"/>
      <c r="P1005" s="308"/>
      <c r="Q1005" s="308"/>
      <c r="R1005" s="308"/>
      <c r="S1005" s="308"/>
      <c r="T1005" s="308"/>
      <c r="U1005" s="308"/>
      <c r="V1005" s="308"/>
      <c r="W1005" s="308"/>
      <c r="X1005" s="308"/>
      <c r="Y1005" s="308"/>
      <c r="Z1005" s="308"/>
    </row>
    <row r="1006" ht="15.75" customHeight="1">
      <c r="A1006" s="308"/>
      <c r="B1006" s="524"/>
      <c r="C1006" s="308"/>
      <c r="D1006" s="308"/>
      <c r="E1006" s="308"/>
      <c r="F1006" s="308"/>
      <c r="G1006" s="308"/>
      <c r="H1006" s="308"/>
      <c r="I1006" s="308"/>
      <c r="J1006" s="308"/>
      <c r="K1006" s="308"/>
      <c r="L1006" s="308"/>
      <c r="M1006" s="308"/>
      <c r="N1006" s="308"/>
      <c r="O1006" s="308"/>
      <c r="P1006" s="308"/>
      <c r="Q1006" s="308"/>
      <c r="R1006" s="308"/>
      <c r="S1006" s="308"/>
      <c r="T1006" s="308"/>
      <c r="U1006" s="308"/>
      <c r="V1006" s="308"/>
      <c r="W1006" s="308"/>
      <c r="X1006" s="308"/>
      <c r="Y1006" s="308"/>
      <c r="Z1006" s="308"/>
    </row>
    <row r="1007" ht="15.75" customHeight="1">
      <c r="A1007" s="308"/>
      <c r="B1007" s="524"/>
      <c r="C1007" s="308"/>
      <c r="D1007" s="308"/>
      <c r="E1007" s="308"/>
      <c r="F1007" s="308"/>
      <c r="G1007" s="308"/>
      <c r="H1007" s="308"/>
      <c r="I1007" s="308"/>
      <c r="J1007" s="308"/>
      <c r="K1007" s="308"/>
      <c r="L1007" s="308"/>
      <c r="M1007" s="308"/>
      <c r="N1007" s="308"/>
      <c r="O1007" s="308"/>
      <c r="P1007" s="308"/>
      <c r="Q1007" s="308"/>
      <c r="R1007" s="308"/>
      <c r="S1007" s="308"/>
      <c r="T1007" s="308"/>
      <c r="U1007" s="308"/>
      <c r="V1007" s="308"/>
      <c r="W1007" s="308"/>
      <c r="X1007" s="308"/>
      <c r="Y1007" s="308"/>
      <c r="Z1007" s="308"/>
    </row>
    <row r="1008" ht="15.75" customHeight="1">
      <c r="A1008" s="308"/>
      <c r="B1008" s="524"/>
      <c r="C1008" s="308"/>
      <c r="D1008" s="308"/>
      <c r="E1008" s="308"/>
      <c r="F1008" s="308"/>
      <c r="G1008" s="308"/>
      <c r="H1008" s="308"/>
      <c r="I1008" s="308"/>
      <c r="J1008" s="308"/>
      <c r="K1008" s="308"/>
      <c r="L1008" s="308"/>
      <c r="M1008" s="308"/>
      <c r="N1008" s="308"/>
      <c r="O1008" s="308"/>
      <c r="P1008" s="308"/>
      <c r="Q1008" s="308"/>
      <c r="R1008" s="308"/>
      <c r="S1008" s="308"/>
      <c r="T1008" s="308"/>
      <c r="U1008" s="308"/>
      <c r="V1008" s="308"/>
      <c r="W1008" s="308"/>
      <c r="X1008" s="308"/>
      <c r="Y1008" s="308"/>
      <c r="Z1008" s="308"/>
    </row>
    <row r="1009" ht="15.75" customHeight="1">
      <c r="A1009" s="308"/>
      <c r="B1009" s="524"/>
      <c r="C1009" s="308"/>
      <c r="D1009" s="308"/>
      <c r="E1009" s="308"/>
      <c r="F1009" s="308"/>
      <c r="G1009" s="308"/>
      <c r="H1009" s="308"/>
      <c r="I1009" s="308"/>
      <c r="J1009" s="308"/>
      <c r="K1009" s="308"/>
      <c r="L1009" s="308"/>
      <c r="M1009" s="308"/>
      <c r="N1009" s="308"/>
      <c r="O1009" s="308"/>
      <c r="P1009" s="308"/>
      <c r="Q1009" s="308"/>
      <c r="R1009" s="308"/>
      <c r="S1009" s="308"/>
      <c r="T1009" s="308"/>
      <c r="U1009" s="308"/>
      <c r="V1009" s="308"/>
      <c r="W1009" s="308"/>
      <c r="X1009" s="308"/>
      <c r="Y1009" s="308"/>
      <c r="Z1009" s="308"/>
    </row>
    <row r="1010" ht="15.75" customHeight="1">
      <c r="A1010" s="308"/>
      <c r="B1010" s="524"/>
      <c r="C1010" s="308"/>
      <c r="D1010" s="308"/>
      <c r="E1010" s="308"/>
      <c r="F1010" s="308"/>
      <c r="G1010" s="308"/>
      <c r="H1010" s="308"/>
      <c r="I1010" s="308"/>
      <c r="J1010" s="308"/>
      <c r="K1010" s="308"/>
      <c r="L1010" s="308"/>
      <c r="M1010" s="308"/>
      <c r="N1010" s="308"/>
      <c r="O1010" s="308"/>
      <c r="P1010" s="308"/>
      <c r="Q1010" s="308"/>
      <c r="R1010" s="308"/>
      <c r="S1010" s="308"/>
      <c r="T1010" s="308"/>
      <c r="U1010" s="308"/>
      <c r="V1010" s="308"/>
      <c r="W1010" s="308"/>
      <c r="X1010" s="308"/>
      <c r="Y1010" s="308"/>
      <c r="Z1010" s="308"/>
    </row>
    <row r="1011" ht="15.75" customHeight="1">
      <c r="A1011" s="308"/>
      <c r="B1011" s="524"/>
      <c r="C1011" s="308"/>
      <c r="D1011" s="308"/>
      <c r="E1011" s="308"/>
      <c r="F1011" s="308"/>
      <c r="G1011" s="308"/>
      <c r="H1011" s="308"/>
      <c r="I1011" s="308"/>
      <c r="J1011" s="308"/>
      <c r="K1011" s="308"/>
      <c r="L1011" s="308"/>
      <c r="M1011" s="308"/>
      <c r="N1011" s="308"/>
      <c r="O1011" s="308"/>
      <c r="P1011" s="308"/>
      <c r="Q1011" s="308"/>
      <c r="R1011" s="308"/>
      <c r="S1011" s="308"/>
      <c r="T1011" s="308"/>
      <c r="U1011" s="308"/>
      <c r="V1011" s="308"/>
      <c r="W1011" s="308"/>
      <c r="X1011" s="308"/>
      <c r="Y1011" s="308"/>
      <c r="Z1011" s="308"/>
    </row>
    <row r="1012" ht="15.75" customHeight="1">
      <c r="A1012" s="308"/>
      <c r="B1012" s="524"/>
      <c r="C1012" s="308"/>
      <c r="D1012" s="308"/>
      <c r="E1012" s="308"/>
      <c r="F1012" s="308"/>
      <c r="G1012" s="308"/>
      <c r="H1012" s="308"/>
      <c r="I1012" s="308"/>
      <c r="J1012" s="308"/>
      <c r="K1012" s="308"/>
      <c r="L1012" s="308"/>
      <c r="M1012" s="308"/>
      <c r="N1012" s="308"/>
      <c r="O1012" s="308"/>
      <c r="P1012" s="308"/>
      <c r="Q1012" s="308"/>
      <c r="R1012" s="308"/>
      <c r="S1012" s="308"/>
      <c r="T1012" s="308"/>
      <c r="U1012" s="308"/>
      <c r="V1012" s="308"/>
      <c r="W1012" s="308"/>
      <c r="X1012" s="308"/>
      <c r="Y1012" s="308"/>
      <c r="Z1012" s="308"/>
    </row>
    <row r="1013" ht="15.75" customHeight="1">
      <c r="A1013" s="308"/>
      <c r="B1013" s="524"/>
      <c r="C1013" s="308"/>
      <c r="D1013" s="308"/>
      <c r="E1013" s="308"/>
      <c r="F1013" s="308"/>
      <c r="G1013" s="308"/>
      <c r="H1013" s="308"/>
      <c r="I1013" s="308"/>
      <c r="J1013" s="308"/>
      <c r="K1013" s="308"/>
      <c r="L1013" s="308"/>
      <c r="M1013" s="308"/>
      <c r="N1013" s="308"/>
      <c r="O1013" s="308"/>
      <c r="P1013" s="308"/>
      <c r="Q1013" s="308"/>
      <c r="R1013" s="308"/>
      <c r="S1013" s="308"/>
      <c r="T1013" s="308"/>
      <c r="U1013" s="308"/>
      <c r="V1013" s="308"/>
      <c r="W1013" s="308"/>
      <c r="X1013" s="308"/>
      <c r="Y1013" s="308"/>
      <c r="Z1013" s="308"/>
    </row>
    <row r="1014" ht="15.75" customHeight="1">
      <c r="A1014" s="308"/>
      <c r="B1014" s="524"/>
      <c r="C1014" s="308"/>
      <c r="D1014" s="308"/>
      <c r="E1014" s="308"/>
      <c r="F1014" s="308"/>
      <c r="G1014" s="308"/>
      <c r="H1014" s="308"/>
      <c r="I1014" s="308"/>
      <c r="J1014" s="308"/>
      <c r="K1014" s="308"/>
      <c r="L1014" s="308"/>
      <c r="M1014" s="308"/>
      <c r="N1014" s="308"/>
      <c r="O1014" s="308"/>
      <c r="P1014" s="308"/>
      <c r="Q1014" s="308"/>
      <c r="R1014" s="308"/>
      <c r="S1014" s="308"/>
      <c r="T1014" s="308"/>
      <c r="U1014" s="308"/>
      <c r="V1014" s="308"/>
      <c r="W1014" s="308"/>
      <c r="X1014" s="308"/>
      <c r="Y1014" s="308"/>
      <c r="Z1014" s="308"/>
    </row>
    <row r="1015" ht="15.75" customHeight="1">
      <c r="A1015" s="308"/>
      <c r="B1015" s="524"/>
      <c r="C1015" s="308"/>
      <c r="D1015" s="308"/>
      <c r="E1015" s="308"/>
      <c r="F1015" s="308"/>
      <c r="G1015" s="308"/>
      <c r="H1015" s="308"/>
      <c r="I1015" s="308"/>
      <c r="J1015" s="308"/>
      <c r="K1015" s="308"/>
      <c r="L1015" s="308"/>
      <c r="M1015" s="308"/>
      <c r="N1015" s="308"/>
      <c r="O1015" s="308"/>
      <c r="P1015" s="308"/>
      <c r="Q1015" s="308"/>
      <c r="R1015" s="308"/>
      <c r="S1015" s="308"/>
      <c r="T1015" s="308"/>
      <c r="U1015" s="308"/>
      <c r="V1015" s="308"/>
      <c r="W1015" s="308"/>
      <c r="X1015" s="308"/>
      <c r="Y1015" s="308"/>
      <c r="Z1015" s="308"/>
    </row>
    <row r="1016" ht="15.75" customHeight="1">
      <c r="A1016" s="308"/>
      <c r="B1016" s="524"/>
      <c r="C1016" s="308"/>
      <c r="D1016" s="308"/>
      <c r="E1016" s="308"/>
      <c r="F1016" s="308"/>
      <c r="G1016" s="308"/>
      <c r="H1016" s="308"/>
      <c r="I1016" s="308"/>
      <c r="J1016" s="308"/>
      <c r="K1016" s="308"/>
      <c r="L1016" s="308"/>
      <c r="M1016" s="308"/>
      <c r="N1016" s="308"/>
      <c r="O1016" s="308"/>
      <c r="P1016" s="308"/>
      <c r="Q1016" s="308"/>
      <c r="R1016" s="308"/>
      <c r="S1016" s="308"/>
      <c r="T1016" s="308"/>
      <c r="U1016" s="308"/>
      <c r="V1016" s="308"/>
      <c r="W1016" s="308"/>
      <c r="X1016" s="308"/>
      <c r="Y1016" s="308"/>
      <c r="Z1016" s="308"/>
    </row>
    <row r="1017" ht="15.75" customHeight="1">
      <c r="A1017" s="308"/>
      <c r="B1017" s="524"/>
      <c r="C1017" s="308"/>
      <c r="D1017" s="308"/>
      <c r="E1017" s="308"/>
      <c r="F1017" s="308"/>
      <c r="G1017" s="308"/>
      <c r="H1017" s="308"/>
      <c r="I1017" s="308"/>
      <c r="J1017" s="308"/>
      <c r="K1017" s="308"/>
      <c r="L1017" s="308"/>
      <c r="M1017" s="308"/>
      <c r="N1017" s="308"/>
      <c r="O1017" s="308"/>
      <c r="P1017" s="308"/>
      <c r="Q1017" s="308"/>
      <c r="R1017" s="308"/>
      <c r="S1017" s="308"/>
      <c r="T1017" s="308"/>
      <c r="U1017" s="308"/>
      <c r="V1017" s="308"/>
      <c r="W1017" s="308"/>
      <c r="X1017" s="308"/>
      <c r="Y1017" s="308"/>
      <c r="Z1017" s="308"/>
    </row>
    <row r="1018" ht="15.75" customHeight="1">
      <c r="A1018" s="308"/>
      <c r="B1018" s="524"/>
      <c r="C1018" s="308"/>
      <c r="D1018" s="308"/>
      <c r="E1018" s="308"/>
      <c r="F1018" s="308"/>
      <c r="G1018" s="308"/>
      <c r="H1018" s="308"/>
      <c r="I1018" s="308"/>
      <c r="J1018" s="308"/>
      <c r="K1018" s="308"/>
      <c r="L1018" s="308"/>
      <c r="M1018" s="308"/>
      <c r="N1018" s="308"/>
      <c r="O1018" s="308"/>
      <c r="P1018" s="308"/>
      <c r="Q1018" s="308"/>
      <c r="R1018" s="308"/>
      <c r="S1018" s="308"/>
      <c r="T1018" s="308"/>
      <c r="U1018" s="308"/>
      <c r="V1018" s="308"/>
      <c r="W1018" s="308"/>
      <c r="X1018" s="308"/>
      <c r="Y1018" s="308"/>
      <c r="Z1018" s="308"/>
    </row>
    <row r="1019" ht="15.75" customHeight="1">
      <c r="A1019" s="308"/>
      <c r="B1019" s="524"/>
      <c r="C1019" s="308"/>
      <c r="D1019" s="308"/>
      <c r="E1019" s="308"/>
      <c r="F1019" s="308"/>
      <c r="G1019" s="308"/>
      <c r="H1019" s="308"/>
      <c r="I1019" s="308"/>
      <c r="J1019" s="308"/>
      <c r="K1019" s="308"/>
      <c r="L1019" s="308"/>
      <c r="M1019" s="308"/>
      <c r="N1019" s="308"/>
      <c r="O1019" s="308"/>
      <c r="P1019" s="308"/>
      <c r="Q1019" s="308"/>
      <c r="R1019" s="308"/>
      <c r="S1019" s="308"/>
      <c r="T1019" s="308"/>
      <c r="U1019" s="308"/>
      <c r="V1019" s="308"/>
      <c r="W1019" s="308"/>
      <c r="X1019" s="308"/>
      <c r="Y1019" s="308"/>
      <c r="Z1019" s="308"/>
    </row>
    <row r="1020" ht="15.75" customHeight="1">
      <c r="A1020" s="308"/>
      <c r="B1020" s="524"/>
      <c r="C1020" s="308"/>
      <c r="D1020" s="308"/>
      <c r="E1020" s="308"/>
      <c r="F1020" s="308"/>
      <c r="G1020" s="308"/>
      <c r="H1020" s="308"/>
      <c r="I1020" s="308"/>
      <c r="J1020" s="308"/>
      <c r="K1020" s="308"/>
      <c r="L1020" s="308"/>
      <c r="M1020" s="308"/>
      <c r="N1020" s="308"/>
      <c r="O1020" s="308"/>
      <c r="P1020" s="308"/>
      <c r="Q1020" s="308"/>
      <c r="R1020" s="308"/>
      <c r="S1020" s="308"/>
      <c r="T1020" s="308"/>
      <c r="U1020" s="308"/>
      <c r="V1020" s="308"/>
      <c r="W1020" s="308"/>
      <c r="X1020" s="308"/>
      <c r="Y1020" s="308"/>
      <c r="Z1020" s="308"/>
    </row>
    <row r="1021" ht="15.75" customHeight="1">
      <c r="A1021" s="308"/>
      <c r="B1021" s="524"/>
      <c r="C1021" s="308"/>
      <c r="D1021" s="308"/>
      <c r="E1021" s="308"/>
      <c r="F1021" s="308"/>
      <c r="G1021" s="308"/>
      <c r="H1021" s="308"/>
      <c r="I1021" s="308"/>
      <c r="J1021" s="308"/>
      <c r="K1021" s="308"/>
      <c r="L1021" s="308"/>
      <c r="M1021" s="308"/>
      <c r="N1021" s="308"/>
      <c r="O1021" s="308"/>
      <c r="P1021" s="308"/>
      <c r="Q1021" s="308"/>
      <c r="R1021" s="308"/>
      <c r="S1021" s="308"/>
      <c r="T1021" s="308"/>
      <c r="U1021" s="308"/>
      <c r="V1021" s="308"/>
      <c r="W1021" s="308"/>
      <c r="X1021" s="308"/>
      <c r="Y1021" s="308"/>
      <c r="Z1021" s="308"/>
    </row>
    <row r="1022" ht="15.75" customHeight="1">
      <c r="A1022" s="308"/>
      <c r="B1022" s="524"/>
      <c r="C1022" s="308"/>
      <c r="D1022" s="308"/>
      <c r="E1022" s="308"/>
      <c r="F1022" s="308"/>
      <c r="G1022" s="308"/>
      <c r="H1022" s="308"/>
      <c r="I1022" s="308"/>
      <c r="J1022" s="308"/>
      <c r="K1022" s="308"/>
      <c r="L1022" s="308"/>
      <c r="M1022" s="308"/>
      <c r="N1022" s="308"/>
      <c r="O1022" s="308"/>
      <c r="P1022" s="308"/>
      <c r="Q1022" s="308"/>
      <c r="R1022" s="308"/>
      <c r="S1022" s="308"/>
      <c r="T1022" s="308"/>
      <c r="U1022" s="308"/>
      <c r="V1022" s="308"/>
      <c r="W1022" s="308"/>
      <c r="X1022" s="308"/>
      <c r="Y1022" s="308"/>
      <c r="Z1022" s="308"/>
    </row>
    <row r="1023" ht="15.75" customHeight="1">
      <c r="A1023" s="308"/>
      <c r="B1023" s="524"/>
      <c r="C1023" s="308"/>
      <c r="D1023" s="308"/>
      <c r="E1023" s="308"/>
      <c r="F1023" s="308"/>
      <c r="G1023" s="308"/>
      <c r="H1023" s="308"/>
      <c r="I1023" s="308"/>
      <c r="J1023" s="308"/>
      <c r="K1023" s="308"/>
      <c r="L1023" s="308"/>
      <c r="M1023" s="308"/>
      <c r="N1023" s="308"/>
      <c r="O1023" s="308"/>
      <c r="P1023" s="308"/>
      <c r="Q1023" s="308"/>
      <c r="R1023" s="308"/>
      <c r="S1023" s="308"/>
      <c r="T1023" s="308"/>
      <c r="U1023" s="308"/>
      <c r="V1023" s="308"/>
      <c r="W1023" s="308"/>
      <c r="X1023" s="308"/>
      <c r="Y1023" s="308"/>
      <c r="Z1023" s="308"/>
    </row>
    <row r="1024" ht="15.75" customHeight="1">
      <c r="A1024" s="308"/>
      <c r="B1024" s="524"/>
      <c r="C1024" s="308"/>
      <c r="D1024" s="308"/>
      <c r="E1024" s="308"/>
      <c r="F1024" s="308"/>
      <c r="G1024" s="308"/>
      <c r="H1024" s="308"/>
      <c r="I1024" s="308"/>
      <c r="J1024" s="308"/>
      <c r="K1024" s="308"/>
      <c r="L1024" s="308"/>
      <c r="M1024" s="308"/>
      <c r="N1024" s="308"/>
      <c r="O1024" s="308"/>
      <c r="P1024" s="308"/>
      <c r="Q1024" s="308"/>
      <c r="R1024" s="308"/>
      <c r="S1024" s="308"/>
      <c r="T1024" s="308"/>
      <c r="U1024" s="308"/>
      <c r="V1024" s="308"/>
      <c r="W1024" s="308"/>
      <c r="X1024" s="308"/>
      <c r="Y1024" s="308"/>
      <c r="Z1024" s="308"/>
    </row>
    <row r="1025" ht="15.75" customHeight="1">
      <c r="A1025" s="308"/>
      <c r="B1025" s="524"/>
      <c r="C1025" s="308"/>
      <c r="D1025" s="308"/>
      <c r="E1025" s="308"/>
      <c r="F1025" s="308"/>
      <c r="G1025" s="308"/>
      <c r="H1025" s="308"/>
      <c r="I1025" s="308"/>
      <c r="J1025" s="308"/>
      <c r="K1025" s="308"/>
      <c r="L1025" s="308"/>
      <c r="M1025" s="308"/>
      <c r="N1025" s="308"/>
      <c r="O1025" s="308"/>
      <c r="P1025" s="308"/>
      <c r="Q1025" s="308"/>
      <c r="R1025" s="308"/>
      <c r="S1025" s="308"/>
      <c r="T1025" s="308"/>
      <c r="U1025" s="308"/>
      <c r="V1025" s="308"/>
      <c r="W1025" s="308"/>
      <c r="X1025" s="308"/>
      <c r="Y1025" s="308"/>
      <c r="Z1025" s="308"/>
    </row>
    <row r="1026" ht="15.75" customHeight="1">
      <c r="A1026" s="308"/>
      <c r="B1026" s="524"/>
      <c r="C1026" s="308"/>
      <c r="D1026" s="308"/>
      <c r="E1026" s="308"/>
      <c r="F1026" s="308"/>
      <c r="G1026" s="308"/>
      <c r="H1026" s="308"/>
      <c r="I1026" s="308"/>
      <c r="J1026" s="308"/>
      <c r="K1026" s="308"/>
      <c r="L1026" s="308"/>
      <c r="M1026" s="308"/>
      <c r="N1026" s="308"/>
      <c r="O1026" s="308"/>
      <c r="P1026" s="308"/>
      <c r="Q1026" s="308"/>
      <c r="R1026" s="308"/>
      <c r="S1026" s="308"/>
      <c r="T1026" s="308"/>
      <c r="U1026" s="308"/>
      <c r="V1026" s="308"/>
      <c r="W1026" s="308"/>
      <c r="X1026" s="308"/>
      <c r="Y1026" s="308"/>
      <c r="Z1026" s="308"/>
    </row>
    <row r="1027" ht="15.75" customHeight="1">
      <c r="A1027" s="308"/>
      <c r="B1027" s="524"/>
      <c r="C1027" s="308"/>
      <c r="D1027" s="308"/>
      <c r="E1027" s="308"/>
      <c r="F1027" s="308"/>
      <c r="G1027" s="308"/>
      <c r="H1027" s="308"/>
      <c r="I1027" s="308"/>
      <c r="J1027" s="308"/>
      <c r="K1027" s="308"/>
      <c r="L1027" s="308"/>
      <c r="M1027" s="308"/>
      <c r="N1027" s="308"/>
      <c r="O1027" s="308"/>
      <c r="P1027" s="308"/>
      <c r="Q1027" s="308"/>
      <c r="R1027" s="308"/>
      <c r="S1027" s="308"/>
      <c r="T1027" s="308"/>
      <c r="U1027" s="308"/>
      <c r="V1027" s="308"/>
      <c r="W1027" s="308"/>
      <c r="X1027" s="308"/>
      <c r="Y1027" s="308"/>
      <c r="Z1027" s="308"/>
    </row>
    <row r="1028" ht="15.75" customHeight="1">
      <c r="A1028" s="308"/>
      <c r="B1028" s="524"/>
      <c r="C1028" s="308"/>
      <c r="D1028" s="308"/>
      <c r="E1028" s="308"/>
      <c r="F1028" s="308"/>
      <c r="G1028" s="308"/>
      <c r="H1028" s="308"/>
      <c r="I1028" s="308"/>
      <c r="J1028" s="308"/>
      <c r="K1028" s="308"/>
      <c r="L1028" s="308"/>
      <c r="M1028" s="308"/>
      <c r="N1028" s="308"/>
      <c r="O1028" s="308"/>
      <c r="P1028" s="308"/>
      <c r="Q1028" s="308"/>
      <c r="R1028" s="308"/>
      <c r="S1028" s="308"/>
      <c r="T1028" s="308"/>
      <c r="U1028" s="308"/>
      <c r="V1028" s="308"/>
      <c r="W1028" s="308"/>
      <c r="X1028" s="308"/>
      <c r="Y1028" s="308"/>
      <c r="Z1028" s="308"/>
    </row>
    <row r="1029" ht="15.75" customHeight="1">
      <c r="A1029" s="308"/>
      <c r="B1029" s="524"/>
      <c r="C1029" s="308"/>
      <c r="D1029" s="308"/>
      <c r="E1029" s="308"/>
      <c r="F1029" s="308"/>
      <c r="G1029" s="308"/>
      <c r="H1029" s="308"/>
      <c r="I1029" s="308"/>
      <c r="J1029" s="308"/>
      <c r="K1029" s="308"/>
      <c r="L1029" s="308"/>
      <c r="M1029" s="308"/>
      <c r="N1029" s="308"/>
      <c r="O1029" s="308"/>
      <c r="P1029" s="308"/>
      <c r="Q1029" s="308"/>
      <c r="R1029" s="308"/>
      <c r="S1029" s="308"/>
      <c r="T1029" s="308"/>
      <c r="U1029" s="308"/>
      <c r="V1029" s="308"/>
      <c r="W1029" s="308"/>
      <c r="X1029" s="308"/>
      <c r="Y1029" s="308"/>
      <c r="Z1029" s="308"/>
    </row>
    <row r="1030" ht="15.75" customHeight="1">
      <c r="A1030" s="308"/>
      <c r="B1030" s="524"/>
      <c r="C1030" s="308"/>
      <c r="D1030" s="308"/>
      <c r="E1030" s="308"/>
      <c r="F1030" s="308"/>
      <c r="G1030" s="308"/>
      <c r="H1030" s="308"/>
      <c r="I1030" s="308"/>
      <c r="J1030" s="308"/>
      <c r="K1030" s="308"/>
      <c r="L1030" s="308"/>
      <c r="M1030" s="308"/>
      <c r="N1030" s="308"/>
      <c r="O1030" s="308"/>
      <c r="P1030" s="308"/>
      <c r="Q1030" s="308"/>
      <c r="R1030" s="308"/>
      <c r="S1030" s="308"/>
      <c r="T1030" s="308"/>
      <c r="U1030" s="308"/>
      <c r="V1030" s="308"/>
      <c r="W1030" s="308"/>
      <c r="X1030" s="308"/>
      <c r="Y1030" s="308"/>
      <c r="Z1030" s="308"/>
    </row>
    <row r="1031" ht="15.75" customHeight="1">
      <c r="A1031" s="308"/>
      <c r="B1031" s="524"/>
      <c r="C1031" s="308"/>
      <c r="D1031" s="308"/>
      <c r="E1031" s="308"/>
      <c r="F1031" s="308"/>
      <c r="G1031" s="308"/>
      <c r="H1031" s="308"/>
      <c r="I1031" s="308"/>
      <c r="J1031" s="308"/>
      <c r="K1031" s="308"/>
      <c r="L1031" s="308"/>
      <c r="M1031" s="308"/>
      <c r="N1031" s="308"/>
      <c r="O1031" s="308"/>
      <c r="P1031" s="308"/>
      <c r="Q1031" s="308"/>
      <c r="R1031" s="308"/>
      <c r="S1031" s="308"/>
      <c r="T1031" s="308"/>
      <c r="U1031" s="308"/>
      <c r="V1031" s="308"/>
      <c r="W1031" s="308"/>
      <c r="X1031" s="308"/>
      <c r="Y1031" s="308"/>
      <c r="Z1031" s="308"/>
    </row>
    <row r="1032" ht="15.75" customHeight="1">
      <c r="A1032" s="308"/>
      <c r="B1032" s="524"/>
      <c r="C1032" s="308"/>
      <c r="D1032" s="308"/>
      <c r="E1032" s="308"/>
      <c r="F1032" s="308"/>
      <c r="G1032" s="308"/>
      <c r="H1032" s="308"/>
      <c r="I1032" s="308"/>
      <c r="J1032" s="308"/>
      <c r="K1032" s="308"/>
      <c r="L1032" s="308"/>
      <c r="M1032" s="308"/>
      <c r="N1032" s="308"/>
      <c r="O1032" s="308"/>
      <c r="P1032" s="308"/>
      <c r="Q1032" s="308"/>
      <c r="R1032" s="308"/>
      <c r="S1032" s="308"/>
      <c r="T1032" s="308"/>
      <c r="U1032" s="308"/>
      <c r="V1032" s="308"/>
      <c r="W1032" s="308"/>
      <c r="X1032" s="308"/>
      <c r="Y1032" s="308"/>
      <c r="Z1032" s="308"/>
    </row>
    <row r="1033" ht="15.75" customHeight="1">
      <c r="A1033" s="308"/>
      <c r="B1033" s="524"/>
      <c r="C1033" s="308"/>
      <c r="D1033" s="308"/>
      <c r="E1033" s="308"/>
      <c r="F1033" s="308"/>
      <c r="G1033" s="308"/>
      <c r="H1033" s="308"/>
      <c r="I1033" s="308"/>
      <c r="J1033" s="308"/>
      <c r="K1033" s="308"/>
      <c r="L1033" s="308"/>
      <c r="M1033" s="308"/>
      <c r="N1033" s="308"/>
      <c r="O1033" s="308"/>
      <c r="P1033" s="308"/>
      <c r="Q1033" s="308"/>
      <c r="R1033" s="308"/>
      <c r="S1033" s="308"/>
      <c r="T1033" s="308"/>
      <c r="U1033" s="308"/>
      <c r="V1033" s="308"/>
      <c r="W1033" s="308"/>
      <c r="X1033" s="308"/>
      <c r="Y1033" s="308"/>
      <c r="Z1033" s="308"/>
    </row>
    <row r="1034" ht="15.75" customHeight="1">
      <c r="A1034" s="308"/>
      <c r="B1034" s="524"/>
      <c r="C1034" s="308"/>
      <c r="D1034" s="308"/>
      <c r="E1034" s="308"/>
      <c r="F1034" s="308"/>
      <c r="G1034" s="308"/>
      <c r="H1034" s="308"/>
      <c r="I1034" s="308"/>
      <c r="J1034" s="308"/>
      <c r="K1034" s="308"/>
      <c r="L1034" s="308"/>
      <c r="M1034" s="308"/>
      <c r="N1034" s="308"/>
      <c r="O1034" s="308"/>
      <c r="P1034" s="308"/>
      <c r="Q1034" s="308"/>
      <c r="R1034" s="308"/>
      <c r="S1034" s="308"/>
      <c r="T1034" s="308"/>
      <c r="U1034" s="308"/>
      <c r="V1034" s="308"/>
      <c r="W1034" s="308"/>
      <c r="X1034" s="308"/>
      <c r="Y1034" s="308"/>
      <c r="Z1034" s="308"/>
    </row>
    <row r="1035" ht="15.75" customHeight="1">
      <c r="A1035" s="308"/>
      <c r="B1035" s="524"/>
      <c r="C1035" s="308"/>
      <c r="D1035" s="308"/>
      <c r="E1035" s="308"/>
      <c r="F1035" s="308"/>
      <c r="G1035" s="308"/>
      <c r="H1035" s="308"/>
      <c r="I1035" s="308"/>
      <c r="J1035" s="308"/>
      <c r="K1035" s="308"/>
      <c r="L1035" s="308"/>
      <c r="M1035" s="308"/>
      <c r="N1035" s="308"/>
      <c r="O1035" s="308"/>
      <c r="P1035" s="308"/>
      <c r="Q1035" s="308"/>
      <c r="R1035" s="308"/>
      <c r="S1035" s="308"/>
      <c r="T1035" s="308"/>
      <c r="U1035" s="308"/>
      <c r="V1035" s="308"/>
      <c r="W1035" s="308"/>
      <c r="X1035" s="308"/>
      <c r="Y1035" s="308"/>
      <c r="Z1035" s="308"/>
    </row>
    <row r="1036" ht="15.75" customHeight="1">
      <c r="A1036" s="308"/>
      <c r="B1036" s="524"/>
      <c r="C1036" s="308"/>
      <c r="D1036" s="308"/>
      <c r="E1036" s="308"/>
      <c r="F1036" s="308"/>
      <c r="G1036" s="308"/>
      <c r="H1036" s="308"/>
      <c r="I1036" s="308"/>
      <c r="J1036" s="308"/>
      <c r="K1036" s="308"/>
      <c r="L1036" s="308"/>
      <c r="M1036" s="308"/>
      <c r="N1036" s="308"/>
      <c r="O1036" s="308"/>
      <c r="P1036" s="308"/>
      <c r="Q1036" s="308"/>
      <c r="R1036" s="308"/>
      <c r="S1036" s="308"/>
      <c r="T1036" s="308"/>
      <c r="U1036" s="308"/>
      <c r="V1036" s="308"/>
      <c r="W1036" s="308"/>
      <c r="X1036" s="308"/>
      <c r="Y1036" s="308"/>
      <c r="Z1036" s="308"/>
    </row>
    <row r="1037" ht="15.75" customHeight="1">
      <c r="A1037" s="308"/>
      <c r="B1037" s="524"/>
      <c r="C1037" s="308"/>
      <c r="D1037" s="308"/>
      <c r="E1037" s="308"/>
      <c r="F1037" s="308"/>
      <c r="G1037" s="308"/>
      <c r="H1037" s="308"/>
      <c r="I1037" s="308"/>
      <c r="J1037" s="308"/>
      <c r="K1037" s="308"/>
      <c r="L1037" s="308"/>
      <c r="M1037" s="308"/>
      <c r="N1037" s="308"/>
      <c r="O1037" s="308"/>
      <c r="P1037" s="308"/>
      <c r="Q1037" s="308"/>
      <c r="R1037" s="308"/>
      <c r="S1037" s="308"/>
      <c r="T1037" s="308"/>
      <c r="U1037" s="308"/>
      <c r="V1037" s="308"/>
      <c r="W1037" s="308"/>
      <c r="X1037" s="308"/>
      <c r="Y1037" s="308"/>
      <c r="Z1037" s="308"/>
    </row>
    <row r="1038" ht="15.75" customHeight="1">
      <c r="A1038" s="308"/>
      <c r="B1038" s="524"/>
      <c r="C1038" s="308"/>
      <c r="D1038" s="308"/>
      <c r="E1038" s="308"/>
      <c r="F1038" s="308"/>
      <c r="G1038" s="308"/>
      <c r="H1038" s="308"/>
      <c r="I1038" s="308"/>
      <c r="J1038" s="308"/>
      <c r="K1038" s="308"/>
      <c r="L1038" s="308"/>
      <c r="M1038" s="308"/>
      <c r="N1038" s="308"/>
      <c r="O1038" s="308"/>
      <c r="P1038" s="308"/>
      <c r="Q1038" s="308"/>
      <c r="R1038" s="308"/>
      <c r="S1038" s="308"/>
      <c r="T1038" s="308"/>
      <c r="U1038" s="308"/>
      <c r="V1038" s="308"/>
      <c r="W1038" s="308"/>
      <c r="X1038" s="308"/>
      <c r="Y1038" s="308"/>
      <c r="Z1038" s="308"/>
    </row>
    <row r="1039" ht="15.75" customHeight="1">
      <c r="A1039" s="308"/>
      <c r="B1039" s="524"/>
      <c r="C1039" s="308"/>
      <c r="D1039" s="308"/>
      <c r="E1039" s="308"/>
      <c r="F1039" s="308"/>
      <c r="G1039" s="308"/>
      <c r="H1039" s="308"/>
      <c r="I1039" s="308"/>
      <c r="J1039" s="308"/>
      <c r="K1039" s="308"/>
      <c r="L1039" s="308"/>
      <c r="M1039" s="308"/>
      <c r="N1039" s="308"/>
      <c r="O1039" s="308"/>
      <c r="P1039" s="308"/>
      <c r="Q1039" s="308"/>
      <c r="R1039" s="308"/>
      <c r="S1039" s="308"/>
      <c r="T1039" s="308"/>
      <c r="U1039" s="308"/>
      <c r="V1039" s="308"/>
      <c r="W1039" s="308"/>
      <c r="X1039" s="308"/>
      <c r="Y1039" s="308"/>
      <c r="Z1039" s="308"/>
    </row>
    <row r="1040" ht="15.75" customHeight="1">
      <c r="A1040" s="308"/>
      <c r="B1040" s="524"/>
      <c r="C1040" s="308"/>
      <c r="D1040" s="308"/>
      <c r="E1040" s="308"/>
      <c r="F1040" s="308"/>
      <c r="G1040" s="308"/>
      <c r="H1040" s="308"/>
      <c r="I1040" s="308"/>
      <c r="J1040" s="308"/>
      <c r="K1040" s="308"/>
      <c r="L1040" s="308"/>
      <c r="M1040" s="308"/>
      <c r="N1040" s="308"/>
      <c r="O1040" s="308"/>
      <c r="P1040" s="308"/>
      <c r="Q1040" s="308"/>
      <c r="R1040" s="308"/>
      <c r="S1040" s="308"/>
      <c r="T1040" s="308"/>
      <c r="U1040" s="308"/>
      <c r="V1040" s="308"/>
      <c r="W1040" s="308"/>
      <c r="X1040" s="308"/>
      <c r="Y1040" s="308"/>
      <c r="Z1040" s="308"/>
    </row>
    <row r="1041" ht="15.75" customHeight="1">
      <c r="A1041" s="308"/>
      <c r="B1041" s="524"/>
      <c r="C1041" s="308"/>
      <c r="D1041" s="308"/>
      <c r="E1041" s="308"/>
      <c r="F1041" s="308"/>
      <c r="G1041" s="308"/>
      <c r="H1041" s="308"/>
      <c r="I1041" s="308"/>
      <c r="J1041" s="308"/>
      <c r="K1041" s="308"/>
      <c r="L1041" s="308"/>
      <c r="M1041" s="308"/>
      <c r="N1041" s="308"/>
      <c r="O1041" s="308"/>
      <c r="P1041" s="308"/>
      <c r="Q1041" s="308"/>
      <c r="R1041" s="308"/>
      <c r="S1041" s="308"/>
      <c r="T1041" s="308"/>
      <c r="U1041" s="308"/>
      <c r="V1041" s="308"/>
      <c r="W1041" s="308"/>
      <c r="X1041" s="308"/>
      <c r="Y1041" s="308"/>
      <c r="Z1041" s="308"/>
    </row>
    <row r="1042" ht="15.75" customHeight="1">
      <c r="A1042" s="308"/>
      <c r="B1042" s="524"/>
      <c r="C1042" s="308"/>
      <c r="D1042" s="308"/>
      <c r="E1042" s="308"/>
      <c r="F1042" s="308"/>
      <c r="G1042" s="308"/>
      <c r="H1042" s="308"/>
      <c r="I1042" s="308"/>
      <c r="J1042" s="308"/>
      <c r="K1042" s="308"/>
      <c r="L1042" s="308"/>
      <c r="M1042" s="308"/>
      <c r="N1042" s="308"/>
      <c r="O1042" s="308"/>
      <c r="P1042" s="308"/>
      <c r="Q1042" s="308"/>
      <c r="R1042" s="308"/>
      <c r="S1042" s="308"/>
      <c r="T1042" s="308"/>
      <c r="U1042" s="308"/>
      <c r="V1042" s="308"/>
      <c r="W1042" s="308"/>
      <c r="X1042" s="308"/>
      <c r="Y1042" s="308"/>
      <c r="Z1042" s="308"/>
    </row>
    <row r="1043" ht="15.75" customHeight="1">
      <c r="A1043" s="308"/>
      <c r="B1043" s="524"/>
      <c r="C1043" s="308"/>
      <c r="D1043" s="308"/>
      <c r="E1043" s="308"/>
      <c r="F1043" s="308"/>
      <c r="G1043" s="308"/>
      <c r="H1043" s="308"/>
      <c r="I1043" s="308"/>
      <c r="J1043" s="308"/>
      <c r="K1043" s="308"/>
      <c r="L1043" s="308"/>
      <c r="M1043" s="308"/>
      <c r="N1043" s="308"/>
      <c r="O1043" s="308"/>
      <c r="P1043" s="308"/>
      <c r="Q1043" s="308"/>
      <c r="R1043" s="308"/>
      <c r="S1043" s="308"/>
      <c r="T1043" s="308"/>
      <c r="U1043" s="308"/>
      <c r="V1043" s="308"/>
      <c r="W1043" s="308"/>
      <c r="X1043" s="308"/>
      <c r="Y1043" s="308"/>
      <c r="Z1043" s="308"/>
    </row>
    <row r="1044" ht="15.75" customHeight="1">
      <c r="A1044" s="308"/>
      <c r="B1044" s="525"/>
      <c r="F1044" s="308"/>
      <c r="G1044" s="308"/>
      <c r="H1044" s="308"/>
      <c r="I1044" s="308"/>
      <c r="J1044" s="308"/>
      <c r="K1044" s="308"/>
      <c r="L1044" s="308"/>
      <c r="M1044" s="308"/>
      <c r="N1044" s="308"/>
      <c r="O1044" s="308"/>
      <c r="P1044" s="308"/>
      <c r="Q1044" s="308"/>
      <c r="R1044" s="308"/>
      <c r="S1044" s="308"/>
      <c r="T1044" s="308"/>
      <c r="U1044" s="308"/>
      <c r="V1044" s="308"/>
      <c r="W1044" s="308"/>
      <c r="X1044" s="308"/>
      <c r="Y1044" s="308"/>
      <c r="Z1044" s="308"/>
    </row>
    <row r="1045" ht="15.75" customHeight="1">
      <c r="A1045" s="308"/>
      <c r="B1045" s="525"/>
      <c r="F1045" s="308"/>
      <c r="G1045" s="308"/>
      <c r="H1045" s="308"/>
      <c r="I1045" s="308"/>
      <c r="J1045" s="308"/>
      <c r="K1045" s="308"/>
      <c r="L1045" s="308"/>
      <c r="M1045" s="308"/>
      <c r="N1045" s="308"/>
      <c r="O1045" s="308"/>
      <c r="P1045" s="308"/>
      <c r="Q1045" s="308"/>
      <c r="R1045" s="308"/>
      <c r="S1045" s="308"/>
      <c r="T1045" s="308"/>
      <c r="U1045" s="308"/>
      <c r="V1045" s="308"/>
      <c r="W1045" s="308"/>
      <c r="X1045" s="308"/>
      <c r="Y1045" s="308"/>
      <c r="Z1045" s="308"/>
    </row>
    <row r="1046" ht="15.75" customHeight="1">
      <c r="A1046" s="308"/>
      <c r="B1046" s="525"/>
      <c r="F1046" s="308"/>
      <c r="N1046" s="308"/>
      <c r="O1046" s="308"/>
      <c r="P1046" s="308"/>
      <c r="Q1046" s="308"/>
      <c r="R1046" s="308"/>
      <c r="S1046" s="308"/>
      <c r="T1046" s="308"/>
      <c r="U1046" s="308"/>
      <c r="V1046" s="308"/>
      <c r="W1046" s="308"/>
      <c r="X1046" s="308"/>
      <c r="Y1046" s="308"/>
      <c r="Z1046" s="308"/>
    </row>
  </sheetData>
  <hyperlinks>
    <hyperlink display="See details in 1.2 Servicing" location="'Servicing - Analysis'!A1" ref="B170"/>
  </hyperlinks>
  <printOptions/>
  <pageMargins bottom="0.75" footer="0.0" header="0.0" left="0.7" right="0.7" top="0.75"/>
  <pageSetup orientation="portrait"/>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4.43" defaultRowHeight="15.0"/>
  <cols>
    <col customWidth="1" min="1" max="1" width="3.71"/>
    <col customWidth="1" min="2" max="2" width="30.71"/>
    <col customWidth="1" min="3" max="3" width="18.29"/>
    <col customWidth="1" min="4" max="4" width="15.86"/>
    <col customWidth="1" min="5" max="7" width="18.29"/>
    <col customWidth="1" min="8" max="8" width="21.86"/>
    <col customWidth="1" min="9" max="9" width="15.43"/>
    <col customWidth="1" min="10" max="10" width="10.71"/>
    <col customWidth="1" hidden="1" min="11" max="15" width="10.71"/>
  </cols>
  <sheetData>
    <row r="1">
      <c r="A1" s="94"/>
      <c r="B1" s="526"/>
      <c r="C1" s="527"/>
      <c r="D1" s="528"/>
      <c r="E1" s="528"/>
      <c r="F1" s="528"/>
      <c r="G1" s="528"/>
      <c r="H1" s="528"/>
      <c r="I1" s="528"/>
      <c r="J1" s="528"/>
      <c r="K1" s="528"/>
      <c r="L1" s="528"/>
      <c r="M1" s="528"/>
      <c r="N1" s="528"/>
      <c r="O1" s="528"/>
    </row>
    <row r="2">
      <c r="A2" s="94"/>
      <c r="B2" s="529" t="s">
        <v>235</v>
      </c>
      <c r="C2" s="527"/>
      <c r="D2" s="528"/>
      <c r="E2" s="528"/>
      <c r="F2" s="528"/>
      <c r="G2" s="528"/>
      <c r="H2" s="528"/>
      <c r="I2" s="528"/>
      <c r="J2" s="528"/>
      <c r="K2" s="528"/>
      <c r="L2" s="528"/>
      <c r="M2" s="528"/>
      <c r="N2" s="528"/>
      <c r="O2" s="528"/>
    </row>
    <row r="3">
      <c r="A3" s="94"/>
      <c r="B3" s="530" t="s">
        <v>403</v>
      </c>
      <c r="C3" s="527"/>
      <c r="D3" s="528"/>
      <c r="E3" s="528"/>
      <c r="F3" s="528"/>
      <c r="G3" s="528"/>
      <c r="H3" s="528"/>
      <c r="I3" s="528"/>
      <c r="J3" s="528"/>
      <c r="K3" s="528"/>
      <c r="L3" s="528"/>
      <c r="M3" s="528"/>
      <c r="N3" s="528"/>
      <c r="O3" s="528"/>
    </row>
    <row r="4">
      <c r="A4" s="94"/>
      <c r="B4" s="528"/>
      <c r="C4" s="527"/>
      <c r="D4" s="528"/>
      <c r="E4" s="528"/>
      <c r="F4" s="528"/>
      <c r="G4" s="528"/>
      <c r="H4" s="528"/>
      <c r="I4" s="528"/>
      <c r="J4" s="528"/>
      <c r="K4" s="528"/>
      <c r="L4" s="528"/>
      <c r="M4" s="528"/>
      <c r="N4" s="528"/>
      <c r="O4" s="528"/>
    </row>
    <row r="5" ht="3.0" customHeight="1">
      <c r="A5" s="531"/>
      <c r="B5" s="532"/>
      <c r="C5" s="533"/>
      <c r="D5" s="534"/>
      <c r="E5" s="534"/>
      <c r="F5" s="534"/>
      <c r="G5" s="532"/>
      <c r="H5" s="532"/>
      <c r="I5" s="532"/>
      <c r="J5" s="532"/>
      <c r="K5" s="532"/>
      <c r="L5" s="532"/>
      <c r="M5" s="532"/>
      <c r="N5" s="532"/>
      <c r="O5" s="532"/>
    </row>
    <row r="6">
      <c r="A6" s="94"/>
      <c r="B6" s="535"/>
      <c r="C6" s="527"/>
      <c r="D6" s="528"/>
      <c r="E6" s="528"/>
      <c r="F6" s="528"/>
      <c r="G6" s="528"/>
      <c r="H6" s="528"/>
      <c r="I6" s="528"/>
      <c r="J6" s="528"/>
      <c r="K6" s="528"/>
      <c r="L6" s="528"/>
      <c r="M6" s="528"/>
      <c r="N6" s="528"/>
      <c r="O6" s="528"/>
    </row>
    <row r="7">
      <c r="A7" s="94"/>
      <c r="B7" s="528"/>
      <c r="C7" s="79" t="s">
        <v>61</v>
      </c>
      <c r="D7" s="80"/>
      <c r="E7" s="536"/>
      <c r="F7" s="536"/>
      <c r="G7" s="528"/>
      <c r="H7" s="528"/>
      <c r="I7" s="528"/>
      <c r="J7" s="528"/>
      <c r="K7" s="528"/>
      <c r="L7" s="528"/>
      <c r="M7" s="528"/>
      <c r="N7" s="528"/>
      <c r="O7" s="528"/>
    </row>
    <row r="8">
      <c r="A8" s="94"/>
      <c r="B8" s="537"/>
      <c r="C8" s="538" t="s">
        <v>237</v>
      </c>
      <c r="D8" s="539"/>
      <c r="E8" s="540"/>
      <c r="F8" s="540"/>
      <c r="G8" s="528"/>
      <c r="H8" s="528"/>
      <c r="I8" s="528"/>
      <c r="J8" s="528"/>
      <c r="K8" s="528"/>
      <c r="L8" s="528"/>
      <c r="M8" s="528"/>
      <c r="N8" s="528"/>
      <c r="O8" s="528"/>
    </row>
    <row r="9">
      <c r="A9" s="94"/>
      <c r="B9" s="541"/>
      <c r="C9" s="538" t="s">
        <v>238</v>
      </c>
      <c r="D9" s="83"/>
      <c r="E9" s="540"/>
      <c r="F9" s="540"/>
      <c r="G9" s="528"/>
      <c r="H9" s="528"/>
      <c r="I9" s="528"/>
      <c r="J9" s="528"/>
      <c r="K9" s="528"/>
      <c r="L9" s="528"/>
      <c r="M9" s="528"/>
      <c r="N9" s="528"/>
      <c r="O9" s="528"/>
    </row>
    <row r="10">
      <c r="A10" s="94"/>
      <c r="B10" s="541"/>
      <c r="C10" s="542"/>
      <c r="D10" s="2"/>
      <c r="E10" s="2"/>
      <c r="F10" s="2"/>
      <c r="G10" s="528"/>
      <c r="H10" s="528"/>
      <c r="I10" s="528"/>
      <c r="J10" s="528"/>
      <c r="K10" s="528"/>
      <c r="L10" s="528"/>
      <c r="M10" s="528"/>
      <c r="N10" s="528"/>
      <c r="O10" s="528"/>
    </row>
    <row r="11" ht="3.0" customHeight="1">
      <c r="A11" s="543"/>
      <c r="B11" s="532"/>
      <c r="C11" s="533"/>
      <c r="D11" s="534"/>
      <c r="E11" s="534"/>
      <c r="F11" s="534"/>
      <c r="G11" s="532"/>
      <c r="H11" s="532"/>
      <c r="I11" s="532"/>
      <c r="J11" s="532"/>
      <c r="K11" s="532"/>
      <c r="L11" s="532"/>
      <c r="M11" s="532"/>
      <c r="N11" s="532"/>
      <c r="O11" s="532"/>
    </row>
    <row r="12">
      <c r="A12" s="94"/>
      <c r="B12" s="528"/>
      <c r="C12" s="527"/>
      <c r="D12" s="544"/>
      <c r="E12" s="544"/>
      <c r="F12" s="544"/>
      <c r="G12" s="528"/>
      <c r="H12" s="528"/>
      <c r="I12" s="528"/>
      <c r="J12" s="528"/>
      <c r="K12" s="528"/>
      <c r="L12" s="528"/>
      <c r="M12" s="528"/>
      <c r="N12" s="528"/>
      <c r="O12" s="528"/>
    </row>
    <row r="13">
      <c r="A13" s="94"/>
      <c r="B13" s="545"/>
      <c r="C13" s="546"/>
      <c r="D13" s="547"/>
      <c r="E13" s="547"/>
      <c r="F13" s="547"/>
      <c r="G13" s="547"/>
      <c r="H13" s="547"/>
      <c r="I13" s="548"/>
      <c r="J13" s="549"/>
      <c r="K13" s="550"/>
      <c r="L13" s="548"/>
      <c r="M13" s="548"/>
      <c r="N13" s="549"/>
      <c r="O13" s="551"/>
    </row>
    <row r="14" ht="51.75" customHeight="1">
      <c r="A14" s="94"/>
      <c r="B14" s="552" t="s">
        <v>404</v>
      </c>
      <c r="C14" s="553" t="s">
        <v>405</v>
      </c>
      <c r="D14" s="554" t="s">
        <v>406</v>
      </c>
      <c r="E14" s="554"/>
      <c r="F14" s="554" t="s">
        <v>407</v>
      </c>
      <c r="G14" s="554" t="s">
        <v>408</v>
      </c>
      <c r="H14" s="554" t="s">
        <v>409</v>
      </c>
      <c r="I14" s="548"/>
      <c r="J14" s="549" t="s">
        <v>130</v>
      </c>
      <c r="K14" s="550"/>
      <c r="L14" s="548"/>
      <c r="M14" s="548"/>
      <c r="N14" s="549"/>
      <c r="O14" s="551"/>
    </row>
    <row r="15" ht="26.25" customHeight="1">
      <c r="A15" s="95"/>
      <c r="B15" s="555" t="s">
        <v>188</v>
      </c>
      <c r="C15" s="556">
        <f>sum(C17:C33,C35:C51,C53:C69)</f>
        <v>877075</v>
      </c>
      <c r="D15" s="556"/>
      <c r="E15" s="557"/>
      <c r="F15" s="558">
        <f>F16+F34+F52</f>
        <v>1259014.057</v>
      </c>
      <c r="G15" s="559"/>
      <c r="H15" s="558">
        <f>H16+H34+H52</f>
        <v>331529.5054</v>
      </c>
      <c r="I15" s="548"/>
      <c r="J15" s="549"/>
      <c r="K15" s="550"/>
      <c r="L15" s="548"/>
      <c r="M15" s="548"/>
      <c r="N15" s="549"/>
      <c r="O15" s="551"/>
    </row>
    <row r="16" ht="19.5" customHeight="1">
      <c r="A16" s="95"/>
      <c r="B16" s="560" t="s">
        <v>99</v>
      </c>
      <c r="C16" s="561">
        <f>sum(C17:C33)</f>
        <v>805155</v>
      </c>
      <c r="D16" s="561"/>
      <c r="E16" s="562"/>
      <c r="F16" s="563">
        <f>sum(F17:F33)</f>
        <v>1173463.04</v>
      </c>
      <c r="G16" s="564"/>
      <c r="H16" s="563">
        <f>sum(H17:H33)</f>
        <v>301802.9303</v>
      </c>
      <c r="I16" s="548"/>
      <c r="J16" s="549"/>
      <c r="K16" s="550"/>
      <c r="L16" s="548"/>
      <c r="M16" s="548"/>
      <c r="N16" s="549"/>
      <c r="O16" s="551"/>
    </row>
    <row r="17">
      <c r="A17" s="94"/>
      <c r="B17" s="179" t="s">
        <v>122</v>
      </c>
      <c r="C17" s="565">
        <f>'Customer Phases - Inputs and As'!O37</f>
        <v>105168.7</v>
      </c>
      <c r="D17" s="566">
        <f>'Customer Phases - Inputs and As'!P37</f>
        <v>0.08</v>
      </c>
      <c r="E17" s="567"/>
      <c r="F17" s="568">
        <f>C17*D17*'Customer Phases - Inputs and As'!$H$49</f>
        <v>67395.42459</v>
      </c>
      <c r="G17" s="569">
        <f>'Customer Phases - Inputs and As'!U37</f>
        <v>0.35</v>
      </c>
      <c r="H17" s="568">
        <f t="shared" ref="H17:H33" si="1">F17*G17</f>
        <v>23588.39861</v>
      </c>
      <c r="I17" s="548"/>
      <c r="J17" s="549"/>
      <c r="K17" s="550"/>
      <c r="L17" s="548"/>
      <c r="M17" s="548"/>
      <c r="N17" s="549"/>
      <c r="O17" s="551"/>
    </row>
    <row r="18">
      <c r="A18" s="94"/>
      <c r="B18" s="175" t="s">
        <v>127</v>
      </c>
      <c r="C18" s="565">
        <f>'Customer Phases - Inputs and As'!O38</f>
        <v>75120.5</v>
      </c>
      <c r="D18" s="566">
        <f>'Customer Phases - Inputs and As'!P38</f>
        <v>0.17</v>
      </c>
      <c r="E18" s="567"/>
      <c r="F18" s="568">
        <f>C18*D18*'Customer Phases - Inputs and As'!$H$49</f>
        <v>102296.6266</v>
      </c>
      <c r="G18" s="569">
        <f>'Customer Phases - Inputs and As'!U38</f>
        <v>0.4</v>
      </c>
      <c r="H18" s="568">
        <f t="shared" si="1"/>
        <v>40918.65064</v>
      </c>
      <c r="I18" s="548"/>
      <c r="J18" s="549"/>
      <c r="K18" s="550"/>
      <c r="L18" s="548"/>
      <c r="M18" s="548"/>
      <c r="N18" s="549"/>
      <c r="O18" s="551"/>
    </row>
    <row r="19">
      <c r="A19" s="94"/>
      <c r="B19" s="175" t="s">
        <v>129</v>
      </c>
      <c r="C19" s="565">
        <f>'Customer Phases - Inputs and As'!O39</f>
        <v>53787.3</v>
      </c>
      <c r="D19" s="566">
        <f>'Customer Phases - Inputs and As'!P39</f>
        <v>0.33</v>
      </c>
      <c r="E19" s="567"/>
      <c r="F19" s="568">
        <f>C19*D19*'Customer Phases - Inputs and As'!$H$49</f>
        <v>142182.9777</v>
      </c>
      <c r="G19" s="569">
        <f>'Customer Phases - Inputs and As'!U39</f>
        <v>0.4</v>
      </c>
      <c r="H19" s="568">
        <f t="shared" si="1"/>
        <v>56873.19107</v>
      </c>
      <c r="I19" s="548"/>
      <c r="J19" s="549"/>
      <c r="K19" s="550"/>
      <c r="L19" s="548"/>
      <c r="M19" s="548"/>
      <c r="N19" s="549"/>
      <c r="O19" s="551"/>
    </row>
    <row r="20">
      <c r="A20" s="94"/>
      <c r="B20" s="175" t="s">
        <v>410</v>
      </c>
      <c r="C20" s="565">
        <f>'Customer Phases - Inputs and As'!O40</f>
        <v>356767.2</v>
      </c>
      <c r="D20" s="566">
        <f>'Customer Phases - Inputs and As'!P40</f>
        <v>0.1666666667</v>
      </c>
      <c r="E20" s="567"/>
      <c r="F20" s="568">
        <f>C20*D20*'Customer Phases - Inputs and As'!$H$49</f>
        <v>476307.6871</v>
      </c>
      <c r="G20" s="569">
        <f>'Customer Phases - Inputs and As'!U40</f>
        <v>0.1</v>
      </c>
      <c r="H20" s="568">
        <f t="shared" si="1"/>
        <v>47630.76871</v>
      </c>
      <c r="I20" s="548"/>
      <c r="J20" s="549"/>
      <c r="K20" s="550"/>
      <c r="L20" s="548"/>
      <c r="M20" s="548"/>
      <c r="N20" s="549"/>
      <c r="O20" s="551"/>
    </row>
    <row r="21" ht="15.75" customHeight="1">
      <c r="A21" s="94"/>
      <c r="B21" s="165" t="s">
        <v>411</v>
      </c>
      <c r="C21" s="565" t="str">
        <f>'Customer Phases - Inputs and As'!O41</f>
        <v/>
      </c>
      <c r="D21" s="566" t="str">
        <f>'Customer Phases - Inputs and As'!P41</f>
        <v/>
      </c>
      <c r="E21" s="567"/>
      <c r="F21" s="568">
        <f>C21*D21*'Customer Phases - Inputs and As'!$H$49</f>
        <v>0</v>
      </c>
      <c r="G21" s="569">
        <f>'Customer Phases - Inputs and As'!U41</f>
        <v>0.1</v>
      </c>
      <c r="H21" s="568">
        <f t="shared" si="1"/>
        <v>0</v>
      </c>
      <c r="I21" s="548"/>
      <c r="J21" s="549"/>
      <c r="K21" s="550" t="s">
        <v>412</v>
      </c>
      <c r="L21" s="548"/>
      <c r="M21" s="548"/>
      <c r="N21" s="549"/>
      <c r="O21" s="551"/>
    </row>
    <row r="22" ht="15.75" customHeight="1">
      <c r="A22" s="94"/>
      <c r="B22" s="165" t="s">
        <v>143</v>
      </c>
      <c r="C22" s="565">
        <f>'Customer Phases - Inputs and As'!O42</f>
        <v>7588.8</v>
      </c>
      <c r="D22" s="566">
        <f>'Customer Phases - Inputs and As'!P42</f>
        <v>0.25</v>
      </c>
      <c r="E22" s="567"/>
      <c r="F22" s="568">
        <f>C22*D22*'Customer Phases - Inputs and As'!$H$49</f>
        <v>15197.32101</v>
      </c>
      <c r="G22" s="569">
        <f>'Customer Phases - Inputs and As'!U42</f>
        <v>0.35</v>
      </c>
      <c r="H22" s="568">
        <f t="shared" si="1"/>
        <v>5319.062353</v>
      </c>
      <c r="I22" s="548"/>
      <c r="J22" s="549"/>
      <c r="K22" s="550"/>
      <c r="L22" s="548"/>
      <c r="M22" s="548"/>
      <c r="N22" s="549"/>
      <c r="O22" s="551"/>
    </row>
    <row r="23" ht="15.75" customHeight="1">
      <c r="A23" s="94"/>
      <c r="B23" s="165" t="s">
        <v>149</v>
      </c>
      <c r="C23" s="565">
        <f>'Customer Phases - Inputs and As'!O43</f>
        <v>1146.6</v>
      </c>
      <c r="D23" s="566">
        <f>'Customer Phases - Inputs and As'!P43</f>
        <v>0.17</v>
      </c>
      <c r="E23" s="567"/>
      <c r="F23" s="568">
        <f>C23*D23*'Customer Phases - Inputs and As'!$H$49</f>
        <v>1561.402175</v>
      </c>
      <c r="G23" s="569">
        <f>'Customer Phases - Inputs and As'!U43</f>
        <v>0.2</v>
      </c>
      <c r="H23" s="568">
        <f t="shared" si="1"/>
        <v>312.2804349</v>
      </c>
      <c r="I23" s="550"/>
      <c r="J23" s="570"/>
      <c r="K23" s="550"/>
      <c r="L23" s="571"/>
      <c r="M23" s="550"/>
      <c r="N23" s="570"/>
      <c r="O23" s="550"/>
    </row>
    <row r="24" ht="15.75" customHeight="1">
      <c r="A24" s="94"/>
      <c r="B24" s="165" t="s">
        <v>154</v>
      </c>
      <c r="C24" s="565">
        <f>'Customer Phases - Inputs and As'!O44</f>
        <v>764.4</v>
      </c>
      <c r="D24" s="566">
        <f>'Customer Phases - Inputs and As'!P44</f>
        <v>0.17</v>
      </c>
      <c r="E24" s="567"/>
      <c r="F24" s="568">
        <f>C24*D24*'Customer Phases - Inputs and As'!$H$49</f>
        <v>1040.934783</v>
      </c>
      <c r="G24" s="569">
        <f>'Customer Phases - Inputs and As'!U44</f>
        <v>0.2</v>
      </c>
      <c r="H24" s="568">
        <f t="shared" si="1"/>
        <v>208.1869566</v>
      </c>
      <c r="I24" s="94"/>
      <c r="J24" s="94"/>
      <c r="K24" s="94"/>
      <c r="L24" s="94"/>
      <c r="M24" s="94"/>
      <c r="N24" s="94"/>
      <c r="O24" s="94"/>
    </row>
    <row r="25" ht="15.75" customHeight="1">
      <c r="A25" s="94"/>
      <c r="B25" s="165" t="s">
        <v>159</v>
      </c>
      <c r="C25" s="565">
        <f>'Customer Phases - Inputs and As'!O45</f>
        <v>6115.2</v>
      </c>
      <c r="D25" s="566">
        <f>'Customer Phases - Inputs and As'!P45</f>
        <v>0.17</v>
      </c>
      <c r="E25" s="567"/>
      <c r="F25" s="568">
        <f>C25*D25*'Customer Phases - Inputs and As'!$H$49</f>
        <v>8327.478265</v>
      </c>
      <c r="G25" s="569">
        <f>'Customer Phases - Inputs and As'!U45</f>
        <v>0.35</v>
      </c>
      <c r="H25" s="568">
        <f t="shared" si="1"/>
        <v>2914.617393</v>
      </c>
      <c r="I25" s="94"/>
      <c r="J25" s="94"/>
      <c r="K25" s="94"/>
      <c r="L25" s="94"/>
      <c r="M25" s="94"/>
      <c r="N25" s="94"/>
      <c r="O25" s="94"/>
    </row>
    <row r="26" ht="15.75" customHeight="1">
      <c r="A26" s="94"/>
      <c r="B26" s="226" t="s">
        <v>161</v>
      </c>
      <c r="C26" s="565" t="str">
        <f>'Customer Phases - Inputs and As'!O46</f>
        <v/>
      </c>
      <c r="D26" s="566" t="str">
        <f>'Customer Phases - Inputs and As'!P46</f>
        <v/>
      </c>
      <c r="E26" s="567"/>
      <c r="F26" s="568">
        <f>C26*D26*'Customer Phases - Inputs and As'!$H$49</f>
        <v>0</v>
      </c>
      <c r="G26" s="569">
        <f>'Customer Phases - Inputs and As'!U46</f>
        <v>0.35</v>
      </c>
      <c r="H26" s="568">
        <f t="shared" si="1"/>
        <v>0</v>
      </c>
      <c r="I26" s="94"/>
      <c r="J26" s="94"/>
      <c r="K26" s="94"/>
      <c r="L26" s="94"/>
      <c r="M26" s="94"/>
      <c r="N26" s="94"/>
      <c r="O26" s="94"/>
    </row>
    <row r="27" ht="15.75" customHeight="1">
      <c r="A27" s="94"/>
      <c r="B27" s="165" t="s">
        <v>165</v>
      </c>
      <c r="C27" s="565" t="str">
        <f>'Customer Phases - Inputs and As'!O47</f>
        <v/>
      </c>
      <c r="D27" s="566" t="str">
        <f>'Customer Phases - Inputs and As'!P47</f>
        <v/>
      </c>
      <c r="E27" s="567"/>
      <c r="F27" s="568">
        <f>C27*D27*'Customer Phases - Inputs and As'!$H$49</f>
        <v>0</v>
      </c>
      <c r="G27" s="569">
        <f>'Customer Phases - Inputs and As'!U47</f>
        <v>0.35</v>
      </c>
      <c r="H27" s="568">
        <f t="shared" si="1"/>
        <v>0</v>
      </c>
      <c r="I27" s="94"/>
      <c r="J27" s="94"/>
      <c r="K27" s="94"/>
      <c r="L27" s="94"/>
      <c r="M27" s="94"/>
      <c r="N27" s="94"/>
      <c r="O27" s="94"/>
    </row>
    <row r="28" ht="15.75" customHeight="1">
      <c r="A28" s="94"/>
      <c r="B28" s="165" t="s">
        <v>169</v>
      </c>
      <c r="C28" s="565">
        <f>'Customer Phases - Inputs and As'!O48</f>
        <v>2995.2</v>
      </c>
      <c r="D28" s="566">
        <f>'Customer Phases - Inputs and As'!P48</f>
        <v>0.1666666667</v>
      </c>
      <c r="E28" s="567"/>
      <c r="F28" s="568">
        <f>C28*D28*'Customer Phases - Inputs and As'!$H$49</f>
        <v>3998.789083</v>
      </c>
      <c r="G28" s="569">
        <f>'Customer Phases - Inputs and As'!U48</f>
        <v>0.1</v>
      </c>
      <c r="H28" s="568">
        <f t="shared" si="1"/>
        <v>399.8789083</v>
      </c>
      <c r="I28" s="94"/>
      <c r="J28" s="94"/>
      <c r="K28" s="94"/>
      <c r="L28" s="94"/>
      <c r="M28" s="94"/>
      <c r="N28" s="94"/>
      <c r="O28" s="94"/>
    </row>
    <row r="29" ht="15.75" customHeight="1">
      <c r="A29" s="94"/>
      <c r="B29" s="226" t="s">
        <v>176</v>
      </c>
      <c r="C29" s="565">
        <f>'Customer Phases - Inputs and As'!O49</f>
        <v>1108.8</v>
      </c>
      <c r="D29" s="566">
        <f>'Customer Phases - Inputs and As'!P49</f>
        <v>0.5</v>
      </c>
      <c r="E29" s="567"/>
      <c r="F29" s="568">
        <f>C29*D29*'Customer Phases - Inputs and As'!$H$49</f>
        <v>4440.962876</v>
      </c>
      <c r="G29" s="569">
        <f>'Customer Phases - Inputs and As'!U49</f>
        <v>0.2</v>
      </c>
      <c r="H29" s="568">
        <f t="shared" si="1"/>
        <v>888.1925751</v>
      </c>
      <c r="I29" s="94"/>
      <c r="J29" s="94"/>
      <c r="K29" s="94"/>
      <c r="L29" s="94"/>
      <c r="M29" s="94"/>
      <c r="N29" s="94"/>
      <c r="O29" s="94"/>
    </row>
    <row r="30">
      <c r="A30" s="94"/>
      <c r="B30" s="226" t="s">
        <v>181</v>
      </c>
      <c r="C30" s="565">
        <f>'Customer Phases - Inputs and As'!O50</f>
        <v>60822.3</v>
      </c>
      <c r="D30" s="566">
        <f>'Customer Phases - Inputs and As'!P50</f>
        <v>0.17</v>
      </c>
      <c r="E30" s="567"/>
      <c r="F30" s="568">
        <f>C30*D30*'Customer Phases - Inputs and As'!$H$49</f>
        <v>82825.80803</v>
      </c>
      <c r="G30" s="569">
        <f>'Customer Phases - Inputs and As'!U50</f>
        <v>0.35</v>
      </c>
      <c r="H30" s="568">
        <f t="shared" si="1"/>
        <v>28989.03281</v>
      </c>
      <c r="I30" s="94"/>
      <c r="J30" s="94"/>
      <c r="K30" s="94"/>
      <c r="L30" s="94"/>
      <c r="M30" s="94"/>
      <c r="N30" s="94"/>
      <c r="O30" s="94"/>
    </row>
    <row r="31" ht="15.75" customHeight="1">
      <c r="A31" s="94"/>
      <c r="B31" s="165" t="s">
        <v>184</v>
      </c>
      <c r="C31" s="565" t="str">
        <f>'Customer Phases - Inputs and As'!O51</f>
        <v/>
      </c>
      <c r="D31" s="566" t="str">
        <f>'Customer Phases - Inputs and As'!P51</f>
        <v/>
      </c>
      <c r="E31" s="567"/>
      <c r="F31" s="568">
        <f>C31*D31*'Customer Phases - Inputs and As'!$H$49</f>
        <v>0</v>
      </c>
      <c r="G31" s="569">
        <f>'Customer Phases - Inputs and As'!U51</f>
        <v>0.35</v>
      </c>
      <c r="H31" s="568">
        <f t="shared" si="1"/>
        <v>0</v>
      </c>
      <c r="I31" s="94"/>
      <c r="J31" s="94"/>
      <c r="K31" s="94"/>
      <c r="L31" s="94"/>
      <c r="M31" s="94"/>
      <c r="N31" s="94"/>
      <c r="O31" s="94"/>
    </row>
    <row r="32" ht="15.75" customHeight="1">
      <c r="A32" s="94"/>
      <c r="B32" s="226" t="s">
        <v>185</v>
      </c>
      <c r="C32" s="565">
        <f>'Customer Phases - Inputs and As'!O52</f>
        <v>133770</v>
      </c>
      <c r="D32" s="566">
        <f>'Customer Phases - Inputs and As'!P52</f>
        <v>0.25</v>
      </c>
      <c r="E32" s="567"/>
      <c r="F32" s="568">
        <f>C32*D32*'Customer Phases - Inputs and As'!$H$49</f>
        <v>267887.628</v>
      </c>
      <c r="G32" s="569">
        <f>'Customer Phases - Inputs and As'!U52</f>
        <v>0.35</v>
      </c>
      <c r="H32" s="568">
        <f t="shared" si="1"/>
        <v>93760.6698</v>
      </c>
      <c r="I32" s="94"/>
      <c r="J32" s="94"/>
      <c r="K32" s="94"/>
      <c r="L32" s="94"/>
      <c r="M32" s="94"/>
      <c r="N32" s="94"/>
      <c r="O32" s="94"/>
    </row>
    <row r="33">
      <c r="A33" s="95"/>
      <c r="B33" s="572"/>
      <c r="C33" s="565" t="str">
        <f>'Customer Phases - Inputs and As'!O53</f>
        <v/>
      </c>
      <c r="D33" s="566" t="str">
        <f>'Customer Phases - Inputs and As'!P53</f>
        <v/>
      </c>
      <c r="E33" s="567"/>
      <c r="F33" s="568">
        <f>C33*D33*'Customer Phases - Inputs and As'!$H$49</f>
        <v>0</v>
      </c>
      <c r="G33" s="569" t="str">
        <f>'Customer Phases - Inputs and As'!U53</f>
        <v/>
      </c>
      <c r="H33" s="568">
        <f t="shared" si="1"/>
        <v>0</v>
      </c>
      <c r="I33" s="94"/>
      <c r="J33" s="94"/>
      <c r="K33" s="94"/>
      <c r="L33" s="94"/>
      <c r="M33" s="94"/>
      <c r="N33" s="94"/>
      <c r="O33" s="94"/>
    </row>
    <row r="34" ht="15.75" customHeight="1">
      <c r="A34" s="95"/>
      <c r="B34" s="560" t="s">
        <v>40</v>
      </c>
      <c r="C34" s="561">
        <f>sum(C35:C51)</f>
        <v>71920</v>
      </c>
      <c r="D34" s="561"/>
      <c r="E34" s="562"/>
      <c r="F34" s="563">
        <f>sum(F35:F51)</f>
        <v>85551.01644</v>
      </c>
      <c r="G34" s="564"/>
      <c r="H34" s="563">
        <f>sum(H35:H51)</f>
        <v>29726.57509</v>
      </c>
      <c r="I34" s="94"/>
      <c r="J34" s="94"/>
      <c r="K34" s="94"/>
      <c r="L34" s="94"/>
      <c r="M34" s="94"/>
      <c r="N34" s="94"/>
      <c r="O34" s="94"/>
    </row>
    <row r="35" ht="15.75" customHeight="1">
      <c r="A35" s="94"/>
      <c r="B35" s="179" t="s">
        <v>122</v>
      </c>
      <c r="C35" s="565">
        <f>'Customer Phases - Inputs and As'!Q37</f>
        <v>18720</v>
      </c>
      <c r="D35" s="566">
        <f>'Customer Phases - Inputs and As'!R37</f>
        <v>0.08333333333</v>
      </c>
      <c r="E35" s="567"/>
      <c r="F35" s="568">
        <f>C35*D35*'Customer Phases - Inputs and As'!$H$49</f>
        <v>12496.21588</v>
      </c>
      <c r="G35" s="569">
        <f>'Customer Phases - Inputs and As'!U37</f>
        <v>0.35</v>
      </c>
      <c r="H35" s="568">
        <f t="shared" ref="H35:H51" si="2">F35*G35</f>
        <v>4373.675559</v>
      </c>
      <c r="I35" s="94"/>
      <c r="J35" s="94"/>
      <c r="K35" s="94"/>
      <c r="L35" s="94"/>
      <c r="M35" s="94"/>
      <c r="N35" s="94"/>
      <c r="O35" s="94"/>
    </row>
    <row r="36" ht="15.75" customHeight="1">
      <c r="A36" s="94"/>
      <c r="B36" s="175" t="s">
        <v>127</v>
      </c>
      <c r="C36" s="565" t="str">
        <f>'Customer Phases - Inputs and As'!Q38</f>
        <v/>
      </c>
      <c r="D36" s="566">
        <f>'Customer Phases - Inputs and As'!R38</f>
        <v>0.1666666667</v>
      </c>
      <c r="E36" s="567"/>
      <c r="F36" s="568">
        <f>C36*D36*'Customer Phases - Inputs and As'!$H$49</f>
        <v>0</v>
      </c>
      <c r="G36" s="569">
        <f>'Customer Phases - Inputs and As'!U38</f>
        <v>0.4</v>
      </c>
      <c r="H36" s="568">
        <f t="shared" si="2"/>
        <v>0</v>
      </c>
      <c r="I36" s="94"/>
      <c r="J36" s="94"/>
      <c r="K36" s="94"/>
      <c r="L36" s="94"/>
      <c r="M36" s="94"/>
      <c r="N36" s="94"/>
      <c r="O36" s="94"/>
    </row>
    <row r="37" ht="15.75" customHeight="1">
      <c r="A37" s="94"/>
      <c r="B37" s="175" t="s">
        <v>129</v>
      </c>
      <c r="C37" s="565">
        <f>'Customer Phases - Inputs and As'!Q39</f>
        <v>4800</v>
      </c>
      <c r="D37" s="566">
        <f>'Customer Phases - Inputs and As'!R39</f>
        <v>0.25</v>
      </c>
      <c r="E37" s="567"/>
      <c r="F37" s="568">
        <f>C37*D37*'Customer Phases - Inputs and As'!$H$49</f>
        <v>9612.473757</v>
      </c>
      <c r="G37" s="569">
        <f>'Customer Phases - Inputs and As'!U39</f>
        <v>0.4</v>
      </c>
      <c r="H37" s="568">
        <f t="shared" si="2"/>
        <v>3844.989503</v>
      </c>
      <c r="I37" s="94"/>
      <c r="J37" s="94"/>
      <c r="K37" s="94"/>
      <c r="L37" s="94"/>
      <c r="M37" s="94"/>
      <c r="N37" s="94"/>
      <c r="O37" s="94"/>
    </row>
    <row r="38" ht="15.75" customHeight="1">
      <c r="A38" s="94"/>
      <c r="B38" s="175" t="s">
        <v>410</v>
      </c>
      <c r="C38" s="573">
        <v>0.0</v>
      </c>
      <c r="D38" s="566">
        <f>'Customer Phases - Inputs and As'!R40</f>
        <v>0.08333333333</v>
      </c>
      <c r="E38" s="567"/>
      <c r="F38" s="568">
        <f>C38*D38*'Customer Phases - Inputs and As'!$H$49</f>
        <v>0</v>
      </c>
      <c r="G38" s="569">
        <f>'Customer Phases - Inputs and As'!U40</f>
        <v>0.1</v>
      </c>
      <c r="H38" s="568">
        <f t="shared" si="2"/>
        <v>0</v>
      </c>
      <c r="I38" s="94"/>
      <c r="J38" s="94"/>
      <c r="K38" s="94"/>
      <c r="L38" s="94"/>
      <c r="M38" s="94"/>
      <c r="N38" s="94"/>
      <c r="O38" s="94"/>
    </row>
    <row r="39" ht="15.75" customHeight="1">
      <c r="A39" s="94"/>
      <c r="B39" s="165" t="s">
        <v>411</v>
      </c>
      <c r="C39" s="565">
        <f>'Customer Phases - Inputs and As'!Q41</f>
        <v>0</v>
      </c>
      <c r="D39" s="566">
        <f>'Customer Phases - Inputs and As'!R41</f>
        <v>0.1666666667</v>
      </c>
      <c r="E39" s="567"/>
      <c r="F39" s="568">
        <f>C39*D39*'Customer Phases - Inputs and As'!$H$49</f>
        <v>0</v>
      </c>
      <c r="G39" s="569">
        <f>'Customer Phases - Inputs and As'!U41</f>
        <v>0.1</v>
      </c>
      <c r="H39" s="568">
        <f t="shared" si="2"/>
        <v>0</v>
      </c>
      <c r="I39" s="94"/>
      <c r="J39" s="94"/>
      <c r="K39" s="94"/>
      <c r="L39" s="94"/>
      <c r="M39" s="94"/>
      <c r="N39" s="94"/>
      <c r="O39" s="94"/>
    </row>
    <row r="40" ht="15.75" customHeight="1">
      <c r="A40" s="94"/>
      <c r="B40" s="165" t="s">
        <v>143</v>
      </c>
      <c r="C40" s="565">
        <f>'Customer Phases - Inputs and As'!Q42</f>
        <v>1080</v>
      </c>
      <c r="D40" s="566">
        <f>'Customer Phases - Inputs and As'!R42</f>
        <v>0.1666666667</v>
      </c>
      <c r="E40" s="567"/>
      <c r="F40" s="568">
        <f>C40*D40*'Customer Phases - Inputs and As'!$H$49</f>
        <v>1441.871064</v>
      </c>
      <c r="G40" s="569">
        <f>'Customer Phases - Inputs and As'!U42</f>
        <v>0.35</v>
      </c>
      <c r="H40" s="568">
        <f t="shared" si="2"/>
        <v>504.6548722</v>
      </c>
      <c r="I40" s="94"/>
      <c r="J40" s="94"/>
      <c r="K40" s="94"/>
      <c r="L40" s="94"/>
      <c r="M40" s="94"/>
      <c r="N40" s="94"/>
      <c r="O40" s="94"/>
    </row>
    <row r="41" ht="15.75" customHeight="1">
      <c r="A41" s="94"/>
      <c r="B41" s="165" t="s">
        <v>149</v>
      </c>
      <c r="C41" s="565">
        <f>'Customer Phases - Inputs and As'!Q43</f>
        <v>5280</v>
      </c>
      <c r="D41" s="566">
        <f>'Customer Phases - Inputs and As'!R43</f>
        <v>0.08333333333</v>
      </c>
      <c r="E41" s="567"/>
      <c r="F41" s="568">
        <f>C41*D41*'Customer Phases - Inputs and As'!$H$49</f>
        <v>3524.573711</v>
      </c>
      <c r="G41" s="569">
        <f>'Customer Phases - Inputs and As'!U43</f>
        <v>0.2</v>
      </c>
      <c r="H41" s="568">
        <f t="shared" si="2"/>
        <v>704.9147422</v>
      </c>
      <c r="I41" s="94"/>
      <c r="J41" s="94"/>
      <c r="K41" s="94"/>
      <c r="L41" s="94"/>
      <c r="M41" s="94"/>
      <c r="N41" s="94"/>
      <c r="O41" s="94"/>
    </row>
    <row r="42" ht="15.75" customHeight="1">
      <c r="A42" s="94"/>
      <c r="B42" s="165" t="s">
        <v>154</v>
      </c>
      <c r="C42" s="565">
        <f>'Customer Phases - Inputs and As'!Q44</f>
        <v>1440</v>
      </c>
      <c r="D42" s="566">
        <f>'Customer Phases - Inputs and As'!R44</f>
        <v>0.08333333333</v>
      </c>
      <c r="E42" s="567"/>
      <c r="F42" s="568">
        <f>C42*D42*'Customer Phases - Inputs and As'!$H$49</f>
        <v>961.2473757</v>
      </c>
      <c r="G42" s="569">
        <f>'Customer Phases - Inputs and As'!U44</f>
        <v>0.2</v>
      </c>
      <c r="H42" s="568">
        <f t="shared" si="2"/>
        <v>192.2494751</v>
      </c>
      <c r="I42" s="94"/>
      <c r="J42" s="94"/>
      <c r="K42" s="94"/>
      <c r="L42" s="94"/>
      <c r="M42" s="94"/>
      <c r="N42" s="94"/>
      <c r="O42" s="94"/>
    </row>
    <row r="43" ht="15.75" customHeight="1">
      <c r="A43" s="94"/>
      <c r="B43" s="165" t="s">
        <v>159</v>
      </c>
      <c r="C43" s="565">
        <f>'Customer Phases - Inputs and As'!Q45</f>
        <v>1440</v>
      </c>
      <c r="D43" s="566">
        <f>'Customer Phases - Inputs and As'!R45</f>
        <v>0.1666666667</v>
      </c>
      <c r="E43" s="567"/>
      <c r="F43" s="568">
        <f>C43*D43*'Customer Phases - Inputs and As'!$H$49</f>
        <v>1922.494751</v>
      </c>
      <c r="G43" s="569">
        <f>'Customer Phases - Inputs and As'!U45</f>
        <v>0.35</v>
      </c>
      <c r="H43" s="568">
        <f t="shared" si="2"/>
        <v>672.873163</v>
      </c>
      <c r="I43" s="94"/>
      <c r="J43" s="94"/>
      <c r="K43" s="94"/>
      <c r="L43" s="94"/>
      <c r="M43" s="94"/>
      <c r="N43" s="94"/>
      <c r="O43" s="94"/>
    </row>
    <row r="44" ht="15.75" customHeight="1">
      <c r="A44" s="94"/>
      <c r="B44" s="226" t="s">
        <v>161</v>
      </c>
      <c r="C44" s="565">
        <f>'Customer Phases - Inputs and As'!Q46</f>
        <v>7000</v>
      </c>
      <c r="D44" s="566">
        <f>'Customer Phases - Inputs and As'!R46</f>
        <v>0.25</v>
      </c>
      <c r="E44" s="567"/>
      <c r="F44" s="568">
        <f>C44*D44*'Customer Phases - Inputs and As'!$H$49</f>
        <v>14018.1909</v>
      </c>
      <c r="G44" s="569">
        <f>'Customer Phases - Inputs and As'!U46</f>
        <v>0.35</v>
      </c>
      <c r="H44" s="568">
        <f t="shared" si="2"/>
        <v>4906.366813</v>
      </c>
      <c r="I44" s="94"/>
      <c r="J44" s="94"/>
      <c r="K44" s="94"/>
      <c r="L44" s="94"/>
      <c r="M44" s="94"/>
      <c r="N44" s="94"/>
      <c r="O44" s="94"/>
    </row>
    <row r="45" ht="15.75" customHeight="1">
      <c r="A45" s="94"/>
      <c r="B45" s="165" t="s">
        <v>165</v>
      </c>
      <c r="C45" s="565">
        <f>'Customer Phases - Inputs and As'!Q47</f>
        <v>1800</v>
      </c>
      <c r="D45" s="566">
        <f>'Customer Phases - Inputs and As'!R47</f>
        <v>0.08333333333</v>
      </c>
      <c r="E45" s="567"/>
      <c r="F45" s="568">
        <f>C45*D45*'Customer Phases - Inputs and As'!$H$49</f>
        <v>1201.55922</v>
      </c>
      <c r="G45" s="569">
        <f>'Customer Phases - Inputs and As'!U47</f>
        <v>0.35</v>
      </c>
      <c r="H45" s="568">
        <f t="shared" si="2"/>
        <v>420.5457269</v>
      </c>
      <c r="I45" s="94"/>
      <c r="J45" s="94"/>
      <c r="K45" s="94"/>
      <c r="L45" s="94"/>
      <c r="M45" s="94"/>
      <c r="N45" s="94"/>
      <c r="O45" s="94"/>
    </row>
    <row r="46" ht="15.75" customHeight="1">
      <c r="A46" s="94"/>
      <c r="B46" s="165" t="s">
        <v>169</v>
      </c>
      <c r="C46" s="573">
        <v>0.0</v>
      </c>
      <c r="D46" s="566">
        <f>'Customer Phases - Inputs and As'!R48</f>
        <v>0.1666666667</v>
      </c>
      <c r="E46" s="567"/>
      <c r="F46" s="568">
        <f>C46*D46*'Customer Phases - Inputs and As'!$H$49</f>
        <v>0</v>
      </c>
      <c r="G46" s="569">
        <f>'Customer Phases - Inputs and As'!U48</f>
        <v>0.1</v>
      </c>
      <c r="H46" s="568">
        <f t="shared" si="2"/>
        <v>0</v>
      </c>
      <c r="I46" s="94"/>
      <c r="J46" s="94"/>
      <c r="K46" s="94"/>
      <c r="L46" s="94"/>
      <c r="M46" s="94"/>
      <c r="N46" s="94"/>
      <c r="O46" s="94"/>
    </row>
    <row r="47" ht="15.75" customHeight="1">
      <c r="A47" s="94"/>
      <c r="B47" s="226" t="s">
        <v>176</v>
      </c>
      <c r="C47" s="565">
        <f>'Customer Phases - Inputs and As'!Q49</f>
        <v>240</v>
      </c>
      <c r="D47" s="566">
        <f>'Customer Phases - Inputs and As'!R49</f>
        <v>0.08333333333</v>
      </c>
      <c r="E47" s="567"/>
      <c r="F47" s="568">
        <f>C47*D47*'Customer Phases - Inputs and As'!$H$49</f>
        <v>160.2078959</v>
      </c>
      <c r="G47" s="569">
        <f>'Customer Phases - Inputs and As'!U49</f>
        <v>0.2</v>
      </c>
      <c r="H47" s="568">
        <f t="shared" si="2"/>
        <v>32.04157919</v>
      </c>
      <c r="I47" s="94"/>
      <c r="J47" s="94"/>
      <c r="K47" s="94"/>
      <c r="L47" s="94"/>
      <c r="M47" s="94"/>
      <c r="N47" s="94"/>
      <c r="O47" s="94"/>
    </row>
    <row r="48" ht="15.75" customHeight="1">
      <c r="A48" s="94"/>
      <c r="B48" s="226" t="s">
        <v>181</v>
      </c>
      <c r="C48" s="565">
        <f>'Customer Phases - Inputs and As'!Q50</f>
        <v>1680</v>
      </c>
      <c r="D48" s="566">
        <f>'Customer Phases - Inputs and As'!R50</f>
        <v>0.1666666667</v>
      </c>
      <c r="E48" s="567"/>
      <c r="F48" s="568">
        <f>C48*D48*'Customer Phases - Inputs and As'!$H$49</f>
        <v>2242.910543</v>
      </c>
      <c r="G48" s="569">
        <f>'Customer Phases - Inputs and As'!U50</f>
        <v>0.35</v>
      </c>
      <c r="H48" s="568">
        <f t="shared" si="2"/>
        <v>785.0186901</v>
      </c>
      <c r="I48" s="94"/>
      <c r="J48" s="94"/>
      <c r="K48" s="94"/>
      <c r="L48" s="94"/>
      <c r="M48" s="94"/>
      <c r="N48" s="94"/>
      <c r="O48" s="94"/>
    </row>
    <row r="49" ht="15.75" customHeight="1">
      <c r="A49" s="94"/>
      <c r="B49" s="165" t="s">
        <v>184</v>
      </c>
      <c r="C49" s="565">
        <f>'Customer Phases - Inputs and As'!Q51</f>
        <v>14400</v>
      </c>
      <c r="D49" s="566">
        <f>'Customer Phases - Inputs and As'!R51</f>
        <v>0.1666666667</v>
      </c>
      <c r="E49" s="567"/>
      <c r="F49" s="568">
        <f>C49*D49*'Customer Phases - Inputs and As'!$H$49</f>
        <v>19224.94751</v>
      </c>
      <c r="G49" s="569">
        <f>'Customer Phases - Inputs and As'!U51</f>
        <v>0.35</v>
      </c>
      <c r="H49" s="568">
        <f t="shared" si="2"/>
        <v>6728.73163</v>
      </c>
      <c r="I49" s="94"/>
      <c r="J49" s="94"/>
      <c r="K49" s="94"/>
      <c r="L49" s="94"/>
      <c r="M49" s="94"/>
      <c r="N49" s="94"/>
      <c r="O49" s="94"/>
    </row>
    <row r="50" ht="15.75" customHeight="1">
      <c r="A50" s="94"/>
      <c r="B50" s="226" t="s">
        <v>185</v>
      </c>
      <c r="C50" s="565">
        <f>'Customer Phases - Inputs and As'!Q52</f>
        <v>14040</v>
      </c>
      <c r="D50" s="566">
        <f>'Customer Phases - Inputs and As'!R52</f>
        <v>0.1666666667</v>
      </c>
      <c r="E50" s="567"/>
      <c r="F50" s="568">
        <f>C50*D50*'Customer Phases - Inputs and As'!$H$49</f>
        <v>18744.32383</v>
      </c>
      <c r="G50" s="569">
        <f>'Customer Phases - Inputs and As'!U52</f>
        <v>0.35</v>
      </c>
      <c r="H50" s="568">
        <f t="shared" si="2"/>
        <v>6560.513339</v>
      </c>
      <c r="I50" s="94"/>
      <c r="J50" s="94"/>
      <c r="K50" s="94"/>
      <c r="L50" s="94"/>
      <c r="M50" s="94"/>
      <c r="N50" s="94"/>
      <c r="O50" s="94"/>
    </row>
    <row r="51">
      <c r="A51" s="94"/>
      <c r="B51" s="574"/>
      <c r="C51" s="565" t="str">
        <f>'Customer Phases - Inputs and As'!Q53</f>
        <v/>
      </c>
      <c r="D51" s="566" t="str">
        <f>'Customer Phases - Inputs and As'!R53</f>
        <v/>
      </c>
      <c r="E51" s="567"/>
      <c r="F51" s="568">
        <f>C51*D51*'Customer Phases - Inputs and As'!$H$49</f>
        <v>0</v>
      </c>
      <c r="G51" s="569" t="str">
        <f>'Customer Phases - Inputs and As'!U53</f>
        <v/>
      </c>
      <c r="H51" s="568">
        <f t="shared" si="2"/>
        <v>0</v>
      </c>
      <c r="I51" s="94"/>
      <c r="J51" s="94"/>
      <c r="K51" s="94"/>
      <c r="L51" s="94"/>
      <c r="M51" s="94"/>
      <c r="N51" s="94"/>
      <c r="O51" s="94"/>
    </row>
    <row r="52" ht="15.75" customHeight="1">
      <c r="A52" s="95"/>
      <c r="B52" s="560" t="s">
        <v>100</v>
      </c>
      <c r="C52" s="561">
        <f>sum(C53:C69)</f>
        <v>0</v>
      </c>
      <c r="D52" s="561"/>
      <c r="E52" s="562"/>
      <c r="F52" s="563">
        <f>sum(F53:F69)</f>
        <v>0</v>
      </c>
      <c r="G52" s="564"/>
      <c r="H52" s="563">
        <f>sum(H53:H69)</f>
        <v>0</v>
      </c>
      <c r="I52" s="94"/>
      <c r="J52" s="94"/>
      <c r="K52" s="94"/>
      <c r="L52" s="94"/>
      <c r="M52" s="94"/>
      <c r="N52" s="94"/>
      <c r="O52" s="94"/>
    </row>
    <row r="53" ht="15.75" customHeight="1">
      <c r="A53" s="94"/>
      <c r="B53" s="179" t="s">
        <v>122</v>
      </c>
      <c r="C53" s="565">
        <f>'Customer Phases - Inputs and As'!S37</f>
        <v>0</v>
      </c>
      <c r="D53" s="566">
        <f>'Customer Phases - Inputs and As'!T37</f>
        <v>0</v>
      </c>
      <c r="E53" s="567"/>
      <c r="F53" s="568">
        <f>C53*D53*'Customer Phases - Inputs and As'!$H$49</f>
        <v>0</v>
      </c>
      <c r="G53" s="569">
        <f>'Customer Phases - Inputs and As'!U37</f>
        <v>0.35</v>
      </c>
      <c r="H53" s="568">
        <f t="shared" ref="H53:H69" si="3">F53*G53</f>
        <v>0</v>
      </c>
      <c r="I53" s="94"/>
      <c r="J53" s="94"/>
      <c r="K53" s="94"/>
      <c r="L53" s="94"/>
      <c r="M53" s="94"/>
      <c r="N53" s="94"/>
      <c r="O53" s="94"/>
    </row>
    <row r="54" ht="15.75" customHeight="1">
      <c r="A54" s="94"/>
      <c r="B54" s="175" t="s">
        <v>127</v>
      </c>
      <c r="C54" s="573">
        <v>0.0</v>
      </c>
      <c r="D54" s="566" t="str">
        <f>'Customer Phases - Inputs and As'!T38</f>
        <v/>
      </c>
      <c r="E54" s="567"/>
      <c r="F54" s="568">
        <f>C54*D54*'Customer Phases - Inputs and As'!$H$49</f>
        <v>0</v>
      </c>
      <c r="G54" s="569">
        <f>'Customer Phases - Inputs and As'!U38</f>
        <v>0.4</v>
      </c>
      <c r="H54" s="568">
        <f t="shared" si="3"/>
        <v>0</v>
      </c>
      <c r="I54" s="94"/>
      <c r="J54" s="94"/>
      <c r="K54" s="94"/>
      <c r="L54" s="94"/>
      <c r="M54" s="94"/>
      <c r="N54" s="94"/>
      <c r="O54" s="94"/>
    </row>
    <row r="55" ht="15.75" customHeight="1">
      <c r="A55" s="94"/>
      <c r="B55" s="175" t="s">
        <v>129</v>
      </c>
      <c r="C55" s="565" t="str">
        <f>'Customer Phases - Inputs and As'!S39</f>
        <v/>
      </c>
      <c r="D55" s="566">
        <f>'Customer Phases - Inputs and As'!T39</f>
        <v>0.75</v>
      </c>
      <c r="E55" s="567"/>
      <c r="F55" s="568">
        <f>C55*D55*'Customer Phases - Inputs and As'!$H$49</f>
        <v>0</v>
      </c>
      <c r="G55" s="569">
        <f>'Customer Phases - Inputs and As'!U39</f>
        <v>0.4</v>
      </c>
      <c r="H55" s="568">
        <f t="shared" si="3"/>
        <v>0</v>
      </c>
      <c r="I55" s="94"/>
      <c r="J55" s="94"/>
      <c r="K55" s="94"/>
      <c r="L55" s="94"/>
      <c r="M55" s="94"/>
      <c r="N55" s="94"/>
      <c r="O55" s="94"/>
    </row>
    <row r="56" ht="15.75" customHeight="1">
      <c r="A56" s="94"/>
      <c r="B56" s="175" t="s">
        <v>410</v>
      </c>
      <c r="C56" s="565">
        <f>'Customer Phases - Inputs and As'!S40</f>
        <v>0</v>
      </c>
      <c r="D56" s="566">
        <f>'Customer Phases - Inputs and As'!T40</f>
        <v>0</v>
      </c>
      <c r="E56" s="567"/>
      <c r="F56" s="568">
        <f>C56*D56*'Customer Phases - Inputs and As'!$H$49</f>
        <v>0</v>
      </c>
      <c r="G56" s="569">
        <f>'Customer Phases - Inputs and As'!U40</f>
        <v>0.1</v>
      </c>
      <c r="H56" s="568">
        <f t="shared" si="3"/>
        <v>0</v>
      </c>
      <c r="I56" s="94"/>
      <c r="J56" s="94"/>
      <c r="K56" s="94"/>
      <c r="L56" s="94"/>
      <c r="M56" s="94"/>
      <c r="N56" s="94"/>
      <c r="O56" s="94"/>
    </row>
    <row r="57" ht="15.75" customHeight="1">
      <c r="A57" s="94"/>
      <c r="B57" s="165" t="s">
        <v>411</v>
      </c>
      <c r="C57" s="565">
        <f>'Customer Phases - Inputs and As'!S41</f>
        <v>0</v>
      </c>
      <c r="D57" s="566">
        <f>'Customer Phases - Inputs and As'!T41</f>
        <v>0.08333333333</v>
      </c>
      <c r="E57" s="567"/>
      <c r="F57" s="568">
        <f>C57*D57*'Customer Phases - Inputs and As'!$H$49</f>
        <v>0</v>
      </c>
      <c r="G57" s="569">
        <f>'Customer Phases - Inputs and As'!U41</f>
        <v>0.1</v>
      </c>
      <c r="H57" s="568">
        <f t="shared" si="3"/>
        <v>0</v>
      </c>
      <c r="I57" s="94"/>
      <c r="J57" s="94"/>
      <c r="K57" s="94"/>
      <c r="L57" s="94"/>
      <c r="M57" s="94"/>
      <c r="N57" s="94"/>
      <c r="O57" s="94"/>
    </row>
    <row r="58" ht="15.75" customHeight="1">
      <c r="A58" s="94"/>
      <c r="B58" s="165" t="s">
        <v>143</v>
      </c>
      <c r="C58" s="565" t="str">
        <f>'Customer Phases - Inputs and As'!S42</f>
        <v/>
      </c>
      <c r="D58" s="566">
        <f>'Customer Phases - Inputs and As'!T42</f>
        <v>0.5</v>
      </c>
      <c r="E58" s="567"/>
      <c r="F58" s="568">
        <f>C58*D58*'Customer Phases - Inputs and As'!$H$49</f>
        <v>0</v>
      </c>
      <c r="G58" s="569">
        <f>'Customer Phases - Inputs and As'!U42</f>
        <v>0.35</v>
      </c>
      <c r="H58" s="568">
        <f t="shared" si="3"/>
        <v>0</v>
      </c>
      <c r="I58" s="94"/>
      <c r="J58" s="94"/>
      <c r="K58" s="94"/>
      <c r="L58" s="94"/>
      <c r="M58" s="94"/>
      <c r="N58" s="94"/>
      <c r="O58" s="94"/>
    </row>
    <row r="59" ht="15.75" customHeight="1">
      <c r="A59" s="94"/>
      <c r="B59" s="165" t="s">
        <v>149</v>
      </c>
      <c r="C59" s="565">
        <f>'Customer Phases - Inputs and As'!S43</f>
        <v>0</v>
      </c>
      <c r="D59" s="566">
        <f>'Customer Phases - Inputs and As'!T43</f>
        <v>0</v>
      </c>
      <c r="E59" s="567"/>
      <c r="F59" s="568">
        <f>C59*D59*'Customer Phases - Inputs and As'!$H$49</f>
        <v>0</v>
      </c>
      <c r="G59" s="569">
        <f>'Customer Phases - Inputs and As'!U43</f>
        <v>0.2</v>
      </c>
      <c r="H59" s="568">
        <f t="shared" si="3"/>
        <v>0</v>
      </c>
      <c r="I59" s="94"/>
      <c r="J59" s="94"/>
      <c r="K59" s="94"/>
      <c r="L59" s="94"/>
      <c r="M59" s="94"/>
      <c r="N59" s="94"/>
      <c r="O59" s="94"/>
    </row>
    <row r="60" ht="15.75" customHeight="1">
      <c r="A60" s="94"/>
      <c r="B60" s="165" t="s">
        <v>154</v>
      </c>
      <c r="C60" s="565">
        <f>'Customer Phases - Inputs and As'!S44</f>
        <v>0</v>
      </c>
      <c r="D60" s="566">
        <f>'Customer Phases - Inputs and As'!T44</f>
        <v>0</v>
      </c>
      <c r="E60" s="567"/>
      <c r="F60" s="568">
        <f>C60*D60*'Customer Phases - Inputs and As'!$H$49</f>
        <v>0</v>
      </c>
      <c r="G60" s="569">
        <f>'Customer Phases - Inputs and As'!U44</f>
        <v>0.2</v>
      </c>
      <c r="H60" s="568">
        <f t="shared" si="3"/>
        <v>0</v>
      </c>
      <c r="I60" s="94"/>
      <c r="J60" s="94"/>
      <c r="K60" s="94"/>
      <c r="L60" s="94"/>
      <c r="M60" s="94"/>
      <c r="N60" s="94"/>
      <c r="O60" s="94"/>
    </row>
    <row r="61" ht="15.75" customHeight="1">
      <c r="A61" s="94"/>
      <c r="B61" s="165" t="s">
        <v>159</v>
      </c>
      <c r="C61" s="565" t="str">
        <f>'Customer Phases - Inputs and As'!S45</f>
        <v/>
      </c>
      <c r="D61" s="566">
        <f>'Customer Phases - Inputs and As'!T45</f>
        <v>0.5</v>
      </c>
      <c r="E61" s="567"/>
      <c r="F61" s="568">
        <f>C61*D61*'Customer Phases - Inputs and As'!$H$49</f>
        <v>0</v>
      </c>
      <c r="G61" s="569">
        <f>'Customer Phases - Inputs and As'!U45</f>
        <v>0.35</v>
      </c>
      <c r="H61" s="568">
        <f t="shared" si="3"/>
        <v>0</v>
      </c>
      <c r="I61" s="94"/>
      <c r="J61" s="94"/>
      <c r="K61" s="94"/>
      <c r="L61" s="94"/>
      <c r="M61" s="94"/>
      <c r="N61" s="94"/>
      <c r="O61" s="94"/>
    </row>
    <row r="62" ht="15.75" customHeight="1">
      <c r="A62" s="94"/>
      <c r="B62" s="226" t="s">
        <v>161</v>
      </c>
      <c r="C62" s="565" t="str">
        <f>'Customer Phases - Inputs and As'!S46</f>
        <v/>
      </c>
      <c r="D62" s="566">
        <f>'Customer Phases - Inputs and As'!T46</f>
        <v>0.5</v>
      </c>
      <c r="E62" s="567"/>
      <c r="F62" s="568">
        <f>C62*D62*'Customer Phases - Inputs and As'!$H$49</f>
        <v>0</v>
      </c>
      <c r="G62" s="569">
        <f>'Customer Phases - Inputs and As'!U46</f>
        <v>0.35</v>
      </c>
      <c r="H62" s="568">
        <f t="shared" si="3"/>
        <v>0</v>
      </c>
      <c r="I62" s="94"/>
      <c r="J62" s="94"/>
      <c r="K62" s="94"/>
      <c r="L62" s="94"/>
      <c r="M62" s="94"/>
      <c r="N62" s="94"/>
      <c r="O62" s="94"/>
    </row>
    <row r="63" ht="15.75" customHeight="1">
      <c r="A63" s="94"/>
      <c r="B63" s="165" t="s">
        <v>165</v>
      </c>
      <c r="C63" s="565">
        <f>'Customer Phases - Inputs and As'!S47</f>
        <v>0</v>
      </c>
      <c r="D63" s="566">
        <f>'Customer Phases - Inputs and As'!T47</f>
        <v>0</v>
      </c>
      <c r="E63" s="567"/>
      <c r="F63" s="568">
        <f>C63*D63*'Customer Phases - Inputs and As'!$H$49</f>
        <v>0</v>
      </c>
      <c r="G63" s="569">
        <f>'Customer Phases - Inputs and As'!U47</f>
        <v>0.35</v>
      </c>
      <c r="H63" s="568">
        <f t="shared" si="3"/>
        <v>0</v>
      </c>
      <c r="I63" s="94"/>
      <c r="J63" s="94"/>
      <c r="K63" s="94"/>
      <c r="L63" s="94"/>
      <c r="M63" s="94"/>
      <c r="N63" s="94"/>
      <c r="O63" s="94"/>
    </row>
    <row r="64" ht="15.75" customHeight="1">
      <c r="A64" s="94"/>
      <c r="B64" s="165" t="s">
        <v>169</v>
      </c>
      <c r="C64" s="565">
        <f>'Customer Phases - Inputs and As'!S48</f>
        <v>0</v>
      </c>
      <c r="D64" s="566">
        <f>'Customer Phases - Inputs and As'!T48</f>
        <v>0</v>
      </c>
      <c r="E64" s="567"/>
      <c r="F64" s="568">
        <f>C64*D64*'Customer Phases - Inputs and As'!$H$49</f>
        <v>0</v>
      </c>
      <c r="G64" s="569">
        <f>'Customer Phases - Inputs and As'!U48</f>
        <v>0.1</v>
      </c>
      <c r="H64" s="568">
        <f t="shared" si="3"/>
        <v>0</v>
      </c>
      <c r="I64" s="94"/>
      <c r="J64" s="94"/>
      <c r="K64" s="94"/>
      <c r="L64" s="94"/>
      <c r="M64" s="94"/>
      <c r="N64" s="94"/>
      <c r="O64" s="94"/>
    </row>
    <row r="65" ht="15.75" customHeight="1">
      <c r="A65" s="94"/>
      <c r="B65" s="226" t="s">
        <v>176</v>
      </c>
      <c r="C65" s="565" t="str">
        <f>'Customer Phases - Inputs and As'!S49</f>
        <v/>
      </c>
      <c r="D65" s="566">
        <f>'Customer Phases - Inputs and As'!T49</f>
        <v>0.25</v>
      </c>
      <c r="E65" s="567"/>
      <c r="F65" s="568">
        <f>C65*D65*'Customer Phases - Inputs and As'!$H$49</f>
        <v>0</v>
      </c>
      <c r="G65" s="569">
        <f>'Customer Phases - Inputs and As'!U49</f>
        <v>0.2</v>
      </c>
      <c r="H65" s="568">
        <f t="shared" si="3"/>
        <v>0</v>
      </c>
      <c r="I65" s="94"/>
      <c r="J65" s="94"/>
      <c r="K65" s="94"/>
      <c r="L65" s="94"/>
      <c r="M65" s="94"/>
      <c r="N65" s="94"/>
      <c r="O65" s="94"/>
    </row>
    <row r="66">
      <c r="A66" s="94"/>
      <c r="B66" s="226" t="s">
        <v>181</v>
      </c>
      <c r="C66" s="565">
        <f>'Customer Phases - Inputs and As'!S50</f>
        <v>0</v>
      </c>
      <c r="D66" s="566">
        <f>'Customer Phases - Inputs and As'!T50</f>
        <v>0</v>
      </c>
      <c r="E66" s="567"/>
      <c r="F66" s="568">
        <f>C66*D66*'Customer Phases - Inputs and As'!$H$49</f>
        <v>0</v>
      </c>
      <c r="G66" s="569">
        <f>'Customer Phases - Inputs and As'!U50</f>
        <v>0.35</v>
      </c>
      <c r="H66" s="568">
        <f t="shared" si="3"/>
        <v>0</v>
      </c>
      <c r="I66" s="94"/>
      <c r="J66" s="94"/>
      <c r="K66" s="94"/>
      <c r="L66" s="94"/>
      <c r="M66" s="94"/>
      <c r="N66" s="94"/>
      <c r="O66" s="94"/>
    </row>
    <row r="67" ht="15.75" customHeight="1">
      <c r="A67" s="94"/>
      <c r="B67" s="165" t="s">
        <v>184</v>
      </c>
      <c r="C67" s="565">
        <f>'Customer Phases - Inputs and As'!S51</f>
        <v>0</v>
      </c>
      <c r="D67" s="566">
        <f>'Customer Phases - Inputs and As'!T51</f>
        <v>0</v>
      </c>
      <c r="E67" s="567"/>
      <c r="F67" s="568">
        <f>C67*D67*'Customer Phases - Inputs and As'!$H$49</f>
        <v>0</v>
      </c>
      <c r="G67" s="569">
        <f>'Customer Phases - Inputs and As'!U51</f>
        <v>0.35</v>
      </c>
      <c r="H67" s="568">
        <f t="shared" si="3"/>
        <v>0</v>
      </c>
      <c r="I67" s="94"/>
      <c r="J67" s="94"/>
      <c r="K67" s="94"/>
      <c r="L67" s="94"/>
      <c r="M67" s="94"/>
      <c r="N67" s="94"/>
      <c r="O67" s="94"/>
    </row>
    <row r="68" ht="15.75" customHeight="1">
      <c r="A68" s="94"/>
      <c r="B68" s="226" t="s">
        <v>185</v>
      </c>
      <c r="C68" s="565" t="str">
        <f>'Customer Phases - Inputs and As'!S52</f>
        <v/>
      </c>
      <c r="D68" s="566">
        <f>'Customer Phases - Inputs and As'!T52</f>
        <v>0.25</v>
      </c>
      <c r="E68" s="567"/>
      <c r="F68" s="568">
        <f>C68*D68*'Customer Phases - Inputs and As'!$H$49</f>
        <v>0</v>
      </c>
      <c r="G68" s="569">
        <f>'Customer Phases - Inputs and As'!U52</f>
        <v>0.35</v>
      </c>
      <c r="H68" s="568">
        <f t="shared" si="3"/>
        <v>0</v>
      </c>
      <c r="I68" s="94"/>
      <c r="J68" s="94"/>
      <c r="K68" s="94"/>
      <c r="L68" s="94"/>
      <c r="M68" s="94"/>
      <c r="N68" s="94"/>
      <c r="O68" s="94"/>
    </row>
    <row r="69" ht="15.75" customHeight="1">
      <c r="A69" s="94"/>
      <c r="B69" s="575"/>
      <c r="C69" s="565" t="str">
        <f>'Customer Phases - Inputs and As'!S53</f>
        <v/>
      </c>
      <c r="D69" s="566" t="str">
        <f>'Customer Phases - Inputs and As'!T53</f>
        <v/>
      </c>
      <c r="E69" s="567"/>
      <c r="F69" s="568">
        <f>C69*D69*'Customer Phases - Inputs and As'!$H$49</f>
        <v>0</v>
      </c>
      <c r="G69" s="569" t="str">
        <f>'Customer Phases - Inputs and As'!U53</f>
        <v/>
      </c>
      <c r="H69" s="568">
        <f t="shared" si="3"/>
        <v>0</v>
      </c>
      <c r="I69" s="94"/>
      <c r="J69" s="94"/>
      <c r="K69" s="94"/>
      <c r="L69" s="94"/>
      <c r="M69" s="94"/>
      <c r="N69" s="94"/>
      <c r="O69" s="94"/>
    </row>
    <row r="70" ht="15.75" customHeight="1">
      <c r="A70" s="94"/>
      <c r="B70" s="94"/>
      <c r="C70" s="94"/>
      <c r="D70" s="94"/>
      <c r="E70" s="94"/>
      <c r="F70" s="94"/>
      <c r="G70" s="94"/>
      <c r="H70" s="94"/>
      <c r="I70" s="94"/>
      <c r="J70" s="94"/>
      <c r="K70" s="94"/>
      <c r="L70" s="94"/>
      <c r="M70" s="94"/>
      <c r="N70" s="94"/>
      <c r="O70" s="94"/>
    </row>
    <row r="71">
      <c r="A71" s="94"/>
      <c r="B71" s="576" t="s">
        <v>413</v>
      </c>
      <c r="C71" s="577" t="s">
        <v>414</v>
      </c>
      <c r="D71" s="577" t="s">
        <v>415</v>
      </c>
      <c r="E71" s="577" t="s">
        <v>112</v>
      </c>
      <c r="F71" s="576" t="s">
        <v>416</v>
      </c>
      <c r="G71" s="576" t="s">
        <v>417</v>
      </c>
      <c r="H71" s="577" t="s">
        <v>418</v>
      </c>
      <c r="I71" s="577" t="s">
        <v>419</v>
      </c>
      <c r="J71" s="94"/>
      <c r="K71" s="94"/>
      <c r="L71" s="94"/>
      <c r="M71" s="94"/>
      <c r="N71" s="94"/>
      <c r="O71" s="94"/>
    </row>
    <row r="72" ht="15.75" customHeight="1">
      <c r="A72" s="94"/>
      <c r="B72" s="179" t="s">
        <v>122</v>
      </c>
      <c r="C72" s="578">
        <f t="shared" ref="C72:C73" si="4">C17+C35+C53</f>
        <v>123888.7</v>
      </c>
      <c r="D72" s="579">
        <f>(D17+D35+D53)/2</f>
        <v>0.08166666667</v>
      </c>
      <c r="E72" s="580">
        <f t="shared" ref="E72:E87" si="5">AVERAGE(G17,G35,G53)</f>
        <v>0.35</v>
      </c>
      <c r="F72" s="581">
        <f t="shared" ref="F72:F87" si="6">C72*G17</f>
        <v>43361.045</v>
      </c>
      <c r="G72" s="582">
        <f>'Customer Phases - Inputs and As'!$H$49</f>
        <v>8.010394797</v>
      </c>
      <c r="H72" s="583">
        <f t="shared" ref="H72:H87" si="7">D72*F72*G72</f>
        <v>28366.02562</v>
      </c>
      <c r="I72" s="583">
        <f t="shared" ref="I72:I87" si="8">C72*D72*G72</f>
        <v>81045.7875</v>
      </c>
      <c r="J72" s="94"/>
      <c r="K72" s="94"/>
      <c r="L72" s="94"/>
      <c r="M72" s="94"/>
      <c r="N72" s="94"/>
      <c r="O72" s="94"/>
    </row>
    <row r="73" ht="15.75" customHeight="1">
      <c r="A73" s="94"/>
      <c r="B73" s="175" t="s">
        <v>127</v>
      </c>
      <c r="C73" s="578">
        <f t="shared" si="4"/>
        <v>75120.5</v>
      </c>
      <c r="D73" s="579">
        <f t="shared" ref="D73:D74" si="9">(D18+D36+D54)/3</f>
        <v>0.1122222222</v>
      </c>
      <c r="E73" s="580">
        <f t="shared" si="5"/>
        <v>0.4</v>
      </c>
      <c r="F73" s="581">
        <f t="shared" si="6"/>
        <v>30048.2</v>
      </c>
      <c r="G73" s="582">
        <f>'Customer Phases - Inputs and As'!$H$49</f>
        <v>8.010394797</v>
      </c>
      <c r="H73" s="583">
        <f t="shared" si="7"/>
        <v>27011.65827</v>
      </c>
      <c r="I73" s="583">
        <f t="shared" si="8"/>
        <v>67529.14567</v>
      </c>
      <c r="J73" s="94"/>
      <c r="K73" s="94"/>
      <c r="L73" s="94"/>
      <c r="M73" s="94"/>
      <c r="N73" s="94"/>
      <c r="O73" s="94"/>
    </row>
    <row r="74" ht="15.75" customHeight="1">
      <c r="A74" s="94"/>
      <c r="B74" s="584" t="s">
        <v>129</v>
      </c>
      <c r="C74" s="585">
        <v>0.0</v>
      </c>
      <c r="D74" s="586">
        <f t="shared" si="9"/>
        <v>0.4433333333</v>
      </c>
      <c r="E74" s="587">
        <f t="shared" si="5"/>
        <v>0.4</v>
      </c>
      <c r="F74" s="588">
        <f t="shared" si="6"/>
        <v>0</v>
      </c>
      <c r="G74" s="589">
        <f>'Customer Phases - Inputs and As'!$H$49</f>
        <v>8.010394797</v>
      </c>
      <c r="H74" s="590">
        <f t="shared" si="7"/>
        <v>0</v>
      </c>
      <c r="I74" s="590">
        <f t="shared" si="8"/>
        <v>0</v>
      </c>
      <c r="J74" s="94"/>
      <c r="K74" s="94"/>
      <c r="L74" s="94"/>
      <c r="M74" s="94"/>
      <c r="N74" s="94"/>
      <c r="O74" s="94"/>
    </row>
    <row r="75" ht="15.75" customHeight="1">
      <c r="A75" s="94"/>
      <c r="B75" s="175" t="s">
        <v>410</v>
      </c>
      <c r="C75" s="578">
        <f t="shared" ref="C75:C83" si="10">C20+C38+C56</f>
        <v>356767.2</v>
      </c>
      <c r="D75" s="579">
        <f>(D20+D38+D56)/2</f>
        <v>0.125</v>
      </c>
      <c r="E75" s="580">
        <f t="shared" si="5"/>
        <v>0.1</v>
      </c>
      <c r="F75" s="581">
        <f t="shared" si="6"/>
        <v>35676.72</v>
      </c>
      <c r="G75" s="582">
        <f>'Customer Phases - Inputs and As'!$H$49</f>
        <v>8.010394797</v>
      </c>
      <c r="H75" s="583">
        <f t="shared" si="7"/>
        <v>35723.07653</v>
      </c>
      <c r="I75" s="583">
        <f t="shared" si="8"/>
        <v>357230.7653</v>
      </c>
      <c r="J75" s="94"/>
      <c r="K75" s="94"/>
      <c r="L75" s="94"/>
      <c r="M75" s="94"/>
      <c r="N75" s="94"/>
      <c r="O75" s="94"/>
    </row>
    <row r="76" ht="15.75" customHeight="1">
      <c r="A76" s="94"/>
      <c r="B76" s="165" t="s">
        <v>411</v>
      </c>
      <c r="C76" s="578">
        <f t="shared" si="10"/>
        <v>0</v>
      </c>
      <c r="D76" s="579">
        <f t="shared" ref="D76:D77" si="11">(D21+D39+D57)/3</f>
        <v>0.08333333333</v>
      </c>
      <c r="E76" s="580">
        <f t="shared" si="5"/>
        <v>0.1</v>
      </c>
      <c r="F76" s="581">
        <f t="shared" si="6"/>
        <v>0</v>
      </c>
      <c r="G76" s="582">
        <f>'Customer Phases - Inputs and As'!$H$49</f>
        <v>8.010394797</v>
      </c>
      <c r="H76" s="583">
        <f t="shared" si="7"/>
        <v>0</v>
      </c>
      <c r="I76" s="583">
        <f t="shared" si="8"/>
        <v>0</v>
      </c>
      <c r="J76" s="94"/>
      <c r="K76" s="94"/>
      <c r="L76" s="94"/>
      <c r="M76" s="94"/>
      <c r="N76" s="94"/>
      <c r="O76" s="94"/>
    </row>
    <row r="77" ht="15.75" customHeight="1">
      <c r="A77" s="94"/>
      <c r="B77" s="165" t="s">
        <v>143</v>
      </c>
      <c r="C77" s="578">
        <f t="shared" si="10"/>
        <v>8668.8</v>
      </c>
      <c r="D77" s="579">
        <f t="shared" si="11"/>
        <v>0.3055555556</v>
      </c>
      <c r="E77" s="580">
        <f t="shared" si="5"/>
        <v>0.35</v>
      </c>
      <c r="F77" s="581">
        <f t="shared" si="6"/>
        <v>3034.08</v>
      </c>
      <c r="G77" s="582">
        <f>'Customer Phases - Inputs and As'!$H$49</f>
        <v>8.010394797</v>
      </c>
      <c r="H77" s="583">
        <f t="shared" si="7"/>
        <v>7426.276809</v>
      </c>
      <c r="I77" s="583">
        <f t="shared" si="8"/>
        <v>21217.93374</v>
      </c>
      <c r="J77" s="94"/>
      <c r="K77" s="94"/>
      <c r="L77" s="94"/>
      <c r="M77" s="94"/>
      <c r="N77" s="94"/>
      <c r="O77" s="94"/>
      <c r="P77" s="264">
        <f>1079/5</f>
        <v>215.8</v>
      </c>
    </row>
    <row r="78" ht="15.75" customHeight="1">
      <c r="A78" s="94"/>
      <c r="B78" s="165" t="s">
        <v>149</v>
      </c>
      <c r="C78" s="578">
        <f t="shared" si="10"/>
        <v>6426.6</v>
      </c>
      <c r="D78" s="579">
        <f t="shared" ref="D78:D80" si="12">(D23+D41+D59)/2</f>
        <v>0.1266666667</v>
      </c>
      <c r="E78" s="580">
        <f t="shared" si="5"/>
        <v>0.2</v>
      </c>
      <c r="F78" s="581">
        <f t="shared" si="6"/>
        <v>1285.32</v>
      </c>
      <c r="G78" s="582">
        <f>'Customer Phases - Inputs and As'!$H$49</f>
        <v>8.010394797</v>
      </c>
      <c r="H78" s="583">
        <f t="shared" si="7"/>
        <v>1304.149948</v>
      </c>
      <c r="I78" s="583">
        <f t="shared" si="8"/>
        <v>6520.749739</v>
      </c>
      <c r="J78" s="94"/>
      <c r="K78" s="94"/>
      <c r="L78" s="94"/>
      <c r="M78" s="94"/>
      <c r="N78" s="94"/>
      <c r="O78" s="94"/>
    </row>
    <row r="79" ht="15.75" customHeight="1">
      <c r="A79" s="94"/>
      <c r="B79" s="165" t="s">
        <v>154</v>
      </c>
      <c r="C79" s="578">
        <f t="shared" si="10"/>
        <v>2204.4</v>
      </c>
      <c r="D79" s="579">
        <f t="shared" si="12"/>
        <v>0.1266666667</v>
      </c>
      <c r="E79" s="580">
        <f t="shared" si="5"/>
        <v>0.2</v>
      </c>
      <c r="F79" s="581">
        <f t="shared" si="6"/>
        <v>440.88</v>
      </c>
      <c r="G79" s="582">
        <f>'Customer Phases - Inputs and As'!$H$49</f>
        <v>8.010394797</v>
      </c>
      <c r="H79" s="583">
        <f t="shared" si="7"/>
        <v>447.3388954</v>
      </c>
      <c r="I79" s="583">
        <f t="shared" si="8"/>
        <v>2236.694477</v>
      </c>
      <c r="J79" s="94"/>
      <c r="K79" s="94"/>
      <c r="L79" s="94"/>
      <c r="M79" s="94"/>
      <c r="N79" s="94"/>
      <c r="O79" s="94"/>
      <c r="P79" s="591">
        <f>H86+Sum(H77:H81)</f>
        <v>26309.65468</v>
      </c>
      <c r="Q79" s="591">
        <f>P79/5</f>
        <v>5261.930936</v>
      </c>
    </row>
    <row r="80" ht="15.75" customHeight="1">
      <c r="A80" s="94"/>
      <c r="B80" s="165" t="s">
        <v>159</v>
      </c>
      <c r="C80" s="578">
        <f t="shared" si="10"/>
        <v>7555.2</v>
      </c>
      <c r="D80" s="579">
        <f t="shared" si="12"/>
        <v>0.4183333333</v>
      </c>
      <c r="E80" s="580">
        <f t="shared" si="5"/>
        <v>0.35</v>
      </c>
      <c r="F80" s="581">
        <f t="shared" si="6"/>
        <v>2644.32</v>
      </c>
      <c r="G80" s="582">
        <f>'Customer Phases - Inputs and As'!$H$49</f>
        <v>8.010394797</v>
      </c>
      <c r="H80" s="583">
        <f t="shared" si="7"/>
        <v>8861.1564</v>
      </c>
      <c r="I80" s="583">
        <f t="shared" si="8"/>
        <v>25317.58971</v>
      </c>
      <c r="J80" s="94"/>
      <c r="K80" s="94"/>
      <c r="L80" s="94"/>
      <c r="M80" s="94"/>
      <c r="N80" s="94"/>
      <c r="O80" s="94"/>
    </row>
    <row r="81" ht="15.75" customHeight="1">
      <c r="A81" s="94"/>
      <c r="B81" s="226" t="s">
        <v>161</v>
      </c>
      <c r="C81" s="578">
        <f t="shared" si="10"/>
        <v>7000</v>
      </c>
      <c r="D81" s="579">
        <f>(D26+D44+D62)/3</f>
        <v>0.25</v>
      </c>
      <c r="E81" s="580">
        <f t="shared" si="5"/>
        <v>0.35</v>
      </c>
      <c r="F81" s="581">
        <f t="shared" si="6"/>
        <v>2450</v>
      </c>
      <c r="G81" s="582">
        <f>'Customer Phases - Inputs and As'!$H$49</f>
        <v>8.010394797</v>
      </c>
      <c r="H81" s="583">
        <f t="shared" si="7"/>
        <v>4906.366813</v>
      </c>
      <c r="I81" s="583">
        <f t="shared" si="8"/>
        <v>14018.1909</v>
      </c>
      <c r="J81" s="94"/>
      <c r="K81" s="94"/>
      <c r="L81" s="94"/>
      <c r="M81" s="94"/>
      <c r="N81" s="94"/>
      <c r="O81" s="94"/>
    </row>
    <row r="82" ht="15.75" customHeight="1">
      <c r="A82" s="94"/>
      <c r="B82" s="165" t="s">
        <v>165</v>
      </c>
      <c r="C82" s="578">
        <f t="shared" si="10"/>
        <v>1800</v>
      </c>
      <c r="D82" s="579">
        <f t="shared" ref="D82:D83" si="13">(D27+D45+D63)/2</f>
        <v>0.04166666667</v>
      </c>
      <c r="E82" s="580">
        <f t="shared" si="5"/>
        <v>0.35</v>
      </c>
      <c r="F82" s="581">
        <f t="shared" si="6"/>
        <v>630</v>
      </c>
      <c r="G82" s="582">
        <f>'Customer Phases - Inputs and As'!$H$49</f>
        <v>8.010394797</v>
      </c>
      <c r="H82" s="583">
        <f t="shared" si="7"/>
        <v>210.2728634</v>
      </c>
      <c r="I82" s="583">
        <f t="shared" si="8"/>
        <v>600.7796098</v>
      </c>
      <c r="J82" s="94"/>
      <c r="K82" s="94"/>
      <c r="L82" s="94"/>
      <c r="M82" s="94"/>
      <c r="N82" s="94"/>
      <c r="O82" s="94"/>
    </row>
    <row r="83" ht="15.75" customHeight="1">
      <c r="A83" s="94"/>
      <c r="B83" s="165" t="s">
        <v>169</v>
      </c>
      <c r="C83" s="578">
        <f t="shared" si="10"/>
        <v>2995.2</v>
      </c>
      <c r="D83" s="579">
        <f t="shared" si="13"/>
        <v>0.1666666667</v>
      </c>
      <c r="E83" s="580">
        <f t="shared" si="5"/>
        <v>0.1</v>
      </c>
      <c r="F83" s="581">
        <f t="shared" si="6"/>
        <v>299.52</v>
      </c>
      <c r="G83" s="582">
        <f>'Customer Phases - Inputs and As'!$H$49</f>
        <v>8.010394797</v>
      </c>
      <c r="H83" s="583">
        <f t="shared" si="7"/>
        <v>399.8789083</v>
      </c>
      <c r="I83" s="583">
        <f t="shared" si="8"/>
        <v>3998.789083</v>
      </c>
      <c r="J83" s="94"/>
      <c r="K83" s="94"/>
      <c r="L83" s="94"/>
      <c r="M83" s="94"/>
      <c r="N83" s="94"/>
      <c r="O83" s="94"/>
    </row>
    <row r="84" ht="15.75" customHeight="1">
      <c r="A84" s="94"/>
      <c r="B84" s="592" t="s">
        <v>176</v>
      </c>
      <c r="C84" s="585">
        <v>0.0</v>
      </c>
      <c r="D84" s="586">
        <f>(D29+D47+D65)/3</f>
        <v>0.2777777778</v>
      </c>
      <c r="E84" s="587">
        <f t="shared" si="5"/>
        <v>0.2</v>
      </c>
      <c r="F84" s="588">
        <f t="shared" si="6"/>
        <v>0</v>
      </c>
      <c r="G84" s="589">
        <f>'Customer Phases - Inputs and As'!$H$49</f>
        <v>8.010394797</v>
      </c>
      <c r="H84" s="590">
        <f t="shared" si="7"/>
        <v>0</v>
      </c>
      <c r="I84" s="590">
        <f t="shared" si="8"/>
        <v>0</v>
      </c>
      <c r="J84" s="94"/>
      <c r="K84" s="94"/>
      <c r="L84" s="94"/>
      <c r="M84" s="94"/>
      <c r="N84" s="94"/>
      <c r="O84" s="94"/>
    </row>
    <row r="85">
      <c r="A85" s="94"/>
      <c r="B85" s="226" t="s">
        <v>181</v>
      </c>
      <c r="C85" s="578">
        <f t="shared" ref="C85:C87" si="14">C30+C48+C66</f>
        <v>62502.3</v>
      </c>
      <c r="D85" s="579">
        <f t="shared" ref="D85:D87" si="15">(D30+D48+D66)/2</f>
        <v>0.1683333333</v>
      </c>
      <c r="E85" s="580">
        <f t="shared" si="5"/>
        <v>0.35</v>
      </c>
      <c r="F85" s="581">
        <f t="shared" si="6"/>
        <v>21875.805</v>
      </c>
      <c r="G85" s="582">
        <f>'Customer Phases - Inputs and As'!$H$49</f>
        <v>8.010394797</v>
      </c>
      <c r="H85" s="583">
        <f t="shared" si="7"/>
        <v>29497.69548</v>
      </c>
      <c r="I85" s="583">
        <f t="shared" si="8"/>
        <v>84279.12995</v>
      </c>
      <c r="J85" s="94"/>
      <c r="K85" s="94"/>
      <c r="L85" s="94"/>
      <c r="M85" s="94"/>
      <c r="N85" s="94"/>
      <c r="O85" s="94"/>
    </row>
    <row r="86" ht="29.25" customHeight="1">
      <c r="A86" s="94"/>
      <c r="B86" s="165" t="s">
        <v>184</v>
      </c>
      <c r="C86" s="578">
        <f t="shared" si="14"/>
        <v>14400</v>
      </c>
      <c r="D86" s="579">
        <f t="shared" si="15"/>
        <v>0.08333333333</v>
      </c>
      <c r="E86" s="580">
        <f t="shared" si="5"/>
        <v>0.35</v>
      </c>
      <c r="F86" s="581">
        <f t="shared" si="6"/>
        <v>5040</v>
      </c>
      <c r="G86" s="582">
        <f>'Customer Phases - Inputs and As'!$H$49</f>
        <v>8.010394797</v>
      </c>
      <c r="H86" s="583">
        <f t="shared" si="7"/>
        <v>3364.365815</v>
      </c>
      <c r="I86" s="583">
        <f t="shared" si="8"/>
        <v>9612.473757</v>
      </c>
      <c r="J86" s="94"/>
      <c r="K86" s="94"/>
      <c r="L86" s="94"/>
      <c r="M86" s="94"/>
      <c r="N86" s="94"/>
      <c r="O86" s="94"/>
    </row>
    <row r="87" ht="15.75" customHeight="1">
      <c r="A87" s="94"/>
      <c r="B87" s="226" t="s">
        <v>185</v>
      </c>
      <c r="C87" s="578">
        <f t="shared" si="14"/>
        <v>147810</v>
      </c>
      <c r="D87" s="579">
        <f t="shared" si="15"/>
        <v>0.3333333333</v>
      </c>
      <c r="E87" s="580">
        <f t="shared" si="5"/>
        <v>0.35</v>
      </c>
      <c r="F87" s="581">
        <f t="shared" si="6"/>
        <v>51733.5</v>
      </c>
      <c r="G87" s="582">
        <f>'Customer Phases - Inputs and As'!$H$49</f>
        <v>8.010394797</v>
      </c>
      <c r="H87" s="583">
        <f t="shared" si="7"/>
        <v>138135.2531</v>
      </c>
      <c r="I87" s="583">
        <f t="shared" si="8"/>
        <v>394672.1517</v>
      </c>
      <c r="J87" s="94"/>
      <c r="K87" s="94"/>
      <c r="L87" s="94"/>
      <c r="M87" s="94"/>
      <c r="N87" s="94"/>
      <c r="O87" s="94"/>
    </row>
    <row r="88" ht="21.0" customHeight="1">
      <c r="A88" s="94"/>
      <c r="B88" s="593" t="s">
        <v>188</v>
      </c>
      <c r="C88" s="594">
        <f>sum(C72:C87)</f>
        <v>817138.9</v>
      </c>
      <c r="D88" s="593"/>
      <c r="E88" s="595">
        <f>AVERAGE(E72:E87)</f>
        <v>0.28125</v>
      </c>
      <c r="F88" s="594">
        <f>sum(F72:F87)</f>
        <v>198519.39</v>
      </c>
      <c r="G88" s="593"/>
      <c r="H88" s="596">
        <f t="shared" ref="H88:I88" si="16">sum(H72:H87)</f>
        <v>285653.5154</v>
      </c>
      <c r="I88" s="596">
        <f t="shared" si="16"/>
        <v>1068280.181</v>
      </c>
      <c r="J88" s="94"/>
      <c r="K88" s="94"/>
      <c r="L88" s="94"/>
      <c r="M88" s="94"/>
      <c r="N88" s="94"/>
      <c r="O88" s="94"/>
      <c r="P88" s="597"/>
    </row>
    <row r="89" ht="15.75" customHeight="1">
      <c r="A89" s="94"/>
      <c r="B89" s="94"/>
      <c r="C89" s="94"/>
      <c r="D89" s="94"/>
      <c r="E89" s="94"/>
      <c r="F89" s="94"/>
      <c r="G89" s="94"/>
      <c r="H89" s="94"/>
      <c r="I89" s="94"/>
      <c r="J89" s="94"/>
      <c r="K89" s="94"/>
      <c r="L89" s="94"/>
      <c r="M89" s="94"/>
      <c r="N89" s="94"/>
      <c r="O89" s="94"/>
      <c r="P89" s="597"/>
    </row>
    <row r="90" ht="15.75" customHeight="1">
      <c r="A90" s="94"/>
      <c r="B90" s="94"/>
      <c r="C90" s="94"/>
      <c r="D90" s="94"/>
      <c r="E90" s="94"/>
      <c r="F90" s="94"/>
      <c r="G90" s="94"/>
      <c r="H90" s="94"/>
      <c r="I90" s="94"/>
      <c r="J90" s="94"/>
      <c r="K90" s="94"/>
      <c r="L90" s="94"/>
      <c r="M90" s="94"/>
      <c r="N90" s="94"/>
      <c r="O90" s="94"/>
    </row>
    <row r="91" ht="15.75" customHeight="1">
      <c r="A91" s="94"/>
      <c r="B91" s="598"/>
      <c r="C91" s="599" t="s">
        <v>80</v>
      </c>
      <c r="D91" s="599" t="s">
        <v>81</v>
      </c>
      <c r="E91" s="599"/>
      <c r="F91" s="599" t="s">
        <v>82</v>
      </c>
      <c r="G91" s="599" t="s">
        <v>83</v>
      </c>
      <c r="H91" s="599" t="s">
        <v>84</v>
      </c>
      <c r="I91" s="599" t="s">
        <v>420</v>
      </c>
      <c r="J91" s="94"/>
      <c r="K91" s="94"/>
      <c r="L91" s="94"/>
      <c r="M91" s="94"/>
      <c r="N91" s="94"/>
      <c r="O91" s="94"/>
    </row>
    <row r="92" ht="15.75" customHeight="1">
      <c r="A92" s="94"/>
      <c r="B92" s="555" t="s">
        <v>301</v>
      </c>
      <c r="C92" s="600">
        <f>$H$88*'Customer Phases - Inputs and As'!J$21*'Customer Phases - Inputs and As'!J$22</f>
        <v>12854.40819</v>
      </c>
      <c r="D92" s="600">
        <f>$H$88*'Customer Phases - Inputs and As'!K$21*'Customer Phases - Inputs and As'!K$22-($H$88*'Customer Phases - Inputs and As'!K$21*'Customer Phases - Inputs and As'!K$22*'Customer Phases - Inputs and As'!K$23^2)</f>
        <v>69537.20657</v>
      </c>
      <c r="E92" s="600"/>
      <c r="F92" s="600">
        <f>$H$88*'Customer Phases - Inputs and As'!L$21*'Customer Phases - Inputs and As'!L$22-($H$88*'Customer Phases - Inputs and As'!L$21*'Customer Phases - Inputs and As'!L$22*'Customer Phases - Inputs and As'!L$2330)</f>
        <v>137113.6874</v>
      </c>
      <c r="G92" s="600">
        <f>$H$88*'Customer Phases - Inputs and As'!M$21*'Customer Phases - Inputs and As'!M$22-($H$88*'Customer Phases - Inputs and As'!M$21*'Customer Phases - Inputs and As'!M$22*'Customer Phases - Inputs and As'!M$23^4)</f>
        <v>242795.5428</v>
      </c>
      <c r="H92" s="600">
        <f>$H$88*'Customer Phases - Inputs and As'!N$21*'Customer Phases - Inputs and As'!N$22*1.1^3</f>
        <v>380204.8291</v>
      </c>
      <c r="I92" s="600">
        <f>SUM(C92:H92)</f>
        <v>842505.674</v>
      </c>
      <c r="J92" s="94"/>
      <c r="K92" s="94"/>
      <c r="L92" s="94"/>
      <c r="M92" s="94"/>
      <c r="N92" s="94"/>
      <c r="O92" s="94"/>
    </row>
    <row r="93" ht="15.75" customHeight="1">
      <c r="A93" s="94"/>
      <c r="B93" s="598"/>
      <c r="C93" s="598"/>
      <c r="D93" s="598"/>
      <c r="E93" s="598"/>
      <c r="F93" s="598"/>
      <c r="G93" s="598"/>
      <c r="H93" s="598"/>
      <c r="I93" s="598"/>
      <c r="J93" s="94"/>
      <c r="K93" s="94"/>
      <c r="L93" s="94"/>
      <c r="M93" s="94"/>
      <c r="N93" s="94"/>
      <c r="O93" s="94"/>
    </row>
    <row r="94" ht="15.75" customHeight="1">
      <c r="A94" s="94"/>
      <c r="B94" s="598"/>
      <c r="C94" s="598"/>
      <c r="D94" s="598"/>
      <c r="E94" s="598"/>
      <c r="F94" s="598"/>
      <c r="G94" s="598"/>
      <c r="H94" s="598"/>
      <c r="I94" s="598"/>
      <c r="J94" s="94"/>
      <c r="K94" s="94"/>
      <c r="L94" s="94"/>
      <c r="M94" s="94"/>
      <c r="N94" s="94"/>
      <c r="O94" s="94"/>
    </row>
    <row r="95" ht="15.75" customHeight="1">
      <c r="A95" s="94"/>
      <c r="B95" s="94"/>
      <c r="C95" s="94"/>
      <c r="D95" s="94"/>
      <c r="E95" s="94"/>
      <c r="F95" s="94"/>
      <c r="G95" s="94"/>
      <c r="H95" s="94"/>
      <c r="I95" s="94"/>
      <c r="J95" s="94"/>
      <c r="K95" s="94"/>
      <c r="L95" s="94"/>
      <c r="M95" s="94"/>
      <c r="N95" s="94"/>
      <c r="O95" s="94"/>
    </row>
    <row r="96" ht="15.75" customHeight="1">
      <c r="A96" s="94"/>
      <c r="B96" s="94"/>
      <c r="C96" s="94"/>
      <c r="D96" s="94" t="s">
        <v>130</v>
      </c>
      <c r="E96" s="94"/>
      <c r="F96" s="94"/>
      <c r="G96" s="94"/>
      <c r="H96" s="94"/>
      <c r="I96" s="94"/>
      <c r="J96" s="94"/>
      <c r="K96" s="94"/>
      <c r="L96" s="94"/>
      <c r="M96" s="94"/>
      <c r="N96" s="94"/>
      <c r="O96" s="94"/>
    </row>
    <row r="97" ht="15.75" customHeight="1">
      <c r="A97" s="94"/>
      <c r="B97" s="94"/>
      <c r="C97" s="94"/>
      <c r="D97" s="94"/>
      <c r="E97" s="94"/>
      <c r="F97" s="94"/>
      <c r="G97" s="94"/>
      <c r="H97" s="94"/>
      <c r="I97" s="94"/>
      <c r="J97" s="94"/>
      <c r="K97" s="94"/>
      <c r="L97" s="94"/>
      <c r="M97" s="94"/>
      <c r="N97" s="94"/>
      <c r="O97" s="94"/>
    </row>
    <row r="98" ht="15.75" customHeight="1">
      <c r="A98" s="94"/>
      <c r="B98" s="94"/>
      <c r="C98" s="94"/>
      <c r="D98" s="94"/>
      <c r="E98" s="94"/>
      <c r="F98" s="94"/>
      <c r="G98" s="94"/>
      <c r="H98" s="94"/>
      <c r="I98" s="94"/>
      <c r="J98" s="94"/>
      <c r="K98" s="94"/>
      <c r="L98" s="94"/>
      <c r="M98" s="94"/>
      <c r="N98" s="94"/>
      <c r="O98" s="94"/>
    </row>
    <row r="99" ht="15.75" customHeight="1">
      <c r="A99" s="94"/>
      <c r="B99" s="94"/>
      <c r="C99" s="94"/>
      <c r="D99" s="94"/>
      <c r="E99" s="94"/>
      <c r="F99" s="94"/>
      <c r="G99" s="94"/>
      <c r="H99" s="94"/>
      <c r="I99" s="94"/>
      <c r="J99" s="94"/>
      <c r="K99" s="94"/>
      <c r="L99" s="94"/>
      <c r="M99" s="94"/>
      <c r="N99" s="94"/>
      <c r="O99" s="94"/>
    </row>
    <row r="100" ht="15.75" customHeight="1">
      <c r="A100" s="94"/>
      <c r="B100" s="94"/>
      <c r="C100" s="94"/>
      <c r="D100" s="94"/>
      <c r="E100" s="94"/>
      <c r="F100" s="94"/>
      <c r="G100" s="94"/>
      <c r="H100" s="94"/>
      <c r="I100" s="94"/>
      <c r="J100" s="94"/>
      <c r="K100" s="94"/>
      <c r="L100" s="94"/>
      <c r="M100" s="94"/>
      <c r="N100" s="94"/>
      <c r="O100" s="94"/>
    </row>
    <row r="101" ht="15.75" customHeight="1">
      <c r="A101" s="94"/>
      <c r="B101" s="94"/>
      <c r="C101" s="94"/>
      <c r="D101" s="94"/>
      <c r="E101" s="94"/>
      <c r="F101" s="94"/>
      <c r="G101" s="94"/>
      <c r="H101" s="94"/>
      <c r="I101" s="94"/>
      <c r="J101" s="94"/>
      <c r="K101" s="94"/>
      <c r="L101" s="94"/>
      <c r="M101" s="94"/>
      <c r="N101" s="94"/>
      <c r="O101" s="94"/>
    </row>
    <row r="102" ht="15.75" customHeight="1">
      <c r="A102" s="94"/>
      <c r="B102" s="94"/>
      <c r="C102" s="94"/>
      <c r="D102" s="94"/>
      <c r="E102" s="94"/>
      <c r="F102" s="94"/>
      <c r="G102" s="94"/>
      <c r="H102" s="94"/>
      <c r="I102" s="94"/>
      <c r="J102" s="94"/>
      <c r="K102" s="94"/>
      <c r="L102" s="94"/>
      <c r="M102" s="94"/>
      <c r="N102" s="94"/>
      <c r="O102" s="94"/>
    </row>
    <row r="103" ht="15.75" customHeight="1">
      <c r="A103" s="94"/>
      <c r="B103" s="94"/>
      <c r="C103" s="94"/>
      <c r="D103" s="94"/>
      <c r="E103" s="94"/>
      <c r="F103" s="94"/>
      <c r="G103" s="94"/>
      <c r="H103" s="94"/>
      <c r="I103" s="94"/>
      <c r="J103" s="94"/>
      <c r="K103" s="94"/>
      <c r="L103" s="94"/>
      <c r="M103" s="94"/>
      <c r="N103" s="94"/>
      <c r="O103" s="94"/>
    </row>
    <row r="104" ht="15.75" customHeight="1">
      <c r="A104" s="94"/>
      <c r="B104" s="94"/>
      <c r="C104" s="94"/>
      <c r="D104" s="94"/>
      <c r="E104" s="94"/>
      <c r="F104" s="94"/>
      <c r="G104" s="94"/>
      <c r="H104" s="94"/>
      <c r="I104" s="94"/>
      <c r="J104" s="94"/>
      <c r="K104" s="94"/>
      <c r="L104" s="94"/>
      <c r="M104" s="94"/>
      <c r="N104" s="94"/>
      <c r="O104" s="94"/>
    </row>
    <row r="105" ht="15.75" customHeight="1">
      <c r="A105" s="94"/>
      <c r="B105" s="94"/>
      <c r="C105" s="94"/>
      <c r="D105" s="94"/>
      <c r="E105" s="94"/>
      <c r="F105" s="94"/>
      <c r="G105" s="94"/>
      <c r="H105" s="94"/>
      <c r="I105" s="94"/>
      <c r="J105" s="94"/>
      <c r="K105" s="94"/>
      <c r="L105" s="94"/>
      <c r="M105" s="94"/>
      <c r="N105" s="94"/>
      <c r="O105" s="94"/>
    </row>
    <row r="106" ht="15.75" customHeight="1">
      <c r="A106" s="94"/>
      <c r="B106" s="94"/>
      <c r="C106" s="94"/>
      <c r="D106" s="94"/>
      <c r="E106" s="94"/>
      <c r="F106" s="94"/>
      <c r="G106" s="94"/>
      <c r="H106" s="94"/>
      <c r="I106" s="94"/>
      <c r="J106" s="94"/>
      <c r="K106" s="94"/>
      <c r="L106" s="94"/>
      <c r="M106" s="94"/>
      <c r="N106" s="94"/>
      <c r="O106" s="94"/>
    </row>
    <row r="107" ht="15.75" hidden="1" customHeight="1">
      <c r="A107" s="94"/>
      <c r="B107" s="94"/>
      <c r="C107" s="94"/>
      <c r="D107" s="94"/>
      <c r="E107" s="94"/>
      <c r="F107" s="94"/>
      <c r="G107" s="94"/>
      <c r="H107" s="94"/>
      <c r="I107" s="94"/>
      <c r="J107" s="94"/>
      <c r="K107" s="94"/>
      <c r="L107" s="94"/>
      <c r="M107" s="94"/>
      <c r="N107" s="94"/>
      <c r="O107" s="94"/>
    </row>
    <row r="108" ht="15.75" hidden="1" customHeight="1">
      <c r="A108" s="94"/>
      <c r="B108" s="94"/>
      <c r="C108" s="94"/>
      <c r="D108" s="94"/>
      <c r="E108" s="94"/>
      <c r="F108" s="94"/>
      <c r="G108" s="94"/>
      <c r="H108" s="94"/>
      <c r="I108" s="94"/>
      <c r="J108" s="94"/>
      <c r="K108" s="94"/>
      <c r="L108" s="94"/>
      <c r="M108" s="94"/>
      <c r="N108" s="94"/>
      <c r="O108" s="94"/>
    </row>
    <row r="109" ht="15.75" hidden="1" customHeight="1">
      <c r="A109" s="94"/>
      <c r="B109" s="94"/>
      <c r="C109" s="94"/>
      <c r="D109" s="94"/>
      <c r="E109" s="94"/>
      <c r="F109" s="94"/>
      <c r="G109" s="94"/>
      <c r="H109" s="94"/>
      <c r="I109" s="94"/>
      <c r="J109" s="94"/>
      <c r="K109" s="94"/>
      <c r="L109" s="94"/>
      <c r="M109" s="94"/>
      <c r="N109" s="94"/>
      <c r="O109" s="94"/>
    </row>
    <row r="110" ht="15.75" hidden="1" customHeight="1">
      <c r="A110" s="94"/>
      <c r="B110" s="94"/>
      <c r="C110" s="94"/>
      <c r="D110" s="94"/>
      <c r="E110" s="94"/>
      <c r="F110" s="94"/>
      <c r="G110" s="94"/>
      <c r="H110" s="94"/>
      <c r="I110" s="94"/>
      <c r="J110" s="94"/>
      <c r="K110" s="94"/>
      <c r="L110" s="94"/>
      <c r="M110" s="94"/>
      <c r="N110" s="94"/>
      <c r="O110" s="94"/>
    </row>
    <row r="111" ht="15.75" hidden="1" customHeight="1">
      <c r="A111" s="94"/>
      <c r="B111" s="94"/>
      <c r="C111" s="94"/>
      <c r="D111" s="94"/>
      <c r="E111" s="94"/>
      <c r="F111" s="94"/>
      <c r="G111" s="94"/>
      <c r="H111" s="94"/>
      <c r="I111" s="94"/>
      <c r="J111" s="94"/>
      <c r="K111" s="94"/>
      <c r="L111" s="94"/>
      <c r="M111" s="94"/>
      <c r="N111" s="94"/>
      <c r="O111" s="94"/>
    </row>
    <row r="112" ht="15.75" hidden="1" customHeight="1">
      <c r="A112" s="94"/>
      <c r="B112" s="94"/>
      <c r="C112" s="94"/>
      <c r="D112" s="94"/>
      <c r="E112" s="94"/>
      <c r="F112" s="94"/>
      <c r="G112" s="94"/>
      <c r="H112" s="94"/>
      <c r="I112" s="94"/>
      <c r="J112" s="94"/>
      <c r="K112" s="94"/>
      <c r="L112" s="94"/>
      <c r="M112" s="94"/>
      <c r="N112" s="94"/>
      <c r="O112" s="94"/>
    </row>
    <row r="113" ht="15.75" hidden="1" customHeight="1">
      <c r="A113" s="94"/>
      <c r="B113" s="94"/>
      <c r="C113" s="94"/>
      <c r="D113" s="94"/>
      <c r="E113" s="94"/>
      <c r="F113" s="94"/>
      <c r="G113" s="94"/>
      <c r="H113" s="94"/>
      <c r="I113" s="94"/>
      <c r="J113" s="94"/>
      <c r="K113" s="94"/>
      <c r="L113" s="94"/>
      <c r="M113" s="94"/>
      <c r="N113" s="94"/>
      <c r="O113" s="94"/>
    </row>
    <row r="114" ht="15.75" hidden="1" customHeight="1">
      <c r="A114" s="94"/>
      <c r="B114" s="94"/>
      <c r="C114" s="94"/>
      <c r="D114" s="94"/>
      <c r="E114" s="94"/>
      <c r="F114" s="94"/>
      <c r="G114" s="94"/>
      <c r="H114" s="94"/>
      <c r="I114" s="94"/>
      <c r="J114" s="94"/>
      <c r="K114" s="94"/>
      <c r="L114" s="94"/>
      <c r="M114" s="94"/>
      <c r="N114" s="94"/>
      <c r="O114" s="94"/>
    </row>
    <row r="115" ht="15.75" hidden="1" customHeight="1">
      <c r="A115" s="94"/>
      <c r="B115" s="94"/>
      <c r="C115" s="94"/>
      <c r="D115" s="94"/>
      <c r="E115" s="94"/>
      <c r="F115" s="94"/>
      <c r="G115" s="94"/>
      <c r="H115" s="94"/>
      <c r="I115" s="94"/>
      <c r="J115" s="94"/>
      <c r="K115" s="94"/>
      <c r="L115" s="94"/>
      <c r="M115" s="94"/>
      <c r="N115" s="94"/>
      <c r="O115" s="94"/>
    </row>
    <row r="116" ht="15.75" hidden="1" customHeight="1">
      <c r="A116" s="94"/>
      <c r="B116" s="94"/>
      <c r="C116" s="94"/>
      <c r="D116" s="94"/>
      <c r="E116" s="94"/>
      <c r="F116" s="94"/>
      <c r="G116" s="94"/>
      <c r="H116" s="94"/>
      <c r="I116" s="94"/>
      <c r="J116" s="94"/>
      <c r="K116" s="94"/>
      <c r="L116" s="94"/>
      <c r="M116" s="94"/>
      <c r="N116" s="94"/>
      <c r="O116" s="94"/>
    </row>
    <row r="117" ht="15.75" hidden="1" customHeight="1">
      <c r="A117" s="94"/>
      <c r="B117" s="94"/>
      <c r="C117" s="94"/>
      <c r="D117" s="94"/>
      <c r="E117" s="94"/>
      <c r="F117" s="94"/>
      <c r="G117" s="94"/>
      <c r="H117" s="94"/>
      <c r="I117" s="94"/>
      <c r="J117" s="94"/>
      <c r="K117" s="94"/>
      <c r="L117" s="94"/>
      <c r="M117" s="94"/>
      <c r="N117" s="94"/>
      <c r="O117" s="94"/>
    </row>
    <row r="118" ht="15.75" hidden="1" customHeight="1">
      <c r="A118" s="94"/>
      <c r="B118" s="94"/>
      <c r="C118" s="94"/>
      <c r="D118" s="94"/>
      <c r="E118" s="94"/>
      <c r="F118" s="94"/>
      <c r="G118" s="94"/>
      <c r="H118" s="94"/>
      <c r="I118" s="94"/>
      <c r="J118" s="94"/>
      <c r="K118" s="94"/>
      <c r="L118" s="94"/>
      <c r="M118" s="94"/>
      <c r="N118" s="94"/>
      <c r="O118" s="94"/>
    </row>
    <row r="119" ht="15.75" hidden="1" customHeight="1">
      <c r="A119" s="94"/>
      <c r="B119" s="94"/>
      <c r="C119" s="94"/>
      <c r="D119" s="94"/>
      <c r="E119" s="94"/>
      <c r="F119" s="94"/>
      <c r="G119" s="94"/>
      <c r="H119" s="94"/>
      <c r="I119" s="94"/>
      <c r="J119" s="94"/>
      <c r="K119" s="94"/>
      <c r="L119" s="94"/>
      <c r="M119" s="94"/>
      <c r="N119" s="94"/>
      <c r="O119" s="94"/>
    </row>
    <row r="120" ht="15.75" hidden="1" customHeight="1">
      <c r="A120" s="94"/>
      <c r="B120" s="94"/>
      <c r="C120" s="94"/>
      <c r="D120" s="94"/>
      <c r="E120" s="94"/>
      <c r="F120" s="94"/>
      <c r="G120" s="94"/>
      <c r="H120" s="94"/>
      <c r="I120" s="94"/>
      <c r="J120" s="94"/>
      <c r="K120" s="94"/>
      <c r="L120" s="94"/>
      <c r="M120" s="94"/>
      <c r="N120" s="94"/>
      <c r="O120" s="94"/>
    </row>
    <row r="121" ht="15.75" hidden="1" customHeight="1">
      <c r="A121" s="94"/>
      <c r="B121" s="94"/>
      <c r="C121" s="94"/>
      <c r="D121" s="94"/>
      <c r="E121" s="94"/>
      <c r="F121" s="94"/>
      <c r="G121" s="94"/>
      <c r="H121" s="94"/>
      <c r="I121" s="94"/>
      <c r="J121" s="94"/>
      <c r="K121" s="94"/>
      <c r="L121" s="94"/>
      <c r="M121" s="94"/>
      <c r="N121" s="94"/>
      <c r="O121" s="94"/>
    </row>
    <row r="122" ht="15.75" hidden="1" customHeight="1">
      <c r="A122" s="94"/>
      <c r="B122" s="94"/>
      <c r="C122" s="94"/>
      <c r="D122" s="94"/>
      <c r="E122" s="94"/>
      <c r="F122" s="94"/>
      <c r="G122" s="94"/>
      <c r="H122" s="94"/>
      <c r="I122" s="94"/>
      <c r="J122" s="94"/>
      <c r="K122" s="94"/>
      <c r="L122" s="94"/>
      <c r="M122" s="94"/>
      <c r="N122" s="94"/>
      <c r="O122" s="94"/>
    </row>
    <row r="123" ht="15.75" hidden="1" customHeight="1">
      <c r="A123" s="94"/>
      <c r="B123" s="94"/>
      <c r="C123" s="94"/>
      <c r="D123" s="94"/>
      <c r="E123" s="94"/>
      <c r="F123" s="94"/>
      <c r="G123" s="94"/>
      <c r="H123" s="94"/>
      <c r="I123" s="94"/>
      <c r="J123" s="94"/>
      <c r="K123" s="94"/>
      <c r="L123" s="94"/>
      <c r="M123" s="94"/>
      <c r="N123" s="94"/>
      <c r="O123" s="94"/>
    </row>
    <row r="124" ht="15.75" hidden="1" customHeight="1">
      <c r="A124" s="94"/>
      <c r="B124" s="94"/>
      <c r="C124" s="94"/>
      <c r="D124" s="94"/>
      <c r="E124" s="94"/>
      <c r="F124" s="94"/>
      <c r="G124" s="94"/>
      <c r="H124" s="94"/>
      <c r="I124" s="94"/>
      <c r="J124" s="94"/>
      <c r="K124" s="94"/>
      <c r="L124" s="94"/>
      <c r="M124" s="94"/>
      <c r="N124" s="94"/>
      <c r="O124" s="94"/>
    </row>
    <row r="125" ht="15.75" hidden="1" customHeight="1">
      <c r="A125" s="94"/>
      <c r="B125" s="94"/>
      <c r="C125" s="94"/>
      <c r="D125" s="94"/>
      <c r="E125" s="94"/>
      <c r="F125" s="94"/>
      <c r="G125" s="94"/>
      <c r="H125" s="94"/>
      <c r="I125" s="94"/>
      <c r="J125" s="94"/>
      <c r="K125" s="94"/>
      <c r="L125" s="94"/>
      <c r="M125" s="94"/>
      <c r="N125" s="94"/>
      <c r="O125" s="94"/>
    </row>
    <row r="126" ht="15.75" hidden="1" customHeight="1">
      <c r="A126" s="94"/>
      <c r="B126" s="94"/>
      <c r="C126" s="94"/>
      <c r="D126" s="94"/>
      <c r="E126" s="94"/>
      <c r="F126" s="94"/>
      <c r="G126" s="94"/>
      <c r="H126" s="94"/>
      <c r="I126" s="94"/>
      <c r="J126" s="94"/>
      <c r="K126" s="94"/>
      <c r="L126" s="94"/>
      <c r="M126" s="94"/>
      <c r="N126" s="94"/>
      <c r="O126" s="94"/>
    </row>
    <row r="127" ht="15.75" hidden="1" customHeight="1">
      <c r="A127" s="94"/>
      <c r="B127" s="94"/>
      <c r="C127" s="94"/>
      <c r="D127" s="94"/>
      <c r="E127" s="94"/>
      <c r="F127" s="94"/>
      <c r="G127" s="94"/>
      <c r="H127" s="94"/>
      <c r="I127" s="94"/>
      <c r="J127" s="94"/>
      <c r="K127" s="94"/>
      <c r="L127" s="94"/>
      <c r="M127" s="94"/>
      <c r="N127" s="94"/>
      <c r="O127" s="94"/>
    </row>
    <row r="128" ht="15.75" hidden="1" customHeight="1">
      <c r="A128" s="94"/>
      <c r="B128" s="94"/>
      <c r="C128" s="94"/>
      <c r="D128" s="94"/>
      <c r="E128" s="94"/>
      <c r="F128" s="94"/>
      <c r="G128" s="94"/>
      <c r="H128" s="94"/>
      <c r="I128" s="94"/>
      <c r="J128" s="94"/>
      <c r="K128" s="94"/>
      <c r="L128" s="94"/>
      <c r="M128" s="94"/>
      <c r="N128" s="94"/>
      <c r="O128" s="94"/>
    </row>
    <row r="129" ht="15.75" hidden="1" customHeight="1">
      <c r="A129" s="94"/>
      <c r="B129" s="94"/>
      <c r="C129" s="94"/>
      <c r="D129" s="94"/>
      <c r="E129" s="94"/>
      <c r="F129" s="94"/>
      <c r="G129" s="94"/>
      <c r="H129" s="94"/>
      <c r="I129" s="94"/>
      <c r="J129" s="94"/>
      <c r="K129" s="94"/>
      <c r="L129" s="94"/>
      <c r="M129" s="94"/>
      <c r="N129" s="94"/>
      <c r="O129" s="94"/>
    </row>
    <row r="130" ht="15.75" hidden="1" customHeight="1">
      <c r="A130" s="94"/>
      <c r="B130" s="94"/>
      <c r="C130" s="94"/>
      <c r="D130" s="94"/>
      <c r="E130" s="94"/>
      <c r="F130" s="94"/>
      <c r="G130" s="94"/>
      <c r="H130" s="94"/>
      <c r="I130" s="94"/>
      <c r="J130" s="94"/>
      <c r="K130" s="94"/>
      <c r="L130" s="94"/>
      <c r="M130" s="94"/>
      <c r="N130" s="94"/>
      <c r="O130" s="94"/>
    </row>
    <row r="131" ht="15.75" hidden="1" customHeight="1">
      <c r="A131" s="94"/>
      <c r="B131" s="94"/>
      <c r="C131" s="94"/>
      <c r="D131" s="94"/>
      <c r="E131" s="94"/>
      <c r="F131" s="94"/>
      <c r="G131" s="94"/>
      <c r="H131" s="94"/>
      <c r="I131" s="94"/>
      <c r="J131" s="94"/>
      <c r="K131" s="94"/>
      <c r="L131" s="94"/>
      <c r="M131" s="94"/>
      <c r="N131" s="94"/>
      <c r="O131" s="94"/>
    </row>
    <row r="132" ht="15.75" hidden="1" customHeight="1">
      <c r="A132" s="94"/>
      <c r="B132" s="94"/>
      <c r="C132" s="94"/>
      <c r="D132" s="94"/>
      <c r="E132" s="94"/>
      <c r="F132" s="94"/>
      <c r="G132" s="94"/>
      <c r="H132" s="94"/>
      <c r="I132" s="94"/>
      <c r="J132" s="94"/>
      <c r="K132" s="94"/>
      <c r="L132" s="94"/>
      <c r="M132" s="94"/>
      <c r="N132" s="94"/>
      <c r="O132" s="94"/>
    </row>
    <row r="133" ht="15.75" hidden="1" customHeight="1">
      <c r="A133" s="94"/>
      <c r="B133" s="94"/>
      <c r="C133" s="94"/>
      <c r="D133" s="94"/>
      <c r="E133" s="94"/>
      <c r="F133" s="94"/>
      <c r="G133" s="94"/>
      <c r="H133" s="94"/>
      <c r="I133" s="94"/>
      <c r="J133" s="94"/>
      <c r="K133" s="94"/>
      <c r="L133" s="94"/>
      <c r="M133" s="94"/>
      <c r="N133" s="94"/>
      <c r="O133" s="94"/>
    </row>
    <row r="134" ht="15.75" hidden="1" customHeight="1">
      <c r="A134" s="94"/>
      <c r="B134" s="94"/>
      <c r="C134" s="94"/>
      <c r="D134" s="94"/>
      <c r="E134" s="94"/>
      <c r="F134" s="94"/>
      <c r="G134" s="94"/>
      <c r="H134" s="94"/>
      <c r="I134" s="94"/>
      <c r="J134" s="94"/>
      <c r="K134" s="94"/>
      <c r="L134" s="94"/>
      <c r="M134" s="94"/>
      <c r="N134" s="94"/>
      <c r="O134" s="94"/>
    </row>
    <row r="135" ht="15.75" hidden="1" customHeight="1">
      <c r="A135" s="94"/>
      <c r="B135" s="94"/>
      <c r="C135" s="94"/>
      <c r="D135" s="94"/>
      <c r="E135" s="94"/>
      <c r="F135" s="94"/>
      <c r="G135" s="94"/>
      <c r="H135" s="94"/>
      <c r="I135" s="94"/>
      <c r="J135" s="94"/>
      <c r="K135" s="94"/>
      <c r="L135" s="94"/>
      <c r="M135" s="94"/>
      <c r="N135" s="94"/>
      <c r="O135" s="94"/>
    </row>
    <row r="136" ht="15.75" hidden="1" customHeight="1">
      <c r="A136" s="94"/>
      <c r="B136" s="94"/>
      <c r="C136" s="94"/>
      <c r="D136" s="94"/>
      <c r="E136" s="94"/>
      <c r="F136" s="94"/>
      <c r="G136" s="94"/>
      <c r="H136" s="94"/>
      <c r="I136" s="94"/>
      <c r="J136" s="94"/>
      <c r="K136" s="94"/>
      <c r="L136" s="94"/>
      <c r="M136" s="94"/>
      <c r="N136" s="94"/>
      <c r="O136" s="94"/>
    </row>
    <row r="137" ht="15.75" hidden="1" customHeight="1">
      <c r="A137" s="94"/>
      <c r="B137" s="94"/>
      <c r="C137" s="94"/>
      <c r="D137" s="94"/>
      <c r="E137" s="94"/>
      <c r="F137" s="94"/>
      <c r="G137" s="94"/>
      <c r="H137" s="94"/>
      <c r="I137" s="94"/>
      <c r="J137" s="94"/>
      <c r="K137" s="94"/>
      <c r="L137" s="94"/>
      <c r="M137" s="94"/>
      <c r="N137" s="94"/>
      <c r="O137" s="94"/>
    </row>
    <row r="138" ht="15.75" hidden="1" customHeight="1">
      <c r="A138" s="94"/>
      <c r="B138" s="94"/>
      <c r="C138" s="94"/>
      <c r="D138" s="94"/>
      <c r="E138" s="94"/>
      <c r="F138" s="94"/>
      <c r="G138" s="94"/>
      <c r="H138" s="94"/>
      <c r="I138" s="94"/>
      <c r="J138" s="94"/>
      <c r="K138" s="94"/>
      <c r="L138" s="94"/>
      <c r="M138" s="94"/>
      <c r="N138" s="94"/>
      <c r="O138" s="94"/>
    </row>
    <row r="139" ht="15.75" hidden="1" customHeight="1">
      <c r="A139" s="94"/>
      <c r="B139" s="94"/>
      <c r="C139" s="94"/>
      <c r="D139" s="94"/>
      <c r="E139" s="94"/>
      <c r="F139" s="94"/>
      <c r="G139" s="94"/>
      <c r="H139" s="94"/>
      <c r="I139" s="94"/>
      <c r="J139" s="94"/>
      <c r="K139" s="94"/>
      <c r="L139" s="94"/>
      <c r="M139" s="94"/>
      <c r="N139" s="94"/>
      <c r="O139" s="94"/>
    </row>
    <row r="140" ht="15.75" hidden="1" customHeight="1">
      <c r="A140" s="94"/>
      <c r="B140" s="94"/>
      <c r="C140" s="94"/>
      <c r="D140" s="94"/>
      <c r="E140" s="94"/>
      <c r="F140" s="94"/>
      <c r="G140" s="94"/>
      <c r="H140" s="94"/>
      <c r="I140" s="94"/>
      <c r="J140" s="94"/>
      <c r="K140" s="94"/>
      <c r="L140" s="94"/>
      <c r="M140" s="94"/>
      <c r="N140" s="94"/>
      <c r="O140" s="94"/>
    </row>
    <row r="141" ht="15.75" hidden="1" customHeight="1">
      <c r="A141" s="94"/>
      <c r="B141" s="94"/>
      <c r="C141" s="94"/>
      <c r="D141" s="94"/>
      <c r="E141" s="94"/>
      <c r="F141" s="94"/>
      <c r="G141" s="94"/>
      <c r="H141" s="94"/>
      <c r="I141" s="94"/>
      <c r="J141" s="94"/>
      <c r="K141" s="94"/>
      <c r="L141" s="94"/>
      <c r="M141" s="94"/>
      <c r="N141" s="94"/>
      <c r="O141" s="94"/>
    </row>
    <row r="142" ht="15.75" hidden="1" customHeight="1">
      <c r="A142" s="94"/>
      <c r="B142" s="94"/>
      <c r="C142" s="94"/>
      <c r="D142" s="94"/>
      <c r="E142" s="94"/>
      <c r="F142" s="94"/>
      <c r="G142" s="94"/>
      <c r="H142" s="94"/>
      <c r="I142" s="94"/>
      <c r="J142" s="94"/>
      <c r="K142" s="94"/>
      <c r="L142" s="94"/>
      <c r="M142" s="94"/>
      <c r="N142" s="94"/>
      <c r="O142" s="94"/>
    </row>
    <row r="143" ht="15.75" hidden="1" customHeight="1">
      <c r="A143" s="94"/>
      <c r="B143" s="94"/>
      <c r="C143" s="94"/>
      <c r="D143" s="94"/>
      <c r="E143" s="94"/>
      <c r="F143" s="94"/>
      <c r="G143" s="94"/>
      <c r="H143" s="94"/>
      <c r="I143" s="94"/>
      <c r="J143" s="94"/>
      <c r="K143" s="94"/>
      <c r="L143" s="94"/>
      <c r="M143" s="94"/>
      <c r="N143" s="94"/>
      <c r="O143" s="94"/>
    </row>
    <row r="144" ht="15.75" hidden="1" customHeight="1">
      <c r="A144" s="94"/>
      <c r="B144" s="94"/>
      <c r="C144" s="94"/>
      <c r="D144" s="94"/>
      <c r="E144" s="94"/>
      <c r="F144" s="94"/>
      <c r="G144" s="94"/>
      <c r="H144" s="94"/>
      <c r="I144" s="94"/>
      <c r="J144" s="94"/>
      <c r="K144" s="94"/>
      <c r="L144" s="94"/>
      <c r="M144" s="94"/>
      <c r="N144" s="94"/>
      <c r="O144" s="94"/>
    </row>
    <row r="145" ht="15.75" hidden="1" customHeight="1">
      <c r="A145" s="94"/>
      <c r="B145" s="94"/>
      <c r="C145" s="94"/>
      <c r="D145" s="94"/>
      <c r="E145" s="94"/>
      <c r="F145" s="94"/>
      <c r="G145" s="94"/>
      <c r="H145" s="94"/>
      <c r="I145" s="94"/>
      <c r="J145" s="94"/>
      <c r="K145" s="94"/>
      <c r="L145" s="94"/>
      <c r="M145" s="94"/>
      <c r="N145" s="94"/>
      <c r="O145" s="94"/>
    </row>
    <row r="146" ht="15.75" hidden="1" customHeight="1">
      <c r="A146" s="94"/>
      <c r="B146" s="94"/>
      <c r="C146" s="94"/>
      <c r="D146" s="94"/>
      <c r="E146" s="94"/>
      <c r="F146" s="94"/>
      <c r="G146" s="94"/>
      <c r="H146" s="94"/>
      <c r="I146" s="94"/>
      <c r="J146" s="94"/>
      <c r="K146" s="94"/>
      <c r="L146" s="94"/>
      <c r="M146" s="94"/>
      <c r="N146" s="94"/>
      <c r="O146" s="94"/>
    </row>
    <row r="147" ht="15.75" hidden="1" customHeight="1">
      <c r="A147" s="94"/>
      <c r="B147" s="94"/>
      <c r="C147" s="94"/>
      <c r="D147" s="94"/>
      <c r="E147" s="94"/>
      <c r="F147" s="94"/>
      <c r="G147" s="94"/>
      <c r="H147" s="94"/>
      <c r="I147" s="94"/>
      <c r="J147" s="94"/>
      <c r="K147" s="94"/>
      <c r="L147" s="94"/>
      <c r="M147" s="94"/>
      <c r="N147" s="94"/>
      <c r="O147" s="94"/>
    </row>
    <row r="148" ht="15.75" hidden="1" customHeight="1">
      <c r="A148" s="94"/>
      <c r="B148" s="94"/>
      <c r="C148" s="94"/>
      <c r="D148" s="94"/>
      <c r="E148" s="94"/>
      <c r="F148" s="94"/>
      <c r="G148" s="94"/>
      <c r="H148" s="94"/>
      <c r="I148" s="94"/>
      <c r="J148" s="94"/>
      <c r="K148" s="94"/>
      <c r="L148" s="94"/>
      <c r="M148" s="94"/>
      <c r="N148" s="94"/>
      <c r="O148" s="94"/>
    </row>
    <row r="149" ht="15.75" hidden="1" customHeight="1">
      <c r="A149" s="94"/>
      <c r="B149" s="94"/>
      <c r="C149" s="94"/>
      <c r="D149" s="94"/>
      <c r="E149" s="94"/>
      <c r="F149" s="94"/>
      <c r="G149" s="94"/>
      <c r="H149" s="94"/>
      <c r="I149" s="94"/>
      <c r="J149" s="94"/>
      <c r="K149" s="94"/>
      <c r="L149" s="94"/>
      <c r="M149" s="94"/>
      <c r="N149" s="94"/>
      <c r="O149" s="94"/>
    </row>
    <row r="150" ht="15.75" hidden="1" customHeight="1">
      <c r="A150" s="94"/>
      <c r="B150" s="94"/>
      <c r="C150" s="94"/>
      <c r="D150" s="94"/>
      <c r="E150" s="94"/>
      <c r="F150" s="94"/>
      <c r="G150" s="94"/>
      <c r="H150" s="94"/>
      <c r="I150" s="94"/>
      <c r="J150" s="94"/>
      <c r="K150" s="94"/>
      <c r="L150" s="94"/>
      <c r="M150" s="94"/>
      <c r="N150" s="94"/>
      <c r="O150" s="94"/>
    </row>
    <row r="151" ht="15.75" hidden="1" customHeight="1">
      <c r="A151" s="94"/>
      <c r="B151" s="94"/>
      <c r="C151" s="94"/>
      <c r="D151" s="94"/>
      <c r="E151" s="94"/>
      <c r="F151" s="94"/>
      <c r="G151" s="94"/>
      <c r="H151" s="94"/>
      <c r="I151" s="94"/>
      <c r="J151" s="94"/>
      <c r="K151" s="94"/>
      <c r="L151" s="94"/>
      <c r="M151" s="94"/>
      <c r="N151" s="94"/>
      <c r="O151" s="94"/>
    </row>
    <row r="152" ht="15.75" hidden="1" customHeight="1">
      <c r="A152" s="94"/>
      <c r="B152" s="94"/>
      <c r="C152" s="94"/>
      <c r="D152" s="94"/>
      <c r="E152" s="94"/>
      <c r="F152" s="94"/>
      <c r="G152" s="94"/>
      <c r="H152" s="94"/>
      <c r="I152" s="94"/>
      <c r="J152" s="94"/>
      <c r="K152" s="94"/>
      <c r="L152" s="94"/>
      <c r="M152" s="94"/>
      <c r="N152" s="94"/>
      <c r="O152" s="94"/>
    </row>
    <row r="153" ht="15.75" hidden="1" customHeight="1">
      <c r="A153" s="94"/>
      <c r="B153" s="94"/>
      <c r="C153" s="94"/>
      <c r="D153" s="94"/>
      <c r="E153" s="94"/>
      <c r="F153" s="94"/>
      <c r="G153" s="94"/>
      <c r="H153" s="94"/>
      <c r="I153" s="94"/>
      <c r="J153" s="94"/>
      <c r="K153" s="94"/>
      <c r="L153" s="94"/>
      <c r="M153" s="94"/>
      <c r="N153" s="94"/>
      <c r="O153" s="94"/>
    </row>
    <row r="154" ht="15.75" hidden="1" customHeight="1">
      <c r="A154" s="94"/>
      <c r="B154" s="94"/>
      <c r="C154" s="94"/>
      <c r="D154" s="94"/>
      <c r="E154" s="94"/>
      <c r="F154" s="94"/>
      <c r="G154" s="94"/>
      <c r="H154" s="94"/>
      <c r="I154" s="94"/>
      <c r="J154" s="94"/>
      <c r="K154" s="94"/>
      <c r="L154" s="94"/>
      <c r="M154" s="94"/>
      <c r="N154" s="94"/>
      <c r="O154" s="94"/>
    </row>
    <row r="155" ht="15.75" hidden="1" customHeight="1">
      <c r="A155" s="94"/>
      <c r="B155" s="94"/>
      <c r="C155" s="94"/>
      <c r="D155" s="94"/>
      <c r="E155" s="94"/>
      <c r="F155" s="94"/>
      <c r="G155" s="94"/>
      <c r="H155" s="94"/>
      <c r="I155" s="94"/>
      <c r="J155" s="94"/>
      <c r="K155" s="94"/>
      <c r="L155" s="94"/>
      <c r="M155" s="94"/>
      <c r="N155" s="94"/>
      <c r="O155" s="94"/>
    </row>
    <row r="156" ht="15.75" hidden="1" customHeight="1">
      <c r="A156" s="94"/>
      <c r="B156" s="94"/>
      <c r="C156" s="94"/>
      <c r="D156" s="94"/>
      <c r="E156" s="94"/>
      <c r="F156" s="94"/>
      <c r="G156" s="94"/>
      <c r="H156" s="94"/>
      <c r="I156" s="94"/>
      <c r="J156" s="94"/>
      <c r="K156" s="94"/>
      <c r="L156" s="94"/>
      <c r="M156" s="94"/>
      <c r="N156" s="94"/>
      <c r="O156" s="94"/>
    </row>
    <row r="157" ht="15.75" hidden="1" customHeight="1">
      <c r="A157" s="94"/>
      <c r="B157" s="94"/>
      <c r="C157" s="94"/>
      <c r="D157" s="94"/>
      <c r="E157" s="94"/>
      <c r="F157" s="94"/>
      <c r="G157" s="94"/>
      <c r="H157" s="94"/>
      <c r="I157" s="94"/>
      <c r="J157" s="94"/>
      <c r="K157" s="94"/>
      <c r="L157" s="94"/>
      <c r="M157" s="94"/>
      <c r="N157" s="94"/>
      <c r="O157" s="94"/>
    </row>
    <row r="158" ht="15.75" hidden="1" customHeight="1">
      <c r="A158" s="94"/>
      <c r="B158" s="94"/>
      <c r="C158" s="94"/>
      <c r="D158" s="94"/>
      <c r="E158" s="94"/>
      <c r="F158" s="94"/>
      <c r="G158" s="94"/>
      <c r="H158" s="94"/>
      <c r="I158" s="94"/>
      <c r="J158" s="94"/>
      <c r="K158" s="94"/>
      <c r="L158" s="94"/>
      <c r="M158" s="94"/>
      <c r="N158" s="94"/>
      <c r="O158" s="94"/>
    </row>
    <row r="159" ht="15.75" hidden="1" customHeight="1">
      <c r="A159" s="94"/>
      <c r="B159" s="94"/>
      <c r="C159" s="94"/>
      <c r="D159" s="94"/>
      <c r="E159" s="94"/>
      <c r="F159" s="94"/>
      <c r="G159" s="94"/>
      <c r="H159" s="94"/>
      <c r="I159" s="94"/>
      <c r="J159" s="94"/>
      <c r="K159" s="94"/>
      <c r="L159" s="94"/>
      <c r="M159" s="94"/>
      <c r="N159" s="94"/>
      <c r="O159" s="94"/>
    </row>
    <row r="160" ht="15.75" hidden="1" customHeight="1">
      <c r="A160" s="94"/>
      <c r="B160" s="94"/>
      <c r="C160" s="94"/>
      <c r="D160" s="94"/>
      <c r="E160" s="94"/>
      <c r="F160" s="94"/>
      <c r="G160" s="94"/>
      <c r="H160" s="94"/>
      <c r="I160" s="94"/>
      <c r="J160" s="94"/>
      <c r="K160" s="94"/>
      <c r="L160" s="94"/>
      <c r="M160" s="94"/>
      <c r="N160" s="94"/>
      <c r="O160" s="94"/>
    </row>
    <row r="161" ht="15.75" hidden="1" customHeight="1">
      <c r="A161" s="94"/>
      <c r="B161" s="94"/>
      <c r="C161" s="94"/>
      <c r="D161" s="94"/>
      <c r="E161" s="94"/>
      <c r="F161" s="94"/>
      <c r="G161" s="94"/>
      <c r="H161" s="94"/>
      <c r="I161" s="94"/>
      <c r="J161" s="94"/>
      <c r="K161" s="94"/>
      <c r="L161" s="94"/>
      <c r="M161" s="94"/>
      <c r="N161" s="94"/>
      <c r="O161" s="94"/>
    </row>
    <row r="162" ht="15.75" hidden="1" customHeight="1">
      <c r="A162" s="94"/>
      <c r="B162" s="94"/>
      <c r="C162" s="94"/>
      <c r="D162" s="94"/>
      <c r="E162" s="94"/>
      <c r="F162" s="94"/>
      <c r="G162" s="94"/>
      <c r="H162" s="94"/>
      <c r="I162" s="94"/>
      <c r="J162" s="94"/>
      <c r="K162" s="94"/>
      <c r="L162" s="94"/>
      <c r="M162" s="94"/>
      <c r="N162" s="94"/>
      <c r="O162" s="94"/>
    </row>
    <row r="163" ht="15.75" hidden="1" customHeight="1">
      <c r="A163" s="94"/>
      <c r="B163" s="94"/>
      <c r="C163" s="94"/>
      <c r="D163" s="94"/>
      <c r="E163" s="94"/>
      <c r="F163" s="94"/>
      <c r="G163" s="94"/>
      <c r="H163" s="94"/>
      <c r="I163" s="94"/>
      <c r="J163" s="94"/>
      <c r="K163" s="94"/>
      <c r="L163" s="94"/>
      <c r="M163" s="94"/>
      <c r="N163" s="94"/>
      <c r="O163" s="94"/>
    </row>
    <row r="164" ht="15.75" hidden="1" customHeight="1">
      <c r="A164" s="94"/>
      <c r="B164" s="94"/>
      <c r="C164" s="94"/>
      <c r="D164" s="94"/>
      <c r="E164" s="94"/>
      <c r="F164" s="94"/>
      <c r="G164" s="94"/>
      <c r="H164" s="94"/>
      <c r="I164" s="94"/>
      <c r="J164" s="94"/>
      <c r="K164" s="94"/>
      <c r="L164" s="94"/>
      <c r="M164" s="94"/>
      <c r="N164" s="94"/>
      <c r="O164" s="94"/>
    </row>
    <row r="165" ht="15.75" hidden="1" customHeight="1">
      <c r="A165" s="94"/>
      <c r="B165" s="94"/>
      <c r="C165" s="94"/>
      <c r="D165" s="94"/>
      <c r="E165" s="94"/>
      <c r="F165" s="94"/>
      <c r="G165" s="94"/>
      <c r="H165" s="94"/>
      <c r="I165" s="94"/>
      <c r="J165" s="94"/>
      <c r="K165" s="94"/>
      <c r="L165" s="94"/>
      <c r="M165" s="94"/>
      <c r="N165" s="94"/>
      <c r="O165" s="94"/>
    </row>
    <row r="166" ht="15.75" hidden="1" customHeight="1">
      <c r="A166" s="94"/>
      <c r="B166" s="94"/>
      <c r="C166" s="94"/>
      <c r="D166" s="94"/>
      <c r="E166" s="94"/>
      <c r="F166" s="94"/>
      <c r="G166" s="94"/>
      <c r="H166" s="94"/>
      <c r="I166" s="94"/>
      <c r="J166" s="94"/>
      <c r="K166" s="94"/>
      <c r="L166" s="94"/>
      <c r="M166" s="94"/>
      <c r="N166" s="94"/>
      <c r="O166" s="94"/>
    </row>
    <row r="167" ht="15.75" hidden="1" customHeight="1">
      <c r="A167" s="94"/>
      <c r="B167" s="94"/>
      <c r="C167" s="94"/>
      <c r="D167" s="94"/>
      <c r="E167" s="94"/>
      <c r="F167" s="94"/>
      <c r="G167" s="94"/>
      <c r="H167" s="94"/>
      <c r="I167" s="94"/>
      <c r="J167" s="94"/>
      <c r="K167" s="94"/>
      <c r="L167" s="94"/>
      <c r="M167" s="94"/>
      <c r="N167" s="94"/>
      <c r="O167" s="94"/>
    </row>
    <row r="168" ht="15.75" hidden="1" customHeight="1">
      <c r="A168" s="94"/>
      <c r="B168" s="94"/>
      <c r="C168" s="94"/>
      <c r="D168" s="94"/>
      <c r="E168" s="94"/>
      <c r="F168" s="94"/>
      <c r="G168" s="94"/>
      <c r="H168" s="94"/>
      <c r="I168" s="94"/>
      <c r="J168" s="94"/>
      <c r="K168" s="94"/>
      <c r="L168" s="94"/>
      <c r="M168" s="94"/>
      <c r="N168" s="94"/>
      <c r="O168" s="94"/>
    </row>
    <row r="169" ht="15.75" hidden="1" customHeight="1">
      <c r="A169" s="94"/>
      <c r="B169" s="94"/>
      <c r="C169" s="94"/>
      <c r="D169" s="94"/>
      <c r="E169" s="94"/>
      <c r="F169" s="94"/>
      <c r="G169" s="94"/>
      <c r="H169" s="94"/>
      <c r="I169" s="94"/>
      <c r="J169" s="94"/>
      <c r="K169" s="94"/>
      <c r="L169" s="94"/>
      <c r="M169" s="94"/>
      <c r="N169" s="94"/>
      <c r="O169" s="94"/>
    </row>
    <row r="170" ht="15.75" hidden="1" customHeight="1">
      <c r="A170" s="94"/>
      <c r="B170" s="94"/>
      <c r="C170" s="94"/>
      <c r="D170" s="94"/>
      <c r="E170" s="94"/>
      <c r="F170" s="94"/>
      <c r="G170" s="94"/>
      <c r="H170" s="94"/>
      <c r="I170" s="94"/>
      <c r="J170" s="94"/>
      <c r="K170" s="94"/>
      <c r="L170" s="94"/>
      <c r="M170" s="94"/>
      <c r="N170" s="94"/>
      <c r="O170" s="94"/>
    </row>
    <row r="171" ht="15.75" hidden="1" customHeight="1">
      <c r="A171" s="94"/>
      <c r="B171" s="94"/>
      <c r="C171" s="94"/>
      <c r="D171" s="94"/>
      <c r="E171" s="94"/>
      <c r="F171" s="94"/>
      <c r="G171" s="94"/>
      <c r="H171" s="94"/>
      <c r="I171" s="94"/>
      <c r="J171" s="94"/>
      <c r="K171" s="94"/>
      <c r="L171" s="94"/>
      <c r="M171" s="94"/>
      <c r="N171" s="94"/>
      <c r="O171" s="94"/>
    </row>
    <row r="172" ht="15.75" hidden="1" customHeight="1">
      <c r="A172" s="94"/>
      <c r="B172" s="94"/>
      <c r="C172" s="94"/>
      <c r="D172" s="94"/>
      <c r="E172" s="94"/>
      <c r="F172" s="94"/>
      <c r="G172" s="94"/>
      <c r="H172" s="94"/>
      <c r="I172" s="94"/>
      <c r="J172" s="94"/>
      <c r="K172" s="94"/>
      <c r="L172" s="94"/>
      <c r="M172" s="94"/>
      <c r="N172" s="94"/>
      <c r="O172" s="94"/>
    </row>
    <row r="173" ht="15.75" hidden="1" customHeight="1">
      <c r="A173" s="94"/>
      <c r="B173" s="94"/>
      <c r="C173" s="94"/>
      <c r="D173" s="94"/>
      <c r="E173" s="94"/>
      <c r="F173" s="94"/>
      <c r="G173" s="94"/>
      <c r="H173" s="94"/>
      <c r="I173" s="94"/>
      <c r="J173" s="94"/>
      <c r="K173" s="94"/>
      <c r="L173" s="94"/>
      <c r="M173" s="94"/>
      <c r="N173" s="94"/>
      <c r="O173" s="94"/>
    </row>
    <row r="174" ht="15.75" hidden="1" customHeight="1">
      <c r="A174" s="94"/>
      <c r="B174" s="94"/>
      <c r="C174" s="94"/>
      <c r="D174" s="94"/>
      <c r="E174" s="94"/>
      <c r="F174" s="94"/>
      <c r="G174" s="94"/>
      <c r="H174" s="94"/>
      <c r="I174" s="94"/>
      <c r="J174" s="94"/>
      <c r="K174" s="94"/>
      <c r="L174" s="94"/>
      <c r="M174" s="94"/>
      <c r="N174" s="94"/>
      <c r="O174" s="94"/>
    </row>
    <row r="175" ht="15.75" hidden="1" customHeight="1">
      <c r="A175" s="94"/>
      <c r="B175" s="94"/>
      <c r="C175" s="94"/>
      <c r="D175" s="94"/>
      <c r="E175" s="94"/>
      <c r="F175" s="94"/>
      <c r="G175" s="94"/>
      <c r="H175" s="94"/>
      <c r="I175" s="94"/>
      <c r="J175" s="94"/>
      <c r="K175" s="94"/>
      <c r="L175" s="94"/>
      <c r="M175" s="94"/>
      <c r="N175" s="94"/>
      <c r="O175" s="94"/>
    </row>
    <row r="176" ht="15.75" hidden="1" customHeight="1">
      <c r="A176" s="94"/>
      <c r="B176" s="94"/>
      <c r="C176" s="94"/>
      <c r="D176" s="94"/>
      <c r="E176" s="94"/>
      <c r="F176" s="94"/>
      <c r="G176" s="94"/>
      <c r="H176" s="94"/>
      <c r="I176" s="94"/>
      <c r="J176" s="94"/>
      <c r="K176" s="94"/>
      <c r="L176" s="94"/>
      <c r="M176" s="94"/>
      <c r="N176" s="94"/>
      <c r="O176" s="94"/>
    </row>
    <row r="177" ht="15.75" hidden="1" customHeight="1">
      <c r="A177" s="94"/>
      <c r="B177" s="94"/>
      <c r="C177" s="94"/>
      <c r="D177" s="94"/>
      <c r="E177" s="94"/>
      <c r="F177" s="94"/>
      <c r="G177" s="94"/>
      <c r="H177" s="94"/>
      <c r="I177" s="94"/>
      <c r="J177" s="94"/>
      <c r="K177" s="94"/>
      <c r="L177" s="94"/>
      <c r="M177" s="94"/>
      <c r="N177" s="94"/>
      <c r="O177" s="94"/>
    </row>
    <row r="178" ht="15.75" hidden="1" customHeight="1">
      <c r="A178" s="94"/>
      <c r="B178" s="94"/>
      <c r="C178" s="94"/>
      <c r="D178" s="94"/>
      <c r="E178" s="94"/>
      <c r="F178" s="94"/>
      <c r="G178" s="94"/>
      <c r="H178" s="94"/>
      <c r="I178" s="94"/>
      <c r="J178" s="94"/>
      <c r="K178" s="94"/>
      <c r="L178" s="94"/>
      <c r="M178" s="94"/>
      <c r="N178" s="94"/>
      <c r="O178" s="94"/>
    </row>
    <row r="179" ht="15.75" hidden="1" customHeight="1">
      <c r="A179" s="94"/>
      <c r="B179" s="94"/>
      <c r="C179" s="94"/>
      <c r="D179" s="94"/>
      <c r="E179" s="94"/>
      <c r="F179" s="94"/>
      <c r="G179" s="94"/>
      <c r="H179" s="94"/>
      <c r="I179" s="94"/>
      <c r="J179" s="94"/>
      <c r="K179" s="94"/>
      <c r="L179" s="94"/>
      <c r="M179" s="94"/>
      <c r="N179" s="94"/>
      <c r="O179" s="94"/>
    </row>
    <row r="180" ht="15.75" hidden="1" customHeight="1">
      <c r="A180" s="94"/>
      <c r="B180" s="94"/>
      <c r="C180" s="94"/>
      <c r="D180" s="94"/>
      <c r="E180" s="94"/>
      <c r="F180" s="94"/>
      <c r="G180" s="94"/>
      <c r="H180" s="94"/>
      <c r="I180" s="94"/>
      <c r="J180" s="94"/>
      <c r="K180" s="94"/>
      <c r="L180" s="94"/>
      <c r="M180" s="94"/>
      <c r="N180" s="94"/>
      <c r="O180" s="94"/>
    </row>
    <row r="181" ht="15.75" hidden="1" customHeight="1">
      <c r="A181" s="94"/>
      <c r="B181" s="94"/>
      <c r="C181" s="94"/>
      <c r="D181" s="94"/>
      <c r="E181" s="94"/>
      <c r="F181" s="94"/>
      <c r="G181" s="94"/>
      <c r="H181" s="94"/>
      <c r="I181" s="94"/>
      <c r="J181" s="94"/>
      <c r="K181" s="94"/>
      <c r="L181" s="94"/>
      <c r="M181" s="94"/>
      <c r="N181" s="94"/>
      <c r="O181" s="94"/>
    </row>
    <row r="182" ht="15.75" hidden="1" customHeight="1">
      <c r="A182" s="94"/>
      <c r="B182" s="94"/>
      <c r="C182" s="94"/>
      <c r="D182" s="94"/>
      <c r="E182" s="94"/>
      <c r="F182" s="94"/>
      <c r="G182" s="94"/>
      <c r="H182" s="94"/>
      <c r="I182" s="94"/>
      <c r="J182" s="94"/>
      <c r="K182" s="94"/>
      <c r="L182" s="94"/>
      <c r="M182" s="94"/>
      <c r="N182" s="94"/>
      <c r="O182" s="94"/>
    </row>
    <row r="183" ht="15.75" hidden="1" customHeight="1">
      <c r="A183" s="94"/>
      <c r="B183" s="94"/>
      <c r="C183" s="94"/>
      <c r="D183" s="94"/>
      <c r="E183" s="94"/>
      <c r="F183" s="94"/>
      <c r="G183" s="94"/>
      <c r="H183" s="94"/>
      <c r="I183" s="94"/>
      <c r="J183" s="94"/>
      <c r="K183" s="94"/>
      <c r="L183" s="94"/>
      <c r="M183" s="94"/>
      <c r="N183" s="94"/>
      <c r="O183" s="94"/>
    </row>
    <row r="184" ht="15.75" hidden="1" customHeight="1">
      <c r="A184" s="94"/>
      <c r="B184" s="94"/>
      <c r="C184" s="94"/>
      <c r="D184" s="94"/>
      <c r="E184" s="94"/>
      <c r="F184" s="94"/>
      <c r="G184" s="94"/>
      <c r="H184" s="94"/>
      <c r="I184" s="94"/>
      <c r="J184" s="94"/>
      <c r="K184" s="94"/>
      <c r="L184" s="94"/>
      <c r="M184" s="94"/>
      <c r="N184" s="94"/>
      <c r="O184" s="94"/>
    </row>
    <row r="185" ht="15.75" hidden="1" customHeight="1">
      <c r="A185" s="94"/>
      <c r="B185" s="94"/>
      <c r="C185" s="94"/>
      <c r="D185" s="94"/>
      <c r="E185" s="94"/>
      <c r="F185" s="94"/>
      <c r="G185" s="94"/>
      <c r="H185" s="94"/>
      <c r="I185" s="94"/>
      <c r="J185" s="94"/>
      <c r="K185" s="94"/>
      <c r="L185" s="94"/>
      <c r="M185" s="94"/>
      <c r="N185" s="94"/>
      <c r="O185" s="94"/>
    </row>
    <row r="186" ht="15.75" hidden="1" customHeight="1">
      <c r="A186" s="94"/>
      <c r="B186" s="94"/>
      <c r="C186" s="94"/>
      <c r="D186" s="94"/>
      <c r="E186" s="94"/>
      <c r="F186" s="94"/>
      <c r="G186" s="94"/>
      <c r="H186" s="94"/>
      <c r="I186" s="94"/>
      <c r="J186" s="94"/>
      <c r="K186" s="94"/>
      <c r="L186" s="94"/>
      <c r="M186" s="94"/>
      <c r="N186" s="94"/>
      <c r="O186" s="94"/>
    </row>
    <row r="187" ht="15.75" hidden="1" customHeight="1">
      <c r="A187" s="94"/>
      <c r="B187" s="94"/>
      <c r="C187" s="94"/>
      <c r="D187" s="94"/>
      <c r="E187" s="94"/>
      <c r="F187" s="94"/>
      <c r="G187" s="94"/>
      <c r="H187" s="94"/>
      <c r="I187" s="94"/>
      <c r="J187" s="94"/>
      <c r="K187" s="94"/>
      <c r="L187" s="94"/>
      <c r="M187" s="94"/>
      <c r="N187" s="94"/>
      <c r="O187" s="94"/>
    </row>
    <row r="188" ht="15.75" hidden="1" customHeight="1">
      <c r="A188" s="94"/>
      <c r="B188" s="94"/>
      <c r="C188" s="94"/>
      <c r="D188" s="94"/>
      <c r="E188" s="94"/>
      <c r="F188" s="94"/>
      <c r="G188" s="94"/>
      <c r="H188" s="94"/>
      <c r="I188" s="94"/>
      <c r="J188" s="94"/>
      <c r="K188" s="94"/>
      <c r="L188" s="94"/>
      <c r="M188" s="94"/>
      <c r="N188" s="94"/>
      <c r="O188" s="94"/>
    </row>
    <row r="189" ht="15.75" hidden="1" customHeight="1">
      <c r="A189" s="94"/>
      <c r="B189" s="94"/>
      <c r="C189" s="94"/>
      <c r="D189" s="94"/>
      <c r="E189" s="94"/>
      <c r="F189" s="94"/>
      <c r="G189" s="94"/>
      <c r="H189" s="94"/>
      <c r="I189" s="94"/>
      <c r="J189" s="94"/>
      <c r="K189" s="94"/>
      <c r="L189" s="94"/>
      <c r="M189" s="94"/>
      <c r="N189" s="94"/>
      <c r="O189" s="94"/>
    </row>
    <row r="190" ht="15.75" hidden="1" customHeight="1">
      <c r="A190" s="94"/>
      <c r="B190" s="94"/>
      <c r="C190" s="94"/>
      <c r="D190" s="94"/>
      <c r="E190" s="94"/>
      <c r="F190" s="94"/>
      <c r="G190" s="94"/>
      <c r="H190" s="94"/>
      <c r="I190" s="94"/>
      <c r="J190" s="94"/>
      <c r="K190" s="94"/>
      <c r="L190" s="94"/>
      <c r="M190" s="94"/>
      <c r="N190" s="94"/>
      <c r="O190" s="94"/>
    </row>
    <row r="191" ht="15.75" hidden="1" customHeight="1">
      <c r="A191" s="94"/>
      <c r="B191" s="94"/>
      <c r="C191" s="94"/>
      <c r="D191" s="94"/>
      <c r="E191" s="94"/>
      <c r="F191" s="94"/>
      <c r="G191" s="94"/>
      <c r="H191" s="94"/>
      <c r="I191" s="94"/>
      <c r="J191" s="94"/>
      <c r="K191" s="94"/>
      <c r="L191" s="94"/>
      <c r="M191" s="94"/>
      <c r="N191" s="94"/>
      <c r="O191" s="94"/>
    </row>
    <row r="192" ht="15.75" hidden="1" customHeight="1">
      <c r="A192" s="94"/>
      <c r="B192" s="94"/>
      <c r="C192" s="94"/>
      <c r="D192" s="94"/>
      <c r="E192" s="94"/>
      <c r="F192" s="94"/>
      <c r="G192" s="94"/>
      <c r="H192" s="94"/>
      <c r="I192" s="94"/>
      <c r="J192" s="94"/>
      <c r="K192" s="94"/>
      <c r="L192" s="94"/>
      <c r="M192" s="94"/>
      <c r="N192" s="94"/>
      <c r="O192" s="94"/>
    </row>
    <row r="193" ht="15.75" hidden="1" customHeight="1">
      <c r="A193" s="94"/>
      <c r="B193" s="94"/>
      <c r="C193" s="94"/>
      <c r="D193" s="94"/>
      <c r="E193" s="94"/>
      <c r="F193" s="94"/>
      <c r="G193" s="94"/>
      <c r="H193" s="94"/>
      <c r="I193" s="94"/>
      <c r="J193" s="94"/>
      <c r="K193" s="94"/>
      <c r="L193" s="94"/>
      <c r="M193" s="94"/>
      <c r="N193" s="94"/>
      <c r="O193" s="94"/>
    </row>
    <row r="194" ht="15.75" hidden="1" customHeight="1">
      <c r="A194" s="94"/>
      <c r="B194" s="94"/>
      <c r="C194" s="94"/>
      <c r="D194" s="94"/>
      <c r="E194" s="94"/>
      <c r="F194" s="94"/>
      <c r="G194" s="94"/>
      <c r="H194" s="94"/>
      <c r="I194" s="94"/>
      <c r="J194" s="94"/>
      <c r="K194" s="94"/>
      <c r="L194" s="94"/>
      <c r="M194" s="94"/>
      <c r="N194" s="94"/>
      <c r="O194" s="94"/>
    </row>
    <row r="195" ht="15.75" hidden="1" customHeight="1">
      <c r="A195" s="94"/>
      <c r="B195" s="94"/>
      <c r="C195" s="94"/>
      <c r="D195" s="94"/>
      <c r="E195" s="94"/>
      <c r="F195" s="94"/>
      <c r="G195" s="94"/>
      <c r="H195" s="94"/>
      <c r="I195" s="94"/>
      <c r="J195" s="94"/>
      <c r="K195" s="94"/>
      <c r="L195" s="94"/>
      <c r="M195" s="94"/>
      <c r="N195" s="94"/>
      <c r="O195" s="94"/>
    </row>
    <row r="196" ht="15.75" hidden="1" customHeight="1">
      <c r="A196" s="94"/>
      <c r="B196" s="94"/>
      <c r="C196" s="94"/>
      <c r="D196" s="94"/>
      <c r="E196" s="94"/>
      <c r="F196" s="94"/>
      <c r="G196" s="94"/>
      <c r="H196" s="94"/>
      <c r="I196" s="94"/>
      <c r="J196" s="94"/>
      <c r="K196" s="94"/>
      <c r="L196" s="94"/>
      <c r="M196" s="94"/>
      <c r="N196" s="94"/>
      <c r="O196" s="94"/>
    </row>
    <row r="197" ht="15.75" hidden="1" customHeight="1">
      <c r="A197" s="94"/>
      <c r="B197" s="94"/>
      <c r="C197" s="94"/>
      <c r="D197" s="94"/>
      <c r="E197" s="94"/>
      <c r="F197" s="94"/>
      <c r="G197" s="94"/>
      <c r="H197" s="94"/>
      <c r="I197" s="94"/>
      <c r="J197" s="94"/>
      <c r="K197" s="94"/>
      <c r="L197" s="94"/>
      <c r="M197" s="94"/>
      <c r="N197" s="94"/>
      <c r="O197" s="94"/>
    </row>
    <row r="198" ht="15.75" hidden="1" customHeight="1">
      <c r="A198" s="94"/>
      <c r="B198" s="94"/>
      <c r="C198" s="94"/>
      <c r="D198" s="94"/>
      <c r="E198" s="94"/>
      <c r="F198" s="94"/>
      <c r="G198" s="94"/>
      <c r="H198" s="94"/>
      <c r="I198" s="94"/>
      <c r="J198" s="94"/>
      <c r="K198" s="94"/>
      <c r="L198" s="94"/>
      <c r="M198" s="94"/>
      <c r="N198" s="94"/>
      <c r="O198" s="94"/>
    </row>
    <row r="199" ht="15.75" hidden="1" customHeight="1">
      <c r="A199" s="94"/>
      <c r="B199" s="94"/>
      <c r="C199" s="94"/>
      <c r="D199" s="94"/>
      <c r="E199" s="94"/>
      <c r="F199" s="94"/>
      <c r="G199" s="94"/>
      <c r="H199" s="94"/>
      <c r="I199" s="94"/>
      <c r="J199" s="94"/>
      <c r="K199" s="94"/>
      <c r="L199" s="94"/>
      <c r="M199" s="94"/>
      <c r="N199" s="94"/>
      <c r="O199" s="94"/>
    </row>
    <row r="200" ht="15.75" hidden="1" customHeight="1">
      <c r="A200" s="94"/>
      <c r="B200" s="94"/>
      <c r="C200" s="94"/>
      <c r="D200" s="94"/>
      <c r="E200" s="94"/>
      <c r="F200" s="94"/>
      <c r="G200" s="94"/>
      <c r="H200" s="94"/>
      <c r="I200" s="94"/>
      <c r="J200" s="94"/>
      <c r="K200" s="94"/>
      <c r="L200" s="94"/>
      <c r="M200" s="94"/>
      <c r="N200" s="94"/>
      <c r="O200" s="94"/>
    </row>
    <row r="201" ht="15.75" hidden="1" customHeight="1">
      <c r="A201" s="94"/>
      <c r="B201" s="94"/>
      <c r="C201" s="94"/>
      <c r="D201" s="94"/>
      <c r="E201" s="94"/>
      <c r="F201" s="94"/>
      <c r="G201" s="94"/>
      <c r="H201" s="94"/>
      <c r="I201" s="94"/>
      <c r="J201" s="94"/>
      <c r="K201" s="94"/>
      <c r="L201" s="94"/>
      <c r="M201" s="94"/>
      <c r="N201" s="94"/>
      <c r="O201" s="94"/>
    </row>
    <row r="202" ht="15.75" hidden="1" customHeight="1">
      <c r="A202" s="94"/>
      <c r="B202" s="94"/>
      <c r="C202" s="94"/>
      <c r="D202" s="94"/>
      <c r="E202" s="94"/>
      <c r="F202" s="94"/>
      <c r="G202" s="94"/>
      <c r="H202" s="94"/>
      <c r="I202" s="94"/>
      <c r="J202" s="94"/>
      <c r="K202" s="94"/>
      <c r="L202" s="94"/>
      <c r="M202" s="94"/>
      <c r="N202" s="94"/>
      <c r="O202" s="94"/>
    </row>
    <row r="203" ht="15.75" hidden="1" customHeight="1">
      <c r="A203" s="94"/>
      <c r="B203" s="94"/>
      <c r="C203" s="94"/>
      <c r="D203" s="94"/>
      <c r="E203" s="94"/>
      <c r="F203" s="94"/>
      <c r="G203" s="94"/>
      <c r="H203" s="94"/>
      <c r="I203" s="94"/>
      <c r="J203" s="94"/>
      <c r="K203" s="94"/>
      <c r="L203" s="94"/>
      <c r="M203" s="94"/>
      <c r="N203" s="94"/>
      <c r="O203" s="94"/>
    </row>
    <row r="204" ht="15.75" hidden="1" customHeight="1">
      <c r="A204" s="94"/>
      <c r="B204" s="94"/>
      <c r="C204" s="94"/>
      <c r="D204" s="94"/>
      <c r="E204" s="94"/>
      <c r="F204" s="94"/>
      <c r="G204" s="94"/>
      <c r="H204" s="94"/>
      <c r="I204" s="94"/>
      <c r="J204" s="94"/>
      <c r="K204" s="94"/>
      <c r="L204" s="94"/>
      <c r="M204" s="94"/>
      <c r="N204" s="94"/>
      <c r="O204" s="94"/>
    </row>
    <row r="205" ht="15.75" hidden="1" customHeight="1">
      <c r="A205" s="94"/>
      <c r="B205" s="94"/>
      <c r="C205" s="94"/>
      <c r="D205" s="94"/>
      <c r="E205" s="94"/>
      <c r="F205" s="94"/>
      <c r="G205" s="94"/>
      <c r="H205" s="94"/>
      <c r="I205" s="94"/>
      <c r="J205" s="94"/>
      <c r="K205" s="94"/>
      <c r="L205" s="94"/>
      <c r="M205" s="94"/>
      <c r="N205" s="94"/>
      <c r="O205" s="94"/>
    </row>
    <row r="206" ht="15.75" hidden="1" customHeight="1">
      <c r="A206" s="94"/>
      <c r="B206" s="94"/>
      <c r="C206" s="94"/>
      <c r="D206" s="94"/>
      <c r="E206" s="94"/>
      <c r="F206" s="94"/>
      <c r="G206" s="94"/>
      <c r="H206" s="94"/>
      <c r="I206" s="94"/>
      <c r="J206" s="94"/>
      <c r="K206" s="94"/>
      <c r="L206" s="94"/>
      <c r="M206" s="94"/>
      <c r="N206" s="94"/>
      <c r="O206" s="94"/>
    </row>
    <row r="207" ht="15.75" hidden="1" customHeight="1">
      <c r="A207" s="94"/>
      <c r="B207" s="94"/>
      <c r="C207" s="94"/>
      <c r="D207" s="94"/>
      <c r="E207" s="94"/>
      <c r="F207" s="94"/>
      <c r="G207" s="94"/>
      <c r="H207" s="94"/>
      <c r="I207" s="94"/>
      <c r="J207" s="94"/>
      <c r="K207" s="94"/>
      <c r="L207" s="94"/>
      <c r="M207" s="94"/>
      <c r="N207" s="94"/>
      <c r="O207" s="94"/>
    </row>
    <row r="208" ht="15.75" hidden="1" customHeight="1">
      <c r="A208" s="94"/>
      <c r="B208" s="94"/>
      <c r="C208" s="94"/>
      <c r="D208" s="94"/>
      <c r="E208" s="94"/>
      <c r="F208" s="94"/>
      <c r="G208" s="94"/>
      <c r="H208" s="94"/>
      <c r="I208" s="94"/>
      <c r="J208" s="94"/>
      <c r="K208" s="94"/>
      <c r="L208" s="94"/>
      <c r="M208" s="94"/>
      <c r="N208" s="94"/>
      <c r="O208" s="94"/>
    </row>
    <row r="209" ht="15.75" hidden="1" customHeight="1">
      <c r="A209" s="94"/>
      <c r="B209" s="94"/>
      <c r="C209" s="94"/>
      <c r="D209" s="94"/>
      <c r="E209" s="94"/>
      <c r="F209" s="94"/>
      <c r="G209" s="94"/>
      <c r="H209" s="94"/>
      <c r="I209" s="94"/>
      <c r="J209" s="94"/>
      <c r="K209" s="94"/>
      <c r="L209" s="94"/>
      <c r="M209" s="94"/>
      <c r="N209" s="94"/>
      <c r="O209" s="94"/>
    </row>
    <row r="210" ht="15.75" hidden="1" customHeight="1">
      <c r="A210" s="94"/>
      <c r="B210" s="94"/>
      <c r="C210" s="94"/>
      <c r="D210" s="94"/>
      <c r="E210" s="94"/>
      <c r="F210" s="94"/>
      <c r="G210" s="94"/>
      <c r="H210" s="94"/>
      <c r="I210" s="94"/>
      <c r="J210" s="94"/>
      <c r="K210" s="94"/>
      <c r="L210" s="94"/>
      <c r="M210" s="94"/>
      <c r="N210" s="94"/>
      <c r="O210" s="94"/>
    </row>
    <row r="211" ht="15.75" hidden="1" customHeight="1">
      <c r="A211" s="94"/>
      <c r="B211" s="94"/>
      <c r="C211" s="94"/>
      <c r="D211" s="94"/>
      <c r="E211" s="94"/>
      <c r="F211" s="94"/>
      <c r="G211" s="94"/>
      <c r="H211" s="94"/>
      <c r="I211" s="94"/>
      <c r="J211" s="94"/>
      <c r="K211" s="94"/>
      <c r="L211" s="94"/>
      <c r="M211" s="94"/>
      <c r="N211" s="94"/>
      <c r="O211" s="94"/>
    </row>
    <row r="212" ht="15.75" hidden="1" customHeight="1">
      <c r="A212" s="94"/>
      <c r="B212" s="94"/>
      <c r="C212" s="94"/>
      <c r="D212" s="94"/>
      <c r="E212" s="94"/>
      <c r="F212" s="94"/>
      <c r="G212" s="94"/>
      <c r="H212" s="94"/>
      <c r="I212" s="94"/>
      <c r="J212" s="94"/>
      <c r="K212" s="94"/>
      <c r="L212" s="94"/>
      <c r="M212" s="94"/>
      <c r="N212" s="94"/>
      <c r="O212" s="94"/>
    </row>
    <row r="213" ht="15.75" hidden="1" customHeight="1">
      <c r="A213" s="94"/>
      <c r="B213" s="94"/>
      <c r="C213" s="94"/>
      <c r="D213" s="94"/>
      <c r="E213" s="94"/>
      <c r="F213" s="94"/>
      <c r="G213" s="94"/>
      <c r="H213" s="94"/>
      <c r="I213" s="94"/>
      <c r="J213" s="94"/>
      <c r="K213" s="94"/>
      <c r="L213" s="94"/>
      <c r="M213" s="94"/>
      <c r="N213" s="94"/>
      <c r="O213" s="94"/>
    </row>
    <row r="214" ht="15.75" hidden="1" customHeight="1">
      <c r="A214" s="94"/>
      <c r="B214" s="94"/>
      <c r="C214" s="94"/>
      <c r="D214" s="94"/>
      <c r="E214" s="94"/>
      <c r="F214" s="94"/>
      <c r="G214" s="94"/>
      <c r="H214" s="94"/>
      <c r="I214" s="94"/>
      <c r="J214" s="94"/>
      <c r="K214" s="94"/>
      <c r="L214" s="94"/>
      <c r="M214" s="94"/>
      <c r="N214" s="94"/>
      <c r="O214" s="94"/>
    </row>
    <row r="215" ht="15.75" hidden="1" customHeight="1">
      <c r="A215" s="94"/>
      <c r="B215" s="94"/>
      <c r="C215" s="94"/>
      <c r="D215" s="94"/>
      <c r="E215" s="94"/>
      <c r="F215" s="94"/>
      <c r="G215" s="94"/>
      <c r="H215" s="94"/>
      <c r="I215" s="94"/>
      <c r="J215" s="94"/>
      <c r="K215" s="94"/>
      <c r="L215" s="94"/>
      <c r="M215" s="94"/>
      <c r="N215" s="94"/>
      <c r="O215" s="94"/>
    </row>
    <row r="216" ht="15.75" hidden="1" customHeight="1">
      <c r="A216" s="94"/>
      <c r="B216" s="94"/>
      <c r="C216" s="94"/>
      <c r="D216" s="94"/>
      <c r="E216" s="94"/>
      <c r="F216" s="94"/>
      <c r="G216" s="94"/>
      <c r="H216" s="94"/>
      <c r="I216" s="94"/>
      <c r="J216" s="94"/>
      <c r="K216" s="94"/>
      <c r="L216" s="94"/>
      <c r="M216" s="94"/>
      <c r="N216" s="94"/>
      <c r="O216" s="94"/>
    </row>
    <row r="217" ht="15.75" hidden="1" customHeight="1">
      <c r="A217" s="94"/>
      <c r="B217" s="94"/>
      <c r="C217" s="94"/>
      <c r="D217" s="94"/>
      <c r="E217" s="94"/>
      <c r="F217" s="94"/>
      <c r="G217" s="94"/>
      <c r="H217" s="94"/>
      <c r="I217" s="94"/>
      <c r="J217" s="94"/>
      <c r="K217" s="94"/>
      <c r="L217" s="94"/>
      <c r="M217" s="94"/>
      <c r="N217" s="94"/>
      <c r="O217" s="94"/>
    </row>
    <row r="218" ht="15.75" hidden="1" customHeight="1">
      <c r="A218" s="94"/>
      <c r="B218" s="94"/>
      <c r="C218" s="94"/>
      <c r="D218" s="94"/>
      <c r="E218" s="94"/>
      <c r="F218" s="94"/>
      <c r="G218" s="94"/>
      <c r="H218" s="94"/>
      <c r="I218" s="94"/>
      <c r="J218" s="94"/>
      <c r="K218" s="94"/>
      <c r="L218" s="94"/>
      <c r="M218" s="94"/>
      <c r="N218" s="94"/>
      <c r="O218" s="94"/>
    </row>
    <row r="219" ht="15.75" hidden="1" customHeight="1">
      <c r="A219" s="94"/>
      <c r="B219" s="94"/>
      <c r="C219" s="94"/>
      <c r="D219" s="94"/>
      <c r="E219" s="94"/>
      <c r="F219" s="94"/>
      <c r="G219" s="94"/>
      <c r="H219" s="94"/>
      <c r="I219" s="94"/>
      <c r="J219" s="94"/>
      <c r="K219" s="94"/>
      <c r="L219" s="94"/>
      <c r="M219" s="94"/>
      <c r="N219" s="94"/>
      <c r="O219" s="94"/>
    </row>
    <row r="220" ht="15.75" hidden="1" customHeight="1">
      <c r="A220" s="94"/>
      <c r="B220" s="94"/>
      <c r="C220" s="94"/>
      <c r="D220" s="94"/>
      <c r="E220" s="94"/>
      <c r="F220" s="94"/>
      <c r="G220" s="94"/>
      <c r="H220" s="94"/>
      <c r="I220" s="94"/>
      <c r="J220" s="94"/>
      <c r="K220" s="94"/>
      <c r="L220" s="94"/>
      <c r="M220" s="94"/>
      <c r="N220" s="94"/>
      <c r="O220" s="94"/>
    </row>
    <row r="221" ht="15.75" hidden="1" customHeight="1">
      <c r="A221" s="94"/>
      <c r="B221" s="94"/>
      <c r="C221" s="94"/>
      <c r="D221" s="94"/>
      <c r="E221" s="94"/>
      <c r="F221" s="94"/>
      <c r="G221" s="94"/>
      <c r="H221" s="94"/>
      <c r="I221" s="94"/>
      <c r="J221" s="94"/>
      <c r="K221" s="94"/>
      <c r="L221" s="94"/>
      <c r="M221" s="94"/>
      <c r="N221" s="94"/>
      <c r="O221" s="94"/>
    </row>
    <row r="222" ht="15.75" hidden="1" customHeight="1">
      <c r="A222" s="94"/>
      <c r="B222" s="94"/>
      <c r="C222" s="94"/>
      <c r="D222" s="94"/>
      <c r="E222" s="94"/>
      <c r="F222" s="94"/>
      <c r="G222" s="94"/>
      <c r="H222" s="94"/>
      <c r="I222" s="94"/>
      <c r="J222" s="94"/>
      <c r="K222" s="94"/>
      <c r="L222" s="94"/>
      <c r="M222" s="94"/>
      <c r="N222" s="94"/>
      <c r="O222" s="94"/>
    </row>
    <row r="223" ht="15.75" hidden="1" customHeight="1">
      <c r="A223" s="94"/>
      <c r="B223" s="94"/>
      <c r="C223" s="94"/>
      <c r="D223" s="94"/>
      <c r="E223" s="94"/>
      <c r="F223" s="94"/>
      <c r="G223" s="94"/>
      <c r="H223" s="94"/>
      <c r="I223" s="94"/>
      <c r="J223" s="94"/>
      <c r="K223" s="94"/>
      <c r="L223" s="94"/>
      <c r="M223" s="94"/>
      <c r="N223" s="94"/>
      <c r="O223" s="94"/>
    </row>
    <row r="224" ht="15.75" hidden="1" customHeight="1">
      <c r="A224" s="94"/>
      <c r="B224" s="94"/>
      <c r="C224" s="94"/>
      <c r="D224" s="94"/>
      <c r="E224" s="94"/>
      <c r="F224" s="94"/>
      <c r="G224" s="94"/>
      <c r="H224" s="94"/>
      <c r="I224" s="94"/>
      <c r="J224" s="94"/>
      <c r="K224" s="94"/>
      <c r="L224" s="94"/>
      <c r="M224" s="94"/>
      <c r="N224" s="94"/>
      <c r="O224" s="94"/>
    </row>
    <row r="225" ht="15.75" hidden="1" customHeight="1">
      <c r="A225" s="94"/>
      <c r="B225" s="94"/>
      <c r="C225" s="94"/>
      <c r="D225" s="94"/>
      <c r="E225" s="94"/>
      <c r="F225" s="94"/>
      <c r="G225" s="94"/>
      <c r="H225" s="94"/>
      <c r="I225" s="94"/>
      <c r="J225" s="94"/>
      <c r="K225" s="94"/>
      <c r="L225" s="94"/>
      <c r="M225" s="94"/>
      <c r="N225" s="94"/>
      <c r="O225" s="94"/>
    </row>
    <row r="226" ht="15.75" hidden="1" customHeight="1">
      <c r="A226" s="94"/>
      <c r="B226" s="94"/>
      <c r="C226" s="94"/>
      <c r="D226" s="94"/>
      <c r="E226" s="94"/>
      <c r="F226" s="94"/>
      <c r="G226" s="94"/>
      <c r="H226" s="94"/>
      <c r="I226" s="94"/>
      <c r="J226" s="94"/>
      <c r="K226" s="94"/>
      <c r="L226" s="94"/>
      <c r="M226" s="94"/>
      <c r="N226" s="94"/>
      <c r="O226" s="94"/>
    </row>
    <row r="227" ht="15.75" hidden="1" customHeight="1">
      <c r="A227" s="94"/>
      <c r="B227" s="94"/>
      <c r="C227" s="94"/>
      <c r="D227" s="94"/>
      <c r="E227" s="94"/>
      <c r="F227" s="94"/>
      <c r="G227" s="94"/>
      <c r="H227" s="94"/>
      <c r="I227" s="94"/>
      <c r="J227" s="94"/>
      <c r="K227" s="94"/>
      <c r="L227" s="94"/>
      <c r="M227" s="94"/>
      <c r="N227" s="94"/>
      <c r="O227" s="94"/>
    </row>
    <row r="228" ht="15.75" hidden="1" customHeight="1">
      <c r="A228" s="94"/>
      <c r="B228" s="94"/>
      <c r="C228" s="94"/>
      <c r="D228" s="94"/>
      <c r="E228" s="94"/>
      <c r="F228" s="94"/>
      <c r="G228" s="94"/>
      <c r="H228" s="94"/>
      <c r="I228" s="94"/>
      <c r="J228" s="94"/>
      <c r="K228" s="94"/>
      <c r="L228" s="94"/>
      <c r="M228" s="94"/>
      <c r="N228" s="94"/>
      <c r="O228" s="94"/>
    </row>
    <row r="229" ht="15.75" hidden="1" customHeight="1">
      <c r="A229" s="94"/>
      <c r="B229" s="94"/>
      <c r="C229" s="94"/>
      <c r="D229" s="94"/>
      <c r="E229" s="94"/>
      <c r="F229" s="94"/>
      <c r="G229" s="94"/>
      <c r="H229" s="94"/>
      <c r="I229" s="94"/>
      <c r="J229" s="94"/>
      <c r="K229" s="94"/>
      <c r="L229" s="94"/>
      <c r="M229" s="94"/>
      <c r="N229" s="94"/>
      <c r="O229" s="94"/>
    </row>
    <row r="230" ht="15.75" hidden="1" customHeight="1">
      <c r="A230" s="94"/>
      <c r="B230" s="94"/>
      <c r="C230" s="94"/>
      <c r="D230" s="94"/>
      <c r="E230" s="94"/>
      <c r="F230" s="94"/>
      <c r="G230" s="94"/>
      <c r="H230" s="94"/>
      <c r="I230" s="94"/>
      <c r="J230" s="94"/>
      <c r="K230" s="94"/>
      <c r="L230" s="94"/>
      <c r="M230" s="94"/>
      <c r="N230" s="94"/>
      <c r="O230" s="94"/>
    </row>
    <row r="231" ht="15.75" hidden="1" customHeight="1">
      <c r="A231" s="94"/>
      <c r="B231" s="94"/>
      <c r="C231" s="94"/>
      <c r="D231" s="94"/>
      <c r="E231" s="94"/>
      <c r="F231" s="94"/>
      <c r="G231" s="94"/>
      <c r="H231" s="94"/>
      <c r="I231" s="94"/>
      <c r="J231" s="94"/>
      <c r="K231" s="94"/>
      <c r="L231" s="94"/>
      <c r="M231" s="94"/>
      <c r="N231" s="94"/>
      <c r="O231" s="94"/>
    </row>
    <row r="232" ht="15.75" hidden="1" customHeight="1">
      <c r="A232" s="94"/>
      <c r="B232" s="94"/>
      <c r="C232" s="94"/>
      <c r="D232" s="94"/>
      <c r="E232" s="94"/>
      <c r="F232" s="94"/>
      <c r="G232" s="94"/>
      <c r="H232" s="94"/>
      <c r="I232" s="94"/>
      <c r="J232" s="94"/>
      <c r="K232" s="94"/>
      <c r="L232" s="94"/>
      <c r="M232" s="94"/>
      <c r="N232" s="94"/>
      <c r="O232" s="94"/>
    </row>
    <row r="233" ht="15.75" hidden="1" customHeight="1">
      <c r="A233" s="94"/>
      <c r="B233" s="94"/>
      <c r="C233" s="94"/>
      <c r="D233" s="94"/>
      <c r="E233" s="94"/>
      <c r="F233" s="94"/>
      <c r="G233" s="94"/>
      <c r="H233" s="94"/>
      <c r="I233" s="94"/>
      <c r="J233" s="94"/>
      <c r="K233" s="94"/>
      <c r="L233" s="94"/>
      <c r="M233" s="94"/>
      <c r="N233" s="94"/>
      <c r="O233" s="94"/>
    </row>
    <row r="234" ht="15.75" hidden="1" customHeight="1">
      <c r="A234" s="94"/>
      <c r="B234" s="94"/>
      <c r="C234" s="94"/>
      <c r="D234" s="94"/>
      <c r="E234" s="94"/>
      <c r="F234" s="94"/>
      <c r="G234" s="94"/>
      <c r="H234" s="94"/>
      <c r="I234" s="94"/>
      <c r="J234" s="94"/>
      <c r="K234" s="94"/>
      <c r="L234" s="94"/>
      <c r="M234" s="94"/>
      <c r="N234" s="94"/>
      <c r="O234" s="94"/>
    </row>
    <row r="235" ht="15.75" hidden="1" customHeight="1">
      <c r="A235" s="94"/>
      <c r="B235" s="94"/>
      <c r="C235" s="94"/>
      <c r="D235" s="94"/>
      <c r="E235" s="94"/>
      <c r="F235" s="94"/>
      <c r="G235" s="94"/>
      <c r="H235" s="94"/>
      <c r="I235" s="94"/>
      <c r="J235" s="94"/>
      <c r="K235" s="94"/>
      <c r="L235" s="94"/>
      <c r="M235" s="94"/>
      <c r="N235" s="94"/>
      <c r="O235" s="94"/>
    </row>
    <row r="236" ht="15.75" hidden="1" customHeight="1">
      <c r="A236" s="94"/>
      <c r="B236" s="94"/>
      <c r="C236" s="94"/>
      <c r="D236" s="94"/>
      <c r="E236" s="94"/>
      <c r="F236" s="94"/>
      <c r="G236" s="94"/>
      <c r="H236" s="94"/>
      <c r="I236" s="94"/>
      <c r="J236" s="94"/>
      <c r="K236" s="94"/>
      <c r="L236" s="94"/>
      <c r="M236" s="94"/>
      <c r="N236" s="94"/>
      <c r="O236" s="94"/>
    </row>
    <row r="237" ht="15.75" hidden="1" customHeight="1">
      <c r="A237" s="94"/>
      <c r="B237" s="94"/>
      <c r="C237" s="94"/>
      <c r="D237" s="94"/>
      <c r="E237" s="94"/>
      <c r="F237" s="94"/>
      <c r="G237" s="94"/>
      <c r="H237" s="94"/>
      <c r="I237" s="94"/>
      <c r="J237" s="94"/>
      <c r="K237" s="94"/>
      <c r="L237" s="94"/>
      <c r="M237" s="94"/>
      <c r="N237" s="94"/>
      <c r="O237" s="94"/>
    </row>
    <row r="238" ht="15.75" hidden="1" customHeight="1">
      <c r="A238" s="94"/>
      <c r="B238" s="94"/>
      <c r="C238" s="94"/>
      <c r="D238" s="94"/>
      <c r="E238" s="94"/>
      <c r="F238" s="94"/>
      <c r="G238" s="94"/>
      <c r="H238" s="94"/>
      <c r="I238" s="94"/>
      <c r="J238" s="94"/>
      <c r="K238" s="94"/>
      <c r="L238" s="94"/>
      <c r="M238" s="94"/>
      <c r="N238" s="94"/>
      <c r="O238" s="94"/>
    </row>
    <row r="239" ht="15.75" hidden="1" customHeight="1">
      <c r="A239" s="94"/>
      <c r="B239" s="94"/>
      <c r="C239" s="94"/>
      <c r="D239" s="94"/>
      <c r="E239" s="94"/>
      <c r="F239" s="94"/>
      <c r="G239" s="94"/>
      <c r="H239" s="94"/>
      <c r="I239" s="94"/>
      <c r="J239" s="94"/>
      <c r="K239" s="94"/>
      <c r="L239" s="94"/>
      <c r="M239" s="94"/>
      <c r="N239" s="94"/>
      <c r="O239" s="94"/>
    </row>
    <row r="240" ht="15.75" hidden="1" customHeight="1">
      <c r="A240" s="94"/>
      <c r="B240" s="94"/>
      <c r="C240" s="94"/>
      <c r="D240" s="94"/>
      <c r="E240" s="94"/>
      <c r="F240" s="94"/>
      <c r="G240" s="94"/>
      <c r="H240" s="94"/>
      <c r="I240" s="94"/>
      <c r="J240" s="94"/>
      <c r="K240" s="94"/>
      <c r="L240" s="94"/>
      <c r="M240" s="94"/>
      <c r="N240" s="94"/>
      <c r="O240" s="94"/>
    </row>
    <row r="241" ht="15.75" hidden="1" customHeight="1">
      <c r="A241" s="94"/>
      <c r="B241" s="94"/>
      <c r="C241" s="94"/>
      <c r="D241" s="94"/>
      <c r="E241" s="94"/>
      <c r="F241" s="94"/>
      <c r="G241" s="94"/>
      <c r="H241" s="94"/>
      <c r="I241" s="94"/>
      <c r="J241" s="94"/>
      <c r="K241" s="94"/>
      <c r="L241" s="94"/>
      <c r="M241" s="94"/>
      <c r="N241" s="94"/>
      <c r="O241" s="94"/>
    </row>
    <row r="242" ht="15.75" hidden="1" customHeight="1">
      <c r="A242" s="94"/>
      <c r="B242" s="94"/>
      <c r="C242" s="94"/>
      <c r="D242" s="94"/>
      <c r="E242" s="94"/>
      <c r="F242" s="94"/>
      <c r="G242" s="94"/>
      <c r="H242" s="94"/>
      <c r="I242" s="94"/>
      <c r="J242" s="94"/>
      <c r="K242" s="94"/>
      <c r="L242" s="94"/>
      <c r="M242" s="94"/>
      <c r="N242" s="94"/>
      <c r="O242" s="94"/>
    </row>
    <row r="243" ht="15.75" hidden="1" customHeight="1">
      <c r="A243" s="94"/>
      <c r="B243" s="94"/>
      <c r="C243" s="94"/>
      <c r="D243" s="94"/>
      <c r="E243" s="94"/>
      <c r="F243" s="94"/>
      <c r="G243" s="94"/>
      <c r="H243" s="94"/>
      <c r="I243" s="94"/>
      <c r="J243" s="94"/>
      <c r="K243" s="94"/>
      <c r="L243" s="94"/>
      <c r="M243" s="94"/>
      <c r="N243" s="94"/>
      <c r="O243" s="94"/>
    </row>
    <row r="244" ht="15.75" hidden="1" customHeight="1">
      <c r="A244" s="94"/>
      <c r="B244" s="94"/>
      <c r="C244" s="94"/>
      <c r="D244" s="94"/>
      <c r="E244" s="94"/>
      <c r="F244" s="94"/>
      <c r="G244" s="94"/>
      <c r="H244" s="94"/>
      <c r="I244" s="94"/>
      <c r="J244" s="94"/>
      <c r="K244" s="94"/>
      <c r="L244" s="94"/>
      <c r="M244" s="94"/>
      <c r="N244" s="94"/>
      <c r="O244" s="94"/>
    </row>
    <row r="245" ht="15.75" hidden="1" customHeight="1">
      <c r="A245" s="94"/>
      <c r="B245" s="94"/>
      <c r="C245" s="94"/>
      <c r="D245" s="94"/>
      <c r="E245" s="94"/>
      <c r="F245" s="94"/>
      <c r="G245" s="94"/>
      <c r="H245" s="94"/>
      <c r="I245" s="94"/>
      <c r="J245" s="94"/>
      <c r="K245" s="94"/>
      <c r="L245" s="94"/>
      <c r="M245" s="94"/>
      <c r="N245" s="94"/>
      <c r="O245" s="94"/>
    </row>
    <row r="246" ht="15.75" hidden="1" customHeight="1">
      <c r="A246" s="94"/>
      <c r="B246" s="94"/>
      <c r="C246" s="94"/>
      <c r="D246" s="94"/>
      <c r="E246" s="94"/>
      <c r="F246" s="94"/>
      <c r="G246" s="94"/>
      <c r="H246" s="94"/>
      <c r="I246" s="94"/>
      <c r="J246" s="94"/>
      <c r="K246" s="94"/>
      <c r="L246" s="94"/>
      <c r="M246" s="94"/>
      <c r="N246" s="94"/>
      <c r="O246" s="94"/>
    </row>
    <row r="247" ht="15.75" hidden="1" customHeight="1">
      <c r="A247" s="94"/>
      <c r="B247" s="94"/>
      <c r="C247" s="94"/>
      <c r="D247" s="94"/>
      <c r="E247" s="94"/>
      <c r="F247" s="94"/>
      <c r="G247" s="94"/>
      <c r="H247" s="94"/>
      <c r="I247" s="94"/>
      <c r="J247" s="94"/>
      <c r="K247" s="94"/>
      <c r="L247" s="94"/>
      <c r="M247" s="94"/>
      <c r="N247" s="94"/>
      <c r="O247" s="94"/>
    </row>
    <row r="248" ht="15.75" hidden="1" customHeight="1">
      <c r="A248" s="94"/>
      <c r="B248" s="94"/>
      <c r="C248" s="94"/>
      <c r="D248" s="94"/>
      <c r="E248" s="94"/>
      <c r="F248" s="94"/>
      <c r="G248" s="94"/>
      <c r="H248" s="94"/>
      <c r="I248" s="94"/>
      <c r="J248" s="94"/>
      <c r="K248" s="94"/>
      <c r="L248" s="94"/>
      <c r="M248" s="94"/>
      <c r="N248" s="94"/>
      <c r="O248" s="94"/>
    </row>
    <row r="249" ht="15.75" hidden="1" customHeight="1">
      <c r="A249" s="94"/>
      <c r="B249" s="94"/>
      <c r="C249" s="94"/>
      <c r="D249" s="94"/>
      <c r="E249" s="94"/>
      <c r="F249" s="94"/>
      <c r="G249" s="94"/>
      <c r="H249" s="94"/>
      <c r="I249" s="94"/>
      <c r="J249" s="94"/>
      <c r="K249" s="94"/>
      <c r="L249" s="94"/>
      <c r="M249" s="94"/>
      <c r="N249" s="94"/>
      <c r="O249" s="94"/>
    </row>
    <row r="250" ht="15.75" hidden="1" customHeight="1">
      <c r="A250" s="94"/>
      <c r="B250" s="94"/>
      <c r="C250" s="94"/>
      <c r="D250" s="94"/>
      <c r="E250" s="94"/>
      <c r="F250" s="94"/>
      <c r="G250" s="94"/>
      <c r="H250" s="94"/>
      <c r="I250" s="94"/>
      <c r="J250" s="94"/>
      <c r="K250" s="94"/>
      <c r="L250" s="94"/>
      <c r="M250" s="94"/>
      <c r="N250" s="94"/>
      <c r="O250" s="94"/>
    </row>
    <row r="251" ht="15.75" hidden="1" customHeight="1">
      <c r="A251" s="94"/>
      <c r="B251" s="94"/>
      <c r="C251" s="94"/>
      <c r="D251" s="94"/>
      <c r="E251" s="94"/>
      <c r="F251" s="94"/>
      <c r="G251" s="94"/>
      <c r="H251" s="94"/>
      <c r="I251" s="94"/>
      <c r="J251" s="94"/>
      <c r="K251" s="94"/>
      <c r="L251" s="94"/>
      <c r="M251" s="94"/>
      <c r="N251" s="94"/>
      <c r="O251" s="94"/>
    </row>
    <row r="252" ht="15.75" hidden="1" customHeight="1">
      <c r="A252" s="94"/>
      <c r="B252" s="94"/>
      <c r="C252" s="94"/>
      <c r="D252" s="94"/>
      <c r="E252" s="94"/>
      <c r="F252" s="94"/>
      <c r="G252" s="94"/>
      <c r="H252" s="94"/>
      <c r="I252" s="94"/>
      <c r="J252" s="94"/>
      <c r="K252" s="94"/>
      <c r="L252" s="94"/>
      <c r="M252" s="94"/>
      <c r="N252" s="94"/>
      <c r="O252" s="94"/>
    </row>
    <row r="253" ht="15.75" hidden="1" customHeight="1">
      <c r="A253" s="94"/>
      <c r="B253" s="94"/>
      <c r="C253" s="94"/>
      <c r="D253" s="94"/>
      <c r="E253" s="94"/>
      <c r="F253" s="94"/>
      <c r="G253" s="94"/>
      <c r="H253" s="94"/>
      <c r="I253" s="94"/>
      <c r="J253" s="94"/>
      <c r="K253" s="94"/>
      <c r="L253" s="94"/>
      <c r="M253" s="94"/>
      <c r="N253" s="94"/>
      <c r="O253" s="94"/>
    </row>
    <row r="254" ht="15.75" hidden="1" customHeight="1">
      <c r="A254" s="94"/>
      <c r="B254" s="94"/>
      <c r="C254" s="94"/>
      <c r="D254" s="94"/>
      <c r="E254" s="94"/>
      <c r="F254" s="94"/>
      <c r="G254" s="94"/>
      <c r="H254" s="94"/>
      <c r="I254" s="94"/>
      <c r="J254" s="94"/>
      <c r="K254" s="94"/>
      <c r="L254" s="94"/>
      <c r="M254" s="94"/>
      <c r="N254" s="94"/>
      <c r="O254" s="94"/>
    </row>
    <row r="255" ht="15.75" hidden="1" customHeight="1">
      <c r="A255" s="94"/>
      <c r="B255" s="94"/>
      <c r="C255" s="94"/>
      <c r="D255" s="94"/>
      <c r="E255" s="94"/>
      <c r="F255" s="94"/>
      <c r="G255" s="94"/>
      <c r="H255" s="94"/>
      <c r="I255" s="94"/>
      <c r="J255" s="94"/>
      <c r="K255" s="94"/>
      <c r="L255" s="94"/>
      <c r="M255" s="94"/>
      <c r="N255" s="94"/>
      <c r="O255" s="94"/>
    </row>
    <row r="256" ht="15.75" hidden="1" customHeight="1">
      <c r="A256" s="94"/>
      <c r="B256" s="94"/>
      <c r="C256" s="94"/>
      <c r="D256" s="94"/>
      <c r="E256" s="94"/>
      <c r="F256" s="94"/>
      <c r="G256" s="94"/>
      <c r="H256" s="94"/>
      <c r="I256" s="94"/>
      <c r="J256" s="94"/>
      <c r="K256" s="94"/>
      <c r="L256" s="94"/>
      <c r="M256" s="94"/>
      <c r="N256" s="94"/>
      <c r="O256" s="94"/>
    </row>
    <row r="257" ht="15.75" hidden="1" customHeight="1">
      <c r="A257" s="94"/>
      <c r="B257" s="94"/>
      <c r="C257" s="94"/>
      <c r="D257" s="94"/>
      <c r="E257" s="94"/>
      <c r="F257" s="94"/>
      <c r="G257" s="94"/>
      <c r="H257" s="94"/>
      <c r="I257" s="94"/>
      <c r="J257" s="94"/>
      <c r="K257" s="94"/>
      <c r="L257" s="94"/>
      <c r="M257" s="94"/>
      <c r="N257" s="94"/>
      <c r="O257" s="94"/>
    </row>
    <row r="258" ht="15.75" hidden="1" customHeight="1">
      <c r="A258" s="94"/>
      <c r="B258" s="94"/>
      <c r="C258" s="94"/>
      <c r="D258" s="94"/>
      <c r="E258" s="94"/>
      <c r="F258" s="94"/>
      <c r="G258" s="94"/>
      <c r="H258" s="94"/>
      <c r="I258" s="94"/>
      <c r="J258" s="94"/>
      <c r="K258" s="94"/>
      <c r="L258" s="94"/>
      <c r="M258" s="94"/>
      <c r="N258" s="94"/>
      <c r="O258" s="94"/>
    </row>
    <row r="259" ht="15.75" hidden="1" customHeight="1">
      <c r="A259" s="94"/>
      <c r="B259" s="94"/>
      <c r="C259" s="94"/>
      <c r="D259" s="94"/>
      <c r="E259" s="94"/>
      <c r="F259" s="94"/>
      <c r="G259" s="94"/>
      <c r="H259" s="94"/>
      <c r="I259" s="94"/>
      <c r="J259" s="94"/>
      <c r="K259" s="94"/>
      <c r="L259" s="94"/>
      <c r="M259" s="94"/>
      <c r="N259" s="94"/>
      <c r="O259" s="94"/>
    </row>
    <row r="260" ht="15.75" hidden="1" customHeight="1">
      <c r="A260" s="94"/>
      <c r="B260" s="94"/>
      <c r="C260" s="94"/>
      <c r="D260" s="94"/>
      <c r="E260" s="94"/>
      <c r="F260" s="94"/>
      <c r="G260" s="94"/>
      <c r="H260" s="94"/>
      <c r="I260" s="94"/>
      <c r="J260" s="94"/>
      <c r="K260" s="94"/>
      <c r="L260" s="94"/>
      <c r="M260" s="94"/>
      <c r="N260" s="94"/>
      <c r="O260" s="94"/>
    </row>
    <row r="261" ht="15.75" hidden="1" customHeight="1">
      <c r="A261" s="94"/>
      <c r="B261" s="94"/>
      <c r="C261" s="94"/>
      <c r="D261" s="94"/>
      <c r="E261" s="94"/>
      <c r="F261" s="94"/>
      <c r="G261" s="94"/>
      <c r="H261" s="94"/>
      <c r="I261" s="94"/>
      <c r="J261" s="94"/>
      <c r="K261" s="94"/>
      <c r="L261" s="94"/>
      <c r="M261" s="94"/>
      <c r="N261" s="94"/>
      <c r="O261" s="94"/>
    </row>
    <row r="262" ht="15.75" hidden="1" customHeight="1">
      <c r="A262" s="94"/>
      <c r="B262" s="94"/>
      <c r="C262" s="94"/>
      <c r="D262" s="94"/>
      <c r="E262" s="94"/>
      <c r="F262" s="94"/>
      <c r="G262" s="94"/>
      <c r="H262" s="94"/>
      <c r="I262" s="94"/>
      <c r="J262" s="94"/>
      <c r="K262" s="94"/>
      <c r="L262" s="94"/>
      <c r="M262" s="94"/>
      <c r="N262" s="94"/>
      <c r="O262" s="94"/>
    </row>
    <row r="263" ht="15.75" hidden="1" customHeight="1">
      <c r="A263" s="94"/>
      <c r="B263" s="94"/>
      <c r="C263" s="94"/>
      <c r="D263" s="94"/>
      <c r="E263" s="94"/>
      <c r="F263" s="94"/>
      <c r="G263" s="94"/>
      <c r="H263" s="94"/>
      <c r="I263" s="94"/>
      <c r="J263" s="94"/>
      <c r="K263" s="94"/>
      <c r="L263" s="94"/>
      <c r="M263" s="94"/>
      <c r="N263" s="94"/>
      <c r="O263" s="94"/>
    </row>
    <row r="264" ht="15.75" hidden="1" customHeight="1">
      <c r="A264" s="94"/>
      <c r="B264" s="94"/>
      <c r="C264" s="94"/>
      <c r="D264" s="94"/>
      <c r="E264" s="94"/>
      <c r="F264" s="94"/>
      <c r="G264" s="94"/>
      <c r="H264" s="94"/>
      <c r="I264" s="94"/>
      <c r="J264" s="94"/>
      <c r="K264" s="94"/>
      <c r="L264" s="94"/>
      <c r="M264" s="94"/>
      <c r="N264" s="94"/>
      <c r="O264" s="94"/>
    </row>
    <row r="265" ht="15.75" hidden="1" customHeight="1">
      <c r="A265" s="94"/>
      <c r="B265" s="94"/>
      <c r="C265" s="94"/>
      <c r="D265" s="94"/>
      <c r="E265" s="94"/>
      <c r="F265" s="94"/>
      <c r="G265" s="94"/>
      <c r="H265" s="94"/>
      <c r="I265" s="94"/>
      <c r="J265" s="94"/>
      <c r="K265" s="94"/>
      <c r="L265" s="94"/>
      <c r="M265" s="94"/>
      <c r="N265" s="94"/>
      <c r="O265" s="94"/>
    </row>
    <row r="266" ht="15.75" hidden="1" customHeight="1">
      <c r="A266" s="94"/>
      <c r="B266" s="94"/>
      <c r="C266" s="94"/>
      <c r="D266" s="94"/>
      <c r="E266" s="94"/>
      <c r="F266" s="94"/>
      <c r="G266" s="94"/>
      <c r="H266" s="94"/>
      <c r="I266" s="94"/>
      <c r="J266" s="94"/>
      <c r="K266" s="94"/>
      <c r="L266" s="94"/>
      <c r="M266" s="94"/>
      <c r="N266" s="94"/>
      <c r="O266" s="94"/>
    </row>
    <row r="267" ht="15.75" hidden="1" customHeight="1">
      <c r="A267" s="94"/>
      <c r="B267" s="94"/>
      <c r="C267" s="94"/>
      <c r="D267" s="94"/>
      <c r="E267" s="94"/>
      <c r="F267" s="94"/>
      <c r="G267" s="94"/>
      <c r="H267" s="94"/>
      <c r="I267" s="94"/>
      <c r="J267" s="94"/>
      <c r="K267" s="94"/>
      <c r="L267" s="94"/>
      <c r="M267" s="94"/>
      <c r="N267" s="94"/>
      <c r="O267" s="94"/>
    </row>
    <row r="268" ht="15.75" hidden="1" customHeight="1">
      <c r="A268" s="94"/>
      <c r="B268" s="94"/>
      <c r="C268" s="94"/>
      <c r="D268" s="94"/>
      <c r="E268" s="94"/>
      <c r="F268" s="94"/>
      <c r="G268" s="94"/>
      <c r="H268" s="94"/>
      <c r="I268" s="94"/>
      <c r="J268" s="94"/>
      <c r="K268" s="94"/>
      <c r="L268" s="94"/>
      <c r="M268" s="94"/>
      <c r="N268" s="94"/>
      <c r="O268" s="94"/>
    </row>
    <row r="269" ht="15.75" hidden="1" customHeight="1">
      <c r="A269" s="94"/>
      <c r="B269" s="94"/>
      <c r="C269" s="94"/>
      <c r="D269" s="94"/>
      <c r="E269" s="94"/>
      <c r="F269" s="94"/>
      <c r="G269" s="94"/>
      <c r="H269" s="94"/>
      <c r="I269" s="94"/>
      <c r="J269" s="94"/>
      <c r="K269" s="94"/>
      <c r="L269" s="94"/>
      <c r="M269" s="94"/>
      <c r="N269" s="94"/>
      <c r="O269" s="94"/>
    </row>
    <row r="270" ht="15.75" hidden="1" customHeight="1">
      <c r="A270" s="94"/>
      <c r="B270" s="94"/>
      <c r="C270" s="94"/>
      <c r="D270" s="94"/>
      <c r="E270" s="94"/>
      <c r="F270" s="94"/>
      <c r="G270" s="94"/>
      <c r="H270" s="94"/>
      <c r="I270" s="94"/>
      <c r="J270" s="94"/>
      <c r="K270" s="94"/>
      <c r="L270" s="94"/>
      <c r="M270" s="94"/>
      <c r="N270" s="94"/>
      <c r="O270" s="94"/>
    </row>
    <row r="271" ht="15.75" hidden="1" customHeight="1">
      <c r="A271" s="94"/>
      <c r="B271" s="94"/>
      <c r="C271" s="94"/>
      <c r="D271" s="94"/>
      <c r="E271" s="94"/>
      <c r="F271" s="94"/>
      <c r="G271" s="94"/>
      <c r="H271" s="94"/>
      <c r="I271" s="94"/>
      <c r="J271" s="94"/>
      <c r="K271" s="94"/>
      <c r="L271" s="94"/>
      <c r="M271" s="94"/>
      <c r="N271" s="94"/>
      <c r="O271" s="94"/>
    </row>
    <row r="272" ht="15.75" hidden="1" customHeight="1">
      <c r="A272" s="94"/>
      <c r="B272" s="94"/>
      <c r="C272" s="94"/>
      <c r="D272" s="94"/>
      <c r="E272" s="94"/>
      <c r="F272" s="94"/>
      <c r="G272" s="94"/>
      <c r="H272" s="94"/>
      <c r="I272" s="94"/>
      <c r="J272" s="94"/>
      <c r="K272" s="94"/>
      <c r="L272" s="94"/>
      <c r="M272" s="94"/>
      <c r="N272" s="94"/>
      <c r="O272" s="94"/>
    </row>
    <row r="273" ht="15.75" hidden="1" customHeight="1">
      <c r="A273" s="94"/>
      <c r="B273" s="94"/>
      <c r="C273" s="94"/>
      <c r="D273" s="94"/>
      <c r="E273" s="94"/>
      <c r="F273" s="94"/>
      <c r="G273" s="94"/>
      <c r="H273" s="94"/>
      <c r="I273" s="94"/>
      <c r="J273" s="94"/>
      <c r="K273" s="94"/>
      <c r="L273" s="94"/>
      <c r="M273" s="94"/>
      <c r="N273" s="94"/>
      <c r="O273" s="94"/>
    </row>
    <row r="274" ht="15.75" hidden="1" customHeight="1">
      <c r="A274" s="94"/>
      <c r="B274" s="94"/>
      <c r="C274" s="94"/>
      <c r="D274" s="94"/>
      <c r="E274" s="94"/>
      <c r="F274" s="94"/>
      <c r="G274" s="94"/>
      <c r="H274" s="94"/>
      <c r="I274" s="94"/>
      <c r="J274" s="94"/>
      <c r="K274" s="94"/>
      <c r="L274" s="94"/>
      <c r="M274" s="94"/>
      <c r="N274" s="94"/>
      <c r="O274" s="94"/>
    </row>
    <row r="275" ht="15.75" hidden="1" customHeight="1">
      <c r="A275" s="94"/>
      <c r="B275" s="94"/>
      <c r="C275" s="94"/>
      <c r="D275" s="94"/>
      <c r="E275" s="94"/>
      <c r="F275" s="94"/>
      <c r="G275" s="94"/>
      <c r="H275" s="94"/>
      <c r="I275" s="94"/>
      <c r="J275" s="94"/>
      <c r="K275" s="94"/>
      <c r="L275" s="94"/>
      <c r="M275" s="94"/>
      <c r="N275" s="94"/>
      <c r="O275" s="94"/>
    </row>
    <row r="276" ht="15.75" hidden="1" customHeight="1">
      <c r="A276" s="94"/>
      <c r="B276" s="94"/>
      <c r="C276" s="94"/>
      <c r="D276" s="94"/>
      <c r="E276" s="94"/>
      <c r="F276" s="94"/>
      <c r="G276" s="94"/>
      <c r="H276" s="94"/>
      <c r="I276" s="94"/>
      <c r="J276" s="94"/>
      <c r="K276" s="94"/>
      <c r="L276" s="94"/>
      <c r="M276" s="94"/>
      <c r="N276" s="94"/>
      <c r="O276" s="94"/>
    </row>
    <row r="277" ht="15.75" hidden="1" customHeight="1">
      <c r="A277" s="94"/>
      <c r="B277" s="94"/>
      <c r="C277" s="94"/>
      <c r="D277" s="94"/>
      <c r="E277" s="94"/>
      <c r="F277" s="94"/>
      <c r="G277" s="94"/>
      <c r="H277" s="94"/>
      <c r="I277" s="94"/>
      <c r="J277" s="94"/>
      <c r="K277" s="94"/>
      <c r="L277" s="94"/>
      <c r="M277" s="94"/>
      <c r="N277" s="94"/>
      <c r="O277" s="94"/>
    </row>
    <row r="278" ht="15.75" hidden="1" customHeight="1">
      <c r="A278" s="94"/>
      <c r="B278" s="94"/>
      <c r="C278" s="94"/>
      <c r="D278" s="94"/>
      <c r="E278" s="94"/>
      <c r="F278" s="94"/>
      <c r="G278" s="94"/>
      <c r="H278" s="94"/>
      <c r="I278" s="94"/>
      <c r="J278" s="94"/>
      <c r="K278" s="94"/>
      <c r="L278" s="94"/>
      <c r="M278" s="94"/>
      <c r="N278" s="94"/>
      <c r="O278" s="94"/>
    </row>
    <row r="279" ht="15.75" hidden="1" customHeight="1">
      <c r="A279" s="94"/>
      <c r="B279" s="94"/>
      <c r="C279" s="94"/>
      <c r="D279" s="94"/>
      <c r="E279" s="94"/>
      <c r="F279" s="94"/>
      <c r="G279" s="94"/>
      <c r="H279" s="94"/>
      <c r="I279" s="94"/>
      <c r="J279" s="94"/>
      <c r="K279" s="94"/>
      <c r="L279" s="94"/>
      <c r="M279" s="94"/>
      <c r="N279" s="94"/>
      <c r="O279" s="94"/>
    </row>
    <row r="280" ht="15.75" hidden="1" customHeight="1">
      <c r="A280" s="94"/>
      <c r="B280" s="94"/>
      <c r="C280" s="94"/>
      <c r="D280" s="94"/>
      <c r="E280" s="94"/>
      <c r="F280" s="94"/>
      <c r="G280" s="94"/>
      <c r="H280" s="94"/>
      <c r="I280" s="94"/>
      <c r="J280" s="94"/>
      <c r="K280" s="94"/>
      <c r="L280" s="94"/>
      <c r="M280" s="94"/>
      <c r="N280" s="94"/>
      <c r="O280" s="94"/>
    </row>
    <row r="281" ht="15.75" hidden="1" customHeight="1">
      <c r="A281" s="94"/>
      <c r="B281" s="94"/>
      <c r="C281" s="94"/>
      <c r="D281" s="94"/>
      <c r="E281" s="94"/>
      <c r="F281" s="94"/>
      <c r="G281" s="94"/>
      <c r="H281" s="94"/>
      <c r="I281" s="94"/>
      <c r="J281" s="94"/>
      <c r="K281" s="94"/>
      <c r="L281" s="94"/>
      <c r="M281" s="94"/>
      <c r="N281" s="94"/>
      <c r="O281" s="94"/>
    </row>
    <row r="282" ht="15.75" hidden="1" customHeight="1">
      <c r="A282" s="94"/>
      <c r="B282" s="94"/>
      <c r="C282" s="94"/>
      <c r="D282" s="94"/>
      <c r="E282" s="94"/>
      <c r="F282" s="94"/>
      <c r="G282" s="94"/>
      <c r="H282" s="94"/>
      <c r="I282" s="94"/>
      <c r="J282" s="94"/>
      <c r="K282" s="94"/>
      <c r="L282" s="94"/>
      <c r="M282" s="94"/>
      <c r="N282" s="94"/>
      <c r="O282" s="94"/>
    </row>
    <row r="283" ht="15.75" hidden="1" customHeight="1">
      <c r="A283" s="94"/>
      <c r="B283" s="94"/>
      <c r="C283" s="94"/>
      <c r="D283" s="94"/>
      <c r="E283" s="94"/>
      <c r="F283" s="94"/>
      <c r="G283" s="94"/>
      <c r="H283" s="94"/>
      <c r="I283" s="94"/>
      <c r="J283" s="94"/>
      <c r="K283" s="94"/>
      <c r="L283" s="94"/>
      <c r="M283" s="94"/>
      <c r="N283" s="94"/>
      <c r="O283" s="94"/>
    </row>
    <row r="284" ht="15.75" hidden="1" customHeight="1">
      <c r="A284" s="94"/>
      <c r="B284" s="94"/>
      <c r="C284" s="94"/>
      <c r="D284" s="94"/>
      <c r="E284" s="94"/>
      <c r="F284" s="94"/>
      <c r="G284" s="94"/>
      <c r="H284" s="94"/>
      <c r="I284" s="94"/>
      <c r="J284" s="94"/>
      <c r="K284" s="94"/>
      <c r="L284" s="94"/>
      <c r="M284" s="94"/>
      <c r="N284" s="94"/>
      <c r="O284" s="94"/>
    </row>
    <row r="285" ht="15.75" hidden="1" customHeight="1">
      <c r="A285" s="94"/>
      <c r="B285" s="94"/>
      <c r="C285" s="94"/>
      <c r="D285" s="94"/>
      <c r="E285" s="94"/>
      <c r="F285" s="94"/>
      <c r="G285" s="94"/>
      <c r="H285" s="94"/>
      <c r="I285" s="94"/>
      <c r="J285" s="94"/>
      <c r="K285" s="94"/>
      <c r="L285" s="94"/>
      <c r="M285" s="94"/>
      <c r="N285" s="94"/>
      <c r="O285" s="94"/>
    </row>
    <row r="286" ht="15.75" hidden="1" customHeight="1">
      <c r="A286" s="94"/>
      <c r="B286" s="94"/>
      <c r="C286" s="94"/>
      <c r="D286" s="94"/>
      <c r="E286" s="94"/>
      <c r="F286" s="94"/>
      <c r="G286" s="94"/>
      <c r="H286" s="94"/>
      <c r="I286" s="94"/>
      <c r="J286" s="94"/>
      <c r="K286" s="94"/>
      <c r="L286" s="94"/>
      <c r="M286" s="94"/>
      <c r="N286" s="94"/>
      <c r="O286" s="94"/>
    </row>
    <row r="287" ht="15.75" hidden="1" customHeight="1">
      <c r="A287" s="94"/>
      <c r="B287" s="94"/>
      <c r="C287" s="94"/>
      <c r="D287" s="94"/>
      <c r="E287" s="94"/>
      <c r="F287" s="94"/>
      <c r="G287" s="94"/>
      <c r="H287" s="94"/>
      <c r="I287" s="94"/>
      <c r="J287" s="94"/>
      <c r="K287" s="94"/>
      <c r="L287" s="94"/>
      <c r="M287" s="94"/>
      <c r="N287" s="94"/>
      <c r="O287" s="94"/>
    </row>
    <row r="288" ht="15.75" hidden="1" customHeight="1">
      <c r="A288" s="94"/>
      <c r="B288" s="94"/>
      <c r="C288" s="94"/>
      <c r="D288" s="94"/>
      <c r="E288" s="94"/>
      <c r="F288" s="94"/>
      <c r="G288" s="94"/>
      <c r="H288" s="94"/>
      <c r="I288" s="94"/>
      <c r="J288" s="94"/>
      <c r="K288" s="94"/>
      <c r="L288" s="94"/>
      <c r="M288" s="94"/>
      <c r="N288" s="94"/>
      <c r="O288" s="94"/>
    </row>
    <row r="289" ht="15.75" hidden="1" customHeight="1">
      <c r="A289" s="94"/>
      <c r="B289" s="94"/>
      <c r="C289" s="94"/>
      <c r="D289" s="94"/>
      <c r="E289" s="94"/>
      <c r="F289" s="94"/>
      <c r="G289" s="94"/>
      <c r="H289" s="94"/>
      <c r="I289" s="94"/>
      <c r="J289" s="94"/>
      <c r="K289" s="94"/>
      <c r="L289" s="94"/>
      <c r="M289" s="94"/>
      <c r="N289" s="94"/>
      <c r="O289" s="94"/>
    </row>
    <row r="290" ht="15.75" hidden="1" customHeight="1">
      <c r="A290" s="94"/>
      <c r="B290" s="94"/>
      <c r="C290" s="94"/>
      <c r="D290" s="94"/>
      <c r="E290" s="94"/>
      <c r="F290" s="94"/>
      <c r="G290" s="94"/>
      <c r="H290" s="94"/>
      <c r="I290" s="94"/>
      <c r="J290" s="94"/>
      <c r="K290" s="94"/>
      <c r="L290" s="94"/>
      <c r="M290" s="94"/>
      <c r="N290" s="94"/>
      <c r="O290" s="94"/>
    </row>
    <row r="291" ht="15.75" hidden="1" customHeight="1">
      <c r="A291" s="94"/>
      <c r="B291" s="94"/>
      <c r="C291" s="94"/>
      <c r="D291" s="94"/>
      <c r="E291" s="94"/>
      <c r="F291" s="94"/>
      <c r="G291" s="94"/>
      <c r="H291" s="94"/>
      <c r="I291" s="94"/>
      <c r="J291" s="94"/>
      <c r="K291" s="94"/>
      <c r="L291" s="94"/>
      <c r="M291" s="94"/>
      <c r="N291" s="94"/>
      <c r="O291" s="94"/>
    </row>
    <row r="292" ht="15.75" hidden="1" customHeight="1">
      <c r="A292" s="94"/>
      <c r="B292" s="94"/>
      <c r="C292" s="94"/>
      <c r="D292" s="94"/>
      <c r="E292" s="94"/>
      <c r="F292" s="94"/>
      <c r="G292" s="94"/>
      <c r="H292" s="94"/>
      <c r="I292" s="94"/>
      <c r="J292" s="94"/>
      <c r="K292" s="94"/>
      <c r="L292" s="94"/>
      <c r="M292" s="94"/>
      <c r="N292" s="94"/>
      <c r="O292" s="94"/>
    </row>
    <row r="293" ht="15.75" hidden="1" customHeight="1">
      <c r="A293" s="94"/>
      <c r="B293" s="94"/>
      <c r="C293" s="94"/>
      <c r="D293" s="94"/>
      <c r="E293" s="94"/>
      <c r="F293" s="94"/>
      <c r="G293" s="94"/>
      <c r="H293" s="94"/>
      <c r="I293" s="94"/>
      <c r="J293" s="94"/>
      <c r="K293" s="94"/>
      <c r="L293" s="94"/>
      <c r="M293" s="94"/>
      <c r="N293" s="94"/>
      <c r="O293" s="94"/>
    </row>
    <row r="294" ht="15.75" hidden="1" customHeight="1">
      <c r="A294" s="94"/>
      <c r="B294" s="94"/>
      <c r="C294" s="94"/>
      <c r="D294" s="94"/>
      <c r="E294" s="94"/>
      <c r="F294" s="94"/>
      <c r="G294" s="94"/>
      <c r="H294" s="94"/>
      <c r="I294" s="94"/>
      <c r="J294" s="94"/>
      <c r="K294" s="94"/>
      <c r="L294" s="94"/>
      <c r="M294" s="94"/>
      <c r="N294" s="94"/>
      <c r="O294" s="94"/>
    </row>
    <row r="295" ht="15.75" hidden="1" customHeight="1">
      <c r="A295" s="94"/>
      <c r="B295" s="94"/>
      <c r="C295" s="94"/>
      <c r="D295" s="94"/>
      <c r="E295" s="94"/>
      <c r="F295" s="94"/>
      <c r="G295" s="94"/>
      <c r="H295" s="94"/>
      <c r="I295" s="94"/>
      <c r="J295" s="94"/>
      <c r="K295" s="94"/>
      <c r="L295" s="94"/>
      <c r="M295" s="94"/>
      <c r="N295" s="94"/>
      <c r="O295" s="94"/>
    </row>
    <row r="296" ht="15.75" hidden="1" customHeight="1">
      <c r="A296" s="94"/>
      <c r="B296" s="94"/>
      <c r="C296" s="94"/>
      <c r="D296" s="94"/>
      <c r="E296" s="94"/>
      <c r="F296" s="94"/>
      <c r="G296" s="94"/>
      <c r="H296" s="94"/>
      <c r="I296" s="94"/>
      <c r="J296" s="94"/>
      <c r="K296" s="94"/>
      <c r="L296" s="94"/>
      <c r="M296" s="94"/>
      <c r="N296" s="94"/>
      <c r="O296" s="94"/>
    </row>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topLeftCell="C1" activePane="topRight" state="frozen"/>
      <selection activeCell="D2" sqref="D2" pane="topRight"/>
    </sheetView>
  </sheetViews>
  <sheetFormatPr customHeight="1" defaultColWidth="14.43" defaultRowHeight="15.0"/>
  <cols>
    <col customWidth="1" min="1" max="1" width="6.43"/>
    <col customWidth="1" min="2" max="2" width="29.43"/>
    <col customWidth="1" min="3" max="3" width="27.86"/>
    <col customWidth="1" min="4" max="4" width="22.14"/>
    <col customWidth="1" min="5" max="5" width="25.86"/>
    <col customWidth="1" min="6" max="6" width="23.86"/>
    <col customWidth="1" min="7" max="7" width="23.57"/>
    <col customWidth="1" min="8" max="8" width="24.71"/>
    <col customWidth="1" min="9" max="9" width="19.71"/>
    <col customWidth="1" min="10" max="10" width="21.29"/>
  </cols>
  <sheetData>
    <row r="1">
      <c r="C1" s="178" t="s">
        <v>421</v>
      </c>
      <c r="F1" s="178" t="s">
        <v>422</v>
      </c>
      <c r="I1" s="178" t="s">
        <v>423</v>
      </c>
      <c r="J1" s="597">
        <f>'Customer Phases - Inputs and As'!I13-750000</f>
        <v>-749997.47</v>
      </c>
    </row>
    <row r="2">
      <c r="C2" s="601" t="s">
        <v>424</v>
      </c>
      <c r="D2" s="602" t="s">
        <v>425</v>
      </c>
      <c r="F2" s="601" t="s">
        <v>424</v>
      </c>
      <c r="G2" s="602" t="s">
        <v>426</v>
      </c>
      <c r="H2" s="603"/>
      <c r="I2" s="604" t="s">
        <v>427</v>
      </c>
      <c r="J2" s="605">
        <v>5.5932945E7</v>
      </c>
    </row>
    <row r="3">
      <c r="B3" s="606" t="s">
        <v>428</v>
      </c>
      <c r="C3" s="607">
        <f>'Customer Phases - Inputs and As'!$C$38</f>
        <v>39.87</v>
      </c>
      <c r="D3" s="607">
        <f>'Customer Phases - Inputs and As'!$F$38</f>
        <v>39.87</v>
      </c>
      <c r="E3" s="606" t="s">
        <v>429</v>
      </c>
      <c r="F3" s="608"/>
      <c r="G3" s="608"/>
      <c r="H3" s="606"/>
      <c r="I3" s="604" t="s">
        <v>430</v>
      </c>
      <c r="J3" s="605">
        <v>2869952.0</v>
      </c>
      <c r="K3" s="609"/>
      <c r="L3" s="609" t="s">
        <v>431</v>
      </c>
    </row>
    <row r="4">
      <c r="B4" s="606" t="s">
        <v>432</v>
      </c>
      <c r="C4" s="607"/>
      <c r="D4" s="607"/>
      <c r="E4" s="606" t="s">
        <v>433</v>
      </c>
      <c r="F4" s="610"/>
      <c r="G4" s="610"/>
      <c r="H4" s="606"/>
      <c r="I4" s="604" t="s">
        <v>434</v>
      </c>
      <c r="J4" s="605">
        <v>1.0645277E7</v>
      </c>
      <c r="K4" s="611"/>
      <c r="L4" s="611" t="s">
        <v>435</v>
      </c>
    </row>
    <row r="5">
      <c r="C5" s="612" t="s">
        <v>436</v>
      </c>
      <c r="D5" s="613"/>
      <c r="F5" s="612" t="s">
        <v>437</v>
      </c>
      <c r="G5" s="613"/>
      <c r="H5" s="614"/>
      <c r="I5" s="615"/>
      <c r="J5" s="616">
        <v>6.9448174E7</v>
      </c>
      <c r="K5" s="617"/>
      <c r="L5" s="617" t="s">
        <v>438</v>
      </c>
    </row>
    <row r="6">
      <c r="I6" s="604" t="s">
        <v>439</v>
      </c>
      <c r="J6" s="605">
        <v>3897914.0</v>
      </c>
    </row>
    <row r="7">
      <c r="I7" s="604" t="s">
        <v>440</v>
      </c>
      <c r="J7" s="605">
        <v>713022.0</v>
      </c>
    </row>
    <row r="8">
      <c r="I8" s="604" t="s">
        <v>441</v>
      </c>
      <c r="J8" s="605">
        <v>2780212.0</v>
      </c>
    </row>
    <row r="9">
      <c r="I9" s="615"/>
      <c r="J9" s="616">
        <v>7391148.0</v>
      </c>
    </row>
    <row r="10">
      <c r="B10" s="178" t="s">
        <v>442</v>
      </c>
      <c r="I10" s="178" t="s">
        <v>90</v>
      </c>
      <c r="J10" s="178">
        <v>273000.0</v>
      </c>
      <c r="L10" s="178" t="s">
        <v>443</v>
      </c>
      <c r="M10" s="618">
        <f>50000/6</f>
        <v>8333.333333</v>
      </c>
    </row>
    <row r="11">
      <c r="C11" s="144" t="s">
        <v>95</v>
      </c>
      <c r="D11" s="13"/>
      <c r="E11" s="13"/>
      <c r="F11" s="13"/>
      <c r="G11" s="13"/>
      <c r="H11" s="13"/>
      <c r="I11" s="14"/>
    </row>
    <row r="12">
      <c r="B12" s="148"/>
      <c r="C12" s="149"/>
      <c r="D12" s="149"/>
      <c r="E12" s="68"/>
      <c r="F12" s="68"/>
      <c r="G12" s="68"/>
      <c r="H12" s="68"/>
      <c r="I12" s="68"/>
    </row>
    <row r="13">
      <c r="B13" s="154"/>
      <c r="C13" s="619" t="s">
        <v>99</v>
      </c>
      <c r="D13" s="14"/>
      <c r="E13" s="155" t="s">
        <v>40</v>
      </c>
      <c r="F13" s="156"/>
      <c r="G13" s="154" t="s">
        <v>100</v>
      </c>
      <c r="H13" s="14"/>
      <c r="I13" s="157" t="s">
        <v>101</v>
      </c>
      <c r="J13" s="157"/>
      <c r="K13" s="620" t="s">
        <v>444</v>
      </c>
      <c r="L13" s="14"/>
    </row>
    <row r="14">
      <c r="B14" s="168" t="s">
        <v>109</v>
      </c>
      <c r="C14" s="169" t="s">
        <v>110</v>
      </c>
      <c r="D14" s="169" t="s">
        <v>111</v>
      </c>
      <c r="E14" s="169" t="s">
        <v>110</v>
      </c>
      <c r="F14" s="169" t="s">
        <v>111</v>
      </c>
      <c r="G14" s="169" t="s">
        <v>110</v>
      </c>
      <c r="H14" s="169" t="s">
        <v>111</v>
      </c>
      <c r="I14" s="169" t="s">
        <v>112</v>
      </c>
      <c r="J14" s="169" t="s">
        <v>113</v>
      </c>
      <c r="K14" s="169" t="s">
        <v>110</v>
      </c>
      <c r="L14" s="169" t="s">
        <v>111</v>
      </c>
    </row>
    <row r="15">
      <c r="B15" s="179" t="s">
        <v>122</v>
      </c>
      <c r="C15" s="621">
        <f>J1*0.07</f>
        <v>-52499.8229</v>
      </c>
      <c r="D15" s="622">
        <v>0.08333333333333333</v>
      </c>
      <c r="E15" s="623">
        <f>J1*0.09</f>
        <v>-67499.7723</v>
      </c>
      <c r="F15" s="183">
        <v>0.08333333333333333</v>
      </c>
      <c r="G15" s="184">
        <v>0.0</v>
      </c>
      <c r="H15" s="185">
        <v>0.0</v>
      </c>
      <c r="I15" s="186">
        <v>0.35</v>
      </c>
      <c r="J15" s="245"/>
    </row>
    <row r="16">
      <c r="B16" s="175" t="s">
        <v>127</v>
      </c>
      <c r="C16" s="621">
        <f>J1*0.05</f>
        <v>-37499.8735</v>
      </c>
      <c r="D16" s="183">
        <v>0.16666666666666666</v>
      </c>
      <c r="E16" s="624">
        <f>C16/4</f>
        <v>-9374.968375</v>
      </c>
      <c r="F16" s="183">
        <v>0.16666666666666666</v>
      </c>
      <c r="G16" s="625"/>
      <c r="H16" s="244"/>
      <c r="I16" s="197">
        <v>0.45</v>
      </c>
      <c r="J16" s="207" t="s">
        <v>445</v>
      </c>
    </row>
    <row r="17">
      <c r="B17" s="175" t="s">
        <v>129</v>
      </c>
      <c r="C17" s="624">
        <f>(J5+J9)*0.001</f>
        <v>76839.322</v>
      </c>
      <c r="D17" s="183">
        <v>0.3333333333333333</v>
      </c>
      <c r="E17" s="184">
        <f>C17*2</f>
        <v>153678.644</v>
      </c>
      <c r="F17" s="626">
        <v>0.25</v>
      </c>
      <c r="G17" s="627">
        <f>(C17+E17)/2.5</f>
        <v>92207.1864</v>
      </c>
      <c r="H17" s="244">
        <v>0.75</v>
      </c>
      <c r="I17" s="569">
        <v>0.45</v>
      </c>
      <c r="J17" s="628" t="s">
        <v>446</v>
      </c>
    </row>
    <row r="18">
      <c r="B18" s="175" t="s">
        <v>410</v>
      </c>
      <c r="C18" s="629">
        <f t="shared" ref="C18:C19" si="1">K18*0.2</f>
        <v>2129055.4</v>
      </c>
      <c r="D18" s="183">
        <v>0.16666666666666666</v>
      </c>
      <c r="E18" s="630" t="s">
        <v>447</v>
      </c>
      <c r="F18" s="183">
        <v>0.08333333333333333</v>
      </c>
      <c r="G18" s="184">
        <v>0.0</v>
      </c>
      <c r="H18" s="244">
        <v>0.0</v>
      </c>
      <c r="I18" s="197">
        <v>0.1</v>
      </c>
      <c r="J18" s="207" t="s">
        <v>448</v>
      </c>
      <c r="K18" s="631">
        <f>J4</f>
        <v>10645277</v>
      </c>
    </row>
    <row r="19">
      <c r="B19" s="165" t="s">
        <v>411</v>
      </c>
      <c r="C19" s="632">
        <f t="shared" si="1"/>
        <v>11760579.4</v>
      </c>
      <c r="D19" s="183">
        <v>0.16666666666666666</v>
      </c>
      <c r="E19" s="629">
        <v>0.0</v>
      </c>
      <c r="F19" s="183">
        <v>0.16666666666666666</v>
      </c>
      <c r="G19" s="184">
        <v>0.0</v>
      </c>
      <c r="H19" s="244">
        <v>0.08333333333333333</v>
      </c>
      <c r="I19" s="197">
        <v>0.1</v>
      </c>
      <c r="J19" s="628"/>
      <c r="K19" s="631">
        <f>J3+J2</f>
        <v>58802897</v>
      </c>
    </row>
    <row r="20">
      <c r="B20" s="165" t="s">
        <v>143</v>
      </c>
      <c r="C20" s="624">
        <f>'Customer Phases - Inputs and As'!C73*0.1</f>
        <v>60937.7</v>
      </c>
      <c r="D20" s="183">
        <f>20/60</f>
        <v>0.3333333333</v>
      </c>
      <c r="E20" s="629">
        <f>C20*0.13</f>
        <v>7921.901</v>
      </c>
      <c r="F20" s="183">
        <f>10/60</f>
        <v>0.1666666667</v>
      </c>
      <c r="G20" s="627">
        <f>C20</f>
        <v>60937.7</v>
      </c>
      <c r="H20" s="244">
        <v>0.5</v>
      </c>
      <c r="I20" s="569">
        <v>0.5</v>
      </c>
      <c r="J20" s="207" t="s">
        <v>449</v>
      </c>
    </row>
    <row r="21">
      <c r="B21" s="165" t="s">
        <v>149</v>
      </c>
      <c r="C21" s="624">
        <f>J10*0.006</f>
        <v>1638</v>
      </c>
      <c r="D21" s="183">
        <v>0.16666666666666666</v>
      </c>
      <c r="E21" s="629">
        <f>J10*0.01</f>
        <v>2730</v>
      </c>
      <c r="F21" s="183">
        <v>0.08333333333333333</v>
      </c>
      <c r="G21" s="184">
        <v>0.0</v>
      </c>
      <c r="H21" s="244">
        <v>0.0</v>
      </c>
      <c r="I21" s="197">
        <v>0.2</v>
      </c>
      <c r="J21" s="207" t="s">
        <v>445</v>
      </c>
    </row>
    <row r="22">
      <c r="B22" s="165" t="s">
        <v>154</v>
      </c>
      <c r="C22" s="624">
        <f>J10*0.004</f>
        <v>1092</v>
      </c>
      <c r="D22" s="183">
        <v>0.16666666666666666</v>
      </c>
      <c r="E22" s="629">
        <f>J10*0.005</f>
        <v>1365</v>
      </c>
      <c r="F22" s="183">
        <v>0.08333333333333333</v>
      </c>
      <c r="G22" s="184">
        <v>0.0</v>
      </c>
      <c r="H22" s="244">
        <v>0.0</v>
      </c>
      <c r="I22" s="197">
        <v>0.2</v>
      </c>
      <c r="J22" s="207" t="s">
        <v>445</v>
      </c>
    </row>
    <row r="23">
      <c r="B23" s="165" t="s">
        <v>159</v>
      </c>
      <c r="C23" s="624">
        <f>J10*0.032</f>
        <v>8736</v>
      </c>
      <c r="D23" s="183">
        <v>0.16666666666666666</v>
      </c>
      <c r="E23" s="629">
        <f>J10*0.02</f>
        <v>5460</v>
      </c>
      <c r="F23" s="183">
        <f>10/60</f>
        <v>0.1666666667</v>
      </c>
      <c r="G23" s="627">
        <f>C23+E23</f>
        <v>14196</v>
      </c>
      <c r="H23" s="244">
        <f>30/60</f>
        <v>0.5</v>
      </c>
      <c r="I23" s="569">
        <v>0.35</v>
      </c>
      <c r="J23" s="207" t="s">
        <v>450</v>
      </c>
    </row>
    <row r="24">
      <c r="B24" s="226" t="s">
        <v>161</v>
      </c>
      <c r="C24" s="624">
        <f>(M10*0.7*12)</f>
        <v>70000</v>
      </c>
      <c r="D24" s="183">
        <f>20/60</f>
        <v>0.3333333333</v>
      </c>
      <c r="E24" s="633">
        <f>C24*0.1</f>
        <v>7000</v>
      </c>
      <c r="F24" s="183">
        <f>15/60</f>
        <v>0.25</v>
      </c>
      <c r="G24" s="627">
        <f>M10*12</f>
        <v>100000</v>
      </c>
      <c r="H24" s="244">
        <v>0.5</v>
      </c>
      <c r="I24" s="569">
        <v>0.35</v>
      </c>
      <c r="J24" s="207" t="s">
        <v>451</v>
      </c>
    </row>
    <row r="25">
      <c r="B25" s="165" t="s">
        <v>165</v>
      </c>
      <c r="C25" s="624">
        <f>J1*0.05</f>
        <v>-37499.8735</v>
      </c>
      <c r="D25" s="183">
        <v>0.08333333333333333</v>
      </c>
      <c r="E25" s="629">
        <f>C25*2</f>
        <v>-74999.747</v>
      </c>
      <c r="F25" s="183">
        <v>0.08333333333333333</v>
      </c>
      <c r="G25" s="184">
        <v>0.0</v>
      </c>
      <c r="H25" s="244">
        <v>0.0</v>
      </c>
      <c r="I25" s="197">
        <v>0.4</v>
      </c>
      <c r="J25" s="207" t="s">
        <v>452</v>
      </c>
    </row>
    <row r="26">
      <c r="B26" s="165" t="s">
        <v>169</v>
      </c>
      <c r="C26" s="624">
        <f>K26*0.012</f>
        <v>46774.968</v>
      </c>
      <c r="D26" s="183">
        <v>0.16666666666666666</v>
      </c>
      <c r="E26" s="630" t="s">
        <v>447</v>
      </c>
      <c r="F26" s="183">
        <v>0.16666666666666666</v>
      </c>
      <c r="G26" s="184">
        <v>0.0</v>
      </c>
      <c r="H26" s="244">
        <v>0.0</v>
      </c>
      <c r="I26" s="197">
        <v>0.1</v>
      </c>
      <c r="J26" s="207"/>
      <c r="K26" s="631">
        <f>J6</f>
        <v>3897914</v>
      </c>
    </row>
    <row r="27">
      <c r="B27" s="226" t="s">
        <v>176</v>
      </c>
      <c r="C27" s="630">
        <v>200.0</v>
      </c>
      <c r="D27" s="183">
        <f>15/60</f>
        <v>0.25</v>
      </c>
      <c r="E27" s="634">
        <v>160.0</v>
      </c>
      <c r="F27" s="183">
        <v>0.08333333333333333</v>
      </c>
      <c r="G27" s="634">
        <v>300.0</v>
      </c>
      <c r="H27" s="244">
        <v>0.25</v>
      </c>
      <c r="I27" s="197">
        <v>0.2</v>
      </c>
      <c r="J27" s="628"/>
    </row>
    <row r="28">
      <c r="B28" s="226" t="s">
        <v>181</v>
      </c>
      <c r="C28" s="242">
        <f>'Customer Phases - Inputs and As'!I13*0.03</f>
        <v>0.0759</v>
      </c>
      <c r="D28" s="626">
        <f t="shared" ref="D28:D29" si="2">10/60</f>
        <v>0.1666666667</v>
      </c>
      <c r="E28" s="242">
        <f>C28*0.02</f>
        <v>0.001518</v>
      </c>
      <c r="F28" s="626">
        <f t="shared" ref="F28:F30" si="3">10/60</f>
        <v>0.1666666667</v>
      </c>
      <c r="G28" s="184">
        <v>0.0</v>
      </c>
      <c r="H28" s="244">
        <v>0.0</v>
      </c>
      <c r="I28" s="569">
        <v>0.35</v>
      </c>
      <c r="J28" s="628"/>
    </row>
    <row r="29">
      <c r="B29" s="165" t="s">
        <v>184</v>
      </c>
      <c r="C29" s="624">
        <f>J10*0.07</f>
        <v>19110</v>
      </c>
      <c r="D29" s="626">
        <f t="shared" si="2"/>
        <v>0.1666666667</v>
      </c>
      <c r="E29" s="630">
        <f>J10*0.1</f>
        <v>27300</v>
      </c>
      <c r="F29" s="626">
        <f t="shared" si="3"/>
        <v>0.1666666667</v>
      </c>
      <c r="G29" s="184">
        <v>0.0</v>
      </c>
      <c r="H29" s="244">
        <v>0.0</v>
      </c>
      <c r="I29" s="197">
        <v>0.4</v>
      </c>
      <c r="J29" s="628" t="s">
        <v>453</v>
      </c>
    </row>
    <row r="30">
      <c r="B30" s="226" t="s">
        <v>185</v>
      </c>
      <c r="C30" s="242">
        <f>J10*0.7</f>
        <v>191100</v>
      </c>
      <c r="D30" s="183">
        <f>15/60</f>
        <v>0.25</v>
      </c>
      <c r="E30" s="633">
        <f>J10*0.3</f>
        <v>81900</v>
      </c>
      <c r="F30" s="183">
        <f t="shared" si="3"/>
        <v>0.1666666667</v>
      </c>
      <c r="G30" s="184">
        <f>(E30+C30)/10</f>
        <v>27300</v>
      </c>
      <c r="H30" s="635">
        <v>0.25</v>
      </c>
      <c r="I30" s="197">
        <v>0.5</v>
      </c>
      <c r="J30" s="207" t="s">
        <v>454</v>
      </c>
    </row>
    <row r="31">
      <c r="B31" s="165"/>
      <c r="C31" s="242"/>
      <c r="D31" s="183"/>
      <c r="E31" s="242"/>
      <c r="F31" s="183"/>
      <c r="G31" s="243"/>
      <c r="H31" s="244"/>
      <c r="I31" s="197"/>
      <c r="J31" s="636"/>
    </row>
    <row r="33">
      <c r="B33" s="609" t="s">
        <v>455</v>
      </c>
      <c r="C33" s="631">
        <f>SUM(C12:C31)</f>
        <v>14238563.3</v>
      </c>
      <c r="E33" s="178">
        <v>280000.0</v>
      </c>
      <c r="G33" s="264">
        <f>SUM(G12:G31)</f>
        <v>294940.8864</v>
      </c>
    </row>
    <row r="35">
      <c r="D35" s="637"/>
    </row>
    <row r="36">
      <c r="D36" s="637"/>
    </row>
    <row r="37">
      <c r="D37" s="637"/>
    </row>
    <row r="38">
      <c r="D38" s="637"/>
    </row>
    <row r="39">
      <c r="D39" s="637"/>
    </row>
    <row r="41">
      <c r="C41" s="638">
        <v>2.157525E11</v>
      </c>
    </row>
    <row r="42">
      <c r="D42" s="639">
        <f>215/16840</f>
        <v>0.0127672209</v>
      </c>
    </row>
    <row r="43">
      <c r="D43" s="639">
        <f>215/6900</f>
        <v>0.03115942029</v>
      </c>
    </row>
    <row r="50">
      <c r="B50" s="640"/>
      <c r="C50" s="641" t="s">
        <v>80</v>
      </c>
      <c r="D50" s="641" t="s">
        <v>81</v>
      </c>
      <c r="E50" s="641" t="s">
        <v>82</v>
      </c>
      <c r="F50" s="641" t="s">
        <v>83</v>
      </c>
      <c r="G50" s="641" t="s">
        <v>84</v>
      </c>
      <c r="H50" s="642" t="s">
        <v>188</v>
      </c>
    </row>
    <row r="51">
      <c r="B51" s="643"/>
      <c r="C51" s="644" t="s">
        <v>456</v>
      </c>
      <c r="D51" s="13"/>
      <c r="E51" s="13"/>
      <c r="F51" s="13"/>
      <c r="G51" s="13"/>
      <c r="H51" s="14"/>
    </row>
    <row r="52">
      <c r="B52" s="645" t="s">
        <v>457</v>
      </c>
      <c r="C52" s="646">
        <f>'Customer &amp; Loan Acquisition - A'!I$19</f>
        <v>14968.83734</v>
      </c>
      <c r="D52" s="646">
        <f>'Customer &amp; Loan Acquisition - A'!J$19</f>
        <v>34372.88575</v>
      </c>
      <c r="E52" s="646">
        <f>'Customer &amp; Loan Acquisition - A'!K$19</f>
        <v>124075.0295</v>
      </c>
      <c r="F52" s="646">
        <f>'Customer &amp; Loan Acquisition - A'!L$19</f>
        <v>249258.8618</v>
      </c>
      <c r="G52" s="646">
        <f>'Customer &amp; Loan Acquisition - A'!M$19</f>
        <v>291393.3669</v>
      </c>
      <c r="H52" s="647">
        <f t="shared" ref="H52:H56" si="4">SUM(C52:G52)</f>
        <v>714068.9814</v>
      </c>
    </row>
    <row r="53">
      <c r="B53" s="645" t="s">
        <v>458</v>
      </c>
      <c r="C53" s="646">
        <f>'Customer &amp; Loan Acquisition - A'!I$28</f>
        <v>2824.844321</v>
      </c>
      <c r="D53" s="646">
        <f>'Customer &amp; Loan Acquisition - A'!J$28</f>
        <v>24607.53275</v>
      </c>
      <c r="E53" s="646">
        <f>'Customer &amp; Loan Acquisition - A'!K$28</f>
        <v>72316.01462</v>
      </c>
      <c r="F53" s="646">
        <f>'Customer &amp; Loan Acquisition - A'!L$28</f>
        <v>170746.1456</v>
      </c>
      <c r="G53" s="646">
        <f>'Customer &amp; Loan Acquisition - A'!M$28</f>
        <v>368811.6746</v>
      </c>
      <c r="H53" s="647">
        <f t="shared" si="4"/>
        <v>639306.2119</v>
      </c>
    </row>
    <row r="54">
      <c r="B54" s="645" t="s">
        <v>459</v>
      </c>
      <c r="C54" s="646">
        <f>'Customer &amp; Loan Acquisition - A'!I37</f>
        <v>134477.5906</v>
      </c>
      <c r="D54" s="646">
        <f>'Customer &amp; Loan Acquisition - A'!J37</f>
        <v>732155.7709</v>
      </c>
      <c r="E54" s="646">
        <f>'Customer &amp; Loan Acquisition - A'!K37</f>
        <v>1434427.633</v>
      </c>
      <c r="F54" s="646">
        <f>'Customer &amp; Loan Acquisition - A'!L37</f>
        <v>2540132.267</v>
      </c>
      <c r="G54" s="646">
        <f>'Customer &amp; Loan Acquisition - A'!M37</f>
        <v>2988390.902</v>
      </c>
      <c r="H54" s="647">
        <f t="shared" si="4"/>
        <v>7829584.163</v>
      </c>
    </row>
    <row r="55">
      <c r="B55" s="645" t="s">
        <v>460</v>
      </c>
      <c r="C55" s="646">
        <f>'Customer &amp; Loan Acquisition - A'!I$43</f>
        <v>1180.778844</v>
      </c>
      <c r="D55" s="646">
        <f>'Customer &amp; Loan Acquisition - A'!J$43</f>
        <v>7071.5533</v>
      </c>
      <c r="E55" s="646">
        <f>'Customer &amp; Loan Acquisition - A'!K$43</f>
        <v>13854.47177</v>
      </c>
      <c r="F55" s="646">
        <f>'Customer &amp; Loan Acquisition - A'!L$43</f>
        <v>24533.96043</v>
      </c>
      <c r="G55" s="646">
        <f>'Customer &amp; Loan Acquisition - A'!M$43</f>
        <v>27420.30871</v>
      </c>
      <c r="H55" s="647">
        <f t="shared" si="4"/>
        <v>74061.07306</v>
      </c>
    </row>
    <row r="56">
      <c r="B56" s="645" t="s">
        <v>461</v>
      </c>
      <c r="C56" s="646">
        <f>'Customer &amp; Loan Acquisition - A'!I$44</f>
        <v>108238.0607</v>
      </c>
      <c r="D56" s="646">
        <f>'Customer &amp; Loan Acquisition - A'!J$44</f>
        <v>589296.1083</v>
      </c>
      <c r="E56" s="646">
        <f>'Customer &amp; Loan Acquisition - A'!K$44</f>
        <v>1154539.314</v>
      </c>
      <c r="F56" s="646">
        <f>'Customer &amp; Loan Acquisition - A'!L$44</f>
        <v>2044496.702</v>
      </c>
      <c r="G56" s="646">
        <f>'Customer &amp; Loan Acquisition - A'!M$44</f>
        <v>2405290.238</v>
      </c>
      <c r="H56" s="647">
        <f t="shared" si="4"/>
        <v>6301860.424</v>
      </c>
    </row>
    <row r="57">
      <c r="B57" s="648"/>
      <c r="C57" s="649" t="s">
        <v>462</v>
      </c>
      <c r="D57" s="13"/>
      <c r="E57" s="13"/>
      <c r="F57" s="13"/>
      <c r="G57" s="13"/>
      <c r="H57" s="14"/>
    </row>
    <row r="58">
      <c r="B58" s="645" t="s">
        <v>463</v>
      </c>
      <c r="C58" s="646">
        <f>'Customer &amp; Loan Acquisition - A'!I23</f>
        <v>14507.10034</v>
      </c>
      <c r="D58" s="646">
        <f>'Customer &amp; Loan Acquisition - A'!J23</f>
        <v>127340.1029</v>
      </c>
      <c r="E58" s="646">
        <f>'Customer &amp; Loan Acquisition - A'!K23</f>
        <v>203099.4047</v>
      </c>
      <c r="F58" s="646">
        <f>'Customer &amp; Loan Acquisition - A'!L23</f>
        <v>322380.0075</v>
      </c>
      <c r="G58" s="646">
        <f>'Customer &amp; Loan Acquisition - A'!M23</f>
        <v>370737.0086</v>
      </c>
      <c r="H58" s="647">
        <f t="shared" ref="H58:H61" si="5">SUM(C58:G58)</f>
        <v>1038063.624</v>
      </c>
    </row>
    <row r="59">
      <c r="B59" s="645" t="s">
        <v>464</v>
      </c>
      <c r="C59" s="646">
        <f>'Customer &amp; Loan Acquisition - A'!I32</f>
        <v>9958.522812</v>
      </c>
      <c r="D59" s="646">
        <f>'Customer &amp; Loan Acquisition - A'!J32</f>
        <v>87413.70024</v>
      </c>
      <c r="E59" s="646">
        <f>'Customer &amp; Loan Acquisition - A'!K32</f>
        <v>139419.3194</v>
      </c>
      <c r="F59" s="646">
        <f>'Customer &amp; Loan Acquisition - A'!L32</f>
        <v>221300.5069</v>
      </c>
      <c r="G59" s="646">
        <f>'Customer &amp; Loan Acquisition - A'!M32</f>
        <v>254495.583</v>
      </c>
      <c r="H59" s="647">
        <f t="shared" si="5"/>
        <v>712587.6323</v>
      </c>
    </row>
    <row r="60">
      <c r="B60" s="645" t="s">
        <v>465</v>
      </c>
      <c r="C60" s="646">
        <f>'Customer &amp; Loan Acquisition - A'!I41</f>
        <v>3784.911542</v>
      </c>
      <c r="D60" s="646">
        <f>'Customer &amp; Loan Acquisition - A'!J41</f>
        <v>33223.11242</v>
      </c>
      <c r="E60" s="646">
        <f>'Customer &amp; Loan Acquisition - A'!K41</f>
        <v>52988.76158</v>
      </c>
      <c r="F60" s="646">
        <f>'Customer &amp; Loan Acquisition - A'!L41</f>
        <v>79441.0878</v>
      </c>
      <c r="G60" s="646">
        <f>'Customer &amp; Loan Acquisition - A'!M41</f>
        <v>91357.25097</v>
      </c>
      <c r="H60" s="647">
        <f t="shared" si="5"/>
        <v>260795.1243</v>
      </c>
    </row>
    <row r="61">
      <c r="B61" s="645" t="s">
        <v>466</v>
      </c>
      <c r="C61" s="650">
        <f>'Customer &amp; Loan Acquisition - A'!I46</f>
        <v>12854.40819</v>
      </c>
      <c r="D61" s="650">
        <f>'Customer &amp; Loan Acquisition - A'!J46</f>
        <v>69537.20657</v>
      </c>
      <c r="E61" s="650">
        <f>'Customer &amp; Loan Acquisition - A'!K46</f>
        <v>137113.6874</v>
      </c>
      <c r="F61" s="650">
        <f>'Customer &amp; Loan Acquisition - A'!L46</f>
        <v>242795.5428</v>
      </c>
      <c r="G61" s="650">
        <f>'Customer &amp; Loan Acquisition - A'!M46</f>
        <v>380204.8291</v>
      </c>
      <c r="H61" s="651">
        <f t="shared" si="5"/>
        <v>842505.674</v>
      </c>
    </row>
    <row r="62">
      <c r="B62" s="652" t="s">
        <v>467</v>
      </c>
      <c r="C62" s="653">
        <f t="shared" ref="C62:H62" si="6">SUM(C52:C61)</f>
        <v>302795.0547</v>
      </c>
      <c r="D62" s="653">
        <f t="shared" si="6"/>
        <v>1705017.973</v>
      </c>
      <c r="E62" s="653">
        <f t="shared" si="6"/>
        <v>3331833.636</v>
      </c>
      <c r="F62" s="653">
        <f t="shared" si="6"/>
        <v>5895085.082</v>
      </c>
      <c r="G62" s="653">
        <f t="shared" si="6"/>
        <v>7178101.162</v>
      </c>
      <c r="H62" s="654">
        <f t="shared" si="6"/>
        <v>18412832.91</v>
      </c>
    </row>
    <row r="64">
      <c r="D64" s="637"/>
    </row>
    <row r="65">
      <c r="B65" s="655" t="s">
        <v>468</v>
      </c>
      <c r="C65" s="656"/>
      <c r="D65" s="656"/>
      <c r="E65" s="656"/>
      <c r="F65" s="656"/>
      <c r="G65" s="656"/>
      <c r="H65" s="656"/>
    </row>
    <row r="66">
      <c r="B66" s="657"/>
      <c r="C66" s="658" t="s">
        <v>80</v>
      </c>
      <c r="D66" s="658" t="s">
        <v>81</v>
      </c>
      <c r="E66" s="658" t="s">
        <v>82</v>
      </c>
      <c r="F66" s="658" t="s">
        <v>83</v>
      </c>
      <c r="G66" s="658" t="s">
        <v>84</v>
      </c>
      <c r="H66" s="658" t="s">
        <v>188</v>
      </c>
    </row>
    <row r="67">
      <c r="B67" s="657"/>
      <c r="C67" s="659" t="s">
        <v>456</v>
      </c>
      <c r="D67" s="156"/>
      <c r="E67" s="156"/>
      <c r="F67" s="156"/>
      <c r="G67" s="156"/>
      <c r="H67" s="660"/>
    </row>
    <row r="68">
      <c r="A68" s="661" t="s">
        <v>469</v>
      </c>
      <c r="B68" s="662" t="s">
        <v>457</v>
      </c>
      <c r="C68" s="663">
        <f>'Customer &amp; Loan Acquisition - A'!I$19</f>
        <v>14968.83734</v>
      </c>
      <c r="D68" s="663">
        <f>'Customer &amp; Loan Acquisition - A'!J$19</f>
        <v>34372.88575</v>
      </c>
      <c r="E68" s="663">
        <f>'Customer &amp; Loan Acquisition - A'!K$19</f>
        <v>124075.0295</v>
      </c>
      <c r="F68" s="663">
        <f>'Customer &amp; Loan Acquisition - A'!L$19</f>
        <v>249258.8618</v>
      </c>
      <c r="G68" s="663">
        <f>'Customer &amp; Loan Acquisition - A'!M$19</f>
        <v>291393.3669</v>
      </c>
      <c r="H68" s="664">
        <f t="shared" ref="H68:H72" si="7">SUM(C68:G68)</f>
        <v>714068.9814</v>
      </c>
    </row>
    <row r="69">
      <c r="A69" s="665"/>
      <c r="B69" s="662" t="s">
        <v>470</v>
      </c>
      <c r="C69" s="663">
        <f>'Customer &amp; Loan Acquisition - A'!I$28</f>
        <v>2824.844321</v>
      </c>
      <c r="D69" s="663">
        <f>'Customer &amp; Loan Acquisition - A'!J$28</f>
        <v>24607.53275</v>
      </c>
      <c r="E69" s="663">
        <f>'Customer &amp; Loan Acquisition - A'!K$28</f>
        <v>72316.01462</v>
      </c>
      <c r="F69" s="663">
        <f>'Customer &amp; Loan Acquisition - A'!L$28</f>
        <v>170746.1456</v>
      </c>
      <c r="G69" s="664">
        <f>'Customer &amp; Loan Acquisition - A'!M$28</f>
        <v>368811.6746</v>
      </c>
      <c r="H69" s="664">
        <f t="shared" si="7"/>
        <v>639306.2119</v>
      </c>
      <c r="I69" s="618"/>
      <c r="J69" s="618">
        <f>H69/'Customer Phases - Inputs and As'!F38</f>
        <v>16034.7683</v>
      </c>
      <c r="K69" s="178" t="s">
        <v>471</v>
      </c>
    </row>
    <row r="70">
      <c r="A70" s="665"/>
      <c r="B70" s="662" t="s">
        <v>460</v>
      </c>
      <c r="C70" s="663">
        <f>'Customer &amp; Loan Acquisition - A'!I$43</f>
        <v>1180.778844</v>
      </c>
      <c r="D70" s="663">
        <f>'Customer &amp; Loan Acquisition - A'!J$43</f>
        <v>7071.5533</v>
      </c>
      <c r="E70" s="663">
        <f>'Customer &amp; Loan Acquisition - A'!K$43</f>
        <v>13854.47177</v>
      </c>
      <c r="F70" s="663">
        <f>'Customer &amp; Loan Acquisition - A'!L$43</f>
        <v>24533.96043</v>
      </c>
      <c r="G70" s="663">
        <f>'Customer &amp; Loan Acquisition - A'!M$43</f>
        <v>27420.30871</v>
      </c>
      <c r="H70" s="664">
        <f t="shared" si="7"/>
        <v>74061.07306</v>
      </c>
    </row>
    <row r="71">
      <c r="A71" s="665"/>
      <c r="B71" s="662" t="s">
        <v>472</v>
      </c>
      <c r="C71" s="663">
        <f>'Cashflows - Analysis'!C$18</f>
        <v>0</v>
      </c>
      <c r="D71" s="663">
        <f>'Cashflows - Analysis'!D$18</f>
        <v>732155.7709</v>
      </c>
      <c r="E71" s="663">
        <f>'Cashflows - Analysis'!E$18</f>
        <v>1434427.633</v>
      </c>
      <c r="F71" s="663">
        <f>'Cashflows - Analysis'!F$18</f>
        <v>2540132.267</v>
      </c>
      <c r="G71" s="663">
        <f>'Cashflows - Analysis'!G$18</f>
        <v>2988390.902</v>
      </c>
      <c r="H71" s="664">
        <f t="shared" si="7"/>
        <v>7695106.572</v>
      </c>
    </row>
    <row r="72">
      <c r="A72" s="665"/>
      <c r="B72" s="662" t="s">
        <v>461</v>
      </c>
      <c r="C72" s="663">
        <f>'Customer &amp; Loan Acquisition - A'!I$44</f>
        <v>108238.0607</v>
      </c>
      <c r="D72" s="663">
        <f>'Customer &amp; Loan Acquisition - A'!J$44</f>
        <v>589296.1083</v>
      </c>
      <c r="E72" s="663">
        <f>'Customer &amp; Loan Acquisition - A'!K$44</f>
        <v>1154539.314</v>
      </c>
      <c r="F72" s="663">
        <f>'Customer &amp; Loan Acquisition - A'!L$44</f>
        <v>2044496.702</v>
      </c>
      <c r="G72" s="663">
        <f>'Customer &amp; Loan Acquisition - A'!M$44</f>
        <v>2405290.238</v>
      </c>
      <c r="H72" s="664">
        <f t="shared" si="7"/>
        <v>6301860.424</v>
      </c>
    </row>
    <row r="73">
      <c r="A73" s="665"/>
      <c r="B73" s="657"/>
      <c r="C73" s="666" t="s">
        <v>462</v>
      </c>
      <c r="D73" s="156"/>
      <c r="E73" s="156"/>
      <c r="F73" s="156"/>
      <c r="G73" s="156"/>
      <c r="H73" s="660"/>
    </row>
    <row r="74">
      <c r="A74" s="665"/>
      <c r="B74" s="662" t="s">
        <v>473</v>
      </c>
      <c r="C74" s="663">
        <f>'Customer &amp; Loan Acquisition - A'!I$23</f>
        <v>14507.10034</v>
      </c>
      <c r="D74" s="663">
        <f>'Customer &amp; Loan Acquisition - A'!J$23</f>
        <v>127340.1029</v>
      </c>
      <c r="E74" s="663">
        <f>'Customer &amp; Loan Acquisition - A'!K$23</f>
        <v>203099.4047</v>
      </c>
      <c r="F74" s="663">
        <f>'Customer &amp; Loan Acquisition - A'!L$23</f>
        <v>322380.0075</v>
      </c>
      <c r="G74" s="663">
        <f>'Customer &amp; Loan Acquisition - A'!M$23</f>
        <v>370737.0086</v>
      </c>
      <c r="H74" s="664">
        <f t="shared" ref="H74:H76" si="8">SUM(C74:G74)</f>
        <v>1038063.624</v>
      </c>
    </row>
    <row r="75">
      <c r="A75" s="665"/>
      <c r="B75" s="662" t="s">
        <v>474</v>
      </c>
      <c r="C75" s="663">
        <f>'Customer &amp; Loan Acquisition - A'!I$32</f>
        <v>9958.522812</v>
      </c>
      <c r="D75" s="663">
        <f>'Customer &amp; Loan Acquisition - A'!J$32</f>
        <v>87413.70024</v>
      </c>
      <c r="E75" s="663">
        <f>'Customer &amp; Loan Acquisition - A'!K$32</f>
        <v>139419.3194</v>
      </c>
      <c r="F75" s="663">
        <f>'Customer &amp; Loan Acquisition - A'!L$32</f>
        <v>221300.5069</v>
      </c>
      <c r="G75" s="663">
        <f>'Customer &amp; Loan Acquisition - A'!M$32</f>
        <v>254495.583</v>
      </c>
      <c r="H75" s="664">
        <f t="shared" si="8"/>
        <v>712587.6323</v>
      </c>
    </row>
    <row r="76">
      <c r="A76" s="665"/>
      <c r="B76" s="662" t="s">
        <v>475</v>
      </c>
      <c r="C76" s="667">
        <f>'Customer &amp; Loan Acquisition - A'!I$46</f>
        <v>12854.40819</v>
      </c>
      <c r="D76" s="667">
        <f>'Customer &amp; Loan Acquisition - A'!J$46</f>
        <v>69537.20657</v>
      </c>
      <c r="E76" s="667">
        <f>'Customer &amp; Loan Acquisition - A'!K$46</f>
        <v>137113.6874</v>
      </c>
      <c r="F76" s="667">
        <f>'Customer &amp; Loan Acquisition - A'!L$46</f>
        <v>242795.5428</v>
      </c>
      <c r="G76" s="667">
        <f>'Customer &amp; Loan Acquisition - A'!M$46</f>
        <v>380204.8291</v>
      </c>
      <c r="H76" s="668">
        <f t="shared" si="8"/>
        <v>842505.674</v>
      </c>
    </row>
    <row r="77">
      <c r="A77" s="669"/>
      <c r="B77" s="670" t="s">
        <v>467</v>
      </c>
      <c r="C77" s="671">
        <f t="shared" ref="C77:H77" si="9">SUM(C68:C76)</f>
        <v>164532.5526</v>
      </c>
      <c r="D77" s="671">
        <f t="shared" si="9"/>
        <v>1671794.861</v>
      </c>
      <c r="E77" s="671">
        <f t="shared" si="9"/>
        <v>3278844.874</v>
      </c>
      <c r="F77" s="671">
        <f t="shared" si="9"/>
        <v>5815643.994</v>
      </c>
      <c r="G77" s="671">
        <f t="shared" si="9"/>
        <v>7086743.911</v>
      </c>
      <c r="H77" s="672">
        <f t="shared" si="9"/>
        <v>18017560.19</v>
      </c>
    </row>
    <row r="78">
      <c r="A78" s="669"/>
      <c r="B78" s="673"/>
      <c r="C78" s="674" t="s">
        <v>476</v>
      </c>
      <c r="D78" s="156"/>
      <c r="E78" s="156"/>
      <c r="F78" s="156"/>
      <c r="G78" s="156"/>
      <c r="H78" s="660"/>
    </row>
    <row r="79">
      <c r="A79" s="661" t="s">
        <v>477</v>
      </c>
      <c r="B79" s="662" t="s">
        <v>478</v>
      </c>
      <c r="C79" s="663">
        <f>'Cost Components'!C$8</f>
        <v>381000</v>
      </c>
      <c r="D79" s="663">
        <f>'Cost Components'!D$8</f>
        <v>707000</v>
      </c>
      <c r="E79" s="663">
        <f>'Cost Components'!E$8</f>
        <v>1117000</v>
      </c>
      <c r="F79" s="663">
        <f>'Cost Components'!F$8</f>
        <v>1114000</v>
      </c>
      <c r="G79" s="663">
        <f>'Cost Components'!G$8</f>
        <v>1152000</v>
      </c>
      <c r="H79" s="663" t="str">
        <f>'Cost Components'!J25</f>
        <v/>
      </c>
    </row>
    <row r="80">
      <c r="A80" s="665"/>
      <c r="B80" s="662" t="s">
        <v>479</v>
      </c>
      <c r="C80" s="663">
        <f>'Cost Components'!C$9</f>
        <v>2508000</v>
      </c>
      <c r="D80" s="663">
        <f>'Cost Components'!D$9</f>
        <v>649000</v>
      </c>
      <c r="E80" s="663">
        <f>'Cost Components'!E$9</f>
        <v>275000</v>
      </c>
      <c r="F80" s="663">
        <f>'Cost Components'!F$9</f>
        <v>275000</v>
      </c>
      <c r="G80" s="663">
        <f>'Cost Components'!G$9</f>
        <v>275000</v>
      </c>
      <c r="H80" s="663">
        <f t="shared" ref="H80:H81" si="11">SUM(C80:G80)</f>
        <v>3982000</v>
      </c>
    </row>
    <row r="81">
      <c r="A81" s="675"/>
      <c r="B81" s="676" t="s">
        <v>480</v>
      </c>
      <c r="C81" s="671">
        <f t="shared" ref="C81:G81" si="10">SUM(C79:C80)</f>
        <v>2889000</v>
      </c>
      <c r="D81" s="671">
        <f t="shared" si="10"/>
        <v>1356000</v>
      </c>
      <c r="E81" s="671">
        <f t="shared" si="10"/>
        <v>1392000</v>
      </c>
      <c r="F81" s="671">
        <f t="shared" si="10"/>
        <v>1389000</v>
      </c>
      <c r="G81" s="671">
        <f t="shared" si="10"/>
        <v>1427000</v>
      </c>
      <c r="H81" s="672">
        <f t="shared" si="11"/>
        <v>8453000</v>
      </c>
    </row>
    <row r="82">
      <c r="A82" s="669"/>
      <c r="B82" s="673"/>
      <c r="C82" s="677" t="s">
        <v>481</v>
      </c>
      <c r="D82" s="156"/>
      <c r="E82" s="156"/>
      <c r="F82" s="156"/>
      <c r="G82" s="156"/>
      <c r="H82" s="660"/>
    </row>
    <row r="83">
      <c r="A83" s="678" t="s">
        <v>482</v>
      </c>
      <c r="B83" s="662" t="s">
        <v>483</v>
      </c>
      <c r="C83" s="663">
        <f t="shared" ref="C83:G83" si="12">C77-C81</f>
        <v>-2724467.447</v>
      </c>
      <c r="D83" s="663">
        <f t="shared" si="12"/>
        <v>315794.8608</v>
      </c>
      <c r="E83" s="663">
        <f t="shared" si="12"/>
        <v>1886844.874</v>
      </c>
      <c r="F83" s="663">
        <f t="shared" si="12"/>
        <v>4426643.994</v>
      </c>
      <c r="G83" s="663">
        <f t="shared" si="12"/>
        <v>5659743.911</v>
      </c>
      <c r="H83" s="672">
        <f t="shared" ref="H83:H84" si="13">SUM(C83:G83)</f>
        <v>9564560.192</v>
      </c>
    </row>
    <row r="84">
      <c r="A84" s="665"/>
      <c r="B84" s="662" t="s">
        <v>484</v>
      </c>
      <c r="C84" s="663">
        <f>C83</f>
        <v>-2724467.447</v>
      </c>
      <c r="D84" s="663">
        <f>D$83/(1+'Cashflows - Analysis'!$J$14)^1</f>
        <v>287086.2371</v>
      </c>
      <c r="E84" s="663">
        <f>E$83/(1+'Cashflows - Analysis'!$J$14)^2</f>
        <v>1559375.929</v>
      </c>
      <c r="F84" s="663">
        <f>F$83/(1+'Cashflows - Analysis'!$J$14)^3</f>
        <v>3325803.151</v>
      </c>
      <c r="G84" s="663">
        <f>G$83/(1+'Cashflows - Analysis'!$J$14)^4</f>
        <v>3865681.245</v>
      </c>
      <c r="H84" s="672">
        <f t="shared" si="13"/>
        <v>6313479.115</v>
      </c>
    </row>
    <row r="85">
      <c r="D85" s="637"/>
    </row>
    <row r="86">
      <c r="B86" s="673" t="s">
        <v>485</v>
      </c>
      <c r="C86" s="679">
        <f>4+(B91/B92)</f>
        <v>3.641308095</v>
      </c>
      <c r="D86" s="637"/>
    </row>
    <row r="87">
      <c r="B87" s="673" t="s">
        <v>486</v>
      </c>
      <c r="C87" s="680">
        <f>(H77-H81)/H81</f>
        <v>1.131498899</v>
      </c>
      <c r="D87" s="637"/>
    </row>
    <row r="88">
      <c r="D88" s="637"/>
    </row>
    <row r="89">
      <c r="D89" s="637"/>
    </row>
    <row r="90">
      <c r="D90" s="637"/>
    </row>
    <row r="91">
      <c r="B91" s="681">
        <f>sum(C84:E84)</f>
        <v>-878005.281</v>
      </c>
      <c r="D91" s="637"/>
    </row>
    <row r="92">
      <c r="B92" s="681">
        <f>F84+B91</f>
        <v>2447797.87</v>
      </c>
      <c r="D92" s="637"/>
    </row>
    <row r="93">
      <c r="D93" s="637"/>
    </row>
    <row r="94">
      <c r="D94" s="637"/>
    </row>
    <row r="95">
      <c r="D95" s="637"/>
    </row>
    <row r="96">
      <c r="D96" s="637"/>
    </row>
    <row r="97">
      <c r="D97" s="637"/>
    </row>
    <row r="98">
      <c r="D98" s="637"/>
    </row>
    <row r="99">
      <c r="D99" s="637"/>
    </row>
    <row r="100">
      <c r="D100" s="637"/>
    </row>
    <row r="101">
      <c r="D101" s="637"/>
    </row>
    <row r="102">
      <c r="D102" s="637"/>
    </row>
    <row r="103">
      <c r="D103" s="637"/>
    </row>
    <row r="104">
      <c r="D104" s="637"/>
    </row>
    <row r="105">
      <c r="D105" s="637"/>
    </row>
    <row r="106">
      <c r="D106" s="637"/>
    </row>
    <row r="107">
      <c r="D107" s="637"/>
    </row>
    <row r="108">
      <c r="D108" s="637"/>
    </row>
    <row r="109">
      <c r="D109" s="637"/>
    </row>
    <row r="110">
      <c r="D110" s="637"/>
    </row>
    <row r="111">
      <c r="D111" s="637"/>
    </row>
    <row r="112">
      <c r="D112" s="637"/>
    </row>
    <row r="113">
      <c r="D113" s="637"/>
    </row>
    <row r="114">
      <c r="D114" s="637"/>
    </row>
    <row r="115">
      <c r="D115" s="637"/>
    </row>
    <row r="116">
      <c r="D116" s="637"/>
    </row>
    <row r="117">
      <c r="D117" s="637"/>
    </row>
    <row r="118">
      <c r="D118" s="637"/>
    </row>
    <row r="119">
      <c r="D119" s="637"/>
    </row>
    <row r="120">
      <c r="D120" s="637"/>
    </row>
    <row r="121">
      <c r="D121" s="637"/>
    </row>
    <row r="122">
      <c r="D122" s="637"/>
    </row>
    <row r="123">
      <c r="D123" s="637"/>
    </row>
    <row r="124">
      <c r="D124" s="637"/>
    </row>
    <row r="125">
      <c r="D125" s="637"/>
    </row>
    <row r="126">
      <c r="D126" s="637"/>
    </row>
    <row r="127">
      <c r="D127" s="637"/>
    </row>
    <row r="128">
      <c r="D128" s="637"/>
    </row>
    <row r="129">
      <c r="D129" s="637"/>
    </row>
    <row r="130">
      <c r="D130" s="637"/>
    </row>
    <row r="131">
      <c r="D131" s="637"/>
    </row>
    <row r="132">
      <c r="D132" s="637"/>
    </row>
    <row r="133">
      <c r="D133" s="637"/>
    </row>
    <row r="134">
      <c r="D134" s="637"/>
    </row>
    <row r="135">
      <c r="D135" s="637"/>
    </row>
    <row r="136">
      <c r="D136" s="637"/>
    </row>
    <row r="137">
      <c r="D137" s="637"/>
    </row>
    <row r="138">
      <c r="D138" s="637"/>
    </row>
    <row r="139">
      <c r="D139" s="637"/>
    </row>
    <row r="140">
      <c r="D140" s="637"/>
    </row>
    <row r="141">
      <c r="D141" s="637"/>
    </row>
    <row r="142">
      <c r="D142" s="637"/>
    </row>
    <row r="143">
      <c r="D143" s="637"/>
    </row>
    <row r="144">
      <c r="D144" s="637"/>
    </row>
    <row r="145">
      <c r="D145" s="637"/>
    </row>
    <row r="146">
      <c r="D146" s="637"/>
    </row>
    <row r="147">
      <c r="D147" s="637"/>
    </row>
    <row r="148">
      <c r="D148" s="637"/>
    </row>
    <row r="149">
      <c r="D149" s="637"/>
    </row>
    <row r="150">
      <c r="D150" s="637"/>
    </row>
    <row r="151">
      <c r="D151" s="637"/>
    </row>
    <row r="152">
      <c r="D152" s="637"/>
    </row>
    <row r="153">
      <c r="D153" s="637"/>
    </row>
    <row r="154">
      <c r="D154" s="637"/>
    </row>
    <row r="155">
      <c r="D155" s="637"/>
    </row>
    <row r="156">
      <c r="D156" s="637"/>
    </row>
    <row r="157">
      <c r="D157" s="637"/>
    </row>
    <row r="158">
      <c r="D158" s="637"/>
    </row>
    <row r="159">
      <c r="D159" s="637"/>
    </row>
    <row r="160">
      <c r="D160" s="637"/>
    </row>
    <row r="161">
      <c r="D161" s="637"/>
    </row>
    <row r="162">
      <c r="D162" s="637"/>
    </row>
    <row r="163">
      <c r="D163" s="637"/>
    </row>
    <row r="164">
      <c r="D164" s="637"/>
    </row>
    <row r="165">
      <c r="D165" s="637"/>
    </row>
    <row r="166">
      <c r="D166" s="637"/>
    </row>
    <row r="167">
      <c r="D167" s="637"/>
    </row>
    <row r="168">
      <c r="D168" s="637"/>
    </row>
    <row r="169">
      <c r="D169" s="637"/>
    </row>
    <row r="170">
      <c r="D170" s="637"/>
    </row>
    <row r="171">
      <c r="D171" s="637"/>
    </row>
    <row r="172">
      <c r="D172" s="637"/>
    </row>
    <row r="173">
      <c r="D173" s="637"/>
    </row>
    <row r="174">
      <c r="D174" s="637"/>
    </row>
    <row r="175">
      <c r="D175" s="637"/>
    </row>
    <row r="176">
      <c r="D176" s="637"/>
    </row>
    <row r="177">
      <c r="D177" s="637"/>
    </row>
    <row r="178">
      <c r="D178" s="637"/>
    </row>
    <row r="179">
      <c r="D179" s="637"/>
    </row>
    <row r="180">
      <c r="D180" s="637"/>
    </row>
    <row r="181">
      <c r="D181" s="637"/>
    </row>
    <row r="182">
      <c r="D182" s="637"/>
    </row>
    <row r="183">
      <c r="D183" s="637"/>
    </row>
    <row r="184">
      <c r="D184" s="637"/>
    </row>
    <row r="185">
      <c r="D185" s="637"/>
    </row>
    <row r="186">
      <c r="D186" s="637"/>
    </row>
    <row r="187">
      <c r="D187" s="637"/>
    </row>
    <row r="188">
      <c r="D188" s="637"/>
    </row>
    <row r="189">
      <c r="D189" s="637"/>
    </row>
    <row r="190">
      <c r="D190" s="637"/>
    </row>
    <row r="191">
      <c r="D191" s="637"/>
    </row>
    <row r="192">
      <c r="D192" s="637"/>
    </row>
    <row r="193">
      <c r="D193" s="637"/>
    </row>
    <row r="194">
      <c r="D194" s="637"/>
    </row>
    <row r="195">
      <c r="D195" s="637"/>
    </row>
    <row r="196">
      <c r="D196" s="637"/>
    </row>
    <row r="197">
      <c r="D197" s="637"/>
    </row>
    <row r="198">
      <c r="D198" s="637"/>
    </row>
    <row r="199">
      <c r="D199" s="637"/>
    </row>
    <row r="200">
      <c r="D200" s="637"/>
    </row>
    <row r="201">
      <c r="D201" s="637"/>
    </row>
    <row r="202">
      <c r="D202" s="637"/>
    </row>
    <row r="203">
      <c r="D203" s="637"/>
    </row>
    <row r="204">
      <c r="D204" s="637"/>
    </row>
    <row r="205">
      <c r="D205" s="637"/>
    </row>
    <row r="206">
      <c r="D206" s="637"/>
    </row>
    <row r="207">
      <c r="D207" s="637"/>
    </row>
    <row r="208">
      <c r="D208" s="637"/>
    </row>
    <row r="209">
      <c r="D209" s="637"/>
    </row>
    <row r="210">
      <c r="D210" s="637"/>
    </row>
    <row r="211">
      <c r="D211" s="637"/>
    </row>
    <row r="212">
      <c r="D212" s="637"/>
    </row>
    <row r="213">
      <c r="D213" s="637"/>
    </row>
    <row r="214">
      <c r="D214" s="637"/>
    </row>
    <row r="215">
      <c r="D215" s="637"/>
    </row>
    <row r="216">
      <c r="D216" s="637"/>
    </row>
    <row r="217">
      <c r="D217" s="637"/>
    </row>
    <row r="218">
      <c r="D218" s="637"/>
    </row>
    <row r="219">
      <c r="D219" s="637"/>
    </row>
    <row r="220">
      <c r="D220" s="637"/>
    </row>
    <row r="221">
      <c r="D221" s="637"/>
    </row>
    <row r="222">
      <c r="D222" s="637"/>
    </row>
    <row r="223">
      <c r="D223" s="637"/>
    </row>
    <row r="224">
      <c r="D224" s="637"/>
    </row>
    <row r="225">
      <c r="D225" s="637"/>
    </row>
    <row r="226">
      <c r="D226" s="637"/>
    </row>
    <row r="227">
      <c r="D227" s="637"/>
    </row>
    <row r="228">
      <c r="D228" s="637"/>
    </row>
    <row r="229">
      <c r="D229" s="637"/>
    </row>
    <row r="230">
      <c r="D230" s="637"/>
    </row>
    <row r="231">
      <c r="D231" s="637"/>
    </row>
    <row r="232">
      <c r="D232" s="637"/>
    </row>
    <row r="233">
      <c r="D233" s="637"/>
    </row>
    <row r="234">
      <c r="D234" s="637"/>
    </row>
    <row r="235">
      <c r="D235" s="637"/>
    </row>
    <row r="236">
      <c r="D236" s="637"/>
    </row>
    <row r="237">
      <c r="D237" s="637"/>
    </row>
    <row r="238">
      <c r="D238" s="637"/>
    </row>
    <row r="239">
      <c r="D239" s="637"/>
    </row>
    <row r="240">
      <c r="D240" s="637"/>
    </row>
    <row r="241">
      <c r="D241" s="637"/>
    </row>
    <row r="242">
      <c r="D242" s="637"/>
    </row>
    <row r="243">
      <c r="D243" s="637"/>
    </row>
    <row r="244">
      <c r="D244" s="637"/>
    </row>
    <row r="245">
      <c r="D245" s="637"/>
    </row>
    <row r="246">
      <c r="D246" s="637"/>
    </row>
    <row r="247">
      <c r="D247" s="637"/>
    </row>
    <row r="248">
      <c r="D248" s="637"/>
    </row>
    <row r="249">
      <c r="D249" s="637"/>
    </row>
    <row r="250">
      <c r="D250" s="637"/>
    </row>
    <row r="251">
      <c r="D251" s="637"/>
    </row>
    <row r="252">
      <c r="D252" s="637"/>
    </row>
    <row r="253">
      <c r="D253" s="637"/>
    </row>
    <row r="254">
      <c r="D254" s="637"/>
    </row>
    <row r="255">
      <c r="D255" s="637"/>
    </row>
    <row r="256">
      <c r="D256" s="637"/>
    </row>
    <row r="257">
      <c r="D257" s="637"/>
    </row>
    <row r="258">
      <c r="D258" s="637"/>
    </row>
    <row r="259">
      <c r="D259" s="637"/>
    </row>
    <row r="260">
      <c r="D260" s="637"/>
    </row>
    <row r="261">
      <c r="D261" s="637"/>
    </row>
    <row r="262">
      <c r="D262" s="637"/>
    </row>
    <row r="263">
      <c r="D263" s="637"/>
    </row>
    <row r="264">
      <c r="D264" s="637"/>
    </row>
    <row r="265">
      <c r="D265" s="637"/>
    </row>
    <row r="266">
      <c r="D266" s="637"/>
    </row>
    <row r="267">
      <c r="D267" s="637"/>
    </row>
    <row r="268">
      <c r="D268" s="637"/>
    </row>
    <row r="269">
      <c r="D269" s="637"/>
    </row>
    <row r="270">
      <c r="D270" s="637"/>
    </row>
    <row r="271">
      <c r="D271" s="637"/>
    </row>
    <row r="272">
      <c r="D272" s="637"/>
    </row>
    <row r="273">
      <c r="D273" s="637"/>
    </row>
    <row r="274">
      <c r="D274" s="637"/>
    </row>
    <row r="275">
      <c r="D275" s="637"/>
    </row>
    <row r="276">
      <c r="D276" s="637"/>
    </row>
    <row r="277">
      <c r="D277" s="637"/>
    </row>
    <row r="278">
      <c r="D278" s="637"/>
    </row>
    <row r="279">
      <c r="D279" s="637"/>
    </row>
    <row r="280">
      <c r="D280" s="637"/>
    </row>
    <row r="281">
      <c r="D281" s="637"/>
    </row>
    <row r="282">
      <c r="D282" s="637"/>
    </row>
    <row r="283">
      <c r="D283" s="637"/>
    </row>
    <row r="284">
      <c r="D284" s="637"/>
    </row>
    <row r="285">
      <c r="D285" s="637"/>
    </row>
    <row r="286">
      <c r="D286" s="637"/>
    </row>
    <row r="287">
      <c r="D287" s="637"/>
    </row>
    <row r="288">
      <c r="D288" s="637"/>
    </row>
    <row r="289">
      <c r="D289" s="637"/>
    </row>
    <row r="290">
      <c r="D290" s="637"/>
    </row>
    <row r="291">
      <c r="D291" s="637"/>
    </row>
    <row r="292">
      <c r="D292" s="637"/>
    </row>
    <row r="293">
      <c r="D293" s="637"/>
    </row>
    <row r="294">
      <c r="D294" s="637"/>
    </row>
    <row r="295">
      <c r="D295" s="637"/>
    </row>
    <row r="296">
      <c r="D296" s="637"/>
    </row>
    <row r="297">
      <c r="D297" s="637"/>
    </row>
    <row r="298">
      <c r="D298" s="637"/>
    </row>
    <row r="299">
      <c r="D299" s="637"/>
    </row>
    <row r="300">
      <c r="D300" s="637"/>
    </row>
    <row r="301">
      <c r="D301" s="637"/>
    </row>
    <row r="302">
      <c r="D302" s="637"/>
    </row>
    <row r="303">
      <c r="D303" s="637"/>
    </row>
    <row r="304">
      <c r="D304" s="637"/>
    </row>
    <row r="305">
      <c r="D305" s="637"/>
    </row>
    <row r="306">
      <c r="D306" s="637"/>
    </row>
    <row r="307">
      <c r="D307" s="637"/>
    </row>
    <row r="308">
      <c r="D308" s="637"/>
    </row>
    <row r="309">
      <c r="D309" s="637"/>
    </row>
    <row r="310">
      <c r="D310" s="637"/>
    </row>
    <row r="311">
      <c r="D311" s="637"/>
    </row>
    <row r="312">
      <c r="D312" s="637"/>
    </row>
    <row r="313">
      <c r="D313" s="637"/>
    </row>
    <row r="314">
      <c r="D314" s="637"/>
    </row>
    <row r="315">
      <c r="D315" s="637"/>
    </row>
    <row r="316">
      <c r="D316" s="637"/>
    </row>
    <row r="317">
      <c r="D317" s="637"/>
    </row>
    <row r="318">
      <c r="D318" s="637"/>
    </row>
    <row r="319">
      <c r="D319" s="637"/>
    </row>
    <row r="320">
      <c r="D320" s="637"/>
    </row>
    <row r="321">
      <c r="D321" s="637"/>
    </row>
    <row r="322">
      <c r="D322" s="637"/>
    </row>
    <row r="323">
      <c r="D323" s="637"/>
    </row>
    <row r="324">
      <c r="D324" s="637"/>
    </row>
    <row r="325">
      <c r="D325" s="637"/>
    </row>
    <row r="326">
      <c r="D326" s="637"/>
    </row>
    <row r="327">
      <c r="D327" s="637"/>
    </row>
    <row r="328">
      <c r="D328" s="637"/>
    </row>
    <row r="329">
      <c r="D329" s="637"/>
    </row>
    <row r="330">
      <c r="D330" s="637"/>
    </row>
    <row r="331">
      <c r="D331" s="637"/>
    </row>
    <row r="332">
      <c r="D332" s="637"/>
    </row>
    <row r="333">
      <c r="D333" s="637"/>
    </row>
    <row r="334">
      <c r="D334" s="637"/>
    </row>
    <row r="335">
      <c r="D335" s="637"/>
    </row>
    <row r="336">
      <c r="D336" s="637"/>
    </row>
    <row r="337">
      <c r="D337" s="637"/>
    </row>
    <row r="338">
      <c r="D338" s="637"/>
    </row>
    <row r="339">
      <c r="D339" s="637"/>
    </row>
    <row r="340">
      <c r="D340" s="637"/>
    </row>
    <row r="341">
      <c r="D341" s="637"/>
    </row>
    <row r="342">
      <c r="D342" s="637"/>
    </row>
    <row r="343">
      <c r="D343" s="637"/>
    </row>
    <row r="344">
      <c r="D344" s="637"/>
    </row>
    <row r="345">
      <c r="D345" s="637"/>
    </row>
    <row r="346">
      <c r="D346" s="637"/>
    </row>
    <row r="347">
      <c r="D347" s="637"/>
    </row>
    <row r="348">
      <c r="D348" s="637"/>
    </row>
    <row r="349">
      <c r="D349" s="637"/>
    </row>
    <row r="350">
      <c r="D350" s="637"/>
    </row>
    <row r="351">
      <c r="D351" s="637"/>
    </row>
    <row r="352">
      <c r="D352" s="637"/>
    </row>
    <row r="353">
      <c r="D353" s="637"/>
    </row>
    <row r="354">
      <c r="D354" s="637"/>
    </row>
    <row r="355">
      <c r="D355" s="637"/>
    </row>
    <row r="356">
      <c r="D356" s="637"/>
    </row>
    <row r="357">
      <c r="D357" s="637"/>
    </row>
    <row r="358">
      <c r="D358" s="637"/>
    </row>
    <row r="359">
      <c r="D359" s="637"/>
    </row>
    <row r="360">
      <c r="D360" s="637"/>
    </row>
    <row r="361">
      <c r="D361" s="637"/>
    </row>
    <row r="362">
      <c r="D362" s="637"/>
    </row>
    <row r="363">
      <c r="D363" s="637"/>
    </row>
    <row r="364">
      <c r="D364" s="637"/>
    </row>
    <row r="365">
      <c r="D365" s="637"/>
    </row>
    <row r="366">
      <c r="D366" s="637"/>
    </row>
    <row r="367">
      <c r="D367" s="637"/>
    </row>
    <row r="368">
      <c r="D368" s="637"/>
    </row>
    <row r="369">
      <c r="D369" s="637"/>
    </row>
    <row r="370">
      <c r="D370" s="637"/>
    </row>
    <row r="371">
      <c r="D371" s="637"/>
    </row>
    <row r="372">
      <c r="D372" s="637"/>
    </row>
    <row r="373">
      <c r="D373" s="637"/>
    </row>
    <row r="374">
      <c r="D374" s="637"/>
    </row>
    <row r="375">
      <c r="D375" s="637"/>
    </row>
    <row r="376">
      <c r="D376" s="637"/>
    </row>
    <row r="377">
      <c r="D377" s="637"/>
    </row>
    <row r="378">
      <c r="D378" s="637"/>
    </row>
    <row r="379">
      <c r="D379" s="637"/>
    </row>
    <row r="380">
      <c r="D380" s="637"/>
    </row>
    <row r="381">
      <c r="D381" s="637"/>
    </row>
    <row r="382">
      <c r="D382" s="637"/>
    </row>
    <row r="383">
      <c r="D383" s="637"/>
    </row>
    <row r="384">
      <c r="D384" s="637"/>
    </row>
    <row r="385">
      <c r="D385" s="637"/>
    </row>
    <row r="386">
      <c r="D386" s="637"/>
    </row>
    <row r="387">
      <c r="D387" s="637"/>
    </row>
    <row r="388">
      <c r="D388" s="637"/>
    </row>
    <row r="389">
      <c r="D389" s="637"/>
    </row>
    <row r="390">
      <c r="D390" s="637"/>
    </row>
    <row r="391">
      <c r="D391" s="637"/>
    </row>
    <row r="392">
      <c r="D392" s="637"/>
    </row>
    <row r="393">
      <c r="D393" s="637"/>
    </row>
    <row r="394">
      <c r="D394" s="637"/>
    </row>
    <row r="395">
      <c r="D395" s="637"/>
    </row>
    <row r="396">
      <c r="D396" s="637"/>
    </row>
    <row r="397">
      <c r="D397" s="637"/>
    </row>
    <row r="398">
      <c r="D398" s="637"/>
    </row>
    <row r="399">
      <c r="D399" s="637"/>
    </row>
    <row r="400">
      <c r="D400" s="637"/>
    </row>
    <row r="401">
      <c r="D401" s="637"/>
    </row>
    <row r="402">
      <c r="D402" s="637"/>
    </row>
    <row r="403">
      <c r="D403" s="637"/>
    </row>
    <row r="404">
      <c r="D404" s="637"/>
    </row>
    <row r="405">
      <c r="D405" s="637"/>
    </row>
    <row r="406">
      <c r="D406" s="637"/>
    </row>
    <row r="407">
      <c r="D407" s="637"/>
    </row>
    <row r="408">
      <c r="D408" s="637"/>
    </row>
    <row r="409">
      <c r="D409" s="637"/>
    </row>
    <row r="410">
      <c r="D410" s="637"/>
    </row>
    <row r="411">
      <c r="D411" s="637"/>
    </row>
    <row r="412">
      <c r="D412" s="637"/>
    </row>
    <row r="413">
      <c r="D413" s="637"/>
    </row>
    <row r="414">
      <c r="D414" s="637"/>
    </row>
    <row r="415">
      <c r="D415" s="637"/>
    </row>
    <row r="416">
      <c r="D416" s="637"/>
    </row>
    <row r="417">
      <c r="D417" s="637"/>
    </row>
    <row r="418">
      <c r="D418" s="637"/>
    </row>
    <row r="419">
      <c r="D419" s="637"/>
    </row>
    <row r="420">
      <c r="D420" s="637"/>
    </row>
    <row r="421">
      <c r="D421" s="637"/>
    </row>
    <row r="422">
      <c r="D422" s="637"/>
    </row>
    <row r="423">
      <c r="D423" s="637"/>
    </row>
    <row r="424">
      <c r="D424" s="637"/>
    </row>
    <row r="425">
      <c r="D425" s="637"/>
    </row>
    <row r="426">
      <c r="D426" s="637"/>
    </row>
    <row r="427">
      <c r="D427" s="637"/>
    </row>
    <row r="428">
      <c r="D428" s="637"/>
    </row>
    <row r="429">
      <c r="D429" s="637"/>
    </row>
    <row r="430">
      <c r="D430" s="637"/>
    </row>
    <row r="431">
      <c r="D431" s="637"/>
    </row>
    <row r="432">
      <c r="D432" s="637"/>
    </row>
    <row r="433">
      <c r="D433" s="637"/>
    </row>
    <row r="434">
      <c r="D434" s="637"/>
    </row>
    <row r="435">
      <c r="D435" s="637"/>
    </row>
    <row r="436">
      <c r="D436" s="637"/>
    </row>
    <row r="437">
      <c r="D437" s="637"/>
    </row>
    <row r="438">
      <c r="D438" s="637"/>
    </row>
    <row r="439">
      <c r="D439" s="637"/>
    </row>
    <row r="440">
      <c r="D440" s="637"/>
    </row>
    <row r="441">
      <c r="D441" s="637"/>
    </row>
    <row r="442">
      <c r="D442" s="637"/>
    </row>
    <row r="443">
      <c r="D443" s="637"/>
    </row>
    <row r="444">
      <c r="D444" s="637"/>
    </row>
    <row r="445">
      <c r="D445" s="637"/>
    </row>
    <row r="446">
      <c r="D446" s="637"/>
    </row>
    <row r="447">
      <c r="D447" s="637"/>
    </row>
    <row r="448">
      <c r="D448" s="637"/>
    </row>
    <row r="449">
      <c r="D449" s="637"/>
    </row>
    <row r="450">
      <c r="D450" s="637"/>
    </row>
    <row r="451">
      <c r="D451" s="637"/>
    </row>
    <row r="452">
      <c r="D452" s="637"/>
    </row>
    <row r="453">
      <c r="D453" s="637"/>
    </row>
    <row r="454">
      <c r="D454" s="637"/>
    </row>
    <row r="455">
      <c r="D455" s="637"/>
    </row>
    <row r="456">
      <c r="D456" s="637"/>
    </row>
    <row r="457">
      <c r="D457" s="637"/>
    </row>
    <row r="458">
      <c r="D458" s="637"/>
    </row>
    <row r="459">
      <c r="D459" s="637"/>
    </row>
    <row r="460">
      <c r="D460" s="637"/>
    </row>
    <row r="461">
      <c r="D461" s="637"/>
    </row>
    <row r="462">
      <c r="D462" s="637"/>
    </row>
    <row r="463">
      <c r="D463" s="637"/>
    </row>
    <row r="464">
      <c r="D464" s="637"/>
    </row>
    <row r="465">
      <c r="D465" s="637"/>
    </row>
    <row r="466">
      <c r="D466" s="637"/>
    </row>
    <row r="467">
      <c r="D467" s="637"/>
    </row>
    <row r="468">
      <c r="D468" s="637"/>
    </row>
    <row r="469">
      <c r="D469" s="637"/>
    </row>
    <row r="470">
      <c r="D470" s="637"/>
    </row>
    <row r="471">
      <c r="D471" s="637"/>
    </row>
    <row r="472">
      <c r="D472" s="637"/>
    </row>
    <row r="473">
      <c r="D473" s="637"/>
    </row>
    <row r="474">
      <c r="D474" s="637"/>
    </row>
    <row r="475">
      <c r="D475" s="637"/>
    </row>
    <row r="476">
      <c r="D476" s="637"/>
    </row>
    <row r="477">
      <c r="D477" s="637"/>
    </row>
    <row r="478">
      <c r="D478" s="637"/>
    </row>
    <row r="479">
      <c r="D479" s="637"/>
    </row>
    <row r="480">
      <c r="D480" s="637"/>
    </row>
    <row r="481">
      <c r="D481" s="637"/>
    </row>
    <row r="482">
      <c r="D482" s="637"/>
    </row>
    <row r="483">
      <c r="D483" s="637"/>
    </row>
    <row r="484">
      <c r="D484" s="637"/>
    </row>
    <row r="485">
      <c r="D485" s="637"/>
    </row>
    <row r="486">
      <c r="D486" s="637"/>
    </row>
    <row r="487">
      <c r="D487" s="637"/>
    </row>
    <row r="488">
      <c r="D488" s="637"/>
    </row>
    <row r="489">
      <c r="D489" s="637"/>
    </row>
    <row r="490">
      <c r="D490" s="637"/>
    </row>
    <row r="491">
      <c r="D491" s="637"/>
    </row>
    <row r="492">
      <c r="D492" s="637"/>
    </row>
    <row r="493">
      <c r="D493" s="637"/>
    </row>
    <row r="494">
      <c r="D494" s="637"/>
    </row>
    <row r="495">
      <c r="D495" s="637"/>
    </row>
    <row r="496">
      <c r="D496" s="637"/>
    </row>
    <row r="497">
      <c r="D497" s="637"/>
    </row>
    <row r="498">
      <c r="D498" s="637"/>
    </row>
    <row r="499">
      <c r="D499" s="637"/>
    </row>
    <row r="500">
      <c r="D500" s="637"/>
    </row>
    <row r="501">
      <c r="D501" s="637"/>
    </row>
    <row r="502">
      <c r="D502" s="637"/>
    </row>
    <row r="503">
      <c r="D503" s="637"/>
    </row>
    <row r="504">
      <c r="D504" s="637"/>
    </row>
    <row r="505">
      <c r="D505" s="637"/>
    </row>
    <row r="506">
      <c r="D506" s="637"/>
    </row>
    <row r="507">
      <c r="D507" s="637"/>
    </row>
    <row r="508">
      <c r="D508" s="637"/>
    </row>
    <row r="509">
      <c r="D509" s="637"/>
    </row>
    <row r="510">
      <c r="D510" s="637"/>
    </row>
    <row r="511">
      <c r="D511" s="637"/>
    </row>
    <row r="512">
      <c r="D512" s="637"/>
    </row>
    <row r="513">
      <c r="D513" s="637"/>
    </row>
    <row r="514">
      <c r="D514" s="637"/>
    </row>
    <row r="515">
      <c r="D515" s="637"/>
    </row>
    <row r="516">
      <c r="D516" s="637"/>
    </row>
    <row r="517">
      <c r="D517" s="637"/>
    </row>
    <row r="518">
      <c r="D518" s="637"/>
    </row>
    <row r="519">
      <c r="D519" s="637"/>
    </row>
    <row r="520">
      <c r="D520" s="637"/>
    </row>
    <row r="521">
      <c r="D521" s="637"/>
    </row>
    <row r="522">
      <c r="D522" s="637"/>
    </row>
    <row r="523">
      <c r="D523" s="637"/>
    </row>
    <row r="524">
      <c r="D524" s="637"/>
    </row>
    <row r="525">
      <c r="D525" s="637"/>
    </row>
    <row r="526">
      <c r="D526" s="637"/>
    </row>
    <row r="527">
      <c r="D527" s="637"/>
    </row>
    <row r="528">
      <c r="D528" s="637"/>
    </row>
    <row r="529">
      <c r="D529" s="637"/>
    </row>
    <row r="530">
      <c r="D530" s="637"/>
    </row>
    <row r="531">
      <c r="D531" s="637"/>
    </row>
    <row r="532">
      <c r="D532" s="637"/>
    </row>
    <row r="533">
      <c r="D533" s="637"/>
    </row>
    <row r="534">
      <c r="D534" s="637"/>
    </row>
    <row r="535">
      <c r="D535" s="637"/>
    </row>
    <row r="536">
      <c r="D536" s="637"/>
    </row>
    <row r="537">
      <c r="D537" s="637"/>
    </row>
    <row r="538">
      <c r="D538" s="637"/>
    </row>
    <row r="539">
      <c r="D539" s="637"/>
    </row>
    <row r="540">
      <c r="D540" s="637"/>
    </row>
    <row r="541">
      <c r="D541" s="637"/>
    </row>
    <row r="542">
      <c r="D542" s="637"/>
    </row>
    <row r="543">
      <c r="D543" s="637"/>
    </row>
    <row r="544">
      <c r="D544" s="637"/>
    </row>
    <row r="545">
      <c r="D545" s="637"/>
    </row>
    <row r="546">
      <c r="D546" s="637"/>
    </row>
    <row r="547">
      <c r="D547" s="637"/>
    </row>
    <row r="548">
      <c r="D548" s="637"/>
    </row>
    <row r="549">
      <c r="D549" s="637"/>
    </row>
    <row r="550">
      <c r="D550" s="637"/>
    </row>
    <row r="551">
      <c r="D551" s="637"/>
    </row>
    <row r="552">
      <c r="D552" s="637"/>
    </row>
    <row r="553">
      <c r="D553" s="637"/>
    </row>
    <row r="554">
      <c r="D554" s="637"/>
    </row>
    <row r="555">
      <c r="D555" s="637"/>
    </row>
    <row r="556">
      <c r="D556" s="637"/>
    </row>
    <row r="557">
      <c r="D557" s="637"/>
    </row>
    <row r="558">
      <c r="D558" s="637"/>
    </row>
    <row r="559">
      <c r="D559" s="637"/>
    </row>
    <row r="560">
      <c r="D560" s="637"/>
    </row>
    <row r="561">
      <c r="D561" s="637"/>
    </row>
    <row r="562">
      <c r="D562" s="637"/>
    </row>
    <row r="563">
      <c r="D563" s="637"/>
    </row>
    <row r="564">
      <c r="D564" s="637"/>
    </row>
    <row r="565">
      <c r="D565" s="637"/>
    </row>
    <row r="566">
      <c r="D566" s="637"/>
    </row>
    <row r="567">
      <c r="D567" s="637"/>
    </row>
    <row r="568">
      <c r="D568" s="637"/>
    </row>
    <row r="569">
      <c r="D569" s="637"/>
    </row>
    <row r="570">
      <c r="D570" s="637"/>
    </row>
    <row r="571">
      <c r="D571" s="637"/>
    </row>
    <row r="572">
      <c r="D572" s="637"/>
    </row>
    <row r="573">
      <c r="D573" s="637"/>
    </row>
    <row r="574">
      <c r="D574" s="637"/>
    </row>
    <row r="575">
      <c r="D575" s="637"/>
    </row>
    <row r="576">
      <c r="D576" s="637"/>
    </row>
    <row r="577">
      <c r="D577" s="637"/>
    </row>
    <row r="578">
      <c r="D578" s="637"/>
    </row>
    <row r="579">
      <c r="D579" s="637"/>
    </row>
    <row r="580">
      <c r="D580" s="637"/>
    </row>
    <row r="581">
      <c r="D581" s="637"/>
    </row>
    <row r="582">
      <c r="D582" s="637"/>
    </row>
    <row r="583">
      <c r="D583" s="637"/>
    </row>
    <row r="584">
      <c r="D584" s="637"/>
    </row>
    <row r="585">
      <c r="D585" s="637"/>
    </row>
    <row r="586">
      <c r="D586" s="637"/>
    </row>
    <row r="587">
      <c r="D587" s="637"/>
    </row>
    <row r="588">
      <c r="D588" s="637"/>
    </row>
    <row r="589">
      <c r="D589" s="637"/>
    </row>
    <row r="590">
      <c r="D590" s="637"/>
    </row>
    <row r="591">
      <c r="D591" s="637"/>
    </row>
    <row r="592">
      <c r="D592" s="637"/>
    </row>
    <row r="593">
      <c r="D593" s="637"/>
    </row>
    <row r="594">
      <c r="D594" s="637"/>
    </row>
    <row r="595">
      <c r="D595" s="637"/>
    </row>
    <row r="596">
      <c r="D596" s="637"/>
    </row>
    <row r="597">
      <c r="D597" s="637"/>
    </row>
    <row r="598">
      <c r="D598" s="637"/>
    </row>
    <row r="599">
      <c r="D599" s="637"/>
    </row>
    <row r="600">
      <c r="D600" s="637"/>
    </row>
    <row r="601">
      <c r="D601" s="637"/>
    </row>
    <row r="602">
      <c r="D602" s="637"/>
    </row>
    <row r="603">
      <c r="D603" s="637"/>
    </row>
    <row r="604">
      <c r="D604" s="637"/>
    </row>
    <row r="605">
      <c r="D605" s="637"/>
    </row>
    <row r="606">
      <c r="D606" s="637"/>
    </row>
    <row r="607">
      <c r="D607" s="637"/>
    </row>
    <row r="608">
      <c r="D608" s="637"/>
    </row>
    <row r="609">
      <c r="D609" s="637"/>
    </row>
    <row r="610">
      <c r="D610" s="637"/>
    </row>
    <row r="611">
      <c r="D611" s="637"/>
    </row>
    <row r="612">
      <c r="D612" s="637"/>
    </row>
    <row r="613">
      <c r="D613" s="637"/>
    </row>
    <row r="614">
      <c r="D614" s="637"/>
    </row>
    <row r="615">
      <c r="D615" s="637"/>
    </row>
    <row r="616">
      <c r="D616" s="637"/>
    </row>
    <row r="617">
      <c r="D617" s="637"/>
    </row>
    <row r="618">
      <c r="D618" s="637"/>
    </row>
    <row r="619">
      <c r="D619" s="637"/>
    </row>
    <row r="620">
      <c r="D620" s="637"/>
    </row>
    <row r="621">
      <c r="D621" s="637"/>
    </row>
    <row r="622">
      <c r="D622" s="637"/>
    </row>
    <row r="623">
      <c r="D623" s="637"/>
    </row>
    <row r="624">
      <c r="D624" s="637"/>
    </row>
    <row r="625">
      <c r="D625" s="637"/>
    </row>
    <row r="626">
      <c r="D626" s="637"/>
    </row>
    <row r="627">
      <c r="D627" s="637"/>
    </row>
    <row r="628">
      <c r="D628" s="637"/>
    </row>
    <row r="629">
      <c r="D629" s="637"/>
    </row>
    <row r="630">
      <c r="D630" s="637"/>
    </row>
    <row r="631">
      <c r="D631" s="637"/>
    </row>
    <row r="632">
      <c r="D632" s="637"/>
    </row>
    <row r="633">
      <c r="D633" s="637"/>
    </row>
    <row r="634">
      <c r="D634" s="637"/>
    </row>
    <row r="635">
      <c r="D635" s="637"/>
    </row>
    <row r="636">
      <c r="D636" s="637"/>
    </row>
    <row r="637">
      <c r="D637" s="637"/>
    </row>
    <row r="638">
      <c r="D638" s="637"/>
    </row>
    <row r="639">
      <c r="D639" s="637"/>
    </row>
    <row r="640">
      <c r="D640" s="637"/>
    </row>
    <row r="641">
      <c r="D641" s="637"/>
    </row>
    <row r="642">
      <c r="D642" s="637"/>
    </row>
    <row r="643">
      <c r="D643" s="637"/>
    </row>
    <row r="644">
      <c r="D644" s="637"/>
    </row>
    <row r="645">
      <c r="D645" s="637"/>
    </row>
    <row r="646">
      <c r="D646" s="637"/>
    </row>
    <row r="647">
      <c r="D647" s="637"/>
    </row>
    <row r="648">
      <c r="D648" s="637"/>
    </row>
    <row r="649">
      <c r="D649" s="637"/>
    </row>
    <row r="650">
      <c r="D650" s="637"/>
    </row>
    <row r="651">
      <c r="D651" s="637"/>
    </row>
    <row r="652">
      <c r="D652" s="637"/>
    </row>
    <row r="653">
      <c r="D653" s="637"/>
    </row>
    <row r="654">
      <c r="D654" s="637"/>
    </row>
    <row r="655">
      <c r="D655" s="637"/>
    </row>
    <row r="656">
      <c r="D656" s="637"/>
    </row>
    <row r="657">
      <c r="D657" s="637"/>
    </row>
    <row r="658">
      <c r="D658" s="637"/>
    </row>
    <row r="659">
      <c r="D659" s="637"/>
    </row>
    <row r="660">
      <c r="D660" s="637"/>
    </row>
    <row r="661">
      <c r="D661" s="637"/>
    </row>
    <row r="662">
      <c r="D662" s="637"/>
    </row>
    <row r="663">
      <c r="D663" s="637"/>
    </row>
    <row r="664">
      <c r="D664" s="637"/>
    </row>
    <row r="665">
      <c r="D665" s="637"/>
    </row>
    <row r="666">
      <c r="D666" s="637"/>
    </row>
    <row r="667">
      <c r="D667" s="637"/>
    </row>
    <row r="668">
      <c r="D668" s="637"/>
    </row>
    <row r="669">
      <c r="D669" s="637"/>
    </row>
    <row r="670">
      <c r="D670" s="637"/>
    </row>
    <row r="671">
      <c r="D671" s="637"/>
    </row>
    <row r="672">
      <c r="D672" s="637"/>
    </row>
    <row r="673">
      <c r="D673" s="637"/>
    </row>
    <row r="674">
      <c r="D674" s="637"/>
    </row>
    <row r="675">
      <c r="D675" s="637"/>
    </row>
    <row r="676">
      <c r="D676" s="637"/>
    </row>
    <row r="677">
      <c r="D677" s="637"/>
    </row>
    <row r="678">
      <c r="D678" s="637"/>
    </row>
    <row r="679">
      <c r="D679" s="637"/>
    </row>
    <row r="680">
      <c r="D680" s="637"/>
    </row>
    <row r="681">
      <c r="D681" s="637"/>
    </row>
    <row r="682">
      <c r="D682" s="637"/>
    </row>
    <row r="683">
      <c r="D683" s="637"/>
    </row>
    <row r="684">
      <c r="D684" s="637"/>
    </row>
    <row r="685">
      <c r="D685" s="637"/>
    </row>
    <row r="686">
      <c r="D686" s="637"/>
    </row>
    <row r="687">
      <c r="D687" s="637"/>
    </row>
    <row r="688">
      <c r="D688" s="637"/>
    </row>
    <row r="689">
      <c r="D689" s="637"/>
    </row>
    <row r="690">
      <c r="D690" s="637"/>
    </row>
    <row r="691">
      <c r="D691" s="637"/>
    </row>
    <row r="692">
      <c r="D692" s="637"/>
    </row>
    <row r="693">
      <c r="D693" s="637"/>
    </row>
    <row r="694">
      <c r="D694" s="637"/>
    </row>
    <row r="695">
      <c r="D695" s="637"/>
    </row>
    <row r="696">
      <c r="D696" s="637"/>
    </row>
    <row r="697">
      <c r="D697" s="637"/>
    </row>
    <row r="698">
      <c r="D698" s="637"/>
    </row>
    <row r="699">
      <c r="D699" s="637"/>
    </row>
    <row r="700">
      <c r="D700" s="637"/>
    </row>
    <row r="701">
      <c r="D701" s="637"/>
    </row>
    <row r="702">
      <c r="D702" s="637"/>
    </row>
    <row r="703">
      <c r="D703" s="637"/>
    </row>
    <row r="704">
      <c r="D704" s="637"/>
    </row>
    <row r="705">
      <c r="D705" s="637"/>
    </row>
    <row r="706">
      <c r="D706" s="637"/>
    </row>
    <row r="707">
      <c r="D707" s="637"/>
    </row>
    <row r="708">
      <c r="D708" s="637"/>
    </row>
    <row r="709">
      <c r="D709" s="637"/>
    </row>
    <row r="710">
      <c r="D710" s="637"/>
    </row>
    <row r="711">
      <c r="D711" s="637"/>
    </row>
    <row r="712">
      <c r="D712" s="637"/>
    </row>
    <row r="713">
      <c r="D713" s="637"/>
    </row>
    <row r="714">
      <c r="D714" s="637"/>
    </row>
    <row r="715">
      <c r="D715" s="637"/>
    </row>
    <row r="716">
      <c r="D716" s="637"/>
    </row>
    <row r="717">
      <c r="D717" s="637"/>
    </row>
    <row r="718">
      <c r="D718" s="637"/>
    </row>
    <row r="719">
      <c r="D719" s="637"/>
    </row>
    <row r="720">
      <c r="D720" s="637"/>
    </row>
    <row r="721">
      <c r="D721" s="637"/>
    </row>
    <row r="722">
      <c r="D722" s="637"/>
    </row>
    <row r="723">
      <c r="D723" s="637"/>
    </row>
    <row r="724">
      <c r="D724" s="637"/>
    </row>
    <row r="725">
      <c r="D725" s="637"/>
    </row>
    <row r="726">
      <c r="D726" s="637"/>
    </row>
    <row r="727">
      <c r="D727" s="637"/>
    </row>
    <row r="728">
      <c r="D728" s="637"/>
    </row>
    <row r="729">
      <c r="D729" s="637"/>
    </row>
    <row r="730">
      <c r="D730" s="637"/>
    </row>
    <row r="731">
      <c r="D731" s="637"/>
    </row>
    <row r="732">
      <c r="D732" s="637"/>
    </row>
    <row r="733">
      <c r="D733" s="637"/>
    </row>
    <row r="734">
      <c r="D734" s="637"/>
    </row>
    <row r="735">
      <c r="D735" s="637"/>
    </row>
    <row r="736">
      <c r="D736" s="637"/>
    </row>
    <row r="737">
      <c r="D737" s="637"/>
    </row>
    <row r="738">
      <c r="D738" s="637"/>
    </row>
    <row r="739">
      <c r="D739" s="637"/>
    </row>
    <row r="740">
      <c r="D740" s="637"/>
    </row>
    <row r="741">
      <c r="D741" s="637"/>
    </row>
    <row r="742">
      <c r="D742" s="637"/>
    </row>
    <row r="743">
      <c r="D743" s="637"/>
    </row>
    <row r="744">
      <c r="D744" s="637"/>
    </row>
    <row r="745">
      <c r="D745" s="637"/>
    </row>
    <row r="746">
      <c r="D746" s="637"/>
    </row>
    <row r="747">
      <c r="D747" s="637"/>
    </row>
    <row r="748">
      <c r="D748" s="637"/>
    </row>
    <row r="749">
      <c r="D749" s="637"/>
    </row>
    <row r="750">
      <c r="D750" s="637"/>
    </row>
    <row r="751">
      <c r="D751" s="637"/>
    </row>
    <row r="752">
      <c r="D752" s="637"/>
    </row>
    <row r="753">
      <c r="D753" s="637"/>
    </row>
    <row r="754">
      <c r="D754" s="637"/>
    </row>
    <row r="755">
      <c r="D755" s="637"/>
    </row>
    <row r="756">
      <c r="D756" s="637"/>
    </row>
    <row r="757">
      <c r="D757" s="637"/>
    </row>
    <row r="758">
      <c r="D758" s="637"/>
    </row>
    <row r="759">
      <c r="D759" s="637"/>
    </row>
    <row r="760">
      <c r="D760" s="637"/>
    </row>
    <row r="761">
      <c r="D761" s="637"/>
    </row>
    <row r="762">
      <c r="D762" s="637"/>
    </row>
    <row r="763">
      <c r="D763" s="637"/>
    </row>
    <row r="764">
      <c r="D764" s="637"/>
    </row>
    <row r="765">
      <c r="D765" s="637"/>
    </row>
    <row r="766">
      <c r="D766" s="637"/>
    </row>
    <row r="767">
      <c r="D767" s="637"/>
    </row>
    <row r="768">
      <c r="D768" s="637"/>
    </row>
    <row r="769">
      <c r="D769" s="637"/>
    </row>
    <row r="770">
      <c r="D770" s="637"/>
    </row>
    <row r="771">
      <c r="D771" s="637"/>
    </row>
    <row r="772">
      <c r="D772" s="637"/>
    </row>
    <row r="773">
      <c r="D773" s="637"/>
    </row>
    <row r="774">
      <c r="D774" s="637"/>
    </row>
    <row r="775">
      <c r="D775" s="637"/>
    </row>
    <row r="776">
      <c r="D776" s="637"/>
    </row>
    <row r="777">
      <c r="D777" s="637"/>
    </row>
    <row r="778">
      <c r="D778" s="637"/>
    </row>
    <row r="779">
      <c r="D779" s="637"/>
    </row>
    <row r="780">
      <c r="D780" s="637"/>
    </row>
    <row r="781">
      <c r="D781" s="637"/>
    </row>
    <row r="782">
      <c r="D782" s="637"/>
    </row>
    <row r="783">
      <c r="D783" s="637"/>
    </row>
    <row r="784">
      <c r="D784" s="637"/>
    </row>
    <row r="785">
      <c r="D785" s="637"/>
    </row>
    <row r="786">
      <c r="D786" s="637"/>
    </row>
    <row r="787">
      <c r="D787" s="637"/>
    </row>
    <row r="788">
      <c r="D788" s="637"/>
    </row>
    <row r="789">
      <c r="D789" s="637"/>
    </row>
    <row r="790">
      <c r="D790" s="637"/>
    </row>
    <row r="791">
      <c r="D791" s="637"/>
    </row>
    <row r="792">
      <c r="D792" s="637"/>
    </row>
    <row r="793">
      <c r="D793" s="637"/>
    </row>
    <row r="794">
      <c r="D794" s="637"/>
    </row>
    <row r="795">
      <c r="D795" s="637"/>
    </row>
    <row r="796">
      <c r="D796" s="637"/>
    </row>
    <row r="797">
      <c r="D797" s="637"/>
    </row>
    <row r="798">
      <c r="D798" s="637"/>
    </row>
    <row r="799">
      <c r="D799" s="637"/>
    </row>
    <row r="800">
      <c r="D800" s="637"/>
    </row>
    <row r="801">
      <c r="D801" s="637"/>
    </row>
    <row r="802">
      <c r="D802" s="637"/>
    </row>
    <row r="803">
      <c r="D803" s="637"/>
    </row>
    <row r="804">
      <c r="D804" s="637"/>
    </row>
    <row r="805">
      <c r="D805" s="637"/>
    </row>
    <row r="806">
      <c r="D806" s="637"/>
    </row>
    <row r="807">
      <c r="D807" s="637"/>
    </row>
    <row r="808">
      <c r="D808" s="637"/>
    </row>
    <row r="809">
      <c r="D809" s="637"/>
    </row>
    <row r="810">
      <c r="D810" s="637"/>
    </row>
    <row r="811">
      <c r="D811" s="637"/>
    </row>
    <row r="812">
      <c r="D812" s="637"/>
    </row>
    <row r="813">
      <c r="D813" s="637"/>
    </row>
    <row r="814">
      <c r="D814" s="637"/>
    </row>
    <row r="815">
      <c r="D815" s="637"/>
    </row>
    <row r="816">
      <c r="D816" s="637"/>
    </row>
    <row r="817">
      <c r="D817" s="637"/>
    </row>
    <row r="818">
      <c r="D818" s="637"/>
    </row>
    <row r="819">
      <c r="D819" s="637"/>
    </row>
    <row r="820">
      <c r="D820" s="637"/>
    </row>
    <row r="821">
      <c r="D821" s="637"/>
    </row>
    <row r="822">
      <c r="D822" s="637"/>
    </row>
    <row r="823">
      <c r="D823" s="637"/>
    </row>
    <row r="824">
      <c r="D824" s="637"/>
    </row>
    <row r="825">
      <c r="D825" s="637"/>
    </row>
    <row r="826">
      <c r="D826" s="637"/>
    </row>
    <row r="827">
      <c r="D827" s="637"/>
    </row>
    <row r="828">
      <c r="D828" s="637"/>
    </row>
    <row r="829">
      <c r="D829" s="637"/>
    </row>
    <row r="830">
      <c r="D830" s="637"/>
    </row>
    <row r="831">
      <c r="D831" s="637"/>
    </row>
    <row r="832">
      <c r="D832" s="637"/>
    </row>
    <row r="833">
      <c r="D833" s="637"/>
    </row>
    <row r="834">
      <c r="D834" s="637"/>
    </row>
    <row r="835">
      <c r="D835" s="637"/>
    </row>
    <row r="836">
      <c r="D836" s="637"/>
    </row>
    <row r="837">
      <c r="D837" s="637"/>
    </row>
    <row r="838">
      <c r="D838" s="637"/>
    </row>
    <row r="839">
      <c r="D839" s="637"/>
    </row>
    <row r="840">
      <c r="D840" s="637"/>
    </row>
    <row r="841">
      <c r="D841" s="637"/>
    </row>
    <row r="842">
      <c r="D842" s="637"/>
    </row>
    <row r="843">
      <c r="D843" s="637"/>
    </row>
    <row r="844">
      <c r="D844" s="637"/>
    </row>
    <row r="845">
      <c r="D845" s="637"/>
    </row>
    <row r="846">
      <c r="D846" s="637"/>
    </row>
    <row r="847">
      <c r="D847" s="637"/>
    </row>
    <row r="848">
      <c r="D848" s="637"/>
    </row>
    <row r="849">
      <c r="D849" s="637"/>
    </row>
    <row r="850">
      <c r="D850" s="637"/>
    </row>
    <row r="851">
      <c r="D851" s="637"/>
    </row>
    <row r="852">
      <c r="D852" s="637"/>
    </row>
    <row r="853">
      <c r="D853" s="637"/>
    </row>
    <row r="854">
      <c r="D854" s="637"/>
    </row>
    <row r="855">
      <c r="D855" s="637"/>
    </row>
    <row r="856">
      <c r="D856" s="637"/>
    </row>
    <row r="857">
      <c r="D857" s="637"/>
    </row>
    <row r="858">
      <c r="D858" s="637"/>
    </row>
    <row r="859">
      <c r="D859" s="637"/>
    </row>
    <row r="860">
      <c r="D860" s="637"/>
    </row>
    <row r="861">
      <c r="D861" s="637"/>
    </row>
    <row r="862">
      <c r="D862" s="637"/>
    </row>
    <row r="863">
      <c r="D863" s="637"/>
    </row>
    <row r="864">
      <c r="D864" s="637"/>
    </row>
    <row r="865">
      <c r="D865" s="637"/>
    </row>
    <row r="866">
      <c r="D866" s="637"/>
    </row>
    <row r="867">
      <c r="D867" s="637"/>
    </row>
    <row r="868">
      <c r="D868" s="637"/>
    </row>
    <row r="869">
      <c r="D869" s="637"/>
    </row>
    <row r="870">
      <c r="D870" s="637"/>
    </row>
    <row r="871">
      <c r="D871" s="637"/>
    </row>
    <row r="872">
      <c r="D872" s="637"/>
    </row>
    <row r="873">
      <c r="D873" s="637"/>
    </row>
    <row r="874">
      <c r="D874" s="637"/>
    </row>
    <row r="875">
      <c r="D875" s="637"/>
    </row>
    <row r="876">
      <c r="D876" s="637"/>
    </row>
    <row r="877">
      <c r="D877" s="637"/>
    </row>
    <row r="878">
      <c r="D878" s="637"/>
    </row>
    <row r="879">
      <c r="D879" s="637"/>
    </row>
    <row r="880">
      <c r="D880" s="637"/>
    </row>
    <row r="881">
      <c r="D881" s="637"/>
    </row>
    <row r="882">
      <c r="D882" s="637"/>
    </row>
    <row r="883">
      <c r="D883" s="637"/>
    </row>
    <row r="884">
      <c r="D884" s="637"/>
    </row>
    <row r="885">
      <c r="D885" s="637"/>
    </row>
    <row r="886">
      <c r="D886" s="637"/>
    </row>
    <row r="887">
      <c r="D887" s="637"/>
    </row>
    <row r="888">
      <c r="D888" s="637"/>
    </row>
    <row r="889">
      <c r="D889" s="637"/>
    </row>
    <row r="890">
      <c r="D890" s="637"/>
    </row>
    <row r="891">
      <c r="D891" s="637"/>
    </row>
    <row r="892">
      <c r="D892" s="637"/>
    </row>
    <row r="893">
      <c r="D893" s="637"/>
    </row>
    <row r="894">
      <c r="D894" s="637"/>
    </row>
    <row r="895">
      <c r="D895" s="637"/>
    </row>
    <row r="896">
      <c r="D896" s="637"/>
    </row>
    <row r="897">
      <c r="D897" s="637"/>
    </row>
    <row r="898">
      <c r="D898" s="637"/>
    </row>
    <row r="899">
      <c r="D899" s="637"/>
    </row>
    <row r="900">
      <c r="D900" s="637"/>
    </row>
    <row r="901">
      <c r="D901" s="637"/>
    </row>
    <row r="902">
      <c r="D902" s="637"/>
    </row>
    <row r="903">
      <c r="D903" s="637"/>
    </row>
    <row r="904">
      <c r="D904" s="637"/>
    </row>
    <row r="905">
      <c r="D905" s="637"/>
    </row>
    <row r="906">
      <c r="D906" s="637"/>
    </row>
    <row r="907">
      <c r="D907" s="637"/>
    </row>
    <row r="908">
      <c r="D908" s="637"/>
    </row>
    <row r="909">
      <c r="D909" s="637"/>
    </row>
    <row r="910">
      <c r="D910" s="637"/>
    </row>
    <row r="911">
      <c r="D911" s="637"/>
    </row>
    <row r="912">
      <c r="D912" s="637"/>
    </row>
    <row r="913">
      <c r="D913" s="637"/>
    </row>
    <row r="914">
      <c r="D914" s="637"/>
    </row>
    <row r="915">
      <c r="D915" s="637"/>
    </row>
    <row r="916">
      <c r="D916" s="637"/>
    </row>
    <row r="917">
      <c r="D917" s="637"/>
    </row>
    <row r="918">
      <c r="D918" s="637"/>
    </row>
    <row r="919">
      <c r="D919" s="637"/>
    </row>
    <row r="920">
      <c r="D920" s="637"/>
    </row>
    <row r="921">
      <c r="D921" s="637"/>
    </row>
    <row r="922">
      <c r="D922" s="637"/>
    </row>
    <row r="923">
      <c r="D923" s="637"/>
    </row>
    <row r="924">
      <c r="D924" s="637"/>
    </row>
    <row r="925">
      <c r="D925" s="637"/>
    </row>
    <row r="926">
      <c r="D926" s="637"/>
    </row>
    <row r="927">
      <c r="D927" s="637"/>
    </row>
    <row r="928">
      <c r="D928" s="637"/>
    </row>
    <row r="929">
      <c r="D929" s="637"/>
    </row>
    <row r="930">
      <c r="D930" s="637"/>
    </row>
    <row r="931">
      <c r="D931" s="637"/>
    </row>
    <row r="932">
      <c r="D932" s="637"/>
    </row>
    <row r="933">
      <c r="D933" s="637"/>
    </row>
    <row r="934">
      <c r="D934" s="637"/>
    </row>
    <row r="935">
      <c r="D935" s="637"/>
    </row>
    <row r="936">
      <c r="D936" s="637"/>
    </row>
    <row r="937">
      <c r="D937" s="637"/>
    </row>
    <row r="938">
      <c r="D938" s="637"/>
    </row>
    <row r="939">
      <c r="D939" s="637"/>
    </row>
    <row r="940">
      <c r="D940" s="637"/>
    </row>
    <row r="941">
      <c r="D941" s="637"/>
    </row>
    <row r="942">
      <c r="D942" s="637"/>
    </row>
    <row r="943">
      <c r="D943" s="637"/>
    </row>
    <row r="944">
      <c r="D944" s="637"/>
    </row>
    <row r="945">
      <c r="D945" s="637"/>
    </row>
    <row r="946">
      <c r="D946" s="637"/>
    </row>
    <row r="947">
      <c r="D947" s="637"/>
    </row>
    <row r="948">
      <c r="D948" s="637"/>
    </row>
    <row r="949">
      <c r="D949" s="637"/>
    </row>
    <row r="950">
      <c r="D950" s="637"/>
    </row>
    <row r="951">
      <c r="D951" s="637"/>
    </row>
    <row r="952">
      <c r="D952" s="637"/>
    </row>
    <row r="953">
      <c r="D953" s="637"/>
    </row>
    <row r="954">
      <c r="D954" s="637"/>
    </row>
    <row r="955">
      <c r="D955" s="637"/>
    </row>
    <row r="956">
      <c r="D956" s="637"/>
    </row>
    <row r="957">
      <c r="D957" s="637"/>
    </row>
    <row r="958">
      <c r="D958" s="637"/>
    </row>
    <row r="959">
      <c r="D959" s="637"/>
    </row>
    <row r="960">
      <c r="D960" s="637"/>
    </row>
    <row r="961">
      <c r="D961" s="637"/>
    </row>
    <row r="962">
      <c r="D962" s="637"/>
    </row>
    <row r="963">
      <c r="D963" s="637"/>
    </row>
    <row r="964">
      <c r="D964" s="637"/>
    </row>
    <row r="965">
      <c r="D965" s="637"/>
    </row>
    <row r="966">
      <c r="D966" s="637"/>
    </row>
    <row r="967">
      <c r="D967" s="637"/>
    </row>
    <row r="968">
      <c r="D968" s="637"/>
    </row>
    <row r="969">
      <c r="D969" s="637"/>
    </row>
    <row r="970">
      <c r="D970" s="637"/>
    </row>
    <row r="971">
      <c r="D971" s="637"/>
    </row>
    <row r="972">
      <c r="D972" s="637"/>
    </row>
    <row r="973">
      <c r="D973" s="637"/>
    </row>
    <row r="974">
      <c r="D974" s="637"/>
    </row>
    <row r="975">
      <c r="D975" s="637"/>
    </row>
    <row r="976">
      <c r="D976" s="637"/>
    </row>
    <row r="977">
      <c r="D977" s="637"/>
    </row>
    <row r="978">
      <c r="D978" s="637"/>
    </row>
    <row r="979">
      <c r="D979" s="637"/>
    </row>
    <row r="980">
      <c r="D980" s="637"/>
    </row>
    <row r="981">
      <c r="D981" s="637"/>
    </row>
    <row r="982">
      <c r="D982" s="637"/>
    </row>
    <row r="983">
      <c r="D983" s="637"/>
    </row>
  </sheetData>
  <mergeCells count="16">
    <mergeCell ref="C5:D5"/>
    <mergeCell ref="F5:G5"/>
    <mergeCell ref="C11:I11"/>
    <mergeCell ref="C13:D13"/>
    <mergeCell ref="E13:F13"/>
    <mergeCell ref="G13:H13"/>
    <mergeCell ref="K13:L13"/>
    <mergeCell ref="A79:A80"/>
    <mergeCell ref="A83:A84"/>
    <mergeCell ref="C51:H51"/>
    <mergeCell ref="C57:H57"/>
    <mergeCell ref="C67:H67"/>
    <mergeCell ref="A68:A76"/>
    <mergeCell ref="C73:H73"/>
    <mergeCell ref="C78:H78"/>
    <mergeCell ref="C82:H8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
    <col customWidth="1" min="2" max="2" width="4.43"/>
    <col customWidth="1" min="3" max="3" width="31.71"/>
    <col customWidth="1" min="4" max="4" width="18.0"/>
    <col customWidth="1" min="5" max="5" width="25.43"/>
    <col customWidth="1" min="6" max="6" width="14.43"/>
    <col customWidth="1" hidden="1" min="22" max="26" width="14.43"/>
  </cols>
  <sheetData>
    <row r="1">
      <c r="A1" s="94"/>
      <c r="B1" s="526"/>
      <c r="C1" s="527"/>
      <c r="D1" s="528"/>
      <c r="E1" s="528"/>
      <c r="F1" s="528"/>
      <c r="G1" s="528"/>
      <c r="H1" s="528"/>
      <c r="I1" s="528"/>
      <c r="J1" s="528"/>
      <c r="K1" s="528"/>
      <c r="L1" s="528"/>
      <c r="M1" s="528"/>
      <c r="N1" s="528"/>
      <c r="O1" s="1"/>
      <c r="P1" s="1"/>
      <c r="Q1" s="1"/>
      <c r="R1" s="1"/>
      <c r="S1" s="1"/>
      <c r="T1" s="1"/>
      <c r="U1" s="1"/>
      <c r="V1" s="1"/>
      <c r="W1" s="1"/>
      <c r="X1" s="1"/>
      <c r="Y1" s="1"/>
      <c r="Z1" s="1"/>
    </row>
    <row r="2">
      <c r="A2" s="94"/>
      <c r="B2" s="529" t="s">
        <v>235</v>
      </c>
      <c r="C2" s="527"/>
      <c r="D2" s="528"/>
      <c r="E2" s="528"/>
      <c r="F2" s="528"/>
      <c r="G2" s="528"/>
      <c r="H2" s="528"/>
      <c r="I2" s="528"/>
      <c r="J2" s="528"/>
      <c r="K2" s="528"/>
      <c r="L2" s="528"/>
      <c r="M2" s="528"/>
      <c r="N2" s="528"/>
      <c r="O2" s="1"/>
      <c r="P2" s="1"/>
      <c r="Q2" s="1"/>
      <c r="R2" s="1"/>
      <c r="S2" s="1"/>
      <c r="T2" s="1"/>
      <c r="U2" s="1"/>
      <c r="V2" s="1"/>
      <c r="W2" s="1"/>
      <c r="X2" s="1"/>
      <c r="Y2" s="1"/>
      <c r="Z2" s="1"/>
    </row>
    <row r="3">
      <c r="A3" s="94"/>
      <c r="B3" s="530" t="s">
        <v>487</v>
      </c>
      <c r="C3" s="527"/>
      <c r="D3" s="528"/>
      <c r="E3" s="528"/>
      <c r="F3" s="528"/>
      <c r="G3" s="528"/>
      <c r="H3" s="528"/>
      <c r="I3" s="528"/>
      <c r="J3" s="528"/>
      <c r="K3" s="528"/>
      <c r="L3" s="528"/>
      <c r="M3" s="528"/>
      <c r="N3" s="528"/>
      <c r="O3" s="1"/>
      <c r="P3" s="1"/>
      <c r="Q3" s="1"/>
      <c r="R3" s="1"/>
      <c r="S3" s="1"/>
      <c r="T3" s="1"/>
      <c r="U3" s="1"/>
      <c r="V3" s="1"/>
      <c r="W3" s="1"/>
      <c r="X3" s="1"/>
      <c r="Y3" s="1"/>
      <c r="Z3" s="1"/>
    </row>
    <row r="4">
      <c r="A4" s="94"/>
      <c r="B4" s="528"/>
      <c r="C4" s="527"/>
      <c r="D4" s="528"/>
      <c r="E4" s="528"/>
      <c r="F4" s="528"/>
      <c r="G4" s="528"/>
      <c r="H4" s="528"/>
      <c r="I4" s="528"/>
      <c r="J4" s="528"/>
      <c r="K4" s="528"/>
      <c r="L4" s="528"/>
      <c r="M4" s="528"/>
      <c r="N4" s="528"/>
      <c r="O4" s="1"/>
      <c r="P4" s="1"/>
      <c r="Q4" s="1"/>
      <c r="R4" s="1"/>
      <c r="S4" s="1"/>
      <c r="T4" s="1"/>
      <c r="U4" s="1"/>
      <c r="V4" s="1"/>
      <c r="W4" s="1"/>
      <c r="X4" s="1"/>
      <c r="Y4" s="1"/>
      <c r="Z4" s="1"/>
    </row>
    <row r="5" ht="9.75" customHeight="1">
      <c r="A5" s="531"/>
      <c r="B5" s="532"/>
      <c r="C5" s="533"/>
      <c r="D5" s="534"/>
      <c r="E5" s="534"/>
      <c r="F5" s="532"/>
      <c r="G5" s="532"/>
      <c r="H5" s="532"/>
      <c r="I5" s="532"/>
      <c r="J5" s="532"/>
      <c r="K5" s="532"/>
      <c r="L5" s="532"/>
      <c r="M5" s="532"/>
      <c r="N5" s="682"/>
      <c r="O5" s="682"/>
      <c r="P5" s="682"/>
      <c r="Q5" s="682"/>
      <c r="R5" s="682"/>
      <c r="S5" s="682"/>
      <c r="T5" s="1"/>
      <c r="U5" s="1"/>
      <c r="V5" s="1"/>
      <c r="W5" s="1"/>
      <c r="X5" s="1"/>
      <c r="Y5" s="1"/>
      <c r="Z5" s="1"/>
    </row>
    <row r="6">
      <c r="A6" s="94"/>
      <c r="B6" s="535"/>
      <c r="C6" s="527"/>
      <c r="D6" s="528"/>
      <c r="E6" s="528"/>
      <c r="F6" s="528"/>
      <c r="G6" s="528"/>
      <c r="H6" s="528"/>
      <c r="I6" s="528"/>
      <c r="J6" s="528"/>
      <c r="K6" s="528"/>
      <c r="L6" s="528"/>
      <c r="M6" s="528"/>
      <c r="N6" s="528"/>
      <c r="O6" s="1"/>
      <c r="P6" s="1"/>
      <c r="Q6" s="1"/>
      <c r="R6" s="1"/>
      <c r="S6" s="1"/>
      <c r="T6" s="1"/>
      <c r="U6" s="1"/>
      <c r="V6" s="1"/>
      <c r="W6" s="1"/>
      <c r="X6" s="1"/>
      <c r="Y6" s="1"/>
      <c r="Z6" s="1"/>
    </row>
    <row r="7">
      <c r="A7" s="94"/>
      <c r="B7" s="528"/>
      <c r="C7" s="79" t="s">
        <v>61</v>
      </c>
      <c r="D7" s="80"/>
      <c r="E7" s="536"/>
      <c r="F7" s="528"/>
      <c r="G7" s="528"/>
      <c r="H7" s="528"/>
      <c r="I7" s="528"/>
      <c r="J7" s="528"/>
      <c r="K7" s="528"/>
      <c r="L7" s="528"/>
      <c r="M7" s="528"/>
      <c r="N7" s="528"/>
      <c r="O7" s="1"/>
      <c r="P7" s="1"/>
      <c r="Q7" s="1"/>
      <c r="R7" s="1"/>
      <c r="S7" s="1"/>
      <c r="T7" s="1"/>
      <c r="U7" s="1"/>
      <c r="V7" s="1"/>
      <c r="W7" s="1"/>
      <c r="X7" s="1"/>
      <c r="Y7" s="1"/>
      <c r="Z7" s="1"/>
    </row>
    <row r="8">
      <c r="A8" s="94"/>
      <c r="B8" s="537"/>
      <c r="C8" s="538" t="s">
        <v>237</v>
      </c>
      <c r="D8" s="539"/>
      <c r="E8" s="540"/>
      <c r="F8" s="528"/>
      <c r="G8" s="528"/>
      <c r="H8" s="528"/>
      <c r="I8" s="528"/>
      <c r="J8" s="528"/>
      <c r="K8" s="528"/>
      <c r="L8" s="528"/>
      <c r="M8" s="528"/>
      <c r="N8" s="528"/>
      <c r="O8" s="1"/>
      <c r="P8" s="1"/>
      <c r="Q8" s="1"/>
      <c r="R8" s="1"/>
      <c r="S8" s="1"/>
      <c r="T8" s="1"/>
      <c r="U8" s="1"/>
      <c r="V8" s="1"/>
      <c r="W8" s="1"/>
      <c r="X8" s="1"/>
      <c r="Y8" s="1"/>
      <c r="Z8" s="1"/>
    </row>
    <row r="9">
      <c r="A9" s="94"/>
      <c r="B9" s="541"/>
      <c r="C9" s="538" t="s">
        <v>238</v>
      </c>
      <c r="D9" s="83"/>
      <c r="E9" s="540"/>
      <c r="F9" s="528"/>
      <c r="G9" s="528"/>
      <c r="H9" s="528"/>
      <c r="I9" s="528"/>
      <c r="J9" s="528"/>
      <c r="K9" s="528"/>
      <c r="L9" s="528"/>
      <c r="M9" s="528"/>
      <c r="N9" s="528"/>
      <c r="O9" s="1"/>
      <c r="P9" s="1"/>
      <c r="Q9" s="1"/>
      <c r="R9" s="1"/>
      <c r="S9" s="1"/>
      <c r="T9" s="1"/>
      <c r="U9" s="1"/>
      <c r="V9" s="1"/>
      <c r="W9" s="1"/>
      <c r="X9" s="1"/>
      <c r="Y9" s="1"/>
      <c r="Z9" s="1"/>
    </row>
    <row r="10">
      <c r="A10" s="94"/>
      <c r="B10" s="541"/>
      <c r="C10" s="542"/>
      <c r="D10" s="2"/>
      <c r="E10" s="2"/>
      <c r="F10" s="528"/>
      <c r="G10" s="528"/>
      <c r="H10" s="528"/>
      <c r="I10" s="528"/>
      <c r="J10" s="528"/>
      <c r="K10" s="528"/>
      <c r="L10" s="528"/>
      <c r="M10" s="528"/>
      <c r="N10" s="528"/>
      <c r="O10" s="1"/>
      <c r="P10" s="1"/>
      <c r="Q10" s="1"/>
      <c r="R10" s="1"/>
      <c r="S10" s="1"/>
      <c r="T10" s="1"/>
      <c r="U10" s="1"/>
      <c r="V10" s="1"/>
      <c r="W10" s="1"/>
      <c r="X10" s="1"/>
      <c r="Y10" s="1"/>
      <c r="Z10" s="1"/>
    </row>
    <row r="11" ht="9.0" customHeight="1">
      <c r="A11" s="543"/>
      <c r="B11" s="532"/>
      <c r="C11" s="533"/>
      <c r="D11" s="534"/>
      <c r="E11" s="534"/>
      <c r="F11" s="532"/>
      <c r="G11" s="532"/>
      <c r="H11" s="532"/>
      <c r="I11" s="532"/>
      <c r="J11" s="532"/>
      <c r="K11" s="532"/>
      <c r="L11" s="532"/>
      <c r="M11" s="532"/>
      <c r="N11" s="532"/>
      <c r="O11" s="532"/>
      <c r="P11" s="532"/>
      <c r="Q11" s="532"/>
      <c r="R11" s="532"/>
      <c r="S11" s="532"/>
      <c r="T11" s="1"/>
      <c r="U11" s="1"/>
      <c r="V11" s="1"/>
      <c r="W11" s="1"/>
      <c r="X11" s="1"/>
      <c r="Y11" s="1"/>
      <c r="Z11" s="1"/>
    </row>
    <row r="12">
      <c r="A12" s="683"/>
      <c r="B12" s="684"/>
      <c r="C12" s="685"/>
      <c r="D12" s="686"/>
      <c r="E12" s="686"/>
      <c r="F12" s="684"/>
      <c r="G12" s="684"/>
      <c r="H12" s="684"/>
      <c r="I12" s="684"/>
      <c r="J12" s="684"/>
      <c r="K12" s="684"/>
      <c r="L12" s="684"/>
      <c r="M12" s="684"/>
      <c r="N12" s="684"/>
      <c r="O12" s="687"/>
      <c r="P12" s="687"/>
      <c r="Q12" s="687"/>
      <c r="R12" s="687"/>
      <c r="S12" s="687"/>
      <c r="T12" s="687"/>
      <c r="U12" s="687"/>
      <c r="V12" s="687"/>
      <c r="W12" s="687"/>
      <c r="X12" s="687"/>
      <c r="Y12" s="687"/>
      <c r="Z12" s="687"/>
    </row>
    <row r="13">
      <c r="A13" s="683"/>
      <c r="B13" s="688"/>
      <c r="C13" s="1"/>
      <c r="D13" s="1"/>
      <c r="E13" s="1"/>
      <c r="F13" s="1"/>
      <c r="G13" s="1"/>
      <c r="H13" s="1"/>
      <c r="I13" s="1"/>
      <c r="J13" s="689"/>
      <c r="K13" s="690"/>
      <c r="L13" s="690"/>
      <c r="M13" s="549"/>
      <c r="N13" s="691"/>
      <c r="O13" s="687"/>
      <c r="P13" s="687"/>
      <c r="Q13" s="687"/>
      <c r="R13" s="687"/>
      <c r="S13" s="687"/>
      <c r="T13" s="687"/>
      <c r="U13" s="687"/>
      <c r="V13" s="687"/>
      <c r="W13" s="687"/>
      <c r="X13" s="687"/>
      <c r="Y13" s="687"/>
      <c r="Z13" s="687"/>
    </row>
    <row r="14" ht="23.25" customHeight="1">
      <c r="A14" s="687"/>
      <c r="B14" s="1"/>
      <c r="C14" s="692" t="s">
        <v>488</v>
      </c>
      <c r="D14" s="693" t="s">
        <v>240</v>
      </c>
      <c r="E14" s="694">
        <v>1.0</v>
      </c>
      <c r="F14" s="694">
        <v>2.0</v>
      </c>
      <c r="G14" s="694">
        <v>3.0</v>
      </c>
      <c r="H14" s="694">
        <v>4.0</v>
      </c>
      <c r="I14" s="694">
        <v>5.0</v>
      </c>
      <c r="J14" s="694">
        <v>6.0</v>
      </c>
      <c r="K14" s="694">
        <v>7.0</v>
      </c>
      <c r="L14" s="694">
        <v>8.0</v>
      </c>
      <c r="M14" s="694">
        <v>9.0</v>
      </c>
      <c r="N14" s="694">
        <v>10.0</v>
      </c>
      <c r="O14" s="694">
        <v>11.0</v>
      </c>
      <c r="P14" s="694">
        <v>12.0</v>
      </c>
      <c r="Q14" s="694">
        <v>13.0</v>
      </c>
      <c r="R14" s="694">
        <v>14.0</v>
      </c>
      <c r="S14" s="694">
        <v>15.0</v>
      </c>
      <c r="T14" s="1"/>
      <c r="U14" s="687"/>
      <c r="V14" s="687"/>
      <c r="W14" s="687"/>
      <c r="X14" s="687"/>
      <c r="Y14" s="687"/>
      <c r="Z14" s="687"/>
    </row>
    <row r="15">
      <c r="A15" s="687"/>
      <c r="B15" s="1"/>
      <c r="C15" s="695" t="s">
        <v>489</v>
      </c>
      <c r="D15" s="696">
        <f t="shared" ref="D15:D16" si="1">sum(E15:S15)</f>
        <v>7000000</v>
      </c>
      <c r="E15" s="697">
        <v>1000000.0</v>
      </c>
      <c r="F15" s="697">
        <v>1500000.0</v>
      </c>
      <c r="G15" s="697">
        <v>1500000.0</v>
      </c>
      <c r="H15" s="697">
        <v>1500000.0</v>
      </c>
      <c r="I15" s="697">
        <v>1500000.0</v>
      </c>
      <c r="J15" s="698"/>
      <c r="K15" s="698"/>
      <c r="L15" s="698"/>
      <c r="M15" s="698"/>
      <c r="N15" s="698"/>
      <c r="O15" s="698"/>
      <c r="P15" s="698"/>
      <c r="Q15" s="698"/>
      <c r="R15" s="698"/>
      <c r="S15" s="698"/>
      <c r="T15" s="1"/>
      <c r="U15" s="687"/>
      <c r="V15" s="687"/>
      <c r="W15" s="687"/>
      <c r="X15" s="687"/>
      <c r="Y15" s="687"/>
      <c r="Z15" s="687"/>
    </row>
    <row r="16" ht="25.5" customHeight="1">
      <c r="A16" s="687"/>
      <c r="B16" s="1"/>
      <c r="C16" s="692" t="s">
        <v>490</v>
      </c>
      <c r="D16" s="696">
        <f t="shared" si="1"/>
        <v>4000000</v>
      </c>
      <c r="E16" s="697">
        <v>2000000.0</v>
      </c>
      <c r="F16" s="697">
        <v>500000.0</v>
      </c>
      <c r="G16" s="697">
        <v>500000.0</v>
      </c>
      <c r="H16" s="697">
        <v>500000.0</v>
      </c>
      <c r="I16" s="697">
        <v>500000.0</v>
      </c>
      <c r="J16" s="698"/>
      <c r="K16" s="698"/>
      <c r="L16" s="698"/>
      <c r="M16" s="698"/>
      <c r="N16" s="698"/>
      <c r="O16" s="698"/>
      <c r="P16" s="698"/>
      <c r="Q16" s="698"/>
      <c r="R16" s="698"/>
      <c r="S16" s="698"/>
      <c r="T16" s="1"/>
      <c r="U16" s="687"/>
      <c r="V16" s="687"/>
      <c r="W16" s="687"/>
      <c r="X16" s="687"/>
      <c r="Y16" s="687"/>
      <c r="Z16" s="687"/>
    </row>
    <row r="17">
      <c r="A17" s="687"/>
      <c r="B17" s="687"/>
      <c r="C17" s="1"/>
      <c r="D17" s="1"/>
      <c r="E17" s="1"/>
      <c r="F17" s="1"/>
      <c r="G17" s="1"/>
      <c r="H17" s="1"/>
      <c r="I17" s="1"/>
      <c r="J17" s="687"/>
      <c r="K17" s="687"/>
      <c r="L17" s="687"/>
      <c r="M17" s="687"/>
      <c r="N17" s="687"/>
      <c r="O17" s="687"/>
      <c r="P17" s="687"/>
      <c r="Q17" s="687"/>
      <c r="R17" s="687"/>
      <c r="S17" s="687"/>
      <c r="T17" s="687"/>
      <c r="U17" s="687"/>
      <c r="V17" s="687"/>
      <c r="W17" s="687"/>
      <c r="X17" s="687"/>
      <c r="Y17" s="687"/>
      <c r="Z17" s="687"/>
    </row>
    <row r="18">
      <c r="A18" s="687"/>
      <c r="B18" s="687"/>
      <c r="C18" s="687"/>
      <c r="D18" s="687"/>
      <c r="E18" s="687"/>
      <c r="F18" s="687"/>
      <c r="G18" s="687"/>
      <c r="H18" s="687"/>
      <c r="I18" s="687"/>
      <c r="J18" s="687"/>
      <c r="K18" s="687"/>
      <c r="L18" s="687"/>
      <c r="M18" s="687"/>
      <c r="N18" s="687"/>
      <c r="O18" s="687"/>
      <c r="P18" s="687"/>
      <c r="Q18" s="687"/>
      <c r="R18" s="687"/>
      <c r="S18" s="687"/>
      <c r="T18" s="687"/>
      <c r="U18" s="687"/>
      <c r="V18" s="687"/>
      <c r="W18" s="687"/>
      <c r="X18" s="687"/>
      <c r="Y18" s="687"/>
      <c r="Z18" s="687"/>
    </row>
    <row r="19">
      <c r="A19" s="687"/>
      <c r="B19" s="687"/>
      <c r="C19" s="687"/>
      <c r="D19" s="687"/>
      <c r="E19" s="687"/>
      <c r="F19" s="687"/>
      <c r="G19" s="687"/>
      <c r="H19" s="687"/>
      <c r="I19" s="687"/>
      <c r="J19" s="687"/>
      <c r="K19" s="687"/>
      <c r="L19" s="687"/>
      <c r="M19" s="687"/>
      <c r="N19" s="687"/>
      <c r="O19" s="687"/>
      <c r="P19" s="687"/>
      <c r="Q19" s="687"/>
      <c r="R19" s="687"/>
      <c r="S19" s="687"/>
      <c r="T19" s="687"/>
      <c r="U19" s="687"/>
      <c r="V19" s="687"/>
      <c r="W19" s="687"/>
      <c r="X19" s="687"/>
      <c r="Y19" s="687"/>
      <c r="Z19" s="687"/>
    </row>
    <row r="20">
      <c r="A20" s="687"/>
      <c r="B20" s="687"/>
      <c r="C20" s="687"/>
      <c r="D20" s="687"/>
      <c r="E20" s="687"/>
      <c r="F20" s="687"/>
      <c r="G20" s="687"/>
      <c r="H20" s="687"/>
      <c r="I20" s="687"/>
      <c r="J20" s="687"/>
      <c r="K20" s="687"/>
      <c r="L20" s="687"/>
      <c r="M20" s="687"/>
      <c r="N20" s="687"/>
      <c r="O20" s="687"/>
      <c r="P20" s="687"/>
      <c r="Q20" s="687"/>
      <c r="R20" s="687"/>
      <c r="S20" s="687"/>
      <c r="T20" s="687"/>
      <c r="U20" s="687"/>
      <c r="V20" s="687"/>
      <c r="W20" s="687"/>
      <c r="X20" s="687"/>
      <c r="Y20" s="687"/>
      <c r="Z20" s="687"/>
    </row>
    <row r="21" ht="15.75" customHeight="1">
      <c r="A21" s="687"/>
      <c r="B21" s="687"/>
      <c r="C21" s="695" t="s">
        <v>491</v>
      </c>
      <c r="D21" s="699"/>
      <c r="E21" s="694" t="s">
        <v>80</v>
      </c>
      <c r="F21" s="694" t="s">
        <v>81</v>
      </c>
      <c r="G21" s="694" t="s">
        <v>82</v>
      </c>
      <c r="H21" s="694" t="s">
        <v>83</v>
      </c>
      <c r="I21" s="694" t="s">
        <v>84</v>
      </c>
      <c r="J21" s="687"/>
      <c r="K21" s="687"/>
      <c r="L21" s="687"/>
      <c r="M21" s="687"/>
      <c r="N21" s="687"/>
      <c r="O21" s="687"/>
      <c r="P21" s="687"/>
      <c r="Q21" s="687"/>
      <c r="R21" s="687"/>
      <c r="S21" s="687"/>
      <c r="T21" s="687"/>
      <c r="U21" s="687"/>
      <c r="V21" s="687"/>
      <c r="W21" s="687"/>
      <c r="X21" s="687"/>
      <c r="Y21" s="687"/>
      <c r="Z21" s="687"/>
    </row>
    <row r="22" ht="15.75" customHeight="1">
      <c r="A22" s="687"/>
      <c r="B22" s="687"/>
      <c r="C22" s="700" t="s">
        <v>492</v>
      </c>
      <c r="D22" s="701">
        <f>SUM(E22:I22)</f>
        <v>41800000</v>
      </c>
      <c r="E22" s="701">
        <f>sum(E23:E24)*('Customer Phases - Inputs and As'!C21)</f>
        <v>3300000</v>
      </c>
      <c r="F22" s="701">
        <f>sum(F23:F24)*('Customer Phases - Inputs and As'!D21)</f>
        <v>7700000</v>
      </c>
      <c r="G22" s="701">
        <f>sum(G23:G24)*('Customer Phases - Inputs and As'!E21)</f>
        <v>8800000</v>
      </c>
      <c r="H22" s="701">
        <f>sum(H23:H24)*('Customer Phases - Inputs and As'!F21)</f>
        <v>11000000</v>
      </c>
      <c r="I22" s="701">
        <f>sum(I23:I24)*('Customer Phases - Inputs and As'!G21)</f>
        <v>11000000</v>
      </c>
      <c r="J22" s="687"/>
      <c r="K22" s="687"/>
      <c r="L22" s="687"/>
      <c r="M22" s="687"/>
      <c r="N22" s="687"/>
      <c r="O22" s="687"/>
      <c r="P22" s="687"/>
      <c r="Q22" s="687"/>
      <c r="R22" s="687"/>
      <c r="S22" s="687"/>
      <c r="T22" s="687"/>
      <c r="U22" s="687"/>
      <c r="V22" s="687"/>
      <c r="W22" s="687"/>
      <c r="X22" s="687"/>
      <c r="Y22" s="687"/>
      <c r="Z22" s="687"/>
    </row>
    <row r="23" ht="15.75" customHeight="1">
      <c r="A23" s="687"/>
      <c r="B23" s="687"/>
      <c r="C23" s="702" t="s">
        <v>493</v>
      </c>
      <c r="D23" s="703">
        <f t="shared" ref="D23:D24" si="3">sum(E23:I23)</f>
        <v>35000000</v>
      </c>
      <c r="E23" s="704">
        <f t="shared" ref="E23:E24" si="4">D15</f>
        <v>7000000</v>
      </c>
      <c r="F23" s="704">
        <f t="shared" ref="F23:I23" si="2">E23</f>
        <v>7000000</v>
      </c>
      <c r="G23" s="704">
        <f t="shared" si="2"/>
        <v>7000000</v>
      </c>
      <c r="H23" s="704">
        <f t="shared" si="2"/>
        <v>7000000</v>
      </c>
      <c r="I23" s="704">
        <f t="shared" si="2"/>
        <v>7000000</v>
      </c>
      <c r="J23" s="687"/>
      <c r="K23" s="687"/>
      <c r="L23" s="687"/>
      <c r="M23" s="687"/>
      <c r="N23" s="687"/>
      <c r="O23" s="687"/>
      <c r="P23" s="687"/>
      <c r="Q23" s="687"/>
      <c r="R23" s="687"/>
      <c r="S23" s="687"/>
      <c r="T23" s="687"/>
      <c r="U23" s="687"/>
      <c r="V23" s="687"/>
      <c r="W23" s="687"/>
      <c r="X23" s="687"/>
      <c r="Y23" s="687"/>
      <c r="Z23" s="687"/>
    </row>
    <row r="24" ht="15.75" customHeight="1">
      <c r="A24" s="687"/>
      <c r="B24" s="687"/>
      <c r="C24" s="705" t="s">
        <v>490</v>
      </c>
      <c r="D24" s="706">
        <f t="shared" si="3"/>
        <v>20000000</v>
      </c>
      <c r="E24" s="707">
        <f t="shared" si="4"/>
        <v>4000000</v>
      </c>
      <c r="F24" s="707">
        <f t="shared" ref="F24:I24" si="5">E24</f>
        <v>4000000</v>
      </c>
      <c r="G24" s="707">
        <f t="shared" si="5"/>
        <v>4000000</v>
      </c>
      <c r="H24" s="707">
        <f t="shared" si="5"/>
        <v>4000000</v>
      </c>
      <c r="I24" s="707">
        <f t="shared" si="5"/>
        <v>4000000</v>
      </c>
      <c r="J24" s="687"/>
      <c r="K24" s="687"/>
      <c r="L24" s="687"/>
      <c r="M24" s="687"/>
      <c r="N24" s="687"/>
      <c r="O24" s="687"/>
      <c r="P24" s="687"/>
      <c r="Q24" s="687"/>
      <c r="R24" s="687"/>
      <c r="S24" s="687"/>
      <c r="T24" s="687"/>
      <c r="U24" s="687"/>
      <c r="V24" s="687"/>
      <c r="W24" s="687"/>
      <c r="X24" s="687"/>
      <c r="Y24" s="687"/>
      <c r="Z24" s="687"/>
    </row>
    <row r="25" ht="15.75" customHeight="1">
      <c r="A25" s="687"/>
      <c r="B25" s="687"/>
      <c r="C25" s="687"/>
      <c r="D25" s="687"/>
      <c r="E25" s="687"/>
      <c r="F25" s="687"/>
      <c r="G25" s="687"/>
      <c r="H25" s="687"/>
      <c r="I25" s="687"/>
      <c r="J25" s="687"/>
      <c r="K25" s="687"/>
      <c r="L25" s="687"/>
      <c r="M25" s="687"/>
      <c r="N25" s="687"/>
      <c r="O25" s="687"/>
      <c r="P25" s="687"/>
      <c r="Q25" s="687"/>
      <c r="R25" s="687"/>
      <c r="S25" s="687"/>
      <c r="T25" s="687"/>
      <c r="U25" s="687"/>
      <c r="V25" s="687"/>
      <c r="W25" s="687"/>
      <c r="X25" s="687"/>
      <c r="Y25" s="687"/>
      <c r="Z25" s="687"/>
    </row>
    <row r="26" ht="15.75" customHeight="1">
      <c r="A26" s="687"/>
      <c r="B26" s="687"/>
      <c r="C26" s="687"/>
      <c r="D26" s="687"/>
      <c r="E26" s="687"/>
      <c r="F26" s="687"/>
      <c r="G26" s="687"/>
      <c r="H26" s="687"/>
      <c r="I26" s="687"/>
      <c r="J26" s="687"/>
      <c r="K26" s="687"/>
      <c r="L26" s="687"/>
      <c r="M26" s="687"/>
      <c r="N26" s="687"/>
      <c r="O26" s="687"/>
      <c r="P26" s="687"/>
      <c r="Q26" s="687"/>
      <c r="R26" s="687"/>
      <c r="S26" s="687"/>
      <c r="T26" s="687"/>
      <c r="U26" s="687"/>
      <c r="V26" s="687"/>
      <c r="W26" s="687"/>
      <c r="X26" s="687"/>
      <c r="Y26" s="687"/>
      <c r="Z26" s="687"/>
    </row>
    <row r="27" ht="15.75" customHeight="1">
      <c r="A27" s="687"/>
      <c r="B27" s="687"/>
      <c r="C27" s="687"/>
      <c r="D27" s="687"/>
      <c r="E27" s="687"/>
      <c r="F27" s="687"/>
      <c r="G27" s="687"/>
      <c r="H27" s="687"/>
      <c r="I27" s="687"/>
      <c r="J27" s="687"/>
      <c r="K27" s="687"/>
      <c r="L27" s="687"/>
      <c r="M27" s="687"/>
      <c r="N27" s="687"/>
      <c r="O27" s="687"/>
      <c r="P27" s="687"/>
      <c r="Q27" s="687"/>
      <c r="R27" s="687"/>
      <c r="S27" s="687"/>
      <c r="T27" s="687"/>
      <c r="U27" s="687"/>
      <c r="V27" s="687"/>
      <c r="W27" s="687"/>
      <c r="X27" s="687"/>
      <c r="Y27" s="687"/>
      <c r="Z27" s="687"/>
    </row>
    <row r="28" ht="15.75" customHeight="1">
      <c r="A28" s="687"/>
      <c r="B28" s="687"/>
      <c r="C28" s="687"/>
      <c r="D28" s="687"/>
      <c r="E28" s="687"/>
      <c r="F28" s="687"/>
      <c r="G28" s="687"/>
      <c r="H28" s="687"/>
      <c r="I28" s="687"/>
      <c r="J28" s="687"/>
      <c r="K28" s="687"/>
      <c r="L28" s="687"/>
      <c r="M28" s="687"/>
      <c r="N28" s="687"/>
      <c r="O28" s="687"/>
      <c r="P28" s="687"/>
      <c r="Q28" s="687"/>
      <c r="R28" s="687"/>
      <c r="S28" s="687"/>
      <c r="T28" s="687"/>
      <c r="U28" s="687"/>
      <c r="V28" s="687"/>
      <c r="W28" s="687"/>
      <c r="X28" s="687"/>
      <c r="Y28" s="687"/>
      <c r="Z28" s="687"/>
    </row>
    <row r="29" ht="15.75" customHeight="1">
      <c r="A29" s="687"/>
      <c r="B29" s="687"/>
      <c r="C29" s="687"/>
      <c r="D29" s="687"/>
      <c r="E29" s="687"/>
      <c r="F29" s="687"/>
      <c r="G29" s="687"/>
      <c r="H29" s="687"/>
      <c r="I29" s="687"/>
      <c r="J29" s="687"/>
      <c r="K29" s="687"/>
      <c r="L29" s="687"/>
      <c r="M29" s="687"/>
      <c r="N29" s="687"/>
      <c r="O29" s="687"/>
      <c r="P29" s="687"/>
      <c r="Q29" s="687"/>
      <c r="R29" s="687"/>
      <c r="S29" s="687"/>
      <c r="T29" s="687"/>
      <c r="U29" s="687"/>
      <c r="V29" s="687"/>
      <c r="W29" s="687"/>
      <c r="X29" s="687"/>
      <c r="Y29" s="687"/>
      <c r="Z29" s="687"/>
    </row>
    <row r="30" ht="15.75" customHeight="1">
      <c r="A30" s="687"/>
      <c r="B30" s="687"/>
      <c r="C30" s="687"/>
      <c r="D30" s="687"/>
      <c r="E30" s="687"/>
      <c r="F30" s="687"/>
      <c r="G30" s="687"/>
      <c r="H30" s="687"/>
      <c r="I30" s="687"/>
      <c r="J30" s="687"/>
      <c r="K30" s="687"/>
      <c r="L30" s="687"/>
      <c r="M30" s="687"/>
      <c r="N30" s="687"/>
      <c r="O30" s="687"/>
      <c r="P30" s="687"/>
      <c r="Q30" s="687"/>
      <c r="R30" s="687"/>
      <c r="S30" s="687"/>
      <c r="T30" s="687"/>
      <c r="U30" s="687"/>
      <c r="V30" s="687"/>
      <c r="W30" s="687"/>
      <c r="X30" s="687"/>
      <c r="Y30" s="687"/>
      <c r="Z30" s="687"/>
    </row>
    <row r="31" ht="15.75" hidden="1" customHeight="1">
      <c r="A31" s="687"/>
      <c r="B31" s="687"/>
      <c r="C31" s="687"/>
      <c r="D31" s="687"/>
      <c r="E31" s="687"/>
      <c r="F31" s="687"/>
      <c r="G31" s="687"/>
      <c r="H31" s="687"/>
      <c r="I31" s="687"/>
      <c r="J31" s="687"/>
      <c r="K31" s="687"/>
      <c r="L31" s="687"/>
      <c r="M31" s="687"/>
      <c r="N31" s="687"/>
      <c r="O31" s="687"/>
      <c r="P31" s="687"/>
      <c r="Q31" s="687"/>
      <c r="R31" s="687"/>
      <c r="S31" s="687"/>
      <c r="T31" s="687"/>
      <c r="U31" s="687"/>
      <c r="V31" s="687"/>
      <c r="W31" s="687"/>
      <c r="X31" s="687"/>
      <c r="Y31" s="687"/>
      <c r="Z31" s="687"/>
    </row>
    <row r="32" ht="15.75" hidden="1" customHeight="1">
      <c r="A32" s="687"/>
      <c r="B32" s="687"/>
      <c r="C32" s="687"/>
      <c r="D32" s="687"/>
      <c r="E32" s="687"/>
      <c r="F32" s="687"/>
      <c r="G32" s="687"/>
      <c r="H32" s="687"/>
      <c r="I32" s="687"/>
      <c r="J32" s="687"/>
      <c r="K32" s="687"/>
      <c r="L32" s="687"/>
      <c r="M32" s="687"/>
      <c r="N32" s="687"/>
      <c r="O32" s="687"/>
      <c r="P32" s="687"/>
      <c r="Q32" s="687"/>
      <c r="R32" s="687"/>
      <c r="S32" s="687"/>
      <c r="T32" s="687"/>
      <c r="U32" s="687"/>
      <c r="V32" s="687"/>
      <c r="W32" s="687"/>
      <c r="X32" s="687"/>
      <c r="Y32" s="687"/>
      <c r="Z32" s="687"/>
    </row>
    <row r="33" ht="15.75" hidden="1" customHeight="1">
      <c r="A33" s="687"/>
      <c r="B33" s="687"/>
      <c r="C33" s="687"/>
      <c r="D33" s="687"/>
      <c r="E33" s="687"/>
      <c r="F33" s="687"/>
      <c r="G33" s="687"/>
      <c r="H33" s="687"/>
      <c r="I33" s="687"/>
      <c r="J33" s="687"/>
      <c r="K33" s="687"/>
      <c r="L33" s="687"/>
      <c r="M33" s="687"/>
      <c r="N33" s="687"/>
      <c r="O33" s="687"/>
      <c r="P33" s="687"/>
      <c r="Q33" s="687"/>
      <c r="R33" s="687"/>
      <c r="S33" s="687"/>
      <c r="T33" s="687"/>
      <c r="U33" s="687"/>
      <c r="V33" s="687"/>
      <c r="W33" s="687"/>
      <c r="X33" s="687"/>
      <c r="Y33" s="687"/>
      <c r="Z33" s="687"/>
    </row>
    <row r="34" ht="15.75" hidden="1" customHeight="1">
      <c r="A34" s="687"/>
      <c r="B34" s="687"/>
      <c r="C34" s="687"/>
      <c r="D34" s="687"/>
      <c r="E34" s="687"/>
      <c r="F34" s="687"/>
      <c r="G34" s="687"/>
      <c r="H34" s="687"/>
      <c r="I34" s="687"/>
      <c r="J34" s="687"/>
      <c r="K34" s="687"/>
      <c r="L34" s="687"/>
      <c r="M34" s="687"/>
      <c r="N34" s="687"/>
      <c r="O34" s="687"/>
      <c r="P34" s="687"/>
      <c r="Q34" s="687"/>
      <c r="R34" s="687"/>
      <c r="S34" s="687"/>
      <c r="T34" s="687"/>
      <c r="U34" s="687"/>
      <c r="V34" s="687"/>
      <c r="W34" s="687"/>
      <c r="X34" s="687"/>
      <c r="Y34" s="687"/>
      <c r="Z34" s="687"/>
    </row>
    <row r="35" ht="15.75" hidden="1" customHeight="1">
      <c r="A35" s="687"/>
      <c r="B35" s="687"/>
      <c r="C35" s="687"/>
      <c r="D35" s="687"/>
      <c r="E35" s="687"/>
      <c r="F35" s="687"/>
      <c r="G35" s="687"/>
      <c r="H35" s="687"/>
      <c r="I35" s="687"/>
      <c r="J35" s="687"/>
      <c r="K35" s="687"/>
      <c r="L35" s="687"/>
      <c r="M35" s="687"/>
      <c r="N35" s="687"/>
      <c r="O35" s="687"/>
      <c r="P35" s="687"/>
      <c r="Q35" s="687"/>
      <c r="R35" s="687"/>
      <c r="S35" s="687"/>
      <c r="T35" s="687"/>
      <c r="U35" s="687"/>
      <c r="V35" s="687"/>
      <c r="W35" s="687"/>
      <c r="X35" s="687"/>
      <c r="Y35" s="687"/>
      <c r="Z35" s="687"/>
    </row>
    <row r="36" ht="15.75" hidden="1" customHeight="1">
      <c r="A36" s="687"/>
      <c r="B36" s="687"/>
      <c r="C36" s="687"/>
      <c r="D36" s="687"/>
      <c r="E36" s="687"/>
      <c r="F36" s="687"/>
      <c r="G36" s="687"/>
      <c r="H36" s="687"/>
      <c r="I36" s="687"/>
      <c r="J36" s="687"/>
      <c r="K36" s="687"/>
      <c r="L36" s="687"/>
      <c r="M36" s="687"/>
      <c r="N36" s="687"/>
      <c r="O36" s="687"/>
      <c r="P36" s="687"/>
      <c r="Q36" s="687"/>
      <c r="R36" s="687"/>
      <c r="S36" s="687"/>
      <c r="T36" s="687"/>
      <c r="U36" s="687"/>
      <c r="V36" s="687"/>
      <c r="W36" s="687"/>
      <c r="X36" s="687"/>
      <c r="Y36" s="687"/>
      <c r="Z36" s="687"/>
    </row>
    <row r="37" ht="15.75" hidden="1" customHeight="1">
      <c r="A37" s="687"/>
      <c r="B37" s="687"/>
      <c r="C37" s="687"/>
      <c r="D37" s="687"/>
      <c r="E37" s="687"/>
      <c r="F37" s="687"/>
      <c r="G37" s="687"/>
      <c r="H37" s="687"/>
      <c r="I37" s="687"/>
      <c r="J37" s="687"/>
      <c r="K37" s="687"/>
      <c r="L37" s="687"/>
      <c r="M37" s="687"/>
      <c r="N37" s="687"/>
      <c r="O37" s="687"/>
      <c r="P37" s="687"/>
      <c r="Q37" s="687"/>
      <c r="R37" s="687"/>
      <c r="S37" s="687"/>
      <c r="T37" s="687"/>
      <c r="U37" s="687"/>
      <c r="V37" s="687"/>
      <c r="W37" s="687"/>
      <c r="X37" s="687"/>
      <c r="Y37" s="687"/>
      <c r="Z37" s="687"/>
    </row>
    <row r="38" ht="15.75" hidden="1" customHeight="1">
      <c r="A38" s="687"/>
      <c r="B38" s="687"/>
      <c r="C38" s="687"/>
      <c r="D38" s="687"/>
      <c r="E38" s="687"/>
      <c r="F38" s="687"/>
      <c r="G38" s="687"/>
      <c r="H38" s="687"/>
      <c r="I38" s="687"/>
      <c r="J38" s="687"/>
      <c r="K38" s="687"/>
      <c r="L38" s="687"/>
      <c r="M38" s="687"/>
      <c r="N38" s="687"/>
      <c r="O38" s="687"/>
      <c r="P38" s="687"/>
      <c r="Q38" s="687"/>
      <c r="R38" s="687"/>
      <c r="S38" s="687"/>
      <c r="T38" s="687"/>
      <c r="U38" s="687"/>
      <c r="V38" s="687"/>
      <c r="W38" s="687"/>
      <c r="X38" s="687"/>
      <c r="Y38" s="687"/>
      <c r="Z38" s="687"/>
    </row>
    <row r="39" ht="15.75" hidden="1" customHeight="1">
      <c r="A39" s="687"/>
      <c r="B39" s="687"/>
      <c r="C39" s="687"/>
      <c r="D39" s="687"/>
      <c r="E39" s="687"/>
      <c r="F39" s="687"/>
      <c r="G39" s="687"/>
      <c r="H39" s="687"/>
      <c r="I39" s="687"/>
      <c r="J39" s="687"/>
      <c r="K39" s="687"/>
      <c r="L39" s="687"/>
      <c r="M39" s="687"/>
      <c r="N39" s="687"/>
      <c r="O39" s="687"/>
      <c r="P39" s="687"/>
      <c r="Q39" s="687"/>
      <c r="R39" s="687"/>
      <c r="S39" s="687"/>
      <c r="T39" s="687"/>
      <c r="U39" s="687"/>
      <c r="V39" s="687"/>
      <c r="W39" s="687"/>
      <c r="X39" s="687"/>
      <c r="Y39" s="687"/>
      <c r="Z39" s="687"/>
    </row>
    <row r="40" ht="15.75" hidden="1" customHeight="1">
      <c r="A40" s="687"/>
      <c r="B40" s="687"/>
      <c r="C40" s="687"/>
      <c r="D40" s="687"/>
      <c r="E40" s="687"/>
      <c r="F40" s="687"/>
      <c r="G40" s="687"/>
      <c r="H40" s="687"/>
      <c r="I40" s="687"/>
      <c r="J40" s="687"/>
      <c r="K40" s="687"/>
      <c r="L40" s="687"/>
      <c r="M40" s="687"/>
      <c r="N40" s="687"/>
      <c r="O40" s="687"/>
      <c r="P40" s="687"/>
      <c r="Q40" s="687"/>
      <c r="R40" s="687"/>
      <c r="S40" s="687"/>
      <c r="T40" s="687"/>
      <c r="U40" s="687"/>
      <c r="V40" s="687"/>
      <c r="W40" s="687"/>
      <c r="X40" s="687"/>
      <c r="Y40" s="687"/>
      <c r="Z40" s="687"/>
    </row>
    <row r="41" ht="15.75" hidden="1" customHeight="1">
      <c r="A41" s="687"/>
      <c r="B41" s="687"/>
      <c r="C41" s="687"/>
      <c r="D41" s="687"/>
      <c r="E41" s="687"/>
      <c r="F41" s="687"/>
      <c r="G41" s="687"/>
      <c r="H41" s="687"/>
      <c r="I41" s="687"/>
      <c r="J41" s="687"/>
      <c r="K41" s="687"/>
      <c r="L41" s="687"/>
      <c r="M41" s="687"/>
      <c r="N41" s="687"/>
      <c r="O41" s="687"/>
      <c r="P41" s="687"/>
      <c r="Q41" s="687"/>
      <c r="R41" s="687"/>
      <c r="S41" s="687"/>
      <c r="T41" s="687"/>
      <c r="U41" s="687"/>
      <c r="V41" s="687"/>
      <c r="W41" s="687"/>
      <c r="X41" s="687"/>
      <c r="Y41" s="687"/>
      <c r="Z41" s="687"/>
    </row>
    <row r="42" ht="15.75" hidden="1" customHeight="1">
      <c r="A42" s="687"/>
      <c r="B42" s="687"/>
      <c r="C42" s="687"/>
      <c r="D42" s="687"/>
      <c r="E42" s="687"/>
      <c r="F42" s="687"/>
      <c r="G42" s="687"/>
      <c r="H42" s="687"/>
      <c r="I42" s="687"/>
      <c r="J42" s="687"/>
      <c r="K42" s="687"/>
      <c r="L42" s="687"/>
      <c r="M42" s="687"/>
      <c r="N42" s="687"/>
      <c r="O42" s="687"/>
      <c r="P42" s="687"/>
      <c r="Q42" s="687"/>
      <c r="R42" s="687"/>
      <c r="S42" s="687"/>
      <c r="T42" s="687"/>
      <c r="U42" s="687"/>
      <c r="V42" s="687"/>
      <c r="W42" s="687"/>
      <c r="X42" s="687"/>
      <c r="Y42" s="687"/>
      <c r="Z42" s="687"/>
    </row>
    <row r="43" ht="15.75" hidden="1" customHeight="1">
      <c r="A43" s="687"/>
      <c r="B43" s="687"/>
      <c r="C43" s="687"/>
      <c r="D43" s="687"/>
      <c r="E43" s="687"/>
      <c r="F43" s="687"/>
      <c r="G43" s="687"/>
      <c r="H43" s="687"/>
      <c r="I43" s="687"/>
      <c r="J43" s="687"/>
      <c r="K43" s="687"/>
      <c r="L43" s="687"/>
      <c r="M43" s="687"/>
      <c r="N43" s="687"/>
      <c r="O43" s="687"/>
      <c r="P43" s="687"/>
      <c r="Q43" s="687"/>
      <c r="R43" s="687"/>
      <c r="S43" s="687"/>
      <c r="T43" s="687"/>
      <c r="U43" s="687"/>
      <c r="V43" s="687"/>
      <c r="W43" s="687"/>
      <c r="X43" s="687"/>
      <c r="Y43" s="687"/>
      <c r="Z43" s="687"/>
    </row>
    <row r="44" ht="15.75" hidden="1" customHeight="1">
      <c r="A44" s="687"/>
      <c r="B44" s="687"/>
      <c r="C44" s="687"/>
      <c r="D44" s="687"/>
      <c r="E44" s="687"/>
      <c r="F44" s="687"/>
      <c r="G44" s="687"/>
      <c r="H44" s="687"/>
      <c r="I44" s="687"/>
      <c r="J44" s="687"/>
      <c r="K44" s="687"/>
      <c r="L44" s="687"/>
      <c r="M44" s="687"/>
      <c r="N44" s="687"/>
      <c r="O44" s="687"/>
      <c r="P44" s="687"/>
      <c r="Q44" s="687"/>
      <c r="R44" s="687"/>
      <c r="S44" s="687"/>
      <c r="T44" s="687"/>
      <c r="U44" s="687"/>
      <c r="V44" s="687"/>
      <c r="W44" s="687"/>
      <c r="X44" s="687"/>
      <c r="Y44" s="687"/>
      <c r="Z44" s="687"/>
    </row>
    <row r="45" ht="15.75" hidden="1" customHeight="1">
      <c r="A45" s="687"/>
      <c r="B45" s="687"/>
      <c r="C45" s="687"/>
      <c r="D45" s="687"/>
      <c r="E45" s="687"/>
      <c r="F45" s="687"/>
      <c r="G45" s="687"/>
      <c r="H45" s="687"/>
      <c r="I45" s="687"/>
      <c r="J45" s="687"/>
      <c r="K45" s="687"/>
      <c r="L45" s="687"/>
      <c r="M45" s="687"/>
      <c r="N45" s="687"/>
      <c r="O45" s="687"/>
      <c r="P45" s="687"/>
      <c r="Q45" s="687"/>
      <c r="R45" s="687"/>
      <c r="S45" s="687"/>
      <c r="T45" s="687"/>
      <c r="U45" s="687"/>
      <c r="V45" s="687"/>
      <c r="W45" s="687"/>
      <c r="X45" s="687"/>
      <c r="Y45" s="687"/>
      <c r="Z45" s="687"/>
    </row>
    <row r="46" ht="15.75" hidden="1" customHeight="1">
      <c r="A46" s="687"/>
      <c r="B46" s="687"/>
      <c r="C46" s="687"/>
      <c r="D46" s="687"/>
      <c r="E46" s="687"/>
      <c r="F46" s="687"/>
      <c r="G46" s="687"/>
      <c r="H46" s="687"/>
      <c r="I46" s="687"/>
      <c r="J46" s="687"/>
      <c r="K46" s="687"/>
      <c r="L46" s="687"/>
      <c r="M46" s="687"/>
      <c r="N46" s="687"/>
      <c r="O46" s="687"/>
      <c r="P46" s="687"/>
      <c r="Q46" s="687"/>
      <c r="R46" s="687"/>
      <c r="S46" s="687"/>
      <c r="T46" s="687"/>
      <c r="U46" s="687"/>
      <c r="V46" s="687"/>
      <c r="W46" s="687"/>
      <c r="X46" s="687"/>
      <c r="Y46" s="687"/>
      <c r="Z46" s="687"/>
    </row>
    <row r="47" ht="15.75" hidden="1" customHeight="1">
      <c r="A47" s="687"/>
      <c r="B47" s="687"/>
      <c r="C47" s="687"/>
      <c r="D47" s="687"/>
      <c r="E47" s="687"/>
      <c r="F47" s="687"/>
      <c r="G47" s="687"/>
      <c r="H47" s="687"/>
      <c r="I47" s="687"/>
      <c r="J47" s="687"/>
      <c r="K47" s="687"/>
      <c r="L47" s="687"/>
      <c r="M47" s="687"/>
      <c r="N47" s="687"/>
      <c r="O47" s="687"/>
      <c r="P47" s="687"/>
      <c r="Q47" s="687"/>
      <c r="R47" s="687"/>
      <c r="S47" s="687"/>
      <c r="T47" s="687"/>
      <c r="U47" s="687"/>
      <c r="V47" s="687"/>
      <c r="W47" s="687"/>
      <c r="X47" s="687"/>
      <c r="Y47" s="687"/>
      <c r="Z47" s="687"/>
    </row>
    <row r="48" ht="15.75" hidden="1" customHeight="1">
      <c r="A48" s="687"/>
      <c r="B48" s="687"/>
      <c r="C48" s="687"/>
      <c r="D48" s="687"/>
      <c r="E48" s="687"/>
      <c r="F48" s="687"/>
      <c r="G48" s="687"/>
      <c r="H48" s="687"/>
      <c r="I48" s="687"/>
      <c r="J48" s="687"/>
      <c r="K48" s="687"/>
      <c r="L48" s="687"/>
      <c r="M48" s="687"/>
      <c r="N48" s="687"/>
      <c r="O48" s="687"/>
      <c r="P48" s="687"/>
      <c r="Q48" s="687"/>
      <c r="R48" s="687"/>
      <c r="S48" s="687"/>
      <c r="T48" s="687"/>
      <c r="U48" s="687"/>
      <c r="V48" s="687"/>
      <c r="W48" s="687"/>
      <c r="X48" s="687"/>
      <c r="Y48" s="687"/>
      <c r="Z48" s="687"/>
    </row>
    <row r="49" ht="15.75" hidden="1" customHeight="1">
      <c r="A49" s="687"/>
      <c r="B49" s="687"/>
      <c r="C49" s="687"/>
      <c r="D49" s="687"/>
      <c r="E49" s="687"/>
      <c r="F49" s="687"/>
      <c r="G49" s="687"/>
      <c r="H49" s="687"/>
      <c r="I49" s="687"/>
      <c r="J49" s="687"/>
      <c r="K49" s="687"/>
      <c r="L49" s="687"/>
      <c r="M49" s="687"/>
      <c r="N49" s="687"/>
      <c r="O49" s="687"/>
      <c r="P49" s="687"/>
      <c r="Q49" s="687"/>
      <c r="R49" s="687"/>
      <c r="S49" s="687"/>
      <c r="T49" s="687"/>
      <c r="U49" s="687"/>
      <c r="V49" s="687"/>
      <c r="W49" s="687"/>
      <c r="X49" s="687"/>
      <c r="Y49" s="687"/>
      <c r="Z49" s="687"/>
    </row>
    <row r="50" ht="15.75" hidden="1" customHeight="1">
      <c r="A50" s="687"/>
      <c r="B50" s="687"/>
      <c r="C50" s="687"/>
      <c r="D50" s="687"/>
      <c r="E50" s="687"/>
      <c r="F50" s="687"/>
      <c r="G50" s="687"/>
      <c r="H50" s="687"/>
      <c r="I50" s="687"/>
      <c r="J50" s="687"/>
      <c r="K50" s="687"/>
      <c r="L50" s="687"/>
      <c r="M50" s="687"/>
      <c r="N50" s="687"/>
      <c r="O50" s="687"/>
      <c r="P50" s="687"/>
      <c r="Q50" s="687"/>
      <c r="R50" s="687"/>
      <c r="S50" s="687"/>
      <c r="T50" s="687"/>
      <c r="U50" s="687"/>
      <c r="V50" s="687"/>
      <c r="W50" s="687"/>
      <c r="X50" s="687"/>
      <c r="Y50" s="687"/>
      <c r="Z50" s="687"/>
    </row>
    <row r="51" ht="15.75" hidden="1" customHeight="1">
      <c r="A51" s="687"/>
      <c r="B51" s="687"/>
      <c r="C51" s="687"/>
      <c r="D51" s="687"/>
      <c r="E51" s="687"/>
      <c r="F51" s="687"/>
      <c r="G51" s="687"/>
      <c r="H51" s="687"/>
      <c r="I51" s="687"/>
      <c r="J51" s="687"/>
      <c r="K51" s="687"/>
      <c r="L51" s="687"/>
      <c r="M51" s="687"/>
      <c r="N51" s="687"/>
      <c r="O51" s="687"/>
      <c r="P51" s="687"/>
      <c r="Q51" s="687"/>
      <c r="R51" s="687"/>
      <c r="S51" s="687"/>
      <c r="T51" s="687"/>
      <c r="U51" s="687"/>
      <c r="V51" s="687"/>
      <c r="W51" s="687"/>
      <c r="X51" s="687"/>
      <c r="Y51" s="687"/>
      <c r="Z51" s="687"/>
    </row>
    <row r="52" ht="15.75" hidden="1" customHeight="1">
      <c r="A52" s="687"/>
      <c r="B52" s="687"/>
      <c r="C52" s="687"/>
      <c r="D52" s="687"/>
      <c r="E52" s="687"/>
      <c r="F52" s="687"/>
      <c r="G52" s="687"/>
      <c r="H52" s="687"/>
      <c r="I52" s="687"/>
      <c r="J52" s="687"/>
      <c r="K52" s="687"/>
      <c r="L52" s="687"/>
      <c r="M52" s="687"/>
      <c r="N52" s="687"/>
      <c r="O52" s="687"/>
      <c r="P52" s="687"/>
      <c r="Q52" s="687"/>
      <c r="R52" s="687"/>
      <c r="S52" s="687"/>
      <c r="T52" s="687"/>
      <c r="U52" s="687"/>
      <c r="V52" s="687"/>
      <c r="W52" s="687"/>
      <c r="X52" s="687"/>
      <c r="Y52" s="687"/>
      <c r="Z52" s="687"/>
    </row>
    <row r="53" ht="15.75" hidden="1" customHeight="1">
      <c r="A53" s="687"/>
      <c r="B53" s="687"/>
      <c r="C53" s="687"/>
      <c r="D53" s="687"/>
      <c r="E53" s="687"/>
      <c r="F53" s="687"/>
      <c r="G53" s="687"/>
      <c r="H53" s="687"/>
      <c r="I53" s="687"/>
      <c r="J53" s="687"/>
      <c r="K53" s="687"/>
      <c r="L53" s="687"/>
      <c r="M53" s="687"/>
      <c r="N53" s="687"/>
      <c r="O53" s="687"/>
      <c r="P53" s="687"/>
      <c r="Q53" s="687"/>
      <c r="R53" s="687"/>
      <c r="S53" s="687"/>
      <c r="T53" s="687"/>
      <c r="U53" s="687"/>
      <c r="V53" s="687"/>
      <c r="W53" s="687"/>
      <c r="X53" s="687"/>
      <c r="Y53" s="687"/>
      <c r="Z53" s="687"/>
    </row>
    <row r="54" ht="15.75" hidden="1" customHeight="1">
      <c r="A54" s="687"/>
      <c r="B54" s="687"/>
      <c r="C54" s="687"/>
      <c r="D54" s="687"/>
      <c r="E54" s="687"/>
      <c r="F54" s="687"/>
      <c r="G54" s="687"/>
      <c r="H54" s="687"/>
      <c r="I54" s="687"/>
      <c r="J54" s="687"/>
      <c r="K54" s="687"/>
      <c r="L54" s="687"/>
      <c r="M54" s="687"/>
      <c r="N54" s="687"/>
      <c r="O54" s="687"/>
      <c r="P54" s="687"/>
      <c r="Q54" s="687"/>
      <c r="R54" s="687"/>
      <c r="S54" s="687"/>
      <c r="T54" s="687"/>
      <c r="U54" s="687"/>
      <c r="V54" s="687"/>
      <c r="W54" s="687"/>
      <c r="X54" s="687"/>
      <c r="Y54" s="687"/>
      <c r="Z54" s="687"/>
    </row>
    <row r="55" ht="15.75" hidden="1" customHeight="1">
      <c r="A55" s="687"/>
      <c r="B55" s="687"/>
      <c r="C55" s="687"/>
      <c r="D55" s="687"/>
      <c r="E55" s="687"/>
      <c r="F55" s="687"/>
      <c r="G55" s="687"/>
      <c r="H55" s="687"/>
      <c r="I55" s="687"/>
      <c r="J55" s="687"/>
      <c r="K55" s="687"/>
      <c r="L55" s="687"/>
      <c r="M55" s="687"/>
      <c r="N55" s="687"/>
      <c r="O55" s="687"/>
      <c r="P55" s="687"/>
      <c r="Q55" s="687"/>
      <c r="R55" s="687"/>
      <c r="S55" s="687"/>
      <c r="T55" s="687"/>
      <c r="U55" s="687"/>
      <c r="V55" s="687"/>
      <c r="W55" s="687"/>
      <c r="X55" s="687"/>
      <c r="Y55" s="687"/>
      <c r="Z55" s="687"/>
    </row>
    <row r="56" ht="15.75" hidden="1" customHeight="1">
      <c r="A56" s="687"/>
      <c r="B56" s="687"/>
      <c r="C56" s="687"/>
      <c r="D56" s="687"/>
      <c r="E56" s="687"/>
      <c r="F56" s="687"/>
      <c r="G56" s="687"/>
      <c r="H56" s="687"/>
      <c r="I56" s="687"/>
      <c r="J56" s="687"/>
      <c r="K56" s="687"/>
      <c r="L56" s="687"/>
      <c r="M56" s="687"/>
      <c r="N56" s="687"/>
      <c r="O56" s="687"/>
      <c r="P56" s="687"/>
      <c r="Q56" s="687"/>
      <c r="R56" s="687"/>
      <c r="S56" s="687"/>
      <c r="T56" s="687"/>
      <c r="U56" s="687"/>
      <c r="V56" s="687"/>
      <c r="W56" s="687"/>
      <c r="X56" s="687"/>
      <c r="Y56" s="687"/>
      <c r="Z56" s="687"/>
    </row>
    <row r="57" ht="15.75" hidden="1" customHeight="1">
      <c r="A57" s="687"/>
      <c r="B57" s="687"/>
      <c r="C57" s="687"/>
      <c r="D57" s="687"/>
      <c r="E57" s="687"/>
      <c r="F57" s="687"/>
      <c r="G57" s="687"/>
      <c r="H57" s="687"/>
      <c r="I57" s="687"/>
      <c r="J57" s="687"/>
      <c r="K57" s="687"/>
      <c r="L57" s="687"/>
      <c r="M57" s="687"/>
      <c r="N57" s="687"/>
      <c r="O57" s="687"/>
      <c r="P57" s="687"/>
      <c r="Q57" s="687"/>
      <c r="R57" s="687"/>
      <c r="S57" s="687"/>
      <c r="T57" s="687"/>
      <c r="U57" s="687"/>
      <c r="V57" s="687"/>
      <c r="W57" s="687"/>
      <c r="X57" s="687"/>
      <c r="Y57" s="687"/>
      <c r="Z57" s="687"/>
    </row>
    <row r="58" ht="15.75" hidden="1" customHeight="1">
      <c r="A58" s="687"/>
      <c r="B58" s="687"/>
      <c r="C58" s="687"/>
      <c r="D58" s="687"/>
      <c r="E58" s="687"/>
      <c r="F58" s="687"/>
      <c r="G58" s="687"/>
      <c r="H58" s="687"/>
      <c r="I58" s="687"/>
      <c r="J58" s="687"/>
      <c r="K58" s="687"/>
      <c r="L58" s="687"/>
      <c r="M58" s="687"/>
      <c r="N58" s="687"/>
      <c r="O58" s="687"/>
      <c r="P58" s="687"/>
      <c r="Q58" s="687"/>
      <c r="R58" s="687"/>
      <c r="S58" s="687"/>
      <c r="T58" s="687"/>
      <c r="U58" s="687"/>
      <c r="V58" s="687"/>
      <c r="W58" s="687"/>
      <c r="X58" s="687"/>
      <c r="Y58" s="687"/>
      <c r="Z58" s="687"/>
    </row>
    <row r="59" ht="15.75" hidden="1" customHeight="1">
      <c r="A59" s="687"/>
      <c r="B59" s="687"/>
      <c r="C59" s="687"/>
      <c r="D59" s="687"/>
      <c r="E59" s="687"/>
      <c r="F59" s="687"/>
      <c r="G59" s="687"/>
      <c r="H59" s="687"/>
      <c r="I59" s="687"/>
      <c r="J59" s="687"/>
      <c r="K59" s="687"/>
      <c r="L59" s="687"/>
      <c r="M59" s="687"/>
      <c r="N59" s="687"/>
      <c r="O59" s="687"/>
      <c r="P59" s="687"/>
      <c r="Q59" s="687"/>
      <c r="R59" s="687"/>
      <c r="S59" s="687"/>
      <c r="T59" s="687"/>
      <c r="U59" s="687"/>
      <c r="V59" s="687"/>
      <c r="W59" s="687"/>
      <c r="X59" s="687"/>
      <c r="Y59" s="687"/>
      <c r="Z59" s="687"/>
    </row>
    <row r="60" ht="15.75" hidden="1" customHeight="1">
      <c r="A60" s="687"/>
      <c r="B60" s="687"/>
      <c r="C60" s="687"/>
      <c r="D60" s="687"/>
      <c r="E60" s="687"/>
      <c r="F60" s="687"/>
      <c r="G60" s="687"/>
      <c r="H60" s="687"/>
      <c r="I60" s="687"/>
      <c r="J60" s="687"/>
      <c r="K60" s="687"/>
      <c r="L60" s="687"/>
      <c r="M60" s="687"/>
      <c r="N60" s="687"/>
      <c r="O60" s="687"/>
      <c r="P60" s="687"/>
      <c r="Q60" s="687"/>
      <c r="R60" s="687"/>
      <c r="S60" s="687"/>
      <c r="T60" s="687"/>
      <c r="U60" s="687"/>
      <c r="V60" s="687"/>
      <c r="W60" s="687"/>
      <c r="X60" s="687"/>
      <c r="Y60" s="687"/>
      <c r="Z60" s="687"/>
    </row>
    <row r="61" ht="15.75" hidden="1" customHeight="1">
      <c r="A61" s="687"/>
      <c r="B61" s="687"/>
      <c r="C61" s="687"/>
      <c r="D61" s="687"/>
      <c r="E61" s="687"/>
      <c r="F61" s="687"/>
      <c r="G61" s="687"/>
      <c r="H61" s="687"/>
      <c r="I61" s="687"/>
      <c r="J61" s="687"/>
      <c r="K61" s="687"/>
      <c r="L61" s="687"/>
      <c r="M61" s="687"/>
      <c r="N61" s="687"/>
      <c r="O61" s="687"/>
      <c r="P61" s="687"/>
      <c r="Q61" s="687"/>
      <c r="R61" s="687"/>
      <c r="S61" s="687"/>
      <c r="T61" s="687"/>
      <c r="U61" s="687"/>
      <c r="V61" s="687"/>
      <c r="W61" s="687"/>
      <c r="X61" s="687"/>
      <c r="Y61" s="687"/>
      <c r="Z61" s="687"/>
    </row>
    <row r="62" ht="15.75" hidden="1" customHeight="1">
      <c r="A62" s="687"/>
      <c r="B62" s="687"/>
      <c r="C62" s="687"/>
      <c r="D62" s="687"/>
      <c r="E62" s="687"/>
      <c r="F62" s="687"/>
      <c r="G62" s="687"/>
      <c r="H62" s="687"/>
      <c r="I62" s="687"/>
      <c r="J62" s="687"/>
      <c r="K62" s="687"/>
      <c r="L62" s="687"/>
      <c r="M62" s="687"/>
      <c r="N62" s="687"/>
      <c r="O62" s="687"/>
      <c r="P62" s="687"/>
      <c r="Q62" s="687"/>
      <c r="R62" s="687"/>
      <c r="S62" s="687"/>
      <c r="T62" s="687"/>
      <c r="U62" s="687"/>
      <c r="V62" s="687"/>
      <c r="W62" s="687"/>
      <c r="X62" s="687"/>
      <c r="Y62" s="687"/>
      <c r="Z62" s="687"/>
    </row>
    <row r="63" ht="15.75" hidden="1" customHeight="1">
      <c r="A63" s="687"/>
      <c r="B63" s="687"/>
      <c r="C63" s="687"/>
      <c r="D63" s="687"/>
      <c r="E63" s="687"/>
      <c r="F63" s="687"/>
      <c r="G63" s="687"/>
      <c r="H63" s="687"/>
      <c r="I63" s="687"/>
      <c r="J63" s="687"/>
      <c r="K63" s="687"/>
      <c r="L63" s="687"/>
      <c r="M63" s="687"/>
      <c r="N63" s="687"/>
      <c r="O63" s="687"/>
      <c r="P63" s="687"/>
      <c r="Q63" s="687"/>
      <c r="R63" s="687"/>
      <c r="S63" s="687"/>
      <c r="T63" s="687"/>
      <c r="U63" s="687"/>
      <c r="V63" s="687"/>
      <c r="W63" s="687"/>
      <c r="X63" s="687"/>
      <c r="Y63" s="687"/>
      <c r="Z63" s="687"/>
    </row>
    <row r="64" ht="15.75" hidden="1" customHeight="1">
      <c r="A64" s="687"/>
      <c r="B64" s="687"/>
      <c r="C64" s="687"/>
      <c r="D64" s="687"/>
      <c r="E64" s="687"/>
      <c r="F64" s="687"/>
      <c r="G64" s="687"/>
      <c r="H64" s="687"/>
      <c r="I64" s="687"/>
      <c r="J64" s="687"/>
      <c r="K64" s="687"/>
      <c r="L64" s="687"/>
      <c r="M64" s="687"/>
      <c r="N64" s="687"/>
      <c r="O64" s="687"/>
      <c r="P64" s="687"/>
      <c r="Q64" s="687"/>
      <c r="R64" s="687"/>
      <c r="S64" s="687"/>
      <c r="T64" s="687"/>
      <c r="U64" s="687"/>
      <c r="V64" s="687"/>
      <c r="W64" s="687"/>
      <c r="X64" s="687"/>
      <c r="Y64" s="687"/>
      <c r="Z64" s="687"/>
    </row>
    <row r="65" ht="15.75" hidden="1" customHeight="1">
      <c r="A65" s="687"/>
      <c r="B65" s="687"/>
      <c r="C65" s="687"/>
      <c r="D65" s="687"/>
      <c r="E65" s="687"/>
      <c r="F65" s="687"/>
      <c r="G65" s="687"/>
      <c r="H65" s="687"/>
      <c r="I65" s="687"/>
      <c r="J65" s="687"/>
      <c r="K65" s="687"/>
      <c r="L65" s="687"/>
      <c r="M65" s="687"/>
      <c r="N65" s="687"/>
      <c r="O65" s="687"/>
      <c r="P65" s="687"/>
      <c r="Q65" s="687"/>
      <c r="R65" s="687"/>
      <c r="S65" s="687"/>
      <c r="T65" s="687"/>
      <c r="U65" s="687"/>
      <c r="V65" s="687"/>
      <c r="W65" s="687"/>
      <c r="X65" s="687"/>
      <c r="Y65" s="687"/>
      <c r="Z65" s="687"/>
    </row>
    <row r="66" ht="15.75" hidden="1" customHeight="1">
      <c r="A66" s="687"/>
      <c r="B66" s="687"/>
      <c r="C66" s="687"/>
      <c r="D66" s="687"/>
      <c r="E66" s="687"/>
      <c r="F66" s="687"/>
      <c r="G66" s="687"/>
      <c r="H66" s="687"/>
      <c r="I66" s="687"/>
      <c r="J66" s="687"/>
      <c r="K66" s="687"/>
      <c r="L66" s="687"/>
      <c r="M66" s="687"/>
      <c r="N66" s="687"/>
      <c r="O66" s="687"/>
      <c r="P66" s="687"/>
      <c r="Q66" s="687"/>
      <c r="R66" s="687"/>
      <c r="S66" s="687"/>
      <c r="T66" s="687"/>
      <c r="U66" s="687"/>
      <c r="V66" s="687"/>
      <c r="W66" s="687"/>
      <c r="X66" s="687"/>
      <c r="Y66" s="687"/>
      <c r="Z66" s="687"/>
    </row>
    <row r="67" ht="15.75" hidden="1" customHeight="1">
      <c r="A67" s="687"/>
      <c r="B67" s="687"/>
      <c r="C67" s="687"/>
      <c r="D67" s="687"/>
      <c r="E67" s="687"/>
      <c r="F67" s="687"/>
      <c r="G67" s="687"/>
      <c r="H67" s="687"/>
      <c r="I67" s="687"/>
      <c r="J67" s="687"/>
      <c r="K67" s="687"/>
      <c r="L67" s="687"/>
      <c r="M67" s="687"/>
      <c r="N67" s="687"/>
      <c r="O67" s="687"/>
      <c r="P67" s="687"/>
      <c r="Q67" s="687"/>
      <c r="R67" s="687"/>
      <c r="S67" s="687"/>
      <c r="T67" s="687"/>
      <c r="U67" s="687"/>
      <c r="V67" s="687"/>
      <c r="W67" s="687"/>
      <c r="X67" s="687"/>
      <c r="Y67" s="687"/>
      <c r="Z67" s="687"/>
    </row>
    <row r="68" ht="15.75" hidden="1" customHeight="1">
      <c r="A68" s="687"/>
      <c r="B68" s="687"/>
      <c r="C68" s="687"/>
      <c r="D68" s="687"/>
      <c r="E68" s="687"/>
      <c r="F68" s="687"/>
      <c r="G68" s="687"/>
      <c r="H68" s="687"/>
      <c r="I68" s="687"/>
      <c r="J68" s="687"/>
      <c r="K68" s="687"/>
      <c r="L68" s="687"/>
      <c r="M68" s="687"/>
      <c r="N68" s="687"/>
      <c r="O68" s="687"/>
      <c r="P68" s="687"/>
      <c r="Q68" s="687"/>
      <c r="R68" s="687"/>
      <c r="S68" s="687"/>
      <c r="T68" s="687"/>
      <c r="U68" s="687"/>
      <c r="V68" s="687"/>
      <c r="W68" s="687"/>
      <c r="X68" s="687"/>
      <c r="Y68" s="687"/>
      <c r="Z68" s="687"/>
    </row>
    <row r="69" ht="15.75" hidden="1" customHeight="1">
      <c r="A69" s="687"/>
      <c r="B69" s="687"/>
      <c r="C69" s="687"/>
      <c r="D69" s="687"/>
      <c r="E69" s="687"/>
      <c r="F69" s="687"/>
      <c r="G69" s="687"/>
      <c r="H69" s="687"/>
      <c r="I69" s="687"/>
      <c r="J69" s="687"/>
      <c r="K69" s="687"/>
      <c r="L69" s="687"/>
      <c r="M69" s="687"/>
      <c r="N69" s="687"/>
      <c r="O69" s="687"/>
      <c r="P69" s="687"/>
      <c r="Q69" s="687"/>
      <c r="R69" s="687"/>
      <c r="S69" s="687"/>
      <c r="T69" s="687"/>
      <c r="U69" s="687"/>
      <c r="V69" s="687"/>
      <c r="W69" s="687"/>
      <c r="X69" s="687"/>
      <c r="Y69" s="687"/>
      <c r="Z69" s="687"/>
    </row>
    <row r="70" ht="15.75" hidden="1" customHeight="1">
      <c r="A70" s="687"/>
      <c r="B70" s="687"/>
      <c r="C70" s="687"/>
      <c r="D70" s="687"/>
      <c r="E70" s="687"/>
      <c r="F70" s="687"/>
      <c r="G70" s="687"/>
      <c r="H70" s="687"/>
      <c r="I70" s="687"/>
      <c r="J70" s="687"/>
      <c r="K70" s="687"/>
      <c r="L70" s="687"/>
      <c r="M70" s="687"/>
      <c r="N70" s="687"/>
      <c r="O70" s="687"/>
      <c r="P70" s="687"/>
      <c r="Q70" s="687"/>
      <c r="R70" s="687"/>
      <c r="S70" s="687"/>
      <c r="T70" s="687"/>
      <c r="U70" s="687"/>
      <c r="V70" s="687"/>
      <c r="W70" s="687"/>
      <c r="X70" s="687"/>
      <c r="Y70" s="687"/>
      <c r="Z70" s="687"/>
    </row>
    <row r="71" ht="15.75" hidden="1" customHeight="1">
      <c r="A71" s="687"/>
      <c r="B71" s="687"/>
      <c r="C71" s="687"/>
      <c r="D71" s="687"/>
      <c r="E71" s="687"/>
      <c r="F71" s="687"/>
      <c r="G71" s="687"/>
      <c r="H71" s="687"/>
      <c r="I71" s="687"/>
      <c r="J71" s="687"/>
      <c r="K71" s="687"/>
      <c r="L71" s="687"/>
      <c r="M71" s="687"/>
      <c r="N71" s="687"/>
      <c r="O71" s="687"/>
      <c r="P71" s="687"/>
      <c r="Q71" s="687"/>
      <c r="R71" s="687"/>
      <c r="S71" s="687"/>
      <c r="T71" s="687"/>
      <c r="U71" s="687"/>
      <c r="V71" s="687"/>
      <c r="W71" s="687"/>
      <c r="X71" s="687"/>
      <c r="Y71" s="687"/>
      <c r="Z71" s="687"/>
    </row>
    <row r="72" ht="15.75" hidden="1" customHeight="1">
      <c r="A72" s="687"/>
      <c r="B72" s="687"/>
      <c r="C72" s="687"/>
      <c r="D72" s="687"/>
      <c r="E72" s="687"/>
      <c r="F72" s="687"/>
      <c r="G72" s="687"/>
      <c r="H72" s="687"/>
      <c r="I72" s="687"/>
      <c r="J72" s="687"/>
      <c r="K72" s="687"/>
      <c r="L72" s="687"/>
      <c r="M72" s="687"/>
      <c r="N72" s="687"/>
      <c r="O72" s="687"/>
      <c r="P72" s="687"/>
      <c r="Q72" s="687"/>
      <c r="R72" s="687"/>
      <c r="S72" s="687"/>
      <c r="T72" s="687"/>
      <c r="U72" s="687"/>
      <c r="V72" s="687"/>
      <c r="W72" s="687"/>
      <c r="X72" s="687"/>
      <c r="Y72" s="687"/>
      <c r="Z72" s="687"/>
    </row>
    <row r="73" ht="15.75" hidden="1" customHeight="1">
      <c r="A73" s="687"/>
      <c r="B73" s="687"/>
      <c r="C73" s="687"/>
      <c r="D73" s="687"/>
      <c r="E73" s="687"/>
      <c r="F73" s="687"/>
      <c r="G73" s="687"/>
      <c r="H73" s="687"/>
      <c r="I73" s="687"/>
      <c r="J73" s="687"/>
      <c r="K73" s="687"/>
      <c r="L73" s="687"/>
      <c r="M73" s="687"/>
      <c r="N73" s="687"/>
      <c r="O73" s="687"/>
      <c r="P73" s="687"/>
      <c r="Q73" s="687"/>
      <c r="R73" s="687"/>
      <c r="S73" s="687"/>
      <c r="T73" s="687"/>
      <c r="U73" s="687"/>
      <c r="V73" s="687"/>
      <c r="W73" s="687"/>
      <c r="X73" s="687"/>
      <c r="Y73" s="687"/>
      <c r="Z73" s="687"/>
    </row>
    <row r="74" ht="15.75" hidden="1" customHeight="1">
      <c r="A74" s="687"/>
      <c r="B74" s="687"/>
      <c r="C74" s="687"/>
      <c r="D74" s="687"/>
      <c r="E74" s="687"/>
      <c r="F74" s="687"/>
      <c r="G74" s="687"/>
      <c r="H74" s="687"/>
      <c r="I74" s="687"/>
      <c r="J74" s="687"/>
      <c r="K74" s="687"/>
      <c r="L74" s="687"/>
      <c r="M74" s="687"/>
      <c r="N74" s="687"/>
      <c r="O74" s="687"/>
      <c r="P74" s="687"/>
      <c r="Q74" s="687"/>
      <c r="R74" s="687"/>
      <c r="S74" s="687"/>
      <c r="T74" s="687"/>
      <c r="U74" s="687"/>
      <c r="V74" s="687"/>
      <c r="W74" s="687"/>
      <c r="X74" s="687"/>
      <c r="Y74" s="687"/>
      <c r="Z74" s="687"/>
    </row>
    <row r="75" ht="15.75" hidden="1" customHeight="1">
      <c r="A75" s="687"/>
      <c r="B75" s="687"/>
      <c r="C75" s="687"/>
      <c r="D75" s="687"/>
      <c r="E75" s="687"/>
      <c r="F75" s="687"/>
      <c r="G75" s="687"/>
      <c r="H75" s="687"/>
      <c r="I75" s="687"/>
      <c r="J75" s="687"/>
      <c r="K75" s="687"/>
      <c r="L75" s="687"/>
      <c r="M75" s="687"/>
      <c r="N75" s="687"/>
      <c r="O75" s="687"/>
      <c r="P75" s="687"/>
      <c r="Q75" s="687"/>
      <c r="R75" s="687"/>
      <c r="S75" s="687"/>
      <c r="T75" s="687"/>
      <c r="U75" s="687"/>
      <c r="V75" s="687"/>
      <c r="W75" s="687"/>
      <c r="X75" s="687"/>
      <c r="Y75" s="687"/>
      <c r="Z75" s="687"/>
    </row>
    <row r="76" ht="15.75" hidden="1" customHeight="1">
      <c r="A76" s="687"/>
      <c r="B76" s="687"/>
      <c r="C76" s="687"/>
      <c r="D76" s="687"/>
      <c r="E76" s="687"/>
      <c r="F76" s="687"/>
      <c r="G76" s="687"/>
      <c r="H76" s="687"/>
      <c r="I76" s="687"/>
      <c r="J76" s="687"/>
      <c r="K76" s="687"/>
      <c r="L76" s="687"/>
      <c r="M76" s="687"/>
      <c r="N76" s="687"/>
      <c r="O76" s="687"/>
      <c r="P76" s="687"/>
      <c r="Q76" s="687"/>
      <c r="R76" s="687"/>
      <c r="S76" s="687"/>
      <c r="T76" s="687"/>
      <c r="U76" s="687"/>
      <c r="V76" s="687"/>
      <c r="W76" s="687"/>
      <c r="X76" s="687"/>
      <c r="Y76" s="687"/>
      <c r="Z76" s="687"/>
    </row>
    <row r="77" ht="15.75" hidden="1" customHeight="1">
      <c r="A77" s="687"/>
      <c r="B77" s="687"/>
      <c r="C77" s="687"/>
      <c r="D77" s="687"/>
      <c r="E77" s="687"/>
      <c r="F77" s="687"/>
      <c r="G77" s="687"/>
      <c r="H77" s="687"/>
      <c r="I77" s="687"/>
      <c r="J77" s="687"/>
      <c r="K77" s="687"/>
      <c r="L77" s="687"/>
      <c r="M77" s="687"/>
      <c r="N77" s="687"/>
      <c r="O77" s="687"/>
      <c r="P77" s="687"/>
      <c r="Q77" s="687"/>
      <c r="R77" s="687"/>
      <c r="S77" s="687"/>
      <c r="T77" s="687"/>
      <c r="U77" s="687"/>
      <c r="V77" s="687"/>
      <c r="W77" s="687"/>
      <c r="X77" s="687"/>
      <c r="Y77" s="687"/>
      <c r="Z77" s="687"/>
    </row>
    <row r="78" ht="15.75" hidden="1" customHeight="1">
      <c r="A78" s="687"/>
      <c r="B78" s="687"/>
      <c r="C78" s="687"/>
      <c r="D78" s="687"/>
      <c r="E78" s="687"/>
      <c r="F78" s="687"/>
      <c r="G78" s="687"/>
      <c r="H78" s="687"/>
      <c r="I78" s="687"/>
      <c r="J78" s="687"/>
      <c r="K78" s="687"/>
      <c r="L78" s="687"/>
      <c r="M78" s="687"/>
      <c r="N78" s="687"/>
      <c r="O78" s="687"/>
      <c r="P78" s="687"/>
      <c r="Q78" s="687"/>
      <c r="R78" s="687"/>
      <c r="S78" s="687"/>
      <c r="T78" s="687"/>
      <c r="U78" s="687"/>
      <c r="V78" s="687"/>
      <c r="W78" s="687"/>
      <c r="X78" s="687"/>
      <c r="Y78" s="687"/>
      <c r="Z78" s="687"/>
    </row>
    <row r="79" ht="15.75" hidden="1" customHeight="1">
      <c r="A79" s="687"/>
      <c r="B79" s="687"/>
      <c r="C79" s="687"/>
      <c r="D79" s="687"/>
      <c r="E79" s="687"/>
      <c r="F79" s="687"/>
      <c r="G79" s="687"/>
      <c r="H79" s="687"/>
      <c r="I79" s="687"/>
      <c r="J79" s="687"/>
      <c r="K79" s="687"/>
      <c r="L79" s="687"/>
      <c r="M79" s="687"/>
      <c r="N79" s="687"/>
      <c r="O79" s="687"/>
      <c r="P79" s="687"/>
      <c r="Q79" s="687"/>
      <c r="R79" s="687"/>
      <c r="S79" s="687"/>
      <c r="T79" s="687"/>
      <c r="U79" s="687"/>
      <c r="V79" s="687"/>
      <c r="W79" s="687"/>
      <c r="X79" s="687"/>
      <c r="Y79" s="687"/>
      <c r="Z79" s="687"/>
    </row>
    <row r="80" ht="15.75" hidden="1" customHeight="1">
      <c r="A80" s="687"/>
      <c r="B80" s="687"/>
      <c r="C80" s="687"/>
      <c r="D80" s="687"/>
      <c r="E80" s="687"/>
      <c r="F80" s="687"/>
      <c r="G80" s="687"/>
      <c r="H80" s="687"/>
      <c r="I80" s="687"/>
      <c r="J80" s="687"/>
      <c r="K80" s="687"/>
      <c r="L80" s="687"/>
      <c r="M80" s="687"/>
      <c r="N80" s="687"/>
      <c r="O80" s="687"/>
      <c r="P80" s="687"/>
      <c r="Q80" s="687"/>
      <c r="R80" s="687"/>
      <c r="S80" s="687"/>
      <c r="T80" s="687"/>
      <c r="U80" s="687"/>
      <c r="V80" s="687"/>
      <c r="W80" s="687"/>
      <c r="X80" s="687"/>
      <c r="Y80" s="687"/>
      <c r="Z80" s="687"/>
    </row>
    <row r="81" ht="15.75" hidden="1" customHeight="1">
      <c r="A81" s="687"/>
      <c r="B81" s="687"/>
      <c r="C81" s="687"/>
      <c r="D81" s="687"/>
      <c r="E81" s="687"/>
      <c r="F81" s="687"/>
      <c r="G81" s="687"/>
      <c r="H81" s="687"/>
      <c r="I81" s="687"/>
      <c r="J81" s="687"/>
      <c r="K81" s="687"/>
      <c r="L81" s="687"/>
      <c r="M81" s="687"/>
      <c r="N81" s="687"/>
      <c r="O81" s="687"/>
      <c r="P81" s="687"/>
      <c r="Q81" s="687"/>
      <c r="R81" s="687"/>
      <c r="S81" s="687"/>
      <c r="T81" s="687"/>
      <c r="U81" s="687"/>
      <c r="V81" s="687"/>
      <c r="W81" s="687"/>
      <c r="X81" s="687"/>
      <c r="Y81" s="687"/>
      <c r="Z81" s="687"/>
    </row>
    <row r="82" ht="15.75" hidden="1" customHeight="1">
      <c r="A82" s="687"/>
      <c r="B82" s="687"/>
      <c r="C82" s="687"/>
      <c r="D82" s="687"/>
      <c r="E82" s="687"/>
      <c r="F82" s="687"/>
      <c r="G82" s="687"/>
      <c r="H82" s="687"/>
      <c r="I82" s="687"/>
      <c r="J82" s="687"/>
      <c r="K82" s="687"/>
      <c r="L82" s="687"/>
      <c r="M82" s="687"/>
      <c r="N82" s="687"/>
      <c r="O82" s="687"/>
      <c r="P82" s="687"/>
      <c r="Q82" s="687"/>
      <c r="R82" s="687"/>
      <c r="S82" s="687"/>
      <c r="T82" s="687"/>
      <c r="U82" s="687"/>
      <c r="V82" s="687"/>
      <c r="W82" s="687"/>
      <c r="X82" s="687"/>
      <c r="Y82" s="687"/>
      <c r="Z82" s="687"/>
    </row>
    <row r="83" ht="15.75" hidden="1" customHeight="1">
      <c r="A83" s="687"/>
      <c r="B83" s="687"/>
      <c r="C83" s="687"/>
      <c r="D83" s="687"/>
      <c r="E83" s="687"/>
      <c r="F83" s="687"/>
      <c r="G83" s="687"/>
      <c r="H83" s="687"/>
      <c r="I83" s="687"/>
      <c r="J83" s="687"/>
      <c r="K83" s="687"/>
      <c r="L83" s="687"/>
      <c r="M83" s="687"/>
      <c r="N83" s="687"/>
      <c r="O83" s="687"/>
      <c r="P83" s="687"/>
      <c r="Q83" s="687"/>
      <c r="R83" s="687"/>
      <c r="S83" s="687"/>
      <c r="T83" s="687"/>
      <c r="U83" s="687"/>
      <c r="V83" s="687"/>
      <c r="W83" s="687"/>
      <c r="X83" s="687"/>
      <c r="Y83" s="687"/>
      <c r="Z83" s="687"/>
    </row>
    <row r="84" ht="15.75" hidden="1" customHeight="1">
      <c r="A84" s="687"/>
      <c r="B84" s="687"/>
      <c r="C84" s="687"/>
      <c r="D84" s="687"/>
      <c r="E84" s="687"/>
      <c r="F84" s="687"/>
      <c r="G84" s="687"/>
      <c r="H84" s="687"/>
      <c r="I84" s="687"/>
      <c r="J84" s="687"/>
      <c r="K84" s="687"/>
      <c r="L84" s="687"/>
      <c r="M84" s="687"/>
      <c r="N84" s="687"/>
      <c r="O84" s="687"/>
      <c r="P84" s="687"/>
      <c r="Q84" s="687"/>
      <c r="R84" s="687"/>
      <c r="S84" s="687"/>
      <c r="T84" s="687"/>
      <c r="U84" s="687"/>
      <c r="V84" s="687"/>
      <c r="W84" s="687"/>
      <c r="X84" s="687"/>
      <c r="Y84" s="687"/>
      <c r="Z84" s="687"/>
    </row>
    <row r="85" ht="15.75" hidden="1" customHeight="1">
      <c r="A85" s="687"/>
      <c r="B85" s="687"/>
      <c r="C85" s="687"/>
      <c r="D85" s="687"/>
      <c r="E85" s="687"/>
      <c r="F85" s="687"/>
      <c r="G85" s="687"/>
      <c r="H85" s="687"/>
      <c r="I85" s="687"/>
      <c r="J85" s="687"/>
      <c r="K85" s="687"/>
      <c r="L85" s="687"/>
      <c r="M85" s="687"/>
      <c r="N85" s="687"/>
      <c r="O85" s="687"/>
      <c r="P85" s="687"/>
      <c r="Q85" s="687"/>
      <c r="R85" s="687"/>
      <c r="S85" s="687"/>
      <c r="T85" s="687"/>
      <c r="U85" s="687"/>
      <c r="V85" s="687"/>
      <c r="W85" s="687"/>
      <c r="X85" s="687"/>
      <c r="Y85" s="687"/>
      <c r="Z85" s="687"/>
    </row>
    <row r="86" ht="15.75" hidden="1" customHeight="1">
      <c r="A86" s="687"/>
      <c r="B86" s="687"/>
      <c r="C86" s="687"/>
      <c r="D86" s="687"/>
      <c r="E86" s="687"/>
      <c r="F86" s="687"/>
      <c r="G86" s="687"/>
      <c r="H86" s="687"/>
      <c r="I86" s="687"/>
      <c r="J86" s="687"/>
      <c r="K86" s="687"/>
      <c r="L86" s="687"/>
      <c r="M86" s="687"/>
      <c r="N86" s="687"/>
      <c r="O86" s="687"/>
      <c r="P86" s="687"/>
      <c r="Q86" s="687"/>
      <c r="R86" s="687"/>
      <c r="S86" s="687"/>
      <c r="T86" s="687"/>
      <c r="U86" s="687"/>
      <c r="V86" s="687"/>
      <c r="W86" s="687"/>
      <c r="X86" s="687"/>
      <c r="Y86" s="687"/>
      <c r="Z86" s="687"/>
    </row>
    <row r="87" ht="15.75" hidden="1" customHeight="1">
      <c r="A87" s="687"/>
      <c r="B87" s="687"/>
      <c r="C87" s="687"/>
      <c r="D87" s="687"/>
      <c r="E87" s="687"/>
      <c r="F87" s="687"/>
      <c r="G87" s="687"/>
      <c r="H87" s="687"/>
      <c r="I87" s="687"/>
      <c r="J87" s="687"/>
      <c r="K87" s="687"/>
      <c r="L87" s="687"/>
      <c r="M87" s="687"/>
      <c r="N87" s="687"/>
      <c r="O87" s="687"/>
      <c r="P87" s="687"/>
      <c r="Q87" s="687"/>
      <c r="R87" s="687"/>
      <c r="S87" s="687"/>
      <c r="T87" s="687"/>
      <c r="U87" s="687"/>
      <c r="V87" s="687"/>
      <c r="W87" s="687"/>
      <c r="X87" s="687"/>
      <c r="Y87" s="687"/>
      <c r="Z87" s="687"/>
    </row>
    <row r="88" ht="15.75" hidden="1" customHeight="1">
      <c r="A88" s="687"/>
      <c r="B88" s="687"/>
      <c r="C88" s="687"/>
      <c r="D88" s="687"/>
      <c r="E88" s="687"/>
      <c r="F88" s="687"/>
      <c r="G88" s="687"/>
      <c r="H88" s="687"/>
      <c r="I88" s="687"/>
      <c r="J88" s="687"/>
      <c r="K88" s="687"/>
      <c r="L88" s="687"/>
      <c r="M88" s="687"/>
      <c r="N88" s="687"/>
      <c r="O88" s="687"/>
      <c r="P88" s="687"/>
      <c r="Q88" s="687"/>
      <c r="R88" s="687"/>
      <c r="S88" s="687"/>
      <c r="T88" s="687"/>
      <c r="U88" s="687"/>
      <c r="V88" s="687"/>
      <c r="W88" s="687"/>
      <c r="X88" s="687"/>
      <c r="Y88" s="687"/>
      <c r="Z88" s="687"/>
    </row>
    <row r="89" ht="15.75" hidden="1" customHeight="1">
      <c r="A89" s="687"/>
      <c r="B89" s="687"/>
      <c r="C89" s="687"/>
      <c r="D89" s="687"/>
      <c r="E89" s="687"/>
      <c r="F89" s="687"/>
      <c r="G89" s="687"/>
      <c r="H89" s="687"/>
      <c r="I89" s="687"/>
      <c r="J89" s="687"/>
      <c r="K89" s="687"/>
      <c r="L89" s="687"/>
      <c r="M89" s="687"/>
      <c r="N89" s="687"/>
      <c r="O89" s="687"/>
      <c r="P89" s="687"/>
      <c r="Q89" s="687"/>
      <c r="R89" s="687"/>
      <c r="S89" s="687"/>
      <c r="T89" s="687"/>
      <c r="U89" s="687"/>
      <c r="V89" s="687"/>
      <c r="W89" s="687"/>
      <c r="X89" s="687"/>
      <c r="Y89" s="687"/>
      <c r="Z89" s="687"/>
    </row>
    <row r="90" ht="15.75" hidden="1" customHeight="1">
      <c r="A90" s="687"/>
      <c r="B90" s="687"/>
      <c r="C90" s="687"/>
      <c r="D90" s="687"/>
      <c r="E90" s="687"/>
      <c r="F90" s="687"/>
      <c r="G90" s="687"/>
      <c r="H90" s="687"/>
      <c r="I90" s="687"/>
      <c r="J90" s="687"/>
      <c r="K90" s="687"/>
      <c r="L90" s="687"/>
      <c r="M90" s="687"/>
      <c r="N90" s="687"/>
      <c r="O90" s="687"/>
      <c r="P90" s="687"/>
      <c r="Q90" s="687"/>
      <c r="R90" s="687"/>
      <c r="S90" s="687"/>
      <c r="T90" s="687"/>
      <c r="U90" s="687"/>
      <c r="V90" s="687"/>
      <c r="W90" s="687"/>
      <c r="X90" s="687"/>
      <c r="Y90" s="687"/>
      <c r="Z90" s="687"/>
    </row>
    <row r="91" ht="15.75" hidden="1" customHeight="1">
      <c r="A91" s="687"/>
      <c r="B91" s="687"/>
      <c r="C91" s="687"/>
      <c r="D91" s="687"/>
      <c r="E91" s="687"/>
      <c r="F91" s="687"/>
      <c r="G91" s="687"/>
      <c r="H91" s="687"/>
      <c r="I91" s="687"/>
      <c r="J91" s="687"/>
      <c r="K91" s="687"/>
      <c r="L91" s="687"/>
      <c r="M91" s="687"/>
      <c r="N91" s="687"/>
      <c r="O91" s="687"/>
      <c r="P91" s="687"/>
      <c r="Q91" s="687"/>
      <c r="R91" s="687"/>
      <c r="S91" s="687"/>
      <c r="T91" s="687"/>
      <c r="U91" s="687"/>
      <c r="V91" s="687"/>
      <c r="W91" s="687"/>
      <c r="X91" s="687"/>
      <c r="Y91" s="687"/>
      <c r="Z91" s="687"/>
    </row>
    <row r="92" ht="15.75" hidden="1" customHeight="1">
      <c r="A92" s="687"/>
      <c r="B92" s="687"/>
      <c r="C92" s="687"/>
      <c r="D92" s="687"/>
      <c r="E92" s="687"/>
      <c r="F92" s="687"/>
      <c r="G92" s="687"/>
      <c r="H92" s="687"/>
      <c r="I92" s="687"/>
      <c r="J92" s="687"/>
      <c r="K92" s="687"/>
      <c r="L92" s="687"/>
      <c r="M92" s="687"/>
      <c r="N92" s="687"/>
      <c r="O92" s="687"/>
      <c r="P92" s="687"/>
      <c r="Q92" s="687"/>
      <c r="R92" s="687"/>
      <c r="S92" s="687"/>
      <c r="T92" s="687"/>
      <c r="U92" s="687"/>
      <c r="V92" s="687"/>
      <c r="W92" s="687"/>
      <c r="X92" s="687"/>
      <c r="Y92" s="687"/>
      <c r="Z92" s="687"/>
    </row>
    <row r="93" ht="15.75" hidden="1" customHeight="1">
      <c r="A93" s="687"/>
      <c r="B93" s="687"/>
      <c r="C93" s="687"/>
      <c r="D93" s="687"/>
      <c r="E93" s="687"/>
      <c r="F93" s="687"/>
      <c r="G93" s="687"/>
      <c r="H93" s="687"/>
      <c r="I93" s="687"/>
      <c r="J93" s="687"/>
      <c r="K93" s="687"/>
      <c r="L93" s="687"/>
      <c r="M93" s="687"/>
      <c r="N93" s="687"/>
      <c r="O93" s="687"/>
      <c r="P93" s="687"/>
      <c r="Q93" s="687"/>
      <c r="R93" s="687"/>
      <c r="S93" s="687"/>
      <c r="T93" s="687"/>
      <c r="U93" s="687"/>
      <c r="V93" s="687"/>
      <c r="W93" s="687"/>
      <c r="X93" s="687"/>
      <c r="Y93" s="687"/>
      <c r="Z93" s="687"/>
    </row>
    <row r="94" ht="15.75" hidden="1" customHeight="1">
      <c r="A94" s="687"/>
      <c r="B94" s="687"/>
      <c r="C94" s="687"/>
      <c r="D94" s="687"/>
      <c r="E94" s="687"/>
      <c r="F94" s="687"/>
      <c r="G94" s="687"/>
      <c r="H94" s="687"/>
      <c r="I94" s="687"/>
      <c r="J94" s="687"/>
      <c r="K94" s="687"/>
      <c r="L94" s="687"/>
      <c r="M94" s="687"/>
      <c r="N94" s="687"/>
      <c r="O94" s="687"/>
      <c r="P94" s="687"/>
      <c r="Q94" s="687"/>
      <c r="R94" s="687"/>
      <c r="S94" s="687"/>
      <c r="T94" s="687"/>
      <c r="U94" s="687"/>
      <c r="V94" s="687"/>
      <c r="W94" s="687"/>
      <c r="X94" s="687"/>
      <c r="Y94" s="687"/>
      <c r="Z94" s="687"/>
    </row>
    <row r="95" ht="15.75" hidden="1" customHeight="1">
      <c r="A95" s="687"/>
      <c r="B95" s="687"/>
      <c r="C95" s="687"/>
      <c r="D95" s="687"/>
      <c r="E95" s="687"/>
      <c r="F95" s="687"/>
      <c r="G95" s="687"/>
      <c r="H95" s="687"/>
      <c r="I95" s="687"/>
      <c r="J95" s="687"/>
      <c r="K95" s="687"/>
      <c r="L95" s="687"/>
      <c r="M95" s="687"/>
      <c r="N95" s="687"/>
      <c r="O95" s="687"/>
      <c r="P95" s="687"/>
      <c r="Q95" s="687"/>
      <c r="R95" s="687"/>
      <c r="S95" s="687"/>
      <c r="T95" s="687"/>
      <c r="U95" s="687"/>
      <c r="V95" s="687"/>
      <c r="W95" s="687"/>
      <c r="X95" s="687"/>
      <c r="Y95" s="687"/>
      <c r="Z95" s="687"/>
    </row>
    <row r="96" ht="15.75" hidden="1" customHeight="1">
      <c r="A96" s="687"/>
      <c r="B96" s="687"/>
      <c r="C96" s="687"/>
      <c r="D96" s="687"/>
      <c r="E96" s="687"/>
      <c r="F96" s="687"/>
      <c r="G96" s="687"/>
      <c r="H96" s="687"/>
      <c r="I96" s="687"/>
      <c r="J96" s="687"/>
      <c r="K96" s="687"/>
      <c r="L96" s="687"/>
      <c r="M96" s="687"/>
      <c r="N96" s="687"/>
      <c r="O96" s="687"/>
      <c r="P96" s="687"/>
      <c r="Q96" s="687"/>
      <c r="R96" s="687"/>
      <c r="S96" s="687"/>
      <c r="T96" s="687"/>
      <c r="U96" s="687"/>
      <c r="V96" s="687"/>
      <c r="W96" s="687"/>
      <c r="X96" s="687"/>
      <c r="Y96" s="687"/>
      <c r="Z96" s="687"/>
    </row>
    <row r="97" ht="15.75" hidden="1" customHeight="1">
      <c r="A97" s="687"/>
      <c r="B97" s="687"/>
      <c r="C97" s="687"/>
      <c r="D97" s="687"/>
      <c r="E97" s="687"/>
      <c r="F97" s="687"/>
      <c r="G97" s="687"/>
      <c r="H97" s="687"/>
      <c r="I97" s="687"/>
      <c r="J97" s="687"/>
      <c r="K97" s="687"/>
      <c r="L97" s="687"/>
      <c r="M97" s="687"/>
      <c r="N97" s="687"/>
      <c r="O97" s="687"/>
      <c r="P97" s="687"/>
      <c r="Q97" s="687"/>
      <c r="R97" s="687"/>
      <c r="S97" s="687"/>
      <c r="T97" s="687"/>
      <c r="U97" s="687"/>
      <c r="V97" s="687"/>
      <c r="W97" s="687"/>
      <c r="X97" s="687"/>
      <c r="Y97" s="687"/>
      <c r="Z97" s="687"/>
    </row>
    <row r="98" ht="15.75" hidden="1" customHeight="1">
      <c r="A98" s="687"/>
      <c r="B98" s="687"/>
      <c r="C98" s="687"/>
      <c r="D98" s="687"/>
      <c r="E98" s="687"/>
      <c r="F98" s="687"/>
      <c r="G98" s="687"/>
      <c r="H98" s="687"/>
      <c r="I98" s="687"/>
      <c r="J98" s="687"/>
      <c r="K98" s="687"/>
      <c r="L98" s="687"/>
      <c r="M98" s="687"/>
      <c r="N98" s="687"/>
      <c r="O98" s="687"/>
      <c r="P98" s="687"/>
      <c r="Q98" s="687"/>
      <c r="R98" s="687"/>
      <c r="S98" s="687"/>
      <c r="T98" s="687"/>
      <c r="U98" s="687"/>
      <c r="V98" s="687"/>
      <c r="W98" s="687"/>
      <c r="X98" s="687"/>
      <c r="Y98" s="687"/>
      <c r="Z98" s="687"/>
    </row>
    <row r="99" ht="15.75" hidden="1" customHeight="1">
      <c r="A99" s="687"/>
      <c r="B99" s="687"/>
      <c r="C99" s="687"/>
      <c r="D99" s="687"/>
      <c r="E99" s="687"/>
      <c r="F99" s="687"/>
      <c r="G99" s="687"/>
      <c r="H99" s="687"/>
      <c r="I99" s="687"/>
      <c r="J99" s="687"/>
      <c r="K99" s="687"/>
      <c r="L99" s="687"/>
      <c r="M99" s="687"/>
      <c r="N99" s="687"/>
      <c r="O99" s="687"/>
      <c r="P99" s="687"/>
      <c r="Q99" s="687"/>
      <c r="R99" s="687"/>
      <c r="S99" s="687"/>
      <c r="T99" s="687"/>
      <c r="U99" s="687"/>
      <c r="V99" s="687"/>
      <c r="W99" s="687"/>
      <c r="X99" s="687"/>
      <c r="Y99" s="687"/>
      <c r="Z99" s="687"/>
    </row>
    <row r="100" ht="15.75" hidden="1" customHeight="1">
      <c r="A100" s="687"/>
      <c r="B100" s="687"/>
      <c r="C100" s="687"/>
      <c r="D100" s="687"/>
      <c r="E100" s="687"/>
      <c r="F100" s="687"/>
      <c r="G100" s="687"/>
      <c r="H100" s="687"/>
      <c r="I100" s="687"/>
      <c r="J100" s="687"/>
      <c r="K100" s="687"/>
      <c r="L100" s="687"/>
      <c r="M100" s="687"/>
      <c r="N100" s="687"/>
      <c r="O100" s="687"/>
      <c r="P100" s="687"/>
      <c r="Q100" s="687"/>
      <c r="R100" s="687"/>
      <c r="S100" s="687"/>
      <c r="T100" s="687"/>
      <c r="U100" s="687"/>
      <c r="V100" s="687"/>
      <c r="W100" s="687"/>
      <c r="X100" s="687"/>
      <c r="Y100" s="687"/>
      <c r="Z100" s="687"/>
    </row>
    <row r="101" ht="15.75" hidden="1" customHeight="1">
      <c r="A101" s="687"/>
      <c r="B101" s="687"/>
      <c r="C101" s="687"/>
      <c r="D101" s="687"/>
      <c r="E101" s="687"/>
      <c r="F101" s="687"/>
      <c r="G101" s="687"/>
      <c r="H101" s="687"/>
      <c r="I101" s="687"/>
      <c r="J101" s="687"/>
      <c r="K101" s="687"/>
      <c r="L101" s="687"/>
      <c r="M101" s="687"/>
      <c r="N101" s="687"/>
      <c r="O101" s="687"/>
      <c r="P101" s="687"/>
      <c r="Q101" s="687"/>
      <c r="R101" s="687"/>
      <c r="S101" s="687"/>
      <c r="T101" s="687"/>
      <c r="U101" s="687"/>
      <c r="V101" s="687"/>
      <c r="W101" s="687"/>
      <c r="X101" s="687"/>
      <c r="Y101" s="687"/>
      <c r="Z101" s="687"/>
    </row>
    <row r="102" ht="15.75" hidden="1" customHeight="1">
      <c r="A102" s="687"/>
      <c r="B102" s="687"/>
      <c r="C102" s="687"/>
      <c r="D102" s="687"/>
      <c r="E102" s="687"/>
      <c r="F102" s="687"/>
      <c r="G102" s="687"/>
      <c r="H102" s="687"/>
      <c r="I102" s="687"/>
      <c r="J102" s="687"/>
      <c r="K102" s="687"/>
      <c r="L102" s="687"/>
      <c r="M102" s="687"/>
      <c r="N102" s="687"/>
      <c r="O102" s="687"/>
      <c r="P102" s="687"/>
      <c r="Q102" s="687"/>
      <c r="R102" s="687"/>
      <c r="S102" s="687"/>
      <c r="T102" s="687"/>
      <c r="U102" s="687"/>
      <c r="V102" s="687"/>
      <c r="W102" s="687"/>
      <c r="X102" s="687"/>
      <c r="Y102" s="687"/>
      <c r="Z102" s="687"/>
    </row>
    <row r="103" ht="15.75" hidden="1" customHeight="1">
      <c r="A103" s="687"/>
      <c r="B103" s="687"/>
      <c r="C103" s="687"/>
      <c r="D103" s="687"/>
      <c r="E103" s="687"/>
      <c r="F103" s="687"/>
      <c r="G103" s="687"/>
      <c r="H103" s="687"/>
      <c r="I103" s="687"/>
      <c r="J103" s="687"/>
      <c r="K103" s="687"/>
      <c r="L103" s="687"/>
      <c r="M103" s="687"/>
      <c r="N103" s="687"/>
      <c r="O103" s="687"/>
      <c r="P103" s="687"/>
      <c r="Q103" s="687"/>
      <c r="R103" s="687"/>
      <c r="S103" s="687"/>
      <c r="T103" s="687"/>
      <c r="U103" s="687"/>
      <c r="V103" s="687"/>
      <c r="W103" s="687"/>
      <c r="X103" s="687"/>
      <c r="Y103" s="687"/>
      <c r="Z103" s="687"/>
    </row>
    <row r="104" ht="15.75" hidden="1" customHeight="1">
      <c r="A104" s="687"/>
      <c r="B104" s="687"/>
      <c r="C104" s="687"/>
      <c r="D104" s="687"/>
      <c r="E104" s="687"/>
      <c r="F104" s="687"/>
      <c r="G104" s="687"/>
      <c r="H104" s="687"/>
      <c r="I104" s="687"/>
      <c r="J104" s="687"/>
      <c r="K104" s="687"/>
      <c r="L104" s="687"/>
      <c r="M104" s="687"/>
      <c r="N104" s="687"/>
      <c r="O104" s="687"/>
      <c r="P104" s="687"/>
      <c r="Q104" s="687"/>
      <c r="R104" s="687"/>
      <c r="S104" s="687"/>
      <c r="T104" s="687"/>
      <c r="U104" s="687"/>
      <c r="V104" s="687"/>
      <c r="W104" s="687"/>
      <c r="X104" s="687"/>
      <c r="Y104" s="687"/>
      <c r="Z104" s="687"/>
    </row>
    <row r="105" ht="15.75" hidden="1" customHeight="1">
      <c r="A105" s="687"/>
      <c r="B105" s="687"/>
      <c r="C105" s="687"/>
      <c r="D105" s="687"/>
      <c r="E105" s="687"/>
      <c r="F105" s="687"/>
      <c r="G105" s="687"/>
      <c r="H105" s="687"/>
      <c r="I105" s="687"/>
      <c r="J105" s="687"/>
      <c r="K105" s="687"/>
      <c r="L105" s="687"/>
      <c r="M105" s="687"/>
      <c r="N105" s="687"/>
      <c r="O105" s="687"/>
      <c r="P105" s="687"/>
      <c r="Q105" s="687"/>
      <c r="R105" s="687"/>
      <c r="S105" s="687"/>
      <c r="T105" s="687"/>
      <c r="U105" s="687"/>
      <c r="V105" s="687"/>
      <c r="W105" s="687"/>
      <c r="X105" s="687"/>
      <c r="Y105" s="687"/>
      <c r="Z105" s="687"/>
    </row>
    <row r="106" ht="15.75" hidden="1" customHeight="1">
      <c r="A106" s="687"/>
      <c r="B106" s="687"/>
      <c r="C106" s="687"/>
      <c r="D106" s="687"/>
      <c r="E106" s="687"/>
      <c r="F106" s="687"/>
      <c r="G106" s="687"/>
      <c r="H106" s="687"/>
      <c r="I106" s="687"/>
      <c r="J106" s="687"/>
      <c r="K106" s="687"/>
      <c r="L106" s="687"/>
      <c r="M106" s="687"/>
      <c r="N106" s="687"/>
      <c r="O106" s="687"/>
      <c r="P106" s="687"/>
      <c r="Q106" s="687"/>
      <c r="R106" s="687"/>
      <c r="S106" s="687"/>
      <c r="T106" s="687"/>
      <c r="U106" s="687"/>
      <c r="V106" s="687"/>
      <c r="W106" s="687"/>
      <c r="X106" s="687"/>
      <c r="Y106" s="687"/>
      <c r="Z106" s="687"/>
    </row>
    <row r="107" ht="15.75" hidden="1" customHeight="1">
      <c r="A107" s="687"/>
      <c r="B107" s="687"/>
      <c r="C107" s="687"/>
      <c r="D107" s="687"/>
      <c r="E107" s="687"/>
      <c r="F107" s="687"/>
      <c r="G107" s="687"/>
      <c r="H107" s="687"/>
      <c r="I107" s="687"/>
      <c r="J107" s="687"/>
      <c r="K107" s="687"/>
      <c r="L107" s="687"/>
      <c r="M107" s="687"/>
      <c r="N107" s="687"/>
      <c r="O107" s="687"/>
      <c r="P107" s="687"/>
      <c r="Q107" s="687"/>
      <c r="R107" s="687"/>
      <c r="S107" s="687"/>
      <c r="T107" s="687"/>
      <c r="U107" s="687"/>
      <c r="V107" s="687"/>
      <c r="W107" s="687"/>
      <c r="X107" s="687"/>
      <c r="Y107" s="687"/>
      <c r="Z107" s="687"/>
    </row>
    <row r="108" ht="15.75" hidden="1" customHeight="1">
      <c r="A108" s="687"/>
      <c r="B108" s="687"/>
      <c r="C108" s="687"/>
      <c r="D108" s="687"/>
      <c r="E108" s="687"/>
      <c r="F108" s="687"/>
      <c r="G108" s="687"/>
      <c r="H108" s="687"/>
      <c r="I108" s="687"/>
      <c r="J108" s="687"/>
      <c r="K108" s="687"/>
      <c r="L108" s="687"/>
      <c r="M108" s="687"/>
      <c r="N108" s="687"/>
      <c r="O108" s="687"/>
      <c r="P108" s="687"/>
      <c r="Q108" s="687"/>
      <c r="R108" s="687"/>
      <c r="S108" s="687"/>
      <c r="T108" s="687"/>
      <c r="U108" s="687"/>
      <c r="V108" s="687"/>
      <c r="W108" s="687"/>
      <c r="X108" s="687"/>
      <c r="Y108" s="687"/>
      <c r="Z108" s="687"/>
    </row>
    <row r="109" ht="15.75" hidden="1" customHeight="1">
      <c r="A109" s="687"/>
      <c r="B109" s="687"/>
      <c r="C109" s="687"/>
      <c r="D109" s="687"/>
      <c r="E109" s="687"/>
      <c r="F109" s="687"/>
      <c r="G109" s="687"/>
      <c r="H109" s="687"/>
      <c r="I109" s="687"/>
      <c r="J109" s="687"/>
      <c r="K109" s="687"/>
      <c r="L109" s="687"/>
      <c r="M109" s="687"/>
      <c r="N109" s="687"/>
      <c r="O109" s="687"/>
      <c r="P109" s="687"/>
      <c r="Q109" s="687"/>
      <c r="R109" s="687"/>
      <c r="S109" s="687"/>
      <c r="T109" s="687"/>
      <c r="U109" s="687"/>
      <c r="V109" s="687"/>
      <c r="W109" s="687"/>
      <c r="X109" s="687"/>
      <c r="Y109" s="687"/>
      <c r="Z109" s="687"/>
    </row>
    <row r="110" ht="15.75" hidden="1" customHeight="1">
      <c r="A110" s="687"/>
      <c r="B110" s="687"/>
      <c r="C110" s="687"/>
      <c r="D110" s="687"/>
      <c r="E110" s="687"/>
      <c r="F110" s="687"/>
      <c r="G110" s="687"/>
      <c r="H110" s="687"/>
      <c r="I110" s="687"/>
      <c r="J110" s="687"/>
      <c r="K110" s="687"/>
      <c r="L110" s="687"/>
      <c r="M110" s="687"/>
      <c r="N110" s="687"/>
      <c r="O110" s="687"/>
      <c r="P110" s="687"/>
      <c r="Q110" s="687"/>
      <c r="R110" s="687"/>
      <c r="S110" s="687"/>
      <c r="T110" s="687"/>
      <c r="U110" s="687"/>
      <c r="V110" s="687"/>
      <c r="W110" s="687"/>
      <c r="X110" s="687"/>
      <c r="Y110" s="687"/>
      <c r="Z110" s="687"/>
    </row>
    <row r="111" ht="15.75" hidden="1" customHeight="1">
      <c r="A111" s="687"/>
      <c r="B111" s="687"/>
      <c r="C111" s="687"/>
      <c r="D111" s="687"/>
      <c r="E111" s="687"/>
      <c r="F111" s="687"/>
      <c r="G111" s="687"/>
      <c r="H111" s="687"/>
      <c r="I111" s="687"/>
      <c r="J111" s="687"/>
      <c r="K111" s="687"/>
      <c r="L111" s="687"/>
      <c r="M111" s="687"/>
      <c r="N111" s="687"/>
      <c r="O111" s="687"/>
      <c r="P111" s="687"/>
      <c r="Q111" s="687"/>
      <c r="R111" s="687"/>
      <c r="S111" s="687"/>
      <c r="T111" s="687"/>
      <c r="U111" s="687"/>
      <c r="V111" s="687"/>
      <c r="W111" s="687"/>
      <c r="X111" s="687"/>
      <c r="Y111" s="687"/>
      <c r="Z111" s="687"/>
    </row>
    <row r="112" ht="15.75" hidden="1" customHeight="1">
      <c r="A112" s="687"/>
      <c r="B112" s="687"/>
      <c r="C112" s="687"/>
      <c r="D112" s="687"/>
      <c r="E112" s="687"/>
      <c r="F112" s="687"/>
      <c r="G112" s="687"/>
      <c r="H112" s="687"/>
      <c r="I112" s="687"/>
      <c r="J112" s="687"/>
      <c r="K112" s="687"/>
      <c r="L112" s="687"/>
      <c r="M112" s="687"/>
      <c r="N112" s="687"/>
      <c r="O112" s="687"/>
      <c r="P112" s="687"/>
      <c r="Q112" s="687"/>
      <c r="R112" s="687"/>
      <c r="S112" s="687"/>
      <c r="T112" s="687"/>
      <c r="U112" s="687"/>
      <c r="V112" s="687"/>
      <c r="W112" s="687"/>
      <c r="X112" s="687"/>
      <c r="Y112" s="687"/>
      <c r="Z112" s="687"/>
    </row>
    <row r="113" ht="15.75" hidden="1" customHeight="1">
      <c r="A113" s="687"/>
      <c r="B113" s="687"/>
      <c r="C113" s="687"/>
      <c r="D113" s="687"/>
      <c r="E113" s="687"/>
      <c r="F113" s="687"/>
      <c r="G113" s="687"/>
      <c r="H113" s="687"/>
      <c r="I113" s="687"/>
      <c r="J113" s="687"/>
      <c r="K113" s="687"/>
      <c r="L113" s="687"/>
      <c r="M113" s="687"/>
      <c r="N113" s="687"/>
      <c r="O113" s="687"/>
      <c r="P113" s="687"/>
      <c r="Q113" s="687"/>
      <c r="R113" s="687"/>
      <c r="S113" s="687"/>
      <c r="T113" s="687"/>
      <c r="U113" s="687"/>
      <c r="V113" s="687"/>
      <c r="W113" s="687"/>
      <c r="X113" s="687"/>
      <c r="Y113" s="687"/>
      <c r="Z113" s="687"/>
    </row>
    <row r="114" ht="15.75" hidden="1" customHeight="1">
      <c r="A114" s="687"/>
      <c r="B114" s="687"/>
      <c r="C114" s="687"/>
      <c r="D114" s="687"/>
      <c r="E114" s="687"/>
      <c r="F114" s="687"/>
      <c r="G114" s="687"/>
      <c r="H114" s="687"/>
      <c r="I114" s="687"/>
      <c r="J114" s="687"/>
      <c r="K114" s="687"/>
      <c r="L114" s="687"/>
      <c r="M114" s="687"/>
      <c r="N114" s="687"/>
      <c r="O114" s="687"/>
      <c r="P114" s="687"/>
      <c r="Q114" s="687"/>
      <c r="R114" s="687"/>
      <c r="S114" s="687"/>
      <c r="T114" s="687"/>
      <c r="U114" s="687"/>
      <c r="V114" s="687"/>
      <c r="W114" s="687"/>
      <c r="X114" s="687"/>
      <c r="Y114" s="687"/>
      <c r="Z114" s="687"/>
    </row>
    <row r="115" ht="15.75" hidden="1" customHeight="1">
      <c r="A115" s="687"/>
      <c r="B115" s="687"/>
      <c r="C115" s="687"/>
      <c r="D115" s="687"/>
      <c r="E115" s="687"/>
      <c r="F115" s="687"/>
      <c r="G115" s="687"/>
      <c r="H115" s="687"/>
      <c r="I115" s="687"/>
      <c r="J115" s="687"/>
      <c r="K115" s="687"/>
      <c r="L115" s="687"/>
      <c r="M115" s="687"/>
      <c r="N115" s="687"/>
      <c r="O115" s="687"/>
      <c r="P115" s="687"/>
      <c r="Q115" s="687"/>
      <c r="R115" s="687"/>
      <c r="S115" s="687"/>
      <c r="T115" s="687"/>
      <c r="U115" s="687"/>
      <c r="V115" s="687"/>
      <c r="W115" s="687"/>
      <c r="X115" s="687"/>
      <c r="Y115" s="687"/>
      <c r="Z115" s="687"/>
    </row>
    <row r="116" ht="15.75" hidden="1" customHeight="1">
      <c r="A116" s="687"/>
      <c r="B116" s="687"/>
      <c r="C116" s="687"/>
      <c r="D116" s="687"/>
      <c r="E116" s="687"/>
      <c r="F116" s="687"/>
      <c r="G116" s="687"/>
      <c r="H116" s="687"/>
      <c r="I116" s="687"/>
      <c r="J116" s="687"/>
      <c r="K116" s="687"/>
      <c r="L116" s="687"/>
      <c r="M116" s="687"/>
      <c r="N116" s="687"/>
      <c r="O116" s="687"/>
      <c r="P116" s="687"/>
      <c r="Q116" s="687"/>
      <c r="R116" s="687"/>
      <c r="S116" s="687"/>
      <c r="T116" s="687"/>
      <c r="U116" s="687"/>
      <c r="V116" s="687"/>
      <c r="W116" s="687"/>
      <c r="X116" s="687"/>
      <c r="Y116" s="687"/>
      <c r="Z116" s="687"/>
    </row>
    <row r="117" ht="15.75" hidden="1" customHeight="1">
      <c r="A117" s="687"/>
      <c r="B117" s="687"/>
      <c r="C117" s="687"/>
      <c r="D117" s="687"/>
      <c r="E117" s="687"/>
      <c r="F117" s="687"/>
      <c r="G117" s="687"/>
      <c r="H117" s="687"/>
      <c r="I117" s="687"/>
      <c r="J117" s="687"/>
      <c r="K117" s="687"/>
      <c r="L117" s="687"/>
      <c r="M117" s="687"/>
      <c r="N117" s="687"/>
      <c r="O117" s="687"/>
      <c r="P117" s="687"/>
      <c r="Q117" s="687"/>
      <c r="R117" s="687"/>
      <c r="S117" s="687"/>
      <c r="T117" s="687"/>
      <c r="U117" s="687"/>
      <c r="V117" s="687"/>
      <c r="W117" s="687"/>
      <c r="X117" s="687"/>
      <c r="Y117" s="687"/>
      <c r="Z117" s="687"/>
    </row>
    <row r="118" ht="15.75" hidden="1" customHeight="1">
      <c r="A118" s="687"/>
      <c r="B118" s="687"/>
      <c r="C118" s="687"/>
      <c r="D118" s="687"/>
      <c r="E118" s="687"/>
      <c r="F118" s="687"/>
      <c r="G118" s="687"/>
      <c r="H118" s="687"/>
      <c r="I118" s="687"/>
      <c r="J118" s="687"/>
      <c r="K118" s="687"/>
      <c r="L118" s="687"/>
      <c r="M118" s="687"/>
      <c r="N118" s="687"/>
      <c r="O118" s="687"/>
      <c r="P118" s="687"/>
      <c r="Q118" s="687"/>
      <c r="R118" s="687"/>
      <c r="S118" s="687"/>
      <c r="T118" s="687"/>
      <c r="U118" s="687"/>
      <c r="V118" s="687"/>
      <c r="W118" s="687"/>
      <c r="X118" s="687"/>
      <c r="Y118" s="687"/>
      <c r="Z118" s="687"/>
    </row>
    <row r="119" ht="15.75" hidden="1" customHeight="1">
      <c r="A119" s="687"/>
      <c r="B119" s="687"/>
      <c r="C119" s="687"/>
      <c r="D119" s="687"/>
      <c r="E119" s="687"/>
      <c r="F119" s="687"/>
      <c r="G119" s="687"/>
      <c r="H119" s="687"/>
      <c r="I119" s="687"/>
      <c r="J119" s="687"/>
      <c r="K119" s="687"/>
      <c r="L119" s="687"/>
      <c r="M119" s="687"/>
      <c r="N119" s="687"/>
      <c r="O119" s="687"/>
      <c r="P119" s="687"/>
      <c r="Q119" s="687"/>
      <c r="R119" s="687"/>
      <c r="S119" s="687"/>
      <c r="T119" s="687"/>
      <c r="U119" s="687"/>
      <c r="V119" s="687"/>
      <c r="W119" s="687"/>
      <c r="X119" s="687"/>
      <c r="Y119" s="687"/>
      <c r="Z119" s="687"/>
    </row>
    <row r="120" ht="15.75" hidden="1" customHeight="1">
      <c r="A120" s="687"/>
      <c r="B120" s="687"/>
      <c r="C120" s="687"/>
      <c r="D120" s="687"/>
      <c r="E120" s="687"/>
      <c r="F120" s="687"/>
      <c r="G120" s="687"/>
      <c r="H120" s="687"/>
      <c r="I120" s="687"/>
      <c r="J120" s="687"/>
      <c r="K120" s="687"/>
      <c r="L120" s="687"/>
      <c r="M120" s="687"/>
      <c r="N120" s="687"/>
      <c r="O120" s="687"/>
      <c r="P120" s="687"/>
      <c r="Q120" s="687"/>
      <c r="R120" s="687"/>
      <c r="S120" s="687"/>
      <c r="T120" s="687"/>
      <c r="U120" s="687"/>
      <c r="V120" s="687"/>
      <c r="W120" s="687"/>
      <c r="X120" s="687"/>
      <c r="Y120" s="687"/>
      <c r="Z120" s="687"/>
    </row>
    <row r="121" ht="15.75" hidden="1" customHeight="1">
      <c r="A121" s="687"/>
      <c r="B121" s="687"/>
      <c r="C121" s="687"/>
      <c r="D121" s="687"/>
      <c r="E121" s="687"/>
      <c r="F121" s="687"/>
      <c r="G121" s="687"/>
      <c r="H121" s="687"/>
      <c r="I121" s="687"/>
      <c r="J121" s="687"/>
      <c r="K121" s="687"/>
      <c r="L121" s="687"/>
      <c r="M121" s="687"/>
      <c r="N121" s="687"/>
      <c r="O121" s="687"/>
      <c r="P121" s="687"/>
      <c r="Q121" s="687"/>
      <c r="R121" s="687"/>
      <c r="S121" s="687"/>
      <c r="T121" s="687"/>
      <c r="U121" s="687"/>
      <c r="V121" s="687"/>
      <c r="W121" s="687"/>
      <c r="X121" s="687"/>
      <c r="Y121" s="687"/>
      <c r="Z121" s="687"/>
    </row>
    <row r="122" ht="15.75" hidden="1" customHeight="1">
      <c r="A122" s="687"/>
      <c r="B122" s="687"/>
      <c r="C122" s="687"/>
      <c r="D122" s="687"/>
      <c r="E122" s="687"/>
      <c r="F122" s="687"/>
      <c r="G122" s="687"/>
      <c r="H122" s="687"/>
      <c r="I122" s="687"/>
      <c r="J122" s="687"/>
      <c r="K122" s="687"/>
      <c r="L122" s="687"/>
      <c r="M122" s="687"/>
      <c r="N122" s="687"/>
      <c r="O122" s="687"/>
      <c r="P122" s="687"/>
      <c r="Q122" s="687"/>
      <c r="R122" s="687"/>
      <c r="S122" s="687"/>
      <c r="T122" s="687"/>
      <c r="U122" s="687"/>
      <c r="V122" s="687"/>
      <c r="W122" s="687"/>
      <c r="X122" s="687"/>
      <c r="Y122" s="687"/>
      <c r="Z122" s="687"/>
    </row>
    <row r="123" ht="15.75" hidden="1" customHeight="1">
      <c r="A123" s="687"/>
      <c r="B123" s="687"/>
      <c r="C123" s="687"/>
      <c r="D123" s="687"/>
      <c r="E123" s="687"/>
      <c r="F123" s="687"/>
      <c r="G123" s="687"/>
      <c r="H123" s="687"/>
      <c r="I123" s="687"/>
      <c r="J123" s="687"/>
      <c r="K123" s="687"/>
      <c r="L123" s="687"/>
      <c r="M123" s="687"/>
      <c r="N123" s="687"/>
      <c r="O123" s="687"/>
      <c r="P123" s="687"/>
      <c r="Q123" s="687"/>
      <c r="R123" s="687"/>
      <c r="S123" s="687"/>
      <c r="T123" s="687"/>
      <c r="U123" s="687"/>
      <c r="V123" s="687"/>
      <c r="W123" s="687"/>
      <c r="X123" s="687"/>
      <c r="Y123" s="687"/>
      <c r="Z123" s="687"/>
    </row>
    <row r="124" ht="15.75" hidden="1" customHeight="1">
      <c r="A124" s="687"/>
      <c r="B124" s="687"/>
      <c r="C124" s="687"/>
      <c r="D124" s="687"/>
      <c r="E124" s="687"/>
      <c r="F124" s="687"/>
      <c r="G124" s="687"/>
      <c r="H124" s="687"/>
      <c r="I124" s="687"/>
      <c r="J124" s="687"/>
      <c r="K124" s="687"/>
      <c r="L124" s="687"/>
      <c r="M124" s="687"/>
      <c r="N124" s="687"/>
      <c r="O124" s="687"/>
      <c r="P124" s="687"/>
      <c r="Q124" s="687"/>
      <c r="R124" s="687"/>
      <c r="S124" s="687"/>
      <c r="T124" s="687"/>
      <c r="U124" s="687"/>
      <c r="V124" s="687"/>
      <c r="W124" s="687"/>
      <c r="X124" s="687"/>
      <c r="Y124" s="687"/>
      <c r="Z124" s="687"/>
    </row>
    <row r="125" ht="15.75" hidden="1" customHeight="1">
      <c r="A125" s="687"/>
      <c r="B125" s="687"/>
      <c r="C125" s="687"/>
      <c r="D125" s="687"/>
      <c r="E125" s="687"/>
      <c r="F125" s="687"/>
      <c r="G125" s="687"/>
      <c r="H125" s="687"/>
      <c r="I125" s="687"/>
      <c r="J125" s="687"/>
      <c r="K125" s="687"/>
      <c r="L125" s="687"/>
      <c r="M125" s="687"/>
      <c r="N125" s="687"/>
      <c r="O125" s="687"/>
      <c r="P125" s="687"/>
      <c r="Q125" s="687"/>
      <c r="R125" s="687"/>
      <c r="S125" s="687"/>
      <c r="T125" s="687"/>
      <c r="U125" s="687"/>
      <c r="V125" s="687"/>
      <c r="W125" s="687"/>
      <c r="X125" s="687"/>
      <c r="Y125" s="687"/>
      <c r="Z125" s="687"/>
    </row>
    <row r="126" ht="15.75" hidden="1" customHeight="1">
      <c r="A126" s="687"/>
      <c r="B126" s="687"/>
      <c r="C126" s="687"/>
      <c r="D126" s="687"/>
      <c r="E126" s="687"/>
      <c r="F126" s="687"/>
      <c r="G126" s="687"/>
      <c r="H126" s="687"/>
      <c r="I126" s="687"/>
      <c r="J126" s="687"/>
      <c r="K126" s="687"/>
      <c r="L126" s="687"/>
      <c r="M126" s="687"/>
      <c r="N126" s="687"/>
      <c r="O126" s="687"/>
      <c r="P126" s="687"/>
      <c r="Q126" s="687"/>
      <c r="R126" s="687"/>
      <c r="S126" s="687"/>
      <c r="T126" s="687"/>
      <c r="U126" s="687"/>
      <c r="V126" s="687"/>
      <c r="W126" s="687"/>
      <c r="X126" s="687"/>
      <c r="Y126" s="687"/>
      <c r="Z126" s="687"/>
    </row>
    <row r="127" ht="15.75" hidden="1" customHeight="1">
      <c r="A127" s="687"/>
      <c r="B127" s="687"/>
      <c r="C127" s="687"/>
      <c r="D127" s="687"/>
      <c r="E127" s="687"/>
      <c r="F127" s="687"/>
      <c r="G127" s="687"/>
      <c r="H127" s="687"/>
      <c r="I127" s="687"/>
      <c r="J127" s="687"/>
      <c r="K127" s="687"/>
      <c r="L127" s="687"/>
      <c r="M127" s="687"/>
      <c r="N127" s="687"/>
      <c r="O127" s="687"/>
      <c r="P127" s="687"/>
      <c r="Q127" s="687"/>
      <c r="R127" s="687"/>
      <c r="S127" s="687"/>
      <c r="T127" s="687"/>
      <c r="U127" s="687"/>
      <c r="V127" s="687"/>
      <c r="W127" s="687"/>
      <c r="X127" s="687"/>
      <c r="Y127" s="687"/>
      <c r="Z127" s="687"/>
    </row>
    <row r="128" ht="15.75" hidden="1" customHeight="1">
      <c r="A128" s="687"/>
      <c r="B128" s="687"/>
      <c r="C128" s="687"/>
      <c r="D128" s="687"/>
      <c r="E128" s="687"/>
      <c r="F128" s="687"/>
      <c r="G128" s="687"/>
      <c r="H128" s="687"/>
      <c r="I128" s="687"/>
      <c r="J128" s="687"/>
      <c r="K128" s="687"/>
      <c r="L128" s="687"/>
      <c r="M128" s="687"/>
      <c r="N128" s="687"/>
      <c r="O128" s="687"/>
      <c r="P128" s="687"/>
      <c r="Q128" s="687"/>
      <c r="R128" s="687"/>
      <c r="S128" s="687"/>
      <c r="T128" s="687"/>
      <c r="U128" s="687"/>
      <c r="V128" s="687"/>
      <c r="W128" s="687"/>
      <c r="X128" s="687"/>
      <c r="Y128" s="687"/>
      <c r="Z128" s="687"/>
    </row>
    <row r="129" ht="15.75" hidden="1" customHeight="1">
      <c r="A129" s="687"/>
      <c r="B129" s="687"/>
      <c r="C129" s="687"/>
      <c r="D129" s="687"/>
      <c r="E129" s="687"/>
      <c r="F129" s="687"/>
      <c r="G129" s="687"/>
      <c r="H129" s="687"/>
      <c r="I129" s="687"/>
      <c r="J129" s="687"/>
      <c r="K129" s="687"/>
      <c r="L129" s="687"/>
      <c r="M129" s="687"/>
      <c r="N129" s="687"/>
      <c r="O129" s="687"/>
      <c r="P129" s="687"/>
      <c r="Q129" s="687"/>
      <c r="R129" s="687"/>
      <c r="S129" s="687"/>
      <c r="T129" s="687"/>
      <c r="U129" s="687"/>
      <c r="V129" s="687"/>
      <c r="W129" s="687"/>
      <c r="X129" s="687"/>
      <c r="Y129" s="687"/>
      <c r="Z129" s="687"/>
    </row>
    <row r="130" ht="15.75" hidden="1" customHeight="1">
      <c r="A130" s="687"/>
      <c r="B130" s="687"/>
      <c r="C130" s="687"/>
      <c r="D130" s="687"/>
      <c r="E130" s="687"/>
      <c r="F130" s="687"/>
      <c r="G130" s="687"/>
      <c r="H130" s="687"/>
      <c r="I130" s="687"/>
      <c r="J130" s="687"/>
      <c r="K130" s="687"/>
      <c r="L130" s="687"/>
      <c r="M130" s="687"/>
      <c r="N130" s="687"/>
      <c r="O130" s="687"/>
      <c r="P130" s="687"/>
      <c r="Q130" s="687"/>
      <c r="R130" s="687"/>
      <c r="S130" s="687"/>
      <c r="T130" s="687"/>
      <c r="U130" s="687"/>
      <c r="V130" s="687"/>
      <c r="W130" s="687"/>
      <c r="X130" s="687"/>
      <c r="Y130" s="687"/>
      <c r="Z130" s="687"/>
    </row>
    <row r="131" ht="15.75" hidden="1" customHeight="1">
      <c r="A131" s="687"/>
      <c r="B131" s="687"/>
      <c r="C131" s="687"/>
      <c r="D131" s="687"/>
      <c r="E131" s="687"/>
      <c r="F131" s="687"/>
      <c r="G131" s="687"/>
      <c r="H131" s="687"/>
      <c r="I131" s="687"/>
      <c r="J131" s="687"/>
      <c r="K131" s="687"/>
      <c r="L131" s="687"/>
      <c r="M131" s="687"/>
      <c r="N131" s="687"/>
      <c r="O131" s="687"/>
      <c r="P131" s="687"/>
      <c r="Q131" s="687"/>
      <c r="R131" s="687"/>
      <c r="S131" s="687"/>
      <c r="T131" s="687"/>
      <c r="U131" s="687"/>
      <c r="V131" s="687"/>
      <c r="W131" s="687"/>
      <c r="X131" s="687"/>
      <c r="Y131" s="687"/>
      <c r="Z131" s="687"/>
    </row>
    <row r="132" ht="15.75" hidden="1" customHeight="1">
      <c r="A132" s="687"/>
      <c r="B132" s="687"/>
      <c r="C132" s="687"/>
      <c r="D132" s="687"/>
      <c r="E132" s="687"/>
      <c r="F132" s="687"/>
      <c r="G132" s="687"/>
      <c r="H132" s="687"/>
      <c r="I132" s="687"/>
      <c r="J132" s="687"/>
      <c r="K132" s="687"/>
      <c r="L132" s="687"/>
      <c r="M132" s="687"/>
      <c r="N132" s="687"/>
      <c r="O132" s="687"/>
      <c r="P132" s="687"/>
      <c r="Q132" s="687"/>
      <c r="R132" s="687"/>
      <c r="S132" s="687"/>
      <c r="T132" s="687"/>
      <c r="U132" s="687"/>
      <c r="V132" s="687"/>
      <c r="W132" s="687"/>
      <c r="X132" s="687"/>
      <c r="Y132" s="687"/>
      <c r="Z132" s="687"/>
    </row>
    <row r="133" ht="15.75" hidden="1" customHeight="1">
      <c r="A133" s="687"/>
      <c r="B133" s="687"/>
      <c r="C133" s="687"/>
      <c r="D133" s="687"/>
      <c r="E133" s="687"/>
      <c r="F133" s="687"/>
      <c r="G133" s="687"/>
      <c r="H133" s="687"/>
      <c r="I133" s="687"/>
      <c r="J133" s="687"/>
      <c r="K133" s="687"/>
      <c r="L133" s="687"/>
      <c r="M133" s="687"/>
      <c r="N133" s="687"/>
      <c r="O133" s="687"/>
      <c r="P133" s="687"/>
      <c r="Q133" s="687"/>
      <c r="R133" s="687"/>
      <c r="S133" s="687"/>
      <c r="T133" s="687"/>
      <c r="U133" s="687"/>
      <c r="V133" s="687"/>
      <c r="W133" s="687"/>
      <c r="X133" s="687"/>
      <c r="Y133" s="687"/>
      <c r="Z133" s="687"/>
    </row>
    <row r="134" ht="15.75" hidden="1" customHeight="1">
      <c r="A134" s="687"/>
      <c r="B134" s="687"/>
      <c r="C134" s="687"/>
      <c r="D134" s="687"/>
      <c r="E134" s="687"/>
      <c r="F134" s="687"/>
      <c r="G134" s="687"/>
      <c r="H134" s="687"/>
      <c r="I134" s="687"/>
      <c r="J134" s="687"/>
      <c r="K134" s="687"/>
      <c r="L134" s="687"/>
      <c r="M134" s="687"/>
      <c r="N134" s="687"/>
      <c r="O134" s="687"/>
      <c r="P134" s="687"/>
      <c r="Q134" s="687"/>
      <c r="R134" s="687"/>
      <c r="S134" s="687"/>
      <c r="T134" s="687"/>
      <c r="U134" s="687"/>
      <c r="V134" s="687"/>
      <c r="W134" s="687"/>
      <c r="X134" s="687"/>
      <c r="Y134" s="687"/>
      <c r="Z134" s="687"/>
    </row>
    <row r="135" ht="15.75" hidden="1" customHeight="1">
      <c r="A135" s="687"/>
      <c r="B135" s="687"/>
      <c r="C135" s="687"/>
      <c r="D135" s="687"/>
      <c r="E135" s="687"/>
      <c r="F135" s="687"/>
      <c r="G135" s="687"/>
      <c r="H135" s="687"/>
      <c r="I135" s="687"/>
      <c r="J135" s="687"/>
      <c r="K135" s="687"/>
      <c r="L135" s="687"/>
      <c r="M135" s="687"/>
      <c r="N135" s="687"/>
      <c r="O135" s="687"/>
      <c r="P135" s="687"/>
      <c r="Q135" s="687"/>
      <c r="R135" s="687"/>
      <c r="S135" s="687"/>
      <c r="T135" s="687"/>
      <c r="U135" s="687"/>
      <c r="V135" s="687"/>
      <c r="W135" s="687"/>
      <c r="X135" s="687"/>
      <c r="Y135" s="687"/>
      <c r="Z135" s="687"/>
    </row>
    <row r="136" ht="15.75" hidden="1" customHeight="1">
      <c r="A136" s="687"/>
      <c r="B136" s="687"/>
      <c r="C136" s="687"/>
      <c r="D136" s="687"/>
      <c r="E136" s="687"/>
      <c r="F136" s="687"/>
      <c r="G136" s="687"/>
      <c r="H136" s="687"/>
      <c r="I136" s="687"/>
      <c r="J136" s="687"/>
      <c r="K136" s="687"/>
      <c r="L136" s="687"/>
      <c r="M136" s="687"/>
      <c r="N136" s="687"/>
      <c r="O136" s="687"/>
      <c r="P136" s="687"/>
      <c r="Q136" s="687"/>
      <c r="R136" s="687"/>
      <c r="S136" s="687"/>
      <c r="T136" s="687"/>
      <c r="U136" s="687"/>
      <c r="V136" s="687"/>
      <c r="W136" s="687"/>
      <c r="X136" s="687"/>
      <c r="Y136" s="687"/>
      <c r="Z136" s="687"/>
    </row>
    <row r="137" ht="15.75" hidden="1" customHeight="1">
      <c r="A137" s="687"/>
      <c r="B137" s="687"/>
      <c r="C137" s="687"/>
      <c r="D137" s="687"/>
      <c r="E137" s="687"/>
      <c r="F137" s="687"/>
      <c r="G137" s="687"/>
      <c r="H137" s="687"/>
      <c r="I137" s="687"/>
      <c r="J137" s="687"/>
      <c r="K137" s="687"/>
      <c r="L137" s="687"/>
      <c r="M137" s="687"/>
      <c r="N137" s="687"/>
      <c r="O137" s="687"/>
      <c r="P137" s="687"/>
      <c r="Q137" s="687"/>
      <c r="R137" s="687"/>
      <c r="S137" s="687"/>
      <c r="T137" s="687"/>
      <c r="U137" s="687"/>
      <c r="V137" s="687"/>
      <c r="W137" s="687"/>
      <c r="X137" s="687"/>
      <c r="Y137" s="687"/>
      <c r="Z137" s="687"/>
    </row>
    <row r="138" ht="15.75" hidden="1" customHeight="1">
      <c r="A138" s="687"/>
      <c r="B138" s="687"/>
      <c r="C138" s="687"/>
      <c r="D138" s="687"/>
      <c r="E138" s="687"/>
      <c r="F138" s="687"/>
      <c r="G138" s="687"/>
      <c r="H138" s="687"/>
      <c r="I138" s="687"/>
      <c r="J138" s="687"/>
      <c r="K138" s="687"/>
      <c r="L138" s="687"/>
      <c r="M138" s="687"/>
      <c r="N138" s="687"/>
      <c r="O138" s="687"/>
      <c r="P138" s="687"/>
      <c r="Q138" s="687"/>
      <c r="R138" s="687"/>
      <c r="S138" s="687"/>
      <c r="T138" s="687"/>
      <c r="U138" s="687"/>
      <c r="V138" s="687"/>
      <c r="W138" s="687"/>
      <c r="X138" s="687"/>
      <c r="Y138" s="687"/>
      <c r="Z138" s="687"/>
    </row>
    <row r="139" ht="15.75" hidden="1" customHeight="1">
      <c r="A139" s="687"/>
      <c r="B139" s="687"/>
      <c r="C139" s="687"/>
      <c r="D139" s="687"/>
      <c r="E139" s="687"/>
      <c r="F139" s="687"/>
      <c r="G139" s="687"/>
      <c r="H139" s="687"/>
      <c r="I139" s="687"/>
      <c r="J139" s="687"/>
      <c r="K139" s="687"/>
      <c r="L139" s="687"/>
      <c r="M139" s="687"/>
      <c r="N139" s="687"/>
      <c r="O139" s="687"/>
      <c r="P139" s="687"/>
      <c r="Q139" s="687"/>
      <c r="R139" s="687"/>
      <c r="S139" s="687"/>
      <c r="T139" s="687"/>
      <c r="U139" s="687"/>
      <c r="V139" s="687"/>
      <c r="W139" s="687"/>
      <c r="X139" s="687"/>
      <c r="Y139" s="687"/>
      <c r="Z139" s="687"/>
    </row>
    <row r="140" ht="15.75" hidden="1" customHeight="1">
      <c r="A140" s="687"/>
      <c r="B140" s="687"/>
      <c r="C140" s="687"/>
      <c r="D140" s="687"/>
      <c r="E140" s="687"/>
      <c r="F140" s="687"/>
      <c r="G140" s="687"/>
      <c r="H140" s="687"/>
      <c r="I140" s="687"/>
      <c r="J140" s="687"/>
      <c r="K140" s="687"/>
      <c r="L140" s="687"/>
      <c r="M140" s="687"/>
      <c r="N140" s="687"/>
      <c r="O140" s="687"/>
      <c r="P140" s="687"/>
      <c r="Q140" s="687"/>
      <c r="R140" s="687"/>
      <c r="S140" s="687"/>
      <c r="T140" s="687"/>
      <c r="U140" s="687"/>
      <c r="V140" s="687"/>
      <c r="W140" s="687"/>
      <c r="X140" s="687"/>
      <c r="Y140" s="687"/>
      <c r="Z140" s="687"/>
    </row>
    <row r="141" ht="15.75" hidden="1" customHeight="1">
      <c r="A141" s="687"/>
      <c r="B141" s="687"/>
      <c r="C141" s="687"/>
      <c r="D141" s="687"/>
      <c r="E141" s="687"/>
      <c r="F141" s="687"/>
      <c r="G141" s="687"/>
      <c r="H141" s="687"/>
      <c r="I141" s="687"/>
      <c r="J141" s="687"/>
      <c r="K141" s="687"/>
      <c r="L141" s="687"/>
      <c r="M141" s="687"/>
      <c r="N141" s="687"/>
      <c r="O141" s="687"/>
      <c r="P141" s="687"/>
      <c r="Q141" s="687"/>
      <c r="R141" s="687"/>
      <c r="S141" s="687"/>
      <c r="T141" s="687"/>
      <c r="U141" s="687"/>
      <c r="V141" s="687"/>
      <c r="W141" s="687"/>
      <c r="X141" s="687"/>
      <c r="Y141" s="687"/>
      <c r="Z141" s="687"/>
    </row>
    <row r="142" ht="15.75" hidden="1" customHeight="1">
      <c r="A142" s="687"/>
      <c r="B142" s="687"/>
      <c r="C142" s="687"/>
      <c r="D142" s="687"/>
      <c r="E142" s="687"/>
      <c r="F142" s="687"/>
      <c r="G142" s="687"/>
      <c r="H142" s="687"/>
      <c r="I142" s="687"/>
      <c r="J142" s="687"/>
      <c r="K142" s="687"/>
      <c r="L142" s="687"/>
      <c r="M142" s="687"/>
      <c r="N142" s="687"/>
      <c r="O142" s="687"/>
      <c r="P142" s="687"/>
      <c r="Q142" s="687"/>
      <c r="R142" s="687"/>
      <c r="S142" s="687"/>
      <c r="T142" s="687"/>
      <c r="U142" s="687"/>
      <c r="V142" s="687"/>
      <c r="W142" s="687"/>
      <c r="X142" s="687"/>
      <c r="Y142" s="687"/>
      <c r="Z142" s="687"/>
    </row>
    <row r="143" ht="15.75" hidden="1" customHeight="1">
      <c r="A143" s="687"/>
      <c r="B143" s="687"/>
      <c r="C143" s="687"/>
      <c r="D143" s="687"/>
      <c r="E143" s="687"/>
      <c r="F143" s="687"/>
      <c r="G143" s="687"/>
      <c r="H143" s="687"/>
      <c r="I143" s="687"/>
      <c r="J143" s="687"/>
      <c r="K143" s="687"/>
      <c r="L143" s="687"/>
      <c r="M143" s="687"/>
      <c r="N143" s="687"/>
      <c r="O143" s="687"/>
      <c r="P143" s="687"/>
      <c r="Q143" s="687"/>
      <c r="R143" s="687"/>
      <c r="S143" s="687"/>
      <c r="T143" s="687"/>
      <c r="U143" s="687"/>
      <c r="V143" s="687"/>
      <c r="W143" s="687"/>
      <c r="X143" s="687"/>
      <c r="Y143" s="687"/>
      <c r="Z143" s="687"/>
    </row>
    <row r="144" ht="15.75" hidden="1" customHeight="1">
      <c r="A144" s="687"/>
      <c r="B144" s="687"/>
      <c r="C144" s="687"/>
      <c r="D144" s="687"/>
      <c r="E144" s="687"/>
      <c r="F144" s="687"/>
      <c r="G144" s="687"/>
      <c r="H144" s="687"/>
      <c r="I144" s="687"/>
      <c r="J144" s="687"/>
      <c r="K144" s="687"/>
      <c r="L144" s="687"/>
      <c r="M144" s="687"/>
      <c r="N144" s="687"/>
      <c r="O144" s="687"/>
      <c r="P144" s="687"/>
      <c r="Q144" s="687"/>
      <c r="R144" s="687"/>
      <c r="S144" s="687"/>
      <c r="T144" s="687"/>
      <c r="U144" s="687"/>
      <c r="V144" s="687"/>
      <c r="W144" s="687"/>
      <c r="X144" s="687"/>
      <c r="Y144" s="687"/>
      <c r="Z144" s="687"/>
    </row>
    <row r="145" ht="15.75" hidden="1" customHeight="1">
      <c r="A145" s="687"/>
      <c r="B145" s="687"/>
      <c r="C145" s="687"/>
      <c r="D145" s="687"/>
      <c r="E145" s="687"/>
      <c r="F145" s="687"/>
      <c r="G145" s="687"/>
      <c r="H145" s="687"/>
      <c r="I145" s="687"/>
      <c r="J145" s="687"/>
      <c r="K145" s="687"/>
      <c r="L145" s="687"/>
      <c r="M145" s="687"/>
      <c r="N145" s="687"/>
      <c r="O145" s="687"/>
      <c r="P145" s="687"/>
      <c r="Q145" s="687"/>
      <c r="R145" s="687"/>
      <c r="S145" s="687"/>
      <c r="T145" s="687"/>
      <c r="U145" s="687"/>
      <c r="V145" s="687"/>
      <c r="W145" s="687"/>
      <c r="X145" s="687"/>
      <c r="Y145" s="687"/>
      <c r="Z145" s="687"/>
    </row>
    <row r="146" ht="15.75" hidden="1" customHeight="1">
      <c r="A146" s="687"/>
      <c r="B146" s="687"/>
      <c r="C146" s="687"/>
      <c r="D146" s="687"/>
      <c r="E146" s="687"/>
      <c r="F146" s="687"/>
      <c r="G146" s="687"/>
      <c r="H146" s="687"/>
      <c r="I146" s="687"/>
      <c r="J146" s="687"/>
      <c r="K146" s="687"/>
      <c r="L146" s="687"/>
      <c r="M146" s="687"/>
      <c r="N146" s="687"/>
      <c r="O146" s="687"/>
      <c r="P146" s="687"/>
      <c r="Q146" s="687"/>
      <c r="R146" s="687"/>
      <c r="S146" s="687"/>
      <c r="T146" s="687"/>
      <c r="U146" s="687"/>
      <c r="V146" s="687"/>
      <c r="W146" s="687"/>
      <c r="X146" s="687"/>
      <c r="Y146" s="687"/>
      <c r="Z146" s="687"/>
    </row>
    <row r="147" ht="15.75" hidden="1" customHeight="1">
      <c r="A147" s="687"/>
      <c r="B147" s="687"/>
      <c r="C147" s="687"/>
      <c r="D147" s="687"/>
      <c r="E147" s="687"/>
      <c r="F147" s="687"/>
      <c r="G147" s="687"/>
      <c r="H147" s="687"/>
      <c r="I147" s="687"/>
      <c r="J147" s="687"/>
      <c r="K147" s="687"/>
      <c r="L147" s="687"/>
      <c r="M147" s="687"/>
      <c r="N147" s="687"/>
      <c r="O147" s="687"/>
      <c r="P147" s="687"/>
      <c r="Q147" s="687"/>
      <c r="R147" s="687"/>
      <c r="S147" s="687"/>
      <c r="T147" s="687"/>
      <c r="U147" s="687"/>
      <c r="V147" s="687"/>
      <c r="W147" s="687"/>
      <c r="X147" s="687"/>
      <c r="Y147" s="687"/>
      <c r="Z147" s="687"/>
    </row>
    <row r="148" ht="15.75" hidden="1" customHeight="1">
      <c r="A148" s="687"/>
      <c r="B148" s="687"/>
      <c r="C148" s="687"/>
      <c r="D148" s="687"/>
      <c r="E148" s="687"/>
      <c r="F148" s="687"/>
      <c r="G148" s="687"/>
      <c r="H148" s="687"/>
      <c r="I148" s="687"/>
      <c r="J148" s="687"/>
      <c r="K148" s="687"/>
      <c r="L148" s="687"/>
      <c r="M148" s="687"/>
      <c r="N148" s="687"/>
      <c r="O148" s="687"/>
      <c r="P148" s="687"/>
      <c r="Q148" s="687"/>
      <c r="R148" s="687"/>
      <c r="S148" s="687"/>
      <c r="T148" s="687"/>
      <c r="U148" s="687"/>
      <c r="V148" s="687"/>
      <c r="W148" s="687"/>
      <c r="X148" s="687"/>
      <c r="Y148" s="687"/>
      <c r="Z148" s="687"/>
    </row>
    <row r="149" ht="15.75" hidden="1" customHeight="1">
      <c r="A149" s="687"/>
      <c r="B149" s="687"/>
      <c r="C149" s="687"/>
      <c r="D149" s="687"/>
      <c r="E149" s="687"/>
      <c r="F149" s="687"/>
      <c r="G149" s="687"/>
      <c r="H149" s="687"/>
      <c r="I149" s="687"/>
      <c r="J149" s="687"/>
      <c r="K149" s="687"/>
      <c r="L149" s="687"/>
      <c r="M149" s="687"/>
      <c r="N149" s="687"/>
      <c r="O149" s="687"/>
      <c r="P149" s="687"/>
      <c r="Q149" s="687"/>
      <c r="R149" s="687"/>
      <c r="S149" s="687"/>
      <c r="T149" s="687"/>
      <c r="U149" s="687"/>
      <c r="V149" s="687"/>
      <c r="W149" s="687"/>
      <c r="X149" s="687"/>
      <c r="Y149" s="687"/>
      <c r="Z149" s="687"/>
    </row>
    <row r="150" ht="15.75" hidden="1" customHeight="1">
      <c r="A150" s="687"/>
      <c r="B150" s="687"/>
      <c r="C150" s="687"/>
      <c r="D150" s="687"/>
      <c r="E150" s="687"/>
      <c r="F150" s="687"/>
      <c r="G150" s="687"/>
      <c r="H150" s="687"/>
      <c r="I150" s="687"/>
      <c r="J150" s="687"/>
      <c r="K150" s="687"/>
      <c r="L150" s="687"/>
      <c r="M150" s="687"/>
      <c r="N150" s="687"/>
      <c r="O150" s="687"/>
      <c r="P150" s="687"/>
      <c r="Q150" s="687"/>
      <c r="R150" s="687"/>
      <c r="S150" s="687"/>
      <c r="T150" s="687"/>
      <c r="U150" s="687"/>
      <c r="V150" s="687"/>
      <c r="W150" s="687"/>
      <c r="X150" s="687"/>
      <c r="Y150" s="687"/>
      <c r="Z150" s="687"/>
    </row>
    <row r="151" ht="15.75" hidden="1" customHeight="1">
      <c r="A151" s="687"/>
      <c r="B151" s="687"/>
      <c r="C151" s="687"/>
      <c r="D151" s="687"/>
      <c r="E151" s="687"/>
      <c r="F151" s="687"/>
      <c r="G151" s="687"/>
      <c r="H151" s="687"/>
      <c r="I151" s="687"/>
      <c r="J151" s="687"/>
      <c r="K151" s="687"/>
      <c r="L151" s="687"/>
      <c r="M151" s="687"/>
      <c r="N151" s="687"/>
      <c r="O151" s="687"/>
      <c r="P151" s="687"/>
      <c r="Q151" s="687"/>
      <c r="R151" s="687"/>
      <c r="S151" s="687"/>
      <c r="T151" s="687"/>
      <c r="U151" s="687"/>
      <c r="V151" s="687"/>
      <c r="W151" s="687"/>
      <c r="X151" s="687"/>
      <c r="Y151" s="687"/>
      <c r="Z151" s="687"/>
    </row>
    <row r="152" ht="15.75" hidden="1" customHeight="1">
      <c r="A152" s="687"/>
      <c r="B152" s="687"/>
      <c r="C152" s="687"/>
      <c r="D152" s="687"/>
      <c r="E152" s="687"/>
      <c r="F152" s="687"/>
      <c r="G152" s="687"/>
      <c r="H152" s="687"/>
      <c r="I152" s="687"/>
      <c r="J152" s="687"/>
      <c r="K152" s="687"/>
      <c r="L152" s="687"/>
      <c r="M152" s="687"/>
      <c r="N152" s="687"/>
      <c r="O152" s="687"/>
      <c r="P152" s="687"/>
      <c r="Q152" s="687"/>
      <c r="R152" s="687"/>
      <c r="S152" s="687"/>
      <c r="T152" s="687"/>
      <c r="U152" s="687"/>
      <c r="V152" s="687"/>
      <c r="W152" s="687"/>
      <c r="X152" s="687"/>
      <c r="Y152" s="687"/>
      <c r="Z152" s="687"/>
    </row>
    <row r="153" ht="15.75" hidden="1" customHeight="1">
      <c r="A153" s="687"/>
      <c r="B153" s="687"/>
      <c r="C153" s="687"/>
      <c r="D153" s="687"/>
      <c r="E153" s="687"/>
      <c r="F153" s="687"/>
      <c r="G153" s="687"/>
      <c r="H153" s="687"/>
      <c r="I153" s="687"/>
      <c r="J153" s="687"/>
      <c r="K153" s="687"/>
      <c r="L153" s="687"/>
      <c r="M153" s="687"/>
      <c r="N153" s="687"/>
      <c r="O153" s="687"/>
      <c r="P153" s="687"/>
      <c r="Q153" s="687"/>
      <c r="R153" s="687"/>
      <c r="S153" s="687"/>
      <c r="T153" s="687"/>
      <c r="U153" s="687"/>
      <c r="V153" s="687"/>
      <c r="W153" s="687"/>
      <c r="X153" s="687"/>
      <c r="Y153" s="687"/>
      <c r="Z153" s="687"/>
    </row>
    <row r="154" ht="15.75" hidden="1" customHeight="1">
      <c r="A154" s="687"/>
      <c r="B154" s="687"/>
      <c r="C154" s="687"/>
      <c r="D154" s="687"/>
      <c r="E154" s="687"/>
      <c r="F154" s="687"/>
      <c r="G154" s="687"/>
      <c r="H154" s="687"/>
      <c r="I154" s="687"/>
      <c r="J154" s="687"/>
      <c r="K154" s="687"/>
      <c r="L154" s="687"/>
      <c r="M154" s="687"/>
      <c r="N154" s="687"/>
      <c r="O154" s="687"/>
      <c r="P154" s="687"/>
      <c r="Q154" s="687"/>
      <c r="R154" s="687"/>
      <c r="S154" s="687"/>
      <c r="T154" s="687"/>
      <c r="U154" s="687"/>
      <c r="V154" s="687"/>
      <c r="W154" s="687"/>
      <c r="X154" s="687"/>
      <c r="Y154" s="687"/>
      <c r="Z154" s="687"/>
    </row>
    <row r="155" ht="15.75" hidden="1" customHeight="1">
      <c r="A155" s="687"/>
      <c r="B155" s="687"/>
      <c r="C155" s="687"/>
      <c r="D155" s="687"/>
      <c r="E155" s="687"/>
      <c r="F155" s="687"/>
      <c r="G155" s="687"/>
      <c r="H155" s="687"/>
      <c r="I155" s="687"/>
      <c r="J155" s="687"/>
      <c r="K155" s="687"/>
      <c r="L155" s="687"/>
      <c r="M155" s="687"/>
      <c r="N155" s="687"/>
      <c r="O155" s="687"/>
      <c r="P155" s="687"/>
      <c r="Q155" s="687"/>
      <c r="R155" s="687"/>
      <c r="S155" s="687"/>
      <c r="T155" s="687"/>
      <c r="U155" s="687"/>
      <c r="V155" s="687"/>
      <c r="W155" s="687"/>
      <c r="X155" s="687"/>
      <c r="Y155" s="687"/>
      <c r="Z155" s="687"/>
    </row>
    <row r="156" ht="15.75" hidden="1" customHeight="1">
      <c r="A156" s="687"/>
      <c r="B156" s="687"/>
      <c r="C156" s="687"/>
      <c r="D156" s="687"/>
      <c r="E156" s="687"/>
      <c r="F156" s="687"/>
      <c r="G156" s="687"/>
      <c r="H156" s="687"/>
      <c r="I156" s="687"/>
      <c r="J156" s="687"/>
      <c r="K156" s="687"/>
      <c r="L156" s="687"/>
      <c r="M156" s="687"/>
      <c r="N156" s="687"/>
      <c r="O156" s="687"/>
      <c r="P156" s="687"/>
      <c r="Q156" s="687"/>
      <c r="R156" s="687"/>
      <c r="S156" s="687"/>
      <c r="T156" s="687"/>
      <c r="U156" s="687"/>
      <c r="V156" s="687"/>
      <c r="W156" s="687"/>
      <c r="X156" s="687"/>
      <c r="Y156" s="687"/>
      <c r="Z156" s="687"/>
    </row>
    <row r="157" ht="15.75" hidden="1" customHeight="1">
      <c r="A157" s="687"/>
      <c r="B157" s="687"/>
      <c r="C157" s="687"/>
      <c r="D157" s="687"/>
      <c r="E157" s="687"/>
      <c r="F157" s="687"/>
      <c r="G157" s="687"/>
      <c r="H157" s="687"/>
      <c r="I157" s="687"/>
      <c r="J157" s="687"/>
      <c r="K157" s="687"/>
      <c r="L157" s="687"/>
      <c r="M157" s="687"/>
      <c r="N157" s="687"/>
      <c r="O157" s="687"/>
      <c r="P157" s="687"/>
      <c r="Q157" s="687"/>
      <c r="R157" s="687"/>
      <c r="S157" s="687"/>
      <c r="T157" s="687"/>
      <c r="U157" s="687"/>
      <c r="V157" s="687"/>
      <c r="W157" s="687"/>
      <c r="X157" s="687"/>
      <c r="Y157" s="687"/>
      <c r="Z157" s="687"/>
    </row>
    <row r="158" ht="15.75" hidden="1" customHeight="1">
      <c r="A158" s="687"/>
      <c r="B158" s="687"/>
      <c r="C158" s="687"/>
      <c r="D158" s="687"/>
      <c r="E158" s="687"/>
      <c r="F158" s="687"/>
      <c r="G158" s="687"/>
      <c r="H158" s="687"/>
      <c r="I158" s="687"/>
      <c r="J158" s="687"/>
      <c r="K158" s="687"/>
      <c r="L158" s="687"/>
      <c r="M158" s="687"/>
      <c r="N158" s="687"/>
      <c r="O158" s="687"/>
      <c r="P158" s="687"/>
      <c r="Q158" s="687"/>
      <c r="R158" s="687"/>
      <c r="S158" s="687"/>
      <c r="T158" s="687"/>
      <c r="U158" s="687"/>
      <c r="V158" s="687"/>
      <c r="W158" s="687"/>
      <c r="X158" s="687"/>
      <c r="Y158" s="687"/>
      <c r="Z158" s="687"/>
    </row>
    <row r="159" ht="15.75" hidden="1" customHeight="1">
      <c r="A159" s="687"/>
      <c r="B159" s="687"/>
      <c r="C159" s="687"/>
      <c r="D159" s="687"/>
      <c r="E159" s="687"/>
      <c r="F159" s="687"/>
      <c r="G159" s="687"/>
      <c r="H159" s="687"/>
      <c r="I159" s="687"/>
      <c r="J159" s="687"/>
      <c r="K159" s="687"/>
      <c r="L159" s="687"/>
      <c r="M159" s="687"/>
      <c r="N159" s="687"/>
      <c r="O159" s="687"/>
      <c r="P159" s="687"/>
      <c r="Q159" s="687"/>
      <c r="R159" s="687"/>
      <c r="S159" s="687"/>
      <c r="T159" s="687"/>
      <c r="U159" s="687"/>
      <c r="V159" s="687"/>
      <c r="W159" s="687"/>
      <c r="X159" s="687"/>
      <c r="Y159" s="687"/>
      <c r="Z159" s="687"/>
    </row>
    <row r="160" ht="15.75" hidden="1" customHeight="1">
      <c r="A160" s="687"/>
      <c r="B160" s="687"/>
      <c r="C160" s="687"/>
      <c r="D160" s="687"/>
      <c r="E160" s="687"/>
      <c r="F160" s="687"/>
      <c r="G160" s="687"/>
      <c r="H160" s="687"/>
      <c r="I160" s="687"/>
      <c r="J160" s="687"/>
      <c r="K160" s="687"/>
      <c r="L160" s="687"/>
      <c r="M160" s="687"/>
      <c r="N160" s="687"/>
      <c r="O160" s="687"/>
      <c r="P160" s="687"/>
      <c r="Q160" s="687"/>
      <c r="R160" s="687"/>
      <c r="S160" s="687"/>
      <c r="T160" s="687"/>
      <c r="U160" s="687"/>
      <c r="V160" s="687"/>
      <c r="W160" s="687"/>
      <c r="X160" s="687"/>
      <c r="Y160" s="687"/>
      <c r="Z160" s="687"/>
    </row>
    <row r="161" ht="15.75" hidden="1" customHeight="1">
      <c r="A161" s="687"/>
      <c r="B161" s="687"/>
      <c r="C161" s="687"/>
      <c r="D161" s="687"/>
      <c r="E161" s="687"/>
      <c r="F161" s="687"/>
      <c r="G161" s="687"/>
      <c r="H161" s="687"/>
      <c r="I161" s="687"/>
      <c r="J161" s="687"/>
      <c r="K161" s="687"/>
      <c r="L161" s="687"/>
      <c r="M161" s="687"/>
      <c r="N161" s="687"/>
      <c r="O161" s="687"/>
      <c r="P161" s="687"/>
      <c r="Q161" s="687"/>
      <c r="R161" s="687"/>
      <c r="S161" s="687"/>
      <c r="T161" s="687"/>
      <c r="U161" s="687"/>
      <c r="V161" s="687"/>
      <c r="W161" s="687"/>
      <c r="X161" s="687"/>
      <c r="Y161" s="687"/>
      <c r="Z161" s="687"/>
    </row>
    <row r="162" ht="15.75" hidden="1" customHeight="1">
      <c r="A162" s="687"/>
      <c r="B162" s="687"/>
      <c r="C162" s="687"/>
      <c r="D162" s="687"/>
      <c r="E162" s="687"/>
      <c r="F162" s="687"/>
      <c r="G162" s="687"/>
      <c r="H162" s="687"/>
      <c r="I162" s="687"/>
      <c r="J162" s="687"/>
      <c r="K162" s="687"/>
      <c r="L162" s="687"/>
      <c r="M162" s="687"/>
      <c r="N162" s="687"/>
      <c r="O162" s="687"/>
      <c r="P162" s="687"/>
      <c r="Q162" s="687"/>
      <c r="R162" s="687"/>
      <c r="S162" s="687"/>
      <c r="T162" s="687"/>
      <c r="U162" s="687"/>
      <c r="V162" s="687"/>
      <c r="W162" s="687"/>
      <c r="X162" s="687"/>
      <c r="Y162" s="687"/>
      <c r="Z162" s="687"/>
    </row>
    <row r="163" ht="15.75" hidden="1" customHeight="1">
      <c r="A163" s="687"/>
      <c r="B163" s="687"/>
      <c r="C163" s="687"/>
      <c r="D163" s="687"/>
      <c r="E163" s="687"/>
      <c r="F163" s="687"/>
      <c r="G163" s="687"/>
      <c r="H163" s="687"/>
      <c r="I163" s="687"/>
      <c r="J163" s="687"/>
      <c r="K163" s="687"/>
      <c r="L163" s="687"/>
      <c r="M163" s="687"/>
      <c r="N163" s="687"/>
      <c r="O163" s="687"/>
      <c r="P163" s="687"/>
      <c r="Q163" s="687"/>
      <c r="R163" s="687"/>
      <c r="S163" s="687"/>
      <c r="T163" s="687"/>
      <c r="U163" s="687"/>
      <c r="V163" s="687"/>
      <c r="W163" s="687"/>
      <c r="X163" s="687"/>
      <c r="Y163" s="687"/>
      <c r="Z163" s="687"/>
    </row>
    <row r="164" ht="15.75" hidden="1" customHeight="1">
      <c r="A164" s="687"/>
      <c r="B164" s="687"/>
      <c r="C164" s="687"/>
      <c r="D164" s="687"/>
      <c r="E164" s="687"/>
      <c r="F164" s="687"/>
      <c r="G164" s="687"/>
      <c r="H164" s="687"/>
      <c r="I164" s="687"/>
      <c r="J164" s="687"/>
      <c r="K164" s="687"/>
      <c r="L164" s="687"/>
      <c r="M164" s="687"/>
      <c r="N164" s="687"/>
      <c r="O164" s="687"/>
      <c r="P164" s="687"/>
      <c r="Q164" s="687"/>
      <c r="R164" s="687"/>
      <c r="S164" s="687"/>
      <c r="T164" s="687"/>
      <c r="U164" s="687"/>
      <c r="V164" s="687"/>
      <c r="W164" s="687"/>
      <c r="X164" s="687"/>
      <c r="Y164" s="687"/>
      <c r="Z164" s="687"/>
    </row>
    <row r="165" ht="15.75" hidden="1" customHeight="1">
      <c r="A165" s="687"/>
      <c r="B165" s="687"/>
      <c r="C165" s="687"/>
      <c r="D165" s="687"/>
      <c r="E165" s="687"/>
      <c r="F165" s="687"/>
      <c r="G165" s="687"/>
      <c r="H165" s="687"/>
      <c r="I165" s="687"/>
      <c r="J165" s="687"/>
      <c r="K165" s="687"/>
      <c r="L165" s="687"/>
      <c r="M165" s="687"/>
      <c r="N165" s="687"/>
      <c r="O165" s="687"/>
      <c r="P165" s="687"/>
      <c r="Q165" s="687"/>
      <c r="R165" s="687"/>
      <c r="S165" s="687"/>
      <c r="T165" s="687"/>
      <c r="U165" s="687"/>
      <c r="V165" s="687"/>
      <c r="W165" s="687"/>
      <c r="X165" s="687"/>
      <c r="Y165" s="687"/>
      <c r="Z165" s="687"/>
    </row>
    <row r="166" ht="15.75" hidden="1" customHeight="1">
      <c r="A166" s="687"/>
      <c r="B166" s="687"/>
      <c r="C166" s="687"/>
      <c r="D166" s="687"/>
      <c r="E166" s="687"/>
      <c r="F166" s="687"/>
      <c r="G166" s="687"/>
      <c r="H166" s="687"/>
      <c r="I166" s="687"/>
      <c r="J166" s="687"/>
      <c r="K166" s="687"/>
      <c r="L166" s="687"/>
      <c r="M166" s="687"/>
      <c r="N166" s="687"/>
      <c r="O166" s="687"/>
      <c r="P166" s="687"/>
      <c r="Q166" s="687"/>
      <c r="R166" s="687"/>
      <c r="S166" s="687"/>
      <c r="T166" s="687"/>
      <c r="U166" s="687"/>
      <c r="V166" s="687"/>
      <c r="W166" s="687"/>
      <c r="X166" s="687"/>
      <c r="Y166" s="687"/>
      <c r="Z166" s="687"/>
    </row>
    <row r="167" ht="15.75" hidden="1" customHeight="1">
      <c r="A167" s="687"/>
      <c r="B167" s="687"/>
      <c r="C167" s="687"/>
      <c r="D167" s="687"/>
      <c r="E167" s="687"/>
      <c r="F167" s="687"/>
      <c r="G167" s="687"/>
      <c r="H167" s="687"/>
      <c r="I167" s="687"/>
      <c r="J167" s="687"/>
      <c r="K167" s="687"/>
      <c r="L167" s="687"/>
      <c r="M167" s="687"/>
      <c r="N167" s="687"/>
      <c r="O167" s="687"/>
      <c r="P167" s="687"/>
      <c r="Q167" s="687"/>
      <c r="R167" s="687"/>
      <c r="S167" s="687"/>
      <c r="T167" s="687"/>
      <c r="U167" s="687"/>
      <c r="V167" s="687"/>
      <c r="W167" s="687"/>
      <c r="X167" s="687"/>
      <c r="Y167" s="687"/>
      <c r="Z167" s="687"/>
    </row>
    <row r="168" ht="15.75" hidden="1" customHeight="1">
      <c r="A168" s="687"/>
      <c r="B168" s="687"/>
      <c r="C168" s="687"/>
      <c r="D168" s="687"/>
      <c r="E168" s="687"/>
      <c r="F168" s="687"/>
      <c r="G168" s="687"/>
      <c r="H168" s="687"/>
      <c r="I168" s="687"/>
      <c r="J168" s="687"/>
      <c r="K168" s="687"/>
      <c r="L168" s="687"/>
      <c r="M168" s="687"/>
      <c r="N168" s="687"/>
      <c r="O168" s="687"/>
      <c r="P168" s="687"/>
      <c r="Q168" s="687"/>
      <c r="R168" s="687"/>
      <c r="S168" s="687"/>
      <c r="T168" s="687"/>
      <c r="U168" s="687"/>
      <c r="V168" s="687"/>
      <c r="W168" s="687"/>
      <c r="X168" s="687"/>
      <c r="Y168" s="687"/>
      <c r="Z168" s="687"/>
    </row>
    <row r="169" ht="15.75" hidden="1" customHeight="1">
      <c r="A169" s="687"/>
      <c r="B169" s="687"/>
      <c r="C169" s="687"/>
      <c r="D169" s="687"/>
      <c r="E169" s="687"/>
      <c r="F169" s="687"/>
      <c r="G169" s="687"/>
      <c r="H169" s="687"/>
      <c r="I169" s="687"/>
      <c r="J169" s="687"/>
      <c r="K169" s="687"/>
      <c r="L169" s="687"/>
      <c r="M169" s="687"/>
      <c r="N169" s="687"/>
      <c r="O169" s="687"/>
      <c r="P169" s="687"/>
      <c r="Q169" s="687"/>
      <c r="R169" s="687"/>
      <c r="S169" s="687"/>
      <c r="T169" s="687"/>
      <c r="U169" s="687"/>
      <c r="V169" s="687"/>
      <c r="W169" s="687"/>
      <c r="X169" s="687"/>
      <c r="Y169" s="687"/>
      <c r="Z169" s="687"/>
    </row>
    <row r="170" ht="15.75" hidden="1" customHeight="1">
      <c r="A170" s="687"/>
      <c r="B170" s="687"/>
      <c r="C170" s="687"/>
      <c r="D170" s="687"/>
      <c r="E170" s="687"/>
      <c r="F170" s="687"/>
      <c r="G170" s="687"/>
      <c r="H170" s="687"/>
      <c r="I170" s="687"/>
      <c r="J170" s="687"/>
      <c r="K170" s="687"/>
      <c r="L170" s="687"/>
      <c r="M170" s="687"/>
      <c r="N170" s="687"/>
      <c r="O170" s="687"/>
      <c r="P170" s="687"/>
      <c r="Q170" s="687"/>
      <c r="R170" s="687"/>
      <c r="S170" s="687"/>
      <c r="T170" s="687"/>
      <c r="U170" s="687"/>
      <c r="V170" s="687"/>
      <c r="W170" s="687"/>
      <c r="X170" s="687"/>
      <c r="Y170" s="687"/>
      <c r="Z170" s="687"/>
    </row>
    <row r="171" ht="15.75" hidden="1" customHeight="1">
      <c r="A171" s="687"/>
      <c r="B171" s="687"/>
      <c r="C171" s="687"/>
      <c r="D171" s="687"/>
      <c r="E171" s="687"/>
      <c r="F171" s="687"/>
      <c r="G171" s="687"/>
      <c r="H171" s="687"/>
      <c r="I171" s="687"/>
      <c r="J171" s="687"/>
      <c r="K171" s="687"/>
      <c r="L171" s="687"/>
      <c r="M171" s="687"/>
      <c r="N171" s="687"/>
      <c r="O171" s="687"/>
      <c r="P171" s="687"/>
      <c r="Q171" s="687"/>
      <c r="R171" s="687"/>
      <c r="S171" s="687"/>
      <c r="T171" s="687"/>
      <c r="U171" s="687"/>
      <c r="V171" s="687"/>
      <c r="W171" s="687"/>
      <c r="X171" s="687"/>
      <c r="Y171" s="687"/>
      <c r="Z171" s="687"/>
    </row>
    <row r="172" ht="15.75" hidden="1" customHeight="1">
      <c r="A172" s="687"/>
      <c r="B172" s="687"/>
      <c r="C172" s="687"/>
      <c r="D172" s="687"/>
      <c r="E172" s="687"/>
      <c r="F172" s="687"/>
      <c r="G172" s="687"/>
      <c r="H172" s="687"/>
      <c r="I172" s="687"/>
      <c r="J172" s="687"/>
      <c r="K172" s="687"/>
      <c r="L172" s="687"/>
      <c r="M172" s="687"/>
      <c r="N172" s="687"/>
      <c r="O172" s="687"/>
      <c r="P172" s="687"/>
      <c r="Q172" s="687"/>
      <c r="R172" s="687"/>
      <c r="S172" s="687"/>
      <c r="T172" s="687"/>
      <c r="U172" s="687"/>
      <c r="V172" s="687"/>
      <c r="W172" s="687"/>
      <c r="X172" s="687"/>
      <c r="Y172" s="687"/>
      <c r="Z172" s="687"/>
    </row>
    <row r="173" ht="15.75" hidden="1" customHeight="1">
      <c r="A173" s="687"/>
      <c r="B173" s="687"/>
      <c r="C173" s="687"/>
      <c r="D173" s="687"/>
      <c r="E173" s="687"/>
      <c r="F173" s="687"/>
      <c r="G173" s="687"/>
      <c r="H173" s="687"/>
      <c r="I173" s="687"/>
      <c r="J173" s="687"/>
      <c r="K173" s="687"/>
      <c r="L173" s="687"/>
      <c r="M173" s="687"/>
      <c r="N173" s="687"/>
      <c r="O173" s="687"/>
      <c r="P173" s="687"/>
      <c r="Q173" s="687"/>
      <c r="R173" s="687"/>
      <c r="S173" s="687"/>
      <c r="T173" s="687"/>
      <c r="U173" s="687"/>
      <c r="V173" s="687"/>
      <c r="W173" s="687"/>
      <c r="X173" s="687"/>
      <c r="Y173" s="687"/>
      <c r="Z173" s="687"/>
    </row>
    <row r="174" ht="15.75" hidden="1" customHeight="1">
      <c r="A174" s="687"/>
      <c r="B174" s="687"/>
      <c r="C174" s="687"/>
      <c r="D174" s="687"/>
      <c r="E174" s="687"/>
      <c r="F174" s="687"/>
      <c r="G174" s="687"/>
      <c r="H174" s="687"/>
      <c r="I174" s="687"/>
      <c r="J174" s="687"/>
      <c r="K174" s="687"/>
      <c r="L174" s="687"/>
      <c r="M174" s="687"/>
      <c r="N174" s="687"/>
      <c r="O174" s="687"/>
      <c r="P174" s="687"/>
      <c r="Q174" s="687"/>
      <c r="R174" s="687"/>
      <c r="S174" s="687"/>
      <c r="T174" s="687"/>
      <c r="U174" s="687"/>
      <c r="V174" s="687"/>
      <c r="W174" s="687"/>
      <c r="X174" s="687"/>
      <c r="Y174" s="687"/>
      <c r="Z174" s="687"/>
    </row>
    <row r="175" ht="15.75" hidden="1" customHeight="1">
      <c r="A175" s="687"/>
      <c r="B175" s="687"/>
      <c r="C175" s="687"/>
      <c r="D175" s="687"/>
      <c r="E175" s="687"/>
      <c r="F175" s="687"/>
      <c r="G175" s="687"/>
      <c r="H175" s="687"/>
      <c r="I175" s="687"/>
      <c r="J175" s="687"/>
      <c r="K175" s="687"/>
      <c r="L175" s="687"/>
      <c r="M175" s="687"/>
      <c r="N175" s="687"/>
      <c r="O175" s="687"/>
      <c r="P175" s="687"/>
      <c r="Q175" s="687"/>
      <c r="R175" s="687"/>
      <c r="S175" s="687"/>
      <c r="T175" s="687"/>
      <c r="U175" s="687"/>
      <c r="V175" s="687"/>
      <c r="W175" s="687"/>
      <c r="X175" s="687"/>
      <c r="Y175" s="687"/>
      <c r="Z175" s="687"/>
    </row>
    <row r="176" ht="15.75" hidden="1" customHeight="1">
      <c r="A176" s="687"/>
      <c r="B176" s="687"/>
      <c r="C176" s="687"/>
      <c r="D176" s="687"/>
      <c r="E176" s="687"/>
      <c r="F176" s="687"/>
      <c r="G176" s="687"/>
      <c r="H176" s="687"/>
      <c r="I176" s="687"/>
      <c r="J176" s="687"/>
      <c r="K176" s="687"/>
      <c r="L176" s="687"/>
      <c r="M176" s="687"/>
      <c r="N176" s="687"/>
      <c r="O176" s="687"/>
      <c r="P176" s="687"/>
      <c r="Q176" s="687"/>
      <c r="R176" s="687"/>
      <c r="S176" s="687"/>
      <c r="T176" s="687"/>
      <c r="U176" s="687"/>
      <c r="V176" s="687"/>
      <c r="W176" s="687"/>
      <c r="X176" s="687"/>
      <c r="Y176" s="687"/>
      <c r="Z176" s="687"/>
    </row>
    <row r="177" ht="15.75" hidden="1" customHeight="1">
      <c r="A177" s="687"/>
      <c r="B177" s="687"/>
      <c r="C177" s="687"/>
      <c r="D177" s="687"/>
      <c r="E177" s="687"/>
      <c r="F177" s="687"/>
      <c r="G177" s="687"/>
      <c r="H177" s="687"/>
      <c r="I177" s="687"/>
      <c r="J177" s="687"/>
      <c r="K177" s="687"/>
      <c r="L177" s="687"/>
      <c r="M177" s="687"/>
      <c r="N177" s="687"/>
      <c r="O177" s="687"/>
      <c r="P177" s="687"/>
      <c r="Q177" s="687"/>
      <c r="R177" s="687"/>
      <c r="S177" s="687"/>
      <c r="T177" s="687"/>
      <c r="U177" s="687"/>
      <c r="V177" s="687"/>
      <c r="W177" s="687"/>
      <c r="X177" s="687"/>
      <c r="Y177" s="687"/>
      <c r="Z177" s="687"/>
    </row>
    <row r="178" ht="15.75" hidden="1" customHeight="1">
      <c r="A178" s="687"/>
      <c r="B178" s="687"/>
      <c r="C178" s="687"/>
      <c r="D178" s="687"/>
      <c r="E178" s="687"/>
      <c r="F178" s="687"/>
      <c r="G178" s="687"/>
      <c r="H178" s="687"/>
      <c r="I178" s="687"/>
      <c r="J178" s="687"/>
      <c r="K178" s="687"/>
      <c r="L178" s="687"/>
      <c r="M178" s="687"/>
      <c r="N178" s="687"/>
      <c r="O178" s="687"/>
      <c r="P178" s="687"/>
      <c r="Q178" s="687"/>
      <c r="R178" s="687"/>
      <c r="S178" s="687"/>
      <c r="T178" s="687"/>
      <c r="U178" s="687"/>
      <c r="V178" s="687"/>
      <c r="W178" s="687"/>
      <c r="X178" s="687"/>
      <c r="Y178" s="687"/>
      <c r="Z178" s="687"/>
    </row>
    <row r="179" ht="15.75" hidden="1" customHeight="1">
      <c r="A179" s="687"/>
      <c r="B179" s="687"/>
      <c r="C179" s="687"/>
      <c r="D179" s="687"/>
      <c r="E179" s="687"/>
      <c r="F179" s="687"/>
      <c r="G179" s="687"/>
      <c r="H179" s="687"/>
      <c r="I179" s="687"/>
      <c r="J179" s="687"/>
      <c r="K179" s="687"/>
      <c r="L179" s="687"/>
      <c r="M179" s="687"/>
      <c r="N179" s="687"/>
      <c r="O179" s="687"/>
      <c r="P179" s="687"/>
      <c r="Q179" s="687"/>
      <c r="R179" s="687"/>
      <c r="S179" s="687"/>
      <c r="T179" s="687"/>
      <c r="U179" s="687"/>
      <c r="V179" s="687"/>
      <c r="W179" s="687"/>
      <c r="X179" s="687"/>
      <c r="Y179" s="687"/>
      <c r="Z179" s="687"/>
    </row>
    <row r="180" ht="15.75" hidden="1" customHeight="1">
      <c r="A180" s="687"/>
      <c r="B180" s="687"/>
      <c r="C180" s="687"/>
      <c r="D180" s="687"/>
      <c r="E180" s="687"/>
      <c r="F180" s="687"/>
      <c r="G180" s="687"/>
      <c r="H180" s="687"/>
      <c r="I180" s="687"/>
      <c r="J180" s="687"/>
      <c r="K180" s="687"/>
      <c r="L180" s="687"/>
      <c r="M180" s="687"/>
      <c r="N180" s="687"/>
      <c r="O180" s="687"/>
      <c r="P180" s="687"/>
      <c r="Q180" s="687"/>
      <c r="R180" s="687"/>
      <c r="S180" s="687"/>
      <c r="T180" s="687"/>
      <c r="U180" s="687"/>
      <c r="V180" s="687"/>
      <c r="W180" s="687"/>
      <c r="X180" s="687"/>
      <c r="Y180" s="687"/>
      <c r="Z180" s="687"/>
    </row>
    <row r="181" ht="15.75" hidden="1" customHeight="1">
      <c r="A181" s="687"/>
      <c r="B181" s="687"/>
      <c r="C181" s="687"/>
      <c r="D181" s="687"/>
      <c r="E181" s="687"/>
      <c r="F181" s="687"/>
      <c r="G181" s="687"/>
      <c r="H181" s="687"/>
      <c r="I181" s="687"/>
      <c r="J181" s="687"/>
      <c r="K181" s="687"/>
      <c r="L181" s="687"/>
      <c r="M181" s="687"/>
      <c r="N181" s="687"/>
      <c r="O181" s="687"/>
      <c r="P181" s="687"/>
      <c r="Q181" s="687"/>
      <c r="R181" s="687"/>
      <c r="S181" s="687"/>
      <c r="T181" s="687"/>
      <c r="U181" s="687"/>
      <c r="V181" s="687"/>
      <c r="W181" s="687"/>
      <c r="X181" s="687"/>
      <c r="Y181" s="687"/>
      <c r="Z181" s="687"/>
    </row>
    <row r="182" ht="15.75" hidden="1" customHeight="1">
      <c r="A182" s="687"/>
      <c r="B182" s="687"/>
      <c r="C182" s="687"/>
      <c r="D182" s="687"/>
      <c r="E182" s="687"/>
      <c r="F182" s="687"/>
      <c r="G182" s="687"/>
      <c r="H182" s="687"/>
      <c r="I182" s="687"/>
      <c r="J182" s="687"/>
      <c r="K182" s="687"/>
      <c r="L182" s="687"/>
      <c r="M182" s="687"/>
      <c r="N182" s="687"/>
      <c r="O182" s="687"/>
      <c r="P182" s="687"/>
      <c r="Q182" s="687"/>
      <c r="R182" s="687"/>
      <c r="S182" s="687"/>
      <c r="T182" s="687"/>
      <c r="U182" s="687"/>
      <c r="V182" s="687"/>
      <c r="W182" s="687"/>
      <c r="X182" s="687"/>
      <c r="Y182" s="687"/>
      <c r="Z182" s="687"/>
    </row>
    <row r="183" ht="15.75" hidden="1" customHeight="1">
      <c r="A183" s="687"/>
      <c r="B183" s="687"/>
      <c r="C183" s="687"/>
      <c r="D183" s="687"/>
      <c r="E183" s="687"/>
      <c r="F183" s="687"/>
      <c r="G183" s="687"/>
      <c r="H183" s="687"/>
      <c r="I183" s="687"/>
      <c r="J183" s="687"/>
      <c r="K183" s="687"/>
      <c r="L183" s="687"/>
      <c r="M183" s="687"/>
      <c r="N183" s="687"/>
      <c r="O183" s="687"/>
      <c r="P183" s="687"/>
      <c r="Q183" s="687"/>
      <c r="R183" s="687"/>
      <c r="S183" s="687"/>
      <c r="T183" s="687"/>
      <c r="U183" s="687"/>
      <c r="V183" s="687"/>
      <c r="W183" s="687"/>
      <c r="X183" s="687"/>
      <c r="Y183" s="687"/>
      <c r="Z183" s="687"/>
    </row>
    <row r="184" ht="15.75" hidden="1" customHeight="1">
      <c r="A184" s="687"/>
      <c r="B184" s="687"/>
      <c r="C184" s="687"/>
      <c r="D184" s="687"/>
      <c r="E184" s="687"/>
      <c r="F184" s="687"/>
      <c r="G184" s="687"/>
      <c r="H184" s="687"/>
      <c r="I184" s="687"/>
      <c r="J184" s="687"/>
      <c r="K184" s="687"/>
      <c r="L184" s="687"/>
      <c r="M184" s="687"/>
      <c r="N184" s="687"/>
      <c r="O184" s="687"/>
      <c r="P184" s="687"/>
      <c r="Q184" s="687"/>
      <c r="R184" s="687"/>
      <c r="S184" s="687"/>
      <c r="T184" s="687"/>
      <c r="U184" s="687"/>
      <c r="V184" s="687"/>
      <c r="W184" s="687"/>
      <c r="X184" s="687"/>
      <c r="Y184" s="687"/>
      <c r="Z184" s="687"/>
    </row>
    <row r="185" ht="15.75" hidden="1" customHeight="1">
      <c r="A185" s="687"/>
      <c r="B185" s="687"/>
      <c r="C185" s="687"/>
      <c r="D185" s="687"/>
      <c r="E185" s="687"/>
      <c r="F185" s="687"/>
      <c r="G185" s="687"/>
      <c r="H185" s="687"/>
      <c r="I185" s="687"/>
      <c r="J185" s="687"/>
      <c r="K185" s="687"/>
      <c r="L185" s="687"/>
      <c r="M185" s="687"/>
      <c r="N185" s="687"/>
      <c r="O185" s="687"/>
      <c r="P185" s="687"/>
      <c r="Q185" s="687"/>
      <c r="R185" s="687"/>
      <c r="S185" s="687"/>
      <c r="T185" s="687"/>
      <c r="U185" s="687"/>
      <c r="V185" s="687"/>
      <c r="W185" s="687"/>
      <c r="X185" s="687"/>
      <c r="Y185" s="687"/>
      <c r="Z185" s="687"/>
    </row>
    <row r="186" ht="15.75" hidden="1" customHeight="1">
      <c r="A186" s="687"/>
      <c r="B186" s="687"/>
      <c r="C186" s="687"/>
      <c r="D186" s="687"/>
      <c r="E186" s="687"/>
      <c r="F186" s="687"/>
      <c r="G186" s="687"/>
      <c r="H186" s="687"/>
      <c r="I186" s="687"/>
      <c r="J186" s="687"/>
      <c r="K186" s="687"/>
      <c r="L186" s="687"/>
      <c r="M186" s="687"/>
      <c r="N186" s="687"/>
      <c r="O186" s="687"/>
      <c r="P186" s="687"/>
      <c r="Q186" s="687"/>
      <c r="R186" s="687"/>
      <c r="S186" s="687"/>
      <c r="T186" s="687"/>
      <c r="U186" s="687"/>
      <c r="V186" s="687"/>
      <c r="W186" s="687"/>
      <c r="X186" s="687"/>
      <c r="Y186" s="687"/>
      <c r="Z186" s="687"/>
    </row>
    <row r="187" ht="15.75" hidden="1" customHeight="1">
      <c r="A187" s="687"/>
      <c r="B187" s="687"/>
      <c r="C187" s="687"/>
      <c r="D187" s="687"/>
      <c r="E187" s="687"/>
      <c r="F187" s="687"/>
      <c r="G187" s="687"/>
      <c r="H187" s="687"/>
      <c r="I187" s="687"/>
      <c r="J187" s="687"/>
      <c r="K187" s="687"/>
      <c r="L187" s="687"/>
      <c r="M187" s="687"/>
      <c r="N187" s="687"/>
      <c r="O187" s="687"/>
      <c r="P187" s="687"/>
      <c r="Q187" s="687"/>
      <c r="R187" s="687"/>
      <c r="S187" s="687"/>
      <c r="T187" s="687"/>
      <c r="U187" s="687"/>
      <c r="V187" s="687"/>
      <c r="W187" s="687"/>
      <c r="X187" s="687"/>
      <c r="Y187" s="687"/>
      <c r="Z187" s="687"/>
    </row>
    <row r="188" ht="15.75" hidden="1" customHeight="1">
      <c r="A188" s="687"/>
      <c r="B188" s="687"/>
      <c r="C188" s="687"/>
      <c r="D188" s="687"/>
      <c r="E188" s="687"/>
      <c r="F188" s="687"/>
      <c r="G188" s="687"/>
      <c r="H188" s="687"/>
      <c r="I188" s="687"/>
      <c r="J188" s="687"/>
      <c r="K188" s="687"/>
      <c r="L188" s="687"/>
      <c r="M188" s="687"/>
      <c r="N188" s="687"/>
      <c r="O188" s="687"/>
      <c r="P188" s="687"/>
      <c r="Q188" s="687"/>
      <c r="R188" s="687"/>
      <c r="S188" s="687"/>
      <c r="T188" s="687"/>
      <c r="U188" s="687"/>
      <c r="V188" s="687"/>
      <c r="W188" s="687"/>
      <c r="X188" s="687"/>
      <c r="Y188" s="687"/>
      <c r="Z188" s="687"/>
    </row>
    <row r="189" ht="15.75" hidden="1" customHeight="1">
      <c r="A189" s="687"/>
      <c r="B189" s="687"/>
      <c r="C189" s="687"/>
      <c r="D189" s="687"/>
      <c r="E189" s="687"/>
      <c r="F189" s="687"/>
      <c r="G189" s="687"/>
      <c r="H189" s="687"/>
      <c r="I189" s="687"/>
      <c r="J189" s="687"/>
      <c r="K189" s="687"/>
      <c r="L189" s="687"/>
      <c r="M189" s="687"/>
      <c r="N189" s="687"/>
      <c r="O189" s="687"/>
      <c r="P189" s="687"/>
      <c r="Q189" s="687"/>
      <c r="R189" s="687"/>
      <c r="S189" s="687"/>
      <c r="T189" s="687"/>
      <c r="U189" s="687"/>
      <c r="V189" s="687"/>
      <c r="W189" s="687"/>
      <c r="X189" s="687"/>
      <c r="Y189" s="687"/>
      <c r="Z189" s="687"/>
    </row>
    <row r="190" ht="15.75" hidden="1" customHeight="1">
      <c r="A190" s="687"/>
      <c r="B190" s="687"/>
      <c r="C190" s="687"/>
      <c r="D190" s="687"/>
      <c r="E190" s="687"/>
      <c r="F190" s="687"/>
      <c r="G190" s="687"/>
      <c r="H190" s="687"/>
      <c r="I190" s="687"/>
      <c r="J190" s="687"/>
      <c r="K190" s="687"/>
      <c r="L190" s="687"/>
      <c r="M190" s="687"/>
      <c r="N190" s="687"/>
      <c r="O190" s="687"/>
      <c r="P190" s="687"/>
      <c r="Q190" s="687"/>
      <c r="R190" s="687"/>
      <c r="S190" s="687"/>
      <c r="T190" s="687"/>
      <c r="U190" s="687"/>
      <c r="V190" s="687"/>
      <c r="W190" s="687"/>
      <c r="X190" s="687"/>
      <c r="Y190" s="687"/>
      <c r="Z190" s="687"/>
    </row>
    <row r="191" ht="15.75" hidden="1" customHeight="1">
      <c r="A191" s="687"/>
      <c r="B191" s="687"/>
      <c r="C191" s="687"/>
      <c r="D191" s="687"/>
      <c r="E191" s="687"/>
      <c r="F191" s="687"/>
      <c r="G191" s="687"/>
      <c r="H191" s="687"/>
      <c r="I191" s="687"/>
      <c r="J191" s="687"/>
      <c r="K191" s="687"/>
      <c r="L191" s="687"/>
      <c r="M191" s="687"/>
      <c r="N191" s="687"/>
      <c r="O191" s="687"/>
      <c r="P191" s="687"/>
      <c r="Q191" s="687"/>
      <c r="R191" s="687"/>
      <c r="S191" s="687"/>
      <c r="T191" s="687"/>
      <c r="U191" s="687"/>
      <c r="V191" s="687"/>
      <c r="W191" s="687"/>
      <c r="X191" s="687"/>
      <c r="Y191" s="687"/>
      <c r="Z191" s="687"/>
    </row>
    <row r="192" ht="15.75" hidden="1" customHeight="1">
      <c r="A192" s="687"/>
      <c r="B192" s="687"/>
      <c r="C192" s="687"/>
      <c r="D192" s="687"/>
      <c r="E192" s="687"/>
      <c r="F192" s="687"/>
      <c r="G192" s="687"/>
      <c r="H192" s="687"/>
      <c r="I192" s="687"/>
      <c r="J192" s="687"/>
      <c r="K192" s="687"/>
      <c r="L192" s="687"/>
      <c r="M192" s="687"/>
      <c r="N192" s="687"/>
      <c r="O192" s="687"/>
      <c r="P192" s="687"/>
      <c r="Q192" s="687"/>
      <c r="R192" s="687"/>
      <c r="S192" s="687"/>
      <c r="T192" s="687"/>
      <c r="U192" s="687"/>
      <c r="V192" s="687"/>
      <c r="W192" s="687"/>
      <c r="X192" s="687"/>
      <c r="Y192" s="687"/>
      <c r="Z192" s="687"/>
    </row>
    <row r="193" ht="15.75" hidden="1" customHeight="1">
      <c r="A193" s="687"/>
      <c r="B193" s="687"/>
      <c r="C193" s="687"/>
      <c r="D193" s="687"/>
      <c r="E193" s="687"/>
      <c r="F193" s="687"/>
      <c r="G193" s="687"/>
      <c r="H193" s="687"/>
      <c r="I193" s="687"/>
      <c r="J193" s="687"/>
      <c r="K193" s="687"/>
      <c r="L193" s="687"/>
      <c r="M193" s="687"/>
      <c r="N193" s="687"/>
      <c r="O193" s="687"/>
      <c r="P193" s="687"/>
      <c r="Q193" s="687"/>
      <c r="R193" s="687"/>
      <c r="S193" s="687"/>
      <c r="T193" s="687"/>
      <c r="U193" s="687"/>
      <c r="V193" s="687"/>
      <c r="W193" s="687"/>
      <c r="X193" s="687"/>
      <c r="Y193" s="687"/>
      <c r="Z193" s="687"/>
    </row>
    <row r="194" ht="15.75" hidden="1" customHeight="1">
      <c r="A194" s="687"/>
      <c r="B194" s="687"/>
      <c r="C194" s="687"/>
      <c r="D194" s="687"/>
      <c r="E194" s="687"/>
      <c r="F194" s="687"/>
      <c r="G194" s="687"/>
      <c r="H194" s="687"/>
      <c r="I194" s="687"/>
      <c r="J194" s="687"/>
      <c r="K194" s="687"/>
      <c r="L194" s="687"/>
      <c r="M194" s="687"/>
      <c r="N194" s="687"/>
      <c r="O194" s="687"/>
      <c r="P194" s="687"/>
      <c r="Q194" s="687"/>
      <c r="R194" s="687"/>
      <c r="S194" s="687"/>
      <c r="T194" s="687"/>
      <c r="U194" s="687"/>
      <c r="V194" s="687"/>
      <c r="W194" s="687"/>
      <c r="X194" s="687"/>
      <c r="Y194" s="687"/>
      <c r="Z194" s="687"/>
    </row>
    <row r="195" ht="15.75" hidden="1" customHeight="1">
      <c r="A195" s="687"/>
      <c r="B195" s="687"/>
      <c r="C195" s="687"/>
      <c r="D195" s="687"/>
      <c r="E195" s="687"/>
      <c r="F195" s="687"/>
      <c r="G195" s="687"/>
      <c r="H195" s="687"/>
      <c r="I195" s="687"/>
      <c r="J195" s="687"/>
      <c r="K195" s="687"/>
      <c r="L195" s="687"/>
      <c r="M195" s="687"/>
      <c r="N195" s="687"/>
      <c r="O195" s="687"/>
      <c r="P195" s="687"/>
      <c r="Q195" s="687"/>
      <c r="R195" s="687"/>
      <c r="S195" s="687"/>
      <c r="T195" s="687"/>
      <c r="U195" s="687"/>
      <c r="V195" s="687"/>
      <c r="W195" s="687"/>
      <c r="X195" s="687"/>
      <c r="Y195" s="687"/>
      <c r="Z195" s="687"/>
    </row>
    <row r="196" ht="15.75" hidden="1" customHeight="1">
      <c r="A196" s="687"/>
      <c r="B196" s="687"/>
      <c r="C196" s="687"/>
      <c r="D196" s="687"/>
      <c r="E196" s="687"/>
      <c r="F196" s="687"/>
      <c r="G196" s="687"/>
      <c r="H196" s="687"/>
      <c r="I196" s="687"/>
      <c r="J196" s="687"/>
      <c r="K196" s="687"/>
      <c r="L196" s="687"/>
      <c r="M196" s="687"/>
      <c r="N196" s="687"/>
      <c r="O196" s="687"/>
      <c r="P196" s="687"/>
      <c r="Q196" s="687"/>
      <c r="R196" s="687"/>
      <c r="S196" s="687"/>
      <c r="T196" s="687"/>
      <c r="U196" s="687"/>
      <c r="V196" s="687"/>
      <c r="W196" s="687"/>
      <c r="X196" s="687"/>
      <c r="Y196" s="687"/>
      <c r="Z196" s="687"/>
    </row>
    <row r="197" ht="15.75" hidden="1" customHeight="1">
      <c r="A197" s="687"/>
      <c r="B197" s="687"/>
      <c r="C197" s="687"/>
      <c r="D197" s="687"/>
      <c r="E197" s="687"/>
      <c r="F197" s="687"/>
      <c r="G197" s="687"/>
      <c r="H197" s="687"/>
      <c r="I197" s="687"/>
      <c r="J197" s="687"/>
      <c r="K197" s="687"/>
      <c r="L197" s="687"/>
      <c r="M197" s="687"/>
      <c r="N197" s="687"/>
      <c r="O197" s="687"/>
      <c r="P197" s="687"/>
      <c r="Q197" s="687"/>
      <c r="R197" s="687"/>
      <c r="S197" s="687"/>
      <c r="T197" s="687"/>
      <c r="U197" s="687"/>
      <c r="V197" s="687"/>
      <c r="W197" s="687"/>
      <c r="X197" s="687"/>
      <c r="Y197" s="687"/>
      <c r="Z197" s="687"/>
    </row>
    <row r="198" ht="15.75" hidden="1" customHeight="1">
      <c r="A198" s="687"/>
      <c r="B198" s="687"/>
      <c r="C198" s="687"/>
      <c r="D198" s="687"/>
      <c r="E198" s="687"/>
      <c r="F198" s="687"/>
      <c r="G198" s="687"/>
      <c r="H198" s="687"/>
      <c r="I198" s="687"/>
      <c r="J198" s="687"/>
      <c r="K198" s="687"/>
      <c r="L198" s="687"/>
      <c r="M198" s="687"/>
      <c r="N198" s="687"/>
      <c r="O198" s="687"/>
      <c r="P198" s="687"/>
      <c r="Q198" s="687"/>
      <c r="R198" s="687"/>
      <c r="S198" s="687"/>
      <c r="T198" s="687"/>
      <c r="U198" s="687"/>
      <c r="V198" s="687"/>
      <c r="W198" s="687"/>
      <c r="X198" s="687"/>
      <c r="Y198" s="687"/>
      <c r="Z198" s="687"/>
    </row>
    <row r="199" ht="15.75" hidden="1" customHeight="1">
      <c r="A199" s="687"/>
      <c r="B199" s="687"/>
      <c r="C199" s="687"/>
      <c r="D199" s="687"/>
      <c r="E199" s="687"/>
      <c r="F199" s="687"/>
      <c r="G199" s="687"/>
      <c r="H199" s="687"/>
      <c r="I199" s="687"/>
      <c r="J199" s="687"/>
      <c r="K199" s="687"/>
      <c r="L199" s="687"/>
      <c r="M199" s="687"/>
      <c r="N199" s="687"/>
      <c r="O199" s="687"/>
      <c r="P199" s="687"/>
      <c r="Q199" s="687"/>
      <c r="R199" s="687"/>
      <c r="S199" s="687"/>
      <c r="T199" s="687"/>
      <c r="U199" s="687"/>
      <c r="V199" s="687"/>
      <c r="W199" s="687"/>
      <c r="X199" s="687"/>
      <c r="Y199" s="687"/>
      <c r="Z199" s="687"/>
    </row>
    <row r="200" ht="15.75" hidden="1" customHeight="1">
      <c r="A200" s="687"/>
      <c r="B200" s="687"/>
      <c r="C200" s="687"/>
      <c r="D200" s="687"/>
      <c r="E200" s="687"/>
      <c r="F200" s="687"/>
      <c r="G200" s="687"/>
      <c r="H200" s="687"/>
      <c r="I200" s="687"/>
      <c r="J200" s="687"/>
      <c r="K200" s="687"/>
      <c r="L200" s="687"/>
      <c r="M200" s="687"/>
      <c r="N200" s="687"/>
      <c r="O200" s="687"/>
      <c r="P200" s="687"/>
      <c r="Q200" s="687"/>
      <c r="R200" s="687"/>
      <c r="S200" s="687"/>
      <c r="T200" s="687"/>
      <c r="U200" s="687"/>
      <c r="V200" s="687"/>
      <c r="W200" s="687"/>
      <c r="X200" s="687"/>
      <c r="Y200" s="687"/>
      <c r="Z200" s="687"/>
    </row>
    <row r="201" ht="15.75" hidden="1" customHeight="1">
      <c r="A201" s="687"/>
      <c r="B201" s="687"/>
      <c r="C201" s="687"/>
      <c r="D201" s="687"/>
      <c r="E201" s="687"/>
      <c r="F201" s="687"/>
      <c r="G201" s="687"/>
      <c r="H201" s="687"/>
      <c r="I201" s="687"/>
      <c r="J201" s="687"/>
      <c r="K201" s="687"/>
      <c r="L201" s="687"/>
      <c r="M201" s="687"/>
      <c r="N201" s="687"/>
      <c r="O201" s="687"/>
      <c r="P201" s="687"/>
      <c r="Q201" s="687"/>
      <c r="R201" s="687"/>
      <c r="S201" s="687"/>
      <c r="T201" s="687"/>
      <c r="U201" s="687"/>
      <c r="V201" s="687"/>
      <c r="W201" s="687"/>
      <c r="X201" s="687"/>
      <c r="Y201" s="687"/>
      <c r="Z201" s="687"/>
    </row>
    <row r="202" ht="15.75" hidden="1" customHeight="1">
      <c r="A202" s="687"/>
      <c r="B202" s="687"/>
      <c r="C202" s="687"/>
      <c r="D202" s="687"/>
      <c r="E202" s="687"/>
      <c r="F202" s="687"/>
      <c r="G202" s="687"/>
      <c r="H202" s="687"/>
      <c r="I202" s="687"/>
      <c r="J202" s="687"/>
      <c r="K202" s="687"/>
      <c r="L202" s="687"/>
      <c r="M202" s="687"/>
      <c r="N202" s="687"/>
      <c r="O202" s="687"/>
      <c r="P202" s="687"/>
      <c r="Q202" s="687"/>
      <c r="R202" s="687"/>
      <c r="S202" s="687"/>
      <c r="T202" s="687"/>
      <c r="U202" s="687"/>
      <c r="V202" s="687"/>
      <c r="W202" s="687"/>
      <c r="X202" s="687"/>
      <c r="Y202" s="687"/>
      <c r="Z202" s="687"/>
    </row>
    <row r="203" ht="15.75" hidden="1" customHeight="1">
      <c r="A203" s="687"/>
      <c r="B203" s="687"/>
      <c r="C203" s="687"/>
      <c r="D203" s="687"/>
      <c r="E203" s="687"/>
      <c r="F203" s="687"/>
      <c r="G203" s="687"/>
      <c r="H203" s="687"/>
      <c r="I203" s="687"/>
      <c r="J203" s="687"/>
      <c r="K203" s="687"/>
      <c r="L203" s="687"/>
      <c r="M203" s="687"/>
      <c r="N203" s="687"/>
      <c r="O203" s="687"/>
      <c r="P203" s="687"/>
      <c r="Q203" s="687"/>
      <c r="R203" s="687"/>
      <c r="S203" s="687"/>
      <c r="T203" s="687"/>
      <c r="U203" s="687"/>
      <c r="V203" s="687"/>
      <c r="W203" s="687"/>
      <c r="X203" s="687"/>
      <c r="Y203" s="687"/>
      <c r="Z203" s="687"/>
    </row>
    <row r="204" ht="15.75" hidden="1" customHeight="1">
      <c r="A204" s="687"/>
      <c r="B204" s="687"/>
      <c r="C204" s="687"/>
      <c r="D204" s="687"/>
      <c r="E204" s="687"/>
      <c r="F204" s="687"/>
      <c r="G204" s="687"/>
      <c r="H204" s="687"/>
      <c r="I204" s="687"/>
      <c r="J204" s="687"/>
      <c r="K204" s="687"/>
      <c r="L204" s="687"/>
      <c r="M204" s="687"/>
      <c r="N204" s="687"/>
      <c r="O204" s="687"/>
      <c r="P204" s="687"/>
      <c r="Q204" s="687"/>
      <c r="R204" s="687"/>
      <c r="S204" s="687"/>
      <c r="T204" s="687"/>
      <c r="U204" s="687"/>
      <c r="V204" s="687"/>
      <c r="W204" s="687"/>
      <c r="X204" s="687"/>
      <c r="Y204" s="687"/>
      <c r="Z204" s="687"/>
    </row>
    <row r="205" ht="15.75" hidden="1" customHeight="1">
      <c r="A205" s="687"/>
      <c r="B205" s="687"/>
      <c r="C205" s="687"/>
      <c r="D205" s="687"/>
      <c r="E205" s="687"/>
      <c r="F205" s="687"/>
      <c r="G205" s="687"/>
      <c r="H205" s="687"/>
      <c r="I205" s="687"/>
      <c r="J205" s="687"/>
      <c r="K205" s="687"/>
      <c r="L205" s="687"/>
      <c r="M205" s="687"/>
      <c r="N205" s="687"/>
      <c r="O205" s="687"/>
      <c r="P205" s="687"/>
      <c r="Q205" s="687"/>
      <c r="R205" s="687"/>
      <c r="S205" s="687"/>
      <c r="T205" s="687"/>
      <c r="U205" s="687"/>
      <c r="V205" s="687"/>
      <c r="W205" s="687"/>
      <c r="X205" s="687"/>
      <c r="Y205" s="687"/>
      <c r="Z205" s="687"/>
    </row>
    <row r="206" ht="15.75" hidden="1" customHeight="1">
      <c r="A206" s="687"/>
      <c r="B206" s="687"/>
      <c r="C206" s="687"/>
      <c r="D206" s="687"/>
      <c r="E206" s="687"/>
      <c r="F206" s="687"/>
      <c r="G206" s="687"/>
      <c r="H206" s="687"/>
      <c r="I206" s="687"/>
      <c r="J206" s="687"/>
      <c r="K206" s="687"/>
      <c r="L206" s="687"/>
      <c r="M206" s="687"/>
      <c r="N206" s="687"/>
      <c r="O206" s="687"/>
      <c r="P206" s="687"/>
      <c r="Q206" s="687"/>
      <c r="R206" s="687"/>
      <c r="S206" s="687"/>
      <c r="T206" s="687"/>
      <c r="U206" s="687"/>
      <c r="V206" s="687"/>
      <c r="W206" s="687"/>
      <c r="X206" s="687"/>
      <c r="Y206" s="687"/>
      <c r="Z206" s="687"/>
    </row>
    <row r="207" ht="15.75" hidden="1" customHeight="1">
      <c r="A207" s="687"/>
      <c r="B207" s="687"/>
      <c r="C207" s="687"/>
      <c r="D207" s="687"/>
      <c r="E207" s="687"/>
      <c r="F207" s="687"/>
      <c r="G207" s="687"/>
      <c r="H207" s="687"/>
      <c r="I207" s="687"/>
      <c r="J207" s="687"/>
      <c r="K207" s="687"/>
      <c r="L207" s="687"/>
      <c r="M207" s="687"/>
      <c r="N207" s="687"/>
      <c r="O207" s="687"/>
      <c r="P207" s="687"/>
      <c r="Q207" s="687"/>
      <c r="R207" s="687"/>
      <c r="S207" s="687"/>
      <c r="T207" s="687"/>
      <c r="U207" s="687"/>
      <c r="V207" s="687"/>
      <c r="W207" s="687"/>
      <c r="X207" s="687"/>
      <c r="Y207" s="687"/>
      <c r="Z207" s="687"/>
    </row>
    <row r="208" ht="15.75" hidden="1" customHeight="1">
      <c r="A208" s="687"/>
      <c r="B208" s="687"/>
      <c r="C208" s="687"/>
      <c r="D208" s="687"/>
      <c r="E208" s="687"/>
      <c r="F208" s="687"/>
      <c r="G208" s="687"/>
      <c r="H208" s="687"/>
      <c r="I208" s="687"/>
      <c r="J208" s="687"/>
      <c r="K208" s="687"/>
      <c r="L208" s="687"/>
      <c r="M208" s="687"/>
      <c r="N208" s="687"/>
      <c r="O208" s="687"/>
      <c r="P208" s="687"/>
      <c r="Q208" s="687"/>
      <c r="R208" s="687"/>
      <c r="S208" s="687"/>
      <c r="T208" s="687"/>
      <c r="U208" s="687"/>
      <c r="V208" s="687"/>
      <c r="W208" s="687"/>
      <c r="X208" s="687"/>
      <c r="Y208" s="687"/>
      <c r="Z208" s="687"/>
    </row>
    <row r="209" ht="15.75" hidden="1" customHeight="1">
      <c r="A209" s="687"/>
      <c r="B209" s="687"/>
      <c r="C209" s="687"/>
      <c r="D209" s="687"/>
      <c r="E209" s="687"/>
      <c r="F209" s="687"/>
      <c r="G209" s="687"/>
      <c r="H209" s="687"/>
      <c r="I209" s="687"/>
      <c r="J209" s="687"/>
      <c r="K209" s="687"/>
      <c r="L209" s="687"/>
      <c r="M209" s="687"/>
      <c r="N209" s="687"/>
      <c r="O209" s="687"/>
      <c r="P209" s="687"/>
      <c r="Q209" s="687"/>
      <c r="R209" s="687"/>
      <c r="S209" s="687"/>
      <c r="T209" s="687"/>
      <c r="U209" s="687"/>
      <c r="V209" s="687"/>
      <c r="W209" s="687"/>
      <c r="X209" s="687"/>
      <c r="Y209" s="687"/>
      <c r="Z209" s="687"/>
    </row>
    <row r="210" ht="15.75" hidden="1" customHeight="1">
      <c r="A210" s="687"/>
      <c r="B210" s="687"/>
      <c r="C210" s="687"/>
      <c r="D210" s="687"/>
      <c r="E210" s="687"/>
      <c r="F210" s="687"/>
      <c r="G210" s="687"/>
      <c r="H210" s="687"/>
      <c r="I210" s="687"/>
      <c r="J210" s="687"/>
      <c r="K210" s="687"/>
      <c r="L210" s="687"/>
      <c r="M210" s="687"/>
      <c r="N210" s="687"/>
      <c r="O210" s="687"/>
      <c r="P210" s="687"/>
      <c r="Q210" s="687"/>
      <c r="R210" s="687"/>
      <c r="S210" s="687"/>
      <c r="T210" s="687"/>
      <c r="U210" s="687"/>
      <c r="V210" s="687"/>
      <c r="W210" s="687"/>
      <c r="X210" s="687"/>
      <c r="Y210" s="687"/>
      <c r="Z210" s="687"/>
    </row>
    <row r="211" ht="15.75" hidden="1" customHeight="1">
      <c r="A211" s="687"/>
      <c r="B211" s="687"/>
      <c r="C211" s="687"/>
      <c r="D211" s="687"/>
      <c r="E211" s="687"/>
      <c r="F211" s="687"/>
      <c r="G211" s="687"/>
      <c r="H211" s="687"/>
      <c r="I211" s="687"/>
      <c r="J211" s="687"/>
      <c r="K211" s="687"/>
      <c r="L211" s="687"/>
      <c r="M211" s="687"/>
      <c r="N211" s="687"/>
      <c r="O211" s="687"/>
      <c r="P211" s="687"/>
      <c r="Q211" s="687"/>
      <c r="R211" s="687"/>
      <c r="S211" s="687"/>
      <c r="T211" s="687"/>
      <c r="U211" s="687"/>
      <c r="V211" s="687"/>
      <c r="W211" s="687"/>
      <c r="X211" s="687"/>
      <c r="Y211" s="687"/>
      <c r="Z211" s="687"/>
    </row>
    <row r="212" ht="15.75" hidden="1" customHeight="1">
      <c r="A212" s="687"/>
      <c r="B212" s="687"/>
      <c r="C212" s="687"/>
      <c r="D212" s="687"/>
      <c r="E212" s="687"/>
      <c r="F212" s="687"/>
      <c r="G212" s="687"/>
      <c r="H212" s="687"/>
      <c r="I212" s="687"/>
      <c r="J212" s="687"/>
      <c r="K212" s="687"/>
      <c r="L212" s="687"/>
      <c r="M212" s="687"/>
      <c r="N212" s="687"/>
      <c r="O212" s="687"/>
      <c r="P212" s="687"/>
      <c r="Q212" s="687"/>
      <c r="R212" s="687"/>
      <c r="S212" s="687"/>
      <c r="T212" s="687"/>
      <c r="U212" s="687"/>
      <c r="V212" s="687"/>
      <c r="W212" s="687"/>
      <c r="X212" s="687"/>
      <c r="Y212" s="687"/>
      <c r="Z212" s="687"/>
    </row>
    <row r="213" ht="15.75" hidden="1" customHeight="1">
      <c r="A213" s="687"/>
      <c r="B213" s="687"/>
      <c r="C213" s="687"/>
      <c r="D213" s="687"/>
      <c r="E213" s="687"/>
      <c r="F213" s="687"/>
      <c r="G213" s="687"/>
      <c r="H213" s="687"/>
      <c r="I213" s="687"/>
      <c r="J213" s="687"/>
      <c r="K213" s="687"/>
      <c r="L213" s="687"/>
      <c r="M213" s="687"/>
      <c r="N213" s="687"/>
      <c r="O213" s="687"/>
      <c r="P213" s="687"/>
      <c r="Q213" s="687"/>
      <c r="R213" s="687"/>
      <c r="S213" s="687"/>
      <c r="T213" s="687"/>
      <c r="U213" s="687"/>
      <c r="V213" s="687"/>
      <c r="W213" s="687"/>
      <c r="X213" s="687"/>
      <c r="Y213" s="687"/>
      <c r="Z213" s="687"/>
    </row>
    <row r="214" ht="15.75" hidden="1" customHeight="1">
      <c r="A214" s="687"/>
      <c r="B214" s="687"/>
      <c r="C214" s="687"/>
      <c r="D214" s="687"/>
      <c r="E214" s="687"/>
      <c r="F214" s="687"/>
      <c r="G214" s="687"/>
      <c r="H214" s="687"/>
      <c r="I214" s="687"/>
      <c r="J214" s="687"/>
      <c r="K214" s="687"/>
      <c r="L214" s="687"/>
      <c r="M214" s="687"/>
      <c r="N214" s="687"/>
      <c r="O214" s="687"/>
      <c r="P214" s="687"/>
      <c r="Q214" s="687"/>
      <c r="R214" s="687"/>
      <c r="S214" s="687"/>
      <c r="T214" s="687"/>
      <c r="U214" s="687"/>
      <c r="V214" s="687"/>
      <c r="W214" s="687"/>
      <c r="X214" s="687"/>
      <c r="Y214" s="687"/>
      <c r="Z214" s="687"/>
    </row>
    <row r="215" ht="15.75" hidden="1" customHeight="1">
      <c r="A215" s="687"/>
      <c r="B215" s="687"/>
      <c r="C215" s="687"/>
      <c r="D215" s="687"/>
      <c r="E215" s="687"/>
      <c r="F215" s="687"/>
      <c r="G215" s="687"/>
      <c r="H215" s="687"/>
      <c r="I215" s="687"/>
      <c r="J215" s="687"/>
      <c r="K215" s="687"/>
      <c r="L215" s="687"/>
      <c r="M215" s="687"/>
      <c r="N215" s="687"/>
      <c r="O215" s="687"/>
      <c r="P215" s="687"/>
      <c r="Q215" s="687"/>
      <c r="R215" s="687"/>
      <c r="S215" s="687"/>
      <c r="T215" s="687"/>
      <c r="U215" s="687"/>
      <c r="V215" s="687"/>
      <c r="W215" s="687"/>
      <c r="X215" s="687"/>
      <c r="Y215" s="687"/>
      <c r="Z215" s="687"/>
    </row>
    <row r="216" ht="15.75" hidden="1" customHeight="1">
      <c r="A216" s="687"/>
      <c r="B216" s="687"/>
      <c r="C216" s="687"/>
      <c r="D216" s="687"/>
      <c r="E216" s="687"/>
      <c r="F216" s="687"/>
      <c r="G216" s="687"/>
      <c r="H216" s="687"/>
      <c r="I216" s="687"/>
      <c r="J216" s="687"/>
      <c r="K216" s="687"/>
      <c r="L216" s="687"/>
      <c r="M216" s="687"/>
      <c r="N216" s="687"/>
      <c r="O216" s="687"/>
      <c r="P216" s="687"/>
      <c r="Q216" s="687"/>
      <c r="R216" s="687"/>
      <c r="S216" s="687"/>
      <c r="T216" s="687"/>
      <c r="U216" s="687"/>
      <c r="V216" s="687"/>
      <c r="W216" s="687"/>
      <c r="X216" s="687"/>
      <c r="Y216" s="687"/>
      <c r="Z216" s="687"/>
    </row>
    <row r="217" ht="15.75" hidden="1" customHeight="1">
      <c r="A217" s="687"/>
      <c r="B217" s="687"/>
      <c r="C217" s="687"/>
      <c r="D217" s="687"/>
      <c r="E217" s="687"/>
      <c r="F217" s="687"/>
      <c r="G217" s="687"/>
      <c r="H217" s="687"/>
      <c r="I217" s="687"/>
      <c r="J217" s="687"/>
      <c r="K217" s="687"/>
      <c r="L217" s="687"/>
      <c r="M217" s="687"/>
      <c r="N217" s="687"/>
      <c r="O217" s="687"/>
      <c r="P217" s="687"/>
      <c r="Q217" s="687"/>
      <c r="R217" s="687"/>
      <c r="S217" s="687"/>
      <c r="T217" s="687"/>
      <c r="U217" s="687"/>
      <c r="V217" s="687"/>
      <c r="W217" s="687"/>
      <c r="X217" s="687"/>
      <c r="Y217" s="687"/>
      <c r="Z217" s="687"/>
    </row>
    <row r="218" ht="15.75" hidden="1" customHeight="1">
      <c r="A218" s="687"/>
      <c r="B218" s="687"/>
      <c r="C218" s="687"/>
      <c r="D218" s="687"/>
      <c r="E218" s="687"/>
      <c r="F218" s="687"/>
      <c r="G218" s="687"/>
      <c r="H218" s="687"/>
      <c r="I218" s="687"/>
      <c r="J218" s="687"/>
      <c r="K218" s="687"/>
      <c r="L218" s="687"/>
      <c r="M218" s="687"/>
      <c r="N218" s="687"/>
      <c r="O218" s="687"/>
      <c r="P218" s="687"/>
      <c r="Q218" s="687"/>
      <c r="R218" s="687"/>
      <c r="S218" s="687"/>
      <c r="T218" s="687"/>
      <c r="U218" s="687"/>
      <c r="V218" s="687"/>
      <c r="W218" s="687"/>
      <c r="X218" s="687"/>
      <c r="Y218" s="687"/>
      <c r="Z218" s="687"/>
    </row>
    <row r="219" ht="15.75" hidden="1" customHeight="1">
      <c r="A219" s="687"/>
      <c r="B219" s="687"/>
      <c r="C219" s="687"/>
      <c r="D219" s="687"/>
      <c r="E219" s="687"/>
      <c r="F219" s="687"/>
      <c r="G219" s="687"/>
      <c r="H219" s="687"/>
      <c r="I219" s="687"/>
      <c r="J219" s="687"/>
      <c r="K219" s="687"/>
      <c r="L219" s="687"/>
      <c r="M219" s="687"/>
      <c r="N219" s="687"/>
      <c r="O219" s="687"/>
      <c r="P219" s="687"/>
      <c r="Q219" s="687"/>
      <c r="R219" s="687"/>
      <c r="S219" s="687"/>
      <c r="T219" s="687"/>
      <c r="U219" s="687"/>
      <c r="V219" s="687"/>
      <c r="W219" s="687"/>
      <c r="X219" s="687"/>
      <c r="Y219" s="687"/>
      <c r="Z219" s="687"/>
    </row>
    <row r="220" ht="15.75" hidden="1" customHeight="1">
      <c r="A220" s="687"/>
      <c r="B220" s="687"/>
      <c r="C220" s="687"/>
      <c r="D220" s="687"/>
      <c r="E220" s="687"/>
      <c r="F220" s="687"/>
      <c r="G220" s="687"/>
      <c r="H220" s="687"/>
      <c r="I220" s="687"/>
      <c r="J220" s="687"/>
      <c r="K220" s="687"/>
      <c r="L220" s="687"/>
      <c r="M220" s="687"/>
      <c r="N220" s="687"/>
      <c r="O220" s="687"/>
      <c r="P220" s="687"/>
      <c r="Q220" s="687"/>
      <c r="R220" s="687"/>
      <c r="S220" s="687"/>
      <c r="T220" s="687"/>
      <c r="U220" s="687"/>
      <c r="V220" s="687"/>
      <c r="W220" s="687"/>
      <c r="X220" s="687"/>
      <c r="Y220" s="687"/>
      <c r="Z220" s="687"/>
    </row>
    <row r="221" ht="15.75" hidden="1" customHeight="1">
      <c r="A221" s="687"/>
      <c r="B221" s="687"/>
      <c r="C221" s="687"/>
      <c r="D221" s="687"/>
      <c r="E221" s="687"/>
      <c r="F221" s="687"/>
      <c r="G221" s="687"/>
      <c r="H221" s="687"/>
      <c r="I221" s="687"/>
      <c r="J221" s="687"/>
      <c r="K221" s="687"/>
      <c r="L221" s="687"/>
      <c r="M221" s="687"/>
      <c r="N221" s="687"/>
      <c r="O221" s="687"/>
      <c r="P221" s="687"/>
      <c r="Q221" s="687"/>
      <c r="R221" s="687"/>
      <c r="S221" s="687"/>
      <c r="T221" s="687"/>
      <c r="U221" s="687"/>
      <c r="V221" s="687"/>
      <c r="W221" s="687"/>
      <c r="X221" s="687"/>
      <c r="Y221" s="687"/>
      <c r="Z221" s="687"/>
    </row>
    <row r="222" ht="15.75" hidden="1" customHeight="1">
      <c r="A222" s="687"/>
      <c r="B222" s="687"/>
      <c r="C222" s="687"/>
      <c r="D222" s="687"/>
      <c r="E222" s="687"/>
      <c r="F222" s="687"/>
      <c r="G222" s="687"/>
      <c r="H222" s="687"/>
      <c r="I222" s="687"/>
      <c r="J222" s="687"/>
      <c r="K222" s="687"/>
      <c r="L222" s="687"/>
      <c r="M222" s="687"/>
      <c r="N222" s="687"/>
      <c r="O222" s="687"/>
      <c r="P222" s="687"/>
      <c r="Q222" s="687"/>
      <c r="R222" s="687"/>
      <c r="S222" s="687"/>
      <c r="T222" s="687"/>
      <c r="U222" s="687"/>
      <c r="V222" s="687"/>
      <c r="W222" s="687"/>
      <c r="X222" s="687"/>
      <c r="Y222" s="687"/>
      <c r="Z222" s="687"/>
    </row>
    <row r="223" ht="15.75" hidden="1" customHeight="1">
      <c r="A223" s="687"/>
      <c r="B223" s="687"/>
      <c r="C223" s="687"/>
      <c r="D223" s="687"/>
      <c r="E223" s="687"/>
      <c r="F223" s="687"/>
      <c r="G223" s="687"/>
      <c r="H223" s="687"/>
      <c r="I223" s="687"/>
      <c r="J223" s="687"/>
      <c r="K223" s="687"/>
      <c r="L223" s="687"/>
      <c r="M223" s="687"/>
      <c r="N223" s="687"/>
      <c r="O223" s="687"/>
      <c r="P223" s="687"/>
      <c r="Q223" s="687"/>
      <c r="R223" s="687"/>
      <c r="S223" s="687"/>
      <c r="T223" s="687"/>
      <c r="U223" s="687"/>
      <c r="V223" s="687"/>
      <c r="W223" s="687"/>
      <c r="X223" s="687"/>
      <c r="Y223" s="687"/>
      <c r="Z223" s="687"/>
    </row>
    <row r="224" ht="15.75" hidden="1" customHeight="1">
      <c r="A224" s="687"/>
      <c r="B224" s="687"/>
      <c r="C224" s="687"/>
      <c r="D224" s="687"/>
      <c r="E224" s="687"/>
      <c r="F224" s="687"/>
      <c r="G224" s="687"/>
      <c r="H224" s="687"/>
      <c r="I224" s="687"/>
      <c r="J224" s="687"/>
      <c r="K224" s="687"/>
      <c r="L224" s="687"/>
      <c r="M224" s="687"/>
      <c r="N224" s="687"/>
      <c r="O224" s="687"/>
      <c r="P224" s="687"/>
      <c r="Q224" s="687"/>
      <c r="R224" s="687"/>
      <c r="S224" s="687"/>
      <c r="T224" s="687"/>
      <c r="U224" s="687"/>
      <c r="V224" s="687"/>
      <c r="W224" s="687"/>
      <c r="X224" s="687"/>
      <c r="Y224" s="687"/>
      <c r="Z224" s="68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4.43" defaultRowHeight="15.0"/>
  <cols>
    <col customWidth="1" min="1" max="1" width="3.71"/>
    <col customWidth="1" min="2" max="2" width="48.71"/>
    <col customWidth="1" min="3" max="7" width="23.86"/>
    <col customWidth="1" min="8" max="8" width="23.29"/>
    <col customWidth="1" min="9" max="9" width="3.86"/>
    <col customWidth="1" min="10" max="10" width="16.43"/>
    <col customWidth="1" min="11" max="11" width="15.86"/>
    <col customWidth="1" min="12" max="12" width="19.43"/>
    <col customWidth="1" min="13" max="13" width="26.14"/>
    <col customWidth="1" min="14" max="14" width="14.14"/>
    <col customWidth="1" min="15" max="16" width="10.71"/>
    <col customWidth="1" hidden="1" min="17" max="19" width="10.71"/>
    <col customWidth="1" hidden="1" min="20" max="20" width="35.57"/>
    <col customWidth="1" hidden="1" min="21" max="27" width="10.71"/>
  </cols>
  <sheetData>
    <row r="1">
      <c r="A1" s="708"/>
      <c r="B1" s="709"/>
      <c r="C1" s="710"/>
      <c r="D1" s="544"/>
      <c r="E1" s="544"/>
      <c r="F1" s="544"/>
      <c r="G1" s="544"/>
      <c r="H1" s="710"/>
      <c r="I1" s="544"/>
      <c r="J1" s="544"/>
      <c r="K1" s="544"/>
      <c r="L1" s="544"/>
      <c r="M1" s="544"/>
      <c r="N1" s="544"/>
      <c r="O1" s="544"/>
      <c r="P1" s="708"/>
      <c r="Q1" s="708"/>
      <c r="R1" s="708"/>
      <c r="S1" s="708"/>
      <c r="T1" s="708"/>
      <c r="U1" s="708"/>
      <c r="V1" s="708"/>
      <c r="W1" s="708"/>
      <c r="X1" s="708"/>
      <c r="Y1" s="708"/>
      <c r="Z1" s="708"/>
      <c r="AA1" s="708"/>
    </row>
    <row r="2">
      <c r="A2" s="708"/>
      <c r="B2" s="711" t="s">
        <v>235</v>
      </c>
      <c r="C2" s="710"/>
      <c r="D2" s="544"/>
      <c r="E2" s="544"/>
      <c r="F2" s="544"/>
      <c r="G2" s="544"/>
      <c r="H2" s="710"/>
      <c r="I2" s="544"/>
      <c r="J2" s="544"/>
      <c r="K2" s="544"/>
      <c r="L2" s="544"/>
      <c r="M2" s="544"/>
      <c r="N2" s="544"/>
      <c r="O2" s="544"/>
      <c r="P2" s="708"/>
      <c r="Q2" s="708"/>
      <c r="R2" s="708"/>
      <c r="S2" s="708"/>
      <c r="T2" s="708"/>
      <c r="U2" s="708"/>
      <c r="V2" s="708"/>
      <c r="W2" s="708"/>
      <c r="X2" s="708"/>
      <c r="Y2" s="708"/>
      <c r="Z2" s="708"/>
      <c r="AA2" s="708"/>
    </row>
    <row r="3">
      <c r="A3" s="708"/>
      <c r="B3" s="712" t="s">
        <v>494</v>
      </c>
      <c r="C3" s="710"/>
      <c r="D3" s="544"/>
      <c r="E3" s="544"/>
      <c r="F3" s="544"/>
      <c r="G3" s="544"/>
      <c r="H3" s="710"/>
      <c r="I3" s="544"/>
      <c r="J3" s="544"/>
      <c r="K3" s="544"/>
      <c r="L3" s="544"/>
      <c r="M3" s="544"/>
      <c r="N3" s="544"/>
      <c r="O3" s="544"/>
      <c r="P3" s="708"/>
      <c r="Q3" s="708"/>
      <c r="R3" s="708"/>
      <c r="S3" s="708"/>
      <c r="T3" s="708"/>
      <c r="U3" s="708"/>
      <c r="V3" s="708"/>
      <c r="W3" s="708"/>
      <c r="X3" s="708"/>
      <c r="Y3" s="708"/>
      <c r="Z3" s="708"/>
      <c r="AA3" s="708"/>
    </row>
    <row r="4">
      <c r="A4" s="708"/>
      <c r="B4" s="544"/>
      <c r="C4" s="710"/>
      <c r="D4" s="544"/>
      <c r="E4" s="544"/>
      <c r="F4" s="544"/>
      <c r="G4" s="544"/>
      <c r="H4" s="710"/>
      <c r="I4" s="544"/>
      <c r="J4" s="544"/>
      <c r="K4" s="544"/>
      <c r="L4" s="544"/>
      <c r="M4" s="544"/>
      <c r="N4" s="544"/>
      <c r="O4" s="544"/>
      <c r="P4" s="708"/>
      <c r="Q4" s="708"/>
      <c r="R4" s="708"/>
      <c r="S4" s="708"/>
      <c r="T4" s="708"/>
      <c r="U4" s="708"/>
      <c r="V4" s="708"/>
      <c r="W4" s="708"/>
      <c r="X4" s="708"/>
      <c r="Y4" s="708"/>
      <c r="Z4" s="708"/>
      <c r="AA4" s="708"/>
    </row>
    <row r="5" ht="3.0" customHeight="1">
      <c r="A5" s="713"/>
      <c r="B5" s="714"/>
      <c r="C5" s="715"/>
      <c r="D5" s="716"/>
      <c r="E5" s="716"/>
      <c r="F5" s="714"/>
      <c r="G5" s="714"/>
      <c r="H5" s="715"/>
      <c r="I5" s="714"/>
      <c r="J5" s="714"/>
      <c r="K5" s="714"/>
      <c r="L5" s="714"/>
      <c r="M5" s="714"/>
      <c r="N5" s="714"/>
      <c r="O5" s="714"/>
      <c r="P5" s="708"/>
      <c r="Q5" s="708"/>
      <c r="R5" s="708"/>
      <c r="S5" s="708"/>
      <c r="T5" s="708"/>
      <c r="U5" s="708"/>
      <c r="V5" s="708"/>
      <c r="W5" s="708"/>
      <c r="X5" s="708"/>
      <c r="Y5" s="708"/>
      <c r="Z5" s="708"/>
      <c r="AA5" s="708"/>
    </row>
    <row r="6">
      <c r="A6" s="708"/>
      <c r="B6" s="717"/>
      <c r="C6" s="710"/>
      <c r="D6" s="544"/>
      <c r="E6" s="544"/>
      <c r="F6" s="544"/>
      <c r="G6" s="544"/>
      <c r="H6" s="710"/>
      <c r="I6" s="544"/>
      <c r="J6" s="544"/>
      <c r="K6" s="544"/>
      <c r="L6" s="544"/>
      <c r="M6" s="544"/>
      <c r="N6" s="544"/>
      <c r="O6" s="544"/>
      <c r="P6" s="718"/>
      <c r="Q6" s="719"/>
      <c r="R6" s="13"/>
      <c r="S6" s="14"/>
      <c r="T6" s="708"/>
      <c r="U6" s="708"/>
      <c r="V6" s="708"/>
      <c r="W6" s="708"/>
      <c r="X6" s="708"/>
      <c r="Y6" s="708"/>
      <c r="Z6" s="708"/>
      <c r="AA6" s="708"/>
    </row>
    <row r="7">
      <c r="A7" s="708"/>
      <c r="B7" s="544"/>
      <c r="C7" s="720" t="s">
        <v>61</v>
      </c>
      <c r="D7" s="721"/>
      <c r="E7" s="722"/>
      <c r="F7" s="544"/>
      <c r="G7" s="544"/>
      <c r="H7" s="723"/>
      <c r="I7" s="544"/>
      <c r="J7" s="544"/>
      <c r="K7" s="544"/>
      <c r="L7" s="544"/>
      <c r="M7" s="544"/>
      <c r="N7" s="544"/>
      <c r="O7" s="544"/>
      <c r="P7" s="718"/>
      <c r="Q7" s="724"/>
      <c r="R7" s="725"/>
      <c r="S7" s="725"/>
      <c r="T7" s="708"/>
      <c r="U7" s="708"/>
      <c r="V7" s="708"/>
      <c r="W7" s="708"/>
      <c r="X7" s="708"/>
      <c r="Y7" s="708"/>
      <c r="Z7" s="708"/>
      <c r="AA7" s="708"/>
    </row>
    <row r="8">
      <c r="A8" s="708"/>
      <c r="B8" s="726"/>
      <c r="C8" s="723" t="s">
        <v>237</v>
      </c>
      <c r="D8" s="727"/>
      <c r="E8" s="728"/>
      <c r="F8" s="544"/>
      <c r="G8" s="544"/>
      <c r="H8" s="723"/>
      <c r="I8" s="544"/>
      <c r="J8" s="544"/>
      <c r="K8" s="544"/>
      <c r="L8" s="544"/>
      <c r="M8" s="544"/>
      <c r="N8" s="544"/>
      <c r="O8" s="544"/>
      <c r="P8" s="718"/>
      <c r="Q8" s="729"/>
      <c r="R8" s="730"/>
      <c r="S8" s="731"/>
      <c r="T8" s="708"/>
      <c r="U8" s="708"/>
      <c r="V8" s="708"/>
      <c r="W8" s="708"/>
      <c r="X8" s="708"/>
      <c r="Y8" s="708"/>
      <c r="Z8" s="708"/>
      <c r="AA8" s="708"/>
    </row>
    <row r="9">
      <c r="A9" s="708"/>
      <c r="B9" s="732"/>
      <c r="C9" s="723" t="s">
        <v>238</v>
      </c>
      <c r="D9" s="733"/>
      <c r="E9" s="728"/>
      <c r="F9" s="544"/>
      <c r="G9" s="544"/>
      <c r="H9" s="723"/>
      <c r="I9" s="544"/>
      <c r="J9" s="544"/>
      <c r="K9" s="544"/>
      <c r="L9" s="544"/>
      <c r="M9" s="544"/>
      <c r="N9" s="544"/>
      <c r="O9" s="544"/>
      <c r="P9" s="718"/>
      <c r="Q9" s="729"/>
      <c r="R9" s="730"/>
      <c r="S9" s="731"/>
      <c r="T9" s="708"/>
      <c r="U9" s="708"/>
      <c r="V9" s="708"/>
      <c r="W9" s="708"/>
      <c r="X9" s="708"/>
      <c r="Y9" s="708"/>
      <c r="Z9" s="708"/>
      <c r="AA9" s="708"/>
    </row>
    <row r="10">
      <c r="A10" s="708"/>
      <c r="B10" s="732"/>
      <c r="C10" s="734"/>
      <c r="D10" s="735"/>
      <c r="E10" s="735"/>
      <c r="F10" s="544"/>
      <c r="G10" s="544"/>
      <c r="H10" s="734"/>
      <c r="I10" s="544"/>
      <c r="J10" s="544"/>
      <c r="K10" s="544"/>
      <c r="L10" s="544"/>
      <c r="M10" s="544"/>
      <c r="N10" s="544"/>
      <c r="O10" s="544"/>
      <c r="P10" s="718"/>
      <c r="Q10" s="729"/>
      <c r="R10" s="730"/>
      <c r="S10" s="731"/>
      <c r="T10" s="708"/>
      <c r="U10" s="708"/>
      <c r="V10" s="708"/>
      <c r="W10" s="708"/>
      <c r="X10" s="708"/>
      <c r="Y10" s="708"/>
      <c r="Z10" s="708"/>
      <c r="AA10" s="708"/>
    </row>
    <row r="11" ht="3.0" customHeight="1">
      <c r="A11" s="736"/>
      <c r="B11" s="714"/>
      <c r="C11" s="715"/>
      <c r="D11" s="716"/>
      <c r="E11" s="716"/>
      <c r="F11" s="714"/>
      <c r="G11" s="714"/>
      <c r="H11" s="715"/>
      <c r="I11" s="714"/>
      <c r="J11" s="714"/>
      <c r="K11" s="714"/>
      <c r="L11" s="714"/>
      <c r="M11" s="714"/>
      <c r="N11" s="714"/>
      <c r="O11" s="714"/>
      <c r="P11" s="718"/>
      <c r="Q11" s="729"/>
      <c r="R11" s="730"/>
      <c r="S11" s="731"/>
      <c r="T11" s="708"/>
      <c r="U11" s="708"/>
      <c r="V11" s="708"/>
      <c r="W11" s="708"/>
      <c r="X11" s="708"/>
      <c r="Y11" s="708"/>
      <c r="Z11" s="708"/>
      <c r="AA11" s="708"/>
    </row>
    <row r="12">
      <c r="A12" s="708"/>
      <c r="B12" s="544"/>
      <c r="C12" s="710"/>
      <c r="D12" s="544"/>
      <c r="E12" s="544"/>
      <c r="F12" s="544"/>
      <c r="G12" s="544"/>
      <c r="H12" s="710"/>
      <c r="I12" s="544"/>
      <c r="J12" s="544"/>
      <c r="K12" s="544"/>
      <c r="L12" s="544"/>
      <c r="M12" s="544"/>
      <c r="N12" s="544"/>
      <c r="O12" s="544"/>
      <c r="P12" s="718"/>
      <c r="Q12" s="729"/>
      <c r="R12" s="730"/>
      <c r="S12" s="731"/>
      <c r="T12" s="708"/>
      <c r="U12" s="708"/>
      <c r="V12" s="708"/>
      <c r="W12" s="708"/>
      <c r="X12" s="708"/>
      <c r="Y12" s="708"/>
      <c r="Z12" s="708"/>
      <c r="AA12" s="708"/>
    </row>
    <row r="13" ht="15.75" customHeight="1">
      <c r="A13" s="708"/>
      <c r="B13" s="737"/>
      <c r="C13" s="738" t="s">
        <v>80</v>
      </c>
      <c r="D13" s="738" t="s">
        <v>81</v>
      </c>
      <c r="E13" s="738" t="s">
        <v>82</v>
      </c>
      <c r="F13" s="738" t="s">
        <v>83</v>
      </c>
      <c r="G13" s="738" t="s">
        <v>84</v>
      </c>
      <c r="H13" s="738" t="s">
        <v>188</v>
      </c>
      <c r="I13" s="739"/>
      <c r="J13" s="740" t="s">
        <v>495</v>
      </c>
      <c r="K13" s="739"/>
      <c r="L13" s="708"/>
      <c r="M13" s="741" t="s">
        <v>496</v>
      </c>
      <c r="N13" s="742">
        <f t="array" ref="N13">NPV(J14,C30:G30)</f>
        <v>4054730.789</v>
      </c>
      <c r="O13" s="743"/>
      <c r="P13" s="708"/>
      <c r="Q13" s="708"/>
      <c r="R13" s="708"/>
      <c r="S13" s="708"/>
      <c r="T13" s="708"/>
      <c r="U13" s="708"/>
      <c r="V13" s="708"/>
      <c r="W13" s="708"/>
      <c r="X13" s="708"/>
      <c r="Y13" s="708"/>
      <c r="Z13" s="708"/>
      <c r="AA13" s="708"/>
    </row>
    <row r="14" ht="34.5" customHeight="1">
      <c r="A14" s="708"/>
      <c r="B14" s="744" t="s">
        <v>497</v>
      </c>
      <c r="C14" s="745">
        <f t="shared" ref="C14:G14" si="1">C20+C15</f>
        <v>164532.5526</v>
      </c>
      <c r="D14" s="745">
        <f t="shared" si="1"/>
        <v>1705017.973</v>
      </c>
      <c r="E14" s="745">
        <f t="shared" si="1"/>
        <v>3331833.636</v>
      </c>
      <c r="F14" s="745">
        <f t="shared" si="1"/>
        <v>5895085.082</v>
      </c>
      <c r="G14" s="745">
        <f t="shared" si="1"/>
        <v>7178101.162</v>
      </c>
      <c r="H14" s="745">
        <f t="shared" ref="H14:H19" si="3">sum(C14:G14)</f>
        <v>18274570.41</v>
      </c>
      <c r="I14" s="739"/>
      <c r="J14" s="746">
        <v>0.1</v>
      </c>
      <c r="K14" s="739"/>
      <c r="L14" s="1"/>
      <c r="M14" s="741" t="s">
        <v>486</v>
      </c>
      <c r="N14" s="742">
        <f>H14+H25</f>
        <v>29274570.41</v>
      </c>
      <c r="O14" s="747">
        <f>(H14+H25)/H25</f>
        <v>2.661324582</v>
      </c>
      <c r="P14" s="1"/>
      <c r="Q14" s="1"/>
      <c r="R14" s="1"/>
      <c r="S14" s="1"/>
      <c r="T14" s="708"/>
      <c r="U14" s="708"/>
      <c r="V14" s="708"/>
      <c r="W14" s="708"/>
      <c r="X14" s="708"/>
      <c r="Y14" s="708"/>
      <c r="Z14" s="708"/>
      <c r="AA14" s="708"/>
    </row>
    <row r="15" ht="34.5" customHeight="1">
      <c r="A15" s="708"/>
      <c r="B15" s="748" t="s">
        <v>269</v>
      </c>
      <c r="C15" s="749">
        <f t="shared" ref="C15:G15" si="2">sum(C16:C19)</f>
        <v>127212.5212</v>
      </c>
      <c r="D15" s="749">
        <f t="shared" si="2"/>
        <v>1387503.851</v>
      </c>
      <c r="E15" s="749">
        <f t="shared" si="2"/>
        <v>2799212.463</v>
      </c>
      <c r="F15" s="749">
        <f t="shared" si="2"/>
        <v>5029167.937</v>
      </c>
      <c r="G15" s="749">
        <f t="shared" si="2"/>
        <v>6081306.49</v>
      </c>
      <c r="H15" s="749">
        <f t="shared" si="3"/>
        <v>15424403.26</v>
      </c>
      <c r="I15" s="739"/>
      <c r="J15" s="750">
        <f t="shared" ref="J15:J24" si="4">H15/5</f>
        <v>3084880.652</v>
      </c>
      <c r="K15" s="708"/>
      <c r="L15" s="1"/>
      <c r="M15" s="1"/>
      <c r="N15" s="1"/>
      <c r="O15" s="1"/>
      <c r="P15" s="1"/>
      <c r="Q15" s="1"/>
      <c r="R15" s="1"/>
      <c r="S15" s="1"/>
      <c r="T15" s="1"/>
      <c r="U15" s="1"/>
      <c r="V15" s="1"/>
      <c r="W15" s="1"/>
      <c r="X15" s="1"/>
      <c r="Y15" s="1"/>
      <c r="Z15" s="1"/>
      <c r="AA15" s="708"/>
    </row>
    <row r="16" ht="34.5" customHeight="1">
      <c r="A16" s="708"/>
      <c r="B16" s="751" t="s">
        <v>498</v>
      </c>
      <c r="C16" s="752">
        <f>'Customer &amp; Loan Acquisition - A'!I16</f>
        <v>14968.83734</v>
      </c>
      <c r="D16" s="752">
        <f>'Customer &amp; Loan Acquisition - A'!J16</f>
        <v>34372.88575</v>
      </c>
      <c r="E16" s="752">
        <f>'Customer &amp; Loan Acquisition - A'!K16</f>
        <v>124075.0295</v>
      </c>
      <c r="F16" s="752">
        <f>'Customer &amp; Loan Acquisition - A'!L16</f>
        <v>249258.8618</v>
      </c>
      <c r="G16" s="752">
        <f>'Customer &amp; Loan Acquisition - A'!M16</f>
        <v>291393.3669</v>
      </c>
      <c r="H16" s="753">
        <f t="shared" si="3"/>
        <v>714068.9814</v>
      </c>
      <c r="I16" s="739"/>
      <c r="J16" s="750">
        <f t="shared" si="4"/>
        <v>142813.7963</v>
      </c>
      <c r="K16" s="708"/>
      <c r="L16" s="1"/>
      <c r="M16" s="1"/>
      <c r="N16" s="1"/>
      <c r="O16" s="1"/>
      <c r="P16" s="1"/>
      <c r="Q16" s="1"/>
      <c r="R16" s="1"/>
      <c r="S16" s="1"/>
      <c r="T16" s="1"/>
      <c r="U16" s="1"/>
      <c r="V16" s="1"/>
      <c r="W16" s="1"/>
      <c r="X16" s="1"/>
      <c r="Y16" s="1"/>
      <c r="Z16" s="1"/>
      <c r="AA16" s="708"/>
    </row>
    <row r="17" ht="34.5" customHeight="1">
      <c r="A17" s="708"/>
      <c r="B17" s="751" t="s">
        <v>499</v>
      </c>
      <c r="C17" s="558">
        <f>'Customer &amp; Loan Acquisition - A'!I25</f>
        <v>2824.844321</v>
      </c>
      <c r="D17" s="558">
        <f>'Customer &amp; Loan Acquisition - A'!J25</f>
        <v>24607.53275</v>
      </c>
      <c r="E17" s="558">
        <f>'Customer &amp; Loan Acquisition - A'!K25</f>
        <v>72316.01462</v>
      </c>
      <c r="F17" s="558">
        <f>'Customer &amp; Loan Acquisition - A'!L25</f>
        <v>170746.1456</v>
      </c>
      <c r="G17" s="558">
        <f>'Customer &amp; Loan Acquisition - A'!M25</f>
        <v>368811.6746</v>
      </c>
      <c r="H17" s="754">
        <f t="shared" si="3"/>
        <v>639306.2119</v>
      </c>
      <c r="I17" s="739"/>
      <c r="J17" s="750">
        <f t="shared" si="4"/>
        <v>127861.2424</v>
      </c>
      <c r="K17" s="708"/>
      <c r="L17" s="1"/>
      <c r="M17" s="1"/>
      <c r="N17" s="1"/>
      <c r="O17" s="1"/>
      <c r="P17" s="1"/>
      <c r="Q17" s="1"/>
      <c r="R17" s="1"/>
      <c r="S17" s="1"/>
      <c r="T17" s="1"/>
      <c r="U17" s="1"/>
      <c r="V17" s="1"/>
      <c r="W17" s="1"/>
      <c r="X17" s="1"/>
      <c r="Y17" s="1"/>
      <c r="Z17" s="1"/>
      <c r="AA17" s="708"/>
    </row>
    <row r="18" ht="34.5" customHeight="1">
      <c r="A18" s="708"/>
      <c r="B18" s="755" t="s">
        <v>500</v>
      </c>
      <c r="C18" s="558">
        <f>'Customer &amp; Loan Acquisition - A'!I34</f>
        <v>0</v>
      </c>
      <c r="D18" s="558">
        <f>'Customer &amp; Loan Acquisition - A'!J34</f>
        <v>732155.7709</v>
      </c>
      <c r="E18" s="558">
        <f>'Customer &amp; Loan Acquisition - A'!K34</f>
        <v>1434427.633</v>
      </c>
      <c r="F18" s="558">
        <f>'Customer &amp; Loan Acquisition - A'!L34</f>
        <v>2540132.267</v>
      </c>
      <c r="G18" s="558">
        <f>'Customer &amp; Loan Acquisition - A'!M34</f>
        <v>2988390.902</v>
      </c>
      <c r="H18" s="754">
        <f t="shared" si="3"/>
        <v>7695106.572</v>
      </c>
      <c r="I18" s="739"/>
      <c r="J18" s="750">
        <f t="shared" si="4"/>
        <v>1539021.314</v>
      </c>
      <c r="K18" s="708"/>
      <c r="L18" s="1"/>
      <c r="M18" s="1"/>
      <c r="N18" s="1"/>
      <c r="O18" s="1"/>
      <c r="P18" s="1"/>
      <c r="Q18" s="1"/>
      <c r="R18" s="1"/>
      <c r="S18" s="1"/>
      <c r="T18" s="1"/>
      <c r="U18" s="1"/>
      <c r="V18" s="1"/>
      <c r="W18" s="1"/>
      <c r="X18" s="1"/>
      <c r="Y18" s="1"/>
      <c r="Z18" s="1"/>
      <c r="AA18" s="708"/>
    </row>
    <row r="19" ht="34.5" customHeight="1">
      <c r="A19" s="708"/>
      <c r="B19" s="756" t="s">
        <v>384</v>
      </c>
      <c r="C19" s="558">
        <f>'Customer &amp; Loan Acquisition - A'!I42</f>
        <v>109418.8396</v>
      </c>
      <c r="D19" s="558">
        <f>'Customer &amp; Loan Acquisition - A'!J42</f>
        <v>596367.6616</v>
      </c>
      <c r="E19" s="558">
        <f>'Customer &amp; Loan Acquisition - A'!K42</f>
        <v>1168393.786</v>
      </c>
      <c r="F19" s="558">
        <f>'Customer &amp; Loan Acquisition - A'!L42</f>
        <v>2069030.663</v>
      </c>
      <c r="G19" s="558">
        <f>'Customer &amp; Loan Acquisition - A'!M42</f>
        <v>2432710.547</v>
      </c>
      <c r="H19" s="754">
        <f t="shared" si="3"/>
        <v>6375921.497</v>
      </c>
      <c r="I19" s="739"/>
      <c r="J19" s="750">
        <f t="shared" si="4"/>
        <v>1275184.299</v>
      </c>
      <c r="K19" s="708"/>
      <c r="L19" s="1"/>
      <c r="M19" s="1"/>
      <c r="N19" s="1"/>
      <c r="O19" s="1"/>
      <c r="P19" s="1"/>
      <c r="Q19" s="1"/>
      <c r="R19" s="1"/>
      <c r="S19" s="1"/>
      <c r="T19" s="1"/>
      <c r="U19" s="1"/>
      <c r="V19" s="1"/>
      <c r="W19" s="1"/>
      <c r="X19" s="1"/>
      <c r="Y19" s="1"/>
      <c r="Z19" s="1"/>
      <c r="AA19" s="708"/>
    </row>
    <row r="20" ht="34.5" customHeight="1">
      <c r="A20" s="708"/>
      <c r="B20" s="757" t="s">
        <v>297</v>
      </c>
      <c r="C20" s="758">
        <f t="shared" ref="C20:G20" si="5">SUM(C21:C24)</f>
        <v>37320.03134</v>
      </c>
      <c r="D20" s="758">
        <f t="shared" si="5"/>
        <v>317514.1222</v>
      </c>
      <c r="E20" s="758">
        <f t="shared" si="5"/>
        <v>532621.1731</v>
      </c>
      <c r="F20" s="758">
        <f t="shared" si="5"/>
        <v>865917.145</v>
      </c>
      <c r="G20" s="758">
        <f t="shared" si="5"/>
        <v>1096794.672</v>
      </c>
      <c r="H20" s="758">
        <f>SUM(C20:G20)</f>
        <v>2850167.143</v>
      </c>
      <c r="I20" s="739"/>
      <c r="J20" s="750">
        <f t="shared" si="4"/>
        <v>570033.4286</v>
      </c>
      <c r="K20" s="708"/>
      <c r="L20" s="1"/>
      <c r="M20" s="741" t="s">
        <v>501</v>
      </c>
      <c r="N20" s="759">
        <f>if(C32&gt;0,1+-C30/C30,if(D32&gt;0,1+-C30/D30,if(E32&gt;0,1+-C30/E30,if(F32&gt;0,1+-C30/F30,if(G32&gt;0,1+-C30/G30)))))</f>
        <v>1.727960337</v>
      </c>
      <c r="O20" s="760"/>
      <c r="P20" s="1"/>
      <c r="Q20" s="1"/>
      <c r="R20" s="1"/>
      <c r="S20" s="1"/>
      <c r="T20" s="1"/>
      <c r="U20" s="1"/>
      <c r="V20" s="1"/>
      <c r="W20" s="1"/>
      <c r="X20" s="1"/>
      <c r="Y20" s="1"/>
      <c r="Z20" s="1"/>
      <c r="AA20" s="708"/>
    </row>
    <row r="21" ht="34.5" customHeight="1">
      <c r="A21" s="708"/>
      <c r="B21" s="751" t="s">
        <v>502</v>
      </c>
      <c r="C21" s="761">
        <f>'Customer &amp; Loan Acquisition - A'!I20</f>
        <v>14507.10034</v>
      </c>
      <c r="D21" s="761">
        <f>'Customer &amp; Loan Acquisition - A'!J20</f>
        <v>127340.1029</v>
      </c>
      <c r="E21" s="761">
        <f>'Customer &amp; Loan Acquisition - A'!K20</f>
        <v>203099.4047</v>
      </c>
      <c r="F21" s="761">
        <f>'Customer &amp; Loan Acquisition - A'!L20</f>
        <v>322380.0075</v>
      </c>
      <c r="G21" s="761">
        <f>'Customer &amp; Loan Acquisition - A'!M20</f>
        <v>370737.0086</v>
      </c>
      <c r="H21" s="753">
        <f t="shared" ref="H21:H28" si="6">sum(C21:G21)</f>
        <v>1038063.624</v>
      </c>
      <c r="I21" s="739"/>
      <c r="J21" s="750">
        <f t="shared" si="4"/>
        <v>207612.7248</v>
      </c>
      <c r="K21" s="708"/>
      <c r="L21" s="1"/>
      <c r="M21" s="741" t="s">
        <v>503</v>
      </c>
      <c r="N21" s="762">
        <f>IRR(C30:G30)</f>
        <v>0.4566621744</v>
      </c>
      <c r="O21" s="718"/>
      <c r="P21" s="1"/>
      <c r="Q21" s="1"/>
      <c r="R21" s="1"/>
      <c r="S21" s="1"/>
      <c r="T21" s="1"/>
      <c r="U21" s="1"/>
      <c r="V21" s="1"/>
      <c r="W21" s="1"/>
      <c r="X21" s="1"/>
      <c r="Y21" s="1"/>
      <c r="Z21" s="1"/>
      <c r="AA21" s="708"/>
    </row>
    <row r="22" ht="34.5" customHeight="1">
      <c r="A22" s="708"/>
      <c r="B22" s="751" t="s">
        <v>504</v>
      </c>
      <c r="C22" s="761">
        <f>'Customer &amp; Loan Acquisition - A'!I29</f>
        <v>9958.522812</v>
      </c>
      <c r="D22" s="761">
        <f>'Customer &amp; Loan Acquisition - A'!J29</f>
        <v>87413.70024</v>
      </c>
      <c r="E22" s="761">
        <f>'Customer &amp; Loan Acquisition - A'!K29</f>
        <v>139419.3194</v>
      </c>
      <c r="F22" s="761">
        <f>'Customer &amp; Loan Acquisition - A'!L29</f>
        <v>221300.5069</v>
      </c>
      <c r="G22" s="761">
        <f>'Customer &amp; Loan Acquisition - A'!M29</f>
        <v>254495.583</v>
      </c>
      <c r="H22" s="754">
        <f t="shared" si="6"/>
        <v>712587.6323</v>
      </c>
      <c r="I22" s="739"/>
      <c r="J22" s="750">
        <f t="shared" si="4"/>
        <v>142517.5265</v>
      </c>
      <c r="K22" s="708"/>
      <c r="L22" s="1"/>
      <c r="M22" s="1"/>
      <c r="N22" s="1"/>
      <c r="O22" s="1"/>
      <c r="P22" s="1"/>
      <c r="Q22" s="1"/>
      <c r="R22" s="1"/>
      <c r="S22" s="1"/>
      <c r="T22" s="1"/>
      <c r="U22" s="1"/>
      <c r="V22" s="1"/>
      <c r="W22" s="1"/>
      <c r="X22" s="1"/>
      <c r="Y22" s="1"/>
      <c r="Z22" s="1"/>
      <c r="AA22" s="708"/>
    </row>
    <row r="23" ht="34.5" customHeight="1">
      <c r="A23" s="708"/>
      <c r="B23" s="755" t="s">
        <v>505</v>
      </c>
      <c r="C23" s="761">
        <f>'Customer &amp; Loan Acquisition - A'!I38</f>
        <v>0</v>
      </c>
      <c r="D23" s="761">
        <f>'Customer &amp; Loan Acquisition - A'!J38</f>
        <v>33223.11242</v>
      </c>
      <c r="E23" s="761">
        <f>'Customer &amp; Loan Acquisition - A'!K38</f>
        <v>52988.76158</v>
      </c>
      <c r="F23" s="761">
        <f>'Customer &amp; Loan Acquisition - A'!L38</f>
        <v>79441.0878</v>
      </c>
      <c r="G23" s="761">
        <f>'Customer &amp; Loan Acquisition - A'!M38</f>
        <v>91357.25097</v>
      </c>
      <c r="H23" s="754">
        <f t="shared" si="6"/>
        <v>257010.2128</v>
      </c>
      <c r="I23" s="739"/>
      <c r="J23" s="750">
        <f t="shared" si="4"/>
        <v>51402.04256</v>
      </c>
      <c r="K23" s="708"/>
      <c r="L23" s="1"/>
      <c r="M23" s="1"/>
      <c r="N23" s="1"/>
      <c r="O23" s="1"/>
      <c r="P23" s="1"/>
      <c r="Q23" s="1"/>
      <c r="R23" s="1"/>
      <c r="S23" s="1"/>
      <c r="T23" s="1"/>
      <c r="U23" s="1"/>
      <c r="V23" s="1"/>
      <c r="W23" s="1"/>
      <c r="X23" s="1"/>
      <c r="Y23" s="1"/>
      <c r="Z23" s="1"/>
      <c r="AA23" s="708"/>
    </row>
    <row r="24" ht="34.5" customHeight="1">
      <c r="A24" s="708"/>
      <c r="B24" s="763" t="s">
        <v>299</v>
      </c>
      <c r="C24" s="761">
        <f>'Customer &amp; Loan Acquisition - A'!I46</f>
        <v>12854.40819</v>
      </c>
      <c r="D24" s="761">
        <f>'Customer &amp; Loan Acquisition - A'!J46</f>
        <v>69537.20657</v>
      </c>
      <c r="E24" s="761">
        <f>'Customer &amp; Loan Acquisition - A'!K46</f>
        <v>137113.6874</v>
      </c>
      <c r="F24" s="761">
        <f>'Customer &amp; Loan Acquisition - A'!L46</f>
        <v>242795.5428</v>
      </c>
      <c r="G24" s="761">
        <f>'Customer &amp; Loan Acquisition - A'!M46</f>
        <v>380204.8291</v>
      </c>
      <c r="H24" s="754">
        <f t="shared" si="6"/>
        <v>842505.674</v>
      </c>
      <c r="I24" s="739"/>
      <c r="J24" s="750">
        <f t="shared" si="4"/>
        <v>168501.1348</v>
      </c>
      <c r="K24" s="708"/>
      <c r="L24" s="1"/>
      <c r="M24" s="1"/>
      <c r="N24" s="1"/>
      <c r="O24" s="1"/>
      <c r="P24" s="1"/>
      <c r="Q24" s="1"/>
      <c r="R24" s="1"/>
      <c r="S24" s="1"/>
      <c r="T24" s="1"/>
      <c r="U24" s="1"/>
      <c r="V24" s="1"/>
      <c r="W24" s="1"/>
      <c r="X24" s="1"/>
      <c r="Y24" s="1"/>
      <c r="Z24" s="1"/>
      <c r="AA24" s="708"/>
    </row>
    <row r="25" ht="34.5" customHeight="1">
      <c r="A25" s="708"/>
      <c r="B25" s="744" t="s">
        <v>506</v>
      </c>
      <c r="C25" s="764">
        <f t="shared" ref="C25:G25" si="7">Sum(C26:C28)</f>
        <v>3000000</v>
      </c>
      <c r="D25" s="764">
        <f t="shared" si="7"/>
        <v>2000000</v>
      </c>
      <c r="E25" s="764">
        <f t="shared" si="7"/>
        <v>2000000</v>
      </c>
      <c r="F25" s="764">
        <f t="shared" si="7"/>
        <v>2000000</v>
      </c>
      <c r="G25" s="764">
        <f t="shared" si="7"/>
        <v>2000000</v>
      </c>
      <c r="H25" s="764">
        <f t="shared" si="6"/>
        <v>11000000</v>
      </c>
      <c r="I25" s="739"/>
      <c r="J25" s="708"/>
      <c r="K25" s="708"/>
      <c r="L25" s="1"/>
      <c r="M25" s="1"/>
      <c r="N25" s="1"/>
      <c r="O25" s="1"/>
      <c r="P25" s="1"/>
      <c r="Q25" s="1"/>
      <c r="R25" s="1"/>
      <c r="S25" s="1"/>
      <c r="T25" s="1"/>
      <c r="U25" s="1"/>
      <c r="V25" s="1"/>
      <c r="W25" s="1"/>
      <c r="X25" s="1"/>
      <c r="Y25" s="1"/>
      <c r="Z25" s="1"/>
      <c r="AA25" s="708"/>
    </row>
    <row r="26" ht="34.5" customHeight="1">
      <c r="A26" s="708"/>
      <c r="B26" s="763" t="s">
        <v>493</v>
      </c>
      <c r="C26" s="761">
        <f>'IT Cost Savings - Inputs and An'!E15</f>
        <v>1000000</v>
      </c>
      <c r="D26" s="761">
        <f>'IT Cost Savings - Inputs and An'!F15</f>
        <v>1500000</v>
      </c>
      <c r="E26" s="761">
        <f>'IT Cost Savings - Inputs and An'!G15</f>
        <v>1500000</v>
      </c>
      <c r="F26" s="761">
        <f>'IT Cost Savings - Inputs and An'!H15</f>
        <v>1500000</v>
      </c>
      <c r="G26" s="761">
        <f>'IT Cost Savings - Inputs and An'!I15</f>
        <v>1500000</v>
      </c>
      <c r="H26" s="754">
        <f t="shared" si="6"/>
        <v>7000000</v>
      </c>
      <c r="I26" s="739"/>
      <c r="J26" s="708"/>
      <c r="K26" s="708"/>
      <c r="L26" s="1"/>
      <c r="M26" s="1"/>
      <c r="N26" s="1"/>
      <c r="O26" s="1"/>
      <c r="P26" s="1"/>
      <c r="Q26" s="1"/>
      <c r="R26" s="1"/>
      <c r="S26" s="1"/>
      <c r="T26" s="1"/>
      <c r="U26" s="1"/>
      <c r="V26" s="1"/>
      <c r="W26" s="1"/>
      <c r="X26" s="1"/>
      <c r="Y26" s="1"/>
      <c r="Z26" s="1"/>
      <c r="AA26" s="708"/>
    </row>
    <row r="27" ht="34.5" customHeight="1">
      <c r="A27" s="708"/>
      <c r="B27" s="756" t="s">
        <v>507</v>
      </c>
      <c r="C27" s="761">
        <f>'IT Cost Savings - Inputs and An'!E16</f>
        <v>2000000</v>
      </c>
      <c r="D27" s="761">
        <f>'IT Cost Savings - Inputs and An'!F16</f>
        <v>500000</v>
      </c>
      <c r="E27" s="761">
        <f>'IT Cost Savings - Inputs and An'!G16</f>
        <v>500000</v>
      </c>
      <c r="F27" s="761">
        <f>'IT Cost Savings - Inputs and An'!H16</f>
        <v>500000</v>
      </c>
      <c r="G27" s="761">
        <f>'IT Cost Savings - Inputs and An'!I16</f>
        <v>500000</v>
      </c>
      <c r="H27" s="754">
        <f t="shared" si="6"/>
        <v>4000000</v>
      </c>
      <c r="I27" s="739"/>
      <c r="J27" s="708"/>
      <c r="K27" s="708"/>
      <c r="L27" s="1"/>
      <c r="M27" s="1"/>
      <c r="N27" s="1"/>
      <c r="O27" s="1"/>
      <c r="P27" s="1"/>
      <c r="Q27" s="1"/>
      <c r="R27" s="1"/>
      <c r="S27" s="1"/>
      <c r="T27" s="1"/>
      <c r="U27" s="1"/>
      <c r="V27" s="1"/>
      <c r="W27" s="1"/>
      <c r="X27" s="1"/>
      <c r="Y27" s="1"/>
      <c r="Z27" s="1"/>
      <c r="AA27" s="708"/>
    </row>
    <row r="28" ht="34.5" customHeight="1">
      <c r="A28" s="708"/>
      <c r="B28" s="763" t="s">
        <v>508</v>
      </c>
      <c r="C28" s="707"/>
      <c r="D28" s="707"/>
      <c r="E28" s="707"/>
      <c r="F28" s="707"/>
      <c r="G28" s="707"/>
      <c r="H28" s="706">
        <f t="shared" si="6"/>
        <v>0</v>
      </c>
      <c r="I28" s="739"/>
      <c r="J28" s="708"/>
      <c r="K28" s="708"/>
      <c r="L28" s="1"/>
      <c r="M28" s="1"/>
      <c r="N28" s="1"/>
      <c r="O28" s="1"/>
      <c r="P28" s="1"/>
      <c r="Q28" s="1"/>
      <c r="R28" s="1"/>
      <c r="S28" s="1"/>
      <c r="T28" s="1"/>
      <c r="U28" s="1"/>
      <c r="V28" s="1"/>
      <c r="W28" s="1"/>
      <c r="X28" s="1"/>
      <c r="Y28" s="1"/>
      <c r="Z28" s="1"/>
      <c r="AA28" s="708"/>
    </row>
    <row r="29" ht="34.5" customHeight="1">
      <c r="A29" s="708"/>
      <c r="B29" s="765"/>
      <c r="C29" s="708"/>
      <c r="D29" s="708"/>
      <c r="E29" s="708"/>
      <c r="F29" s="708"/>
      <c r="G29" s="708"/>
      <c r="H29" s="708"/>
      <c r="I29" s="739"/>
      <c r="J29" s="708"/>
      <c r="K29" s="708"/>
      <c r="L29" s="1"/>
      <c r="M29" s="1"/>
      <c r="N29" s="1"/>
      <c r="O29" s="1"/>
      <c r="P29" s="1"/>
      <c r="Q29" s="1"/>
      <c r="R29" s="1"/>
      <c r="S29" s="1"/>
      <c r="T29" s="1"/>
      <c r="U29" s="1"/>
      <c r="V29" s="1"/>
      <c r="W29" s="1"/>
      <c r="X29" s="1"/>
      <c r="Y29" s="1"/>
      <c r="Z29" s="1"/>
      <c r="AA29" s="708"/>
    </row>
    <row r="30" ht="34.5" customHeight="1">
      <c r="A30" s="708"/>
      <c r="B30" s="766" t="s">
        <v>509</v>
      </c>
      <c r="C30" s="764">
        <f t="shared" ref="C30:G30" si="8">C14-C25</f>
        <v>-2835467.447</v>
      </c>
      <c r="D30" s="764">
        <f t="shared" si="8"/>
        <v>-294982.0268</v>
      </c>
      <c r="E30" s="764">
        <f t="shared" si="8"/>
        <v>1331833.636</v>
      </c>
      <c r="F30" s="764">
        <f t="shared" si="8"/>
        <v>3895085.082</v>
      </c>
      <c r="G30" s="764">
        <f t="shared" si="8"/>
        <v>5178101.162</v>
      </c>
      <c r="H30" s="764">
        <f t="shared" ref="H30:H32" si="9">sum(C30:G30)</f>
        <v>7274570.405</v>
      </c>
      <c r="I30" s="718"/>
      <c r="J30" s="708"/>
      <c r="K30" s="708"/>
      <c r="L30" s="1"/>
      <c r="M30" s="1"/>
      <c r="N30" s="1"/>
      <c r="O30" s="1"/>
      <c r="P30" s="1"/>
      <c r="Q30" s="1"/>
      <c r="R30" s="1"/>
      <c r="S30" s="708"/>
      <c r="T30" s="1"/>
      <c r="U30" s="1"/>
      <c r="V30" s="1"/>
      <c r="W30" s="1"/>
      <c r="X30" s="1"/>
      <c r="Y30" s="1"/>
      <c r="Z30" s="1"/>
      <c r="AA30" s="708"/>
    </row>
    <row r="31" ht="34.5" customHeight="1">
      <c r="A31" s="708"/>
      <c r="B31" s="748" t="s">
        <v>510</v>
      </c>
      <c r="C31" s="752">
        <f>C30/(1+$J$14)^0</f>
        <v>-2835467.447</v>
      </c>
      <c r="D31" s="752">
        <f>D30/(1+$J$14)^1</f>
        <v>-268165.4789</v>
      </c>
      <c r="E31" s="752">
        <f>E30/(1+$J$14)^2</f>
        <v>1100688.955</v>
      </c>
      <c r="F31" s="752">
        <f>F30/(1+$J$14)^3</f>
        <v>2926435.073</v>
      </c>
      <c r="G31" s="752">
        <f>G30/(1+$J$14)^4</f>
        <v>3536712.767</v>
      </c>
      <c r="H31" s="753">
        <f t="shared" si="9"/>
        <v>4460203.868</v>
      </c>
      <c r="I31" s="718"/>
      <c r="J31" s="708"/>
      <c r="K31" s="708"/>
      <c r="L31" s="1"/>
      <c r="M31" s="1"/>
      <c r="N31" s="1"/>
      <c r="O31" s="1"/>
      <c r="P31" s="1"/>
      <c r="Q31" s="1"/>
      <c r="R31" s="1"/>
      <c r="S31" s="708"/>
      <c r="T31" s="708"/>
      <c r="U31" s="708"/>
      <c r="V31" s="708"/>
      <c r="W31" s="708"/>
      <c r="X31" s="708"/>
      <c r="Y31" s="708"/>
      <c r="Z31" s="708"/>
      <c r="AA31" s="708"/>
    </row>
    <row r="32" ht="34.5" customHeight="1">
      <c r="A32" s="708"/>
      <c r="B32" s="748" t="s">
        <v>511</v>
      </c>
      <c r="C32" s="558">
        <f>C30</f>
        <v>-2835467.447</v>
      </c>
      <c r="D32" s="558">
        <f t="shared" ref="D32:G32" si="10">C32+D30</f>
        <v>-3130449.474</v>
      </c>
      <c r="E32" s="558">
        <f t="shared" si="10"/>
        <v>-1798615.838</v>
      </c>
      <c r="F32" s="558">
        <f t="shared" si="10"/>
        <v>2096469.244</v>
      </c>
      <c r="G32" s="558">
        <f t="shared" si="10"/>
        <v>7274570.405</v>
      </c>
      <c r="H32" s="754">
        <f t="shared" si="9"/>
        <v>1606506.889</v>
      </c>
      <c r="I32" s="718"/>
      <c r="J32" s="708"/>
      <c r="K32" s="708"/>
      <c r="L32" s="1"/>
      <c r="M32" s="1"/>
      <c r="N32" s="1"/>
      <c r="O32" s="1"/>
      <c r="P32" s="1"/>
      <c r="Q32" s="1"/>
      <c r="R32" s="1"/>
      <c r="S32" s="708"/>
      <c r="T32" s="708"/>
      <c r="U32" s="708"/>
      <c r="V32" s="708"/>
      <c r="W32" s="708"/>
      <c r="X32" s="708"/>
      <c r="Y32" s="708"/>
      <c r="Z32" s="708"/>
      <c r="AA32" s="708"/>
    </row>
    <row r="33" ht="34.5" customHeight="1">
      <c r="A33" s="708"/>
      <c r="B33" s="767"/>
      <c r="C33" s="718"/>
      <c r="D33" s="718"/>
      <c r="E33" s="718"/>
      <c r="F33" s="718"/>
      <c r="G33" s="718"/>
      <c r="H33" s="718"/>
      <c r="I33" s="718"/>
      <c r="J33" s="708"/>
      <c r="K33" s="708"/>
      <c r="L33" s="1"/>
      <c r="M33" s="1"/>
      <c r="N33" s="1"/>
      <c r="O33" s="1"/>
      <c r="P33" s="1"/>
      <c r="Q33" s="1"/>
      <c r="R33" s="1"/>
      <c r="S33" s="708"/>
      <c r="T33" s="708"/>
      <c r="U33" s="708"/>
      <c r="V33" s="708"/>
      <c r="W33" s="708"/>
      <c r="X33" s="708"/>
      <c r="Y33" s="708"/>
      <c r="Z33" s="708"/>
      <c r="AA33" s="708"/>
    </row>
    <row r="34" ht="34.5" customHeight="1">
      <c r="A34" s="708"/>
      <c r="D34" s="739"/>
      <c r="E34" s="718"/>
      <c r="F34" s="718"/>
      <c r="G34" s="718"/>
      <c r="I34" s="718"/>
      <c r="J34" s="708"/>
      <c r="K34" s="708"/>
      <c r="L34" s="1"/>
      <c r="M34" s="1"/>
      <c r="N34" s="1"/>
      <c r="O34" s="1"/>
      <c r="P34" s="1"/>
      <c r="Q34" s="1"/>
      <c r="R34" s="1"/>
      <c r="S34" s="708"/>
      <c r="T34" s="708"/>
      <c r="U34" s="708"/>
      <c r="V34" s="708"/>
      <c r="W34" s="708"/>
      <c r="X34" s="708"/>
      <c r="Y34" s="708"/>
      <c r="Z34" s="708"/>
      <c r="AA34" s="708"/>
    </row>
    <row r="35" ht="15.75" customHeight="1">
      <c r="A35" s="708"/>
      <c r="D35" s="739"/>
      <c r="E35" s="718" t="s">
        <v>130</v>
      </c>
      <c r="F35" s="718"/>
      <c r="G35" s="718"/>
      <c r="I35" s="718"/>
      <c r="J35" s="708"/>
      <c r="K35" s="708"/>
      <c r="L35" s="1"/>
      <c r="M35" s="1"/>
      <c r="N35" s="1"/>
      <c r="O35" s="1"/>
      <c r="P35" s="1"/>
      <c r="Q35" s="1"/>
      <c r="R35" s="1"/>
      <c r="S35" s="708"/>
      <c r="T35" s="708"/>
      <c r="U35" s="708"/>
      <c r="V35" s="708"/>
      <c r="W35" s="708"/>
      <c r="X35" s="708"/>
      <c r="Y35" s="708"/>
      <c r="Z35" s="708"/>
      <c r="AA35" s="708"/>
    </row>
    <row r="36" ht="15.75" customHeight="1">
      <c r="A36" s="708"/>
      <c r="D36" s="739"/>
      <c r="E36" s="718"/>
      <c r="F36" s="718"/>
      <c r="G36" s="718"/>
      <c r="I36" s="718"/>
      <c r="J36" s="708"/>
      <c r="K36" s="708"/>
      <c r="L36" s="1"/>
      <c r="M36" s="1"/>
      <c r="N36" s="1"/>
      <c r="O36" s="1"/>
      <c r="P36" s="1"/>
      <c r="Q36" s="1"/>
      <c r="R36" s="1"/>
      <c r="S36" s="708"/>
      <c r="T36" s="708"/>
      <c r="U36" s="708"/>
      <c r="V36" s="708"/>
      <c r="W36" s="708"/>
      <c r="X36" s="708"/>
      <c r="Y36" s="708"/>
      <c r="Z36" s="708"/>
      <c r="AA36" s="708"/>
    </row>
    <row r="37" ht="15.75" customHeight="1">
      <c r="A37" s="708"/>
      <c r="D37" s="768"/>
      <c r="E37" s="769"/>
      <c r="F37" s="769"/>
      <c r="G37" s="769"/>
      <c r="I37" s="718"/>
      <c r="J37" s="708"/>
      <c r="K37" s="708"/>
      <c r="L37" s="1"/>
      <c r="M37" s="1"/>
      <c r="N37" s="1"/>
      <c r="O37" s="1"/>
      <c r="P37" s="1"/>
      <c r="Q37" s="1"/>
      <c r="R37" s="1"/>
      <c r="S37" s="708"/>
      <c r="T37" s="708"/>
      <c r="U37" s="708"/>
      <c r="V37" s="708"/>
      <c r="W37" s="708"/>
      <c r="X37" s="708"/>
      <c r="Y37" s="708"/>
      <c r="Z37" s="708"/>
      <c r="AA37" s="708"/>
    </row>
    <row r="38" ht="15.75" customHeight="1">
      <c r="A38" s="770"/>
      <c r="B38" s="771"/>
      <c r="C38" s="772" t="s">
        <v>80</v>
      </c>
      <c r="D38" s="772" t="s">
        <v>81</v>
      </c>
      <c r="E38" s="772" t="s">
        <v>82</v>
      </c>
      <c r="F38" s="772" t="s">
        <v>83</v>
      </c>
      <c r="G38" s="772" t="s">
        <v>84</v>
      </c>
      <c r="H38" s="773" t="s">
        <v>188</v>
      </c>
      <c r="I38" s="774"/>
      <c r="J38" s="708"/>
      <c r="K38" s="708"/>
      <c r="L38" s="1"/>
      <c r="M38" s="1"/>
      <c r="N38" s="1"/>
      <c r="O38" s="1"/>
      <c r="P38" s="1"/>
      <c r="Q38" s="1"/>
      <c r="R38" s="1"/>
      <c r="S38" s="708"/>
      <c r="T38" s="708"/>
      <c r="U38" s="708"/>
      <c r="V38" s="708"/>
      <c r="W38" s="708"/>
      <c r="X38" s="708"/>
      <c r="Y38" s="708"/>
      <c r="Z38" s="708"/>
      <c r="AA38" s="708"/>
    </row>
    <row r="39" ht="15.75" customHeight="1">
      <c r="A39" s="770"/>
      <c r="B39" s="775" t="s">
        <v>497</v>
      </c>
      <c r="C39" s="745">
        <f t="shared" ref="C39:G39" si="11">C14</f>
        <v>164532.5526</v>
      </c>
      <c r="D39" s="745">
        <f t="shared" si="11"/>
        <v>1705017.973</v>
      </c>
      <c r="E39" s="745">
        <f t="shared" si="11"/>
        <v>3331833.636</v>
      </c>
      <c r="F39" s="745">
        <f t="shared" si="11"/>
        <v>5895085.082</v>
      </c>
      <c r="G39" s="745">
        <f t="shared" si="11"/>
        <v>7178101.162</v>
      </c>
      <c r="H39" s="776">
        <f>sum(C39:G39)</f>
        <v>18274570.41</v>
      </c>
      <c r="I39" s="774"/>
      <c r="J39" s="708"/>
      <c r="K39" s="708"/>
      <c r="L39" s="765"/>
      <c r="M39" s="708"/>
      <c r="N39" s="708"/>
      <c r="O39" s="708"/>
      <c r="P39" s="708"/>
      <c r="Q39" s="708"/>
      <c r="R39" s="708"/>
      <c r="S39" s="708"/>
      <c r="T39" s="708"/>
      <c r="U39" s="708"/>
      <c r="V39" s="708"/>
      <c r="W39" s="708"/>
      <c r="X39" s="708"/>
      <c r="Y39" s="708"/>
      <c r="Z39" s="708"/>
      <c r="AA39" s="708"/>
    </row>
    <row r="40" ht="15.75" customHeight="1">
      <c r="A40" s="770"/>
      <c r="B40" s="775" t="s">
        <v>506</v>
      </c>
      <c r="C40" s="764">
        <f t="shared" ref="C40:H40" si="12">C30</f>
        <v>-2835467.447</v>
      </c>
      <c r="D40" s="764">
        <f t="shared" si="12"/>
        <v>-294982.0268</v>
      </c>
      <c r="E40" s="764">
        <f t="shared" si="12"/>
        <v>1331833.636</v>
      </c>
      <c r="F40" s="764">
        <f t="shared" si="12"/>
        <v>3895085.082</v>
      </c>
      <c r="G40" s="764">
        <f t="shared" si="12"/>
        <v>5178101.162</v>
      </c>
      <c r="H40" s="777">
        <f t="shared" si="12"/>
        <v>7274570.405</v>
      </c>
      <c r="I40" s="774"/>
      <c r="J40" s="708"/>
      <c r="K40" s="708"/>
      <c r="L40" s="708"/>
      <c r="M40" s="708"/>
      <c r="N40" s="708"/>
      <c r="O40" s="708"/>
      <c r="P40" s="708"/>
      <c r="Q40" s="708"/>
      <c r="R40" s="708"/>
      <c r="S40" s="708"/>
      <c r="T40" s="708"/>
      <c r="U40" s="708"/>
      <c r="V40" s="708"/>
      <c r="W40" s="708"/>
      <c r="X40" s="708"/>
      <c r="Y40" s="708"/>
      <c r="Z40" s="708"/>
      <c r="AA40" s="708"/>
    </row>
    <row r="41" ht="15.75" customHeight="1">
      <c r="A41" s="770"/>
      <c r="B41" s="778" t="s">
        <v>493</v>
      </c>
      <c r="C41" s="761">
        <f t="shared" ref="C41:G41" si="13">C26</f>
        <v>1000000</v>
      </c>
      <c r="D41" s="761">
        <f t="shared" si="13"/>
        <v>1500000</v>
      </c>
      <c r="E41" s="761">
        <f t="shared" si="13"/>
        <v>1500000</v>
      </c>
      <c r="F41" s="761">
        <f t="shared" si="13"/>
        <v>1500000</v>
      </c>
      <c r="G41" s="761">
        <f t="shared" si="13"/>
        <v>1500000</v>
      </c>
      <c r="H41" s="779">
        <f t="shared" ref="H41:H44" si="15">sum(C41:G41)</f>
        <v>7000000</v>
      </c>
      <c r="I41" s="774"/>
      <c r="J41" s="708"/>
      <c r="K41" s="708"/>
      <c r="L41" s="708"/>
      <c r="M41" s="708"/>
      <c r="N41" s="708"/>
      <c r="O41" s="708"/>
      <c r="P41" s="708"/>
      <c r="Q41" s="708"/>
      <c r="R41" s="708"/>
      <c r="S41" s="708"/>
      <c r="T41" s="708"/>
      <c r="U41" s="708"/>
      <c r="V41" s="708"/>
      <c r="W41" s="708"/>
      <c r="X41" s="708"/>
      <c r="Y41" s="708"/>
      <c r="Z41" s="708"/>
      <c r="AA41" s="708"/>
    </row>
    <row r="42" ht="15.75" customHeight="1">
      <c r="A42" s="770"/>
      <c r="B42" s="780" t="s">
        <v>512</v>
      </c>
      <c r="C42" s="761">
        <f t="shared" ref="C42:G42" si="14">C27</f>
        <v>2000000</v>
      </c>
      <c r="D42" s="761">
        <f t="shared" si="14"/>
        <v>500000</v>
      </c>
      <c r="E42" s="761">
        <f t="shared" si="14"/>
        <v>500000</v>
      </c>
      <c r="F42" s="761">
        <f t="shared" si="14"/>
        <v>500000</v>
      </c>
      <c r="G42" s="761">
        <f t="shared" si="14"/>
        <v>500000</v>
      </c>
      <c r="H42" s="781">
        <f t="shared" si="15"/>
        <v>4000000</v>
      </c>
      <c r="I42" s="774"/>
      <c r="J42" s="708"/>
      <c r="K42" s="708"/>
      <c r="L42" s="708"/>
      <c r="M42" s="708"/>
      <c r="N42" s="708"/>
      <c r="O42" s="708"/>
      <c r="P42" s="708"/>
      <c r="Q42" s="708"/>
      <c r="R42" s="708"/>
      <c r="S42" s="708"/>
      <c r="T42" s="708"/>
      <c r="U42" s="708"/>
      <c r="V42" s="708"/>
      <c r="W42" s="708"/>
      <c r="X42" s="708"/>
      <c r="Y42" s="708"/>
      <c r="Z42" s="708"/>
      <c r="AA42" s="708"/>
    </row>
    <row r="43" ht="15.75" customHeight="1">
      <c r="A43" s="770"/>
      <c r="B43" s="782" t="s">
        <v>509</v>
      </c>
      <c r="C43" s="764">
        <f t="shared" ref="C43:G43" si="16">C29+C40</f>
        <v>-2835467.447</v>
      </c>
      <c r="D43" s="764">
        <f t="shared" si="16"/>
        <v>-294982.0268</v>
      </c>
      <c r="E43" s="764">
        <f t="shared" si="16"/>
        <v>1331833.636</v>
      </c>
      <c r="F43" s="764">
        <f t="shared" si="16"/>
        <v>3895085.082</v>
      </c>
      <c r="G43" s="764">
        <f t="shared" si="16"/>
        <v>5178101.162</v>
      </c>
      <c r="H43" s="777">
        <f t="shared" si="15"/>
        <v>7274570.405</v>
      </c>
      <c r="I43" s="774"/>
      <c r="J43" s="708"/>
      <c r="K43" s="708"/>
      <c r="L43" s="708"/>
      <c r="M43" s="708"/>
      <c r="N43" s="708"/>
      <c r="O43" s="708"/>
      <c r="P43" s="708"/>
      <c r="Q43" s="708"/>
      <c r="R43" s="708"/>
      <c r="S43" s="708"/>
      <c r="T43" s="708"/>
      <c r="U43" s="708"/>
      <c r="V43" s="708"/>
      <c r="W43" s="708"/>
      <c r="X43" s="708"/>
      <c r="Y43" s="708"/>
      <c r="Z43" s="708"/>
      <c r="AA43" s="708"/>
    </row>
    <row r="44" ht="15.75" customHeight="1">
      <c r="A44" s="770"/>
      <c r="B44" s="783" t="s">
        <v>513</v>
      </c>
      <c r="C44" s="784">
        <f>C43/(1+$J$14)^0</f>
        <v>-2835467.447</v>
      </c>
      <c r="D44" s="784">
        <f>D43/(1+$J$14)^1</f>
        <v>-268165.4789</v>
      </c>
      <c r="E44" s="784">
        <f>E43/(1+$J$14)^2</f>
        <v>1100688.955</v>
      </c>
      <c r="F44" s="784">
        <f>F43/(1+$J$14)^3</f>
        <v>2926435.073</v>
      </c>
      <c r="G44" s="784">
        <f>G43/(1+$J$14)^4</f>
        <v>3536712.767</v>
      </c>
      <c r="H44" s="785">
        <f t="shared" si="15"/>
        <v>4460203.868</v>
      </c>
      <c r="I44" s="774"/>
      <c r="J44" s="708"/>
      <c r="K44" s="708"/>
      <c r="L44" s="708"/>
      <c r="M44" s="708"/>
      <c r="N44" s="708"/>
      <c r="O44" s="708"/>
      <c r="P44" s="708"/>
      <c r="Q44" s="708"/>
      <c r="R44" s="708"/>
      <c r="S44" s="708"/>
      <c r="T44" s="708"/>
      <c r="U44" s="708"/>
      <c r="V44" s="708"/>
      <c r="W44" s="708"/>
      <c r="X44" s="708"/>
      <c r="Y44" s="708"/>
      <c r="Z44" s="708"/>
      <c r="AA44" s="708"/>
    </row>
    <row r="45" ht="15.75" customHeight="1">
      <c r="A45" s="708"/>
      <c r="B45" s="786"/>
      <c r="C45" s="786"/>
      <c r="D45" s="786"/>
      <c r="E45" s="786"/>
      <c r="F45" s="786"/>
      <c r="G45" s="786"/>
      <c r="H45" s="786"/>
      <c r="I45" s="708"/>
      <c r="J45" s="708"/>
      <c r="K45" s="708"/>
      <c r="L45" s="708"/>
      <c r="M45" s="708"/>
      <c r="N45" s="708"/>
      <c r="O45" s="708"/>
      <c r="P45" s="708"/>
      <c r="Q45" s="708"/>
      <c r="R45" s="708"/>
      <c r="S45" s="708"/>
      <c r="T45" s="708"/>
      <c r="U45" s="708"/>
      <c r="V45" s="708"/>
      <c r="W45" s="708"/>
      <c r="X45" s="708"/>
      <c r="Y45" s="708"/>
      <c r="Z45" s="708"/>
      <c r="AA45" s="708"/>
    </row>
    <row r="46" ht="15.75" customHeight="1">
      <c r="A46" s="708"/>
      <c r="B46" s="708"/>
      <c r="C46" s="708"/>
      <c r="D46" s="708"/>
      <c r="E46" s="708"/>
      <c r="F46" s="708"/>
      <c r="G46" s="708"/>
      <c r="H46" s="708"/>
      <c r="I46" s="708"/>
      <c r="J46" s="708"/>
      <c r="K46" s="708"/>
      <c r="L46" s="708"/>
      <c r="M46" s="708"/>
      <c r="N46" s="708"/>
      <c r="O46" s="708"/>
      <c r="P46" s="708"/>
      <c r="Q46" s="708"/>
      <c r="R46" s="708"/>
      <c r="S46" s="708"/>
      <c r="T46" s="708"/>
      <c r="U46" s="708"/>
      <c r="V46" s="708"/>
      <c r="W46" s="708"/>
      <c r="X46" s="708"/>
      <c r="Y46" s="708"/>
      <c r="Z46" s="708"/>
      <c r="AA46" s="708"/>
    </row>
    <row r="47" ht="15.75" customHeight="1">
      <c r="A47" s="708"/>
      <c r="B47" s="787" t="s">
        <v>514</v>
      </c>
      <c r="C47" s="708"/>
      <c r="D47" s="708"/>
      <c r="E47" s="708"/>
      <c r="F47" s="708"/>
      <c r="G47" s="708"/>
      <c r="H47" s="708"/>
      <c r="I47" s="708"/>
      <c r="J47" s="708"/>
      <c r="K47" s="708"/>
      <c r="L47" s="708"/>
      <c r="M47" s="708"/>
      <c r="N47" s="708"/>
      <c r="O47" s="708"/>
      <c r="P47" s="708"/>
      <c r="Q47" s="708"/>
      <c r="R47" s="708"/>
      <c r="S47" s="708"/>
      <c r="T47" s="708"/>
      <c r="U47" s="708"/>
      <c r="V47" s="708"/>
      <c r="W47" s="708"/>
      <c r="X47" s="708"/>
      <c r="Y47" s="708"/>
      <c r="Z47" s="708"/>
      <c r="AA47" s="708"/>
    </row>
    <row r="48" ht="15.75" customHeight="1">
      <c r="A48" s="708"/>
      <c r="B48" s="708"/>
      <c r="C48" s="708"/>
      <c r="D48" s="708"/>
      <c r="E48" s="708"/>
      <c r="F48" s="708"/>
      <c r="G48" s="708"/>
      <c r="H48" s="708"/>
      <c r="I48" s="708"/>
      <c r="J48" s="708"/>
      <c r="K48" s="708"/>
      <c r="L48" s="708"/>
      <c r="M48" s="708"/>
      <c r="N48" s="708"/>
      <c r="O48" s="708"/>
      <c r="P48" s="708"/>
      <c r="Q48" s="708"/>
      <c r="R48" s="708"/>
      <c r="S48" s="708"/>
      <c r="T48" s="708"/>
      <c r="U48" s="708"/>
      <c r="V48" s="708"/>
      <c r="W48" s="708"/>
      <c r="X48" s="708"/>
      <c r="Y48" s="708"/>
      <c r="Z48" s="708"/>
      <c r="AA48" s="708"/>
    </row>
    <row r="49" ht="15.75" customHeight="1">
      <c r="A49" s="708"/>
      <c r="B49" s="771"/>
      <c r="C49" s="772" t="s">
        <v>80</v>
      </c>
      <c r="D49" s="772" t="s">
        <v>81</v>
      </c>
      <c r="E49" s="772" t="s">
        <v>82</v>
      </c>
      <c r="F49" s="772" t="s">
        <v>83</v>
      </c>
      <c r="G49" s="772" t="s">
        <v>84</v>
      </c>
      <c r="H49" s="773" t="s">
        <v>188</v>
      </c>
      <c r="I49" s="708"/>
      <c r="J49" s="708"/>
      <c r="K49" s="708"/>
      <c r="L49" s="708"/>
      <c r="M49" s="708"/>
      <c r="N49" s="708"/>
      <c r="O49" s="708"/>
      <c r="P49" s="708"/>
      <c r="Q49" s="708"/>
      <c r="R49" s="708"/>
      <c r="S49" s="708"/>
      <c r="T49" s="708"/>
      <c r="U49" s="708"/>
      <c r="V49" s="708"/>
      <c r="W49" s="708"/>
      <c r="X49" s="708"/>
      <c r="Y49" s="708"/>
      <c r="Z49" s="708"/>
      <c r="AA49" s="708"/>
    </row>
    <row r="50" ht="15.75" customHeight="1">
      <c r="A50" s="708"/>
      <c r="B50" s="778" t="s">
        <v>515</v>
      </c>
      <c r="C50" s="761">
        <f t="shared" ref="C50:G50" si="17">C39</f>
        <v>164532.5526</v>
      </c>
      <c r="D50" s="761">
        <f t="shared" si="17"/>
        <v>1705017.973</v>
      </c>
      <c r="E50" s="761">
        <f t="shared" si="17"/>
        <v>3331833.636</v>
      </c>
      <c r="F50" s="761">
        <f t="shared" si="17"/>
        <v>5895085.082</v>
      </c>
      <c r="G50" s="761">
        <f t="shared" si="17"/>
        <v>7178101.162</v>
      </c>
      <c r="H50" s="779">
        <f t="shared" ref="H50:H57" si="19">sum(C50:G50)</f>
        <v>18274570.41</v>
      </c>
      <c r="I50" s="708"/>
      <c r="J50" s="708"/>
      <c r="K50" s="788"/>
      <c r="L50" s="789"/>
      <c r="M50" s="790"/>
      <c r="N50" s="708"/>
      <c r="O50" s="708"/>
      <c r="P50" s="708"/>
      <c r="Q50" s="708"/>
      <c r="R50" s="708"/>
      <c r="S50" s="708"/>
      <c r="T50" s="708"/>
      <c r="U50" s="708"/>
      <c r="V50" s="708"/>
      <c r="W50" s="708"/>
      <c r="X50" s="708"/>
      <c r="Y50" s="708"/>
      <c r="Z50" s="708"/>
      <c r="AA50" s="708"/>
    </row>
    <row r="51" ht="15.75" customHeight="1">
      <c r="A51" s="708"/>
      <c r="B51" s="791" t="s">
        <v>516</v>
      </c>
      <c r="C51" s="792">
        <f t="shared" ref="C51:G51" si="18">C63</f>
        <v>0</v>
      </c>
      <c r="D51" s="792" t="str">
        <f t="shared" si="18"/>
        <v/>
      </c>
      <c r="E51" s="792" t="str">
        <f t="shared" si="18"/>
        <v/>
      </c>
      <c r="F51" s="792" t="str">
        <f t="shared" si="18"/>
        <v/>
      </c>
      <c r="G51" s="792" t="str">
        <f t="shared" si="18"/>
        <v/>
      </c>
      <c r="H51" s="793">
        <f t="shared" si="19"/>
        <v>0</v>
      </c>
      <c r="I51" s="708"/>
      <c r="J51" s="708"/>
      <c r="K51" s="794" t="s">
        <v>486</v>
      </c>
      <c r="L51" s="795">
        <f>H52+H53</f>
        <v>29274570.41</v>
      </c>
      <c r="M51" s="796">
        <f>L51/H53</f>
        <v>2.661324582</v>
      </c>
      <c r="N51" s="708"/>
      <c r="O51" s="708"/>
      <c r="P51" s="708"/>
      <c r="Q51" s="708"/>
      <c r="R51" s="708"/>
      <c r="S51" s="708"/>
      <c r="T51" s="708"/>
      <c r="U51" s="708"/>
      <c r="V51" s="708"/>
      <c r="W51" s="708"/>
      <c r="X51" s="708"/>
      <c r="Y51" s="708"/>
      <c r="Z51" s="708"/>
      <c r="AA51" s="708"/>
    </row>
    <row r="52" ht="15.75" customHeight="1">
      <c r="A52" s="708"/>
      <c r="B52" s="782" t="s">
        <v>517</v>
      </c>
      <c r="C52" s="797">
        <f t="shared" ref="C52:G52" si="20">C50+C51</f>
        <v>164532.5526</v>
      </c>
      <c r="D52" s="797">
        <f t="shared" si="20"/>
        <v>1705017.973</v>
      </c>
      <c r="E52" s="797">
        <f t="shared" si="20"/>
        <v>3331833.636</v>
      </c>
      <c r="F52" s="797">
        <f t="shared" si="20"/>
        <v>5895085.082</v>
      </c>
      <c r="G52" s="797">
        <f t="shared" si="20"/>
        <v>7178101.162</v>
      </c>
      <c r="H52" s="777">
        <f t="shared" si="19"/>
        <v>18274570.41</v>
      </c>
      <c r="I52" s="708"/>
      <c r="J52" s="708"/>
      <c r="K52" s="794"/>
      <c r="L52" s="798"/>
      <c r="M52" s="799"/>
      <c r="N52" s="708"/>
      <c r="O52" s="708"/>
      <c r="P52" s="708"/>
      <c r="Q52" s="708"/>
      <c r="R52" s="708"/>
      <c r="S52" s="708"/>
      <c r="T52" s="708"/>
      <c r="U52" s="708"/>
      <c r="V52" s="708"/>
      <c r="W52" s="708"/>
      <c r="X52" s="708"/>
      <c r="Y52" s="708"/>
      <c r="Z52" s="708"/>
      <c r="AA52" s="708"/>
    </row>
    <row r="53" ht="15.75" customHeight="1">
      <c r="A53" s="708"/>
      <c r="B53" s="775" t="s">
        <v>506</v>
      </c>
      <c r="C53" s="764">
        <f t="shared" ref="C53:G53" si="21">C54+C55</f>
        <v>3000000</v>
      </c>
      <c r="D53" s="764">
        <f t="shared" si="21"/>
        <v>2000000</v>
      </c>
      <c r="E53" s="764">
        <f t="shared" si="21"/>
        <v>2000000</v>
      </c>
      <c r="F53" s="764">
        <f t="shared" si="21"/>
        <v>2000000</v>
      </c>
      <c r="G53" s="764">
        <f t="shared" si="21"/>
        <v>2000000</v>
      </c>
      <c r="H53" s="777">
        <f t="shared" si="19"/>
        <v>11000000</v>
      </c>
      <c r="I53" s="708"/>
      <c r="J53" s="708"/>
      <c r="K53" s="794"/>
      <c r="L53" s="800"/>
      <c r="M53" s="801"/>
      <c r="N53" s="708"/>
      <c r="O53" s="708"/>
      <c r="P53" s="708"/>
      <c r="Q53" s="708"/>
      <c r="R53" s="708"/>
      <c r="S53" s="708"/>
      <c r="T53" s="708"/>
      <c r="U53" s="708"/>
      <c r="V53" s="708"/>
      <c r="W53" s="708"/>
      <c r="X53" s="708"/>
      <c r="Y53" s="708"/>
      <c r="Z53" s="708"/>
      <c r="AA53" s="708"/>
    </row>
    <row r="54" ht="15.75" customHeight="1">
      <c r="A54" s="708"/>
      <c r="B54" s="778" t="s">
        <v>493</v>
      </c>
      <c r="C54" s="761">
        <f t="shared" ref="C54:G54" si="22">C41+C65</f>
        <v>1000000</v>
      </c>
      <c r="D54" s="761">
        <f t="shared" si="22"/>
        <v>1500000</v>
      </c>
      <c r="E54" s="761">
        <f t="shared" si="22"/>
        <v>1500000</v>
      </c>
      <c r="F54" s="761">
        <f t="shared" si="22"/>
        <v>1500000</v>
      </c>
      <c r="G54" s="761">
        <f t="shared" si="22"/>
        <v>1500000</v>
      </c>
      <c r="H54" s="779">
        <f t="shared" si="19"/>
        <v>7000000</v>
      </c>
      <c r="I54" s="708"/>
      <c r="J54" s="708"/>
      <c r="K54" s="708"/>
      <c r="L54" s="708"/>
      <c r="M54" s="708"/>
      <c r="N54" s="708"/>
      <c r="O54" s="708"/>
      <c r="P54" s="708"/>
      <c r="Q54" s="708"/>
      <c r="R54" s="708"/>
      <c r="S54" s="708"/>
      <c r="T54" s="708"/>
      <c r="U54" s="708"/>
      <c r="V54" s="708"/>
      <c r="W54" s="708"/>
      <c r="X54" s="708"/>
      <c r="Y54" s="708"/>
      <c r="Z54" s="708"/>
      <c r="AA54" s="708"/>
    </row>
    <row r="55" ht="15.75" customHeight="1">
      <c r="A55" s="708"/>
      <c r="B55" s="780" t="s">
        <v>512</v>
      </c>
      <c r="C55" s="761">
        <f t="shared" ref="C55:G55" si="23">C42+C66</f>
        <v>2000000</v>
      </c>
      <c r="D55" s="761">
        <f t="shared" si="23"/>
        <v>500000</v>
      </c>
      <c r="E55" s="761">
        <f t="shared" si="23"/>
        <v>500000</v>
      </c>
      <c r="F55" s="761">
        <f t="shared" si="23"/>
        <v>500000</v>
      </c>
      <c r="G55" s="761">
        <f t="shared" si="23"/>
        <v>500000</v>
      </c>
      <c r="H55" s="779">
        <f t="shared" si="19"/>
        <v>4000000</v>
      </c>
      <c r="I55" s="708"/>
      <c r="J55" s="708"/>
      <c r="K55" s="708"/>
      <c r="L55" s="708"/>
      <c r="M55" s="708"/>
      <c r="N55" s="708"/>
      <c r="O55" s="708"/>
      <c r="P55" s="708"/>
      <c r="Q55" s="708"/>
      <c r="R55" s="708"/>
      <c r="S55" s="708"/>
      <c r="T55" s="708"/>
      <c r="U55" s="708"/>
      <c r="V55" s="708"/>
      <c r="W55" s="708"/>
      <c r="X55" s="708"/>
      <c r="Y55" s="708"/>
      <c r="Z55" s="708"/>
      <c r="AA55" s="708"/>
    </row>
    <row r="56" ht="15.75" customHeight="1">
      <c r="A56" s="708"/>
      <c r="B56" s="782" t="s">
        <v>509</v>
      </c>
      <c r="C56" s="764">
        <f t="shared" ref="C56:G56" si="24">C52+C53</f>
        <v>3164532.553</v>
      </c>
      <c r="D56" s="764">
        <f t="shared" si="24"/>
        <v>3705017.973</v>
      </c>
      <c r="E56" s="764">
        <f t="shared" si="24"/>
        <v>5331833.636</v>
      </c>
      <c r="F56" s="764">
        <f t="shared" si="24"/>
        <v>7895085.082</v>
      </c>
      <c r="G56" s="764">
        <f t="shared" si="24"/>
        <v>9178101.162</v>
      </c>
      <c r="H56" s="777">
        <f t="shared" si="19"/>
        <v>29274570.41</v>
      </c>
      <c r="I56" s="708"/>
      <c r="J56" s="708"/>
      <c r="K56" s="708"/>
      <c r="L56" s="708"/>
      <c r="M56" s="708"/>
      <c r="N56" s="708"/>
      <c r="O56" s="708"/>
      <c r="P56" s="708"/>
      <c r="Q56" s="708"/>
      <c r="R56" s="708"/>
      <c r="S56" s="708"/>
      <c r="T56" s="708"/>
      <c r="U56" s="708"/>
      <c r="V56" s="708"/>
      <c r="W56" s="708"/>
      <c r="X56" s="708"/>
      <c r="Y56" s="708"/>
      <c r="Z56" s="708"/>
      <c r="AA56" s="708"/>
    </row>
    <row r="57" ht="15.75" customHeight="1">
      <c r="A57" s="708"/>
      <c r="B57" s="783" t="s">
        <v>513</v>
      </c>
      <c r="C57" s="784">
        <f>C56/(1+$J$14)^0</f>
        <v>3164532.553</v>
      </c>
      <c r="D57" s="784">
        <f>D56/(1+$J$14)^1</f>
        <v>3368198.157</v>
      </c>
      <c r="E57" s="784">
        <f>E56/(1+$J$14)^2</f>
        <v>4406474.079</v>
      </c>
      <c r="F57" s="784">
        <f>F56/(1+$J$14)^3</f>
        <v>5931694.276</v>
      </c>
      <c r="G57" s="784">
        <f>G56/(1+$J$14)^4</f>
        <v>6268766.588</v>
      </c>
      <c r="H57" s="785">
        <f t="shared" si="19"/>
        <v>23139665.65</v>
      </c>
      <c r="I57" s="708"/>
      <c r="J57" s="708"/>
      <c r="K57" s="708"/>
      <c r="L57" s="708"/>
      <c r="M57" s="708"/>
      <c r="N57" s="708"/>
      <c r="O57" s="708"/>
      <c r="P57" s="708"/>
      <c r="Q57" s="708"/>
      <c r="R57" s="708"/>
      <c r="S57" s="708"/>
      <c r="T57" s="708"/>
      <c r="U57" s="708"/>
      <c r="V57" s="708"/>
      <c r="W57" s="708"/>
      <c r="X57" s="708"/>
      <c r="Y57" s="708"/>
      <c r="Z57" s="708"/>
      <c r="AA57" s="708"/>
    </row>
    <row r="58" ht="15.75" customHeight="1">
      <c r="A58" s="708"/>
      <c r="B58" s="708"/>
      <c r="C58" s="708"/>
      <c r="D58" s="708"/>
      <c r="E58" s="708"/>
      <c r="F58" s="708"/>
      <c r="G58" s="708"/>
      <c r="H58" s="708"/>
      <c r="I58" s="708"/>
      <c r="J58" s="708"/>
      <c r="K58" s="708"/>
      <c r="L58" s="708"/>
      <c r="M58" s="708"/>
      <c r="N58" s="708"/>
      <c r="O58" s="708"/>
      <c r="P58" s="708"/>
      <c r="Q58" s="708"/>
      <c r="R58" s="708"/>
      <c r="S58" s="708"/>
      <c r="T58" s="708"/>
      <c r="U58" s="708"/>
      <c r="V58" s="708"/>
      <c r="W58" s="708"/>
      <c r="X58" s="708"/>
      <c r="Y58" s="708"/>
      <c r="Z58" s="708"/>
      <c r="AA58" s="708"/>
    </row>
    <row r="59" ht="15.75" customHeight="1">
      <c r="A59" s="708"/>
      <c r="B59" s="708"/>
      <c r="C59" s="708"/>
      <c r="D59" s="708"/>
      <c r="E59" s="708"/>
      <c r="F59" s="708"/>
      <c r="G59" s="708"/>
      <c r="H59" s="708"/>
      <c r="I59" s="708"/>
      <c r="J59" s="708"/>
      <c r="K59" s="708"/>
      <c r="L59" s="708"/>
      <c r="M59" s="708"/>
      <c r="N59" s="708"/>
      <c r="O59" s="708"/>
      <c r="P59" s="708"/>
      <c r="Q59" s="708"/>
      <c r="R59" s="708"/>
      <c r="S59" s="708"/>
      <c r="T59" s="708"/>
      <c r="U59" s="708"/>
      <c r="V59" s="708"/>
      <c r="W59" s="708"/>
      <c r="X59" s="708"/>
      <c r="Y59" s="708"/>
      <c r="Z59" s="708"/>
      <c r="AA59" s="708"/>
    </row>
    <row r="60" ht="15.75" customHeight="1">
      <c r="A60" s="708"/>
      <c r="B60" s="802"/>
      <c r="C60" s="802"/>
      <c r="D60" s="802"/>
      <c r="E60" s="802"/>
      <c r="F60" s="802"/>
      <c r="G60" s="802"/>
      <c r="H60" s="802"/>
      <c r="I60" s="708"/>
      <c r="J60" s="708"/>
      <c r="K60" s="708"/>
      <c r="L60" s="708"/>
      <c r="M60" s="708"/>
      <c r="N60" s="708"/>
      <c r="O60" s="708"/>
      <c r="P60" s="708"/>
      <c r="Q60" s="708"/>
      <c r="R60" s="708"/>
      <c r="S60" s="708"/>
      <c r="T60" s="708"/>
      <c r="U60" s="708"/>
      <c r="V60" s="708"/>
      <c r="W60" s="708"/>
      <c r="X60" s="708"/>
      <c r="Y60" s="708"/>
      <c r="Z60" s="708"/>
      <c r="AA60" s="708"/>
    </row>
    <row r="61" ht="15.75" customHeight="1">
      <c r="A61" s="770"/>
      <c r="B61" s="803" t="s">
        <v>518</v>
      </c>
      <c r="C61" s="804"/>
      <c r="D61" s="804"/>
      <c r="E61" s="804"/>
      <c r="F61" s="804"/>
      <c r="G61" s="804"/>
      <c r="H61" s="804"/>
      <c r="I61" s="774"/>
      <c r="J61" s="708"/>
      <c r="K61" s="708"/>
      <c r="L61" s="708"/>
      <c r="M61" s="708"/>
      <c r="N61" s="708"/>
      <c r="O61" s="708"/>
      <c r="P61" s="708"/>
      <c r="Q61" s="708"/>
      <c r="R61" s="708"/>
      <c r="S61" s="708"/>
      <c r="T61" s="708"/>
      <c r="U61" s="708"/>
      <c r="V61" s="708"/>
      <c r="W61" s="708"/>
      <c r="X61" s="708"/>
      <c r="Y61" s="708"/>
      <c r="Z61" s="708"/>
      <c r="AA61" s="708"/>
    </row>
    <row r="62" ht="15.75" customHeight="1">
      <c r="A62" s="770"/>
      <c r="B62" s="805"/>
      <c r="C62" s="806" t="s">
        <v>80</v>
      </c>
      <c r="D62" s="806" t="s">
        <v>81</v>
      </c>
      <c r="E62" s="806" t="s">
        <v>82</v>
      </c>
      <c r="F62" s="806" t="s">
        <v>83</v>
      </c>
      <c r="G62" s="806" t="s">
        <v>84</v>
      </c>
      <c r="H62" s="807" t="s">
        <v>188</v>
      </c>
      <c r="I62" s="774"/>
      <c r="J62" s="708"/>
      <c r="K62" s="708"/>
      <c r="L62" s="708"/>
      <c r="M62" s="708"/>
      <c r="N62" s="708"/>
      <c r="O62" s="708"/>
      <c r="P62" s="708"/>
      <c r="Q62" s="708"/>
      <c r="R62" s="708"/>
      <c r="S62" s="708"/>
      <c r="T62" s="708"/>
      <c r="U62" s="708"/>
      <c r="V62" s="708"/>
      <c r="W62" s="708"/>
      <c r="X62" s="708"/>
      <c r="Y62" s="708"/>
      <c r="Z62" s="708"/>
      <c r="AA62" s="708"/>
    </row>
    <row r="63" ht="15.75" customHeight="1">
      <c r="A63" s="770"/>
      <c r="B63" s="808" t="s">
        <v>497</v>
      </c>
      <c r="C63" s="792">
        <v>0.0</v>
      </c>
      <c r="D63" s="792"/>
      <c r="E63" s="792"/>
      <c r="F63" s="792"/>
      <c r="G63" s="792"/>
      <c r="H63" s="809"/>
      <c r="I63" s="774"/>
      <c r="J63" s="708"/>
      <c r="K63" s="708"/>
      <c r="L63" s="708"/>
      <c r="M63" s="708"/>
      <c r="N63" s="708"/>
      <c r="O63" s="708"/>
      <c r="P63" s="708"/>
      <c r="Q63" s="708"/>
      <c r="R63" s="708"/>
      <c r="S63" s="708"/>
      <c r="T63" s="708"/>
      <c r="U63" s="708"/>
      <c r="V63" s="708"/>
      <c r="W63" s="708"/>
      <c r="X63" s="708"/>
      <c r="Y63" s="708"/>
      <c r="Z63" s="708"/>
      <c r="AA63" s="708"/>
    </row>
    <row r="64" ht="15.75" customHeight="1">
      <c r="A64" s="770"/>
      <c r="B64" s="808" t="s">
        <v>506</v>
      </c>
      <c r="C64" s="792">
        <v>0.0</v>
      </c>
      <c r="D64" s="792"/>
      <c r="E64" s="792"/>
      <c r="F64" s="792"/>
      <c r="G64" s="792"/>
      <c r="H64" s="809"/>
      <c r="I64" s="774"/>
      <c r="J64" s="708"/>
      <c r="K64" s="708"/>
      <c r="L64" s="708"/>
      <c r="M64" s="708"/>
      <c r="N64" s="708"/>
      <c r="O64" s="708"/>
      <c r="P64" s="708"/>
      <c r="Q64" s="708"/>
      <c r="R64" s="708"/>
      <c r="S64" s="708"/>
      <c r="T64" s="708"/>
      <c r="U64" s="708"/>
      <c r="V64" s="708"/>
      <c r="W64" s="708"/>
      <c r="X64" s="708"/>
      <c r="Y64" s="708"/>
      <c r="Z64" s="708"/>
      <c r="AA64" s="708"/>
    </row>
    <row r="65" ht="15.75" customHeight="1">
      <c r="A65" s="770"/>
      <c r="B65" s="810" t="s">
        <v>493</v>
      </c>
      <c r="C65" s="811"/>
      <c r="D65" s="811"/>
      <c r="E65" s="811"/>
      <c r="F65" s="811"/>
      <c r="G65" s="811"/>
      <c r="H65" s="809"/>
      <c r="I65" s="774"/>
      <c r="J65" s="708"/>
      <c r="K65" s="708"/>
      <c r="L65" s="708"/>
      <c r="M65" s="708"/>
      <c r="N65" s="708"/>
      <c r="O65" s="708"/>
      <c r="P65" s="708"/>
      <c r="Q65" s="708"/>
      <c r="R65" s="708"/>
      <c r="S65" s="708"/>
      <c r="T65" s="708"/>
      <c r="U65" s="708"/>
      <c r="V65" s="708"/>
      <c r="W65" s="708"/>
      <c r="X65" s="708"/>
      <c r="Y65" s="708"/>
      <c r="Z65" s="708"/>
      <c r="AA65" s="708"/>
    </row>
    <row r="66" ht="15.75" customHeight="1">
      <c r="A66" s="770"/>
      <c r="B66" s="810" t="s">
        <v>512</v>
      </c>
      <c r="C66" s="811"/>
      <c r="D66" s="811"/>
      <c r="E66" s="811"/>
      <c r="F66" s="811"/>
      <c r="G66" s="811"/>
      <c r="H66" s="809"/>
      <c r="I66" s="774"/>
      <c r="J66" s="708"/>
      <c r="K66" s="708"/>
      <c r="L66" s="708"/>
      <c r="M66" s="708"/>
      <c r="N66" s="708"/>
      <c r="O66" s="708"/>
      <c r="P66" s="708"/>
      <c r="Q66" s="708"/>
      <c r="R66" s="708"/>
      <c r="S66" s="708"/>
      <c r="T66" s="708"/>
      <c r="U66" s="708"/>
      <c r="V66" s="708"/>
      <c r="W66" s="708"/>
      <c r="X66" s="708"/>
      <c r="Y66" s="708"/>
      <c r="Z66" s="708"/>
      <c r="AA66" s="708"/>
    </row>
    <row r="67" ht="15.75" customHeight="1">
      <c r="A67" s="770"/>
      <c r="B67" s="808" t="s">
        <v>519</v>
      </c>
      <c r="C67" s="792">
        <v>0.0</v>
      </c>
      <c r="D67" s="792"/>
      <c r="E67" s="792"/>
      <c r="F67" s="792"/>
      <c r="G67" s="792"/>
      <c r="H67" s="809"/>
      <c r="I67" s="774"/>
      <c r="J67" s="708"/>
      <c r="K67" s="708"/>
      <c r="L67" s="708"/>
      <c r="M67" s="708"/>
      <c r="N67" s="708"/>
      <c r="O67" s="708"/>
      <c r="P67" s="708"/>
      <c r="Q67" s="708"/>
      <c r="R67" s="708"/>
      <c r="S67" s="708"/>
      <c r="T67" s="708"/>
      <c r="U67" s="708"/>
      <c r="V67" s="708"/>
      <c r="W67" s="708"/>
      <c r="X67" s="708"/>
      <c r="Y67" s="708"/>
      <c r="Z67" s="708"/>
      <c r="AA67" s="708"/>
    </row>
    <row r="68" ht="15.75" customHeight="1">
      <c r="A68" s="770"/>
      <c r="B68" s="812" t="s">
        <v>513</v>
      </c>
      <c r="C68" s="792">
        <v>0.0</v>
      </c>
      <c r="D68" s="792"/>
      <c r="E68" s="792"/>
      <c r="F68" s="792"/>
      <c r="G68" s="792"/>
      <c r="H68" s="809"/>
      <c r="I68" s="774"/>
      <c r="J68" s="708"/>
      <c r="K68" s="708"/>
      <c r="L68" s="708"/>
      <c r="M68" s="708"/>
      <c r="N68" s="708"/>
      <c r="O68" s="708"/>
      <c r="P68" s="708"/>
      <c r="Q68" s="708"/>
      <c r="R68" s="708"/>
      <c r="S68" s="708"/>
      <c r="T68" s="708"/>
      <c r="U68" s="708"/>
      <c r="V68" s="708"/>
      <c r="W68" s="708"/>
      <c r="X68" s="708"/>
      <c r="Y68" s="708"/>
      <c r="Z68" s="708"/>
      <c r="AA68" s="708"/>
    </row>
    <row r="69" ht="15.75" customHeight="1">
      <c r="A69" s="708"/>
      <c r="B69" s="786"/>
      <c r="C69" s="786"/>
      <c r="D69" s="786"/>
      <c r="E69" s="786"/>
      <c r="F69" s="786"/>
      <c r="G69" s="786"/>
      <c r="H69" s="786"/>
      <c r="I69" s="708"/>
      <c r="J69" s="708"/>
      <c r="K69" s="708"/>
      <c r="L69" s="708"/>
      <c r="M69" s="708"/>
      <c r="N69" s="708"/>
      <c r="O69" s="708"/>
      <c r="P69" s="708"/>
      <c r="Q69" s="708"/>
      <c r="R69" s="708"/>
      <c r="S69" s="708"/>
      <c r="T69" s="708"/>
      <c r="U69" s="708"/>
      <c r="V69" s="708"/>
      <c r="W69" s="708"/>
      <c r="X69" s="708"/>
      <c r="Y69" s="708"/>
      <c r="Z69" s="708"/>
      <c r="AA69" s="708"/>
    </row>
    <row r="70" ht="15.75" customHeight="1">
      <c r="A70" s="708"/>
      <c r="B70" s="708"/>
      <c r="C70" s="708"/>
      <c r="D70" s="708"/>
      <c r="E70" s="708"/>
      <c r="F70" s="708"/>
      <c r="G70" s="708"/>
      <c r="H70" s="708"/>
      <c r="I70" s="708"/>
      <c r="J70" s="708"/>
      <c r="K70" s="708"/>
      <c r="L70" s="708"/>
      <c r="M70" s="708"/>
      <c r="N70" s="708"/>
      <c r="O70" s="708"/>
      <c r="P70" s="708"/>
      <c r="Q70" s="708"/>
      <c r="R70" s="708"/>
      <c r="S70" s="708"/>
      <c r="T70" s="708"/>
      <c r="U70" s="708"/>
      <c r="V70" s="708"/>
      <c r="W70" s="708"/>
      <c r="X70" s="708"/>
      <c r="Y70" s="708"/>
      <c r="Z70" s="708"/>
      <c r="AA70" s="708"/>
    </row>
    <row r="71" ht="15.75" customHeight="1">
      <c r="A71" s="708"/>
      <c r="B71" s="708"/>
      <c r="C71" s="708"/>
      <c r="D71" s="708"/>
      <c r="E71" s="708"/>
      <c r="F71" s="708"/>
      <c r="G71" s="708"/>
      <c r="H71" s="708"/>
      <c r="I71" s="708"/>
      <c r="J71" s="708"/>
      <c r="K71" s="708"/>
      <c r="L71" s="708"/>
      <c r="M71" s="708"/>
      <c r="N71" s="708"/>
      <c r="O71" s="708"/>
      <c r="P71" s="708"/>
      <c r="Q71" s="708"/>
      <c r="R71" s="708"/>
      <c r="S71" s="708"/>
      <c r="T71" s="708"/>
      <c r="U71" s="708"/>
      <c r="V71" s="708"/>
      <c r="W71" s="708"/>
      <c r="X71" s="708"/>
      <c r="Y71" s="708"/>
      <c r="Z71" s="708"/>
      <c r="AA71" s="708"/>
    </row>
    <row r="72" ht="15.75" customHeight="1">
      <c r="A72" s="708"/>
      <c r="B72" s="708"/>
      <c r="C72" s="708"/>
      <c r="D72" s="708"/>
      <c r="E72" s="708"/>
      <c r="F72" s="708"/>
      <c r="G72" s="708"/>
      <c r="H72" s="708"/>
      <c r="I72" s="708"/>
      <c r="J72" s="708"/>
      <c r="K72" s="708"/>
      <c r="L72" s="708"/>
      <c r="M72" s="708"/>
      <c r="N72" s="708"/>
      <c r="O72" s="708"/>
      <c r="P72" s="708"/>
      <c r="Q72" s="708"/>
      <c r="R72" s="708"/>
      <c r="S72" s="708"/>
      <c r="T72" s="708"/>
      <c r="U72" s="708"/>
      <c r="V72" s="708"/>
      <c r="W72" s="708"/>
      <c r="X72" s="708"/>
      <c r="Y72" s="708"/>
      <c r="Z72" s="708"/>
      <c r="AA72" s="708"/>
    </row>
    <row r="73" ht="15.75" customHeight="1">
      <c r="A73" s="708"/>
      <c r="B73" s="708"/>
      <c r="C73" s="708"/>
      <c r="D73" s="708"/>
      <c r="E73" s="708"/>
      <c r="F73" s="708"/>
      <c r="G73" s="708"/>
      <c r="H73" s="708"/>
      <c r="I73" s="708"/>
      <c r="J73" s="708"/>
      <c r="K73" s="708"/>
      <c r="L73" s="708"/>
      <c r="M73" s="708"/>
      <c r="N73" s="708"/>
      <c r="O73" s="708"/>
      <c r="P73" s="708"/>
      <c r="Q73" s="708"/>
      <c r="R73" s="708"/>
      <c r="S73" s="708"/>
      <c r="T73" s="708"/>
      <c r="U73" s="708"/>
      <c r="V73" s="708"/>
      <c r="W73" s="708"/>
      <c r="X73" s="708"/>
      <c r="Y73" s="708"/>
      <c r="Z73" s="708"/>
      <c r="AA73" s="708"/>
    </row>
    <row r="74" ht="15.75" customHeight="1">
      <c r="A74" s="708"/>
      <c r="B74" s="708"/>
      <c r="C74" s="708"/>
      <c r="D74" s="708"/>
      <c r="E74" s="708"/>
      <c r="F74" s="708"/>
      <c r="G74" s="708"/>
      <c r="H74" s="708"/>
      <c r="I74" s="708"/>
      <c r="J74" s="708"/>
      <c r="K74" s="708"/>
      <c r="L74" s="708"/>
      <c r="M74" s="708"/>
      <c r="N74" s="708"/>
      <c r="O74" s="708"/>
      <c r="P74" s="708"/>
      <c r="Q74" s="708"/>
      <c r="R74" s="708"/>
      <c r="S74" s="708"/>
      <c r="T74" s="708"/>
      <c r="U74" s="708"/>
      <c r="V74" s="708"/>
      <c r="W74" s="708"/>
      <c r="X74" s="708"/>
      <c r="Y74" s="708"/>
      <c r="Z74" s="708"/>
      <c r="AA74" s="708"/>
    </row>
    <row r="75" ht="15.75" customHeight="1">
      <c r="A75" s="708"/>
      <c r="B75" s="708"/>
      <c r="C75" s="708"/>
      <c r="D75" s="708"/>
      <c r="E75" s="708"/>
      <c r="F75" s="708"/>
      <c r="G75" s="708"/>
      <c r="H75" s="708"/>
      <c r="I75" s="708"/>
      <c r="J75" s="708"/>
      <c r="K75" s="708"/>
      <c r="L75" s="708"/>
      <c r="M75" s="708"/>
      <c r="N75" s="708"/>
      <c r="O75" s="708"/>
      <c r="P75" s="708"/>
      <c r="Q75" s="708"/>
      <c r="R75" s="708"/>
      <c r="S75" s="708"/>
      <c r="T75" s="708"/>
      <c r="U75" s="708"/>
      <c r="V75" s="708"/>
      <c r="W75" s="708"/>
      <c r="X75" s="708"/>
      <c r="Y75" s="708"/>
      <c r="Z75" s="708"/>
      <c r="AA75" s="708"/>
    </row>
    <row r="76" ht="15.75" customHeight="1">
      <c r="A76" s="708"/>
      <c r="B76" s="708"/>
      <c r="C76" s="708"/>
      <c r="D76" s="708"/>
      <c r="E76" s="708"/>
      <c r="F76" s="708"/>
      <c r="G76" s="708"/>
      <c r="H76" s="708"/>
      <c r="I76" s="708"/>
      <c r="J76" s="708"/>
      <c r="K76" s="708"/>
      <c r="L76" s="708"/>
      <c r="M76" s="708"/>
      <c r="N76" s="708"/>
      <c r="O76" s="708"/>
      <c r="P76" s="708"/>
      <c r="Q76" s="708"/>
      <c r="R76" s="708"/>
      <c r="S76" s="708"/>
      <c r="T76" s="708"/>
      <c r="U76" s="708"/>
      <c r="V76" s="708"/>
      <c r="W76" s="708"/>
      <c r="X76" s="708"/>
      <c r="Y76" s="708"/>
      <c r="Z76" s="708"/>
      <c r="AA76" s="708"/>
    </row>
    <row r="77" ht="15.75" customHeight="1">
      <c r="A77" s="708"/>
      <c r="B77" s="708"/>
      <c r="C77" s="708"/>
      <c r="D77" s="708"/>
      <c r="E77" s="708"/>
      <c r="F77" s="708"/>
      <c r="G77" s="708"/>
      <c r="H77" s="708"/>
      <c r="I77" s="708"/>
      <c r="J77" s="708"/>
      <c r="K77" s="708"/>
      <c r="L77" s="708"/>
      <c r="M77" s="708"/>
      <c r="N77" s="708"/>
      <c r="O77" s="708"/>
      <c r="P77" s="708"/>
      <c r="Q77" s="708"/>
      <c r="R77" s="708"/>
      <c r="S77" s="708"/>
      <c r="T77" s="708"/>
      <c r="U77" s="708"/>
      <c r="V77" s="708"/>
      <c r="W77" s="708"/>
      <c r="X77" s="708"/>
      <c r="Y77" s="708"/>
      <c r="Z77" s="708"/>
      <c r="AA77" s="708"/>
    </row>
    <row r="78" ht="15.75" customHeight="1">
      <c r="A78" s="708"/>
      <c r="B78" s="708"/>
      <c r="C78" s="708"/>
      <c r="D78" s="708"/>
      <c r="E78" s="708"/>
      <c r="F78" s="708"/>
      <c r="G78" s="708"/>
      <c r="H78" s="708"/>
      <c r="I78" s="708"/>
      <c r="J78" s="708"/>
      <c r="K78" s="708"/>
      <c r="L78" s="708"/>
      <c r="M78" s="708"/>
      <c r="N78" s="708"/>
      <c r="O78" s="708"/>
      <c r="P78" s="708"/>
      <c r="Q78" s="708"/>
      <c r="R78" s="708"/>
      <c r="S78" s="708"/>
      <c r="T78" s="708"/>
      <c r="U78" s="708"/>
      <c r="V78" s="708"/>
      <c r="W78" s="708"/>
      <c r="X78" s="708"/>
      <c r="Y78" s="708"/>
      <c r="Z78" s="708"/>
      <c r="AA78" s="708"/>
    </row>
    <row r="79" ht="15.75" customHeight="1">
      <c r="A79" s="708"/>
      <c r="B79" s="708"/>
      <c r="C79" s="708"/>
      <c r="D79" s="708"/>
      <c r="E79" s="708"/>
      <c r="F79" s="708"/>
      <c r="G79" s="708"/>
      <c r="H79" s="708"/>
      <c r="I79" s="708"/>
      <c r="J79" s="708"/>
      <c r="K79" s="708"/>
      <c r="L79" s="708"/>
      <c r="M79" s="708"/>
      <c r="N79" s="708"/>
      <c r="O79" s="708"/>
      <c r="P79" s="708"/>
      <c r="Q79" s="708"/>
      <c r="R79" s="708"/>
      <c r="S79" s="708"/>
      <c r="T79" s="708"/>
      <c r="U79" s="708"/>
      <c r="V79" s="708"/>
      <c r="W79" s="708"/>
      <c r="X79" s="708"/>
      <c r="Y79" s="708"/>
      <c r="Z79" s="708"/>
      <c r="AA79" s="708"/>
    </row>
    <row r="80" ht="15.75" customHeight="1">
      <c r="A80" s="708"/>
      <c r="B80" s="708"/>
      <c r="C80" s="708"/>
      <c r="D80" s="708"/>
      <c r="E80" s="708"/>
      <c r="F80" s="708"/>
      <c r="G80" s="708"/>
      <c r="H80" s="708"/>
      <c r="I80" s="708"/>
      <c r="J80" s="708"/>
      <c r="K80" s="708"/>
      <c r="L80" s="708"/>
      <c r="M80" s="708"/>
      <c r="N80" s="708"/>
      <c r="O80" s="708"/>
      <c r="P80" s="708"/>
      <c r="Q80" s="708"/>
      <c r="R80" s="708"/>
      <c r="S80" s="708"/>
      <c r="T80" s="708"/>
      <c r="U80" s="708"/>
      <c r="V80" s="708"/>
      <c r="W80" s="708"/>
      <c r="X80" s="708"/>
      <c r="Y80" s="708"/>
      <c r="Z80" s="708"/>
      <c r="AA80" s="708"/>
    </row>
    <row r="81" ht="15.75" customHeight="1">
      <c r="A81" s="708"/>
      <c r="B81" s="708"/>
      <c r="C81" s="708"/>
      <c r="D81" s="708"/>
      <c r="E81" s="708"/>
      <c r="F81" s="708"/>
      <c r="G81" s="708"/>
      <c r="H81" s="708"/>
      <c r="I81" s="708"/>
      <c r="J81" s="708"/>
      <c r="K81" s="708"/>
      <c r="L81" s="708"/>
      <c r="M81" s="708"/>
      <c r="N81" s="708"/>
      <c r="O81" s="708"/>
      <c r="P81" s="708"/>
      <c r="Q81" s="708"/>
      <c r="R81" s="708"/>
      <c r="S81" s="708"/>
      <c r="T81" s="708"/>
      <c r="U81" s="708"/>
      <c r="V81" s="708"/>
      <c r="W81" s="708"/>
      <c r="X81" s="708"/>
      <c r="Y81" s="708"/>
      <c r="Z81" s="708"/>
      <c r="AA81" s="708"/>
    </row>
    <row r="82" ht="15.75" customHeight="1">
      <c r="A82" s="708"/>
      <c r="B82" s="708"/>
      <c r="C82" s="708"/>
      <c r="D82" s="708"/>
      <c r="E82" s="708"/>
      <c r="F82" s="708"/>
      <c r="G82" s="708"/>
      <c r="H82" s="708"/>
      <c r="I82" s="708"/>
      <c r="J82" s="708"/>
      <c r="K82" s="708"/>
      <c r="L82" s="708"/>
      <c r="M82" s="708"/>
      <c r="N82" s="708"/>
      <c r="O82" s="708"/>
      <c r="P82" s="708"/>
      <c r="Q82" s="708"/>
      <c r="R82" s="708"/>
      <c r="S82" s="708"/>
      <c r="T82" s="708"/>
      <c r="U82" s="708"/>
      <c r="V82" s="708"/>
      <c r="W82" s="708"/>
      <c r="X82" s="708"/>
      <c r="Y82" s="708"/>
      <c r="Z82" s="708"/>
      <c r="AA82" s="708"/>
    </row>
    <row r="83" ht="15.75" customHeight="1">
      <c r="A83" s="708"/>
      <c r="B83" s="708"/>
      <c r="C83" s="708"/>
      <c r="D83" s="708"/>
      <c r="E83" s="708"/>
      <c r="F83" s="708"/>
      <c r="G83" s="708"/>
      <c r="H83" s="708"/>
      <c r="I83" s="708"/>
      <c r="J83" s="708"/>
      <c r="K83" s="708"/>
      <c r="L83" s="708"/>
      <c r="M83" s="708"/>
      <c r="N83" s="708"/>
      <c r="O83" s="708"/>
      <c r="P83" s="708"/>
      <c r="Q83" s="708"/>
      <c r="R83" s="708"/>
      <c r="S83" s="708"/>
      <c r="T83" s="708"/>
      <c r="U83" s="708"/>
      <c r="V83" s="708"/>
      <c r="W83" s="708"/>
      <c r="X83" s="708"/>
      <c r="Y83" s="708"/>
      <c r="Z83" s="708"/>
      <c r="AA83" s="708"/>
    </row>
    <row r="84" ht="15.75" customHeight="1">
      <c r="A84" s="708"/>
      <c r="B84" s="708"/>
      <c r="C84" s="708"/>
      <c r="D84" s="708"/>
      <c r="E84" s="708"/>
      <c r="F84" s="708"/>
      <c r="G84" s="708"/>
      <c r="H84" s="708"/>
      <c r="I84" s="708"/>
      <c r="J84" s="708"/>
      <c r="K84" s="708"/>
      <c r="L84" s="708"/>
      <c r="M84" s="708"/>
      <c r="N84" s="708"/>
      <c r="O84" s="708"/>
      <c r="P84" s="708"/>
      <c r="Q84" s="708"/>
      <c r="R84" s="708"/>
      <c r="S84" s="708"/>
      <c r="T84" s="708"/>
      <c r="U84" s="708"/>
      <c r="V84" s="708"/>
      <c r="W84" s="708"/>
      <c r="X84" s="708"/>
      <c r="Y84" s="708"/>
      <c r="Z84" s="708"/>
      <c r="AA84" s="708"/>
    </row>
    <row r="85" ht="15.75" customHeight="1">
      <c r="A85" s="708"/>
      <c r="B85" s="708"/>
      <c r="C85" s="708"/>
      <c r="D85" s="708"/>
      <c r="E85" s="708"/>
      <c r="F85" s="708"/>
      <c r="G85" s="708"/>
      <c r="H85" s="708"/>
      <c r="I85" s="708"/>
      <c r="J85" s="708"/>
      <c r="K85" s="708"/>
      <c r="L85" s="708"/>
      <c r="M85" s="708"/>
      <c r="N85" s="708"/>
      <c r="O85" s="708"/>
      <c r="P85" s="708"/>
      <c r="Q85" s="708"/>
      <c r="R85" s="708"/>
      <c r="S85" s="708"/>
      <c r="T85" s="708"/>
      <c r="U85" s="708"/>
      <c r="V85" s="708"/>
      <c r="W85" s="708"/>
      <c r="X85" s="708"/>
      <c r="Y85" s="708"/>
      <c r="Z85" s="708"/>
      <c r="AA85" s="708"/>
    </row>
    <row r="86" ht="15.75" customHeight="1">
      <c r="A86" s="708"/>
      <c r="B86" s="708"/>
      <c r="C86" s="708"/>
      <c r="D86" s="708"/>
      <c r="E86" s="708"/>
      <c r="F86" s="708"/>
      <c r="G86" s="708"/>
      <c r="H86" s="708"/>
      <c r="I86" s="708"/>
      <c r="J86" s="708"/>
      <c r="K86" s="708"/>
      <c r="L86" s="708"/>
      <c r="M86" s="708"/>
      <c r="N86" s="708"/>
      <c r="O86" s="708"/>
      <c r="P86" s="708"/>
      <c r="Q86" s="708"/>
      <c r="R86" s="708"/>
      <c r="S86" s="708"/>
      <c r="T86" s="708"/>
      <c r="U86" s="708"/>
      <c r="V86" s="708"/>
      <c r="W86" s="708"/>
      <c r="X86" s="708"/>
      <c r="Y86" s="708"/>
      <c r="Z86" s="708"/>
      <c r="AA86" s="708"/>
    </row>
    <row r="87" ht="15.75" customHeight="1">
      <c r="A87" s="708"/>
      <c r="B87" s="708"/>
      <c r="C87" s="708"/>
      <c r="D87" s="708"/>
      <c r="E87" s="708"/>
      <c r="F87" s="708"/>
      <c r="G87" s="708"/>
      <c r="H87" s="708"/>
      <c r="I87" s="708"/>
      <c r="J87" s="708"/>
      <c r="K87" s="708"/>
      <c r="L87" s="708"/>
      <c r="M87" s="708"/>
      <c r="N87" s="708"/>
      <c r="O87" s="708"/>
      <c r="P87" s="708"/>
      <c r="Q87" s="708"/>
      <c r="R87" s="708"/>
      <c r="S87" s="708"/>
      <c r="T87" s="708"/>
      <c r="U87" s="708"/>
      <c r="V87" s="708"/>
      <c r="W87" s="708"/>
      <c r="X87" s="708"/>
      <c r="Y87" s="708"/>
      <c r="Z87" s="708"/>
      <c r="AA87" s="708"/>
    </row>
    <row r="88" ht="15.75" customHeight="1">
      <c r="A88" s="708"/>
      <c r="B88" s="708"/>
      <c r="C88" s="708"/>
      <c r="D88" s="708"/>
      <c r="E88" s="708"/>
      <c r="F88" s="708"/>
      <c r="G88" s="708"/>
      <c r="H88" s="708"/>
      <c r="I88" s="708"/>
      <c r="J88" s="708"/>
      <c r="K88" s="708"/>
      <c r="L88" s="708"/>
      <c r="M88" s="708"/>
      <c r="N88" s="708"/>
      <c r="O88" s="708"/>
      <c r="P88" s="708"/>
      <c r="Q88" s="708"/>
      <c r="R88" s="708"/>
      <c r="S88" s="708"/>
      <c r="T88" s="708"/>
      <c r="U88" s="708"/>
      <c r="V88" s="708"/>
      <c r="W88" s="708"/>
      <c r="X88" s="708"/>
      <c r="Y88" s="708"/>
      <c r="Z88" s="708"/>
      <c r="AA88" s="708"/>
    </row>
    <row r="89" ht="15.75" customHeight="1">
      <c r="A89" s="708"/>
      <c r="B89" s="708"/>
      <c r="C89" s="708"/>
      <c r="D89" s="708"/>
      <c r="E89" s="708"/>
      <c r="F89" s="708"/>
      <c r="G89" s="708"/>
      <c r="H89" s="708"/>
      <c r="I89" s="708"/>
      <c r="J89" s="708"/>
      <c r="K89" s="708"/>
      <c r="L89" s="708"/>
      <c r="M89" s="708"/>
      <c r="N89" s="708"/>
      <c r="O89" s="708"/>
      <c r="P89" s="708"/>
      <c r="Q89" s="708"/>
      <c r="R89" s="708"/>
      <c r="S89" s="708"/>
      <c r="T89" s="708"/>
      <c r="U89" s="708"/>
      <c r="V89" s="708"/>
      <c r="W89" s="708"/>
      <c r="X89" s="708"/>
      <c r="Y89" s="708"/>
      <c r="Z89" s="708"/>
      <c r="AA89" s="708"/>
    </row>
    <row r="90" ht="15.75" customHeight="1">
      <c r="A90" s="708"/>
      <c r="B90" s="708"/>
      <c r="C90" s="708"/>
      <c r="D90" s="708"/>
      <c r="E90" s="708"/>
      <c r="F90" s="708"/>
      <c r="G90" s="708"/>
      <c r="H90" s="708"/>
      <c r="I90" s="708"/>
      <c r="J90" s="708"/>
      <c r="K90" s="708"/>
      <c r="L90" s="708"/>
      <c r="M90" s="708"/>
      <c r="N90" s="708"/>
      <c r="O90" s="708"/>
      <c r="P90" s="708"/>
      <c r="Q90" s="708"/>
      <c r="R90" s="708"/>
      <c r="S90" s="708"/>
      <c r="T90" s="708"/>
      <c r="U90" s="708"/>
      <c r="V90" s="708"/>
      <c r="W90" s="708"/>
      <c r="X90" s="708"/>
      <c r="Y90" s="708"/>
      <c r="Z90" s="708"/>
      <c r="AA90" s="708"/>
    </row>
    <row r="91" ht="15.75" customHeight="1">
      <c r="A91" s="708"/>
      <c r="B91" s="708"/>
      <c r="C91" s="708"/>
      <c r="D91" s="708"/>
      <c r="E91" s="708"/>
      <c r="F91" s="708"/>
      <c r="G91" s="708"/>
      <c r="H91" s="708"/>
      <c r="I91" s="708"/>
      <c r="J91" s="708"/>
      <c r="K91" s="708"/>
      <c r="L91" s="708"/>
      <c r="M91" s="708"/>
      <c r="N91" s="708"/>
      <c r="O91" s="708"/>
      <c r="P91" s="708"/>
      <c r="Q91" s="708"/>
      <c r="R91" s="708"/>
      <c r="S91" s="708"/>
      <c r="T91" s="708"/>
      <c r="U91" s="708"/>
      <c r="V91" s="708"/>
      <c r="W91" s="708"/>
      <c r="X91" s="708"/>
      <c r="Y91" s="708"/>
      <c r="Z91" s="708"/>
      <c r="AA91" s="708"/>
    </row>
    <row r="92" ht="15.75" customHeight="1">
      <c r="A92" s="708"/>
      <c r="B92" s="708"/>
      <c r="C92" s="708"/>
      <c r="D92" s="708"/>
      <c r="E92" s="708"/>
      <c r="F92" s="708"/>
      <c r="G92" s="708"/>
      <c r="H92" s="708"/>
      <c r="I92" s="708"/>
      <c r="J92" s="708"/>
      <c r="K92" s="708"/>
      <c r="L92" s="708"/>
      <c r="M92" s="708"/>
      <c r="N92" s="708"/>
      <c r="O92" s="708"/>
      <c r="P92" s="708"/>
      <c r="Q92" s="708"/>
      <c r="R92" s="708"/>
      <c r="S92" s="708"/>
      <c r="T92" s="708"/>
      <c r="U92" s="708"/>
      <c r="V92" s="708"/>
      <c r="W92" s="708"/>
      <c r="X92" s="708"/>
      <c r="Y92" s="708"/>
      <c r="Z92" s="708"/>
      <c r="AA92" s="708"/>
    </row>
    <row r="93" ht="15.75" customHeight="1">
      <c r="A93" s="708"/>
      <c r="B93" s="708"/>
      <c r="C93" s="708"/>
      <c r="D93" s="708"/>
      <c r="E93" s="708"/>
      <c r="F93" s="708"/>
      <c r="G93" s="708"/>
      <c r="H93" s="708"/>
      <c r="I93" s="708"/>
      <c r="J93" s="708"/>
      <c r="K93" s="708"/>
      <c r="L93" s="708"/>
      <c r="M93" s="708"/>
      <c r="N93" s="708"/>
      <c r="O93" s="708"/>
      <c r="P93" s="708"/>
      <c r="Q93" s="708"/>
      <c r="R93" s="708"/>
      <c r="S93" s="708"/>
      <c r="T93" s="708"/>
      <c r="U93" s="708"/>
      <c r="V93" s="708"/>
      <c r="W93" s="708"/>
      <c r="X93" s="708"/>
      <c r="Y93" s="708"/>
      <c r="Z93" s="708"/>
      <c r="AA93" s="708"/>
    </row>
    <row r="94" ht="15.75" customHeight="1">
      <c r="A94" s="708"/>
      <c r="B94" s="708"/>
      <c r="C94" s="708"/>
      <c r="D94" s="708"/>
      <c r="E94" s="708"/>
      <c r="F94" s="708"/>
      <c r="G94" s="708"/>
      <c r="H94" s="708"/>
      <c r="I94" s="708"/>
      <c r="J94" s="708"/>
      <c r="K94" s="708"/>
      <c r="L94" s="708"/>
      <c r="M94" s="708"/>
      <c r="N94" s="708"/>
      <c r="O94" s="708"/>
      <c r="P94" s="708"/>
      <c r="Q94" s="708"/>
      <c r="R94" s="708"/>
      <c r="S94" s="708"/>
      <c r="T94" s="708"/>
      <c r="U94" s="708"/>
      <c r="V94" s="708"/>
      <c r="W94" s="708"/>
      <c r="X94" s="708"/>
      <c r="Y94" s="708"/>
      <c r="Z94" s="708"/>
      <c r="AA94" s="708"/>
    </row>
    <row r="95" ht="15.75" customHeight="1">
      <c r="A95" s="708"/>
      <c r="B95" s="708"/>
      <c r="C95" s="708"/>
      <c r="D95" s="708"/>
      <c r="E95" s="708"/>
      <c r="F95" s="708"/>
      <c r="G95" s="708"/>
      <c r="H95" s="708"/>
      <c r="I95" s="708"/>
      <c r="J95" s="708"/>
      <c r="K95" s="708"/>
      <c r="L95" s="708"/>
      <c r="M95" s="708"/>
      <c r="N95" s="708"/>
      <c r="O95" s="708"/>
      <c r="P95" s="708"/>
      <c r="Q95" s="708"/>
      <c r="R95" s="708"/>
      <c r="S95" s="708"/>
      <c r="T95" s="708"/>
      <c r="U95" s="708"/>
      <c r="V95" s="708"/>
      <c r="W95" s="708"/>
      <c r="X95" s="708"/>
      <c r="Y95" s="708"/>
      <c r="Z95" s="708"/>
      <c r="AA95" s="708"/>
    </row>
    <row r="96" ht="15.75" customHeight="1">
      <c r="A96" s="708"/>
      <c r="B96" s="708"/>
      <c r="C96" s="708"/>
      <c r="D96" s="708"/>
      <c r="E96" s="708"/>
      <c r="F96" s="708"/>
      <c r="G96" s="708"/>
      <c r="H96" s="708"/>
      <c r="I96" s="708"/>
      <c r="J96" s="708"/>
      <c r="K96" s="708"/>
      <c r="L96" s="708"/>
      <c r="M96" s="708"/>
      <c r="N96" s="708"/>
      <c r="O96" s="708"/>
      <c r="P96" s="708"/>
      <c r="Q96" s="708"/>
      <c r="R96" s="708"/>
      <c r="S96" s="708"/>
      <c r="T96" s="708"/>
      <c r="U96" s="708"/>
      <c r="V96" s="708"/>
      <c r="W96" s="708"/>
      <c r="X96" s="708"/>
      <c r="Y96" s="708"/>
      <c r="Z96" s="708"/>
      <c r="AA96" s="708"/>
    </row>
    <row r="97" ht="15.75" customHeight="1">
      <c r="A97" s="708"/>
      <c r="B97" s="708"/>
      <c r="C97" s="708"/>
      <c r="D97" s="708"/>
      <c r="E97" s="708"/>
      <c r="F97" s="708"/>
      <c r="G97" s="708"/>
      <c r="H97" s="708"/>
      <c r="I97" s="708"/>
      <c r="J97" s="708"/>
      <c r="K97" s="708"/>
      <c r="L97" s="708"/>
      <c r="M97" s="708"/>
      <c r="N97" s="708"/>
      <c r="O97" s="708"/>
      <c r="P97" s="708"/>
      <c r="Q97" s="708"/>
      <c r="R97" s="708"/>
      <c r="S97" s="708"/>
      <c r="T97" s="708"/>
      <c r="U97" s="708"/>
      <c r="V97" s="708"/>
      <c r="W97" s="708"/>
      <c r="X97" s="708"/>
      <c r="Y97" s="708"/>
      <c r="Z97" s="708"/>
      <c r="AA97" s="708"/>
    </row>
    <row r="98" ht="15.75" customHeight="1">
      <c r="A98" s="708"/>
      <c r="B98" s="708"/>
      <c r="C98" s="708"/>
      <c r="D98" s="708"/>
      <c r="E98" s="708"/>
      <c r="F98" s="708"/>
      <c r="G98" s="708"/>
      <c r="H98" s="708"/>
      <c r="I98" s="708"/>
      <c r="J98" s="708"/>
      <c r="K98" s="708"/>
      <c r="L98" s="708"/>
      <c r="M98" s="708"/>
      <c r="N98" s="708"/>
      <c r="O98" s="708"/>
      <c r="P98" s="708"/>
      <c r="Q98" s="708"/>
      <c r="R98" s="708"/>
      <c r="S98" s="708"/>
      <c r="T98" s="708"/>
      <c r="U98" s="708"/>
      <c r="V98" s="708"/>
      <c r="W98" s="708"/>
      <c r="X98" s="708"/>
      <c r="Y98" s="708"/>
      <c r="Z98" s="708"/>
      <c r="AA98" s="708"/>
    </row>
    <row r="99" ht="15.75" customHeight="1">
      <c r="A99" s="708"/>
      <c r="B99" s="708"/>
      <c r="C99" s="708"/>
      <c r="D99" s="708"/>
      <c r="E99" s="708"/>
      <c r="F99" s="708"/>
      <c r="G99" s="708"/>
      <c r="H99" s="708"/>
      <c r="I99" s="708"/>
      <c r="J99" s="708"/>
      <c r="K99" s="708"/>
      <c r="L99" s="708"/>
      <c r="M99" s="708"/>
      <c r="N99" s="708"/>
      <c r="O99" s="708"/>
      <c r="P99" s="708"/>
      <c r="Q99" s="708"/>
      <c r="R99" s="708"/>
      <c r="S99" s="708"/>
      <c r="T99" s="708"/>
      <c r="U99" s="708"/>
      <c r="V99" s="708"/>
      <c r="W99" s="708"/>
      <c r="X99" s="708"/>
      <c r="Y99" s="708"/>
      <c r="Z99" s="708"/>
      <c r="AA99" s="708"/>
    </row>
    <row r="100" ht="15.75" customHeight="1">
      <c r="A100" s="708"/>
      <c r="B100" s="708"/>
      <c r="C100" s="708"/>
      <c r="D100" s="708"/>
      <c r="E100" s="708"/>
      <c r="F100" s="708"/>
      <c r="G100" s="708"/>
      <c r="H100" s="708"/>
      <c r="I100" s="708"/>
      <c r="J100" s="708"/>
      <c r="K100" s="708"/>
      <c r="L100" s="708"/>
      <c r="M100" s="708"/>
      <c r="N100" s="708"/>
      <c r="O100" s="708"/>
      <c r="P100" s="708"/>
      <c r="Q100" s="708"/>
      <c r="R100" s="708"/>
      <c r="S100" s="708"/>
      <c r="T100" s="708"/>
      <c r="U100" s="708"/>
      <c r="V100" s="708"/>
      <c r="W100" s="708"/>
      <c r="X100" s="708"/>
      <c r="Y100" s="708"/>
      <c r="Z100" s="708"/>
      <c r="AA100" s="708"/>
    </row>
    <row r="101" ht="15.75" customHeight="1">
      <c r="A101" s="708"/>
      <c r="B101" s="708"/>
      <c r="C101" s="708"/>
      <c r="D101" s="708"/>
      <c r="E101" s="708"/>
      <c r="F101" s="708"/>
      <c r="G101" s="708"/>
      <c r="H101" s="708"/>
      <c r="I101" s="708"/>
      <c r="J101" s="708"/>
      <c r="K101" s="708"/>
      <c r="L101" s="708"/>
      <c r="M101" s="708"/>
      <c r="N101" s="708"/>
      <c r="O101" s="708"/>
      <c r="P101" s="708"/>
      <c r="Q101" s="708"/>
      <c r="R101" s="708"/>
      <c r="S101" s="708"/>
      <c r="T101" s="708"/>
      <c r="U101" s="708"/>
      <c r="V101" s="708"/>
      <c r="W101" s="708"/>
      <c r="X101" s="708"/>
      <c r="Y101" s="708"/>
      <c r="Z101" s="708"/>
      <c r="AA101" s="708"/>
    </row>
    <row r="102" ht="15.75" customHeight="1">
      <c r="A102" s="708"/>
      <c r="B102" s="708"/>
      <c r="C102" s="708"/>
      <c r="D102" s="708"/>
      <c r="E102" s="708"/>
      <c r="F102" s="708"/>
      <c r="G102" s="708"/>
      <c r="H102" s="708"/>
      <c r="I102" s="708"/>
      <c r="J102" s="708"/>
      <c r="K102" s="708"/>
      <c r="L102" s="708"/>
      <c r="M102" s="708"/>
      <c r="N102" s="708"/>
      <c r="O102" s="708"/>
      <c r="P102" s="708"/>
      <c r="Q102" s="708"/>
      <c r="R102" s="708"/>
      <c r="S102" s="708"/>
      <c r="T102" s="708"/>
      <c r="U102" s="708"/>
      <c r="V102" s="708"/>
      <c r="W102" s="708"/>
      <c r="X102" s="708"/>
      <c r="Y102" s="708"/>
      <c r="Z102" s="708"/>
      <c r="AA102" s="708"/>
    </row>
    <row r="103" ht="15.75" customHeight="1">
      <c r="A103" s="708"/>
      <c r="B103" s="708"/>
      <c r="C103" s="708"/>
      <c r="D103" s="708"/>
      <c r="E103" s="708"/>
      <c r="F103" s="708"/>
      <c r="G103" s="708"/>
      <c r="H103" s="708"/>
      <c r="I103" s="708"/>
      <c r="J103" s="708"/>
      <c r="K103" s="708"/>
      <c r="L103" s="708"/>
      <c r="M103" s="708"/>
      <c r="N103" s="708"/>
      <c r="O103" s="708"/>
      <c r="P103" s="708"/>
      <c r="Q103" s="708"/>
      <c r="R103" s="708"/>
      <c r="S103" s="708"/>
      <c r="T103" s="708"/>
      <c r="U103" s="708"/>
      <c r="V103" s="708"/>
      <c r="W103" s="708"/>
      <c r="X103" s="708"/>
      <c r="Y103" s="708"/>
      <c r="Z103" s="708"/>
      <c r="AA103" s="708"/>
    </row>
    <row r="104" ht="15.75" customHeight="1">
      <c r="A104" s="708"/>
      <c r="B104" s="708"/>
      <c r="C104" s="708"/>
      <c r="D104" s="708"/>
      <c r="E104" s="708"/>
      <c r="F104" s="708"/>
      <c r="G104" s="708"/>
      <c r="H104" s="708"/>
      <c r="I104" s="708"/>
      <c r="J104" s="708"/>
      <c r="K104" s="708"/>
      <c r="L104" s="708"/>
      <c r="M104" s="708"/>
      <c r="N104" s="708"/>
      <c r="O104" s="708"/>
      <c r="P104" s="708"/>
      <c r="Q104" s="708"/>
      <c r="R104" s="708"/>
      <c r="S104" s="708"/>
      <c r="T104" s="708"/>
      <c r="U104" s="708"/>
      <c r="V104" s="708"/>
      <c r="W104" s="708"/>
      <c r="X104" s="708"/>
      <c r="Y104" s="708"/>
      <c r="Z104" s="708"/>
      <c r="AA104" s="708"/>
    </row>
    <row r="105" ht="15.75" customHeight="1">
      <c r="A105" s="708"/>
      <c r="B105" s="708"/>
      <c r="C105" s="708"/>
      <c r="D105" s="708"/>
      <c r="E105" s="708"/>
      <c r="F105" s="708"/>
      <c r="G105" s="708"/>
      <c r="H105" s="708"/>
      <c r="I105" s="708"/>
      <c r="J105" s="708"/>
      <c r="K105" s="708"/>
      <c r="L105" s="708"/>
      <c r="M105" s="708"/>
      <c r="N105" s="708"/>
      <c r="O105" s="708"/>
      <c r="P105" s="708"/>
      <c r="Q105" s="708"/>
      <c r="R105" s="708"/>
      <c r="S105" s="708"/>
      <c r="T105" s="708"/>
      <c r="U105" s="708"/>
      <c r="V105" s="708"/>
      <c r="W105" s="708"/>
      <c r="X105" s="708"/>
      <c r="Y105" s="708"/>
      <c r="Z105" s="708"/>
      <c r="AA105" s="708"/>
    </row>
    <row r="106" ht="15.75" customHeight="1">
      <c r="A106" s="708"/>
      <c r="B106" s="708"/>
      <c r="C106" s="708"/>
      <c r="D106" s="708"/>
      <c r="E106" s="708"/>
      <c r="F106" s="708"/>
      <c r="G106" s="708"/>
      <c r="H106" s="708"/>
      <c r="I106" s="708"/>
      <c r="J106" s="708"/>
      <c r="K106" s="708"/>
      <c r="L106" s="708"/>
      <c r="M106" s="708"/>
      <c r="N106" s="708"/>
      <c r="O106" s="708"/>
      <c r="P106" s="708"/>
      <c r="Q106" s="708"/>
      <c r="R106" s="708"/>
      <c r="S106" s="708"/>
      <c r="T106" s="708"/>
      <c r="U106" s="708"/>
      <c r="V106" s="708"/>
      <c r="W106" s="708"/>
      <c r="X106" s="708"/>
      <c r="Y106" s="708"/>
      <c r="Z106" s="708"/>
      <c r="AA106" s="708"/>
    </row>
    <row r="107" ht="15.75" customHeight="1">
      <c r="A107" s="708"/>
      <c r="B107" s="708"/>
      <c r="C107" s="708"/>
      <c r="D107" s="708"/>
      <c r="E107" s="708"/>
      <c r="F107" s="708"/>
      <c r="G107" s="708"/>
      <c r="H107" s="708"/>
      <c r="I107" s="708"/>
      <c r="J107" s="708"/>
      <c r="K107" s="708"/>
      <c r="L107" s="708"/>
      <c r="M107" s="708"/>
      <c r="N107" s="708"/>
      <c r="O107" s="708"/>
      <c r="P107" s="708"/>
      <c r="Q107" s="708"/>
      <c r="R107" s="708"/>
      <c r="S107" s="708"/>
      <c r="T107" s="708"/>
      <c r="U107" s="708"/>
      <c r="V107" s="708"/>
      <c r="W107" s="708"/>
      <c r="X107" s="708"/>
      <c r="Y107" s="708"/>
      <c r="Z107" s="708"/>
      <c r="AA107" s="708"/>
    </row>
    <row r="108" ht="15.75" customHeight="1">
      <c r="A108" s="708"/>
      <c r="B108" s="708"/>
      <c r="C108" s="708"/>
      <c r="D108" s="708"/>
      <c r="E108" s="708"/>
      <c r="F108" s="708"/>
      <c r="G108" s="708"/>
      <c r="H108" s="708"/>
      <c r="I108" s="708"/>
      <c r="J108" s="708"/>
      <c r="K108" s="708"/>
      <c r="L108" s="708"/>
      <c r="M108" s="708"/>
      <c r="N108" s="708"/>
      <c r="O108" s="708"/>
      <c r="P108" s="708"/>
      <c r="Q108" s="708"/>
      <c r="R108" s="708"/>
      <c r="S108" s="708"/>
      <c r="T108" s="708"/>
      <c r="U108" s="708"/>
      <c r="V108" s="708"/>
      <c r="W108" s="708"/>
      <c r="X108" s="708"/>
      <c r="Y108" s="708"/>
      <c r="Z108" s="708"/>
      <c r="AA108" s="708"/>
    </row>
    <row r="109" ht="15.75" customHeight="1">
      <c r="A109" s="708"/>
      <c r="B109" s="708"/>
      <c r="C109" s="708"/>
      <c r="D109" s="708"/>
      <c r="E109" s="708"/>
      <c r="F109" s="708"/>
      <c r="G109" s="708"/>
      <c r="H109" s="708"/>
      <c r="I109" s="708"/>
      <c r="J109" s="708"/>
      <c r="K109" s="708"/>
      <c r="L109" s="708"/>
      <c r="M109" s="708"/>
      <c r="N109" s="708"/>
      <c r="O109" s="708"/>
      <c r="P109" s="708"/>
      <c r="Q109" s="708"/>
      <c r="R109" s="708"/>
      <c r="S109" s="708"/>
      <c r="T109" s="708"/>
      <c r="U109" s="708"/>
      <c r="V109" s="708"/>
      <c r="W109" s="708"/>
      <c r="X109" s="708"/>
      <c r="Y109" s="708"/>
      <c r="Z109" s="708"/>
      <c r="AA109" s="708"/>
    </row>
    <row r="110" ht="15.75" customHeight="1">
      <c r="A110" s="708"/>
      <c r="B110" s="708"/>
      <c r="C110" s="708"/>
      <c r="D110" s="708"/>
      <c r="E110" s="708"/>
      <c r="F110" s="708"/>
      <c r="G110" s="708"/>
      <c r="H110" s="708"/>
      <c r="I110" s="708"/>
      <c r="J110" s="708"/>
      <c r="K110" s="708"/>
      <c r="L110" s="708"/>
      <c r="M110" s="708"/>
      <c r="N110" s="708"/>
      <c r="O110" s="708"/>
      <c r="P110" s="708"/>
      <c r="Q110" s="708"/>
      <c r="R110" s="708"/>
      <c r="S110" s="708"/>
      <c r="T110" s="708"/>
      <c r="U110" s="708"/>
      <c r="V110" s="708"/>
      <c r="W110" s="708"/>
      <c r="X110" s="708"/>
      <c r="Y110" s="708"/>
      <c r="Z110" s="708"/>
      <c r="AA110" s="708"/>
    </row>
    <row r="111" ht="15.75" customHeight="1">
      <c r="A111" s="708"/>
      <c r="B111" s="708"/>
      <c r="C111" s="708"/>
      <c r="D111" s="708"/>
      <c r="E111" s="708"/>
      <c r="F111" s="708"/>
      <c r="G111" s="708"/>
      <c r="H111" s="708"/>
      <c r="I111" s="708"/>
      <c r="J111" s="708"/>
      <c r="K111" s="708"/>
      <c r="L111" s="708"/>
      <c r="M111" s="708"/>
      <c r="N111" s="708"/>
      <c r="O111" s="708"/>
      <c r="P111" s="708"/>
      <c r="Q111" s="708"/>
      <c r="R111" s="708"/>
      <c r="S111" s="708"/>
      <c r="T111" s="708"/>
      <c r="U111" s="708"/>
      <c r="V111" s="708"/>
      <c r="W111" s="708"/>
      <c r="X111" s="708"/>
      <c r="Y111" s="708"/>
      <c r="Z111" s="708"/>
      <c r="AA111" s="708"/>
    </row>
    <row r="112" ht="15.75" customHeight="1">
      <c r="A112" s="708"/>
      <c r="B112" s="708"/>
      <c r="C112" s="708"/>
      <c r="D112" s="708"/>
      <c r="E112" s="708"/>
      <c r="F112" s="708"/>
      <c r="G112" s="708"/>
      <c r="H112" s="708"/>
      <c r="I112" s="708"/>
      <c r="J112" s="708"/>
      <c r="K112" s="708"/>
      <c r="L112" s="708"/>
      <c r="M112" s="708"/>
      <c r="N112" s="708"/>
      <c r="O112" s="708"/>
      <c r="P112" s="708"/>
      <c r="Q112" s="708"/>
      <c r="R112" s="708"/>
      <c r="S112" s="708"/>
      <c r="T112" s="708"/>
      <c r="U112" s="708"/>
      <c r="V112" s="708"/>
      <c r="W112" s="708"/>
      <c r="X112" s="708"/>
      <c r="Y112" s="708"/>
      <c r="Z112" s="708"/>
      <c r="AA112" s="708"/>
    </row>
    <row r="113" ht="15.75" customHeight="1">
      <c r="A113" s="708"/>
      <c r="B113" s="708"/>
      <c r="C113" s="708"/>
      <c r="D113" s="708"/>
      <c r="E113" s="708"/>
      <c r="F113" s="708"/>
      <c r="G113" s="708"/>
      <c r="H113" s="708"/>
      <c r="I113" s="708"/>
      <c r="J113" s="708"/>
      <c r="K113" s="708"/>
      <c r="L113" s="708"/>
      <c r="M113" s="708"/>
      <c r="N113" s="708"/>
      <c r="O113" s="708"/>
      <c r="P113" s="708"/>
      <c r="Q113" s="708"/>
      <c r="R113" s="708"/>
      <c r="S113" s="708"/>
      <c r="T113" s="708"/>
      <c r="U113" s="708"/>
      <c r="V113" s="708"/>
      <c r="W113" s="708"/>
      <c r="X113" s="708"/>
      <c r="Y113" s="708"/>
      <c r="Z113" s="708"/>
      <c r="AA113" s="708"/>
    </row>
    <row r="114" ht="15.75" customHeight="1">
      <c r="A114" s="708"/>
      <c r="B114" s="708"/>
      <c r="C114" s="708"/>
      <c r="D114" s="708"/>
      <c r="E114" s="708"/>
      <c r="F114" s="708"/>
      <c r="G114" s="708"/>
      <c r="H114" s="708"/>
      <c r="I114" s="708"/>
      <c r="J114" s="708"/>
      <c r="K114" s="708"/>
      <c r="L114" s="708"/>
      <c r="M114" s="708"/>
      <c r="N114" s="708"/>
      <c r="O114" s="708"/>
      <c r="P114" s="708"/>
      <c r="Q114" s="708"/>
      <c r="R114" s="708"/>
      <c r="S114" s="708"/>
      <c r="T114" s="708"/>
      <c r="U114" s="708"/>
      <c r="V114" s="708"/>
      <c r="W114" s="708"/>
      <c r="X114" s="708"/>
      <c r="Y114" s="708"/>
      <c r="Z114" s="708"/>
      <c r="AA114" s="708"/>
    </row>
    <row r="115" ht="15.75" customHeight="1">
      <c r="A115" s="708"/>
      <c r="B115" s="708"/>
      <c r="C115" s="708"/>
      <c r="D115" s="708"/>
      <c r="E115" s="708"/>
      <c r="F115" s="708"/>
      <c r="G115" s="708"/>
      <c r="H115" s="708"/>
      <c r="I115" s="708"/>
      <c r="J115" s="708"/>
      <c r="K115" s="708"/>
      <c r="L115" s="708"/>
      <c r="M115" s="708"/>
      <c r="N115" s="708"/>
      <c r="O115" s="708"/>
      <c r="P115" s="708"/>
      <c r="Q115" s="708"/>
      <c r="R115" s="708"/>
      <c r="S115" s="708"/>
      <c r="T115" s="708"/>
      <c r="U115" s="708"/>
      <c r="V115" s="708"/>
      <c r="W115" s="708"/>
      <c r="X115" s="708"/>
      <c r="Y115" s="708"/>
      <c r="Z115" s="708"/>
      <c r="AA115" s="708"/>
    </row>
    <row r="116" ht="15.75" customHeight="1">
      <c r="A116" s="708"/>
      <c r="B116" s="708"/>
      <c r="C116" s="708"/>
      <c r="D116" s="708"/>
      <c r="E116" s="708"/>
      <c r="F116" s="708"/>
      <c r="G116" s="708"/>
      <c r="H116" s="708"/>
      <c r="I116" s="708"/>
      <c r="J116" s="708"/>
      <c r="K116" s="708"/>
      <c r="L116" s="708"/>
      <c r="M116" s="708"/>
      <c r="N116" s="708"/>
      <c r="O116" s="708"/>
      <c r="P116" s="708"/>
      <c r="Q116" s="708"/>
      <c r="R116" s="708"/>
      <c r="S116" s="708"/>
      <c r="T116" s="708"/>
      <c r="U116" s="708"/>
      <c r="V116" s="708"/>
      <c r="W116" s="708"/>
      <c r="X116" s="708"/>
      <c r="Y116" s="708"/>
      <c r="Z116" s="708"/>
      <c r="AA116" s="708"/>
    </row>
    <row r="117" ht="15.75" customHeight="1">
      <c r="A117" s="708"/>
      <c r="B117" s="708"/>
      <c r="C117" s="708"/>
      <c r="D117" s="708"/>
      <c r="E117" s="708"/>
      <c r="F117" s="708"/>
      <c r="G117" s="708"/>
      <c r="H117" s="708"/>
      <c r="I117" s="708"/>
      <c r="J117" s="708"/>
      <c r="K117" s="708"/>
      <c r="L117" s="708"/>
      <c r="M117" s="708"/>
      <c r="N117" s="708"/>
      <c r="O117" s="708"/>
      <c r="P117" s="708"/>
      <c r="Q117" s="708"/>
      <c r="R117" s="708"/>
      <c r="S117" s="708"/>
      <c r="T117" s="708"/>
      <c r="U117" s="708"/>
      <c r="V117" s="708"/>
      <c r="W117" s="708"/>
      <c r="X117" s="708"/>
      <c r="Y117" s="708"/>
      <c r="Z117" s="708"/>
      <c r="AA117" s="708"/>
    </row>
    <row r="118" ht="15.75" customHeight="1">
      <c r="A118" s="708"/>
      <c r="B118" s="708"/>
      <c r="C118" s="708"/>
      <c r="D118" s="708"/>
      <c r="E118" s="708"/>
      <c r="F118" s="708"/>
      <c r="G118" s="708"/>
      <c r="H118" s="708"/>
      <c r="I118" s="708"/>
      <c r="J118" s="708"/>
      <c r="K118" s="708"/>
      <c r="L118" s="708"/>
      <c r="M118" s="708"/>
      <c r="N118" s="708"/>
      <c r="O118" s="708"/>
      <c r="P118" s="708"/>
      <c r="Q118" s="708"/>
      <c r="R118" s="708"/>
      <c r="S118" s="708"/>
      <c r="T118" s="708"/>
      <c r="U118" s="708"/>
      <c r="V118" s="708"/>
      <c r="W118" s="708"/>
      <c r="X118" s="708"/>
      <c r="Y118" s="708"/>
      <c r="Z118" s="708"/>
      <c r="AA118" s="708"/>
    </row>
    <row r="119" ht="15.75" customHeight="1">
      <c r="A119" s="708"/>
      <c r="B119" s="708"/>
      <c r="C119" s="708"/>
      <c r="D119" s="708"/>
      <c r="E119" s="708"/>
      <c r="F119" s="708"/>
      <c r="G119" s="708"/>
      <c r="H119" s="708"/>
      <c r="I119" s="708"/>
      <c r="J119" s="708"/>
      <c r="K119" s="708"/>
      <c r="L119" s="708"/>
      <c r="M119" s="708"/>
      <c r="N119" s="708"/>
      <c r="O119" s="708"/>
      <c r="P119" s="708"/>
      <c r="Q119" s="708"/>
      <c r="R119" s="708"/>
      <c r="S119" s="708"/>
      <c r="T119" s="708"/>
      <c r="U119" s="708"/>
      <c r="V119" s="708"/>
      <c r="W119" s="708"/>
      <c r="X119" s="708"/>
      <c r="Y119" s="708"/>
      <c r="Z119" s="708"/>
      <c r="AA119" s="708"/>
    </row>
    <row r="120" ht="15.75" customHeight="1">
      <c r="A120" s="708"/>
      <c r="B120" s="708"/>
      <c r="C120" s="708"/>
      <c r="D120" s="708"/>
      <c r="E120" s="708"/>
      <c r="F120" s="708"/>
      <c r="G120" s="708"/>
      <c r="H120" s="708"/>
      <c r="I120" s="708"/>
      <c r="J120" s="708"/>
      <c r="K120" s="708"/>
      <c r="L120" s="708"/>
      <c r="M120" s="708"/>
      <c r="N120" s="708"/>
      <c r="O120" s="708"/>
      <c r="P120" s="708"/>
      <c r="Q120" s="708"/>
      <c r="R120" s="708"/>
      <c r="S120" s="708"/>
      <c r="T120" s="708"/>
      <c r="U120" s="708"/>
      <c r="V120" s="708"/>
      <c r="W120" s="708"/>
      <c r="X120" s="708"/>
      <c r="Y120" s="708"/>
      <c r="Z120" s="708"/>
      <c r="AA120" s="708"/>
    </row>
    <row r="121" ht="15.75" customHeight="1">
      <c r="A121" s="708"/>
      <c r="B121" s="708"/>
      <c r="C121" s="708"/>
      <c r="D121" s="708"/>
      <c r="E121" s="708"/>
      <c r="F121" s="708"/>
      <c r="G121" s="708"/>
      <c r="H121" s="708"/>
      <c r="I121" s="708"/>
      <c r="J121" s="708"/>
      <c r="K121" s="708"/>
      <c r="L121" s="708"/>
      <c r="M121" s="708"/>
      <c r="N121" s="708"/>
      <c r="O121" s="708"/>
      <c r="P121" s="708"/>
      <c r="Q121" s="708"/>
      <c r="R121" s="708"/>
      <c r="S121" s="708"/>
      <c r="T121" s="708"/>
      <c r="U121" s="708"/>
      <c r="V121" s="708"/>
      <c r="W121" s="708"/>
      <c r="X121" s="708"/>
      <c r="Y121" s="708"/>
      <c r="Z121" s="708"/>
      <c r="AA121" s="708"/>
    </row>
    <row r="122" ht="15.75" customHeight="1">
      <c r="A122" s="708"/>
      <c r="B122" s="708"/>
      <c r="C122" s="708"/>
      <c r="D122" s="708"/>
      <c r="E122" s="708"/>
      <c r="F122" s="708"/>
      <c r="G122" s="708"/>
      <c r="H122" s="708"/>
      <c r="I122" s="708"/>
      <c r="J122" s="708"/>
      <c r="K122" s="708"/>
      <c r="L122" s="708"/>
      <c r="M122" s="708"/>
      <c r="N122" s="708"/>
      <c r="O122" s="708"/>
      <c r="P122" s="708"/>
      <c r="Q122" s="708"/>
      <c r="R122" s="708"/>
      <c r="S122" s="708"/>
      <c r="T122" s="708"/>
      <c r="U122" s="708"/>
      <c r="V122" s="708"/>
      <c r="W122" s="708"/>
      <c r="X122" s="708"/>
      <c r="Y122" s="708"/>
      <c r="Z122" s="708"/>
      <c r="AA122" s="708"/>
    </row>
    <row r="123" ht="15.75" customHeight="1">
      <c r="A123" s="708"/>
      <c r="B123" s="708"/>
      <c r="C123" s="708"/>
      <c r="D123" s="708"/>
      <c r="E123" s="708"/>
      <c r="F123" s="708"/>
      <c r="G123" s="708"/>
      <c r="H123" s="708"/>
      <c r="I123" s="708"/>
      <c r="J123" s="708"/>
      <c r="K123" s="708"/>
      <c r="L123" s="708"/>
      <c r="M123" s="708"/>
      <c r="N123" s="708"/>
      <c r="O123" s="708"/>
      <c r="P123" s="708"/>
      <c r="Q123" s="708"/>
      <c r="R123" s="708"/>
      <c r="S123" s="708"/>
      <c r="T123" s="708"/>
      <c r="U123" s="708"/>
      <c r="V123" s="708"/>
      <c r="W123" s="708"/>
      <c r="X123" s="708"/>
      <c r="Y123" s="708"/>
      <c r="Z123" s="708"/>
      <c r="AA123" s="708"/>
    </row>
    <row r="124" ht="15.75" customHeight="1">
      <c r="A124" s="708"/>
      <c r="B124" s="708"/>
      <c r="C124" s="708"/>
      <c r="D124" s="708"/>
      <c r="E124" s="708"/>
      <c r="F124" s="708"/>
      <c r="G124" s="708"/>
      <c r="H124" s="708"/>
      <c r="I124" s="708"/>
      <c r="J124" s="708"/>
      <c r="K124" s="708"/>
      <c r="L124" s="708"/>
      <c r="M124" s="708"/>
      <c r="N124" s="708"/>
      <c r="O124" s="708"/>
      <c r="P124" s="708"/>
      <c r="Q124" s="708"/>
      <c r="R124" s="708"/>
      <c r="S124" s="708"/>
      <c r="T124" s="708"/>
      <c r="U124" s="708"/>
      <c r="V124" s="708"/>
      <c r="W124" s="708"/>
      <c r="X124" s="708"/>
      <c r="Y124" s="708"/>
      <c r="Z124" s="708"/>
      <c r="AA124" s="708"/>
    </row>
    <row r="125" ht="15.75" customHeight="1">
      <c r="A125" s="708"/>
      <c r="B125" s="708"/>
      <c r="C125" s="708"/>
      <c r="D125" s="708"/>
      <c r="E125" s="708"/>
      <c r="F125" s="708"/>
      <c r="G125" s="708"/>
      <c r="H125" s="708"/>
      <c r="I125" s="708"/>
      <c r="J125" s="708"/>
      <c r="K125" s="708"/>
      <c r="L125" s="708"/>
      <c r="M125" s="708"/>
      <c r="N125" s="708"/>
      <c r="O125" s="708"/>
      <c r="P125" s="708"/>
      <c r="Q125" s="708"/>
      <c r="R125" s="708"/>
      <c r="S125" s="708"/>
      <c r="T125" s="708"/>
      <c r="U125" s="708"/>
      <c r="V125" s="708"/>
      <c r="W125" s="708"/>
      <c r="X125" s="708"/>
      <c r="Y125" s="708"/>
      <c r="Z125" s="708"/>
      <c r="AA125" s="708"/>
    </row>
    <row r="126" ht="15.75" customHeight="1">
      <c r="A126" s="708"/>
      <c r="B126" s="708"/>
      <c r="C126" s="708"/>
      <c r="D126" s="708"/>
      <c r="E126" s="708"/>
      <c r="F126" s="708"/>
      <c r="G126" s="708"/>
      <c r="H126" s="708"/>
      <c r="I126" s="708"/>
      <c r="J126" s="708"/>
      <c r="K126" s="708"/>
      <c r="L126" s="708"/>
      <c r="M126" s="708"/>
      <c r="N126" s="708"/>
      <c r="O126" s="708"/>
      <c r="P126" s="708"/>
      <c r="Q126" s="708"/>
      <c r="R126" s="708"/>
      <c r="S126" s="708"/>
      <c r="T126" s="708"/>
      <c r="U126" s="708"/>
      <c r="V126" s="708"/>
      <c r="W126" s="708"/>
      <c r="X126" s="708"/>
      <c r="Y126" s="708"/>
      <c r="Z126" s="708"/>
      <c r="AA126" s="708"/>
    </row>
    <row r="127" ht="15.75" customHeight="1">
      <c r="A127" s="708"/>
      <c r="B127" s="708"/>
      <c r="C127" s="708"/>
      <c r="D127" s="708"/>
      <c r="E127" s="708"/>
      <c r="F127" s="708"/>
      <c r="G127" s="708"/>
      <c r="H127" s="708"/>
      <c r="I127" s="708"/>
      <c r="J127" s="708"/>
      <c r="K127" s="708"/>
      <c r="L127" s="708"/>
      <c r="M127" s="708"/>
      <c r="N127" s="708"/>
      <c r="O127" s="708"/>
      <c r="P127" s="708"/>
      <c r="Q127" s="708"/>
      <c r="R127" s="708"/>
      <c r="S127" s="708"/>
      <c r="T127" s="708"/>
      <c r="U127" s="708"/>
      <c r="V127" s="708"/>
      <c r="W127" s="708"/>
      <c r="X127" s="708"/>
      <c r="Y127" s="708"/>
      <c r="Z127" s="708"/>
      <c r="AA127" s="708"/>
    </row>
    <row r="128" ht="15.75" customHeight="1">
      <c r="A128" s="708"/>
      <c r="B128" s="708"/>
      <c r="C128" s="708"/>
      <c r="D128" s="708"/>
      <c r="E128" s="708"/>
      <c r="F128" s="708"/>
      <c r="G128" s="708"/>
      <c r="H128" s="708"/>
      <c r="I128" s="708"/>
      <c r="J128" s="708"/>
      <c r="K128" s="708"/>
      <c r="L128" s="708"/>
      <c r="M128" s="708"/>
      <c r="N128" s="708"/>
      <c r="O128" s="708"/>
      <c r="P128" s="708"/>
      <c r="Q128" s="708"/>
      <c r="R128" s="708"/>
      <c r="S128" s="708"/>
      <c r="T128" s="708"/>
      <c r="U128" s="708"/>
      <c r="V128" s="708"/>
      <c r="W128" s="708"/>
      <c r="X128" s="708"/>
      <c r="Y128" s="708"/>
      <c r="Z128" s="708"/>
      <c r="AA128" s="708"/>
    </row>
    <row r="129" ht="15.75" customHeight="1">
      <c r="A129" s="708"/>
      <c r="B129" s="708"/>
      <c r="C129" s="708"/>
      <c r="D129" s="708"/>
      <c r="E129" s="708"/>
      <c r="F129" s="708"/>
      <c r="G129" s="708"/>
      <c r="H129" s="708"/>
      <c r="I129" s="708"/>
      <c r="J129" s="708"/>
      <c r="K129" s="708"/>
      <c r="L129" s="708"/>
      <c r="M129" s="708"/>
      <c r="N129" s="708"/>
      <c r="O129" s="708"/>
      <c r="P129" s="708"/>
      <c r="Q129" s="708"/>
      <c r="R129" s="708"/>
      <c r="S129" s="708"/>
      <c r="T129" s="708"/>
      <c r="U129" s="708"/>
      <c r="V129" s="708"/>
      <c r="W129" s="708"/>
      <c r="X129" s="708"/>
      <c r="Y129" s="708"/>
      <c r="Z129" s="708"/>
      <c r="AA129" s="708"/>
    </row>
    <row r="130" ht="15.75" customHeight="1">
      <c r="A130" s="708"/>
      <c r="B130" s="708"/>
      <c r="C130" s="708"/>
      <c r="D130" s="708"/>
      <c r="E130" s="708"/>
      <c r="F130" s="708"/>
      <c r="G130" s="708"/>
      <c r="H130" s="708"/>
      <c r="I130" s="708"/>
      <c r="J130" s="708"/>
      <c r="K130" s="708"/>
      <c r="L130" s="708"/>
      <c r="M130" s="708"/>
      <c r="N130" s="708"/>
      <c r="O130" s="708"/>
      <c r="P130" s="708"/>
      <c r="Q130" s="708"/>
      <c r="R130" s="708"/>
      <c r="S130" s="708"/>
      <c r="T130" s="708"/>
      <c r="U130" s="708"/>
      <c r="V130" s="708"/>
      <c r="W130" s="708"/>
      <c r="X130" s="708"/>
      <c r="Y130" s="708"/>
      <c r="Z130" s="708"/>
      <c r="AA130" s="708"/>
    </row>
    <row r="131" ht="15.75" customHeight="1">
      <c r="A131" s="708"/>
      <c r="B131" s="708"/>
      <c r="C131" s="708"/>
      <c r="D131" s="708"/>
      <c r="E131" s="708"/>
      <c r="F131" s="708"/>
      <c r="G131" s="708"/>
      <c r="H131" s="708"/>
      <c r="I131" s="708"/>
      <c r="J131" s="708"/>
      <c r="K131" s="708"/>
      <c r="L131" s="708"/>
      <c r="M131" s="708"/>
      <c r="N131" s="708"/>
      <c r="O131" s="708"/>
      <c r="P131" s="708"/>
      <c r="Q131" s="708"/>
      <c r="R131" s="708"/>
      <c r="S131" s="708"/>
      <c r="T131" s="708"/>
      <c r="U131" s="708"/>
      <c r="V131" s="708"/>
      <c r="W131" s="708"/>
      <c r="X131" s="708"/>
      <c r="Y131" s="708"/>
      <c r="Z131" s="708"/>
      <c r="AA131" s="708"/>
    </row>
    <row r="132" ht="15.75" customHeight="1">
      <c r="A132" s="708"/>
      <c r="B132" s="708"/>
      <c r="C132" s="708"/>
      <c r="D132" s="708"/>
      <c r="E132" s="708"/>
      <c r="F132" s="708"/>
      <c r="G132" s="708"/>
      <c r="H132" s="708"/>
      <c r="I132" s="708"/>
      <c r="J132" s="708"/>
      <c r="K132" s="708"/>
      <c r="L132" s="708"/>
      <c r="M132" s="708"/>
      <c r="N132" s="708"/>
      <c r="O132" s="708"/>
      <c r="P132" s="708"/>
      <c r="Q132" s="708"/>
      <c r="R132" s="708"/>
      <c r="S132" s="708"/>
      <c r="T132" s="708"/>
      <c r="U132" s="708"/>
      <c r="V132" s="708"/>
      <c r="W132" s="708"/>
      <c r="X132" s="708"/>
      <c r="Y132" s="708"/>
      <c r="Z132" s="708"/>
      <c r="AA132" s="708"/>
    </row>
    <row r="133" ht="15.75" customHeight="1">
      <c r="A133" s="708"/>
      <c r="B133" s="708"/>
      <c r="C133" s="708"/>
      <c r="D133" s="708"/>
      <c r="E133" s="708"/>
      <c r="F133" s="708"/>
      <c r="G133" s="708"/>
      <c r="H133" s="708"/>
      <c r="I133" s="708"/>
      <c r="J133" s="708"/>
      <c r="K133" s="708"/>
      <c r="L133" s="708"/>
      <c r="M133" s="708"/>
      <c r="N133" s="708"/>
      <c r="O133" s="708"/>
      <c r="P133" s="708"/>
      <c r="Q133" s="708"/>
      <c r="R133" s="708"/>
      <c r="S133" s="708"/>
      <c r="T133" s="708"/>
      <c r="U133" s="708"/>
      <c r="V133" s="708"/>
      <c r="W133" s="708"/>
      <c r="X133" s="708"/>
      <c r="Y133" s="708"/>
      <c r="Z133" s="708"/>
      <c r="AA133" s="708"/>
    </row>
    <row r="134" ht="15.75" customHeight="1">
      <c r="A134" s="708"/>
      <c r="B134" s="708"/>
      <c r="C134" s="708"/>
      <c r="D134" s="708"/>
      <c r="E134" s="708"/>
      <c r="F134" s="708"/>
      <c r="G134" s="708"/>
      <c r="H134" s="708"/>
      <c r="I134" s="708"/>
      <c r="J134" s="708"/>
      <c r="K134" s="708"/>
      <c r="L134" s="708"/>
      <c r="M134" s="708"/>
      <c r="N134" s="708"/>
      <c r="O134" s="708"/>
      <c r="P134" s="708"/>
      <c r="Q134" s="708"/>
      <c r="R134" s="708"/>
      <c r="S134" s="708"/>
      <c r="T134" s="708"/>
      <c r="U134" s="708"/>
      <c r="V134" s="708"/>
      <c r="W134" s="708"/>
      <c r="X134" s="708"/>
      <c r="Y134" s="708"/>
      <c r="Z134" s="708"/>
      <c r="AA134" s="708"/>
    </row>
    <row r="135" ht="15.75" customHeight="1">
      <c r="A135" s="708"/>
      <c r="B135" s="708"/>
      <c r="C135" s="708"/>
      <c r="D135" s="708"/>
      <c r="E135" s="708"/>
      <c r="F135" s="708"/>
      <c r="G135" s="708"/>
      <c r="H135" s="708"/>
      <c r="I135" s="708"/>
      <c r="J135" s="708"/>
      <c r="K135" s="708"/>
      <c r="L135" s="708"/>
      <c r="M135" s="708"/>
      <c r="N135" s="708"/>
      <c r="O135" s="708"/>
      <c r="P135" s="708"/>
      <c r="Q135" s="708"/>
      <c r="R135" s="708"/>
      <c r="S135" s="708"/>
      <c r="T135" s="708"/>
      <c r="U135" s="708"/>
      <c r="V135" s="708"/>
      <c r="W135" s="708"/>
      <c r="X135" s="708"/>
      <c r="Y135" s="708"/>
      <c r="Z135" s="708"/>
      <c r="AA135" s="708"/>
    </row>
    <row r="136" ht="15.75" customHeight="1">
      <c r="A136" s="708"/>
      <c r="B136" s="708"/>
      <c r="C136" s="708"/>
      <c r="D136" s="708"/>
      <c r="E136" s="708"/>
      <c r="F136" s="708"/>
      <c r="G136" s="708"/>
      <c r="H136" s="708"/>
      <c r="I136" s="708"/>
      <c r="J136" s="708"/>
      <c r="K136" s="708"/>
      <c r="L136" s="708"/>
      <c r="M136" s="708"/>
      <c r="N136" s="708"/>
      <c r="O136" s="708"/>
      <c r="P136" s="708"/>
      <c r="Q136" s="708"/>
      <c r="R136" s="708"/>
      <c r="S136" s="708"/>
      <c r="T136" s="708"/>
      <c r="U136" s="708"/>
      <c r="V136" s="708"/>
      <c r="W136" s="708"/>
      <c r="X136" s="708"/>
      <c r="Y136" s="708"/>
      <c r="Z136" s="708"/>
      <c r="AA136" s="708"/>
    </row>
    <row r="137" ht="15.75" customHeight="1">
      <c r="A137" s="708"/>
      <c r="B137" s="708"/>
      <c r="C137" s="708"/>
      <c r="D137" s="708"/>
      <c r="E137" s="708"/>
      <c r="F137" s="708"/>
      <c r="G137" s="708"/>
      <c r="H137" s="708"/>
      <c r="I137" s="708"/>
      <c r="J137" s="708"/>
      <c r="K137" s="708"/>
      <c r="L137" s="708"/>
      <c r="M137" s="708"/>
      <c r="N137" s="708"/>
      <c r="O137" s="708"/>
      <c r="P137" s="708"/>
      <c r="Q137" s="708"/>
      <c r="R137" s="708"/>
      <c r="S137" s="708"/>
      <c r="T137" s="708"/>
      <c r="U137" s="708"/>
      <c r="V137" s="708"/>
      <c r="W137" s="708"/>
      <c r="X137" s="708"/>
      <c r="Y137" s="708"/>
      <c r="Z137" s="708"/>
      <c r="AA137" s="708"/>
    </row>
    <row r="138" ht="15.75" customHeight="1">
      <c r="A138" s="708"/>
      <c r="B138" s="708"/>
      <c r="C138" s="708"/>
      <c r="D138" s="708"/>
      <c r="E138" s="708"/>
      <c r="F138" s="708"/>
      <c r="G138" s="708"/>
      <c r="H138" s="708"/>
      <c r="I138" s="708"/>
      <c r="J138" s="708"/>
      <c r="K138" s="708"/>
      <c r="L138" s="708"/>
      <c r="M138" s="708"/>
      <c r="N138" s="708"/>
      <c r="O138" s="708"/>
      <c r="P138" s="708"/>
      <c r="Q138" s="708"/>
      <c r="R138" s="708"/>
      <c r="S138" s="708"/>
      <c r="T138" s="708"/>
      <c r="U138" s="708"/>
      <c r="V138" s="708"/>
      <c r="W138" s="708"/>
      <c r="X138" s="708"/>
      <c r="Y138" s="708"/>
      <c r="Z138" s="708"/>
      <c r="AA138" s="708"/>
    </row>
    <row r="139" ht="15.75" customHeight="1">
      <c r="A139" s="708"/>
      <c r="B139" s="708"/>
      <c r="C139" s="708"/>
      <c r="D139" s="708"/>
      <c r="E139" s="708"/>
      <c r="F139" s="708"/>
      <c r="G139" s="708"/>
      <c r="H139" s="708"/>
      <c r="I139" s="708"/>
      <c r="J139" s="708"/>
      <c r="K139" s="708"/>
      <c r="L139" s="708"/>
      <c r="M139" s="708"/>
      <c r="N139" s="708"/>
      <c r="O139" s="708"/>
      <c r="P139" s="708"/>
      <c r="Q139" s="708"/>
      <c r="R139" s="708"/>
      <c r="S139" s="708"/>
      <c r="T139" s="708"/>
      <c r="U139" s="708"/>
      <c r="V139" s="708"/>
      <c r="W139" s="708"/>
      <c r="X139" s="708"/>
      <c r="Y139" s="708"/>
      <c r="Z139" s="708"/>
      <c r="AA139" s="708"/>
    </row>
    <row r="140" ht="15.75" customHeight="1">
      <c r="A140" s="708"/>
      <c r="B140" s="708"/>
      <c r="C140" s="708"/>
      <c r="D140" s="708"/>
      <c r="E140" s="708"/>
      <c r="F140" s="708"/>
      <c r="G140" s="708"/>
      <c r="H140" s="708"/>
      <c r="I140" s="708"/>
      <c r="J140" s="708"/>
      <c r="K140" s="708"/>
      <c r="L140" s="708"/>
      <c r="M140" s="708"/>
      <c r="N140" s="708"/>
      <c r="O140" s="708"/>
      <c r="P140" s="708"/>
      <c r="Q140" s="708"/>
      <c r="R140" s="708"/>
      <c r="S140" s="708"/>
      <c r="T140" s="708"/>
      <c r="U140" s="708"/>
      <c r="V140" s="708"/>
      <c r="W140" s="708"/>
      <c r="X140" s="708"/>
      <c r="Y140" s="708"/>
      <c r="Z140" s="708"/>
      <c r="AA140" s="708"/>
    </row>
    <row r="141" ht="15.75" customHeight="1">
      <c r="A141" s="708"/>
      <c r="B141" s="708"/>
      <c r="C141" s="708"/>
      <c r="D141" s="708"/>
      <c r="E141" s="708"/>
      <c r="F141" s="708"/>
      <c r="G141" s="708"/>
      <c r="H141" s="708"/>
      <c r="I141" s="708"/>
      <c r="J141" s="708"/>
      <c r="K141" s="708"/>
      <c r="L141" s="708"/>
      <c r="M141" s="708"/>
      <c r="N141" s="708"/>
      <c r="O141" s="708"/>
      <c r="P141" s="708"/>
      <c r="Q141" s="708"/>
      <c r="R141" s="708"/>
      <c r="S141" s="708"/>
      <c r="T141" s="708"/>
      <c r="U141" s="708"/>
      <c r="V141" s="708"/>
      <c r="W141" s="708"/>
      <c r="X141" s="708"/>
      <c r="Y141" s="708"/>
      <c r="Z141" s="708"/>
      <c r="AA141" s="708"/>
    </row>
    <row r="142" ht="15.75" customHeight="1">
      <c r="A142" s="708"/>
      <c r="B142" s="708"/>
      <c r="C142" s="708"/>
      <c r="D142" s="708"/>
      <c r="E142" s="708"/>
      <c r="F142" s="708"/>
      <c r="G142" s="708"/>
      <c r="H142" s="708"/>
      <c r="I142" s="708"/>
      <c r="J142" s="708"/>
      <c r="K142" s="708"/>
      <c r="L142" s="708"/>
      <c r="M142" s="708"/>
      <c r="N142" s="708"/>
      <c r="O142" s="708"/>
      <c r="P142" s="708"/>
      <c r="Q142" s="708"/>
      <c r="R142" s="708"/>
      <c r="S142" s="708"/>
      <c r="T142" s="708"/>
      <c r="U142" s="708"/>
      <c r="V142" s="708"/>
      <c r="W142" s="708"/>
      <c r="X142" s="708"/>
      <c r="Y142" s="708"/>
      <c r="Z142" s="708"/>
      <c r="AA142" s="708"/>
    </row>
    <row r="143" ht="15.75" customHeight="1">
      <c r="A143" s="708"/>
      <c r="B143" s="708"/>
      <c r="C143" s="708"/>
      <c r="D143" s="708"/>
      <c r="E143" s="708"/>
      <c r="F143" s="708"/>
      <c r="G143" s="708"/>
      <c r="H143" s="708"/>
      <c r="I143" s="708"/>
      <c r="J143" s="708"/>
      <c r="K143" s="708"/>
      <c r="L143" s="708"/>
      <c r="M143" s="708"/>
      <c r="N143" s="708"/>
      <c r="O143" s="708"/>
      <c r="P143" s="708"/>
      <c r="Q143" s="708"/>
      <c r="R143" s="708"/>
      <c r="S143" s="708"/>
      <c r="T143" s="708"/>
      <c r="U143" s="708"/>
      <c r="V143" s="708"/>
      <c r="W143" s="708"/>
      <c r="X143" s="708"/>
      <c r="Y143" s="708"/>
      <c r="Z143" s="708"/>
      <c r="AA143" s="708"/>
    </row>
    <row r="144" ht="15.75" customHeight="1">
      <c r="A144" s="708"/>
      <c r="B144" s="708"/>
      <c r="C144" s="708"/>
      <c r="D144" s="708"/>
      <c r="E144" s="708"/>
      <c r="F144" s="708"/>
      <c r="G144" s="708"/>
      <c r="H144" s="708"/>
      <c r="I144" s="708"/>
      <c r="J144" s="708"/>
      <c r="K144" s="708"/>
      <c r="L144" s="708"/>
      <c r="M144" s="708"/>
      <c r="N144" s="708"/>
      <c r="O144" s="708"/>
      <c r="P144" s="708"/>
      <c r="Q144" s="708"/>
      <c r="R144" s="708"/>
      <c r="S144" s="708"/>
      <c r="T144" s="708"/>
      <c r="U144" s="708"/>
      <c r="V144" s="708"/>
      <c r="W144" s="708"/>
      <c r="X144" s="708"/>
      <c r="Y144" s="708"/>
      <c r="Z144" s="708"/>
      <c r="AA144" s="708"/>
    </row>
    <row r="145" ht="15.75" customHeight="1">
      <c r="A145" s="708"/>
      <c r="B145" s="708"/>
      <c r="C145" s="708"/>
      <c r="D145" s="708"/>
      <c r="E145" s="708"/>
      <c r="F145" s="708"/>
      <c r="G145" s="708"/>
      <c r="H145" s="708"/>
      <c r="I145" s="708"/>
      <c r="J145" s="708"/>
      <c r="K145" s="708"/>
      <c r="L145" s="708"/>
      <c r="M145" s="708"/>
      <c r="N145" s="708"/>
      <c r="O145" s="708"/>
      <c r="P145" s="708"/>
      <c r="Q145" s="708"/>
      <c r="R145" s="708"/>
      <c r="S145" s="708"/>
      <c r="T145" s="708"/>
      <c r="U145" s="708"/>
      <c r="V145" s="708"/>
      <c r="W145" s="708"/>
      <c r="X145" s="708"/>
      <c r="Y145" s="708"/>
      <c r="Z145" s="708"/>
      <c r="AA145" s="708"/>
    </row>
    <row r="146" ht="15.75" customHeight="1">
      <c r="A146" s="708"/>
      <c r="B146" s="708"/>
      <c r="C146" s="708"/>
      <c r="D146" s="708"/>
      <c r="E146" s="708"/>
      <c r="F146" s="708"/>
      <c r="G146" s="708"/>
      <c r="H146" s="708"/>
      <c r="I146" s="708"/>
      <c r="J146" s="708"/>
      <c r="K146" s="708"/>
      <c r="L146" s="708"/>
      <c r="M146" s="708"/>
      <c r="N146" s="708"/>
      <c r="O146" s="708"/>
      <c r="P146" s="708"/>
      <c r="Q146" s="708"/>
      <c r="R146" s="708"/>
      <c r="S146" s="708"/>
      <c r="T146" s="708"/>
      <c r="U146" s="708"/>
      <c r="V146" s="708"/>
      <c r="W146" s="708"/>
      <c r="X146" s="708"/>
      <c r="Y146" s="708"/>
      <c r="Z146" s="708"/>
      <c r="AA146" s="708"/>
    </row>
    <row r="147" ht="15.75" customHeight="1">
      <c r="A147" s="708"/>
      <c r="B147" s="708"/>
      <c r="C147" s="708"/>
      <c r="D147" s="708"/>
      <c r="E147" s="708"/>
      <c r="F147" s="708"/>
      <c r="G147" s="708"/>
      <c r="H147" s="708"/>
      <c r="I147" s="708"/>
      <c r="J147" s="708"/>
      <c r="K147" s="708"/>
      <c r="L147" s="708"/>
      <c r="M147" s="708"/>
      <c r="N147" s="708"/>
      <c r="O147" s="708"/>
      <c r="P147" s="708"/>
      <c r="Q147" s="708"/>
      <c r="R147" s="708"/>
      <c r="S147" s="708"/>
      <c r="T147" s="708"/>
      <c r="U147" s="708"/>
      <c r="V147" s="708"/>
      <c r="W147" s="708"/>
      <c r="X147" s="708"/>
      <c r="Y147" s="708"/>
      <c r="Z147" s="708"/>
      <c r="AA147" s="708"/>
    </row>
    <row r="148" ht="15.75" customHeight="1">
      <c r="A148" s="708"/>
      <c r="B148" s="708"/>
      <c r="C148" s="708"/>
      <c r="D148" s="708"/>
      <c r="E148" s="708"/>
      <c r="F148" s="708"/>
      <c r="G148" s="708"/>
      <c r="H148" s="708"/>
      <c r="I148" s="708"/>
      <c r="J148" s="708"/>
      <c r="K148" s="708"/>
      <c r="L148" s="708"/>
      <c r="M148" s="708"/>
      <c r="N148" s="708"/>
      <c r="O148" s="708"/>
      <c r="P148" s="708"/>
      <c r="Q148" s="708"/>
      <c r="R148" s="708"/>
      <c r="S148" s="708"/>
      <c r="T148" s="708"/>
      <c r="U148" s="708"/>
      <c r="V148" s="708"/>
      <c r="W148" s="708"/>
      <c r="X148" s="708"/>
      <c r="Y148" s="708"/>
      <c r="Z148" s="708"/>
      <c r="AA148" s="708"/>
    </row>
    <row r="149" ht="15.75" customHeight="1">
      <c r="A149" s="708"/>
      <c r="B149" s="708"/>
      <c r="C149" s="708"/>
      <c r="D149" s="708"/>
      <c r="E149" s="708"/>
      <c r="F149" s="708"/>
      <c r="G149" s="708"/>
      <c r="H149" s="708"/>
      <c r="I149" s="708"/>
      <c r="J149" s="708"/>
      <c r="K149" s="708"/>
      <c r="L149" s="708"/>
      <c r="M149" s="708"/>
      <c r="N149" s="708"/>
      <c r="O149" s="708"/>
      <c r="P149" s="708"/>
      <c r="Q149" s="708"/>
      <c r="R149" s="708"/>
      <c r="S149" s="708"/>
      <c r="T149" s="708"/>
      <c r="U149" s="708"/>
      <c r="V149" s="708"/>
      <c r="W149" s="708"/>
      <c r="X149" s="708"/>
      <c r="Y149" s="708"/>
      <c r="Z149" s="708"/>
      <c r="AA149" s="708"/>
    </row>
    <row r="150" ht="15.75" customHeight="1">
      <c r="A150" s="708"/>
      <c r="B150" s="708"/>
      <c r="C150" s="708"/>
      <c r="D150" s="708"/>
      <c r="E150" s="708"/>
      <c r="F150" s="708"/>
      <c r="G150" s="708"/>
      <c r="H150" s="708"/>
      <c r="I150" s="708"/>
      <c r="J150" s="708"/>
      <c r="K150" s="708"/>
      <c r="L150" s="708"/>
      <c r="M150" s="708"/>
      <c r="N150" s="708"/>
      <c r="O150" s="708"/>
      <c r="P150" s="708"/>
      <c r="Q150" s="708"/>
      <c r="R150" s="708"/>
      <c r="S150" s="708"/>
      <c r="T150" s="708"/>
      <c r="U150" s="708"/>
      <c r="V150" s="708"/>
      <c r="W150" s="708"/>
      <c r="X150" s="708"/>
      <c r="Y150" s="708"/>
      <c r="Z150" s="708"/>
      <c r="AA150" s="708"/>
    </row>
    <row r="151" ht="15.75" customHeight="1">
      <c r="A151" s="708"/>
      <c r="B151" s="708"/>
      <c r="C151" s="708"/>
      <c r="D151" s="708"/>
      <c r="E151" s="708"/>
      <c r="F151" s="708"/>
      <c r="G151" s="708"/>
      <c r="H151" s="708"/>
      <c r="I151" s="708"/>
      <c r="J151" s="708"/>
      <c r="K151" s="708"/>
      <c r="L151" s="708"/>
      <c r="M151" s="708"/>
      <c r="N151" s="708"/>
      <c r="O151" s="708"/>
      <c r="P151" s="708"/>
      <c r="Q151" s="708"/>
      <c r="R151" s="708"/>
      <c r="S151" s="708"/>
      <c r="T151" s="708"/>
      <c r="U151" s="708"/>
      <c r="V151" s="708"/>
      <c r="W151" s="708"/>
      <c r="X151" s="708"/>
      <c r="Y151" s="708"/>
      <c r="Z151" s="708"/>
      <c r="AA151" s="708"/>
    </row>
    <row r="152" ht="15.75" customHeight="1">
      <c r="A152" s="708"/>
      <c r="B152" s="708"/>
      <c r="C152" s="708"/>
      <c r="D152" s="708"/>
      <c r="E152" s="708"/>
      <c r="F152" s="708"/>
      <c r="G152" s="708"/>
      <c r="H152" s="708"/>
      <c r="I152" s="708"/>
      <c r="J152" s="708"/>
      <c r="K152" s="708"/>
      <c r="L152" s="708"/>
      <c r="M152" s="708"/>
      <c r="N152" s="708"/>
      <c r="O152" s="708"/>
      <c r="P152" s="708"/>
      <c r="Q152" s="708"/>
      <c r="R152" s="708"/>
      <c r="S152" s="708"/>
      <c r="T152" s="708"/>
      <c r="U152" s="708"/>
      <c r="V152" s="708"/>
      <c r="W152" s="708"/>
      <c r="X152" s="708"/>
      <c r="Y152" s="708"/>
      <c r="Z152" s="708"/>
      <c r="AA152" s="708"/>
    </row>
    <row r="153" ht="15.75" customHeight="1">
      <c r="A153" s="708"/>
      <c r="B153" s="708"/>
      <c r="C153" s="708"/>
      <c r="D153" s="708"/>
      <c r="E153" s="708"/>
      <c r="F153" s="708"/>
      <c r="G153" s="708"/>
      <c r="H153" s="708"/>
      <c r="I153" s="708"/>
      <c r="J153" s="708"/>
      <c r="K153" s="708"/>
      <c r="L153" s="708"/>
      <c r="M153" s="708"/>
      <c r="N153" s="708"/>
      <c r="O153" s="708"/>
      <c r="P153" s="708"/>
      <c r="Q153" s="708"/>
      <c r="R153" s="708"/>
      <c r="S153" s="708"/>
      <c r="T153" s="708"/>
      <c r="U153" s="708"/>
      <c r="V153" s="708"/>
      <c r="W153" s="708"/>
      <c r="X153" s="708"/>
      <c r="Y153" s="708"/>
      <c r="Z153" s="708"/>
      <c r="AA153" s="708"/>
    </row>
    <row r="154" ht="15.75" customHeight="1">
      <c r="A154" s="708"/>
      <c r="B154" s="708"/>
      <c r="C154" s="708"/>
      <c r="D154" s="708"/>
      <c r="E154" s="708"/>
      <c r="F154" s="708"/>
      <c r="G154" s="708"/>
      <c r="H154" s="708"/>
      <c r="I154" s="708"/>
      <c r="J154" s="708"/>
      <c r="K154" s="708"/>
      <c r="L154" s="708"/>
      <c r="M154" s="708"/>
      <c r="N154" s="708"/>
      <c r="O154" s="708"/>
      <c r="P154" s="708"/>
      <c r="Q154" s="708"/>
      <c r="R154" s="708"/>
      <c r="S154" s="708"/>
      <c r="T154" s="708"/>
      <c r="U154" s="708"/>
      <c r="V154" s="708"/>
      <c r="W154" s="708"/>
      <c r="X154" s="708"/>
      <c r="Y154" s="708"/>
      <c r="Z154" s="708"/>
      <c r="AA154" s="708"/>
    </row>
    <row r="155" ht="15.75" customHeight="1">
      <c r="A155" s="708"/>
      <c r="B155" s="708"/>
      <c r="C155" s="708"/>
      <c r="D155" s="708"/>
      <c r="E155" s="708"/>
      <c r="F155" s="708"/>
      <c r="G155" s="708"/>
      <c r="H155" s="708"/>
      <c r="I155" s="708"/>
      <c r="J155" s="708"/>
      <c r="K155" s="708"/>
      <c r="L155" s="708"/>
      <c r="M155" s="708"/>
      <c r="N155" s="708"/>
      <c r="O155" s="708"/>
      <c r="P155" s="708"/>
      <c r="Q155" s="708"/>
      <c r="R155" s="708"/>
      <c r="S155" s="708"/>
      <c r="T155" s="708"/>
      <c r="U155" s="708"/>
      <c r="V155" s="708"/>
      <c r="W155" s="708"/>
      <c r="X155" s="708"/>
      <c r="Y155" s="708"/>
      <c r="Z155" s="708"/>
      <c r="AA155" s="708"/>
    </row>
    <row r="156" ht="15.75" customHeight="1">
      <c r="A156" s="708"/>
      <c r="B156" s="708"/>
      <c r="C156" s="708"/>
      <c r="D156" s="708"/>
      <c r="E156" s="708"/>
      <c r="F156" s="708"/>
      <c r="G156" s="708"/>
      <c r="H156" s="708"/>
      <c r="I156" s="708"/>
      <c r="J156" s="708"/>
      <c r="K156" s="708"/>
      <c r="L156" s="708"/>
      <c r="M156" s="708"/>
      <c r="N156" s="708"/>
      <c r="O156" s="708"/>
      <c r="P156" s="708"/>
      <c r="Q156" s="708"/>
      <c r="R156" s="708"/>
      <c r="S156" s="708"/>
      <c r="T156" s="708"/>
      <c r="U156" s="708"/>
      <c r="V156" s="708"/>
      <c r="W156" s="708"/>
      <c r="X156" s="708"/>
      <c r="Y156" s="708"/>
      <c r="Z156" s="708"/>
      <c r="AA156" s="708"/>
    </row>
    <row r="157" ht="15.75" customHeight="1">
      <c r="A157" s="708"/>
      <c r="B157" s="708"/>
      <c r="C157" s="708"/>
      <c r="D157" s="708"/>
      <c r="E157" s="708"/>
      <c r="F157" s="708"/>
      <c r="G157" s="708"/>
      <c r="H157" s="708"/>
      <c r="I157" s="708"/>
      <c r="J157" s="708"/>
      <c r="K157" s="708"/>
      <c r="L157" s="708"/>
      <c r="M157" s="708"/>
      <c r="N157" s="708"/>
      <c r="O157" s="708"/>
      <c r="P157" s="708"/>
      <c r="Q157" s="708"/>
      <c r="R157" s="708"/>
      <c r="S157" s="708"/>
      <c r="T157" s="708"/>
      <c r="U157" s="708"/>
      <c r="V157" s="708"/>
      <c r="W157" s="708"/>
      <c r="X157" s="708"/>
      <c r="Y157" s="708"/>
      <c r="Z157" s="708"/>
      <c r="AA157" s="708"/>
    </row>
    <row r="158" ht="15.75" customHeight="1">
      <c r="A158" s="708"/>
      <c r="B158" s="708"/>
      <c r="C158" s="708"/>
      <c r="D158" s="708"/>
      <c r="E158" s="708"/>
      <c r="F158" s="708"/>
      <c r="G158" s="708"/>
      <c r="H158" s="708"/>
      <c r="I158" s="708"/>
      <c r="J158" s="708"/>
      <c r="K158" s="708"/>
      <c r="L158" s="708"/>
      <c r="M158" s="708"/>
      <c r="N158" s="708"/>
      <c r="O158" s="708"/>
      <c r="P158" s="708"/>
      <c r="Q158" s="708"/>
      <c r="R158" s="708"/>
      <c r="S158" s="708"/>
      <c r="T158" s="708"/>
      <c r="U158" s="708"/>
      <c r="V158" s="708"/>
      <c r="W158" s="708"/>
      <c r="X158" s="708"/>
      <c r="Y158" s="708"/>
      <c r="Z158" s="708"/>
      <c r="AA158" s="708"/>
    </row>
    <row r="159" ht="15.75" customHeight="1">
      <c r="A159" s="708"/>
      <c r="B159" s="708"/>
      <c r="C159" s="708"/>
      <c r="D159" s="708"/>
      <c r="E159" s="708"/>
      <c r="F159" s="708"/>
      <c r="G159" s="708"/>
      <c r="H159" s="708"/>
      <c r="I159" s="708"/>
      <c r="J159" s="708"/>
      <c r="K159" s="708"/>
      <c r="L159" s="708"/>
      <c r="M159" s="708"/>
      <c r="N159" s="708"/>
      <c r="O159" s="708"/>
      <c r="P159" s="708"/>
      <c r="Q159" s="708"/>
      <c r="R159" s="708"/>
      <c r="S159" s="708"/>
      <c r="T159" s="708"/>
      <c r="U159" s="708"/>
      <c r="V159" s="708"/>
      <c r="W159" s="708"/>
      <c r="X159" s="708"/>
      <c r="Y159" s="708"/>
      <c r="Z159" s="708"/>
      <c r="AA159" s="708"/>
    </row>
    <row r="160" ht="15.75" customHeight="1">
      <c r="A160" s="708"/>
      <c r="B160" s="708"/>
      <c r="C160" s="708"/>
      <c r="D160" s="708"/>
      <c r="E160" s="708"/>
      <c r="F160" s="708"/>
      <c r="G160" s="708"/>
      <c r="H160" s="708"/>
      <c r="I160" s="708"/>
      <c r="J160" s="708"/>
      <c r="K160" s="708"/>
      <c r="L160" s="708"/>
      <c r="M160" s="708"/>
      <c r="N160" s="708"/>
      <c r="O160" s="708"/>
      <c r="P160" s="708"/>
      <c r="Q160" s="708"/>
      <c r="R160" s="708"/>
      <c r="S160" s="708"/>
      <c r="T160" s="708"/>
      <c r="U160" s="708"/>
      <c r="V160" s="708"/>
      <c r="W160" s="708"/>
      <c r="X160" s="708"/>
      <c r="Y160" s="708"/>
      <c r="Z160" s="708"/>
      <c r="AA160" s="708"/>
    </row>
    <row r="161" ht="15.75" customHeight="1">
      <c r="A161" s="708"/>
      <c r="B161" s="708"/>
      <c r="C161" s="708"/>
      <c r="D161" s="708"/>
      <c r="E161" s="708"/>
      <c r="F161" s="708"/>
      <c r="G161" s="708"/>
      <c r="H161" s="708"/>
      <c r="I161" s="708"/>
      <c r="J161" s="708"/>
      <c r="K161" s="708"/>
      <c r="L161" s="708"/>
      <c r="M161" s="708"/>
      <c r="N161" s="708"/>
      <c r="O161" s="708"/>
      <c r="P161" s="708"/>
      <c r="Q161" s="708"/>
      <c r="R161" s="708"/>
      <c r="S161" s="708"/>
      <c r="T161" s="708"/>
      <c r="U161" s="708"/>
      <c r="V161" s="708"/>
      <c r="W161" s="708"/>
      <c r="X161" s="708"/>
      <c r="Y161" s="708"/>
      <c r="Z161" s="708"/>
      <c r="AA161" s="708"/>
    </row>
    <row r="162" ht="15.75" customHeight="1">
      <c r="A162" s="708"/>
      <c r="B162" s="708"/>
      <c r="C162" s="708"/>
      <c r="D162" s="708"/>
      <c r="E162" s="708"/>
      <c r="F162" s="708"/>
      <c r="G162" s="708"/>
      <c r="H162" s="708"/>
      <c r="I162" s="708"/>
      <c r="J162" s="708"/>
      <c r="K162" s="708"/>
      <c r="L162" s="708"/>
      <c r="M162" s="708"/>
      <c r="N162" s="708"/>
      <c r="O162" s="708"/>
      <c r="P162" s="708"/>
      <c r="Q162" s="708"/>
      <c r="R162" s="708"/>
      <c r="S162" s="708"/>
      <c r="T162" s="708"/>
      <c r="U162" s="708"/>
      <c r="V162" s="708"/>
      <c r="W162" s="708"/>
      <c r="X162" s="708"/>
      <c r="Y162" s="708"/>
      <c r="Z162" s="708"/>
      <c r="AA162" s="708"/>
    </row>
    <row r="163" ht="15.75" customHeight="1">
      <c r="A163" s="708"/>
      <c r="B163" s="708"/>
      <c r="C163" s="708"/>
      <c r="D163" s="708"/>
      <c r="E163" s="708"/>
      <c r="F163" s="708"/>
      <c r="G163" s="708"/>
      <c r="H163" s="708"/>
      <c r="I163" s="708"/>
      <c r="J163" s="708"/>
      <c r="K163" s="708"/>
      <c r="L163" s="708"/>
      <c r="M163" s="708"/>
      <c r="N163" s="708"/>
      <c r="O163" s="708"/>
      <c r="P163" s="708"/>
      <c r="Q163" s="708"/>
      <c r="R163" s="708"/>
      <c r="S163" s="708"/>
      <c r="T163" s="708"/>
      <c r="U163" s="708"/>
      <c r="V163" s="708"/>
      <c r="W163" s="708"/>
      <c r="X163" s="708"/>
      <c r="Y163" s="708"/>
      <c r="Z163" s="708"/>
      <c r="AA163" s="708"/>
    </row>
    <row r="164" ht="15.75" customHeight="1">
      <c r="A164" s="708"/>
      <c r="B164" s="708"/>
      <c r="C164" s="708"/>
      <c r="D164" s="708"/>
      <c r="E164" s="708"/>
      <c r="F164" s="708"/>
      <c r="G164" s="708"/>
      <c r="H164" s="708"/>
      <c r="I164" s="708"/>
      <c r="J164" s="708"/>
      <c r="K164" s="708"/>
      <c r="L164" s="708"/>
      <c r="M164" s="708"/>
      <c r="N164" s="708"/>
      <c r="O164" s="708"/>
      <c r="P164" s="708"/>
      <c r="Q164" s="708"/>
      <c r="R164" s="708"/>
      <c r="S164" s="708"/>
      <c r="T164" s="708"/>
      <c r="U164" s="708"/>
      <c r="V164" s="708"/>
      <c r="W164" s="708"/>
      <c r="X164" s="708"/>
      <c r="Y164" s="708"/>
      <c r="Z164" s="708"/>
      <c r="AA164" s="708"/>
    </row>
    <row r="165" ht="15.75" customHeight="1">
      <c r="A165" s="708"/>
      <c r="B165" s="708"/>
      <c r="C165" s="708"/>
      <c r="D165" s="708"/>
      <c r="E165" s="708"/>
      <c r="F165" s="708"/>
      <c r="G165" s="708"/>
      <c r="H165" s="708"/>
      <c r="I165" s="708"/>
      <c r="J165" s="708"/>
      <c r="K165" s="708"/>
      <c r="L165" s="708"/>
      <c r="M165" s="708"/>
      <c r="N165" s="708"/>
      <c r="O165" s="708"/>
      <c r="P165" s="708"/>
      <c r="Q165" s="708"/>
      <c r="R165" s="708"/>
      <c r="S165" s="708"/>
      <c r="T165" s="708"/>
      <c r="U165" s="708"/>
      <c r="V165" s="708"/>
      <c r="W165" s="708"/>
      <c r="X165" s="708"/>
      <c r="Y165" s="708"/>
      <c r="Z165" s="708"/>
      <c r="AA165" s="708"/>
    </row>
    <row r="166" ht="15.75" customHeight="1">
      <c r="A166" s="708"/>
      <c r="B166" s="708"/>
      <c r="C166" s="708"/>
      <c r="D166" s="708"/>
      <c r="E166" s="708"/>
      <c r="F166" s="708"/>
      <c r="G166" s="708"/>
      <c r="H166" s="708"/>
      <c r="I166" s="708"/>
      <c r="J166" s="708"/>
      <c r="K166" s="708"/>
      <c r="L166" s="708"/>
      <c r="M166" s="708"/>
      <c r="N166" s="708"/>
      <c r="O166" s="708"/>
      <c r="P166" s="708"/>
      <c r="Q166" s="708"/>
      <c r="R166" s="708"/>
      <c r="S166" s="708"/>
      <c r="T166" s="708"/>
      <c r="U166" s="708"/>
      <c r="V166" s="708"/>
      <c r="W166" s="708"/>
      <c r="X166" s="708"/>
      <c r="Y166" s="708"/>
      <c r="Z166" s="708"/>
      <c r="AA166" s="708"/>
    </row>
    <row r="167" ht="15.75" customHeight="1">
      <c r="A167" s="708"/>
      <c r="B167" s="708"/>
      <c r="C167" s="708"/>
      <c r="D167" s="708"/>
      <c r="E167" s="708"/>
      <c r="F167" s="708"/>
      <c r="G167" s="708"/>
      <c r="H167" s="708"/>
      <c r="I167" s="708"/>
      <c r="J167" s="708"/>
      <c r="K167" s="708"/>
      <c r="L167" s="708"/>
      <c r="M167" s="708"/>
      <c r="N167" s="708"/>
      <c r="O167" s="708"/>
      <c r="P167" s="708"/>
      <c r="Q167" s="708"/>
      <c r="R167" s="708"/>
      <c r="S167" s="708"/>
      <c r="T167" s="708"/>
      <c r="U167" s="708"/>
      <c r="V167" s="708"/>
      <c r="W167" s="708"/>
      <c r="X167" s="708"/>
      <c r="Y167" s="708"/>
      <c r="Z167" s="708"/>
      <c r="AA167" s="708"/>
    </row>
    <row r="168" ht="15.75" customHeight="1">
      <c r="A168" s="708"/>
      <c r="B168" s="708"/>
      <c r="C168" s="708"/>
      <c r="D168" s="708"/>
      <c r="E168" s="708"/>
      <c r="F168" s="708"/>
      <c r="G168" s="708"/>
      <c r="H168" s="708"/>
      <c r="I168" s="708"/>
      <c r="J168" s="708"/>
      <c r="K168" s="708"/>
      <c r="L168" s="708"/>
      <c r="M168" s="708"/>
      <c r="N168" s="708"/>
      <c r="O168" s="708"/>
      <c r="P168" s="708"/>
      <c r="Q168" s="708"/>
      <c r="R168" s="708"/>
      <c r="S168" s="708"/>
      <c r="T168" s="708"/>
      <c r="U168" s="708"/>
      <c r="V168" s="708"/>
      <c r="W168" s="708"/>
      <c r="X168" s="708"/>
      <c r="Y168" s="708"/>
      <c r="Z168" s="708"/>
      <c r="AA168" s="708"/>
    </row>
    <row r="169" ht="15.75" customHeight="1">
      <c r="A169" s="708"/>
      <c r="B169" s="708"/>
      <c r="C169" s="708"/>
      <c r="D169" s="708"/>
      <c r="E169" s="708"/>
      <c r="F169" s="708"/>
      <c r="G169" s="708"/>
      <c r="H169" s="708"/>
      <c r="I169" s="708"/>
      <c r="J169" s="708"/>
      <c r="K169" s="708"/>
      <c r="L169" s="708"/>
      <c r="M169" s="708"/>
      <c r="N169" s="708"/>
      <c r="O169" s="708"/>
      <c r="P169" s="708"/>
      <c r="Q169" s="708"/>
      <c r="R169" s="708"/>
      <c r="S169" s="708"/>
      <c r="T169" s="708"/>
      <c r="U169" s="708"/>
      <c r="V169" s="708"/>
      <c r="W169" s="708"/>
      <c r="X169" s="708"/>
      <c r="Y169" s="708"/>
      <c r="Z169" s="708"/>
      <c r="AA169" s="708"/>
    </row>
    <row r="170" ht="15.75" customHeight="1">
      <c r="A170" s="708"/>
      <c r="B170" s="708"/>
      <c r="C170" s="708"/>
      <c r="D170" s="708"/>
      <c r="E170" s="708"/>
      <c r="F170" s="708"/>
      <c r="G170" s="708"/>
      <c r="H170" s="708"/>
      <c r="I170" s="708"/>
      <c r="J170" s="708"/>
      <c r="K170" s="708"/>
      <c r="L170" s="708"/>
      <c r="M170" s="708"/>
      <c r="N170" s="708"/>
      <c r="O170" s="708"/>
      <c r="P170" s="708"/>
      <c r="Q170" s="708"/>
      <c r="R170" s="708"/>
      <c r="S170" s="708"/>
      <c r="T170" s="708"/>
      <c r="U170" s="708"/>
      <c r="V170" s="708"/>
      <c r="W170" s="708"/>
      <c r="X170" s="708"/>
      <c r="Y170" s="708"/>
      <c r="Z170" s="708"/>
      <c r="AA170" s="708"/>
    </row>
    <row r="171" ht="15.75" customHeight="1">
      <c r="A171" s="708"/>
      <c r="B171" s="708"/>
      <c r="C171" s="708"/>
      <c r="D171" s="708"/>
      <c r="E171" s="708"/>
      <c r="F171" s="708"/>
      <c r="G171" s="708"/>
      <c r="H171" s="708"/>
      <c r="I171" s="708"/>
      <c r="J171" s="708"/>
      <c r="K171" s="708"/>
      <c r="L171" s="708"/>
      <c r="M171" s="708"/>
      <c r="N171" s="708"/>
      <c r="O171" s="708"/>
      <c r="P171" s="708"/>
      <c r="Q171" s="708"/>
      <c r="R171" s="708"/>
      <c r="S171" s="708"/>
      <c r="T171" s="708"/>
      <c r="U171" s="708"/>
      <c r="V171" s="708"/>
      <c r="W171" s="708"/>
      <c r="X171" s="708"/>
      <c r="Y171" s="708"/>
      <c r="Z171" s="708"/>
      <c r="AA171" s="708"/>
    </row>
    <row r="172" ht="15.75" customHeight="1">
      <c r="A172" s="708"/>
      <c r="B172" s="708"/>
      <c r="C172" s="708"/>
      <c r="D172" s="708"/>
      <c r="E172" s="708"/>
      <c r="F172" s="708"/>
      <c r="G172" s="708"/>
      <c r="H172" s="708"/>
      <c r="I172" s="708"/>
      <c r="J172" s="708"/>
      <c r="K172" s="708"/>
      <c r="L172" s="708"/>
      <c r="M172" s="708"/>
      <c r="N172" s="708"/>
      <c r="O172" s="708"/>
      <c r="P172" s="708"/>
      <c r="Q172" s="708"/>
      <c r="R172" s="708"/>
      <c r="S172" s="708"/>
      <c r="T172" s="708"/>
      <c r="U172" s="708"/>
      <c r="V172" s="708"/>
      <c r="W172" s="708"/>
      <c r="X172" s="708"/>
      <c r="Y172" s="708"/>
      <c r="Z172" s="708"/>
      <c r="AA172" s="708"/>
    </row>
    <row r="173" ht="15.75" customHeight="1">
      <c r="A173" s="708"/>
      <c r="B173" s="708"/>
      <c r="C173" s="708"/>
      <c r="D173" s="708"/>
      <c r="E173" s="708"/>
      <c r="F173" s="708"/>
      <c r="G173" s="708"/>
      <c r="H173" s="708"/>
      <c r="I173" s="708"/>
      <c r="J173" s="708"/>
      <c r="K173" s="708"/>
      <c r="L173" s="708"/>
      <c r="M173" s="708"/>
      <c r="N173" s="708"/>
      <c r="O173" s="708"/>
      <c r="P173" s="708"/>
      <c r="Q173" s="708"/>
      <c r="R173" s="708"/>
      <c r="S173" s="708"/>
      <c r="T173" s="708"/>
      <c r="U173" s="708"/>
      <c r="V173" s="708"/>
      <c r="W173" s="708"/>
      <c r="X173" s="708"/>
      <c r="Y173" s="708"/>
      <c r="Z173" s="708"/>
      <c r="AA173" s="708"/>
    </row>
    <row r="174" ht="15.75" customHeight="1">
      <c r="A174" s="708"/>
      <c r="B174" s="708"/>
      <c r="C174" s="708"/>
      <c r="D174" s="708"/>
      <c r="E174" s="708"/>
      <c r="F174" s="708"/>
      <c r="G174" s="708"/>
      <c r="H174" s="708"/>
      <c r="I174" s="708"/>
      <c r="J174" s="708"/>
      <c r="K174" s="708"/>
      <c r="L174" s="708"/>
      <c r="M174" s="708"/>
      <c r="N174" s="708"/>
      <c r="O174" s="708"/>
      <c r="P174" s="708"/>
      <c r="Q174" s="708"/>
      <c r="R174" s="708"/>
      <c r="S174" s="708"/>
      <c r="T174" s="708"/>
      <c r="U174" s="708"/>
      <c r="V174" s="708"/>
      <c r="W174" s="708"/>
      <c r="X174" s="708"/>
      <c r="Y174" s="708"/>
      <c r="Z174" s="708"/>
      <c r="AA174" s="708"/>
    </row>
    <row r="175" ht="15.75" customHeight="1">
      <c r="A175" s="708"/>
      <c r="B175" s="708"/>
      <c r="C175" s="708"/>
      <c r="D175" s="708"/>
      <c r="E175" s="708"/>
      <c r="F175" s="708"/>
      <c r="G175" s="708"/>
      <c r="H175" s="708"/>
      <c r="I175" s="708"/>
      <c r="J175" s="708"/>
      <c r="K175" s="708"/>
      <c r="L175" s="708"/>
      <c r="M175" s="708"/>
      <c r="N175" s="708"/>
      <c r="O175" s="708"/>
      <c r="P175" s="708"/>
      <c r="Q175" s="708"/>
      <c r="R175" s="708"/>
      <c r="S175" s="708"/>
      <c r="T175" s="708"/>
      <c r="U175" s="708"/>
      <c r="V175" s="708"/>
      <c r="W175" s="708"/>
      <c r="X175" s="708"/>
      <c r="Y175" s="708"/>
      <c r="Z175" s="708"/>
      <c r="AA175" s="708"/>
    </row>
    <row r="176" ht="15.75" customHeight="1">
      <c r="A176" s="708"/>
      <c r="B176" s="708"/>
      <c r="C176" s="708"/>
      <c r="D176" s="708"/>
      <c r="E176" s="708"/>
      <c r="F176" s="708"/>
      <c r="G176" s="708"/>
      <c r="H176" s="708"/>
      <c r="I176" s="708"/>
      <c r="J176" s="708"/>
      <c r="K176" s="708"/>
      <c r="L176" s="708"/>
      <c r="M176" s="708"/>
      <c r="N176" s="708"/>
      <c r="O176" s="708"/>
      <c r="P176" s="708"/>
      <c r="Q176" s="708"/>
      <c r="R176" s="708"/>
      <c r="S176" s="708"/>
      <c r="T176" s="708"/>
      <c r="U176" s="708"/>
      <c r="V176" s="708"/>
      <c r="W176" s="708"/>
      <c r="X176" s="708"/>
      <c r="Y176" s="708"/>
      <c r="Z176" s="708"/>
      <c r="AA176" s="708"/>
    </row>
    <row r="177" ht="15.75" customHeight="1">
      <c r="A177" s="708"/>
      <c r="B177" s="708"/>
      <c r="C177" s="708"/>
      <c r="D177" s="708"/>
      <c r="E177" s="708"/>
      <c r="F177" s="708"/>
      <c r="G177" s="708"/>
      <c r="H177" s="708"/>
      <c r="I177" s="708"/>
      <c r="J177" s="708"/>
      <c r="K177" s="708"/>
      <c r="L177" s="708"/>
      <c r="M177" s="708"/>
      <c r="N177" s="708"/>
      <c r="O177" s="708"/>
      <c r="P177" s="708"/>
      <c r="Q177" s="708"/>
      <c r="R177" s="708"/>
      <c r="S177" s="708"/>
      <c r="T177" s="708"/>
      <c r="U177" s="708"/>
      <c r="V177" s="708"/>
      <c r="W177" s="708"/>
      <c r="X177" s="708"/>
      <c r="Y177" s="708"/>
      <c r="Z177" s="708"/>
      <c r="AA177" s="708"/>
    </row>
    <row r="178" ht="15.75" customHeight="1">
      <c r="A178" s="708"/>
      <c r="B178" s="708"/>
      <c r="C178" s="708"/>
      <c r="D178" s="708"/>
      <c r="E178" s="708"/>
      <c r="F178" s="708"/>
      <c r="G178" s="708"/>
      <c r="H178" s="708"/>
      <c r="I178" s="708"/>
      <c r="J178" s="708"/>
      <c r="K178" s="708"/>
      <c r="L178" s="708"/>
      <c r="M178" s="708"/>
      <c r="N178" s="708"/>
      <c r="O178" s="708"/>
      <c r="P178" s="708"/>
      <c r="Q178" s="708"/>
      <c r="R178" s="708"/>
      <c r="S178" s="708"/>
      <c r="T178" s="708"/>
      <c r="U178" s="708"/>
      <c r="V178" s="708"/>
      <c r="W178" s="708"/>
      <c r="X178" s="708"/>
      <c r="Y178" s="708"/>
      <c r="Z178" s="708"/>
      <c r="AA178" s="708"/>
    </row>
    <row r="179" ht="15.75" customHeight="1">
      <c r="A179" s="708"/>
      <c r="B179" s="708"/>
      <c r="C179" s="708"/>
      <c r="D179" s="708"/>
      <c r="E179" s="708"/>
      <c r="F179" s="708"/>
      <c r="G179" s="708"/>
      <c r="H179" s="708"/>
      <c r="I179" s="708"/>
      <c r="J179" s="708"/>
      <c r="K179" s="708"/>
      <c r="L179" s="708"/>
      <c r="M179" s="708"/>
      <c r="N179" s="708"/>
      <c r="O179" s="708"/>
      <c r="P179" s="708"/>
      <c r="Q179" s="708"/>
      <c r="R179" s="708"/>
      <c r="S179" s="708"/>
      <c r="T179" s="708"/>
      <c r="U179" s="708"/>
      <c r="V179" s="708"/>
      <c r="W179" s="708"/>
      <c r="X179" s="708"/>
      <c r="Y179" s="708"/>
      <c r="Z179" s="708"/>
      <c r="AA179" s="708"/>
    </row>
    <row r="180" ht="15.75" customHeight="1">
      <c r="A180" s="708"/>
      <c r="B180" s="708"/>
      <c r="C180" s="708"/>
      <c r="D180" s="708"/>
      <c r="E180" s="708"/>
      <c r="F180" s="708"/>
      <c r="G180" s="708"/>
      <c r="H180" s="708"/>
      <c r="I180" s="708"/>
      <c r="J180" s="708"/>
      <c r="K180" s="708"/>
      <c r="L180" s="708"/>
      <c r="M180" s="708"/>
      <c r="N180" s="708"/>
      <c r="O180" s="708"/>
      <c r="P180" s="708"/>
      <c r="Q180" s="708"/>
      <c r="R180" s="708"/>
      <c r="S180" s="708"/>
      <c r="T180" s="708"/>
      <c r="U180" s="708"/>
      <c r="V180" s="708"/>
      <c r="W180" s="708"/>
      <c r="X180" s="708"/>
      <c r="Y180" s="708"/>
      <c r="Z180" s="708"/>
      <c r="AA180" s="708"/>
    </row>
    <row r="181" ht="15.75" customHeight="1">
      <c r="A181" s="708"/>
      <c r="B181" s="708"/>
      <c r="C181" s="708"/>
      <c r="D181" s="708"/>
      <c r="E181" s="708"/>
      <c r="F181" s="708"/>
      <c r="G181" s="708"/>
      <c r="H181" s="708"/>
      <c r="I181" s="708"/>
      <c r="J181" s="708"/>
      <c r="K181" s="708"/>
      <c r="L181" s="708"/>
      <c r="M181" s="708"/>
      <c r="N181" s="708"/>
      <c r="O181" s="708"/>
      <c r="P181" s="708"/>
      <c r="Q181" s="708"/>
      <c r="R181" s="708"/>
      <c r="S181" s="708"/>
      <c r="T181" s="708"/>
      <c r="U181" s="708"/>
      <c r="V181" s="708"/>
      <c r="W181" s="708"/>
      <c r="X181" s="708"/>
      <c r="Y181" s="708"/>
      <c r="Z181" s="708"/>
      <c r="AA181" s="708"/>
    </row>
    <row r="182" ht="15.75" customHeight="1">
      <c r="A182" s="708"/>
      <c r="B182" s="708"/>
      <c r="C182" s="708"/>
      <c r="D182" s="708"/>
      <c r="E182" s="708"/>
      <c r="F182" s="708"/>
      <c r="G182" s="708"/>
      <c r="H182" s="708"/>
      <c r="I182" s="708"/>
      <c r="J182" s="708"/>
      <c r="K182" s="708"/>
      <c r="L182" s="708"/>
      <c r="M182" s="708"/>
      <c r="N182" s="708"/>
      <c r="O182" s="708"/>
      <c r="P182" s="708"/>
      <c r="Q182" s="708"/>
      <c r="R182" s="708"/>
      <c r="S182" s="708"/>
      <c r="T182" s="708"/>
      <c r="U182" s="708"/>
      <c r="V182" s="708"/>
      <c r="W182" s="708"/>
      <c r="X182" s="708"/>
      <c r="Y182" s="708"/>
      <c r="Z182" s="708"/>
      <c r="AA182" s="708"/>
    </row>
    <row r="183" ht="15.75" customHeight="1">
      <c r="A183" s="708"/>
      <c r="B183" s="708"/>
      <c r="C183" s="708"/>
      <c r="D183" s="708"/>
      <c r="E183" s="708"/>
      <c r="F183" s="708"/>
      <c r="G183" s="708"/>
      <c r="H183" s="708"/>
      <c r="I183" s="708"/>
      <c r="J183" s="708"/>
      <c r="K183" s="708"/>
      <c r="L183" s="708"/>
      <c r="M183" s="708"/>
      <c r="N183" s="708"/>
      <c r="O183" s="708"/>
      <c r="P183" s="708"/>
      <c r="Q183" s="708"/>
      <c r="R183" s="708"/>
      <c r="S183" s="708"/>
      <c r="T183" s="708"/>
      <c r="U183" s="708"/>
      <c r="V183" s="708"/>
      <c r="W183" s="708"/>
      <c r="X183" s="708"/>
      <c r="Y183" s="708"/>
      <c r="Z183" s="708"/>
      <c r="AA183" s="708"/>
    </row>
    <row r="184" ht="15.75" customHeight="1">
      <c r="A184" s="708"/>
      <c r="B184" s="708"/>
      <c r="C184" s="708"/>
      <c r="D184" s="708"/>
      <c r="E184" s="708"/>
      <c r="F184" s="708"/>
      <c r="G184" s="708"/>
      <c r="H184" s="708"/>
      <c r="I184" s="708"/>
      <c r="J184" s="708"/>
      <c r="K184" s="708"/>
      <c r="L184" s="708"/>
      <c r="M184" s="708"/>
      <c r="N184" s="708"/>
      <c r="O184" s="708"/>
      <c r="P184" s="708"/>
      <c r="Q184" s="708"/>
      <c r="R184" s="708"/>
      <c r="S184" s="708"/>
      <c r="T184" s="708"/>
      <c r="U184" s="708"/>
      <c r="V184" s="708"/>
      <c r="W184" s="708"/>
      <c r="X184" s="708"/>
      <c r="Y184" s="708"/>
      <c r="Z184" s="708"/>
      <c r="AA184" s="708"/>
    </row>
    <row r="185" ht="15.75" customHeight="1">
      <c r="A185" s="708"/>
      <c r="B185" s="708"/>
      <c r="C185" s="708"/>
      <c r="D185" s="708"/>
      <c r="E185" s="708"/>
      <c r="F185" s="708"/>
      <c r="G185" s="708"/>
      <c r="H185" s="708"/>
      <c r="I185" s="708"/>
      <c r="J185" s="708"/>
      <c r="K185" s="708"/>
      <c r="L185" s="708"/>
      <c r="M185" s="708"/>
      <c r="N185" s="708"/>
      <c r="O185" s="708"/>
      <c r="P185" s="708"/>
      <c r="Q185" s="708"/>
      <c r="R185" s="708"/>
      <c r="S185" s="708"/>
      <c r="T185" s="708"/>
      <c r="U185" s="708"/>
      <c r="V185" s="708"/>
      <c r="W185" s="708"/>
      <c r="X185" s="708"/>
      <c r="Y185" s="708"/>
      <c r="Z185" s="708"/>
      <c r="AA185" s="708"/>
    </row>
    <row r="186" ht="15.75" customHeight="1">
      <c r="A186" s="708"/>
      <c r="B186" s="708"/>
      <c r="C186" s="708"/>
      <c r="D186" s="708"/>
      <c r="E186" s="708"/>
      <c r="F186" s="708"/>
      <c r="G186" s="708"/>
      <c r="H186" s="708"/>
      <c r="I186" s="708"/>
      <c r="J186" s="708"/>
      <c r="K186" s="708"/>
      <c r="L186" s="708"/>
      <c r="M186" s="708"/>
      <c r="N186" s="708"/>
      <c r="O186" s="708"/>
      <c r="P186" s="708"/>
      <c r="Q186" s="708"/>
      <c r="R186" s="708"/>
      <c r="S186" s="708"/>
      <c r="T186" s="708"/>
      <c r="U186" s="708"/>
      <c r="V186" s="708"/>
      <c r="W186" s="708"/>
      <c r="X186" s="708"/>
      <c r="Y186" s="708"/>
      <c r="Z186" s="708"/>
      <c r="AA186" s="708"/>
    </row>
    <row r="187" ht="15.75" customHeight="1">
      <c r="A187" s="708"/>
      <c r="B187" s="708"/>
      <c r="C187" s="708"/>
      <c r="D187" s="708"/>
      <c r="E187" s="708"/>
      <c r="F187" s="708"/>
      <c r="G187" s="708"/>
      <c r="H187" s="708"/>
      <c r="I187" s="708"/>
      <c r="J187" s="708"/>
      <c r="K187" s="708"/>
      <c r="L187" s="708"/>
      <c r="M187" s="708"/>
      <c r="N187" s="708"/>
      <c r="O187" s="708"/>
      <c r="P187" s="708"/>
      <c r="Q187" s="708"/>
      <c r="R187" s="708"/>
      <c r="S187" s="708"/>
      <c r="T187" s="708"/>
      <c r="U187" s="708"/>
      <c r="V187" s="708"/>
      <c r="W187" s="708"/>
      <c r="X187" s="708"/>
      <c r="Y187" s="708"/>
      <c r="Z187" s="708"/>
      <c r="AA187" s="708"/>
    </row>
    <row r="188" ht="15.75" customHeight="1">
      <c r="A188" s="708"/>
      <c r="B188" s="708"/>
      <c r="C188" s="708"/>
      <c r="D188" s="708"/>
      <c r="E188" s="708"/>
      <c r="F188" s="708"/>
      <c r="G188" s="708"/>
      <c r="H188" s="708"/>
      <c r="I188" s="708"/>
      <c r="J188" s="708"/>
      <c r="K188" s="708"/>
      <c r="L188" s="708"/>
      <c r="M188" s="708"/>
      <c r="N188" s="708"/>
      <c r="O188" s="708"/>
      <c r="P188" s="708"/>
      <c r="Q188" s="708"/>
      <c r="R188" s="708"/>
      <c r="S188" s="708"/>
      <c r="T188" s="708"/>
      <c r="U188" s="708"/>
      <c r="V188" s="708"/>
      <c r="W188" s="708"/>
      <c r="X188" s="708"/>
      <c r="Y188" s="708"/>
      <c r="Z188" s="708"/>
      <c r="AA188" s="708"/>
    </row>
    <row r="189" ht="15.75" customHeight="1">
      <c r="A189" s="708"/>
      <c r="B189" s="708"/>
      <c r="C189" s="708"/>
      <c r="D189" s="708"/>
      <c r="E189" s="708"/>
      <c r="F189" s="708"/>
      <c r="G189" s="708"/>
      <c r="H189" s="708"/>
      <c r="I189" s="708"/>
      <c r="J189" s="708"/>
      <c r="K189" s="708"/>
      <c r="L189" s="708"/>
      <c r="M189" s="708"/>
      <c r="N189" s="708"/>
      <c r="O189" s="708"/>
      <c r="P189" s="708"/>
      <c r="Q189" s="708"/>
      <c r="R189" s="708"/>
      <c r="S189" s="708"/>
      <c r="T189" s="708"/>
      <c r="U189" s="708"/>
      <c r="V189" s="708"/>
      <c r="W189" s="708"/>
      <c r="X189" s="708"/>
      <c r="Y189" s="708"/>
      <c r="Z189" s="708"/>
      <c r="AA189" s="708"/>
    </row>
    <row r="190" ht="15.75" customHeight="1">
      <c r="A190" s="708"/>
      <c r="B190" s="708"/>
      <c r="C190" s="708"/>
      <c r="D190" s="708"/>
      <c r="E190" s="708"/>
      <c r="F190" s="708"/>
      <c r="G190" s="708"/>
      <c r="H190" s="708"/>
      <c r="I190" s="708"/>
      <c r="J190" s="708"/>
      <c r="K190" s="708"/>
      <c r="L190" s="708"/>
      <c r="M190" s="708"/>
      <c r="N190" s="708"/>
      <c r="O190" s="708"/>
      <c r="P190" s="708"/>
      <c r="Q190" s="708"/>
      <c r="R190" s="708"/>
      <c r="S190" s="708"/>
      <c r="T190" s="708"/>
      <c r="U190" s="708"/>
      <c r="V190" s="708"/>
      <c r="W190" s="708"/>
      <c r="X190" s="708"/>
      <c r="Y190" s="708"/>
      <c r="Z190" s="708"/>
      <c r="AA190" s="708"/>
    </row>
    <row r="191" ht="15.75" customHeight="1">
      <c r="A191" s="708"/>
      <c r="B191" s="708"/>
      <c r="C191" s="708"/>
      <c r="D191" s="708"/>
      <c r="E191" s="708"/>
      <c r="F191" s="708"/>
      <c r="G191" s="708"/>
      <c r="H191" s="708"/>
      <c r="I191" s="708"/>
      <c r="J191" s="708"/>
      <c r="K191" s="708"/>
      <c r="L191" s="708"/>
      <c r="M191" s="708"/>
      <c r="N191" s="708"/>
      <c r="O191" s="708"/>
      <c r="P191" s="708"/>
      <c r="Q191" s="708"/>
      <c r="R191" s="708"/>
      <c r="S191" s="708"/>
      <c r="T191" s="708"/>
      <c r="U191" s="708"/>
      <c r="V191" s="708"/>
      <c r="W191" s="708"/>
      <c r="X191" s="708"/>
      <c r="Y191" s="708"/>
      <c r="Z191" s="708"/>
      <c r="AA191" s="708"/>
    </row>
    <row r="192" ht="15.75" customHeight="1">
      <c r="A192" s="708"/>
      <c r="B192" s="708"/>
      <c r="C192" s="708"/>
      <c r="D192" s="708"/>
      <c r="E192" s="708"/>
      <c r="F192" s="708"/>
      <c r="G192" s="708"/>
      <c r="H192" s="708"/>
      <c r="I192" s="708"/>
      <c r="J192" s="708"/>
      <c r="K192" s="708"/>
      <c r="L192" s="708"/>
      <c r="M192" s="708"/>
      <c r="N192" s="708"/>
      <c r="O192" s="708"/>
      <c r="P192" s="708"/>
      <c r="Q192" s="708"/>
      <c r="R192" s="708"/>
      <c r="S192" s="708"/>
      <c r="T192" s="708"/>
      <c r="U192" s="708"/>
      <c r="V192" s="708"/>
      <c r="W192" s="708"/>
      <c r="X192" s="708"/>
      <c r="Y192" s="708"/>
      <c r="Z192" s="708"/>
      <c r="AA192" s="708"/>
    </row>
    <row r="193" ht="15.75" customHeight="1">
      <c r="A193" s="708"/>
      <c r="B193" s="708"/>
      <c r="C193" s="708"/>
      <c r="D193" s="708"/>
      <c r="E193" s="708"/>
      <c r="F193" s="708"/>
      <c r="G193" s="708"/>
      <c r="H193" s="708"/>
      <c r="I193" s="708"/>
      <c r="J193" s="708"/>
      <c r="K193" s="708"/>
      <c r="L193" s="708"/>
      <c r="M193" s="708"/>
      <c r="N193" s="708"/>
      <c r="O193" s="708"/>
      <c r="P193" s="708"/>
      <c r="Q193" s="708"/>
      <c r="R193" s="708"/>
      <c r="S193" s="708"/>
      <c r="T193" s="708"/>
      <c r="U193" s="708"/>
      <c r="V193" s="708"/>
      <c r="W193" s="708"/>
      <c r="X193" s="708"/>
      <c r="Y193" s="708"/>
      <c r="Z193" s="708"/>
      <c r="AA193" s="708"/>
    </row>
    <row r="194" ht="15.75" customHeight="1">
      <c r="A194" s="708"/>
      <c r="B194" s="708"/>
      <c r="C194" s="708"/>
      <c r="D194" s="708"/>
      <c r="E194" s="708"/>
      <c r="F194" s="708"/>
      <c r="G194" s="708"/>
      <c r="H194" s="708"/>
      <c r="I194" s="708"/>
      <c r="J194" s="708"/>
      <c r="K194" s="708"/>
      <c r="L194" s="708"/>
      <c r="M194" s="708"/>
      <c r="N194" s="708"/>
      <c r="O194" s="708"/>
      <c r="P194" s="708"/>
      <c r="Q194" s="708"/>
      <c r="R194" s="708"/>
      <c r="S194" s="708"/>
      <c r="T194" s="708"/>
      <c r="U194" s="708"/>
      <c r="V194" s="708"/>
      <c r="W194" s="708"/>
      <c r="X194" s="708"/>
      <c r="Y194" s="708"/>
      <c r="Z194" s="708"/>
      <c r="AA194" s="708"/>
    </row>
    <row r="195" ht="15.75" customHeight="1">
      <c r="A195" s="708"/>
      <c r="B195" s="708"/>
      <c r="C195" s="708"/>
      <c r="D195" s="708"/>
      <c r="E195" s="708"/>
      <c r="F195" s="708"/>
      <c r="G195" s="708"/>
      <c r="H195" s="708"/>
      <c r="I195" s="708"/>
      <c r="J195" s="708"/>
      <c r="K195" s="708"/>
      <c r="L195" s="708"/>
      <c r="M195" s="708"/>
      <c r="N195" s="708"/>
      <c r="O195" s="708"/>
      <c r="P195" s="708"/>
      <c r="Q195" s="708"/>
      <c r="R195" s="708"/>
      <c r="S195" s="708"/>
      <c r="T195" s="708"/>
      <c r="U195" s="708"/>
      <c r="V195" s="708"/>
      <c r="W195" s="708"/>
      <c r="X195" s="708"/>
      <c r="Y195" s="708"/>
      <c r="Z195" s="708"/>
      <c r="AA195" s="708"/>
    </row>
    <row r="196" ht="15.75" customHeight="1">
      <c r="A196" s="708"/>
      <c r="B196" s="708"/>
      <c r="C196" s="708"/>
      <c r="D196" s="708"/>
      <c r="E196" s="708"/>
      <c r="F196" s="708"/>
      <c r="G196" s="708"/>
      <c r="H196" s="708"/>
      <c r="I196" s="708"/>
      <c r="J196" s="708"/>
      <c r="K196" s="708"/>
      <c r="L196" s="708"/>
      <c r="M196" s="708"/>
      <c r="N196" s="708"/>
      <c r="O196" s="708"/>
      <c r="P196" s="708"/>
      <c r="Q196" s="708"/>
      <c r="R196" s="708"/>
      <c r="S196" s="708"/>
      <c r="T196" s="708"/>
      <c r="U196" s="708"/>
      <c r="V196" s="708"/>
      <c r="W196" s="708"/>
      <c r="X196" s="708"/>
      <c r="Y196" s="708"/>
      <c r="Z196" s="708"/>
      <c r="AA196" s="708"/>
    </row>
    <row r="197" ht="15.75" customHeight="1">
      <c r="A197" s="708"/>
      <c r="B197" s="708"/>
      <c r="C197" s="708"/>
      <c r="D197" s="708"/>
      <c r="E197" s="708"/>
      <c r="F197" s="708"/>
      <c r="G197" s="708"/>
      <c r="H197" s="708"/>
      <c r="I197" s="708"/>
      <c r="J197" s="708"/>
      <c r="K197" s="708"/>
      <c r="L197" s="708"/>
      <c r="M197" s="708"/>
      <c r="N197" s="708"/>
      <c r="O197" s="708"/>
      <c r="P197" s="708"/>
      <c r="Q197" s="708"/>
      <c r="R197" s="708"/>
      <c r="S197" s="708"/>
      <c r="T197" s="708"/>
      <c r="U197" s="708"/>
      <c r="V197" s="708"/>
      <c r="W197" s="708"/>
      <c r="X197" s="708"/>
      <c r="Y197" s="708"/>
      <c r="Z197" s="708"/>
      <c r="AA197" s="708"/>
    </row>
    <row r="198" ht="15.75" customHeight="1">
      <c r="A198" s="708"/>
      <c r="B198" s="708"/>
      <c r="C198" s="708"/>
      <c r="D198" s="708"/>
      <c r="E198" s="708"/>
      <c r="F198" s="708"/>
      <c r="G198" s="708"/>
      <c r="H198" s="708"/>
      <c r="I198" s="708"/>
      <c r="J198" s="708"/>
      <c r="K198" s="708"/>
      <c r="L198" s="708"/>
      <c r="M198" s="708"/>
      <c r="N198" s="708"/>
      <c r="O198" s="708"/>
      <c r="P198" s="708"/>
      <c r="Q198" s="708"/>
      <c r="R198" s="708"/>
      <c r="S198" s="708"/>
      <c r="T198" s="708"/>
      <c r="U198" s="708"/>
      <c r="V198" s="708"/>
      <c r="W198" s="708"/>
      <c r="X198" s="708"/>
      <c r="Y198" s="708"/>
      <c r="Z198" s="708"/>
      <c r="AA198" s="708"/>
    </row>
    <row r="199" ht="15.75" customHeight="1">
      <c r="A199" s="708"/>
      <c r="B199" s="708"/>
      <c r="C199" s="708"/>
      <c r="D199" s="708"/>
      <c r="E199" s="708"/>
      <c r="F199" s="708"/>
      <c r="G199" s="708"/>
      <c r="H199" s="708"/>
      <c r="I199" s="708"/>
      <c r="J199" s="708"/>
      <c r="K199" s="708"/>
      <c r="L199" s="708"/>
      <c r="M199" s="708"/>
      <c r="N199" s="708"/>
      <c r="O199" s="708"/>
      <c r="P199" s="708"/>
      <c r="Q199" s="708"/>
      <c r="R199" s="708"/>
      <c r="S199" s="708"/>
      <c r="T199" s="708"/>
      <c r="U199" s="708"/>
      <c r="V199" s="708"/>
      <c r="W199" s="708"/>
      <c r="X199" s="708"/>
      <c r="Y199" s="708"/>
      <c r="Z199" s="708"/>
      <c r="AA199" s="708"/>
    </row>
    <row r="200" ht="15.75" customHeight="1">
      <c r="A200" s="708"/>
      <c r="B200" s="708"/>
      <c r="C200" s="708"/>
      <c r="D200" s="708"/>
      <c r="E200" s="708"/>
      <c r="F200" s="708"/>
      <c r="G200" s="708"/>
      <c r="H200" s="708"/>
      <c r="I200" s="708"/>
      <c r="J200" s="708"/>
      <c r="K200" s="708"/>
      <c r="L200" s="708"/>
      <c r="M200" s="708"/>
      <c r="N200" s="708"/>
      <c r="O200" s="708"/>
      <c r="P200" s="708"/>
      <c r="Q200" s="708"/>
      <c r="R200" s="708"/>
      <c r="S200" s="708"/>
      <c r="T200" s="708"/>
      <c r="U200" s="708"/>
      <c r="V200" s="708"/>
      <c r="W200" s="708"/>
      <c r="X200" s="708"/>
      <c r="Y200" s="708"/>
      <c r="Z200" s="708"/>
      <c r="AA200" s="708"/>
    </row>
    <row r="201" ht="15.75" customHeight="1">
      <c r="A201" s="708"/>
      <c r="B201" s="708"/>
      <c r="C201" s="708"/>
      <c r="D201" s="708"/>
      <c r="E201" s="708"/>
      <c r="F201" s="708"/>
      <c r="G201" s="708"/>
      <c r="H201" s="708"/>
      <c r="I201" s="708"/>
      <c r="J201" s="708"/>
      <c r="K201" s="708"/>
      <c r="L201" s="708"/>
      <c r="M201" s="708"/>
      <c r="N201" s="708"/>
      <c r="O201" s="708"/>
      <c r="P201" s="708"/>
      <c r="Q201" s="708"/>
      <c r="R201" s="708"/>
      <c r="S201" s="708"/>
      <c r="T201" s="708"/>
      <c r="U201" s="708"/>
      <c r="V201" s="708"/>
      <c r="W201" s="708"/>
      <c r="X201" s="708"/>
      <c r="Y201" s="708"/>
      <c r="Z201" s="708"/>
      <c r="AA201" s="708"/>
    </row>
    <row r="202" ht="15.75" customHeight="1">
      <c r="A202" s="708"/>
      <c r="B202" s="708"/>
      <c r="C202" s="708"/>
      <c r="D202" s="708"/>
      <c r="E202" s="708"/>
      <c r="F202" s="708"/>
      <c r="G202" s="708"/>
      <c r="H202" s="708"/>
      <c r="I202" s="708"/>
      <c r="J202" s="708"/>
      <c r="K202" s="708"/>
      <c r="L202" s="708"/>
      <c r="M202" s="708"/>
      <c r="N202" s="708"/>
      <c r="O202" s="708"/>
      <c r="P202" s="708"/>
      <c r="Q202" s="708"/>
      <c r="R202" s="708"/>
      <c r="S202" s="708"/>
      <c r="T202" s="708"/>
      <c r="U202" s="708"/>
      <c r="V202" s="708"/>
      <c r="W202" s="708"/>
      <c r="X202" s="708"/>
      <c r="Y202" s="708"/>
      <c r="Z202" s="708"/>
      <c r="AA202" s="708"/>
    </row>
    <row r="203" ht="15.75" customHeight="1">
      <c r="A203" s="708"/>
      <c r="B203" s="708"/>
      <c r="C203" s="708"/>
      <c r="D203" s="708"/>
      <c r="E203" s="708"/>
      <c r="F203" s="708"/>
      <c r="G203" s="708"/>
      <c r="H203" s="708"/>
      <c r="I203" s="708"/>
      <c r="J203" s="708"/>
      <c r="K203" s="708"/>
      <c r="L203" s="708"/>
      <c r="M203" s="708"/>
      <c r="N203" s="708"/>
      <c r="O203" s="708"/>
      <c r="P203" s="708"/>
      <c r="Q203" s="708"/>
      <c r="R203" s="708"/>
      <c r="S203" s="708"/>
      <c r="T203" s="708"/>
      <c r="U203" s="708"/>
      <c r="V203" s="708"/>
      <c r="W203" s="708"/>
      <c r="X203" s="708"/>
      <c r="Y203" s="708"/>
      <c r="Z203" s="708"/>
      <c r="AA203" s="708"/>
    </row>
    <row r="204" ht="15.75" customHeight="1">
      <c r="A204" s="708"/>
      <c r="B204" s="708"/>
      <c r="C204" s="708"/>
      <c r="D204" s="708"/>
      <c r="E204" s="708"/>
      <c r="F204" s="708"/>
      <c r="G204" s="708"/>
      <c r="H204" s="708"/>
      <c r="I204" s="708"/>
      <c r="J204" s="708"/>
      <c r="K204" s="708"/>
      <c r="L204" s="708"/>
      <c r="M204" s="708"/>
      <c r="N204" s="708"/>
      <c r="O204" s="708"/>
      <c r="P204" s="708"/>
      <c r="Q204" s="708"/>
      <c r="R204" s="708"/>
      <c r="S204" s="708"/>
      <c r="T204" s="708"/>
      <c r="U204" s="708"/>
      <c r="V204" s="708"/>
      <c r="W204" s="708"/>
      <c r="X204" s="708"/>
      <c r="Y204" s="708"/>
      <c r="Z204" s="708"/>
      <c r="AA204" s="708"/>
    </row>
    <row r="205" ht="15.75" customHeight="1">
      <c r="A205" s="708"/>
      <c r="B205" s="708"/>
      <c r="C205" s="708"/>
      <c r="D205" s="708"/>
      <c r="E205" s="708"/>
      <c r="F205" s="708"/>
      <c r="G205" s="708"/>
      <c r="H205" s="708"/>
      <c r="I205" s="708"/>
      <c r="J205" s="708"/>
      <c r="K205" s="708"/>
      <c r="L205" s="708"/>
      <c r="M205" s="708"/>
      <c r="N205" s="708"/>
      <c r="O205" s="708"/>
      <c r="P205" s="708"/>
      <c r="Q205" s="708"/>
      <c r="R205" s="708"/>
      <c r="S205" s="708"/>
      <c r="T205" s="708"/>
      <c r="U205" s="708"/>
      <c r="V205" s="708"/>
      <c r="W205" s="708"/>
      <c r="X205" s="708"/>
      <c r="Y205" s="708"/>
      <c r="Z205" s="708"/>
      <c r="AA205" s="708"/>
    </row>
    <row r="206" ht="15.75" customHeight="1">
      <c r="A206" s="708"/>
      <c r="B206" s="708"/>
      <c r="C206" s="708"/>
      <c r="D206" s="708"/>
      <c r="E206" s="708"/>
      <c r="F206" s="708"/>
      <c r="G206" s="708"/>
      <c r="H206" s="708"/>
      <c r="I206" s="708"/>
      <c r="J206" s="708"/>
      <c r="K206" s="708"/>
      <c r="L206" s="708"/>
      <c r="M206" s="708"/>
      <c r="N206" s="708"/>
      <c r="O206" s="708"/>
      <c r="P206" s="708"/>
      <c r="Q206" s="708"/>
      <c r="R206" s="708"/>
      <c r="S206" s="708"/>
      <c r="T206" s="708"/>
      <c r="U206" s="708"/>
      <c r="V206" s="708"/>
      <c r="W206" s="708"/>
      <c r="X206" s="708"/>
      <c r="Y206" s="708"/>
      <c r="Z206" s="708"/>
      <c r="AA206" s="708"/>
    </row>
    <row r="207" ht="15.75" customHeight="1">
      <c r="A207" s="708"/>
      <c r="B207" s="708"/>
      <c r="C207" s="708"/>
      <c r="D207" s="708"/>
      <c r="E207" s="708"/>
      <c r="F207" s="708"/>
      <c r="G207" s="708"/>
      <c r="H207" s="708"/>
      <c r="I207" s="708"/>
      <c r="J207" s="708"/>
      <c r="K207" s="708"/>
      <c r="L207" s="708"/>
      <c r="M207" s="708"/>
      <c r="N207" s="708"/>
      <c r="O207" s="708"/>
      <c r="P207" s="708"/>
      <c r="Q207" s="708"/>
      <c r="R207" s="708"/>
      <c r="S207" s="708"/>
      <c r="T207" s="708"/>
      <c r="U207" s="708"/>
      <c r="V207" s="708"/>
      <c r="W207" s="708"/>
      <c r="X207" s="708"/>
      <c r="Y207" s="708"/>
      <c r="Z207" s="708"/>
      <c r="AA207" s="708"/>
    </row>
    <row r="208" ht="15.75" customHeight="1">
      <c r="A208" s="708"/>
      <c r="B208" s="708"/>
      <c r="C208" s="708"/>
      <c r="D208" s="708"/>
      <c r="E208" s="708"/>
      <c r="F208" s="708"/>
      <c r="G208" s="708"/>
      <c r="H208" s="708"/>
      <c r="I208" s="708"/>
      <c r="J208" s="708"/>
      <c r="K208" s="708"/>
      <c r="L208" s="708"/>
      <c r="M208" s="708"/>
      <c r="N208" s="708"/>
      <c r="O208" s="708"/>
      <c r="P208" s="708"/>
      <c r="Q208" s="708"/>
      <c r="R208" s="708"/>
      <c r="S208" s="708"/>
      <c r="T208" s="708"/>
      <c r="U208" s="708"/>
      <c r="V208" s="708"/>
      <c r="W208" s="708"/>
      <c r="X208" s="708"/>
      <c r="Y208" s="708"/>
      <c r="Z208" s="708"/>
      <c r="AA208" s="708"/>
    </row>
    <row r="209" ht="15.75" customHeight="1">
      <c r="A209" s="708"/>
      <c r="B209" s="708"/>
      <c r="C209" s="708"/>
      <c r="D209" s="708"/>
      <c r="E209" s="708"/>
      <c r="F209" s="708"/>
      <c r="G209" s="708"/>
      <c r="H209" s="708"/>
      <c r="I209" s="708"/>
      <c r="J209" s="708"/>
      <c r="K209" s="708"/>
      <c r="L209" s="708"/>
      <c r="M209" s="708"/>
      <c r="N209" s="708"/>
      <c r="O209" s="708"/>
      <c r="P209" s="708"/>
      <c r="Q209" s="708"/>
      <c r="R209" s="708"/>
      <c r="S209" s="708"/>
      <c r="T209" s="708"/>
      <c r="U209" s="708"/>
      <c r="V209" s="708"/>
      <c r="W209" s="708"/>
      <c r="X209" s="708"/>
      <c r="Y209" s="708"/>
      <c r="Z209" s="708"/>
      <c r="AA209" s="708"/>
    </row>
    <row r="210" ht="15.75" customHeight="1">
      <c r="A210" s="708"/>
      <c r="B210" s="708"/>
      <c r="C210" s="708"/>
      <c r="D210" s="708"/>
      <c r="E210" s="708"/>
      <c r="F210" s="708"/>
      <c r="G210" s="708"/>
      <c r="H210" s="708"/>
      <c r="I210" s="708"/>
      <c r="J210" s="708"/>
      <c r="K210" s="708"/>
      <c r="L210" s="708"/>
      <c r="M210" s="708"/>
      <c r="N210" s="708"/>
      <c r="O210" s="708"/>
      <c r="P210" s="708"/>
      <c r="Q210" s="708"/>
      <c r="R210" s="708"/>
      <c r="S210" s="708"/>
      <c r="T210" s="708"/>
      <c r="U210" s="708"/>
      <c r="V210" s="708"/>
      <c r="W210" s="708"/>
      <c r="X210" s="708"/>
      <c r="Y210" s="708"/>
      <c r="Z210" s="708"/>
      <c r="AA210" s="708"/>
    </row>
    <row r="211" ht="15.75" customHeight="1">
      <c r="A211" s="708"/>
      <c r="B211" s="708"/>
      <c r="C211" s="708"/>
      <c r="D211" s="708"/>
      <c r="E211" s="708"/>
      <c r="F211" s="708"/>
      <c r="G211" s="708"/>
      <c r="H211" s="708"/>
      <c r="I211" s="708"/>
      <c r="J211" s="708"/>
      <c r="K211" s="708"/>
      <c r="L211" s="708"/>
      <c r="M211" s="708"/>
      <c r="N211" s="708"/>
      <c r="O211" s="708"/>
      <c r="P211" s="708"/>
      <c r="Q211" s="708"/>
      <c r="R211" s="708"/>
      <c r="S211" s="708"/>
      <c r="T211" s="708"/>
      <c r="U211" s="708"/>
      <c r="V211" s="708"/>
      <c r="W211" s="708"/>
      <c r="X211" s="708"/>
      <c r="Y211" s="708"/>
      <c r="Z211" s="708"/>
      <c r="AA211" s="708"/>
    </row>
    <row r="212" ht="15.75" customHeight="1">
      <c r="A212" s="708"/>
      <c r="B212" s="708"/>
      <c r="C212" s="708"/>
      <c r="D212" s="708"/>
      <c r="E212" s="708"/>
      <c r="F212" s="708"/>
      <c r="G212" s="708"/>
      <c r="H212" s="708"/>
      <c r="I212" s="708"/>
      <c r="J212" s="708"/>
      <c r="K212" s="708"/>
      <c r="L212" s="708"/>
      <c r="M212" s="708"/>
      <c r="N212" s="708"/>
      <c r="O212" s="708"/>
      <c r="P212" s="708"/>
      <c r="Q212" s="708"/>
      <c r="R212" s="708"/>
      <c r="S212" s="708"/>
      <c r="T212" s="708"/>
      <c r="U212" s="708"/>
      <c r="V212" s="708"/>
      <c r="W212" s="708"/>
      <c r="X212" s="708"/>
      <c r="Y212" s="708"/>
      <c r="Z212" s="708"/>
      <c r="AA212" s="708"/>
    </row>
    <row r="213" ht="15.75" customHeight="1">
      <c r="A213" s="708"/>
      <c r="B213" s="708"/>
      <c r="C213" s="708"/>
      <c r="D213" s="708"/>
      <c r="E213" s="708"/>
      <c r="F213" s="708"/>
      <c r="G213" s="708"/>
      <c r="H213" s="708"/>
      <c r="I213" s="708"/>
      <c r="J213" s="708"/>
      <c r="K213" s="708"/>
      <c r="L213" s="708"/>
      <c r="M213" s="708"/>
      <c r="N213" s="708"/>
      <c r="O213" s="708"/>
      <c r="P213" s="708"/>
      <c r="Q213" s="708"/>
      <c r="R213" s="708"/>
      <c r="S213" s="708"/>
      <c r="T213" s="708"/>
      <c r="U213" s="708"/>
      <c r="V213" s="708"/>
      <c r="W213" s="708"/>
      <c r="X213" s="708"/>
      <c r="Y213" s="708"/>
      <c r="Z213" s="708"/>
      <c r="AA213" s="708"/>
    </row>
    <row r="214" ht="15.75" customHeight="1">
      <c r="A214" s="708"/>
      <c r="B214" s="708"/>
      <c r="C214" s="708"/>
      <c r="D214" s="708"/>
      <c r="E214" s="708"/>
      <c r="F214" s="708"/>
      <c r="G214" s="708"/>
      <c r="H214" s="708"/>
      <c r="I214" s="708"/>
      <c r="J214" s="708"/>
      <c r="K214" s="708"/>
      <c r="L214" s="708"/>
      <c r="M214" s="708"/>
      <c r="N214" s="708"/>
      <c r="O214" s="708"/>
      <c r="P214" s="708"/>
      <c r="Q214" s="708"/>
      <c r="R214" s="708"/>
      <c r="S214" s="708"/>
      <c r="T214" s="708"/>
      <c r="U214" s="708"/>
      <c r="V214" s="708"/>
      <c r="W214" s="708"/>
      <c r="X214" s="708"/>
      <c r="Y214" s="708"/>
      <c r="Z214" s="708"/>
      <c r="AA214" s="708"/>
    </row>
    <row r="215" ht="15.75" customHeight="1">
      <c r="A215" s="708"/>
      <c r="B215" s="708"/>
      <c r="C215" s="708"/>
      <c r="D215" s="708"/>
      <c r="E215" s="708"/>
      <c r="F215" s="708"/>
      <c r="G215" s="708"/>
      <c r="H215" s="708"/>
      <c r="I215" s="708"/>
      <c r="J215" s="708"/>
      <c r="K215" s="708"/>
      <c r="L215" s="708"/>
      <c r="M215" s="708"/>
      <c r="N215" s="708"/>
      <c r="O215" s="708"/>
      <c r="P215" s="708"/>
      <c r="Q215" s="708"/>
      <c r="R215" s="708"/>
      <c r="S215" s="708"/>
      <c r="T215" s="708"/>
      <c r="U215" s="708"/>
      <c r="V215" s="708"/>
      <c r="W215" s="708"/>
      <c r="X215" s="708"/>
      <c r="Y215" s="708"/>
      <c r="Z215" s="708"/>
      <c r="AA215" s="708"/>
    </row>
    <row r="216" ht="15.75" customHeight="1">
      <c r="A216" s="708"/>
      <c r="B216" s="708"/>
      <c r="C216" s="708"/>
      <c r="D216" s="708"/>
      <c r="E216" s="708"/>
      <c r="F216" s="708"/>
      <c r="G216" s="708"/>
      <c r="H216" s="708"/>
      <c r="I216" s="708"/>
      <c r="J216" s="708"/>
      <c r="K216" s="708"/>
      <c r="L216" s="708"/>
      <c r="M216" s="708"/>
      <c r="N216" s="708"/>
      <c r="O216" s="708"/>
      <c r="P216" s="708"/>
      <c r="Q216" s="708"/>
      <c r="R216" s="708"/>
      <c r="S216" s="708"/>
      <c r="T216" s="708"/>
      <c r="U216" s="708"/>
      <c r="V216" s="708"/>
      <c r="W216" s="708"/>
      <c r="X216" s="708"/>
      <c r="Y216" s="708"/>
      <c r="Z216" s="708"/>
      <c r="AA216" s="708"/>
    </row>
    <row r="217" ht="15.75" customHeight="1">
      <c r="A217" s="708"/>
      <c r="B217" s="708"/>
      <c r="C217" s="708"/>
      <c r="D217" s="708"/>
      <c r="E217" s="708"/>
      <c r="F217" s="708"/>
      <c r="G217" s="708"/>
      <c r="H217" s="708"/>
      <c r="I217" s="708"/>
      <c r="J217" s="708"/>
      <c r="K217" s="708"/>
      <c r="L217" s="708"/>
      <c r="M217" s="708"/>
      <c r="N217" s="708"/>
      <c r="O217" s="708"/>
      <c r="P217" s="708"/>
      <c r="Q217" s="708"/>
      <c r="R217" s="708"/>
      <c r="S217" s="708"/>
      <c r="T217" s="708"/>
      <c r="U217" s="708"/>
      <c r="V217" s="708"/>
      <c r="W217" s="708"/>
      <c r="X217" s="708"/>
      <c r="Y217" s="708"/>
      <c r="Z217" s="708"/>
      <c r="AA217" s="708"/>
    </row>
    <row r="218" ht="15.75" customHeight="1">
      <c r="A218" s="708"/>
      <c r="B218" s="708"/>
      <c r="C218" s="708"/>
      <c r="D218" s="708"/>
      <c r="E218" s="708"/>
      <c r="F218" s="708"/>
      <c r="G218" s="708"/>
      <c r="H218" s="708"/>
      <c r="I218" s="708"/>
      <c r="J218" s="708"/>
      <c r="K218" s="708"/>
      <c r="L218" s="708"/>
      <c r="M218" s="708"/>
      <c r="N218" s="708"/>
      <c r="O218" s="708"/>
      <c r="P218" s="708"/>
      <c r="Q218" s="708"/>
      <c r="R218" s="708"/>
      <c r="S218" s="708"/>
      <c r="T218" s="708"/>
      <c r="U218" s="708"/>
      <c r="V218" s="708"/>
      <c r="W218" s="708"/>
      <c r="X218" s="708"/>
      <c r="Y218" s="708"/>
      <c r="Z218" s="708"/>
      <c r="AA218" s="708"/>
    </row>
    <row r="219" ht="15.75" customHeight="1">
      <c r="A219" s="708"/>
      <c r="B219" s="708"/>
      <c r="C219" s="708"/>
      <c r="D219" s="708"/>
      <c r="E219" s="708"/>
      <c r="F219" s="708"/>
      <c r="G219" s="708"/>
      <c r="H219" s="708"/>
      <c r="I219" s="708"/>
      <c r="J219" s="708"/>
      <c r="K219" s="708"/>
      <c r="L219" s="708"/>
      <c r="M219" s="708"/>
      <c r="N219" s="708"/>
      <c r="O219" s="708"/>
      <c r="P219" s="708"/>
      <c r="Q219" s="708"/>
      <c r="R219" s="708"/>
      <c r="S219" s="708"/>
      <c r="T219" s="708"/>
      <c r="U219" s="708"/>
      <c r="V219" s="708"/>
      <c r="W219" s="708"/>
      <c r="X219" s="708"/>
      <c r="Y219" s="708"/>
      <c r="Z219" s="708"/>
      <c r="AA219" s="708"/>
    </row>
    <row r="220" ht="15.75" customHeight="1">
      <c r="A220" s="708"/>
      <c r="B220" s="708"/>
      <c r="C220" s="708"/>
      <c r="D220" s="708"/>
      <c r="E220" s="708"/>
      <c r="F220" s="708"/>
      <c r="G220" s="708"/>
      <c r="H220" s="708"/>
      <c r="I220" s="708"/>
      <c r="J220" s="708"/>
      <c r="K220" s="708"/>
      <c r="L220" s="708"/>
      <c r="M220" s="708"/>
      <c r="N220" s="708"/>
      <c r="O220" s="708"/>
      <c r="P220" s="708"/>
      <c r="Q220" s="708"/>
      <c r="R220" s="708"/>
      <c r="S220" s="708"/>
      <c r="T220" s="708"/>
      <c r="U220" s="708"/>
      <c r="V220" s="708"/>
      <c r="W220" s="708"/>
      <c r="X220" s="708"/>
      <c r="Y220" s="708"/>
      <c r="Z220" s="708"/>
      <c r="AA220" s="708"/>
    </row>
    <row r="221" ht="15.75" customHeight="1">
      <c r="A221" s="708"/>
      <c r="B221" s="708"/>
      <c r="C221" s="708"/>
      <c r="D221" s="708"/>
      <c r="E221" s="708"/>
      <c r="F221" s="708"/>
      <c r="G221" s="708"/>
      <c r="H221" s="708"/>
      <c r="I221" s="708"/>
      <c r="J221" s="708"/>
      <c r="K221" s="708"/>
      <c r="L221" s="708"/>
      <c r="M221" s="708"/>
      <c r="N221" s="708"/>
      <c r="O221" s="708"/>
      <c r="P221" s="708"/>
      <c r="Q221" s="708"/>
      <c r="R221" s="708"/>
      <c r="S221" s="708"/>
      <c r="T221" s="708"/>
      <c r="U221" s="708"/>
      <c r="V221" s="708"/>
      <c r="W221" s="708"/>
      <c r="X221" s="708"/>
      <c r="Y221" s="708"/>
      <c r="Z221" s="708"/>
      <c r="AA221" s="708"/>
    </row>
    <row r="222" ht="15.75" customHeight="1">
      <c r="A222" s="708"/>
      <c r="B222" s="708"/>
      <c r="C222" s="708"/>
      <c r="D222" s="708"/>
      <c r="E222" s="708"/>
      <c r="F222" s="708"/>
      <c r="G222" s="708"/>
      <c r="H222" s="708"/>
      <c r="I222" s="708"/>
      <c r="J222" s="708"/>
      <c r="K222" s="708"/>
      <c r="L222" s="708"/>
      <c r="M222" s="708"/>
      <c r="N222" s="708"/>
      <c r="O222" s="708"/>
      <c r="P222" s="708"/>
      <c r="Q222" s="708"/>
      <c r="R222" s="708"/>
      <c r="S222" s="708"/>
      <c r="T222" s="708"/>
      <c r="U222" s="708"/>
      <c r="V222" s="708"/>
      <c r="W222" s="708"/>
      <c r="X222" s="708"/>
      <c r="Y222" s="708"/>
      <c r="Z222" s="708"/>
      <c r="AA222" s="708"/>
    </row>
    <row r="223" ht="15.75" customHeight="1">
      <c r="A223" s="708"/>
      <c r="B223" s="708"/>
      <c r="C223" s="708"/>
      <c r="D223" s="708"/>
      <c r="E223" s="708"/>
      <c r="F223" s="708"/>
      <c r="G223" s="708"/>
      <c r="H223" s="708"/>
      <c r="I223" s="708"/>
      <c r="J223" s="708"/>
      <c r="K223" s="708"/>
      <c r="L223" s="708"/>
      <c r="M223" s="708"/>
      <c r="N223" s="708"/>
      <c r="O223" s="708"/>
      <c r="P223" s="708"/>
      <c r="Q223" s="708"/>
      <c r="R223" s="708"/>
      <c r="S223" s="708"/>
      <c r="T223" s="708"/>
      <c r="U223" s="708"/>
      <c r="V223" s="708"/>
      <c r="W223" s="708"/>
      <c r="X223" s="708"/>
      <c r="Y223" s="708"/>
      <c r="Z223" s="708"/>
      <c r="AA223" s="708"/>
    </row>
    <row r="224" ht="15.75" customHeight="1">
      <c r="A224" s="708"/>
      <c r="B224" s="708"/>
      <c r="C224" s="708"/>
      <c r="D224" s="708"/>
      <c r="E224" s="708"/>
      <c r="F224" s="708"/>
      <c r="G224" s="708"/>
      <c r="H224" s="708"/>
      <c r="I224" s="708"/>
      <c r="J224" s="708"/>
      <c r="K224" s="708"/>
      <c r="L224" s="708"/>
      <c r="M224" s="708"/>
      <c r="N224" s="708"/>
      <c r="O224" s="708"/>
      <c r="P224" s="708"/>
      <c r="Q224" s="708"/>
      <c r="R224" s="708"/>
      <c r="S224" s="708"/>
      <c r="T224" s="708"/>
      <c r="U224" s="708"/>
      <c r="V224" s="708"/>
      <c r="W224" s="708"/>
      <c r="X224" s="708"/>
      <c r="Y224" s="708"/>
      <c r="Z224" s="708"/>
      <c r="AA224" s="708"/>
    </row>
    <row r="225" ht="15.75" customHeight="1">
      <c r="A225" s="708"/>
      <c r="B225" s="708"/>
      <c r="C225" s="708"/>
      <c r="D225" s="708"/>
      <c r="E225" s="708"/>
      <c r="F225" s="708"/>
      <c r="G225" s="708"/>
      <c r="H225" s="708"/>
      <c r="I225" s="708"/>
      <c r="J225" s="708"/>
      <c r="K225" s="708"/>
      <c r="L225" s="708"/>
      <c r="M225" s="708"/>
      <c r="N225" s="708"/>
      <c r="O225" s="708"/>
      <c r="P225" s="708"/>
      <c r="Q225" s="708"/>
      <c r="R225" s="708"/>
      <c r="S225" s="708"/>
      <c r="T225" s="708"/>
      <c r="U225" s="708"/>
      <c r="V225" s="708"/>
      <c r="W225" s="708"/>
      <c r="X225" s="708"/>
      <c r="Y225" s="708"/>
      <c r="Z225" s="708"/>
      <c r="AA225" s="708"/>
    </row>
    <row r="226" ht="15.75" customHeight="1">
      <c r="A226" s="708"/>
      <c r="B226" s="708"/>
      <c r="C226" s="708"/>
      <c r="D226" s="708"/>
      <c r="E226" s="708"/>
      <c r="F226" s="708"/>
      <c r="G226" s="708"/>
      <c r="H226" s="708"/>
      <c r="I226" s="708"/>
      <c r="J226" s="708"/>
      <c r="K226" s="708"/>
      <c r="L226" s="708"/>
      <c r="M226" s="708"/>
      <c r="N226" s="708"/>
      <c r="O226" s="708"/>
      <c r="P226" s="708"/>
      <c r="Q226" s="708"/>
      <c r="R226" s="708"/>
      <c r="S226" s="708"/>
      <c r="T226" s="708"/>
      <c r="U226" s="708"/>
      <c r="V226" s="708"/>
      <c r="W226" s="708"/>
      <c r="X226" s="708"/>
      <c r="Y226" s="708"/>
      <c r="Z226" s="708"/>
      <c r="AA226" s="708"/>
    </row>
    <row r="227" ht="15.75" customHeight="1">
      <c r="A227" s="708"/>
      <c r="B227" s="708"/>
      <c r="C227" s="708"/>
      <c r="D227" s="708"/>
      <c r="E227" s="708"/>
      <c r="F227" s="708"/>
      <c r="G227" s="708"/>
      <c r="H227" s="708"/>
      <c r="I227" s="708"/>
      <c r="J227" s="708"/>
      <c r="K227" s="708"/>
      <c r="L227" s="708"/>
      <c r="M227" s="708"/>
      <c r="N227" s="708"/>
      <c r="O227" s="708"/>
      <c r="P227" s="708"/>
      <c r="Q227" s="708"/>
      <c r="R227" s="708"/>
      <c r="S227" s="708"/>
      <c r="T227" s="708"/>
      <c r="U227" s="708"/>
      <c r="V227" s="708"/>
      <c r="W227" s="708"/>
      <c r="X227" s="708"/>
      <c r="Y227" s="708"/>
      <c r="Z227" s="708"/>
      <c r="AA227" s="708"/>
    </row>
    <row r="228" ht="15.75" customHeight="1">
      <c r="A228" s="708"/>
      <c r="B228" s="708"/>
      <c r="C228" s="708"/>
      <c r="D228" s="708"/>
      <c r="E228" s="708"/>
      <c r="F228" s="708"/>
      <c r="G228" s="708"/>
      <c r="H228" s="708"/>
      <c r="I228" s="708"/>
      <c r="J228" s="708"/>
      <c r="K228" s="708"/>
      <c r="L228" s="708"/>
      <c r="M228" s="708"/>
      <c r="N228" s="708"/>
      <c r="O228" s="708"/>
      <c r="P228" s="708"/>
      <c r="Q228" s="708"/>
      <c r="R228" s="708"/>
      <c r="S228" s="708"/>
      <c r="T228" s="708"/>
      <c r="U228" s="708"/>
      <c r="V228" s="708"/>
      <c r="W228" s="708"/>
      <c r="X228" s="708"/>
      <c r="Y228" s="708"/>
      <c r="Z228" s="708"/>
      <c r="AA228" s="708"/>
    </row>
    <row r="229" ht="15.75" customHeight="1">
      <c r="A229" s="708"/>
      <c r="B229" s="708"/>
      <c r="C229" s="708"/>
      <c r="D229" s="708"/>
      <c r="E229" s="708"/>
      <c r="F229" s="708"/>
      <c r="G229" s="708"/>
      <c r="H229" s="708"/>
      <c r="I229" s="708"/>
      <c r="J229" s="708"/>
      <c r="K229" s="708"/>
      <c r="L229" s="708"/>
      <c r="M229" s="708"/>
      <c r="N229" s="708"/>
      <c r="O229" s="708"/>
      <c r="P229" s="708"/>
      <c r="Q229" s="708"/>
      <c r="R229" s="708"/>
      <c r="S229" s="708"/>
      <c r="T229" s="708"/>
      <c r="U229" s="708"/>
      <c r="V229" s="708"/>
      <c r="W229" s="708"/>
      <c r="X229" s="708"/>
      <c r="Y229" s="708"/>
      <c r="Z229" s="708"/>
      <c r="AA229" s="708"/>
    </row>
    <row r="230" ht="15.75" customHeight="1">
      <c r="A230" s="708"/>
      <c r="B230" s="708"/>
      <c r="C230" s="708"/>
      <c r="D230" s="708"/>
      <c r="E230" s="708"/>
      <c r="F230" s="708"/>
      <c r="G230" s="708"/>
      <c r="H230" s="708"/>
      <c r="I230" s="708"/>
      <c r="J230" s="708"/>
      <c r="K230" s="708"/>
      <c r="L230" s="708"/>
      <c r="M230" s="708"/>
      <c r="N230" s="708"/>
      <c r="O230" s="708"/>
      <c r="P230" s="708"/>
      <c r="Q230" s="708"/>
      <c r="R230" s="708"/>
      <c r="S230" s="708"/>
      <c r="T230" s="708"/>
      <c r="U230" s="708"/>
      <c r="V230" s="708"/>
      <c r="W230" s="708"/>
      <c r="X230" s="708"/>
      <c r="Y230" s="708"/>
      <c r="Z230" s="708"/>
      <c r="AA230" s="708"/>
    </row>
    <row r="231" ht="15.75" customHeight="1">
      <c r="A231" s="708"/>
      <c r="B231" s="708"/>
      <c r="C231" s="708"/>
      <c r="D231" s="708"/>
      <c r="E231" s="708"/>
      <c r="F231" s="708"/>
      <c r="G231" s="708"/>
      <c r="H231" s="708"/>
      <c r="I231" s="708"/>
      <c r="J231" s="708"/>
      <c r="K231" s="708"/>
      <c r="L231" s="708"/>
      <c r="M231" s="708"/>
      <c r="N231" s="708"/>
      <c r="O231" s="708"/>
      <c r="P231" s="708"/>
      <c r="Q231" s="708"/>
      <c r="R231" s="708"/>
      <c r="S231" s="708"/>
      <c r="T231" s="708"/>
      <c r="U231" s="708"/>
      <c r="V231" s="708"/>
      <c r="W231" s="708"/>
      <c r="X231" s="708"/>
      <c r="Y231" s="708"/>
      <c r="Z231" s="708"/>
      <c r="AA231" s="708"/>
    </row>
    <row r="232" ht="15.75" customHeight="1">
      <c r="A232" s="708"/>
      <c r="B232" s="708"/>
      <c r="C232" s="708"/>
      <c r="D232" s="708"/>
      <c r="E232" s="708"/>
      <c r="F232" s="708"/>
      <c r="G232" s="708"/>
      <c r="H232" s="708"/>
      <c r="I232" s="708"/>
      <c r="J232" s="708"/>
      <c r="K232" s="708"/>
      <c r="L232" s="708"/>
      <c r="M232" s="708"/>
      <c r="N232" s="708"/>
      <c r="O232" s="708"/>
      <c r="P232" s="708"/>
      <c r="Q232" s="708"/>
      <c r="R232" s="708"/>
      <c r="S232" s="708"/>
      <c r="T232" s="708"/>
      <c r="U232" s="708"/>
      <c r="V232" s="708"/>
      <c r="W232" s="708"/>
      <c r="X232" s="708"/>
      <c r="Y232" s="708"/>
      <c r="Z232" s="708"/>
      <c r="AA232" s="708"/>
    </row>
    <row r="233" ht="15.75" customHeight="1">
      <c r="A233" s="708"/>
      <c r="B233" s="708"/>
      <c r="C233" s="708"/>
      <c r="D233" s="708"/>
      <c r="E233" s="708"/>
      <c r="F233" s="708"/>
      <c r="G233" s="708"/>
      <c r="H233" s="708"/>
      <c r="I233" s="708"/>
      <c r="J233" s="708"/>
      <c r="K233" s="708"/>
      <c r="L233" s="708"/>
      <c r="M233" s="708"/>
      <c r="N233" s="708"/>
      <c r="O233" s="708"/>
      <c r="P233" s="708"/>
      <c r="Q233" s="708"/>
      <c r="R233" s="708"/>
      <c r="S233" s="708"/>
      <c r="T233" s="708"/>
      <c r="U233" s="708"/>
      <c r="V233" s="708"/>
      <c r="W233" s="708"/>
      <c r="X233" s="708"/>
      <c r="Y233" s="708"/>
      <c r="Z233" s="708"/>
      <c r="AA233" s="708"/>
    </row>
    <row r="234" ht="15.75" customHeight="1">
      <c r="A234" s="708"/>
      <c r="B234" s="708"/>
      <c r="C234" s="708"/>
      <c r="D234" s="708"/>
      <c r="E234" s="708"/>
      <c r="F234" s="708"/>
      <c r="G234" s="708"/>
      <c r="H234" s="708"/>
      <c r="I234" s="708"/>
      <c r="J234" s="708"/>
      <c r="K234" s="708"/>
      <c r="L234" s="708"/>
      <c r="M234" s="708"/>
      <c r="N234" s="708"/>
      <c r="O234" s="708"/>
      <c r="P234" s="708"/>
      <c r="Q234" s="708"/>
      <c r="R234" s="708"/>
      <c r="S234" s="708"/>
      <c r="T234" s="708"/>
      <c r="U234" s="708"/>
      <c r="V234" s="708"/>
      <c r="W234" s="708"/>
      <c r="X234" s="708"/>
      <c r="Y234" s="708"/>
      <c r="Z234" s="708"/>
      <c r="AA234" s="708"/>
    </row>
    <row r="235" ht="15.75" customHeight="1">
      <c r="A235" s="708"/>
      <c r="B235" s="708"/>
      <c r="C235" s="708"/>
      <c r="D235" s="708"/>
      <c r="E235" s="708"/>
      <c r="F235" s="708"/>
      <c r="G235" s="708"/>
      <c r="H235" s="708"/>
      <c r="I235" s="708"/>
      <c r="J235" s="708"/>
      <c r="K235" s="708"/>
      <c r="L235" s="708"/>
      <c r="M235" s="708"/>
      <c r="N235" s="708"/>
      <c r="O235" s="708"/>
      <c r="P235" s="708"/>
      <c r="Q235" s="708"/>
      <c r="R235" s="708"/>
      <c r="S235" s="708"/>
      <c r="T235" s="708"/>
      <c r="U235" s="708"/>
      <c r="V235" s="708"/>
      <c r="W235" s="708"/>
      <c r="X235" s="708"/>
      <c r="Y235" s="708"/>
      <c r="Z235" s="708"/>
      <c r="AA235" s="708"/>
    </row>
    <row r="236" ht="15.75" customHeight="1">
      <c r="A236" s="708"/>
      <c r="B236" s="708"/>
      <c r="C236" s="708"/>
      <c r="D236" s="708"/>
      <c r="E236" s="708"/>
      <c r="F236" s="708"/>
      <c r="G236" s="708"/>
      <c r="H236" s="708"/>
      <c r="I236" s="708"/>
      <c r="J236" s="708"/>
      <c r="K236" s="708"/>
      <c r="L236" s="708"/>
      <c r="M236" s="708"/>
      <c r="N236" s="708"/>
      <c r="O236" s="708"/>
      <c r="P236" s="708"/>
      <c r="Q236" s="708"/>
      <c r="R236" s="708"/>
      <c r="S236" s="708"/>
      <c r="T236" s="708"/>
      <c r="U236" s="708"/>
      <c r="V236" s="708"/>
      <c r="W236" s="708"/>
      <c r="X236" s="708"/>
      <c r="Y236" s="708"/>
      <c r="Z236" s="708"/>
      <c r="AA236" s="708"/>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Q6:S6"/>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36EC8"/>
    <outlinePr summaryBelow="0" summaryRight="0"/>
  </sheetPr>
  <sheetViews>
    <sheetView showGridLines="0" workbookViewId="0"/>
  </sheetViews>
  <sheetFormatPr customHeight="1" defaultColWidth="14.43" defaultRowHeight="15.0"/>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3" width="19.57"/>
  </cols>
  <sheetData>
    <row r="1">
      <c r="A1" s="813"/>
      <c r="B1" s="814" t="s">
        <v>520</v>
      </c>
      <c r="C1" s="813"/>
      <c r="D1" s="813"/>
      <c r="E1" s="813"/>
      <c r="F1" s="813"/>
      <c r="G1" s="813"/>
      <c r="H1" s="813"/>
      <c r="I1" s="813"/>
      <c r="J1" s="813"/>
      <c r="K1" s="813"/>
      <c r="L1" s="813"/>
      <c r="M1" s="813"/>
      <c r="N1" s="813"/>
      <c r="O1" s="813"/>
      <c r="P1" s="813"/>
      <c r="Q1" s="813"/>
      <c r="R1" s="813"/>
      <c r="S1" s="813"/>
      <c r="T1" s="813"/>
      <c r="U1" s="813"/>
      <c r="V1" s="813"/>
      <c r="W1" s="813"/>
      <c r="X1" s="813"/>
      <c r="Y1" s="813"/>
      <c r="Z1" s="813"/>
      <c r="AA1" s="813"/>
    </row>
    <row r="2">
      <c r="B2" s="178" t="s">
        <v>521</v>
      </c>
    </row>
    <row r="3">
      <c r="B3" s="178" t="s">
        <v>522</v>
      </c>
    </row>
    <row r="6">
      <c r="A6" s="815"/>
      <c r="B6" s="816" t="s">
        <v>523</v>
      </c>
      <c r="C6" s="816">
        <v>2022.0</v>
      </c>
      <c r="D6" s="816">
        <v>2023.0</v>
      </c>
      <c r="E6" s="816">
        <v>2024.0</v>
      </c>
      <c r="F6" s="815"/>
      <c r="G6" s="815"/>
      <c r="H6" s="815"/>
      <c r="I6" s="815"/>
      <c r="J6" s="815"/>
      <c r="K6" s="815"/>
      <c r="L6" s="815"/>
      <c r="M6" s="815"/>
      <c r="N6" s="815"/>
      <c r="O6" s="815"/>
      <c r="P6" s="815"/>
      <c r="Q6" s="815"/>
      <c r="R6" s="815"/>
      <c r="S6" s="815"/>
      <c r="T6" s="815"/>
      <c r="U6" s="815"/>
      <c r="V6" s="815"/>
      <c r="W6" s="815"/>
      <c r="X6" s="815"/>
      <c r="Y6" s="815"/>
      <c r="Z6" s="815"/>
      <c r="AA6" s="815"/>
    </row>
    <row r="7">
      <c r="B7" s="178" t="s">
        <v>524</v>
      </c>
      <c r="C7" s="817">
        <v>23380.0</v>
      </c>
      <c r="D7" s="817">
        <v>23836.0</v>
      </c>
      <c r="E7" s="817">
        <v>25056.0</v>
      </c>
    </row>
    <row r="9">
      <c r="A9" s="815"/>
      <c r="B9" s="815"/>
      <c r="C9" s="816" t="s">
        <v>525</v>
      </c>
      <c r="D9" s="815"/>
      <c r="E9" s="815"/>
      <c r="F9" s="815"/>
      <c r="G9" s="816"/>
      <c r="H9" s="816" t="s">
        <v>526</v>
      </c>
      <c r="I9" s="815"/>
      <c r="J9" s="815"/>
      <c r="K9" s="815"/>
      <c r="L9" s="815"/>
      <c r="M9" s="815"/>
      <c r="N9" s="815"/>
      <c r="O9" s="815"/>
      <c r="P9" s="815"/>
      <c r="Q9" s="815"/>
      <c r="R9" s="815"/>
      <c r="S9" s="815"/>
      <c r="T9" s="815"/>
      <c r="U9" s="815"/>
      <c r="V9" s="815"/>
      <c r="W9" s="815"/>
      <c r="X9" s="815"/>
      <c r="Y9" s="815"/>
      <c r="Z9" s="815"/>
      <c r="AA9" s="815"/>
    </row>
    <row r="10">
      <c r="A10" s="815"/>
      <c r="B10" s="816" t="s">
        <v>527</v>
      </c>
      <c r="C10" s="816">
        <v>2022.0</v>
      </c>
      <c r="D10" s="816">
        <v>2023.0</v>
      </c>
      <c r="E10" s="816">
        <v>2024.0</v>
      </c>
      <c r="F10" s="816" t="s">
        <v>528</v>
      </c>
      <c r="G10" s="816" t="s">
        <v>529</v>
      </c>
      <c r="H10" s="816">
        <v>2022.0</v>
      </c>
      <c r="I10" s="816">
        <v>2023.0</v>
      </c>
      <c r="J10" s="816">
        <v>2024.0</v>
      </c>
      <c r="K10" s="816" t="s">
        <v>530</v>
      </c>
      <c r="L10" s="815"/>
      <c r="M10" s="815"/>
      <c r="N10" s="815"/>
      <c r="O10" s="815"/>
      <c r="P10" s="815"/>
      <c r="Q10" s="815"/>
      <c r="R10" s="815"/>
      <c r="S10" s="815"/>
      <c r="T10" s="815"/>
      <c r="U10" s="815"/>
      <c r="V10" s="815"/>
      <c r="W10" s="815"/>
      <c r="X10" s="815"/>
      <c r="Y10" s="815"/>
      <c r="Z10" s="815"/>
      <c r="AA10" s="815"/>
    </row>
    <row r="11">
      <c r="A11" s="818"/>
      <c r="B11" s="609" t="s">
        <v>531</v>
      </c>
      <c r="C11" s="819">
        <f t="shared" ref="C11:E11" si="1">SUM(C13:C14)</f>
        <v>8373244</v>
      </c>
      <c r="D11" s="819">
        <f t="shared" si="1"/>
        <v>8378576</v>
      </c>
      <c r="E11" s="819">
        <f t="shared" si="1"/>
        <v>11078105</v>
      </c>
      <c r="F11" s="820">
        <f>(E11-D11)/D11</f>
        <v>0.3221942488</v>
      </c>
      <c r="G11" s="820">
        <f>((E11/C11)^(1/2)-1)</f>
        <v>0.1502331108</v>
      </c>
      <c r="H11" s="818"/>
      <c r="I11" s="821">
        <f t="shared" ref="I11:J11" si="2">(D11*10^6)/D$7</f>
        <v>351509313.6</v>
      </c>
      <c r="J11" s="821">
        <f t="shared" si="2"/>
        <v>442133820.2</v>
      </c>
      <c r="K11" s="822">
        <f>('Cashflows - Analysis'!H15)/J11</f>
        <v>0.03488627776</v>
      </c>
      <c r="L11" s="818"/>
      <c r="M11" s="818"/>
      <c r="N11" s="818"/>
      <c r="O11" s="818"/>
      <c r="P11" s="818"/>
      <c r="Q11" s="818"/>
      <c r="R11" s="818"/>
      <c r="S11" s="818"/>
      <c r="T11" s="818"/>
      <c r="U11" s="818"/>
      <c r="V11" s="818"/>
      <c r="W11" s="818"/>
      <c r="X11" s="818"/>
      <c r="Y11" s="818"/>
      <c r="Z11" s="818"/>
      <c r="AA11" s="818"/>
    </row>
    <row r="12">
      <c r="B12" s="178" t="s">
        <v>532</v>
      </c>
      <c r="F12" s="639">
        <f>(D11-C11)/C11</f>
        <v>0.0006367902333</v>
      </c>
    </row>
    <row r="13">
      <c r="B13" s="178" t="s">
        <v>533</v>
      </c>
      <c r="C13" s="817">
        <v>7005927.0</v>
      </c>
      <c r="D13" s="817">
        <v>7070719.0</v>
      </c>
      <c r="E13" s="817">
        <v>9966410.0</v>
      </c>
      <c r="F13" s="639">
        <f t="shared" ref="F13:F14" si="3">(E13-D13)/D13</f>
        <v>0.4095327505</v>
      </c>
    </row>
    <row r="14">
      <c r="B14" s="178" t="s">
        <v>534</v>
      </c>
      <c r="C14" s="817">
        <v>1367317.0</v>
      </c>
      <c r="D14" s="817">
        <v>1307857.0</v>
      </c>
      <c r="E14" s="817">
        <v>1111695.0</v>
      </c>
      <c r="F14" s="639">
        <f t="shared" si="3"/>
        <v>-0.1499873457</v>
      </c>
    </row>
    <row r="15">
      <c r="B15" s="178" t="s">
        <v>535</v>
      </c>
      <c r="D15" s="817">
        <v>602470.0</v>
      </c>
      <c r="E15" s="817">
        <v>570581.0</v>
      </c>
    </row>
    <row r="16">
      <c r="B16" s="178" t="s">
        <v>536</v>
      </c>
      <c r="D16" s="817">
        <v>109180.0</v>
      </c>
      <c r="E16" s="817">
        <v>-172141.0</v>
      </c>
    </row>
    <row r="17">
      <c r="B17" s="178" t="s">
        <v>537</v>
      </c>
      <c r="D17" s="817">
        <v>128660.0</v>
      </c>
      <c r="E17" s="817">
        <v>321407.0</v>
      </c>
    </row>
    <row r="18">
      <c r="B18" s="178" t="s">
        <v>538</v>
      </c>
      <c r="D18" s="817">
        <v>190721.0</v>
      </c>
      <c r="E18" s="817">
        <v>609602.0</v>
      </c>
    </row>
    <row r="19">
      <c r="B19" s="178" t="s">
        <v>539</v>
      </c>
      <c r="D19" s="817">
        <v>1445.0</v>
      </c>
      <c r="E19" s="817">
        <v>14384.0</v>
      </c>
    </row>
    <row r="22">
      <c r="A22" s="818"/>
      <c r="B22" s="609" t="s">
        <v>540</v>
      </c>
      <c r="C22" s="818"/>
      <c r="D22" s="819">
        <v>8278781.0</v>
      </c>
      <c r="E22" s="819">
        <v>5816843.0</v>
      </c>
      <c r="F22" s="820">
        <f t="shared" ref="F22:F23" si="5">(E22-D22)/D22</f>
        <v>-0.2973792881</v>
      </c>
      <c r="G22" s="818"/>
      <c r="H22" s="818"/>
      <c r="I22" s="821">
        <f t="shared" ref="I22:J22" si="4">(D22*10^6)/D$7</f>
        <v>347322579.3</v>
      </c>
      <c r="J22" s="821">
        <f t="shared" si="4"/>
        <v>232153695.7</v>
      </c>
      <c r="K22" s="820">
        <f>'Cashflows - Analysis'!H20/J22</f>
        <v>0.01227706987</v>
      </c>
      <c r="L22" s="818"/>
      <c r="M22" s="818"/>
      <c r="N22" s="818"/>
      <c r="O22" s="818"/>
      <c r="P22" s="818"/>
      <c r="Q22" s="818"/>
      <c r="R22" s="818"/>
      <c r="S22" s="818"/>
      <c r="T22" s="818"/>
      <c r="U22" s="818"/>
      <c r="V22" s="818"/>
      <c r="W22" s="818"/>
      <c r="X22" s="818"/>
      <c r="Y22" s="818"/>
      <c r="Z22" s="818"/>
      <c r="AA22" s="818"/>
    </row>
    <row r="23">
      <c r="B23" s="178" t="s">
        <v>541</v>
      </c>
      <c r="D23" s="817">
        <v>1856595.0</v>
      </c>
      <c r="E23" s="817">
        <v>2113460.0</v>
      </c>
      <c r="F23" s="820">
        <f t="shared" si="5"/>
        <v>0.1383527371</v>
      </c>
      <c r="I23" s="631">
        <f t="shared" ref="I23:J23" si="6">(D23*10^6)/D$7</f>
        <v>77890375.9</v>
      </c>
      <c r="J23" s="631">
        <f t="shared" si="6"/>
        <v>84349457.22</v>
      </c>
    </row>
    <row r="27">
      <c r="B27" s="178" t="s">
        <v>542</v>
      </c>
      <c r="E27" s="817">
        <v>1.2409E7</v>
      </c>
      <c r="J27" s="821">
        <f>(E27*10^6)/E$7</f>
        <v>495250638.6</v>
      </c>
    </row>
    <row r="28">
      <c r="J28" s="264">
        <f>J27/'Customer Phases - Inputs and As'!F15</f>
        <v>135.4527215</v>
      </c>
    </row>
    <row r="30">
      <c r="A30" s="815"/>
      <c r="B30" s="816" t="s">
        <v>543</v>
      </c>
      <c r="C30" s="815"/>
      <c r="D30" s="815"/>
      <c r="E30" s="815"/>
      <c r="F30" s="815"/>
      <c r="G30" s="815"/>
      <c r="H30" s="815"/>
      <c r="I30" s="815"/>
      <c r="J30" s="815"/>
      <c r="K30" s="815"/>
      <c r="L30" s="815"/>
      <c r="M30" s="815"/>
      <c r="N30" s="815"/>
      <c r="O30" s="815"/>
      <c r="P30" s="815"/>
      <c r="Q30" s="815"/>
      <c r="R30" s="815"/>
      <c r="S30" s="815"/>
      <c r="T30" s="815"/>
      <c r="U30" s="815"/>
      <c r="V30" s="815"/>
      <c r="W30" s="815"/>
      <c r="X30" s="815"/>
      <c r="Y30" s="815"/>
      <c r="Z30" s="815"/>
      <c r="AA30" s="815"/>
    </row>
    <row r="31">
      <c r="B31" s="178" t="s">
        <v>544</v>
      </c>
      <c r="C31" s="823">
        <v>3656262.0</v>
      </c>
    </row>
    <row r="32">
      <c r="B32" s="178" t="s">
        <v>545</v>
      </c>
      <c r="C32" s="824">
        <v>0.2</v>
      </c>
    </row>
    <row r="33">
      <c r="B33" s="178" t="s">
        <v>546</v>
      </c>
      <c r="C33" s="264">
        <f>C31*C32</f>
        <v>731252.4</v>
      </c>
    </row>
    <row r="34">
      <c r="B34" s="178" t="s">
        <v>547</v>
      </c>
      <c r="C34" s="824">
        <v>0.82</v>
      </c>
    </row>
    <row r="35">
      <c r="B35" s="178" t="s">
        <v>548</v>
      </c>
      <c r="C35" s="597">
        <f>C33*(1-C34)</f>
        <v>131625.432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6">
      <c r="E6" s="178" t="s">
        <v>549</v>
      </c>
      <c r="F6" s="178">
        <v>100.0</v>
      </c>
      <c r="G6" s="178">
        <v>100.0</v>
      </c>
    </row>
    <row r="7">
      <c r="E7" s="178" t="s">
        <v>550</v>
      </c>
      <c r="F7" s="825">
        <v>20.0</v>
      </c>
      <c r="G7" s="264">
        <f>G6-F12</f>
        <v>18.5</v>
      </c>
    </row>
    <row r="8">
      <c r="E8" s="178" t="s">
        <v>551</v>
      </c>
      <c r="F8" s="178">
        <v>80.0</v>
      </c>
    </row>
    <row r="9">
      <c r="F9" s="826">
        <v>0.075</v>
      </c>
    </row>
    <row r="10">
      <c r="E10" s="178" t="s">
        <v>552</v>
      </c>
      <c r="F10" s="264">
        <f>F7*F9</f>
        <v>1.5</v>
      </c>
    </row>
    <row r="12">
      <c r="E12" s="178" t="s">
        <v>553</v>
      </c>
      <c r="F12" s="264">
        <f>SUM(F8+F10)</f>
        <v>81.5</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7.86"/>
  </cols>
  <sheetData>
    <row r="5">
      <c r="C5" s="816" t="s">
        <v>554</v>
      </c>
      <c r="D5" s="816"/>
      <c r="E5" s="816"/>
      <c r="F5" s="816"/>
      <c r="G5" s="816"/>
      <c r="H5" s="816"/>
      <c r="I5" s="816"/>
    </row>
    <row r="6">
      <c r="C6" s="816"/>
      <c r="D6" s="816"/>
      <c r="E6" s="816"/>
      <c r="F6" s="816"/>
      <c r="G6" s="816" t="s">
        <v>555</v>
      </c>
      <c r="H6" s="816"/>
      <c r="I6" s="816"/>
    </row>
    <row r="7">
      <c r="C7" s="816"/>
      <c r="D7" s="816" t="s">
        <v>556</v>
      </c>
      <c r="E7" s="816"/>
      <c r="F7" s="816"/>
      <c r="G7" s="816" t="s">
        <v>528</v>
      </c>
      <c r="H7" s="816"/>
      <c r="I7" s="816" t="s">
        <v>557</v>
      </c>
    </row>
    <row r="8">
      <c r="C8" s="816"/>
      <c r="D8" s="816">
        <v>2022.0</v>
      </c>
      <c r="E8" s="816">
        <v>2023.0</v>
      </c>
      <c r="F8" s="816">
        <v>2024.0</v>
      </c>
      <c r="G8" s="816" t="s">
        <v>558</v>
      </c>
      <c r="H8" s="816" t="s">
        <v>559</v>
      </c>
      <c r="I8" s="816" t="s">
        <v>560</v>
      </c>
    </row>
    <row r="9">
      <c r="C9" s="827" t="s">
        <v>561</v>
      </c>
      <c r="D9" s="819">
        <f t="shared" ref="D9:F9" si="1">SUM(D11:D12)</f>
        <v>8373244</v>
      </c>
      <c r="E9" s="819">
        <f t="shared" si="1"/>
        <v>8378576</v>
      </c>
      <c r="F9" s="819">
        <f t="shared" si="1"/>
        <v>11078105</v>
      </c>
      <c r="G9" s="639">
        <f t="shared" ref="G9:H9" si="2">(E9-D9)/D9</f>
        <v>0.0006367902333</v>
      </c>
      <c r="H9" s="639">
        <f t="shared" si="2"/>
        <v>0.3221942488</v>
      </c>
      <c r="I9" s="639">
        <f>((F9/D9)^(1/2)-1)</f>
        <v>0.1502331108</v>
      </c>
    </row>
    <row r="10">
      <c r="C10" s="178" t="s">
        <v>562</v>
      </c>
    </row>
    <row r="11">
      <c r="C11" s="178" t="s">
        <v>563</v>
      </c>
      <c r="D11" s="817">
        <v>7005927.0</v>
      </c>
      <c r="E11" s="817">
        <v>7070719.0</v>
      </c>
      <c r="F11" s="817">
        <v>9966410.0</v>
      </c>
    </row>
    <row r="12">
      <c r="C12" s="178" t="s">
        <v>564</v>
      </c>
      <c r="D12" s="817">
        <v>1367317.0</v>
      </c>
      <c r="E12" s="817">
        <v>1307857.0</v>
      </c>
      <c r="F12" s="817">
        <v>1111695.0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6" max="6" width="19.14"/>
  </cols>
  <sheetData>
    <row r="1">
      <c r="B1" s="178" t="s">
        <v>565</v>
      </c>
    </row>
    <row r="2">
      <c r="B2" s="178" t="s">
        <v>566</v>
      </c>
    </row>
    <row r="3">
      <c r="C3" s="178"/>
      <c r="D3" s="178"/>
    </row>
    <row r="4">
      <c r="C4" s="178" t="s">
        <v>567</v>
      </c>
      <c r="D4" s="178" t="s">
        <v>568</v>
      </c>
      <c r="F4" s="178" t="s">
        <v>569</v>
      </c>
      <c r="G4" s="178" t="s">
        <v>570</v>
      </c>
      <c r="H4" s="178" t="s">
        <v>571</v>
      </c>
      <c r="I4" s="178" t="s">
        <v>572</v>
      </c>
    </row>
    <row r="5">
      <c r="A5" s="178"/>
      <c r="B5" s="178" t="s">
        <v>573</v>
      </c>
      <c r="C5" s="828">
        <v>76836.0</v>
      </c>
      <c r="D5" s="264">
        <f t="shared" ref="D5:D8" si="1">C5*4</f>
        <v>307344</v>
      </c>
      <c r="G5" s="178">
        <v>6.0</v>
      </c>
      <c r="H5" s="178">
        <v>8.0</v>
      </c>
      <c r="I5" s="178">
        <v>39.0</v>
      </c>
    </row>
    <row r="6">
      <c r="A6" s="178"/>
      <c r="B6" s="178" t="s">
        <v>574</v>
      </c>
      <c r="C6" s="178">
        <v>52075.0</v>
      </c>
      <c r="D6" s="264">
        <f t="shared" si="1"/>
        <v>208300</v>
      </c>
      <c r="E6" s="639">
        <f t="shared" ref="E6:E8" si="3">(D5-D6)/D5</f>
        <v>0.3222577958</v>
      </c>
      <c r="F6" s="264">
        <f t="shared" ref="F6:F8" si="4">D5-D6</f>
        <v>99044</v>
      </c>
      <c r="G6" s="631">
        <f t="shared" ref="G6:I6" si="2">$F6*G$5</f>
        <v>594264</v>
      </c>
      <c r="H6" s="631">
        <f t="shared" si="2"/>
        <v>792352</v>
      </c>
      <c r="I6" s="631">
        <f t="shared" si="2"/>
        <v>3862716</v>
      </c>
      <c r="J6" s="829">
        <f>D6*H5</f>
        <v>1666400</v>
      </c>
      <c r="K6" s="264">
        <f>J6*17%</f>
        <v>283288</v>
      </c>
    </row>
    <row r="7">
      <c r="A7" s="178"/>
      <c r="B7" s="178" t="s">
        <v>575</v>
      </c>
      <c r="C7" s="178">
        <v>51646.0</v>
      </c>
      <c r="D7" s="264">
        <f t="shared" si="1"/>
        <v>206584</v>
      </c>
      <c r="E7" s="639">
        <f t="shared" si="3"/>
        <v>0.008238118099</v>
      </c>
      <c r="F7" s="264">
        <f t="shared" si="4"/>
        <v>1716</v>
      </c>
      <c r="G7" s="631">
        <f t="shared" ref="G7:I7" si="5">$F7*G$5</f>
        <v>10296</v>
      </c>
      <c r="H7" s="631">
        <f t="shared" si="5"/>
        <v>13728</v>
      </c>
      <c r="I7" s="631">
        <f t="shared" si="5"/>
        <v>66924</v>
      </c>
    </row>
    <row r="8">
      <c r="A8" s="178"/>
      <c r="B8" s="178" t="s">
        <v>576</v>
      </c>
      <c r="C8" s="178">
        <v>43191.0</v>
      </c>
      <c r="D8" s="264">
        <f t="shared" si="1"/>
        <v>172764</v>
      </c>
      <c r="E8" s="639">
        <f t="shared" si="3"/>
        <v>0.1637106455</v>
      </c>
      <c r="F8" s="264">
        <f t="shared" si="4"/>
        <v>33820</v>
      </c>
      <c r="G8" s="631">
        <f t="shared" ref="G8:I8" si="6">$F8*G$5</f>
        <v>202920</v>
      </c>
      <c r="H8" s="631">
        <f t="shared" si="6"/>
        <v>270560</v>
      </c>
      <c r="I8" s="631">
        <f t="shared" si="6"/>
        <v>1318980</v>
      </c>
    </row>
    <row r="9">
      <c r="F9" s="264">
        <f>D5-D8</f>
        <v>134580</v>
      </c>
      <c r="G9" s="631">
        <f t="shared" ref="G9:I9" si="7">$F9*G$5</f>
        <v>807480</v>
      </c>
      <c r="H9" s="631">
        <f t="shared" si="7"/>
        <v>1076640</v>
      </c>
      <c r="I9" s="631">
        <f t="shared" si="7"/>
        <v>5248620</v>
      </c>
    </row>
    <row r="11">
      <c r="B11" s="178" t="s">
        <v>577</v>
      </c>
      <c r="F11" s="264">
        <f>D6-D8</f>
        <v>35536</v>
      </c>
      <c r="G11" s="631">
        <f t="shared" ref="G11:I11" si="8">$F11*G$5</f>
        <v>213216</v>
      </c>
      <c r="H11" s="631">
        <f t="shared" si="8"/>
        <v>284288</v>
      </c>
      <c r="I11" s="631">
        <f t="shared" si="8"/>
        <v>1385904</v>
      </c>
    </row>
    <row r="13">
      <c r="A13" s="830"/>
      <c r="B13" s="830" t="s">
        <v>578</v>
      </c>
      <c r="C13" s="831"/>
      <c r="D13" s="831"/>
      <c r="E13" s="831"/>
      <c r="F13" s="831"/>
      <c r="G13" s="831"/>
      <c r="H13" s="831"/>
      <c r="I13" s="831"/>
      <c r="J13" s="831"/>
      <c r="K13" s="831"/>
      <c r="L13" s="831"/>
      <c r="M13" s="831"/>
      <c r="N13" s="831"/>
      <c r="O13" s="831"/>
      <c r="P13" s="831"/>
      <c r="Q13" s="831"/>
      <c r="R13" s="831"/>
      <c r="S13" s="831"/>
      <c r="T13" s="831"/>
      <c r="U13" s="831"/>
      <c r="V13" s="831"/>
      <c r="W13" s="831"/>
      <c r="X13" s="831"/>
      <c r="Y13" s="831"/>
      <c r="Z13" s="831"/>
      <c r="AA13" s="831"/>
    </row>
    <row r="14">
      <c r="B14" s="178" t="s">
        <v>579</v>
      </c>
    </row>
    <row r="15">
      <c r="G15" s="178" t="s">
        <v>580</v>
      </c>
      <c r="J15" s="178" t="s">
        <v>581</v>
      </c>
    </row>
    <row r="16">
      <c r="E16" s="178" t="s">
        <v>544</v>
      </c>
      <c r="F16" s="178" t="s">
        <v>582</v>
      </c>
      <c r="G16" s="178" t="s">
        <v>583</v>
      </c>
      <c r="H16" s="178" t="s">
        <v>584</v>
      </c>
      <c r="J16" s="178" t="s">
        <v>585</v>
      </c>
      <c r="K16" s="178" t="s">
        <v>583</v>
      </c>
      <c r="L16" s="178" t="s">
        <v>584</v>
      </c>
    </row>
    <row r="17">
      <c r="D17" s="178" t="s">
        <v>586</v>
      </c>
      <c r="E17" s="817">
        <v>4000000.0</v>
      </c>
      <c r="F17" s="817">
        <v>2.0E13</v>
      </c>
      <c r="G17" s="631">
        <f t="shared" ref="G17:G21" si="9">F17/E17</f>
        <v>5000000</v>
      </c>
      <c r="H17" s="631">
        <f>G17/'Annual report data'!$C$7</f>
        <v>213.8579983</v>
      </c>
      <c r="I17" s="631"/>
      <c r="J17" s="631">
        <f t="shared" ref="J17:J21" si="10">E17*$H$24</f>
        <v>1600000</v>
      </c>
      <c r="K17" s="631">
        <f t="shared" ref="K17:K21" si="11">F17/J17</f>
        <v>12500000</v>
      </c>
      <c r="L17" s="631">
        <f>K17/'Annual report data'!$C$7</f>
        <v>534.6449957</v>
      </c>
    </row>
    <row r="18">
      <c r="D18" s="178" t="s">
        <v>587</v>
      </c>
      <c r="E18" s="817">
        <v>2.0E7</v>
      </c>
      <c r="F18" s="817">
        <v>1.77E14</v>
      </c>
      <c r="G18" s="631">
        <f t="shared" si="9"/>
        <v>8850000</v>
      </c>
      <c r="H18" s="631">
        <f>G18/'Annual report data'!$C$7</f>
        <v>378.528657</v>
      </c>
      <c r="I18" s="631"/>
      <c r="J18" s="631">
        <f t="shared" si="10"/>
        <v>8000000</v>
      </c>
      <c r="K18" s="631">
        <f t="shared" si="11"/>
        <v>22125000</v>
      </c>
      <c r="L18" s="631">
        <f>K18/'Annual report data'!$C$7</f>
        <v>946.3216424</v>
      </c>
    </row>
    <row r="19">
      <c r="D19" s="178" t="s">
        <v>588</v>
      </c>
      <c r="E19" s="817">
        <v>1.0E7</v>
      </c>
      <c r="F19" s="817">
        <v>1.32E14</v>
      </c>
      <c r="G19" s="631">
        <f t="shared" si="9"/>
        <v>13200000</v>
      </c>
      <c r="H19" s="631">
        <f>G19/'Annual report data'!$C$7</f>
        <v>564.5851155</v>
      </c>
      <c r="I19" s="631"/>
      <c r="J19" s="631">
        <f t="shared" si="10"/>
        <v>4000000</v>
      </c>
      <c r="K19" s="631">
        <f t="shared" si="11"/>
        <v>33000000</v>
      </c>
      <c r="L19" s="631">
        <f>K19/'Annual report data'!$C$7</f>
        <v>1411.462789</v>
      </c>
    </row>
    <row r="20">
      <c r="D20" s="178" t="s">
        <v>589</v>
      </c>
      <c r="E20" s="817">
        <v>5200000.0</v>
      </c>
      <c r="F20" s="817">
        <v>5.3E13</v>
      </c>
      <c r="G20" s="631">
        <f t="shared" si="9"/>
        <v>10192307.69</v>
      </c>
      <c r="H20" s="631">
        <f>G20/'Annual report data'!$C$7</f>
        <v>435.9413042</v>
      </c>
      <c r="I20" s="631"/>
      <c r="J20" s="631">
        <f t="shared" si="10"/>
        <v>2080000</v>
      </c>
      <c r="K20" s="631">
        <f t="shared" si="11"/>
        <v>25480769.23</v>
      </c>
      <c r="L20" s="631">
        <f>K20/'Annual report data'!$C$7</f>
        <v>1089.853261</v>
      </c>
    </row>
    <row r="21">
      <c r="D21" s="178" t="s">
        <v>590</v>
      </c>
      <c r="E21" s="817">
        <v>6000000.0</v>
      </c>
      <c r="F21" s="817">
        <v>3.5E13</v>
      </c>
      <c r="G21" s="631">
        <f t="shared" si="9"/>
        <v>5833333.333</v>
      </c>
      <c r="H21" s="631">
        <f>G21/'Annual report data'!$C$7</f>
        <v>249.500998</v>
      </c>
      <c r="I21" s="631"/>
      <c r="J21" s="631">
        <f t="shared" si="10"/>
        <v>2400000</v>
      </c>
      <c r="K21" s="631">
        <f t="shared" si="11"/>
        <v>14583333.33</v>
      </c>
      <c r="L21" s="631">
        <f>K21/'Annual report data'!$C$7</f>
        <v>623.752495</v>
      </c>
    </row>
    <row r="24">
      <c r="G24" s="178" t="s">
        <v>591</v>
      </c>
      <c r="H24" s="824">
        <v>0.4</v>
      </c>
      <c r="J24" s="178" t="s">
        <v>592</v>
      </c>
      <c r="L24" s="631">
        <f>AVERAGE(L17:L21)</f>
        <v>921.2070365</v>
      </c>
    </row>
    <row r="25">
      <c r="J25" s="178" t="s">
        <v>593</v>
      </c>
      <c r="L25" s="631">
        <f>SUMPRODUCT(J17:J21,L17:L21)/SUM(J17:J21)</f>
        <v>986.4909877</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B2" s="832"/>
      <c r="C2" s="832"/>
      <c r="D2" s="832"/>
      <c r="E2" s="832"/>
      <c r="F2" s="832"/>
      <c r="G2" s="832"/>
      <c r="H2" s="832"/>
      <c r="I2" s="615"/>
    </row>
    <row r="3">
      <c r="B3" s="833"/>
      <c r="C3" s="834" t="s">
        <v>80</v>
      </c>
      <c r="D3" s="834" t="s">
        <v>81</v>
      </c>
      <c r="E3" s="834" t="s">
        <v>82</v>
      </c>
      <c r="F3" s="834" t="s">
        <v>83</v>
      </c>
      <c r="G3" s="834" t="s">
        <v>84</v>
      </c>
      <c r="H3" s="835" t="s">
        <v>594</v>
      </c>
      <c r="I3" s="615"/>
    </row>
    <row r="4">
      <c r="B4" s="836" t="s">
        <v>595</v>
      </c>
      <c r="C4" s="837">
        <v>35000.0</v>
      </c>
      <c r="D4" s="837">
        <v>150000.0</v>
      </c>
      <c r="E4" s="837">
        <v>178000.0</v>
      </c>
      <c r="F4" s="837">
        <v>197000.0</v>
      </c>
      <c r="G4" s="837">
        <v>215000.0</v>
      </c>
      <c r="H4" s="838">
        <f t="shared" ref="H4:H6" si="1">SUM(C4:G4)</f>
        <v>775000</v>
      </c>
      <c r="I4" s="615"/>
    </row>
    <row r="5">
      <c r="B5" s="836" t="s">
        <v>596</v>
      </c>
      <c r="C5" s="839">
        <v>204000.0</v>
      </c>
      <c r="D5" s="839">
        <v>530000.0</v>
      </c>
      <c r="E5" s="839">
        <v>625000.0</v>
      </c>
      <c r="F5" s="839">
        <v>622000.0</v>
      </c>
      <c r="G5" s="839">
        <v>660000.0</v>
      </c>
      <c r="H5" s="838">
        <f t="shared" si="1"/>
        <v>2641000</v>
      </c>
      <c r="I5" s="615"/>
    </row>
    <row r="6">
      <c r="B6" s="840" t="s">
        <v>597</v>
      </c>
      <c r="C6" s="841">
        <v>177000.0</v>
      </c>
      <c r="D6" s="841">
        <v>177000.0</v>
      </c>
      <c r="E6" s="841">
        <v>177000.0</v>
      </c>
      <c r="F6" s="841">
        <v>177000.0</v>
      </c>
      <c r="G6" s="841">
        <v>177000.0</v>
      </c>
      <c r="H6" s="842">
        <f t="shared" si="1"/>
        <v>885000</v>
      </c>
      <c r="I6" s="615"/>
    </row>
    <row r="7">
      <c r="B7" s="840" t="s">
        <v>598</v>
      </c>
      <c r="E7" s="841">
        <v>315000.0</v>
      </c>
      <c r="F7" s="841">
        <v>315000.0</v>
      </c>
      <c r="G7" s="841">
        <v>315000.0</v>
      </c>
      <c r="H7" s="841">
        <v>315000.0</v>
      </c>
      <c r="I7" s="841">
        <v>315000.0</v>
      </c>
      <c r="J7" s="842">
        <f>SUM(E7:I7)</f>
        <v>1575000</v>
      </c>
    </row>
    <row r="8">
      <c r="B8" s="843" t="s">
        <v>599</v>
      </c>
      <c r="C8" s="838">
        <f t="shared" ref="C8:G8" si="2">sum(C5:C7)</f>
        <v>381000</v>
      </c>
      <c r="D8" s="838">
        <f t="shared" si="2"/>
        <v>707000</v>
      </c>
      <c r="E8" s="838">
        <f t="shared" si="2"/>
        <v>1117000</v>
      </c>
      <c r="F8" s="838">
        <f t="shared" si="2"/>
        <v>1114000</v>
      </c>
      <c r="G8" s="838">
        <f t="shared" si="2"/>
        <v>1152000</v>
      </c>
      <c r="H8" s="841">
        <v>315000.0</v>
      </c>
      <c r="I8" s="838">
        <f>sum(I5:I7)</f>
        <v>315000</v>
      </c>
      <c r="J8" s="844">
        <f>sum(C8:I8)</f>
        <v>5101000</v>
      </c>
    </row>
    <row r="9">
      <c r="B9" s="843" t="s">
        <v>600</v>
      </c>
      <c r="C9" s="838">
        <f>4560*550</f>
        <v>2508000</v>
      </c>
      <c r="D9" s="838">
        <f>(680+(750/2)+(250/2))*550</f>
        <v>649000</v>
      </c>
      <c r="E9" s="845">
        <f t="shared" ref="E9:G9" si="3">(1000/2)*550</f>
        <v>275000</v>
      </c>
      <c r="F9" s="845">
        <f t="shared" si="3"/>
        <v>275000</v>
      </c>
      <c r="G9" s="845">
        <f t="shared" si="3"/>
        <v>275000</v>
      </c>
      <c r="H9" s="838">
        <f>SUM(C9:G9)</f>
        <v>3982000</v>
      </c>
      <c r="I9" s="615"/>
    </row>
    <row r="10">
      <c r="B10" s="843" t="s">
        <v>601</v>
      </c>
      <c r="C10" s="838">
        <f t="shared" ref="C10:G10" si="4">sum(C8:C9)</f>
        <v>2889000</v>
      </c>
      <c r="D10" s="838">
        <f t="shared" si="4"/>
        <v>1356000</v>
      </c>
      <c r="E10" s="838">
        <f t="shared" si="4"/>
        <v>1392000</v>
      </c>
      <c r="F10" s="838">
        <f t="shared" si="4"/>
        <v>1389000</v>
      </c>
      <c r="G10" s="838">
        <f t="shared" si="4"/>
        <v>1427000</v>
      </c>
      <c r="H10" s="846">
        <f>H9+J8</f>
        <v>9083000</v>
      </c>
      <c r="I10" s="615"/>
    </row>
    <row r="11">
      <c r="B11" s="843" t="s">
        <v>602</v>
      </c>
      <c r="C11" s="847">
        <f>(C10)/(1+$C$12)^0</f>
        <v>2889000</v>
      </c>
      <c r="D11" s="847">
        <f>(D10)/(1+$C$12)^1</f>
        <v>1232727.273</v>
      </c>
      <c r="E11" s="847">
        <f>(E10)/(1+$C$12)^2</f>
        <v>1150413.223</v>
      </c>
      <c r="F11" s="847">
        <f>(F10)/(1+$C$12)^3</f>
        <v>1043576.258</v>
      </c>
      <c r="G11" s="847">
        <f>(G10)/(1+$C$12)^4</f>
        <v>974660.2008</v>
      </c>
      <c r="H11" s="848">
        <f>SUM(C11:G11)</f>
        <v>7290376.955</v>
      </c>
      <c r="I11" s="849">
        <f t="array" ref="I11">NPV(C12,D10:G10)+C10</f>
        <v>7290376.955</v>
      </c>
    </row>
    <row r="12">
      <c r="B12" s="843" t="s">
        <v>603</v>
      </c>
      <c r="C12" s="850">
        <v>0.1</v>
      </c>
      <c r="D12" s="851"/>
      <c r="E12" s="851"/>
      <c r="F12" s="851"/>
      <c r="G12" s="851"/>
      <c r="H12" s="851"/>
      <c r="I12" s="615"/>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4.43" defaultRowHeight="15.0"/>
  <cols>
    <col customWidth="1" min="1" max="1" width="10.71"/>
    <col customWidth="1" min="2" max="2" width="26.71"/>
    <col customWidth="1" min="3" max="15" width="10.71"/>
    <col customWidth="1" min="16" max="16" width="16.0"/>
    <col customWidth="1" min="17" max="19" width="10.71"/>
  </cols>
  <sheetData>
    <row r="1">
      <c r="A1" s="852">
        <v>1.2</v>
      </c>
    </row>
    <row r="6">
      <c r="B6" s="853" t="s">
        <v>404</v>
      </c>
      <c r="C6" s="854" t="s">
        <v>99</v>
      </c>
      <c r="D6" s="855"/>
      <c r="E6" s="856"/>
      <c r="F6" s="292"/>
      <c r="G6" s="854" t="s">
        <v>40</v>
      </c>
      <c r="H6" s="855"/>
      <c r="I6" s="856"/>
      <c r="J6" s="292"/>
      <c r="K6" s="854" t="s">
        <v>41</v>
      </c>
      <c r="L6" s="855"/>
      <c r="M6" s="856"/>
      <c r="N6" s="292"/>
      <c r="O6" s="292"/>
      <c r="P6" s="857" t="s">
        <v>604</v>
      </c>
      <c r="Q6" s="855"/>
      <c r="R6" s="856"/>
    </row>
    <row r="7">
      <c r="B7" s="853"/>
      <c r="C7" s="858" t="s">
        <v>405</v>
      </c>
      <c r="D7" s="858" t="s">
        <v>605</v>
      </c>
      <c r="E7" s="859" t="s">
        <v>407</v>
      </c>
      <c r="F7" s="292"/>
      <c r="G7" s="858" t="s">
        <v>405</v>
      </c>
      <c r="H7" s="858" t="s">
        <v>605</v>
      </c>
      <c r="I7" s="859" t="s">
        <v>407</v>
      </c>
      <c r="J7" s="292"/>
      <c r="K7" s="858" t="s">
        <v>405</v>
      </c>
      <c r="L7" s="858" t="s">
        <v>605</v>
      </c>
      <c r="M7" s="859" t="s">
        <v>407</v>
      </c>
      <c r="N7" s="860" t="s">
        <v>606</v>
      </c>
      <c r="O7" s="292"/>
      <c r="P7" s="861" t="s">
        <v>407</v>
      </c>
      <c r="Q7" s="860" t="s">
        <v>112</v>
      </c>
      <c r="R7" s="862" t="s">
        <v>418</v>
      </c>
    </row>
    <row r="8">
      <c r="B8" s="853" t="s">
        <v>122</v>
      </c>
      <c r="C8" s="863">
        <v>6000.0</v>
      </c>
      <c r="D8" s="863">
        <v>5.0</v>
      </c>
      <c r="E8" s="864">
        <v>7875.0</v>
      </c>
      <c r="F8" s="292"/>
      <c r="G8" s="863">
        <v>3600.0</v>
      </c>
      <c r="H8" s="863">
        <v>5.0</v>
      </c>
      <c r="I8" s="864">
        <v>4725.0</v>
      </c>
      <c r="J8" s="292"/>
      <c r="K8" s="863">
        <v>0.0</v>
      </c>
      <c r="L8" s="863">
        <v>0.0</v>
      </c>
      <c r="M8" s="864" t="s">
        <v>607</v>
      </c>
      <c r="N8" s="865">
        <v>15.75</v>
      </c>
      <c r="O8" s="292"/>
      <c r="P8" s="864">
        <f t="shared" ref="P8:P21" si="1">SUM(E8,I8,M8)</f>
        <v>12600</v>
      </c>
      <c r="Q8" s="866">
        <v>0.25</v>
      </c>
      <c r="R8" s="867">
        <f t="shared" ref="R8:R21" si="2">P8*Q8</f>
        <v>3150</v>
      </c>
    </row>
    <row r="9">
      <c r="B9" s="853" t="s">
        <v>127</v>
      </c>
      <c r="C9" s="863">
        <v>6000.0</v>
      </c>
      <c r="D9" s="863">
        <v>10.0</v>
      </c>
      <c r="E9" s="864">
        <v>15750.0</v>
      </c>
      <c r="F9" s="292"/>
      <c r="G9" s="863">
        <v>6600.0</v>
      </c>
      <c r="H9" s="863">
        <v>10.0</v>
      </c>
      <c r="I9" s="864">
        <v>17325.0</v>
      </c>
      <c r="J9" s="292"/>
      <c r="K9" s="863">
        <v>0.0</v>
      </c>
      <c r="L9" s="863">
        <v>0.0</v>
      </c>
      <c r="M9" s="864" t="s">
        <v>607</v>
      </c>
      <c r="N9" s="865">
        <v>15.75</v>
      </c>
      <c r="O9" s="292"/>
      <c r="P9" s="864">
        <f t="shared" si="1"/>
        <v>33075</v>
      </c>
      <c r="Q9" s="866">
        <v>0.35</v>
      </c>
      <c r="R9" s="867">
        <f t="shared" si="2"/>
        <v>11576.25</v>
      </c>
    </row>
    <row r="10">
      <c r="B10" s="853" t="s">
        <v>129</v>
      </c>
      <c r="C10" s="863">
        <v>3600.0</v>
      </c>
      <c r="D10" s="863">
        <v>15.0</v>
      </c>
      <c r="E10" s="864">
        <v>14175.0</v>
      </c>
      <c r="F10" s="292"/>
      <c r="G10" s="863">
        <v>4800.0</v>
      </c>
      <c r="H10" s="863">
        <v>15.0</v>
      </c>
      <c r="I10" s="864">
        <v>18900.0</v>
      </c>
      <c r="J10" s="292"/>
      <c r="K10" s="863">
        <v>8400.0</v>
      </c>
      <c r="L10" s="863">
        <v>20.0</v>
      </c>
      <c r="M10" s="864">
        <v>44100.0</v>
      </c>
      <c r="N10" s="865">
        <v>15.75</v>
      </c>
      <c r="O10" s="292"/>
      <c r="P10" s="864">
        <f t="shared" si="1"/>
        <v>77175</v>
      </c>
      <c r="Q10" s="866">
        <v>0.45</v>
      </c>
      <c r="R10" s="867">
        <f t="shared" si="2"/>
        <v>34728.75</v>
      </c>
    </row>
    <row r="11">
      <c r="B11" s="853" t="s">
        <v>608</v>
      </c>
      <c r="C11" s="863">
        <v>1370000.0</v>
      </c>
      <c r="D11" s="863">
        <v>5.0</v>
      </c>
      <c r="E11" s="864">
        <v>1798125.0</v>
      </c>
      <c r="F11" s="292"/>
      <c r="G11" s="863">
        <v>2000.0</v>
      </c>
      <c r="H11" s="863">
        <v>5.0</v>
      </c>
      <c r="I11" s="864">
        <v>2625.0</v>
      </c>
      <c r="J11" s="292"/>
      <c r="K11" s="863">
        <v>0.0</v>
      </c>
      <c r="L11" s="863">
        <v>0.0</v>
      </c>
      <c r="M11" s="864" t="s">
        <v>607</v>
      </c>
      <c r="N11" s="865">
        <v>15.75</v>
      </c>
      <c r="O11" s="292"/>
      <c r="P11" s="864">
        <f t="shared" si="1"/>
        <v>1800750</v>
      </c>
      <c r="Q11" s="866">
        <v>0.35</v>
      </c>
      <c r="R11" s="867">
        <f t="shared" si="2"/>
        <v>630262.5</v>
      </c>
    </row>
    <row r="12">
      <c r="B12" s="853" t="s">
        <v>609</v>
      </c>
      <c r="C12" s="863">
        <v>44000.0</v>
      </c>
      <c r="D12" s="863">
        <v>5.0</v>
      </c>
      <c r="E12" s="864">
        <v>57750.0</v>
      </c>
      <c r="F12" s="292"/>
      <c r="G12" s="863">
        <v>1000.0</v>
      </c>
      <c r="H12" s="863">
        <v>10.0</v>
      </c>
      <c r="I12" s="864">
        <v>2625.0</v>
      </c>
      <c r="J12" s="292"/>
      <c r="K12" s="863">
        <v>44000.0</v>
      </c>
      <c r="L12" s="863">
        <v>5.0</v>
      </c>
      <c r="M12" s="864">
        <v>57750.0</v>
      </c>
      <c r="N12" s="865">
        <v>15.75</v>
      </c>
      <c r="O12" s="292"/>
      <c r="P12" s="864">
        <f t="shared" si="1"/>
        <v>118125</v>
      </c>
      <c r="Q12" s="866">
        <v>0.35</v>
      </c>
      <c r="R12" s="867">
        <f t="shared" si="2"/>
        <v>41343.75</v>
      </c>
    </row>
    <row r="13">
      <c r="B13" s="853" t="s">
        <v>610</v>
      </c>
      <c r="C13" s="863">
        <v>0.0</v>
      </c>
      <c r="D13" s="863">
        <v>0.0</v>
      </c>
      <c r="E13" s="864" t="s">
        <v>607</v>
      </c>
      <c r="F13" s="292"/>
      <c r="G13" s="863">
        <v>0.0</v>
      </c>
      <c r="H13" s="863">
        <v>0.0</v>
      </c>
      <c r="I13" s="864" t="s">
        <v>607</v>
      </c>
      <c r="J13" s="292"/>
      <c r="K13" s="863">
        <v>0.0</v>
      </c>
      <c r="L13" s="863">
        <v>0.0</v>
      </c>
      <c r="M13" s="864" t="s">
        <v>607</v>
      </c>
      <c r="N13" s="865">
        <v>15.75</v>
      </c>
      <c r="O13" s="292"/>
      <c r="P13" s="864">
        <f t="shared" si="1"/>
        <v>0</v>
      </c>
      <c r="Q13" s="866">
        <v>0.35</v>
      </c>
      <c r="R13" s="867">
        <f t="shared" si="2"/>
        <v>0</v>
      </c>
    </row>
    <row r="14">
      <c r="B14" s="853" t="s">
        <v>611</v>
      </c>
      <c r="C14" s="863">
        <v>0.0</v>
      </c>
      <c r="D14" s="863">
        <v>0.0</v>
      </c>
      <c r="E14" s="864" t="s">
        <v>607</v>
      </c>
      <c r="F14" s="292"/>
      <c r="G14" s="863">
        <v>0.0</v>
      </c>
      <c r="H14" s="863">
        <v>0.0</v>
      </c>
      <c r="I14" s="864" t="s">
        <v>607</v>
      </c>
      <c r="J14" s="292"/>
      <c r="K14" s="863">
        <v>0.0</v>
      </c>
      <c r="L14" s="863">
        <v>0.0</v>
      </c>
      <c r="M14" s="864" t="s">
        <v>607</v>
      </c>
      <c r="N14" s="865">
        <v>15.75</v>
      </c>
      <c r="O14" s="292"/>
      <c r="P14" s="864">
        <f t="shared" si="1"/>
        <v>0</v>
      </c>
      <c r="Q14" s="866">
        <v>0.35</v>
      </c>
      <c r="R14" s="867">
        <f t="shared" si="2"/>
        <v>0</v>
      </c>
    </row>
    <row r="15">
      <c r="B15" s="853" t="s">
        <v>612</v>
      </c>
      <c r="C15" s="863">
        <v>600.0</v>
      </c>
      <c r="D15" s="863">
        <v>10.0</v>
      </c>
      <c r="E15" s="864">
        <v>1575.0</v>
      </c>
      <c r="F15" s="292"/>
      <c r="G15" s="863">
        <v>200.0</v>
      </c>
      <c r="H15" s="863">
        <v>5.0</v>
      </c>
      <c r="I15" s="864">
        <v>263.0</v>
      </c>
      <c r="J15" s="292"/>
      <c r="K15" s="863">
        <v>800.0</v>
      </c>
      <c r="L15" s="863">
        <v>10.0</v>
      </c>
      <c r="M15" s="864">
        <v>2100.0</v>
      </c>
      <c r="N15" s="865">
        <v>15.75</v>
      </c>
      <c r="O15" s="292"/>
      <c r="P15" s="864">
        <f t="shared" si="1"/>
        <v>3938</v>
      </c>
      <c r="Q15" s="866">
        <v>0.5</v>
      </c>
      <c r="R15" s="867">
        <f t="shared" si="2"/>
        <v>1969</v>
      </c>
    </row>
    <row r="16">
      <c r="B16" s="853" t="s">
        <v>613</v>
      </c>
      <c r="C16" s="863">
        <v>257000.0</v>
      </c>
      <c r="D16" s="863">
        <v>5.0</v>
      </c>
      <c r="E16" s="864">
        <v>337313.0</v>
      </c>
      <c r="F16" s="292"/>
      <c r="G16" s="863">
        <v>500.0</v>
      </c>
      <c r="H16" s="863">
        <v>5.0</v>
      </c>
      <c r="I16" s="864">
        <v>656.0</v>
      </c>
      <c r="J16" s="292"/>
      <c r="K16" s="863">
        <v>0.0</v>
      </c>
      <c r="L16" s="863">
        <v>0.0</v>
      </c>
      <c r="M16" s="864" t="s">
        <v>607</v>
      </c>
      <c r="N16" s="865">
        <v>15.75</v>
      </c>
      <c r="O16" s="292"/>
      <c r="P16" s="864">
        <f t="shared" si="1"/>
        <v>337969</v>
      </c>
      <c r="Q16" s="866">
        <v>0.35</v>
      </c>
      <c r="R16" s="867">
        <f t="shared" si="2"/>
        <v>118289.15</v>
      </c>
    </row>
    <row r="17">
      <c r="B17" s="853" t="s">
        <v>614</v>
      </c>
      <c r="C17" s="863">
        <v>15600.0</v>
      </c>
      <c r="D17" s="863">
        <v>10.0</v>
      </c>
      <c r="E17" s="864">
        <v>40950.0</v>
      </c>
      <c r="F17" s="292"/>
      <c r="G17" s="863">
        <v>22000.0</v>
      </c>
      <c r="H17" s="863">
        <v>5.0</v>
      </c>
      <c r="I17" s="864">
        <v>28875.0</v>
      </c>
      <c r="J17" s="292"/>
      <c r="K17" s="863">
        <v>12200.0</v>
      </c>
      <c r="L17" s="863">
        <v>10.0</v>
      </c>
      <c r="M17" s="864">
        <v>32025.0</v>
      </c>
      <c r="N17" s="865">
        <v>15.75</v>
      </c>
      <c r="O17" s="292"/>
      <c r="P17" s="864">
        <f t="shared" si="1"/>
        <v>101850</v>
      </c>
      <c r="Q17" s="866">
        <v>0.5</v>
      </c>
      <c r="R17" s="867">
        <f t="shared" si="2"/>
        <v>50925</v>
      </c>
    </row>
    <row r="18">
      <c r="B18" s="853" t="s">
        <v>615</v>
      </c>
      <c r="C18" s="863">
        <v>7000.0</v>
      </c>
      <c r="D18" s="863">
        <v>10.0</v>
      </c>
      <c r="E18" s="864">
        <v>18375.0</v>
      </c>
      <c r="F18" s="292"/>
      <c r="G18" s="863">
        <v>500.0</v>
      </c>
      <c r="H18" s="863">
        <v>10.0</v>
      </c>
      <c r="I18" s="864">
        <v>1313.0</v>
      </c>
      <c r="J18" s="292"/>
      <c r="K18" s="863">
        <v>0.0</v>
      </c>
      <c r="L18" s="863">
        <v>0.0</v>
      </c>
      <c r="M18" s="864" t="s">
        <v>607</v>
      </c>
      <c r="N18" s="865">
        <v>15.75</v>
      </c>
      <c r="O18" s="292"/>
      <c r="P18" s="864">
        <f t="shared" si="1"/>
        <v>19688</v>
      </c>
      <c r="Q18" s="866">
        <v>0.35</v>
      </c>
      <c r="R18" s="867">
        <f t="shared" si="2"/>
        <v>6890.8</v>
      </c>
    </row>
    <row r="19">
      <c r="B19" s="853" t="s">
        <v>616</v>
      </c>
      <c r="C19" s="863">
        <v>24000.0</v>
      </c>
      <c r="D19" s="863">
        <v>20.0</v>
      </c>
      <c r="E19" s="864">
        <v>126000.0</v>
      </c>
      <c r="F19" s="292"/>
      <c r="G19" s="863">
        <v>200.0</v>
      </c>
      <c r="H19" s="863">
        <v>5.0</v>
      </c>
      <c r="I19" s="864">
        <v>263.0</v>
      </c>
      <c r="J19" s="292"/>
      <c r="K19" s="863">
        <v>2400.0</v>
      </c>
      <c r="L19" s="863">
        <v>20.0</v>
      </c>
      <c r="M19" s="864">
        <v>12600.0</v>
      </c>
      <c r="N19" s="865">
        <v>15.75</v>
      </c>
      <c r="O19" s="292"/>
      <c r="P19" s="864">
        <f t="shared" si="1"/>
        <v>138863</v>
      </c>
      <c r="Q19" s="866">
        <v>0.5</v>
      </c>
      <c r="R19" s="867">
        <f t="shared" si="2"/>
        <v>69431.5</v>
      </c>
    </row>
    <row r="20">
      <c r="B20" s="853" t="s">
        <v>185</v>
      </c>
      <c r="C20" s="863">
        <v>3780.0</v>
      </c>
      <c r="D20" s="863">
        <v>15.0</v>
      </c>
      <c r="E20" s="864">
        <v>14884.0</v>
      </c>
      <c r="F20" s="292"/>
      <c r="G20" s="863">
        <v>12000.0</v>
      </c>
      <c r="H20" s="863">
        <v>10.0</v>
      </c>
      <c r="I20" s="864">
        <v>31500.0</v>
      </c>
      <c r="J20" s="292"/>
      <c r="K20" s="863">
        <v>3000.0</v>
      </c>
      <c r="L20" s="863">
        <v>10.0</v>
      </c>
      <c r="M20" s="864">
        <v>7875.0</v>
      </c>
      <c r="N20" s="865">
        <v>15.75</v>
      </c>
      <c r="O20" s="292"/>
      <c r="P20" s="864">
        <f t="shared" si="1"/>
        <v>54259</v>
      </c>
      <c r="Q20" s="866">
        <v>0.35</v>
      </c>
      <c r="R20" s="867">
        <f t="shared" si="2"/>
        <v>18990.65</v>
      </c>
    </row>
    <row r="21" ht="15.75" customHeight="1">
      <c r="B21" s="853" t="s">
        <v>617</v>
      </c>
      <c r="C21" s="863">
        <v>1500.0</v>
      </c>
      <c r="D21" s="863">
        <v>10.0</v>
      </c>
      <c r="E21" s="864">
        <v>3938.0</v>
      </c>
      <c r="F21" s="292"/>
      <c r="G21" s="863">
        <v>5000.0</v>
      </c>
      <c r="H21" s="863">
        <v>5.0</v>
      </c>
      <c r="I21" s="864">
        <v>6563.0</v>
      </c>
      <c r="J21" s="292"/>
      <c r="K21" s="863">
        <v>0.0</v>
      </c>
      <c r="L21" s="863">
        <v>0.0</v>
      </c>
      <c r="M21" s="864" t="s">
        <v>607</v>
      </c>
      <c r="N21" s="865">
        <v>15.75</v>
      </c>
      <c r="O21" s="292"/>
      <c r="P21" s="864">
        <f t="shared" si="1"/>
        <v>10501</v>
      </c>
      <c r="Q21" s="866">
        <v>0.35</v>
      </c>
      <c r="R21" s="867">
        <f t="shared" si="2"/>
        <v>3675.35</v>
      </c>
    </row>
    <row r="22" ht="15.75" customHeight="1">
      <c r="B22" s="868" t="s">
        <v>188</v>
      </c>
      <c r="C22" s="869">
        <v>1739080.0</v>
      </c>
      <c r="D22" s="292"/>
      <c r="E22" s="870">
        <v>2436709.0</v>
      </c>
      <c r="F22" s="292"/>
      <c r="G22" s="869">
        <v>58400.0</v>
      </c>
      <c r="H22" s="292"/>
      <c r="I22" s="870">
        <v>115631.0</v>
      </c>
      <c r="J22" s="292"/>
      <c r="K22" s="869">
        <v>70800.0</v>
      </c>
      <c r="L22" s="292"/>
      <c r="M22" s="870">
        <v>156450.0</v>
      </c>
      <c r="N22" s="292"/>
      <c r="O22" s="292"/>
      <c r="P22" s="871">
        <f>sum(P8:P21)</f>
        <v>2708793</v>
      </c>
      <c r="Q22" s="292"/>
      <c r="R22" s="872">
        <f>SUM(R8:R21)</f>
        <v>991232.7</v>
      </c>
    </row>
    <row r="23" ht="15.75" customHeight="1">
      <c r="P23" s="873">
        <f>E22+I22+M22</f>
        <v>2708790</v>
      </c>
    </row>
    <row r="24" ht="15.75" customHeight="1"/>
    <row r="25" ht="15.75" customHeight="1"/>
    <row r="26" ht="15.75" customHeight="1"/>
    <row r="27" ht="15.75" customHeight="1"/>
    <row r="28" ht="15.75" customHeight="1">
      <c r="S28" s="874">
        <f>average(Q8:Q21)</f>
        <v>0.3821428571</v>
      </c>
    </row>
    <row r="29" ht="15.75" customHeight="1">
      <c r="S29" s="875">
        <f>P22*S28</f>
        <v>1035145.896</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6:E6"/>
    <mergeCell ref="G6:I6"/>
    <mergeCell ref="K6:M6"/>
    <mergeCell ref="P6:R6"/>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showGridLines="0" workbookViewId="0"/>
  </sheetViews>
  <sheetFormatPr customHeight="1" defaultColWidth="14.43" defaultRowHeight="15.0"/>
  <cols>
    <col customWidth="1" min="1" max="1" width="10.86"/>
    <col customWidth="1" min="2" max="2" width="30.14"/>
    <col customWidth="1" min="3" max="3" width="11.71"/>
    <col customWidth="1" min="4" max="4" width="12.0"/>
    <col customWidth="1" min="5" max="7" width="11.29"/>
    <col customWidth="1" min="8" max="8" width="13.14"/>
    <col customWidth="1" min="9" max="9" width="12.43"/>
    <col customWidth="1" min="10" max="14" width="10.86"/>
    <col customWidth="1" min="15" max="15" width="11.0"/>
    <col customWidth="1" min="16" max="20" width="10.86"/>
    <col customWidth="1" min="21" max="26" width="10.71"/>
  </cols>
  <sheetData>
    <row r="1" ht="15.75" customHeight="1">
      <c r="A1" s="876"/>
      <c r="B1" s="876"/>
      <c r="C1" s="876"/>
      <c r="D1" s="876"/>
      <c r="E1" s="876"/>
      <c r="F1" s="876"/>
      <c r="G1" s="876"/>
      <c r="H1" s="876"/>
      <c r="I1" s="876"/>
      <c r="J1" s="876"/>
      <c r="K1" s="876"/>
      <c r="L1" s="876"/>
      <c r="M1" s="876"/>
      <c r="N1" s="876"/>
      <c r="O1" s="876"/>
      <c r="P1" s="876"/>
      <c r="Q1" s="876"/>
      <c r="R1" s="876"/>
      <c r="S1" s="876"/>
      <c r="T1" s="876"/>
      <c r="U1" s="876"/>
      <c r="V1" s="876"/>
      <c r="W1" s="876"/>
      <c r="X1" s="876"/>
      <c r="Y1" s="876"/>
      <c r="Z1" s="876"/>
    </row>
    <row r="2" ht="15.75" customHeight="1">
      <c r="A2" s="876"/>
      <c r="B2" s="877" t="s">
        <v>235</v>
      </c>
      <c r="C2" s="876"/>
      <c r="D2" s="876"/>
      <c r="E2" s="876"/>
      <c r="F2" s="876"/>
      <c r="G2" s="876"/>
      <c r="H2" s="876"/>
      <c r="I2" s="876"/>
      <c r="J2" s="876"/>
      <c r="K2" s="876"/>
      <c r="L2" s="876"/>
      <c r="M2" s="876"/>
      <c r="N2" s="876"/>
      <c r="O2" s="876"/>
      <c r="P2" s="876"/>
      <c r="Q2" s="876"/>
      <c r="R2" s="876"/>
      <c r="S2" s="876"/>
      <c r="T2" s="876"/>
      <c r="U2" s="876"/>
      <c r="V2" s="876"/>
      <c r="W2" s="876"/>
      <c r="X2" s="876"/>
      <c r="Y2" s="876"/>
      <c r="Z2" s="876"/>
    </row>
    <row r="3" ht="15.75" customHeight="1">
      <c r="A3" s="876"/>
      <c r="B3" s="878" t="s">
        <v>618</v>
      </c>
      <c r="C3" s="876"/>
      <c r="D3" s="876"/>
      <c r="E3" s="876"/>
      <c r="F3" s="876"/>
      <c r="G3" s="876"/>
      <c r="H3" s="876"/>
      <c r="I3" s="876"/>
      <c r="J3" s="876"/>
      <c r="K3" s="876"/>
      <c r="L3" s="876"/>
      <c r="M3" s="876"/>
      <c r="N3" s="876"/>
      <c r="O3" s="876"/>
      <c r="P3" s="876"/>
      <c r="Q3" s="876"/>
      <c r="R3" s="876"/>
      <c r="S3" s="876"/>
      <c r="T3" s="876"/>
      <c r="U3" s="876"/>
      <c r="V3" s="876"/>
      <c r="W3" s="876"/>
      <c r="X3" s="876"/>
      <c r="Y3" s="876"/>
      <c r="Z3" s="876"/>
    </row>
    <row r="4" ht="15.75" customHeight="1">
      <c r="A4" s="876"/>
      <c r="B4" s="876"/>
      <c r="C4" s="876"/>
      <c r="D4" s="876"/>
      <c r="E4" s="876"/>
      <c r="F4" s="876"/>
      <c r="G4" s="876"/>
      <c r="H4" s="876"/>
      <c r="I4" s="876"/>
      <c r="J4" s="876"/>
      <c r="K4" s="876"/>
      <c r="L4" s="876"/>
      <c r="M4" s="876"/>
      <c r="N4" s="876"/>
      <c r="O4" s="876"/>
      <c r="P4" s="876"/>
      <c r="Q4" s="876"/>
      <c r="R4" s="876"/>
      <c r="S4" s="876"/>
      <c r="T4" s="876"/>
      <c r="U4" s="876"/>
      <c r="V4" s="876"/>
      <c r="W4" s="876"/>
      <c r="X4" s="876"/>
      <c r="Y4" s="876"/>
      <c r="Z4" s="876"/>
    </row>
    <row r="5" ht="15.75" customHeight="1">
      <c r="A5" s="876"/>
      <c r="B5" s="876"/>
      <c r="C5" s="876"/>
      <c r="D5" s="876"/>
      <c r="E5" s="876"/>
      <c r="F5" s="876"/>
      <c r="G5" s="876"/>
      <c r="H5" s="876"/>
      <c r="I5" s="876"/>
      <c r="J5" s="876"/>
      <c r="K5" s="876"/>
      <c r="L5" s="876"/>
      <c r="M5" s="876"/>
      <c r="N5" s="876"/>
      <c r="O5" s="876"/>
      <c r="P5" s="876"/>
      <c r="Q5" s="876"/>
      <c r="R5" s="876"/>
      <c r="S5" s="876"/>
      <c r="T5" s="876"/>
      <c r="U5" s="876"/>
      <c r="V5" s="876"/>
      <c r="W5" s="876"/>
      <c r="X5" s="876"/>
      <c r="Y5" s="876"/>
      <c r="Z5" s="876"/>
    </row>
    <row r="6" ht="15.75" customHeight="1">
      <c r="A6" s="876"/>
      <c r="B6" s="879" t="s">
        <v>619</v>
      </c>
      <c r="C6" s="880"/>
      <c r="D6" s="881" t="s">
        <v>620</v>
      </c>
      <c r="E6" s="876"/>
      <c r="F6" s="876"/>
      <c r="G6" s="876"/>
      <c r="H6" s="876"/>
      <c r="I6" s="876"/>
      <c r="J6" s="876"/>
      <c r="K6" s="876"/>
      <c r="L6" s="876"/>
      <c r="M6" s="876"/>
      <c r="N6" s="876"/>
      <c r="O6" s="876"/>
      <c r="P6" s="876"/>
      <c r="Q6" s="876"/>
      <c r="R6" s="876"/>
      <c r="S6" s="876"/>
      <c r="T6" s="876"/>
      <c r="U6" s="876"/>
      <c r="V6" s="876"/>
      <c r="W6" s="876"/>
      <c r="X6" s="876"/>
      <c r="Y6" s="876"/>
      <c r="Z6" s="876"/>
    </row>
    <row r="7" ht="15.75" customHeight="1">
      <c r="A7" s="876"/>
      <c r="B7" s="882" t="s">
        <v>621</v>
      </c>
      <c r="C7" s="880"/>
      <c r="D7" s="881" t="s">
        <v>622</v>
      </c>
      <c r="E7" s="876"/>
      <c r="F7" s="876"/>
      <c r="G7" s="876"/>
      <c r="H7" s="876"/>
      <c r="I7" s="876"/>
      <c r="J7" s="876"/>
      <c r="K7" s="876"/>
      <c r="L7" s="876"/>
      <c r="M7" s="876"/>
      <c r="N7" s="876"/>
      <c r="O7" s="876"/>
      <c r="P7" s="876"/>
      <c r="Q7" s="876"/>
      <c r="R7" s="876"/>
      <c r="S7" s="876"/>
      <c r="T7" s="876"/>
      <c r="U7" s="876"/>
      <c r="V7" s="876"/>
      <c r="W7" s="876"/>
      <c r="X7" s="876"/>
      <c r="Y7" s="876"/>
      <c r="Z7" s="876"/>
    </row>
    <row r="8" ht="15.75" customHeight="1">
      <c r="A8" s="876"/>
      <c r="B8" s="876"/>
      <c r="C8" s="876"/>
      <c r="D8" s="876"/>
      <c r="E8" s="876"/>
      <c r="F8" s="876"/>
      <c r="G8" s="876"/>
      <c r="H8" s="876"/>
      <c r="I8" s="876"/>
      <c r="J8" s="876"/>
      <c r="K8" s="876"/>
      <c r="L8" s="876"/>
      <c r="M8" s="876"/>
      <c r="N8" s="876"/>
      <c r="O8" s="876"/>
      <c r="P8" s="876"/>
      <c r="Q8" s="876"/>
      <c r="R8" s="876"/>
      <c r="S8" s="876"/>
      <c r="T8" s="876"/>
      <c r="U8" s="876"/>
      <c r="V8" s="876"/>
      <c r="W8" s="876"/>
      <c r="X8" s="876"/>
      <c r="Y8" s="876"/>
      <c r="Z8" s="876"/>
    </row>
    <row r="9" ht="15.75" customHeight="1">
      <c r="A9" s="876"/>
      <c r="B9" s="876"/>
      <c r="C9" s="876"/>
      <c r="D9" s="876"/>
      <c r="E9" s="876"/>
      <c r="F9" s="876"/>
      <c r="G9" s="876"/>
      <c r="H9" s="876"/>
      <c r="I9" s="876"/>
      <c r="J9" s="876"/>
      <c r="K9" s="876"/>
      <c r="L9" s="876"/>
      <c r="M9" s="876"/>
      <c r="N9" s="876"/>
      <c r="O9" s="876"/>
      <c r="P9" s="876"/>
      <c r="Q9" s="876"/>
      <c r="R9" s="876"/>
      <c r="S9" s="876"/>
      <c r="T9" s="876"/>
      <c r="U9" s="876"/>
      <c r="V9" s="876"/>
      <c r="W9" s="876"/>
      <c r="X9" s="876"/>
      <c r="Y9" s="876"/>
      <c r="Z9" s="876"/>
    </row>
    <row r="10" ht="15.75" customHeight="1">
      <c r="A10" s="876"/>
      <c r="B10" s="883"/>
      <c r="C10" s="876"/>
      <c r="D10" s="876"/>
      <c r="E10" s="876"/>
      <c r="F10" s="876"/>
      <c r="G10" s="876"/>
      <c r="H10" s="876"/>
      <c r="I10" s="876"/>
      <c r="J10" s="876"/>
      <c r="K10" s="876"/>
      <c r="L10" s="876"/>
      <c r="M10" s="876"/>
      <c r="N10" s="876"/>
      <c r="O10" s="876"/>
      <c r="P10" s="876"/>
      <c r="Q10" s="876"/>
      <c r="R10" s="876"/>
      <c r="S10" s="876"/>
      <c r="T10" s="876"/>
      <c r="U10" s="876"/>
      <c r="V10" s="876"/>
      <c r="W10" s="876"/>
      <c r="X10" s="876"/>
      <c r="Y10" s="876"/>
      <c r="Z10" s="876"/>
    </row>
    <row r="11" ht="15.75" customHeight="1">
      <c r="A11" s="876"/>
      <c r="B11" s="876"/>
      <c r="C11" s="876"/>
      <c r="D11" s="876"/>
      <c r="E11" s="876"/>
      <c r="F11" s="876"/>
      <c r="G11" s="876"/>
      <c r="H11" s="876"/>
      <c r="I11" s="876"/>
      <c r="J11" s="876"/>
      <c r="K11" s="876"/>
      <c r="L11" s="876"/>
      <c r="M11" s="876"/>
      <c r="N11" s="876"/>
      <c r="O11" s="876"/>
      <c r="P11" s="876"/>
      <c r="Q11" s="876"/>
      <c r="R11" s="876"/>
      <c r="S11" s="876"/>
      <c r="T11" s="876"/>
      <c r="U11" s="876"/>
      <c r="V11" s="876"/>
      <c r="W11" s="876"/>
      <c r="X11" s="876"/>
      <c r="Y11" s="876"/>
      <c r="Z11" s="876"/>
    </row>
    <row r="12" ht="15.75" customHeight="1">
      <c r="A12" s="876"/>
      <c r="B12" s="876"/>
      <c r="C12" s="876"/>
      <c r="D12" s="876"/>
      <c r="E12" s="876"/>
      <c r="F12" s="876"/>
      <c r="G12" s="876"/>
      <c r="H12" s="876"/>
      <c r="I12" s="876"/>
      <c r="J12" s="876"/>
      <c r="K12" s="876"/>
      <c r="L12" s="876"/>
      <c r="M12" s="876"/>
      <c r="N12" s="876"/>
      <c r="O12" s="876"/>
      <c r="P12" s="876"/>
      <c r="Q12" s="876"/>
      <c r="R12" s="876"/>
      <c r="S12" s="876"/>
      <c r="T12" s="876"/>
      <c r="U12" s="876"/>
      <c r="V12" s="876"/>
      <c r="W12" s="876"/>
      <c r="X12" s="876"/>
      <c r="Y12" s="876"/>
      <c r="Z12" s="876"/>
    </row>
    <row r="13" ht="15.75" customHeight="1">
      <c r="A13" s="876"/>
      <c r="B13" s="876"/>
      <c r="C13" s="876"/>
      <c r="D13" s="876"/>
      <c r="E13" s="876"/>
      <c r="F13" s="876"/>
      <c r="G13" s="876"/>
      <c r="H13" s="876"/>
      <c r="I13" s="876"/>
      <c r="J13" s="876"/>
      <c r="K13" s="876"/>
      <c r="L13" s="876"/>
      <c r="M13" s="876"/>
      <c r="N13" s="876"/>
      <c r="O13" s="876"/>
      <c r="P13" s="876"/>
      <c r="Q13" s="876"/>
      <c r="R13" s="876"/>
      <c r="S13" s="876"/>
      <c r="T13" s="876"/>
      <c r="U13" s="876"/>
      <c r="V13" s="876"/>
      <c r="W13" s="876"/>
      <c r="X13" s="876"/>
      <c r="Y13" s="876"/>
      <c r="Z13" s="876"/>
    </row>
    <row r="14" ht="15.75" customHeight="1">
      <c r="A14" s="876"/>
      <c r="B14" s="884" t="s">
        <v>623</v>
      </c>
      <c r="C14" s="876"/>
      <c r="D14" s="876"/>
      <c r="E14" s="876"/>
      <c r="F14" s="876"/>
      <c r="G14" s="876"/>
      <c r="H14" s="876"/>
      <c r="I14" s="876"/>
      <c r="J14" s="876"/>
      <c r="K14" s="876"/>
      <c r="L14" s="885" t="s">
        <v>623</v>
      </c>
      <c r="M14" s="876"/>
      <c r="N14" s="876"/>
      <c r="O14" s="876"/>
      <c r="P14" s="876"/>
      <c r="Q14" s="876"/>
      <c r="R14" s="876"/>
      <c r="S14" s="876"/>
      <c r="T14" s="876"/>
      <c r="U14" s="876"/>
      <c r="V14" s="876"/>
      <c r="W14" s="876"/>
      <c r="X14" s="876"/>
      <c r="Y14" s="876"/>
      <c r="Z14" s="876"/>
    </row>
    <row r="15" ht="15.75" customHeight="1">
      <c r="A15" s="876"/>
      <c r="B15" s="876"/>
      <c r="C15" s="876"/>
      <c r="D15" s="876"/>
      <c r="E15" s="876"/>
      <c r="F15" s="876"/>
      <c r="G15" s="876"/>
      <c r="H15" s="876"/>
      <c r="I15" s="876"/>
      <c r="J15" s="876"/>
      <c r="K15" s="876"/>
      <c r="L15" s="886"/>
      <c r="M15" s="876"/>
      <c r="N15" s="876"/>
      <c r="O15" s="876"/>
      <c r="P15" s="876"/>
      <c r="Q15" s="876"/>
      <c r="R15" s="876"/>
      <c r="S15" s="876"/>
      <c r="T15" s="876"/>
      <c r="U15" s="876"/>
      <c r="V15" s="876"/>
      <c r="W15" s="876"/>
      <c r="X15" s="876"/>
      <c r="Y15" s="876"/>
      <c r="Z15" s="876"/>
    </row>
    <row r="16" ht="15.75" customHeight="1">
      <c r="A16" s="876"/>
      <c r="B16" s="887" t="s">
        <v>584</v>
      </c>
      <c r="C16" s="876"/>
      <c r="D16" s="876"/>
      <c r="E16" s="876"/>
      <c r="F16" s="876"/>
      <c r="G16" s="876"/>
      <c r="H16" s="876"/>
      <c r="I16" s="876"/>
      <c r="J16" s="876"/>
      <c r="K16" s="876"/>
      <c r="L16" s="876"/>
      <c r="M16" s="876"/>
      <c r="N16" s="876"/>
      <c r="O16" s="876"/>
      <c r="P16" s="876"/>
      <c r="Q16" s="876"/>
      <c r="R16" s="876"/>
      <c r="S16" s="876"/>
      <c r="T16" s="876"/>
      <c r="U16" s="876"/>
      <c r="V16" s="876"/>
      <c r="W16" s="876"/>
      <c r="X16" s="876"/>
      <c r="Y16" s="876"/>
      <c r="Z16" s="876"/>
    </row>
    <row r="17" ht="15.75" customHeight="1">
      <c r="A17" s="876"/>
      <c r="B17" s="876"/>
      <c r="C17" s="888" t="s">
        <v>80</v>
      </c>
      <c r="D17" s="888" t="s">
        <v>81</v>
      </c>
      <c r="E17" s="888" t="s">
        <v>82</v>
      </c>
      <c r="F17" s="888" t="s">
        <v>83</v>
      </c>
      <c r="G17" s="888" t="s">
        <v>84</v>
      </c>
      <c r="H17" s="888" t="s">
        <v>240</v>
      </c>
      <c r="I17" s="876"/>
      <c r="J17" s="876"/>
      <c r="K17" s="876"/>
      <c r="L17" s="876"/>
      <c r="M17" s="876"/>
      <c r="N17" s="876"/>
      <c r="O17" s="876"/>
      <c r="P17" s="876"/>
      <c r="Q17" s="876"/>
      <c r="R17" s="876"/>
      <c r="S17" s="876"/>
      <c r="T17" s="876"/>
      <c r="U17" s="876"/>
      <c r="V17" s="876"/>
      <c r="W17" s="876"/>
      <c r="X17" s="876"/>
      <c r="Y17" s="876"/>
      <c r="Z17" s="876"/>
    </row>
    <row r="18" ht="15.75" customHeight="1">
      <c r="A18" s="876"/>
      <c r="B18" s="889" t="s">
        <v>604</v>
      </c>
      <c r="C18" s="890" t="str">
        <f t="shared" ref="C18:G18" si="1">'1,2 Data and Calculations'!M301</f>
        <v>#REF!</v>
      </c>
      <c r="D18" s="890" t="str">
        <f t="shared" si="1"/>
        <v>#REF!</v>
      </c>
      <c r="E18" s="890" t="str">
        <f t="shared" si="1"/>
        <v>#REF!</v>
      </c>
      <c r="F18" s="890" t="str">
        <f t="shared" si="1"/>
        <v>#REF!</v>
      </c>
      <c r="G18" s="890" t="str">
        <f t="shared" si="1"/>
        <v>#REF!</v>
      </c>
      <c r="H18" s="891" t="str">
        <f t="shared" ref="H18:H22" si="2">SUM(C18:G18)</f>
        <v>#REF!</v>
      </c>
      <c r="I18" s="876"/>
      <c r="J18" s="876"/>
      <c r="K18" s="876"/>
      <c r="L18" s="876"/>
      <c r="M18" s="876"/>
      <c r="N18" s="876"/>
      <c r="O18" s="876"/>
      <c r="P18" s="876"/>
      <c r="Q18" s="876"/>
      <c r="R18" s="876"/>
      <c r="S18" s="876"/>
      <c r="T18" s="876"/>
      <c r="U18" s="876"/>
      <c r="V18" s="876"/>
      <c r="W18" s="876"/>
      <c r="X18" s="876"/>
      <c r="Y18" s="876"/>
      <c r="Z18" s="876"/>
    </row>
    <row r="19" ht="15.75" customHeight="1">
      <c r="A19" s="876"/>
      <c r="B19" s="889" t="s">
        <v>624</v>
      </c>
      <c r="C19" s="892">
        <v>-4000000.0</v>
      </c>
      <c r="D19" s="892">
        <v>-4000000.0</v>
      </c>
      <c r="E19" s="892">
        <v>-4000000.0</v>
      </c>
      <c r="F19" s="892">
        <v>-4000000.0</v>
      </c>
      <c r="G19" s="892">
        <v>-4000000.0</v>
      </c>
      <c r="H19" s="891">
        <f t="shared" si="2"/>
        <v>-20000000</v>
      </c>
      <c r="I19" s="876"/>
      <c r="J19" s="876"/>
      <c r="K19" s="876"/>
      <c r="L19" s="876"/>
      <c r="M19" s="876"/>
      <c r="N19" s="876"/>
      <c r="O19" s="876"/>
      <c r="P19" s="876"/>
      <c r="Q19" s="876"/>
      <c r="R19" s="876"/>
      <c r="S19" s="876"/>
      <c r="T19" s="876"/>
      <c r="U19" s="876"/>
      <c r="V19" s="876"/>
      <c r="W19" s="876"/>
      <c r="X19" s="876"/>
      <c r="Y19" s="876"/>
      <c r="Z19" s="876"/>
    </row>
    <row r="20" ht="15.75" customHeight="1">
      <c r="A20" s="876"/>
      <c r="B20" s="889" t="s">
        <v>625</v>
      </c>
      <c r="C20" s="892">
        <f>C19*1.5</f>
        <v>-6000000</v>
      </c>
      <c r="D20" s="892"/>
      <c r="E20" s="892"/>
      <c r="F20" s="892"/>
      <c r="G20" s="892"/>
      <c r="H20" s="891">
        <f t="shared" si="2"/>
        <v>-6000000</v>
      </c>
      <c r="I20" s="876"/>
      <c r="J20" s="876"/>
      <c r="K20" s="876"/>
      <c r="L20" s="876"/>
      <c r="M20" s="876"/>
      <c r="N20" s="876"/>
      <c r="O20" s="876"/>
      <c r="P20" s="876"/>
      <c r="Q20" s="876"/>
      <c r="R20" s="876"/>
      <c r="S20" s="876"/>
      <c r="T20" s="876"/>
      <c r="U20" s="876"/>
      <c r="V20" s="876"/>
      <c r="W20" s="876"/>
      <c r="X20" s="876"/>
      <c r="Y20" s="876"/>
      <c r="Z20" s="876"/>
    </row>
    <row r="21" ht="15.75" customHeight="1">
      <c r="A21" s="876"/>
      <c r="B21" s="889" t="s">
        <v>626</v>
      </c>
      <c r="C21" s="892">
        <v>-1000000.0</v>
      </c>
      <c r="D21" s="892">
        <v>-1000000.0</v>
      </c>
      <c r="E21" s="892">
        <v>-1000000.0</v>
      </c>
      <c r="F21" s="892">
        <v>-1000000.0</v>
      </c>
      <c r="G21" s="892">
        <v>-1000000.0</v>
      </c>
      <c r="H21" s="891">
        <f t="shared" si="2"/>
        <v>-5000000</v>
      </c>
      <c r="I21" s="876"/>
      <c r="J21" s="876"/>
      <c r="K21" s="876"/>
      <c r="L21" s="876"/>
      <c r="M21" s="876"/>
      <c r="N21" s="876"/>
      <c r="O21" s="876"/>
      <c r="P21" s="876"/>
      <c r="Q21" s="876"/>
      <c r="R21" s="876"/>
      <c r="S21" s="876"/>
      <c r="T21" s="876"/>
      <c r="U21" s="876"/>
      <c r="V21" s="876"/>
      <c r="W21" s="876"/>
      <c r="X21" s="876"/>
      <c r="Y21" s="876"/>
      <c r="Z21" s="876"/>
    </row>
    <row r="22" ht="15.75" customHeight="1">
      <c r="A22" s="876"/>
      <c r="B22" s="889" t="s">
        <v>627</v>
      </c>
      <c r="C22" s="892">
        <v>-500000.0</v>
      </c>
      <c r="D22" s="892">
        <v>-500000.0</v>
      </c>
      <c r="E22" s="892">
        <v>-500000.0</v>
      </c>
      <c r="F22" s="892">
        <v>-500000.0</v>
      </c>
      <c r="G22" s="892">
        <v>-500000.0</v>
      </c>
      <c r="H22" s="891">
        <f t="shared" si="2"/>
        <v>-2500000</v>
      </c>
      <c r="I22" s="876"/>
      <c r="J22" s="876"/>
      <c r="K22" s="876"/>
      <c r="L22" s="876"/>
      <c r="M22" s="876"/>
      <c r="N22" s="876"/>
      <c r="O22" s="876"/>
      <c r="P22" s="876"/>
      <c r="Q22" s="876"/>
      <c r="R22" s="876"/>
      <c r="S22" s="876"/>
      <c r="T22" s="876"/>
      <c r="U22" s="876"/>
      <c r="V22" s="876"/>
      <c r="W22" s="876"/>
      <c r="X22" s="876"/>
      <c r="Y22" s="876"/>
      <c r="Z22" s="876"/>
    </row>
    <row r="23" ht="15.75" customHeight="1">
      <c r="A23" s="876"/>
      <c r="B23" s="876"/>
      <c r="C23" s="876"/>
      <c r="D23" s="876"/>
      <c r="E23" s="876"/>
      <c r="F23" s="876"/>
      <c r="G23" s="876"/>
      <c r="H23" s="876"/>
      <c r="I23" s="876"/>
      <c r="J23" s="876"/>
      <c r="K23" s="876"/>
      <c r="L23" s="876"/>
      <c r="M23" s="876"/>
      <c r="N23" s="876"/>
      <c r="O23" s="876"/>
      <c r="P23" s="876"/>
      <c r="Q23" s="876"/>
      <c r="R23" s="876"/>
      <c r="S23" s="876"/>
      <c r="T23" s="876"/>
      <c r="U23" s="876"/>
      <c r="V23" s="876"/>
      <c r="W23" s="876"/>
      <c r="X23" s="876"/>
      <c r="Y23" s="876"/>
      <c r="Z23" s="876"/>
    </row>
    <row r="24" ht="15.75" customHeight="1">
      <c r="A24" s="876"/>
      <c r="B24" s="893"/>
      <c r="C24" s="894"/>
      <c r="D24" s="894"/>
      <c r="E24" s="894"/>
      <c r="F24" s="894"/>
      <c r="G24" s="894"/>
      <c r="H24" s="876"/>
      <c r="I24" s="876"/>
      <c r="J24" s="876"/>
      <c r="K24" s="876"/>
      <c r="L24" s="876"/>
      <c r="M24" s="876"/>
      <c r="N24" s="876"/>
      <c r="O24" s="876"/>
      <c r="P24" s="876"/>
      <c r="Q24" s="876"/>
      <c r="R24" s="876"/>
      <c r="S24" s="876"/>
      <c r="T24" s="876"/>
      <c r="U24" s="876"/>
      <c r="V24" s="876"/>
      <c r="W24" s="876"/>
      <c r="X24" s="876"/>
      <c r="Y24" s="876"/>
      <c r="Z24" s="876"/>
    </row>
    <row r="25" ht="15.75" customHeight="1">
      <c r="A25" s="876"/>
      <c r="B25" s="876"/>
      <c r="C25" s="876"/>
      <c r="D25" s="876"/>
      <c r="E25" s="876"/>
      <c r="F25" s="876"/>
      <c r="G25" s="876"/>
      <c r="H25" s="876"/>
      <c r="I25" s="876"/>
      <c r="J25" s="876"/>
      <c r="K25" s="876"/>
      <c r="L25" s="876"/>
      <c r="M25" s="876"/>
      <c r="N25" s="876"/>
      <c r="O25" s="876"/>
      <c r="P25" s="876"/>
      <c r="Q25" s="876"/>
      <c r="R25" s="876"/>
      <c r="S25" s="876"/>
      <c r="T25" s="876"/>
      <c r="U25" s="876"/>
      <c r="V25" s="876"/>
      <c r="W25" s="876"/>
      <c r="X25" s="876"/>
      <c r="Y25" s="876"/>
      <c r="Z25" s="876"/>
    </row>
    <row r="26" ht="15.75" customHeight="1">
      <c r="A26" s="876"/>
      <c r="B26" s="887" t="s">
        <v>628</v>
      </c>
      <c r="C26" s="876"/>
      <c r="D26" s="876"/>
      <c r="E26" s="876"/>
      <c r="F26" s="876"/>
      <c r="G26" s="876"/>
      <c r="H26" s="876"/>
      <c r="I26" s="876"/>
      <c r="J26" s="876"/>
      <c r="K26" s="876"/>
      <c r="L26" s="876"/>
      <c r="M26" s="876"/>
      <c r="N26" s="876"/>
      <c r="O26" s="876"/>
      <c r="P26" s="876"/>
      <c r="Q26" s="876"/>
      <c r="R26" s="876"/>
      <c r="S26" s="876"/>
      <c r="T26" s="876"/>
      <c r="U26" s="876"/>
      <c r="V26" s="876"/>
      <c r="W26" s="876"/>
      <c r="X26" s="876"/>
      <c r="Y26" s="876"/>
      <c r="Z26" s="876"/>
    </row>
    <row r="27" ht="15.75" customHeight="1">
      <c r="A27" s="876"/>
      <c r="B27" s="876"/>
      <c r="C27" s="888" t="s">
        <v>80</v>
      </c>
      <c r="D27" s="888" t="s">
        <v>81</v>
      </c>
      <c r="E27" s="888" t="s">
        <v>82</v>
      </c>
      <c r="F27" s="888" t="s">
        <v>83</v>
      </c>
      <c r="G27" s="888" t="s">
        <v>84</v>
      </c>
      <c r="H27" s="888" t="s">
        <v>240</v>
      </c>
      <c r="I27" s="876"/>
      <c r="J27" s="876"/>
      <c r="K27" s="876"/>
      <c r="L27" s="876"/>
      <c r="M27" s="876"/>
      <c r="N27" s="876"/>
      <c r="O27" s="876"/>
      <c r="P27" s="876"/>
      <c r="Q27" s="876"/>
      <c r="R27" s="876"/>
      <c r="S27" s="876"/>
      <c r="T27" s="876"/>
      <c r="U27" s="876"/>
      <c r="V27" s="876"/>
      <c r="W27" s="876"/>
      <c r="X27" s="876"/>
      <c r="Y27" s="876"/>
      <c r="Z27" s="876"/>
    </row>
    <row r="28" ht="15.75" customHeight="1">
      <c r="A28" s="876"/>
      <c r="B28" s="889" t="str">
        <f t="shared" ref="B28:B32" si="4">B18</f>
        <v>Benefits</v>
      </c>
      <c r="C28" s="890" t="str">
        <f t="shared" ref="C28:G28" si="3">C18/1000</f>
        <v>#REF!</v>
      </c>
      <c r="D28" s="890" t="str">
        <f t="shared" si="3"/>
        <v>#REF!</v>
      </c>
      <c r="E28" s="890" t="str">
        <f t="shared" si="3"/>
        <v>#REF!</v>
      </c>
      <c r="F28" s="890" t="str">
        <f t="shared" si="3"/>
        <v>#REF!</v>
      </c>
      <c r="G28" s="890" t="str">
        <f t="shared" si="3"/>
        <v>#REF!</v>
      </c>
      <c r="H28" s="891" t="str">
        <f t="shared" ref="H28:H32" si="6">SUM(C28:G28)</f>
        <v>#REF!</v>
      </c>
      <c r="I28" s="876"/>
      <c r="J28" s="876"/>
      <c r="K28" s="876"/>
      <c r="L28" s="876"/>
      <c r="M28" s="876"/>
      <c r="N28" s="876"/>
      <c r="O28" s="876"/>
      <c r="P28" s="876"/>
      <c r="Q28" s="876"/>
      <c r="R28" s="876"/>
      <c r="S28" s="876"/>
      <c r="T28" s="876"/>
      <c r="U28" s="876"/>
      <c r="V28" s="876"/>
      <c r="W28" s="876"/>
      <c r="X28" s="876"/>
      <c r="Y28" s="876"/>
      <c r="Z28" s="876"/>
    </row>
    <row r="29" ht="15.75" customHeight="1">
      <c r="A29" s="876"/>
      <c r="B29" s="889" t="str">
        <f t="shared" si="4"/>
        <v>Licences</v>
      </c>
      <c r="C29" s="890">
        <f t="shared" ref="C29:G29" si="5">C19/1000</f>
        <v>-4000</v>
      </c>
      <c r="D29" s="890">
        <f t="shared" si="5"/>
        <v>-4000</v>
      </c>
      <c r="E29" s="890">
        <f t="shared" si="5"/>
        <v>-4000</v>
      </c>
      <c r="F29" s="890">
        <f t="shared" si="5"/>
        <v>-4000</v>
      </c>
      <c r="G29" s="890">
        <f t="shared" si="5"/>
        <v>-4000</v>
      </c>
      <c r="H29" s="891">
        <f t="shared" si="6"/>
        <v>-20000</v>
      </c>
      <c r="I29" s="876"/>
      <c r="J29" s="876"/>
      <c r="K29" s="876"/>
      <c r="L29" s="876"/>
      <c r="M29" s="876"/>
      <c r="N29" s="876"/>
      <c r="O29" s="876"/>
      <c r="P29" s="876"/>
      <c r="Q29" s="876"/>
      <c r="R29" s="876"/>
      <c r="S29" s="876"/>
      <c r="T29" s="876"/>
      <c r="U29" s="876"/>
      <c r="V29" s="876"/>
      <c r="W29" s="876"/>
      <c r="X29" s="876"/>
      <c r="Y29" s="876"/>
      <c r="Z29" s="876"/>
    </row>
    <row r="30" ht="15.75" customHeight="1">
      <c r="A30" s="876"/>
      <c r="B30" s="889" t="str">
        <f t="shared" si="4"/>
        <v>Implementation</v>
      </c>
      <c r="C30" s="890">
        <f t="shared" ref="C30:G30" si="7">C20/1000</f>
        <v>-6000</v>
      </c>
      <c r="D30" s="890">
        <f t="shared" si="7"/>
        <v>0</v>
      </c>
      <c r="E30" s="890">
        <f t="shared" si="7"/>
        <v>0</v>
      </c>
      <c r="F30" s="890">
        <f t="shared" si="7"/>
        <v>0</v>
      </c>
      <c r="G30" s="890">
        <f t="shared" si="7"/>
        <v>0</v>
      </c>
      <c r="H30" s="891">
        <f t="shared" si="6"/>
        <v>-6000</v>
      </c>
      <c r="I30" s="876"/>
      <c r="J30" s="876"/>
      <c r="K30" s="876"/>
      <c r="L30" s="876"/>
      <c r="M30" s="876"/>
      <c r="N30" s="876"/>
      <c r="O30" s="876"/>
      <c r="P30" s="876"/>
      <c r="Q30" s="876"/>
      <c r="R30" s="876"/>
      <c r="S30" s="876"/>
      <c r="T30" s="876"/>
      <c r="U30" s="876"/>
      <c r="V30" s="876"/>
      <c r="W30" s="876"/>
      <c r="X30" s="876"/>
      <c r="Y30" s="876"/>
      <c r="Z30" s="876"/>
    </row>
    <row r="31" ht="15.75" customHeight="1">
      <c r="A31" s="876"/>
      <c r="B31" s="889" t="str">
        <f t="shared" si="4"/>
        <v>Manage Hosting </v>
      </c>
      <c r="C31" s="890">
        <f t="shared" ref="C31:G31" si="8">C21/1000</f>
        <v>-1000</v>
      </c>
      <c r="D31" s="890">
        <f t="shared" si="8"/>
        <v>-1000</v>
      </c>
      <c r="E31" s="890">
        <f t="shared" si="8"/>
        <v>-1000</v>
      </c>
      <c r="F31" s="890">
        <f t="shared" si="8"/>
        <v>-1000</v>
      </c>
      <c r="G31" s="890">
        <f t="shared" si="8"/>
        <v>-1000</v>
      </c>
      <c r="H31" s="891">
        <f t="shared" si="6"/>
        <v>-5000</v>
      </c>
      <c r="I31" s="876"/>
      <c r="J31" s="876"/>
      <c r="K31" s="876"/>
      <c r="L31" s="876"/>
      <c r="M31" s="876"/>
      <c r="N31" s="876"/>
      <c r="O31" s="876"/>
      <c r="P31" s="876"/>
      <c r="Q31" s="876"/>
      <c r="R31" s="876"/>
      <c r="S31" s="876"/>
      <c r="T31" s="876"/>
      <c r="U31" s="876"/>
      <c r="V31" s="876"/>
      <c r="W31" s="876"/>
      <c r="X31" s="876"/>
      <c r="Y31" s="876"/>
      <c r="Z31" s="876"/>
    </row>
    <row r="32" ht="15.75" customHeight="1">
      <c r="A32" s="876"/>
      <c r="B32" s="889" t="str">
        <f t="shared" si="4"/>
        <v>Manage Service</v>
      </c>
      <c r="C32" s="890">
        <f t="shared" ref="C32:G32" si="9">C22/1000</f>
        <v>-500</v>
      </c>
      <c r="D32" s="890">
        <f t="shared" si="9"/>
        <v>-500</v>
      </c>
      <c r="E32" s="890">
        <f t="shared" si="9"/>
        <v>-500</v>
      </c>
      <c r="F32" s="890">
        <f t="shared" si="9"/>
        <v>-500</v>
      </c>
      <c r="G32" s="890">
        <f t="shared" si="9"/>
        <v>-500</v>
      </c>
      <c r="H32" s="891">
        <f t="shared" si="6"/>
        <v>-2500</v>
      </c>
      <c r="I32" s="876"/>
      <c r="J32" s="876"/>
      <c r="K32" s="876"/>
      <c r="L32" s="876"/>
      <c r="M32" s="876"/>
      <c r="N32" s="876"/>
      <c r="O32" s="876"/>
      <c r="P32" s="876"/>
      <c r="Q32" s="876"/>
      <c r="R32" s="876"/>
      <c r="S32" s="876"/>
      <c r="T32" s="876"/>
      <c r="U32" s="876"/>
      <c r="V32" s="876"/>
      <c r="W32" s="876"/>
      <c r="X32" s="876"/>
      <c r="Y32" s="876"/>
      <c r="Z32" s="876"/>
    </row>
    <row r="33" ht="15.75" customHeight="1">
      <c r="A33" s="876"/>
      <c r="B33" s="876"/>
      <c r="C33" s="876"/>
      <c r="D33" s="876"/>
      <c r="E33" s="876"/>
      <c r="F33" s="876"/>
      <c r="G33" s="876"/>
      <c r="H33" s="876"/>
      <c r="I33" s="876"/>
      <c r="J33" s="876"/>
      <c r="K33" s="876"/>
      <c r="L33" s="876"/>
      <c r="M33" s="876"/>
      <c r="N33" s="876"/>
      <c r="O33" s="876"/>
      <c r="P33" s="876"/>
      <c r="Q33" s="876"/>
      <c r="R33" s="876"/>
      <c r="S33" s="876"/>
      <c r="T33" s="876"/>
      <c r="U33" s="876"/>
      <c r="V33" s="876"/>
      <c r="W33" s="876"/>
      <c r="X33" s="876"/>
      <c r="Y33" s="876"/>
      <c r="Z33" s="876"/>
    </row>
    <row r="34" ht="15.75" customHeight="1">
      <c r="A34" s="876"/>
      <c r="B34" s="876"/>
      <c r="C34" s="876"/>
      <c r="D34" s="876"/>
      <c r="E34" s="876"/>
      <c r="F34" s="876"/>
      <c r="G34" s="876"/>
      <c r="H34" s="876"/>
      <c r="I34" s="876"/>
      <c r="J34" s="876"/>
      <c r="K34" s="876"/>
      <c r="L34" s="876"/>
      <c r="M34" s="876"/>
      <c r="N34" s="876"/>
      <c r="O34" s="876"/>
      <c r="P34" s="876"/>
      <c r="Q34" s="876"/>
      <c r="R34" s="876"/>
      <c r="S34" s="876"/>
      <c r="T34" s="876"/>
      <c r="U34" s="876"/>
      <c r="V34" s="876"/>
      <c r="W34" s="876"/>
      <c r="X34" s="876"/>
      <c r="Y34" s="876"/>
      <c r="Z34" s="876"/>
    </row>
    <row r="35" ht="15.75" customHeight="1">
      <c r="A35" s="876"/>
      <c r="B35" s="876"/>
      <c r="C35" s="876"/>
      <c r="D35" s="876"/>
      <c r="E35" s="876"/>
      <c r="F35" s="876"/>
      <c r="G35" s="876"/>
      <c r="H35" s="876"/>
      <c r="I35" s="876"/>
      <c r="J35" s="876"/>
      <c r="K35" s="876"/>
      <c r="L35" s="876"/>
      <c r="M35" s="876"/>
      <c r="N35" s="876"/>
      <c r="O35" s="876"/>
      <c r="P35" s="876"/>
      <c r="Q35" s="876"/>
      <c r="R35" s="876"/>
      <c r="S35" s="876"/>
      <c r="T35" s="876"/>
      <c r="U35" s="876"/>
      <c r="V35" s="876"/>
      <c r="W35" s="876"/>
      <c r="X35" s="876"/>
      <c r="Y35" s="876"/>
      <c r="Z35" s="876"/>
    </row>
    <row r="36" ht="15.75" customHeight="1">
      <c r="A36" s="876"/>
      <c r="B36" s="876"/>
      <c r="C36" s="876"/>
      <c r="D36" s="876"/>
      <c r="E36" s="876"/>
      <c r="F36" s="876"/>
      <c r="G36" s="876"/>
      <c r="H36" s="876"/>
      <c r="I36" s="876"/>
      <c r="J36" s="876"/>
      <c r="K36" s="876"/>
      <c r="L36" s="876"/>
      <c r="M36" s="876"/>
      <c r="N36" s="876"/>
      <c r="O36" s="876"/>
      <c r="P36" s="876"/>
      <c r="Q36" s="876"/>
      <c r="R36" s="876"/>
      <c r="S36" s="876"/>
      <c r="T36" s="876"/>
      <c r="U36" s="876"/>
      <c r="V36" s="876"/>
      <c r="W36" s="876"/>
      <c r="X36" s="876"/>
      <c r="Y36" s="876"/>
      <c r="Z36" s="876"/>
    </row>
    <row r="37" ht="15.75" customHeight="1">
      <c r="A37" s="876"/>
      <c r="B37" s="876"/>
      <c r="C37" s="876"/>
      <c r="D37" s="876"/>
      <c r="E37" s="876"/>
      <c r="F37" s="876"/>
      <c r="G37" s="876"/>
      <c r="H37" s="876"/>
      <c r="I37" s="876"/>
      <c r="J37" s="876"/>
      <c r="K37" s="876"/>
      <c r="L37" s="876"/>
      <c r="M37" s="876"/>
      <c r="N37" s="876"/>
      <c r="O37" s="876"/>
      <c r="P37" s="876"/>
      <c r="Q37" s="876"/>
      <c r="R37" s="876"/>
      <c r="S37" s="876"/>
      <c r="T37" s="876"/>
      <c r="U37" s="876"/>
      <c r="V37" s="876"/>
      <c r="W37" s="876"/>
      <c r="X37" s="876"/>
      <c r="Y37" s="876"/>
      <c r="Z37" s="876"/>
    </row>
    <row r="38" ht="15.75" customHeight="1">
      <c r="A38" s="876"/>
      <c r="B38" s="876"/>
      <c r="C38" s="876"/>
      <c r="D38" s="876"/>
      <c r="E38" s="876"/>
      <c r="F38" s="876"/>
      <c r="G38" s="876"/>
      <c r="H38" s="876"/>
      <c r="I38" s="876"/>
      <c r="J38" s="876"/>
      <c r="K38" s="876"/>
      <c r="L38" s="876"/>
      <c r="M38" s="876"/>
      <c r="N38" s="876"/>
      <c r="O38" s="876"/>
      <c r="P38" s="876"/>
      <c r="Q38" s="876"/>
      <c r="R38" s="876"/>
      <c r="S38" s="876"/>
      <c r="T38" s="876"/>
      <c r="U38" s="876"/>
      <c r="V38" s="876"/>
      <c r="W38" s="876"/>
      <c r="X38" s="876"/>
      <c r="Y38" s="876"/>
      <c r="Z38" s="876"/>
    </row>
    <row r="39" ht="15.75" customHeight="1">
      <c r="A39" s="876"/>
      <c r="B39" s="895" t="s">
        <v>629</v>
      </c>
      <c r="C39" s="896" t="str">
        <f t="shared" ref="C39:H39" si="10">SUM(C28)</f>
        <v>#REF!</v>
      </c>
      <c r="D39" s="896" t="str">
        <f t="shared" si="10"/>
        <v>#REF!</v>
      </c>
      <c r="E39" s="896" t="str">
        <f t="shared" si="10"/>
        <v>#REF!</v>
      </c>
      <c r="F39" s="896" t="str">
        <f t="shared" si="10"/>
        <v>#REF!</v>
      </c>
      <c r="G39" s="896" t="str">
        <f t="shared" si="10"/>
        <v>#REF!</v>
      </c>
      <c r="H39" s="897" t="str">
        <f t="shared" si="10"/>
        <v>#REF!</v>
      </c>
      <c r="I39" s="876"/>
      <c r="J39" s="876"/>
      <c r="K39" s="876"/>
      <c r="L39" s="876"/>
      <c r="M39" s="876"/>
      <c r="N39" s="876"/>
      <c r="O39" s="876"/>
      <c r="P39" s="876"/>
      <c r="Q39" s="876"/>
      <c r="R39" s="876"/>
      <c r="S39" s="876"/>
      <c r="T39" s="876"/>
      <c r="U39" s="876"/>
      <c r="V39" s="876"/>
      <c r="W39" s="876"/>
      <c r="X39" s="876"/>
      <c r="Y39" s="876"/>
      <c r="Z39" s="876"/>
    </row>
    <row r="40" ht="15.75" customHeight="1">
      <c r="A40" s="876"/>
      <c r="B40" s="895" t="s">
        <v>630</v>
      </c>
      <c r="C40" s="896">
        <f t="shared" ref="C40:H40" si="11">SUM(C29:C32)</f>
        <v>-11500</v>
      </c>
      <c r="D40" s="896">
        <f t="shared" si="11"/>
        <v>-5500</v>
      </c>
      <c r="E40" s="896">
        <f t="shared" si="11"/>
        <v>-5500</v>
      </c>
      <c r="F40" s="896">
        <f t="shared" si="11"/>
        <v>-5500</v>
      </c>
      <c r="G40" s="896">
        <f t="shared" si="11"/>
        <v>-5500</v>
      </c>
      <c r="H40" s="897">
        <f t="shared" si="11"/>
        <v>-33500</v>
      </c>
      <c r="I40" s="876"/>
      <c r="J40" s="876"/>
      <c r="K40" s="876"/>
      <c r="L40" s="876"/>
      <c r="M40" s="876"/>
      <c r="N40" s="876"/>
      <c r="O40" s="876"/>
      <c r="P40" s="876"/>
      <c r="Q40" s="876"/>
      <c r="R40" s="876"/>
      <c r="S40" s="876"/>
      <c r="T40" s="876"/>
      <c r="U40" s="876"/>
      <c r="V40" s="876"/>
      <c r="W40" s="876"/>
      <c r="X40" s="876"/>
      <c r="Y40" s="876"/>
      <c r="Z40" s="876"/>
    </row>
    <row r="41" ht="15.75" customHeight="1">
      <c r="A41" s="876"/>
      <c r="B41" s="876"/>
      <c r="C41" s="876"/>
      <c r="D41" s="876"/>
      <c r="E41" s="876"/>
      <c r="F41" s="876"/>
      <c r="G41" s="876"/>
      <c r="H41" s="876"/>
      <c r="I41" s="876"/>
      <c r="J41" s="876"/>
      <c r="K41" s="876"/>
      <c r="L41" s="876"/>
      <c r="M41" s="876"/>
      <c r="N41" s="876"/>
      <c r="O41" s="876"/>
      <c r="P41" s="876"/>
      <c r="Q41" s="876"/>
      <c r="R41" s="876"/>
      <c r="S41" s="876"/>
      <c r="T41" s="876"/>
      <c r="U41" s="876"/>
      <c r="V41" s="876"/>
      <c r="W41" s="876"/>
      <c r="X41" s="876"/>
      <c r="Y41" s="876"/>
      <c r="Z41" s="876"/>
    </row>
    <row r="42" ht="15.75" customHeight="1">
      <c r="A42" s="876"/>
      <c r="B42" s="876"/>
      <c r="C42" s="876"/>
      <c r="D42" s="876"/>
      <c r="E42" s="876"/>
      <c r="F42" s="876"/>
      <c r="G42" s="876"/>
      <c r="H42" s="876"/>
      <c r="I42" s="876"/>
      <c r="J42" s="876"/>
      <c r="K42" s="876"/>
      <c r="L42" s="876"/>
      <c r="M42" s="876"/>
      <c r="N42" s="876"/>
      <c r="O42" s="876"/>
      <c r="P42" s="876"/>
      <c r="Q42" s="876"/>
      <c r="R42" s="876"/>
      <c r="S42" s="876"/>
      <c r="T42" s="876"/>
      <c r="U42" s="876"/>
      <c r="V42" s="876"/>
      <c r="W42" s="876"/>
      <c r="X42" s="876"/>
      <c r="Y42" s="876"/>
      <c r="Z42" s="876"/>
    </row>
    <row r="43" ht="15.75" customHeight="1">
      <c r="A43" s="876"/>
      <c r="B43" s="876"/>
      <c r="C43" s="876"/>
      <c r="D43" s="876"/>
      <c r="E43" s="876"/>
      <c r="F43" s="876"/>
      <c r="G43" s="876"/>
      <c r="H43" s="876"/>
      <c r="I43" s="876"/>
      <c r="J43" s="876"/>
      <c r="K43" s="876"/>
      <c r="L43" s="876"/>
      <c r="M43" s="876"/>
      <c r="N43" s="876"/>
      <c r="O43" s="876"/>
      <c r="P43" s="876"/>
      <c r="Q43" s="876"/>
      <c r="R43" s="876"/>
      <c r="S43" s="876"/>
      <c r="T43" s="876"/>
      <c r="U43" s="876"/>
      <c r="V43" s="876"/>
      <c r="W43" s="876"/>
      <c r="X43" s="876"/>
      <c r="Y43" s="876"/>
      <c r="Z43" s="876"/>
    </row>
    <row r="44" ht="15.75" customHeight="1">
      <c r="A44" s="876"/>
      <c r="B44" s="876"/>
      <c r="C44" s="876"/>
      <c r="D44" s="876"/>
      <c r="E44" s="876"/>
      <c r="F44" s="876"/>
      <c r="G44" s="876"/>
      <c r="H44" s="876"/>
      <c r="I44" s="876"/>
      <c r="J44" s="876"/>
      <c r="K44" s="876"/>
      <c r="L44" s="876"/>
      <c r="M44" s="876"/>
      <c r="N44" s="876"/>
      <c r="O44" s="876"/>
      <c r="P44" s="876"/>
      <c r="Q44" s="876"/>
      <c r="R44" s="876"/>
      <c r="S44" s="876"/>
      <c r="T44" s="876"/>
      <c r="U44" s="876"/>
      <c r="V44" s="876"/>
      <c r="W44" s="876"/>
      <c r="X44" s="876"/>
      <c r="Y44" s="876"/>
      <c r="Z44" s="876"/>
    </row>
    <row r="45" ht="15.75" customHeight="1">
      <c r="A45" s="876"/>
      <c r="B45" s="876"/>
      <c r="C45" s="876"/>
      <c r="D45" s="876"/>
      <c r="E45" s="876"/>
      <c r="F45" s="876"/>
      <c r="G45" s="876"/>
      <c r="H45" s="876"/>
      <c r="I45" s="876"/>
      <c r="J45" s="876"/>
      <c r="K45" s="876"/>
      <c r="L45" s="876"/>
      <c r="M45" s="876"/>
      <c r="N45" s="876"/>
      <c r="O45" s="876"/>
      <c r="P45" s="876"/>
      <c r="Q45" s="876"/>
      <c r="R45" s="876"/>
      <c r="S45" s="876"/>
      <c r="T45" s="876"/>
      <c r="U45" s="876"/>
      <c r="V45" s="876"/>
      <c r="W45" s="876"/>
      <c r="X45" s="876"/>
      <c r="Y45" s="876"/>
      <c r="Z45" s="876"/>
    </row>
    <row r="46" ht="15.75" customHeight="1">
      <c r="A46" s="876"/>
      <c r="B46" s="876"/>
      <c r="C46" s="876"/>
      <c r="D46" s="876"/>
      <c r="E46" s="876"/>
      <c r="F46" s="876"/>
      <c r="G46" s="876"/>
      <c r="H46" s="876"/>
      <c r="I46" s="876"/>
      <c r="J46" s="876"/>
      <c r="K46" s="876"/>
      <c r="L46" s="876"/>
      <c r="M46" s="876"/>
      <c r="N46" s="876"/>
      <c r="O46" s="876"/>
      <c r="P46" s="876"/>
      <c r="Q46" s="876"/>
      <c r="R46" s="876"/>
      <c r="S46" s="876"/>
      <c r="T46" s="876"/>
      <c r="U46" s="876"/>
      <c r="V46" s="876"/>
      <c r="W46" s="876"/>
      <c r="X46" s="876"/>
      <c r="Y46" s="876"/>
      <c r="Z46" s="876"/>
    </row>
    <row r="47" ht="15.75" customHeight="1">
      <c r="A47" s="876"/>
      <c r="B47" s="876"/>
      <c r="C47" s="876"/>
      <c r="D47" s="876"/>
      <c r="E47" s="876"/>
      <c r="F47" s="876"/>
      <c r="G47" s="876"/>
      <c r="H47" s="876"/>
      <c r="I47" s="876"/>
      <c r="J47" s="876"/>
      <c r="K47" s="876"/>
      <c r="L47" s="876"/>
      <c r="M47" s="876"/>
      <c r="N47" s="876"/>
      <c r="O47" s="876"/>
      <c r="P47" s="876"/>
      <c r="Q47" s="876"/>
      <c r="R47" s="876"/>
      <c r="S47" s="876"/>
      <c r="T47" s="876"/>
      <c r="U47" s="876"/>
      <c r="V47" s="876"/>
      <c r="W47" s="876"/>
      <c r="X47" s="876"/>
      <c r="Y47" s="876"/>
      <c r="Z47" s="876"/>
    </row>
    <row r="48" ht="15.75" customHeight="1">
      <c r="A48" s="876"/>
      <c r="B48" s="876"/>
      <c r="C48" s="876"/>
      <c r="D48" s="876"/>
      <c r="E48" s="876"/>
      <c r="F48" s="876"/>
      <c r="G48" s="876"/>
      <c r="H48" s="876"/>
      <c r="I48" s="876"/>
      <c r="J48" s="876"/>
      <c r="K48" s="876"/>
      <c r="L48" s="876"/>
      <c r="M48" s="876"/>
      <c r="N48" s="876"/>
      <c r="O48" s="876"/>
      <c r="P48" s="876"/>
      <c r="Q48" s="876"/>
      <c r="R48" s="876"/>
      <c r="S48" s="876"/>
      <c r="T48" s="876"/>
      <c r="U48" s="876"/>
      <c r="V48" s="876"/>
      <c r="W48" s="876"/>
      <c r="X48" s="876"/>
      <c r="Y48" s="876"/>
      <c r="Z48" s="876"/>
    </row>
    <row r="49" ht="15.75" customHeight="1">
      <c r="A49" s="876"/>
      <c r="B49" s="884" t="s">
        <v>631</v>
      </c>
      <c r="C49" s="876"/>
      <c r="D49" s="876"/>
      <c r="E49" s="876"/>
      <c r="F49" s="876"/>
      <c r="G49" s="876"/>
      <c r="H49" s="876"/>
      <c r="I49" s="876"/>
      <c r="J49" s="876"/>
      <c r="K49" s="876"/>
      <c r="L49" s="898" t="s">
        <v>631</v>
      </c>
      <c r="M49" s="876"/>
      <c r="N49" s="876"/>
      <c r="O49" s="876"/>
      <c r="P49" s="876"/>
      <c r="Q49" s="876"/>
      <c r="R49" s="876"/>
      <c r="S49" s="876"/>
      <c r="T49" s="876"/>
      <c r="U49" s="876"/>
      <c r="V49" s="876"/>
      <c r="W49" s="876"/>
      <c r="X49" s="876"/>
      <c r="Y49" s="876"/>
      <c r="Z49" s="876"/>
    </row>
    <row r="50" ht="15.75" customHeight="1">
      <c r="A50" s="876"/>
      <c r="B50" s="876"/>
      <c r="C50" s="876"/>
      <c r="D50" s="876"/>
      <c r="E50" s="876"/>
      <c r="F50" s="876"/>
      <c r="G50" s="876"/>
      <c r="H50" s="876"/>
      <c r="I50" s="876"/>
      <c r="J50" s="876"/>
      <c r="K50" s="876"/>
      <c r="L50" s="876"/>
      <c r="M50" s="876"/>
      <c r="N50" s="876"/>
      <c r="O50" s="876"/>
      <c r="P50" s="876"/>
      <c r="Q50" s="876"/>
      <c r="R50" s="876"/>
      <c r="S50" s="876"/>
      <c r="T50" s="876"/>
      <c r="U50" s="876"/>
      <c r="V50" s="876"/>
      <c r="W50" s="876"/>
      <c r="X50" s="876"/>
      <c r="Y50" s="876"/>
      <c r="Z50" s="876"/>
    </row>
    <row r="51" ht="15.75" customHeight="1">
      <c r="A51" s="876"/>
      <c r="B51" s="876"/>
      <c r="C51" s="876"/>
      <c r="D51" s="876"/>
      <c r="E51" s="876"/>
      <c r="F51" s="876"/>
      <c r="G51" s="876"/>
      <c r="H51" s="876"/>
      <c r="I51" s="876"/>
      <c r="J51" s="876"/>
      <c r="K51" s="876"/>
      <c r="L51" s="876"/>
      <c r="M51" s="899"/>
      <c r="N51" s="876"/>
      <c r="O51" s="876"/>
      <c r="P51" s="876"/>
      <c r="Q51" s="876"/>
      <c r="R51" s="893" t="s">
        <v>632</v>
      </c>
      <c r="S51" s="899"/>
      <c r="T51" s="900"/>
      <c r="U51" s="876"/>
      <c r="V51" s="876"/>
      <c r="W51" s="876"/>
      <c r="X51" s="876"/>
      <c r="Y51" s="876"/>
      <c r="Z51" s="876"/>
    </row>
    <row r="52" ht="15.75" customHeight="1">
      <c r="A52" s="876"/>
      <c r="B52" s="876"/>
      <c r="C52" s="888" t="s">
        <v>80</v>
      </c>
      <c r="D52" s="888" t="s">
        <v>81</v>
      </c>
      <c r="E52" s="888" t="s">
        <v>82</v>
      </c>
      <c r="F52" s="888" t="s">
        <v>83</v>
      </c>
      <c r="G52" s="888" t="s">
        <v>84</v>
      </c>
      <c r="H52" s="888" t="s">
        <v>240</v>
      </c>
      <c r="I52" s="876"/>
      <c r="J52" s="876"/>
      <c r="K52" s="876"/>
      <c r="L52" s="876"/>
      <c r="M52" s="876"/>
      <c r="N52" s="901" t="s">
        <v>486</v>
      </c>
      <c r="O52" s="902" t="str">
        <f>H53/H54</f>
        <v>#REF!</v>
      </c>
      <c r="P52" s="876"/>
      <c r="Q52" s="876"/>
      <c r="R52" s="876" t="s">
        <v>633</v>
      </c>
      <c r="S52" s="876"/>
      <c r="T52" s="876"/>
      <c r="U52" s="876"/>
      <c r="V52" s="876"/>
      <c r="W52" s="876"/>
      <c r="X52" s="876"/>
      <c r="Y52" s="876"/>
      <c r="Z52" s="876"/>
    </row>
    <row r="53" ht="15.75" customHeight="1">
      <c r="A53" s="876"/>
      <c r="B53" s="895" t="s">
        <v>604</v>
      </c>
      <c r="C53" s="896" t="str">
        <f t="shared" ref="C53:G53" si="12">C39</f>
        <v>#REF!</v>
      </c>
      <c r="D53" s="896" t="str">
        <f t="shared" si="12"/>
        <v>#REF!</v>
      </c>
      <c r="E53" s="896" t="str">
        <f t="shared" si="12"/>
        <v>#REF!</v>
      </c>
      <c r="F53" s="896" t="str">
        <f t="shared" si="12"/>
        <v>#REF!</v>
      </c>
      <c r="G53" s="896" t="str">
        <f t="shared" si="12"/>
        <v>#REF!</v>
      </c>
      <c r="H53" s="897" t="str">
        <f t="shared" ref="H53:H54" si="14">SUM(C53:G53)</f>
        <v>#REF!</v>
      </c>
      <c r="I53" s="876"/>
      <c r="J53" s="876"/>
      <c r="K53" s="876"/>
      <c r="L53" s="876"/>
      <c r="M53" s="876"/>
      <c r="N53" s="901" t="s">
        <v>634</v>
      </c>
      <c r="O53" s="903" t="str">
        <f>SUM(C58:G58)</f>
        <v>#REF!</v>
      </c>
      <c r="P53" s="876"/>
      <c r="Q53" s="876"/>
      <c r="R53" s="876" t="s">
        <v>635</v>
      </c>
      <c r="S53" s="899"/>
      <c r="T53" s="900"/>
      <c r="U53" s="876"/>
      <c r="V53" s="876"/>
      <c r="W53" s="876"/>
      <c r="X53" s="876"/>
      <c r="Y53" s="876"/>
      <c r="Z53" s="876"/>
    </row>
    <row r="54" ht="15.75" customHeight="1">
      <c r="A54" s="876"/>
      <c r="B54" s="895" t="s">
        <v>636</v>
      </c>
      <c r="C54" s="904">
        <f t="shared" ref="C54:G54" si="13">C40*-1</f>
        <v>11500</v>
      </c>
      <c r="D54" s="904">
        <f t="shared" si="13"/>
        <v>5500</v>
      </c>
      <c r="E54" s="904">
        <f t="shared" si="13"/>
        <v>5500</v>
      </c>
      <c r="F54" s="904">
        <f t="shared" si="13"/>
        <v>5500</v>
      </c>
      <c r="G54" s="904">
        <f t="shared" si="13"/>
        <v>5500</v>
      </c>
      <c r="H54" s="905">
        <f t="shared" si="14"/>
        <v>33500</v>
      </c>
      <c r="I54" s="876"/>
      <c r="J54" s="876"/>
      <c r="K54" s="876"/>
      <c r="L54" s="876"/>
      <c r="M54" s="876"/>
      <c r="N54" s="901" t="s">
        <v>637</v>
      </c>
      <c r="O54" s="906" t="str">
        <f t="array" ref="O54">NPV(O56,C55:G55)</f>
        <v>#REF!</v>
      </c>
      <c r="P54" s="876"/>
      <c r="Q54" s="876"/>
      <c r="R54" s="876" t="s">
        <v>638</v>
      </c>
      <c r="S54" s="899"/>
      <c r="T54" s="900"/>
      <c r="U54" s="876"/>
      <c r="V54" s="876"/>
      <c r="W54" s="876"/>
      <c r="X54" s="876"/>
      <c r="Y54" s="876"/>
      <c r="Z54" s="876"/>
    </row>
    <row r="55" ht="15.75" customHeight="1">
      <c r="A55" s="876"/>
      <c r="B55" s="907" t="s">
        <v>639</v>
      </c>
      <c r="C55" s="908" t="str">
        <f t="shared" ref="C55:G55" si="15">C53-C54</f>
        <v>#REF!</v>
      </c>
      <c r="D55" s="908" t="str">
        <f t="shared" si="15"/>
        <v>#REF!</v>
      </c>
      <c r="E55" s="908" t="str">
        <f t="shared" si="15"/>
        <v>#REF!</v>
      </c>
      <c r="F55" s="908" t="str">
        <f t="shared" si="15"/>
        <v>#REF!</v>
      </c>
      <c r="G55" s="908" t="str">
        <f t="shared" si="15"/>
        <v>#REF!</v>
      </c>
      <c r="H55" s="909"/>
      <c r="I55" s="876"/>
      <c r="J55" s="876"/>
      <c r="K55" s="876"/>
      <c r="L55" s="876"/>
      <c r="M55" s="876"/>
      <c r="N55" s="901" t="s">
        <v>640</v>
      </c>
      <c r="O55" s="902" t="str">
        <f>IRR(C55:G55)</f>
        <v>#REF!</v>
      </c>
      <c r="P55" s="876"/>
      <c r="Q55" s="876"/>
      <c r="R55" s="876" t="s">
        <v>641</v>
      </c>
      <c r="S55" s="876"/>
      <c r="T55" s="876"/>
      <c r="U55" s="876"/>
      <c r="V55" s="876"/>
      <c r="W55" s="876"/>
      <c r="X55" s="876"/>
      <c r="Y55" s="876"/>
      <c r="Z55" s="876"/>
    </row>
    <row r="56" ht="15.75" customHeight="1">
      <c r="A56" s="876"/>
      <c r="B56" s="910" t="s">
        <v>642</v>
      </c>
      <c r="C56" s="911" t="str">
        <f>C55</f>
        <v>#REF!</v>
      </c>
      <c r="D56" s="911" t="str">
        <f t="shared" ref="D56:G56" si="16">C56+D55</f>
        <v>#REF!</v>
      </c>
      <c r="E56" s="911" t="str">
        <f t="shared" si="16"/>
        <v>#REF!</v>
      </c>
      <c r="F56" s="911" t="str">
        <f t="shared" si="16"/>
        <v>#REF!</v>
      </c>
      <c r="G56" s="911" t="str">
        <f t="shared" si="16"/>
        <v>#REF!</v>
      </c>
      <c r="H56" s="876"/>
      <c r="I56" s="876"/>
      <c r="J56" s="876"/>
      <c r="K56" s="876"/>
      <c r="L56" s="876"/>
      <c r="M56" s="876"/>
      <c r="N56" s="901" t="s">
        <v>643</v>
      </c>
      <c r="O56" s="912">
        <v>0.12</v>
      </c>
      <c r="P56" s="876"/>
      <c r="Q56" s="876"/>
      <c r="R56" s="876" t="s">
        <v>644</v>
      </c>
      <c r="S56" s="899"/>
      <c r="T56" s="900"/>
      <c r="U56" s="876"/>
      <c r="V56" s="876"/>
      <c r="W56" s="876"/>
      <c r="X56" s="876"/>
      <c r="Y56" s="876"/>
      <c r="Z56" s="876"/>
    </row>
    <row r="57" ht="15.75" customHeight="1">
      <c r="A57" s="876"/>
      <c r="B57" s="876"/>
      <c r="C57" s="876"/>
      <c r="D57" s="876"/>
      <c r="E57" s="876"/>
      <c r="F57" s="876"/>
      <c r="G57" s="876"/>
      <c r="H57" s="876"/>
      <c r="I57" s="876"/>
      <c r="J57" s="876"/>
      <c r="K57" s="876"/>
      <c r="L57" s="876"/>
      <c r="M57" s="876"/>
      <c r="N57" s="876"/>
      <c r="O57" s="876"/>
      <c r="P57" s="876"/>
      <c r="Q57" s="876"/>
      <c r="R57" s="876"/>
      <c r="S57" s="876"/>
      <c r="T57" s="876"/>
      <c r="U57" s="876"/>
      <c r="V57" s="876"/>
      <c r="W57" s="876"/>
      <c r="X57" s="876"/>
      <c r="Y57" s="876"/>
      <c r="Z57" s="876"/>
    </row>
    <row r="58" ht="15.75" customHeight="1">
      <c r="A58" s="876"/>
      <c r="B58" s="913" t="s">
        <v>645</v>
      </c>
      <c r="C58" s="914" t="str">
        <f t="shared" ref="C58:G58" si="17">IF(C56&lt;0,1,IF(B56&lt;0,1-(-C56/(B56-C56)),0))</f>
        <v>#REF!</v>
      </c>
      <c r="D58" s="914" t="str">
        <f t="shared" si="17"/>
        <v>#REF!</v>
      </c>
      <c r="E58" s="914" t="str">
        <f t="shared" si="17"/>
        <v>#REF!</v>
      </c>
      <c r="F58" s="914" t="str">
        <f t="shared" si="17"/>
        <v>#REF!</v>
      </c>
      <c r="G58" s="914" t="str">
        <f t="shared" si="17"/>
        <v>#REF!</v>
      </c>
      <c r="H58" s="876"/>
      <c r="I58" s="876"/>
      <c r="J58" s="876"/>
      <c r="K58" s="876"/>
      <c r="L58" s="876"/>
      <c r="M58" s="876"/>
      <c r="N58" s="876"/>
      <c r="O58" s="876"/>
      <c r="P58" s="876"/>
      <c r="Q58" s="876"/>
      <c r="R58" s="876"/>
      <c r="S58" s="876"/>
      <c r="T58" s="876"/>
      <c r="U58" s="876"/>
      <c r="V58" s="876"/>
      <c r="W58" s="876"/>
      <c r="X58" s="876"/>
      <c r="Y58" s="876"/>
      <c r="Z58" s="876"/>
    </row>
    <row r="59" ht="15.75" customHeight="1">
      <c r="A59" s="876"/>
      <c r="B59" s="876"/>
      <c r="C59" s="876"/>
      <c r="D59" s="876"/>
      <c r="E59" s="876"/>
      <c r="F59" s="876"/>
      <c r="G59" s="876"/>
      <c r="H59" s="876"/>
      <c r="I59" s="876"/>
      <c r="J59" s="876"/>
      <c r="K59" s="876"/>
      <c r="L59" s="876"/>
      <c r="M59" s="876"/>
      <c r="N59" s="876"/>
      <c r="O59" s="915"/>
      <c r="P59" s="876"/>
      <c r="Q59" s="876"/>
      <c r="R59" s="876"/>
      <c r="S59" s="876"/>
      <c r="T59" s="876"/>
      <c r="U59" s="876"/>
      <c r="V59" s="876"/>
      <c r="W59" s="876"/>
      <c r="X59" s="876"/>
      <c r="Y59" s="876"/>
      <c r="Z59" s="876"/>
    </row>
    <row r="60" ht="15.75" customHeight="1">
      <c r="A60" s="876"/>
      <c r="B60" s="876"/>
      <c r="C60" s="876"/>
      <c r="D60" s="876"/>
      <c r="E60" s="876"/>
      <c r="F60" s="876"/>
      <c r="G60" s="876"/>
      <c r="H60" s="876"/>
      <c r="I60" s="876"/>
      <c r="J60" s="876"/>
      <c r="K60" s="876"/>
      <c r="L60" s="876"/>
      <c r="M60" s="876"/>
      <c r="N60" s="876"/>
      <c r="O60" s="876"/>
      <c r="P60" s="876"/>
      <c r="Q60" s="876"/>
      <c r="R60" s="876"/>
      <c r="S60" s="876"/>
      <c r="T60" s="876"/>
      <c r="U60" s="876"/>
      <c r="V60" s="876"/>
      <c r="W60" s="876"/>
      <c r="X60" s="876"/>
      <c r="Y60" s="876"/>
      <c r="Z60" s="876"/>
    </row>
    <row r="61" ht="15.75" customHeight="1">
      <c r="A61" s="876"/>
      <c r="B61" s="876"/>
      <c r="C61" s="876"/>
      <c r="D61" s="876"/>
      <c r="E61" s="876"/>
      <c r="F61" s="876"/>
      <c r="G61" s="876"/>
      <c r="H61" s="876"/>
      <c r="I61" s="876"/>
      <c r="J61" s="876"/>
      <c r="K61" s="876"/>
      <c r="L61" s="876"/>
      <c r="M61" s="876"/>
      <c r="N61" s="876"/>
      <c r="O61" s="876"/>
      <c r="P61" s="876"/>
      <c r="Q61" s="876"/>
      <c r="R61" s="876"/>
      <c r="S61" s="876"/>
      <c r="T61" s="876"/>
      <c r="U61" s="876"/>
      <c r="V61" s="876"/>
      <c r="W61" s="876"/>
      <c r="X61" s="876"/>
      <c r="Y61" s="876"/>
      <c r="Z61" s="876"/>
    </row>
    <row r="62" ht="15.75" customHeight="1">
      <c r="A62" s="876"/>
      <c r="B62" s="876"/>
      <c r="C62" s="876"/>
      <c r="D62" s="876"/>
      <c r="E62" s="876"/>
      <c r="F62" s="876"/>
      <c r="G62" s="876"/>
      <c r="H62" s="876"/>
      <c r="I62" s="876"/>
      <c r="J62" s="876"/>
      <c r="K62" s="876"/>
      <c r="L62" s="876"/>
      <c r="M62" s="876"/>
      <c r="N62" s="876"/>
      <c r="O62" s="876"/>
      <c r="P62" s="876"/>
      <c r="Q62" s="876"/>
      <c r="R62" s="876"/>
      <c r="S62" s="876"/>
      <c r="T62" s="876"/>
      <c r="U62" s="876"/>
      <c r="V62" s="876"/>
      <c r="W62" s="876"/>
      <c r="X62" s="876"/>
      <c r="Y62" s="876"/>
      <c r="Z62" s="876"/>
    </row>
    <row r="63" ht="15.75" customHeight="1">
      <c r="A63" s="876"/>
      <c r="B63" s="876"/>
      <c r="C63" s="876"/>
      <c r="D63" s="876"/>
      <c r="E63" s="876"/>
      <c r="F63" s="876"/>
      <c r="G63" s="876"/>
      <c r="H63" s="876"/>
      <c r="I63" s="876"/>
      <c r="J63" s="876"/>
      <c r="K63" s="876"/>
      <c r="L63" s="876"/>
      <c r="M63" s="876"/>
      <c r="N63" s="876"/>
      <c r="O63" s="876"/>
      <c r="P63" s="876"/>
      <c r="Q63" s="876"/>
      <c r="R63" s="876"/>
      <c r="S63" s="876"/>
      <c r="T63" s="876"/>
      <c r="U63" s="876"/>
      <c r="V63" s="876"/>
      <c r="W63" s="876"/>
      <c r="X63" s="876"/>
      <c r="Y63" s="876"/>
      <c r="Z63" s="876"/>
    </row>
    <row r="64" ht="15.75" customHeight="1">
      <c r="A64" s="876"/>
      <c r="B64" s="876"/>
      <c r="C64" s="876"/>
      <c r="D64" s="876"/>
      <c r="E64" s="876"/>
      <c r="F64" s="876"/>
      <c r="G64" s="876"/>
      <c r="H64" s="876"/>
      <c r="I64" s="876"/>
      <c r="J64" s="876"/>
      <c r="K64" s="876"/>
      <c r="L64" s="876"/>
      <c r="M64" s="876"/>
      <c r="N64" s="876"/>
      <c r="O64" s="876"/>
      <c r="P64" s="876"/>
      <c r="Q64" s="876"/>
      <c r="R64" s="876"/>
      <c r="S64" s="876"/>
      <c r="T64" s="876"/>
      <c r="U64" s="876"/>
      <c r="V64" s="876"/>
      <c r="W64" s="876"/>
      <c r="X64" s="876"/>
      <c r="Y64" s="876"/>
      <c r="Z64" s="876"/>
    </row>
    <row r="65" ht="15.75" customHeight="1">
      <c r="A65" s="876"/>
      <c r="B65" s="876"/>
      <c r="C65" s="876"/>
      <c r="D65" s="876"/>
      <c r="E65" s="876"/>
      <c r="F65" s="876"/>
      <c r="G65" s="876"/>
      <c r="H65" s="876"/>
      <c r="I65" s="876"/>
      <c r="J65" s="876"/>
      <c r="K65" s="876"/>
      <c r="L65" s="876"/>
      <c r="M65" s="876"/>
      <c r="N65" s="876"/>
      <c r="O65" s="876"/>
      <c r="P65" s="876"/>
      <c r="Q65" s="876"/>
      <c r="R65" s="876"/>
      <c r="S65" s="876"/>
      <c r="T65" s="876"/>
      <c r="U65" s="876"/>
      <c r="V65" s="876"/>
      <c r="W65" s="876"/>
      <c r="X65" s="876"/>
      <c r="Y65" s="876"/>
      <c r="Z65" s="876"/>
    </row>
    <row r="66" ht="15.75" customHeight="1">
      <c r="A66" s="876"/>
      <c r="B66" s="876"/>
      <c r="C66" s="876"/>
      <c r="D66" s="876"/>
      <c r="E66" s="876"/>
      <c r="F66" s="876"/>
      <c r="G66" s="876"/>
      <c r="H66" s="876"/>
      <c r="I66" s="876"/>
      <c r="J66" s="876"/>
      <c r="K66" s="876"/>
      <c r="L66" s="876"/>
      <c r="M66" s="876"/>
      <c r="N66" s="876"/>
      <c r="O66" s="876"/>
      <c r="P66" s="876"/>
      <c r="Q66" s="876"/>
      <c r="R66" s="876"/>
      <c r="S66" s="876"/>
      <c r="T66" s="876"/>
      <c r="U66" s="876"/>
      <c r="V66" s="876"/>
      <c r="W66" s="876"/>
      <c r="X66" s="876"/>
      <c r="Y66" s="876"/>
      <c r="Z66" s="876"/>
    </row>
    <row r="67" ht="15.75" customHeight="1">
      <c r="A67" s="876"/>
      <c r="B67" s="876"/>
      <c r="C67" s="876"/>
      <c r="D67" s="876"/>
      <c r="E67" s="876"/>
      <c r="F67" s="876"/>
      <c r="G67" s="876"/>
      <c r="H67" s="876"/>
      <c r="I67" s="876"/>
      <c r="J67" s="876"/>
      <c r="K67" s="876"/>
      <c r="L67" s="876"/>
      <c r="M67" s="876"/>
      <c r="N67" s="876"/>
      <c r="O67" s="876"/>
      <c r="P67" s="876"/>
      <c r="Q67" s="876"/>
      <c r="R67" s="876"/>
      <c r="S67" s="876"/>
      <c r="T67" s="876"/>
      <c r="U67" s="876"/>
      <c r="V67" s="876"/>
      <c r="W67" s="876"/>
      <c r="X67" s="876"/>
      <c r="Y67" s="876"/>
      <c r="Z67" s="876"/>
    </row>
    <row r="68" ht="15.75" customHeight="1">
      <c r="A68" s="876"/>
      <c r="B68" s="876"/>
      <c r="C68" s="876"/>
      <c r="D68" s="876"/>
      <c r="E68" s="876"/>
      <c r="F68" s="876"/>
      <c r="G68" s="876"/>
      <c r="H68" s="876"/>
      <c r="I68" s="876"/>
      <c r="J68" s="876"/>
      <c r="K68" s="876"/>
      <c r="L68" s="876"/>
      <c r="M68" s="876"/>
      <c r="N68" s="876"/>
      <c r="O68" s="876"/>
      <c r="P68" s="876"/>
      <c r="Q68" s="876"/>
      <c r="R68" s="876"/>
      <c r="S68" s="876"/>
      <c r="T68" s="876"/>
      <c r="U68" s="876"/>
      <c r="V68" s="876"/>
      <c r="W68" s="876"/>
      <c r="X68" s="876"/>
      <c r="Y68" s="876"/>
      <c r="Z68" s="876"/>
    </row>
    <row r="69" ht="15.75" customHeight="1">
      <c r="A69" s="876"/>
      <c r="B69" s="876"/>
      <c r="C69" s="876"/>
      <c r="D69" s="876"/>
      <c r="E69" s="876"/>
      <c r="F69" s="876"/>
      <c r="G69" s="876"/>
      <c r="H69" s="876"/>
      <c r="I69" s="876"/>
      <c r="J69" s="876"/>
      <c r="K69" s="876"/>
      <c r="L69" s="876"/>
      <c r="M69" s="876"/>
      <c r="N69" s="876"/>
      <c r="O69" s="876"/>
      <c r="P69" s="876"/>
      <c r="Q69" s="876"/>
      <c r="R69" s="876"/>
      <c r="S69" s="876"/>
      <c r="T69" s="876"/>
      <c r="U69" s="876"/>
      <c r="V69" s="876"/>
      <c r="W69" s="876"/>
      <c r="X69" s="876"/>
      <c r="Y69" s="876"/>
      <c r="Z69" s="876"/>
    </row>
    <row r="70" ht="15.75" customHeight="1">
      <c r="A70" s="876"/>
      <c r="B70" s="876"/>
      <c r="C70" s="876"/>
      <c r="D70" s="876"/>
      <c r="E70" s="876"/>
      <c r="F70" s="876"/>
      <c r="G70" s="876"/>
      <c r="H70" s="876"/>
      <c r="I70" s="876"/>
      <c r="J70" s="876"/>
      <c r="K70" s="876"/>
      <c r="L70" s="876"/>
      <c r="M70" s="876"/>
      <c r="N70" s="876"/>
      <c r="O70" s="876"/>
      <c r="P70" s="876"/>
      <c r="Q70" s="876"/>
      <c r="R70" s="876"/>
      <c r="S70" s="876"/>
      <c r="T70" s="876"/>
      <c r="U70" s="876"/>
      <c r="V70" s="876"/>
      <c r="W70" s="876"/>
      <c r="X70" s="876"/>
      <c r="Y70" s="876"/>
      <c r="Z70" s="876"/>
    </row>
    <row r="71" ht="15.75" customHeight="1">
      <c r="A71" s="876"/>
      <c r="B71" s="876"/>
      <c r="C71" s="876"/>
      <c r="D71" s="876"/>
      <c r="E71" s="876"/>
      <c r="F71" s="876"/>
      <c r="G71" s="876"/>
      <c r="H71" s="876"/>
      <c r="I71" s="876"/>
      <c r="J71" s="876"/>
      <c r="K71" s="876"/>
      <c r="L71" s="876"/>
      <c r="M71" s="876"/>
      <c r="N71" s="876"/>
      <c r="O71" s="876"/>
      <c r="P71" s="876"/>
      <c r="Q71" s="876"/>
      <c r="R71" s="876"/>
      <c r="S71" s="876"/>
      <c r="T71" s="876"/>
      <c r="U71" s="876"/>
      <c r="V71" s="876"/>
      <c r="W71" s="876"/>
      <c r="X71" s="876"/>
      <c r="Y71" s="876"/>
      <c r="Z71" s="876"/>
    </row>
    <row r="72" ht="15.75" customHeight="1">
      <c r="A72" s="876"/>
      <c r="B72" s="876"/>
      <c r="C72" s="876"/>
      <c r="D72" s="876"/>
      <c r="E72" s="876"/>
      <c r="F72" s="876"/>
      <c r="G72" s="876"/>
      <c r="H72" s="876"/>
      <c r="I72" s="876"/>
      <c r="J72" s="876"/>
      <c r="K72" s="876"/>
      <c r="L72" s="876"/>
      <c r="M72" s="876"/>
      <c r="N72" s="876"/>
      <c r="O72" s="876"/>
      <c r="P72" s="876"/>
      <c r="Q72" s="876"/>
      <c r="R72" s="876"/>
      <c r="S72" s="876"/>
      <c r="T72" s="876"/>
      <c r="U72" s="876"/>
      <c r="V72" s="876"/>
      <c r="W72" s="876"/>
      <c r="X72" s="876"/>
      <c r="Y72" s="876"/>
      <c r="Z72" s="876"/>
    </row>
    <row r="73" ht="15.75" customHeight="1">
      <c r="A73" s="876"/>
      <c r="B73" s="876"/>
      <c r="C73" s="876"/>
      <c r="D73" s="876"/>
      <c r="E73" s="876"/>
      <c r="F73" s="876"/>
      <c r="G73" s="876"/>
      <c r="H73" s="876"/>
      <c r="I73" s="876"/>
      <c r="J73" s="876"/>
      <c r="K73" s="876"/>
      <c r="L73" s="876"/>
      <c r="M73" s="876"/>
      <c r="N73" s="876"/>
      <c r="O73" s="876"/>
      <c r="P73" s="876"/>
      <c r="Q73" s="876"/>
      <c r="R73" s="876"/>
      <c r="S73" s="876"/>
      <c r="T73" s="876"/>
      <c r="U73" s="876"/>
      <c r="V73" s="876"/>
      <c r="W73" s="876"/>
      <c r="X73" s="876"/>
      <c r="Y73" s="876"/>
      <c r="Z73" s="876"/>
    </row>
    <row r="74" ht="15.75" customHeight="1">
      <c r="A74" s="876"/>
      <c r="B74" s="876"/>
      <c r="C74" s="876"/>
      <c r="D74" s="876"/>
      <c r="E74" s="876"/>
      <c r="F74" s="876"/>
      <c r="G74" s="876"/>
      <c r="H74" s="876"/>
      <c r="I74" s="876"/>
      <c r="J74" s="876"/>
      <c r="K74" s="876"/>
      <c r="L74" s="876"/>
      <c r="M74" s="876"/>
      <c r="N74" s="876"/>
      <c r="O74" s="876"/>
      <c r="P74" s="876"/>
      <c r="Q74" s="876"/>
      <c r="R74" s="876"/>
      <c r="S74" s="876"/>
      <c r="T74" s="876"/>
      <c r="U74" s="876"/>
      <c r="V74" s="876"/>
      <c r="W74" s="876"/>
      <c r="X74" s="876"/>
      <c r="Y74" s="876"/>
      <c r="Z74" s="876"/>
    </row>
    <row r="75" ht="15.75" customHeight="1">
      <c r="A75" s="876"/>
      <c r="B75" s="876"/>
      <c r="C75" s="876"/>
      <c r="D75" s="876"/>
      <c r="E75" s="876"/>
      <c r="F75" s="876"/>
      <c r="G75" s="876"/>
      <c r="H75" s="876"/>
      <c r="I75" s="876"/>
      <c r="J75" s="876"/>
      <c r="K75" s="876"/>
      <c r="L75" s="876"/>
      <c r="M75" s="876"/>
      <c r="N75" s="876"/>
      <c r="O75" s="876"/>
      <c r="P75" s="876"/>
      <c r="Q75" s="876"/>
      <c r="R75" s="876"/>
      <c r="S75" s="876"/>
      <c r="T75" s="876"/>
      <c r="U75" s="876"/>
      <c r="V75" s="876"/>
      <c r="W75" s="876"/>
      <c r="X75" s="876"/>
      <c r="Y75" s="876"/>
      <c r="Z75" s="876"/>
    </row>
    <row r="76" ht="15.75" customHeight="1">
      <c r="A76" s="876"/>
      <c r="B76" s="876"/>
      <c r="C76" s="876"/>
      <c r="D76" s="876"/>
      <c r="E76" s="876"/>
      <c r="F76" s="876"/>
      <c r="G76" s="876"/>
      <c r="H76" s="876"/>
      <c r="I76" s="876"/>
      <c r="J76" s="876"/>
      <c r="K76" s="876"/>
      <c r="L76" s="876"/>
      <c r="M76" s="876"/>
      <c r="N76" s="876"/>
      <c r="O76" s="876"/>
      <c r="P76" s="876"/>
      <c r="Q76" s="876"/>
      <c r="R76" s="876"/>
      <c r="S76" s="876"/>
      <c r="T76" s="876"/>
      <c r="U76" s="876"/>
      <c r="V76" s="876"/>
      <c r="W76" s="876"/>
      <c r="X76" s="876"/>
      <c r="Y76" s="876"/>
      <c r="Z76" s="876"/>
    </row>
    <row r="77" ht="15.75" customHeight="1">
      <c r="A77" s="876"/>
      <c r="B77" s="876"/>
      <c r="C77" s="876"/>
      <c r="D77" s="876"/>
      <c r="E77" s="876"/>
      <c r="F77" s="876"/>
      <c r="G77" s="876"/>
      <c r="H77" s="876"/>
      <c r="I77" s="876"/>
      <c r="J77" s="876"/>
      <c r="K77" s="876"/>
      <c r="L77" s="876"/>
      <c r="M77" s="876"/>
      <c r="N77" s="876"/>
      <c r="O77" s="876"/>
      <c r="P77" s="876"/>
      <c r="Q77" s="876"/>
      <c r="R77" s="876"/>
      <c r="S77" s="876"/>
      <c r="T77" s="876"/>
      <c r="U77" s="876"/>
      <c r="V77" s="876"/>
      <c r="W77" s="876"/>
      <c r="X77" s="876"/>
      <c r="Y77" s="876"/>
      <c r="Z77" s="876"/>
    </row>
    <row r="78" ht="15.75" customHeight="1">
      <c r="A78" s="876"/>
      <c r="B78" s="876"/>
      <c r="C78" s="876"/>
      <c r="D78" s="876"/>
      <c r="E78" s="876"/>
      <c r="F78" s="876"/>
      <c r="G78" s="876"/>
      <c r="H78" s="876"/>
      <c r="I78" s="876"/>
      <c r="J78" s="876"/>
      <c r="K78" s="876"/>
      <c r="L78" s="876"/>
      <c r="M78" s="876"/>
      <c r="N78" s="876"/>
      <c r="O78" s="876"/>
      <c r="P78" s="876"/>
      <c r="Q78" s="876"/>
      <c r="R78" s="876"/>
      <c r="S78" s="876"/>
      <c r="T78" s="876"/>
      <c r="U78" s="876"/>
      <c r="V78" s="876"/>
      <c r="W78" s="876"/>
      <c r="X78" s="876"/>
      <c r="Y78" s="876"/>
      <c r="Z78" s="876"/>
    </row>
    <row r="79" ht="15.75" customHeight="1">
      <c r="A79" s="876"/>
      <c r="B79" s="876"/>
      <c r="C79" s="876"/>
      <c r="D79" s="876"/>
      <c r="E79" s="876"/>
      <c r="F79" s="876"/>
      <c r="G79" s="876"/>
      <c r="H79" s="876"/>
      <c r="I79" s="876"/>
      <c r="J79" s="876"/>
      <c r="K79" s="876"/>
      <c r="L79" s="876"/>
      <c r="M79" s="876"/>
      <c r="N79" s="876"/>
      <c r="O79" s="876"/>
      <c r="P79" s="876"/>
      <c r="Q79" s="876"/>
      <c r="R79" s="876"/>
      <c r="S79" s="876"/>
      <c r="T79" s="876"/>
      <c r="U79" s="876"/>
      <c r="V79" s="876"/>
      <c r="W79" s="876"/>
      <c r="X79" s="876"/>
      <c r="Y79" s="876"/>
      <c r="Z79" s="876"/>
    </row>
    <row r="80" ht="15.75" customHeight="1">
      <c r="A80" s="876"/>
      <c r="B80" s="876"/>
      <c r="C80" s="876"/>
      <c r="D80" s="876"/>
      <c r="E80" s="876"/>
      <c r="F80" s="876"/>
      <c r="G80" s="876"/>
      <c r="H80" s="876"/>
      <c r="I80" s="876"/>
      <c r="J80" s="876"/>
      <c r="K80" s="876"/>
      <c r="L80" s="876"/>
      <c r="M80" s="876"/>
      <c r="N80" s="876"/>
      <c r="O80" s="876"/>
      <c r="P80" s="876"/>
      <c r="Q80" s="876"/>
      <c r="R80" s="876"/>
      <c r="S80" s="876"/>
      <c r="T80" s="876"/>
      <c r="U80" s="876"/>
      <c r="V80" s="876"/>
      <c r="W80" s="876"/>
      <c r="X80" s="876"/>
      <c r="Y80" s="876"/>
      <c r="Z80" s="876"/>
    </row>
    <row r="81" ht="15.75" customHeight="1">
      <c r="A81" s="876"/>
      <c r="B81" s="876"/>
      <c r="C81" s="876"/>
      <c r="D81" s="876"/>
      <c r="E81" s="876"/>
      <c r="F81" s="876"/>
      <c r="G81" s="876"/>
      <c r="H81" s="876"/>
      <c r="I81" s="876"/>
      <c r="J81" s="876"/>
      <c r="K81" s="876"/>
      <c r="L81" s="876"/>
      <c r="M81" s="876"/>
      <c r="N81" s="876"/>
      <c r="O81" s="876"/>
      <c r="P81" s="876"/>
      <c r="Q81" s="876"/>
      <c r="R81" s="876"/>
      <c r="S81" s="876"/>
      <c r="T81" s="876"/>
      <c r="U81" s="876"/>
      <c r="V81" s="876"/>
      <c r="W81" s="876"/>
      <c r="X81" s="876"/>
      <c r="Y81" s="876"/>
      <c r="Z81" s="876"/>
    </row>
    <row r="82" ht="15.75" customHeight="1">
      <c r="A82" s="876"/>
      <c r="B82" s="876"/>
      <c r="C82" s="876"/>
      <c r="D82" s="876"/>
      <c r="E82" s="876"/>
      <c r="F82" s="876"/>
      <c r="G82" s="876"/>
      <c r="H82" s="876"/>
      <c r="I82" s="876"/>
      <c r="J82" s="876"/>
      <c r="K82" s="876"/>
      <c r="L82" s="876"/>
      <c r="M82" s="876"/>
      <c r="N82" s="876"/>
      <c r="O82" s="876"/>
      <c r="P82" s="876"/>
      <c r="Q82" s="876"/>
      <c r="R82" s="876"/>
      <c r="S82" s="876"/>
      <c r="T82" s="876"/>
      <c r="U82" s="876"/>
      <c r="V82" s="876"/>
      <c r="W82" s="876"/>
      <c r="X82" s="876"/>
      <c r="Y82" s="876"/>
      <c r="Z82" s="876"/>
    </row>
    <row r="83" ht="15.75" customHeight="1">
      <c r="A83" s="876"/>
      <c r="B83" s="876"/>
      <c r="C83" s="876"/>
      <c r="D83" s="876"/>
      <c r="E83" s="876"/>
      <c r="F83" s="876"/>
      <c r="G83" s="876"/>
      <c r="H83" s="876"/>
      <c r="I83" s="876"/>
      <c r="J83" s="876"/>
      <c r="K83" s="876"/>
      <c r="L83" s="876"/>
      <c r="M83" s="876"/>
      <c r="N83" s="876"/>
      <c r="O83" s="876"/>
      <c r="P83" s="876"/>
      <c r="Q83" s="876"/>
      <c r="R83" s="876"/>
      <c r="S83" s="876"/>
      <c r="T83" s="876"/>
      <c r="U83" s="876"/>
      <c r="V83" s="876"/>
      <c r="W83" s="876"/>
      <c r="X83" s="876"/>
      <c r="Y83" s="876"/>
      <c r="Z83" s="876"/>
    </row>
    <row r="84" ht="15.75" customHeight="1">
      <c r="A84" s="876"/>
      <c r="B84" s="876"/>
      <c r="C84" s="876"/>
      <c r="D84" s="876"/>
      <c r="E84" s="876"/>
      <c r="F84" s="876"/>
      <c r="G84" s="876"/>
      <c r="H84" s="876"/>
      <c r="I84" s="876"/>
      <c r="J84" s="876"/>
      <c r="K84" s="876"/>
      <c r="L84" s="876"/>
      <c r="M84" s="876"/>
      <c r="N84" s="876"/>
      <c r="O84" s="876"/>
      <c r="P84" s="876"/>
      <c r="Q84" s="876"/>
      <c r="R84" s="876"/>
      <c r="S84" s="876"/>
      <c r="T84" s="876"/>
      <c r="U84" s="876"/>
      <c r="V84" s="876"/>
      <c r="W84" s="876"/>
      <c r="X84" s="876"/>
      <c r="Y84" s="876"/>
      <c r="Z84" s="876"/>
    </row>
    <row r="85" ht="15.75" customHeight="1">
      <c r="A85" s="876"/>
      <c r="B85" s="876"/>
      <c r="C85" s="876"/>
      <c r="D85" s="876"/>
      <c r="E85" s="876"/>
      <c r="F85" s="876"/>
      <c r="G85" s="876"/>
      <c r="H85" s="876"/>
      <c r="I85" s="876"/>
      <c r="J85" s="876"/>
      <c r="K85" s="876"/>
      <c r="L85" s="876"/>
      <c r="M85" s="876"/>
      <c r="N85" s="876"/>
      <c r="O85" s="876"/>
      <c r="P85" s="876"/>
      <c r="Q85" s="876"/>
      <c r="R85" s="876"/>
      <c r="S85" s="876"/>
      <c r="T85" s="876"/>
      <c r="U85" s="876"/>
      <c r="V85" s="876"/>
      <c r="W85" s="876"/>
      <c r="X85" s="876"/>
      <c r="Y85" s="876"/>
      <c r="Z85" s="876"/>
    </row>
    <row r="86" ht="15.75" customHeight="1">
      <c r="A86" s="876"/>
      <c r="B86" s="876"/>
      <c r="C86" s="876"/>
      <c r="D86" s="876"/>
      <c r="E86" s="876"/>
      <c r="F86" s="876"/>
      <c r="G86" s="876"/>
      <c r="H86" s="876"/>
      <c r="I86" s="876"/>
      <c r="J86" s="876"/>
      <c r="K86" s="876"/>
      <c r="L86" s="876"/>
      <c r="M86" s="876"/>
      <c r="N86" s="876"/>
      <c r="O86" s="876"/>
      <c r="P86" s="876"/>
      <c r="Q86" s="876"/>
      <c r="R86" s="876"/>
      <c r="S86" s="876"/>
      <c r="T86" s="876"/>
      <c r="U86" s="876"/>
      <c r="V86" s="876"/>
      <c r="W86" s="876"/>
      <c r="X86" s="876"/>
      <c r="Y86" s="876"/>
      <c r="Z86" s="876"/>
    </row>
    <row r="87" ht="15.75" customHeight="1">
      <c r="A87" s="876"/>
      <c r="B87" s="876"/>
      <c r="C87" s="876"/>
      <c r="D87" s="876"/>
      <c r="E87" s="876"/>
      <c r="F87" s="876"/>
      <c r="G87" s="876"/>
      <c r="H87" s="876"/>
      <c r="I87" s="876"/>
      <c r="J87" s="876"/>
      <c r="K87" s="876"/>
      <c r="L87" s="876"/>
      <c r="M87" s="876"/>
      <c r="N87" s="876"/>
      <c r="O87" s="876"/>
      <c r="P87" s="876"/>
      <c r="Q87" s="876"/>
      <c r="R87" s="876"/>
      <c r="S87" s="876"/>
      <c r="T87" s="876"/>
      <c r="U87" s="876"/>
      <c r="V87" s="876"/>
      <c r="W87" s="876"/>
      <c r="X87" s="876"/>
      <c r="Y87" s="876"/>
      <c r="Z87" s="876"/>
    </row>
    <row r="88" ht="15.75" customHeight="1">
      <c r="A88" s="876"/>
      <c r="B88" s="876"/>
      <c r="C88" s="876"/>
      <c r="D88" s="876"/>
      <c r="E88" s="876"/>
      <c r="F88" s="876"/>
      <c r="G88" s="876"/>
      <c r="H88" s="876"/>
      <c r="I88" s="876"/>
      <c r="J88" s="876"/>
      <c r="K88" s="876"/>
      <c r="L88" s="876"/>
      <c r="M88" s="876"/>
      <c r="N88" s="876"/>
      <c r="O88" s="876"/>
      <c r="P88" s="876"/>
      <c r="Q88" s="876"/>
      <c r="R88" s="876"/>
      <c r="S88" s="876"/>
      <c r="T88" s="876"/>
      <c r="U88" s="876"/>
      <c r="V88" s="876"/>
      <c r="W88" s="876"/>
      <c r="X88" s="876"/>
      <c r="Y88" s="876"/>
      <c r="Z88" s="876"/>
    </row>
    <row r="89" ht="15.75" customHeight="1">
      <c r="A89" s="876"/>
      <c r="B89" s="876"/>
      <c r="C89" s="876"/>
      <c r="D89" s="876"/>
      <c r="E89" s="876"/>
      <c r="F89" s="876"/>
      <c r="G89" s="876"/>
      <c r="H89" s="876"/>
      <c r="I89" s="876"/>
      <c r="J89" s="876"/>
      <c r="K89" s="876"/>
      <c r="L89" s="876"/>
      <c r="M89" s="876"/>
      <c r="N89" s="876"/>
      <c r="O89" s="876"/>
      <c r="P89" s="876"/>
      <c r="Q89" s="876"/>
      <c r="R89" s="876"/>
      <c r="S89" s="876"/>
      <c r="T89" s="876"/>
      <c r="U89" s="876"/>
      <c r="V89" s="876"/>
      <c r="W89" s="876"/>
      <c r="X89" s="876"/>
      <c r="Y89" s="876"/>
      <c r="Z89" s="876"/>
    </row>
    <row r="90" ht="15.75" customHeight="1">
      <c r="A90" s="876"/>
      <c r="B90" s="876"/>
      <c r="C90" s="876"/>
      <c r="D90" s="876"/>
      <c r="E90" s="876"/>
      <c r="F90" s="876"/>
      <c r="G90" s="876"/>
      <c r="H90" s="876"/>
      <c r="I90" s="876"/>
      <c r="J90" s="876"/>
      <c r="K90" s="876"/>
      <c r="L90" s="876"/>
      <c r="M90" s="876"/>
      <c r="N90" s="876"/>
      <c r="O90" s="876"/>
      <c r="P90" s="876"/>
      <c r="Q90" s="876"/>
      <c r="R90" s="876"/>
      <c r="S90" s="876"/>
      <c r="T90" s="876"/>
      <c r="U90" s="876"/>
      <c r="V90" s="876"/>
      <c r="W90" s="876"/>
      <c r="X90" s="876"/>
      <c r="Y90" s="876"/>
      <c r="Z90" s="876"/>
    </row>
    <row r="91" ht="15.75" customHeight="1">
      <c r="A91" s="876"/>
      <c r="B91" s="876"/>
      <c r="C91" s="876"/>
      <c r="D91" s="876"/>
      <c r="E91" s="876"/>
      <c r="F91" s="876"/>
      <c r="G91" s="876"/>
      <c r="H91" s="876"/>
      <c r="I91" s="876"/>
      <c r="J91" s="876"/>
      <c r="K91" s="876"/>
      <c r="L91" s="876"/>
      <c r="M91" s="876"/>
      <c r="N91" s="876"/>
      <c r="O91" s="876"/>
      <c r="P91" s="876"/>
      <c r="Q91" s="876"/>
      <c r="R91" s="876"/>
      <c r="S91" s="876"/>
      <c r="T91" s="876"/>
      <c r="U91" s="876"/>
      <c r="V91" s="876"/>
      <c r="W91" s="876"/>
      <c r="X91" s="876"/>
      <c r="Y91" s="876"/>
      <c r="Z91" s="876"/>
    </row>
    <row r="92" ht="15.75" customHeight="1">
      <c r="A92" s="876"/>
      <c r="B92" s="876"/>
      <c r="C92" s="876"/>
      <c r="D92" s="876"/>
      <c r="E92" s="876"/>
      <c r="F92" s="876"/>
      <c r="G92" s="876"/>
      <c r="H92" s="876"/>
      <c r="I92" s="876"/>
      <c r="J92" s="876"/>
      <c r="K92" s="876"/>
      <c r="L92" s="876"/>
      <c r="M92" s="876"/>
      <c r="N92" s="876"/>
      <c r="O92" s="876"/>
      <c r="P92" s="876"/>
      <c r="Q92" s="876"/>
      <c r="R92" s="876"/>
      <c r="S92" s="876"/>
      <c r="T92" s="876"/>
      <c r="U92" s="876"/>
      <c r="V92" s="876"/>
      <c r="W92" s="876"/>
      <c r="X92" s="876"/>
      <c r="Y92" s="876"/>
      <c r="Z92" s="876"/>
    </row>
    <row r="93" ht="15.75" customHeight="1">
      <c r="A93" s="876"/>
      <c r="B93" s="876"/>
      <c r="C93" s="876"/>
      <c r="D93" s="876"/>
      <c r="E93" s="876"/>
      <c r="F93" s="876"/>
      <c r="G93" s="876"/>
      <c r="H93" s="876"/>
      <c r="I93" s="876"/>
      <c r="J93" s="876"/>
      <c r="K93" s="876"/>
      <c r="L93" s="876"/>
      <c r="M93" s="876"/>
      <c r="N93" s="876"/>
      <c r="O93" s="876"/>
      <c r="P93" s="876"/>
      <c r="Q93" s="876"/>
      <c r="R93" s="876"/>
      <c r="S93" s="876"/>
      <c r="T93" s="876"/>
      <c r="U93" s="876"/>
      <c r="V93" s="876"/>
      <c r="W93" s="876"/>
      <c r="X93" s="876"/>
      <c r="Y93" s="876"/>
      <c r="Z93" s="876"/>
    </row>
    <row r="94" ht="15.75" customHeight="1">
      <c r="A94" s="876"/>
      <c r="B94" s="876"/>
      <c r="C94" s="876"/>
      <c r="D94" s="876"/>
      <c r="E94" s="876"/>
      <c r="F94" s="876"/>
      <c r="G94" s="876"/>
      <c r="H94" s="876"/>
      <c r="I94" s="876"/>
      <c r="J94" s="876"/>
      <c r="K94" s="876"/>
      <c r="L94" s="876"/>
      <c r="M94" s="876"/>
      <c r="N94" s="876"/>
      <c r="O94" s="876"/>
      <c r="P94" s="876"/>
      <c r="Q94" s="876"/>
      <c r="R94" s="876"/>
      <c r="S94" s="876"/>
      <c r="T94" s="876"/>
      <c r="U94" s="876"/>
      <c r="V94" s="876"/>
      <c r="W94" s="876"/>
      <c r="X94" s="876"/>
      <c r="Y94" s="876"/>
      <c r="Z94" s="876"/>
    </row>
    <row r="95" ht="15.75" customHeight="1">
      <c r="A95" s="876"/>
      <c r="B95" s="876"/>
      <c r="C95" s="876"/>
      <c r="D95" s="876"/>
      <c r="E95" s="876"/>
      <c r="F95" s="876"/>
      <c r="G95" s="876"/>
      <c r="H95" s="876"/>
      <c r="I95" s="876"/>
      <c r="J95" s="876"/>
      <c r="K95" s="876"/>
      <c r="L95" s="876"/>
      <c r="M95" s="876"/>
      <c r="N95" s="876"/>
      <c r="O95" s="876"/>
      <c r="P95" s="876"/>
      <c r="Q95" s="876"/>
      <c r="R95" s="876"/>
      <c r="S95" s="876"/>
      <c r="T95" s="876"/>
      <c r="U95" s="876"/>
      <c r="V95" s="876"/>
      <c r="W95" s="876"/>
      <c r="X95" s="876"/>
      <c r="Y95" s="876"/>
      <c r="Z95" s="876"/>
    </row>
    <row r="96" ht="15.75" customHeight="1">
      <c r="A96" s="876"/>
      <c r="B96" s="876"/>
      <c r="C96" s="876"/>
      <c r="D96" s="876"/>
      <c r="E96" s="876"/>
      <c r="F96" s="876"/>
      <c r="G96" s="876"/>
      <c r="H96" s="876"/>
      <c r="I96" s="876"/>
      <c r="J96" s="876"/>
      <c r="K96" s="876"/>
      <c r="L96" s="876"/>
      <c r="M96" s="876"/>
      <c r="N96" s="876"/>
      <c r="O96" s="876"/>
      <c r="P96" s="876"/>
      <c r="Q96" s="876"/>
      <c r="R96" s="876"/>
      <c r="S96" s="876"/>
      <c r="T96" s="876"/>
      <c r="U96" s="876"/>
      <c r="V96" s="876"/>
      <c r="W96" s="876"/>
      <c r="X96" s="876"/>
      <c r="Y96" s="876"/>
      <c r="Z96" s="876"/>
    </row>
    <row r="97" ht="15.75" customHeight="1">
      <c r="A97" s="876"/>
      <c r="B97" s="876"/>
      <c r="C97" s="876"/>
      <c r="D97" s="876"/>
      <c r="E97" s="876"/>
      <c r="F97" s="876"/>
      <c r="G97" s="876"/>
      <c r="H97" s="876"/>
      <c r="I97" s="876"/>
      <c r="J97" s="876"/>
      <c r="K97" s="876"/>
      <c r="L97" s="876"/>
      <c r="M97" s="876"/>
      <c r="N97" s="876"/>
      <c r="O97" s="876"/>
      <c r="P97" s="876"/>
      <c r="Q97" s="876"/>
      <c r="R97" s="876"/>
      <c r="S97" s="876"/>
      <c r="T97" s="876"/>
      <c r="U97" s="876"/>
      <c r="V97" s="876"/>
      <c r="W97" s="876"/>
      <c r="X97" s="876"/>
      <c r="Y97" s="876"/>
      <c r="Z97" s="876"/>
    </row>
    <row r="98" ht="15.75" customHeight="1">
      <c r="A98" s="876"/>
      <c r="B98" s="876"/>
      <c r="C98" s="876"/>
      <c r="D98" s="876"/>
      <c r="E98" s="876"/>
      <c r="F98" s="876"/>
      <c r="G98" s="876"/>
      <c r="H98" s="876"/>
      <c r="I98" s="876"/>
      <c r="J98" s="876"/>
      <c r="K98" s="876"/>
      <c r="L98" s="876"/>
      <c r="M98" s="876"/>
      <c r="N98" s="876"/>
      <c r="O98" s="876"/>
      <c r="P98" s="876"/>
      <c r="Q98" s="876"/>
      <c r="R98" s="876"/>
      <c r="S98" s="876"/>
      <c r="T98" s="876"/>
      <c r="U98" s="876"/>
      <c r="V98" s="876"/>
      <c r="W98" s="876"/>
      <c r="X98" s="876"/>
      <c r="Y98" s="876"/>
      <c r="Z98" s="876"/>
    </row>
    <row r="99" ht="15.75" customHeight="1">
      <c r="A99" s="876"/>
      <c r="B99" s="876"/>
      <c r="C99" s="876"/>
      <c r="D99" s="876"/>
      <c r="E99" s="876"/>
      <c r="F99" s="876"/>
      <c r="G99" s="876"/>
      <c r="H99" s="876"/>
      <c r="I99" s="876"/>
      <c r="J99" s="876"/>
      <c r="K99" s="876"/>
      <c r="L99" s="876"/>
      <c r="M99" s="876"/>
      <c r="N99" s="876"/>
      <c r="O99" s="876"/>
      <c r="P99" s="876"/>
      <c r="Q99" s="876"/>
      <c r="R99" s="876"/>
      <c r="S99" s="876"/>
      <c r="T99" s="876"/>
      <c r="U99" s="876"/>
      <c r="V99" s="876"/>
      <c r="W99" s="876"/>
      <c r="X99" s="876"/>
      <c r="Y99" s="876"/>
      <c r="Z99" s="876"/>
    </row>
    <row r="100" ht="15.75" customHeight="1">
      <c r="A100" s="876"/>
      <c r="B100" s="876"/>
      <c r="C100" s="876"/>
      <c r="D100" s="876"/>
      <c r="E100" s="876"/>
      <c r="F100" s="876"/>
      <c r="G100" s="876"/>
      <c r="H100" s="876"/>
      <c r="I100" s="876"/>
      <c r="J100" s="876"/>
      <c r="K100" s="876"/>
      <c r="L100" s="876"/>
      <c r="M100" s="876"/>
      <c r="N100" s="876"/>
      <c r="O100" s="876"/>
      <c r="P100" s="876"/>
      <c r="Q100" s="876"/>
      <c r="R100" s="876"/>
      <c r="S100" s="876"/>
      <c r="T100" s="876"/>
      <c r="U100" s="876"/>
      <c r="V100" s="876"/>
      <c r="W100" s="876"/>
      <c r="X100" s="876"/>
      <c r="Y100" s="876"/>
      <c r="Z100" s="876"/>
    </row>
    <row r="101" ht="15.75" customHeight="1">
      <c r="A101" s="876"/>
      <c r="B101" s="876"/>
      <c r="C101" s="876"/>
      <c r="D101" s="876"/>
      <c r="E101" s="876"/>
      <c r="F101" s="876"/>
      <c r="G101" s="876"/>
      <c r="H101" s="876"/>
      <c r="I101" s="876"/>
      <c r="J101" s="876"/>
      <c r="K101" s="876"/>
      <c r="L101" s="876"/>
      <c r="M101" s="876"/>
      <c r="N101" s="876"/>
      <c r="O101" s="876"/>
      <c r="P101" s="876"/>
      <c r="Q101" s="876"/>
      <c r="R101" s="876"/>
      <c r="S101" s="876"/>
      <c r="T101" s="876"/>
      <c r="U101" s="876"/>
      <c r="V101" s="876"/>
      <c r="W101" s="876"/>
      <c r="X101" s="876"/>
      <c r="Y101" s="876"/>
      <c r="Z101" s="876"/>
    </row>
    <row r="102" ht="15.75" customHeight="1">
      <c r="A102" s="876"/>
      <c r="B102" s="876"/>
      <c r="C102" s="876"/>
      <c r="D102" s="876"/>
      <c r="E102" s="876"/>
      <c r="F102" s="876"/>
      <c r="G102" s="876"/>
      <c r="H102" s="876"/>
      <c r="I102" s="876"/>
      <c r="J102" s="876"/>
      <c r="K102" s="876"/>
      <c r="L102" s="876"/>
      <c r="M102" s="876"/>
      <c r="N102" s="876"/>
      <c r="O102" s="876"/>
      <c r="P102" s="876"/>
      <c r="Q102" s="876"/>
      <c r="R102" s="876"/>
      <c r="S102" s="876"/>
      <c r="T102" s="876"/>
      <c r="U102" s="876"/>
      <c r="V102" s="876"/>
      <c r="W102" s="876"/>
      <c r="X102" s="876"/>
      <c r="Y102" s="876"/>
      <c r="Z102" s="876"/>
    </row>
    <row r="103" ht="15.75" customHeight="1">
      <c r="A103" s="876"/>
      <c r="B103" s="876"/>
      <c r="C103" s="876"/>
      <c r="D103" s="876"/>
      <c r="E103" s="876"/>
      <c r="F103" s="876"/>
      <c r="G103" s="876"/>
      <c r="H103" s="876"/>
      <c r="I103" s="876"/>
      <c r="J103" s="876"/>
      <c r="K103" s="876"/>
      <c r="L103" s="876"/>
      <c r="M103" s="876"/>
      <c r="N103" s="876"/>
      <c r="O103" s="876"/>
      <c r="P103" s="876"/>
      <c r="Q103" s="876"/>
      <c r="R103" s="876"/>
      <c r="S103" s="876"/>
      <c r="T103" s="876"/>
      <c r="U103" s="876"/>
      <c r="V103" s="876"/>
      <c r="W103" s="876"/>
      <c r="X103" s="876"/>
      <c r="Y103" s="876"/>
      <c r="Z103" s="876"/>
    </row>
    <row r="104" ht="15.75" customHeight="1">
      <c r="A104" s="876"/>
      <c r="B104" s="876"/>
      <c r="C104" s="876"/>
      <c r="D104" s="876"/>
      <c r="E104" s="876"/>
      <c r="F104" s="876"/>
      <c r="G104" s="876"/>
      <c r="H104" s="876"/>
      <c r="I104" s="876"/>
      <c r="J104" s="876"/>
      <c r="K104" s="876"/>
      <c r="L104" s="876"/>
      <c r="M104" s="876"/>
      <c r="N104" s="876"/>
      <c r="O104" s="876"/>
      <c r="P104" s="876"/>
      <c r="Q104" s="876"/>
      <c r="R104" s="876"/>
      <c r="S104" s="876"/>
      <c r="T104" s="876"/>
      <c r="U104" s="876"/>
      <c r="V104" s="876"/>
      <c r="W104" s="876"/>
      <c r="X104" s="876"/>
      <c r="Y104" s="876"/>
      <c r="Z104" s="876"/>
    </row>
    <row r="105" ht="15.75" customHeight="1">
      <c r="A105" s="876"/>
      <c r="B105" s="876"/>
      <c r="C105" s="876"/>
      <c r="D105" s="876"/>
      <c r="E105" s="876"/>
      <c r="F105" s="876"/>
      <c r="G105" s="876"/>
      <c r="H105" s="876"/>
      <c r="I105" s="876"/>
      <c r="J105" s="876"/>
      <c r="K105" s="876"/>
      <c r="L105" s="876"/>
      <c r="M105" s="876"/>
      <c r="N105" s="876"/>
      <c r="O105" s="876"/>
      <c r="P105" s="876"/>
      <c r="Q105" s="876"/>
      <c r="R105" s="876"/>
      <c r="S105" s="876"/>
      <c r="T105" s="876"/>
      <c r="U105" s="876"/>
      <c r="V105" s="876"/>
      <c r="W105" s="876"/>
      <c r="X105" s="876"/>
      <c r="Y105" s="876"/>
      <c r="Z105" s="876"/>
    </row>
    <row r="106" ht="15.75" customHeight="1">
      <c r="A106" s="876"/>
      <c r="B106" s="876"/>
      <c r="C106" s="876"/>
      <c r="D106" s="876"/>
      <c r="E106" s="876"/>
      <c r="F106" s="876"/>
      <c r="G106" s="876"/>
      <c r="H106" s="876"/>
      <c r="I106" s="876"/>
      <c r="J106" s="876"/>
      <c r="K106" s="876"/>
      <c r="L106" s="876"/>
      <c r="M106" s="876"/>
      <c r="N106" s="876"/>
      <c r="O106" s="876"/>
      <c r="P106" s="876"/>
      <c r="Q106" s="876"/>
      <c r="R106" s="876"/>
      <c r="S106" s="876"/>
      <c r="T106" s="876"/>
      <c r="U106" s="876"/>
      <c r="V106" s="876"/>
      <c r="W106" s="876"/>
      <c r="X106" s="876"/>
      <c r="Y106" s="876"/>
      <c r="Z106" s="876"/>
    </row>
    <row r="107" ht="15.75" customHeight="1">
      <c r="A107" s="876"/>
      <c r="B107" s="876"/>
      <c r="C107" s="876"/>
      <c r="D107" s="876"/>
      <c r="E107" s="876"/>
      <c r="F107" s="876"/>
      <c r="G107" s="876"/>
      <c r="H107" s="876"/>
      <c r="I107" s="876"/>
      <c r="J107" s="876"/>
      <c r="K107" s="876"/>
      <c r="L107" s="876"/>
      <c r="M107" s="876"/>
      <c r="N107" s="876"/>
      <c r="O107" s="876"/>
      <c r="P107" s="876"/>
      <c r="Q107" s="876"/>
      <c r="R107" s="876"/>
      <c r="S107" s="876"/>
      <c r="T107" s="876"/>
      <c r="U107" s="876"/>
      <c r="V107" s="876"/>
      <c r="W107" s="876"/>
      <c r="X107" s="876"/>
      <c r="Y107" s="876"/>
      <c r="Z107" s="876"/>
    </row>
    <row r="108" ht="15.75" customHeight="1">
      <c r="A108" s="876"/>
      <c r="B108" s="876"/>
      <c r="C108" s="876"/>
      <c r="D108" s="876"/>
      <c r="E108" s="876"/>
      <c r="F108" s="876"/>
      <c r="G108" s="876"/>
      <c r="H108" s="876"/>
      <c r="I108" s="876"/>
      <c r="J108" s="876"/>
      <c r="K108" s="876"/>
      <c r="L108" s="876"/>
      <c r="M108" s="876"/>
      <c r="N108" s="876"/>
      <c r="O108" s="876"/>
      <c r="P108" s="876"/>
      <c r="Q108" s="876"/>
      <c r="R108" s="876"/>
      <c r="S108" s="876"/>
      <c r="T108" s="876"/>
      <c r="U108" s="876"/>
      <c r="V108" s="876"/>
      <c r="W108" s="876"/>
      <c r="X108" s="876"/>
      <c r="Y108" s="876"/>
      <c r="Z108" s="876"/>
    </row>
    <row r="109" ht="15.75" customHeight="1">
      <c r="A109" s="876"/>
      <c r="B109" s="876"/>
      <c r="C109" s="876"/>
      <c r="D109" s="876"/>
      <c r="E109" s="876"/>
      <c r="F109" s="876"/>
      <c r="G109" s="876"/>
      <c r="H109" s="876"/>
      <c r="I109" s="876"/>
      <c r="J109" s="876"/>
      <c r="K109" s="876"/>
      <c r="L109" s="876"/>
      <c r="M109" s="876"/>
      <c r="N109" s="876"/>
      <c r="O109" s="876"/>
      <c r="P109" s="876"/>
      <c r="Q109" s="876"/>
      <c r="R109" s="876"/>
      <c r="S109" s="876"/>
      <c r="T109" s="876"/>
      <c r="U109" s="876"/>
      <c r="V109" s="876"/>
      <c r="W109" s="876"/>
      <c r="X109" s="876"/>
      <c r="Y109" s="876"/>
      <c r="Z109" s="876"/>
    </row>
    <row r="110" ht="15.75" customHeight="1">
      <c r="A110" s="876"/>
      <c r="B110" s="876"/>
      <c r="C110" s="876"/>
      <c r="D110" s="876"/>
      <c r="E110" s="876"/>
      <c r="F110" s="876"/>
      <c r="G110" s="876"/>
      <c r="H110" s="876"/>
      <c r="I110" s="876"/>
      <c r="J110" s="876"/>
      <c r="K110" s="876"/>
      <c r="L110" s="876"/>
      <c r="M110" s="876"/>
      <c r="N110" s="876"/>
      <c r="O110" s="876"/>
      <c r="P110" s="876"/>
      <c r="Q110" s="876"/>
      <c r="R110" s="876"/>
      <c r="S110" s="876"/>
      <c r="T110" s="876"/>
      <c r="U110" s="876"/>
      <c r="V110" s="876"/>
      <c r="W110" s="876"/>
      <c r="X110" s="876"/>
      <c r="Y110" s="876"/>
      <c r="Z110" s="876"/>
    </row>
    <row r="111" ht="15.75" customHeight="1">
      <c r="A111" s="876"/>
      <c r="B111" s="876"/>
      <c r="C111" s="876"/>
      <c r="D111" s="876"/>
      <c r="E111" s="876"/>
      <c r="F111" s="876"/>
      <c r="G111" s="876"/>
      <c r="H111" s="876"/>
      <c r="I111" s="876"/>
      <c r="J111" s="876"/>
      <c r="K111" s="876"/>
      <c r="L111" s="876"/>
      <c r="M111" s="876"/>
      <c r="N111" s="876"/>
      <c r="O111" s="876"/>
      <c r="P111" s="876"/>
      <c r="Q111" s="876"/>
      <c r="R111" s="876"/>
      <c r="S111" s="876"/>
      <c r="T111" s="876"/>
      <c r="U111" s="876"/>
      <c r="V111" s="876"/>
      <c r="W111" s="876"/>
      <c r="X111" s="876"/>
      <c r="Y111" s="876"/>
      <c r="Z111" s="876"/>
    </row>
    <row r="112" ht="15.75" customHeight="1">
      <c r="A112" s="876"/>
      <c r="B112" s="876"/>
      <c r="C112" s="876"/>
      <c r="D112" s="876"/>
      <c r="E112" s="876"/>
      <c r="F112" s="876"/>
      <c r="G112" s="876"/>
      <c r="H112" s="876"/>
      <c r="I112" s="876"/>
      <c r="J112" s="876"/>
      <c r="K112" s="876"/>
      <c r="L112" s="876"/>
      <c r="M112" s="876"/>
      <c r="N112" s="876"/>
      <c r="O112" s="876"/>
      <c r="P112" s="876"/>
      <c r="Q112" s="876"/>
      <c r="R112" s="876"/>
      <c r="S112" s="876"/>
      <c r="T112" s="876"/>
      <c r="U112" s="876"/>
      <c r="V112" s="876"/>
      <c r="W112" s="876"/>
      <c r="X112" s="876"/>
      <c r="Y112" s="876"/>
      <c r="Z112" s="876"/>
    </row>
    <row r="113" ht="15.75" customHeight="1">
      <c r="A113" s="876"/>
      <c r="B113" s="876"/>
      <c r="C113" s="876"/>
      <c r="D113" s="876"/>
      <c r="E113" s="876"/>
      <c r="F113" s="876"/>
      <c r="G113" s="876"/>
      <c r="H113" s="876"/>
      <c r="I113" s="876"/>
      <c r="J113" s="876"/>
      <c r="K113" s="876"/>
      <c r="L113" s="876"/>
      <c r="M113" s="876"/>
      <c r="N113" s="876"/>
      <c r="O113" s="876"/>
      <c r="P113" s="876"/>
      <c r="Q113" s="876"/>
      <c r="R113" s="876"/>
      <c r="S113" s="876"/>
      <c r="T113" s="876"/>
      <c r="U113" s="876"/>
      <c r="V113" s="876"/>
      <c r="W113" s="876"/>
      <c r="X113" s="876"/>
      <c r="Y113" s="876"/>
      <c r="Z113" s="876"/>
    </row>
    <row r="114" ht="15.75" customHeight="1">
      <c r="A114" s="876"/>
      <c r="B114" s="876"/>
      <c r="C114" s="876"/>
      <c r="D114" s="876"/>
      <c r="E114" s="876"/>
      <c r="F114" s="876"/>
      <c r="G114" s="876"/>
      <c r="H114" s="876"/>
      <c r="I114" s="876"/>
      <c r="J114" s="876"/>
      <c r="K114" s="876"/>
      <c r="L114" s="876"/>
      <c r="M114" s="876"/>
      <c r="N114" s="876"/>
      <c r="O114" s="876"/>
      <c r="P114" s="876"/>
      <c r="Q114" s="876"/>
      <c r="R114" s="876"/>
      <c r="S114" s="876"/>
      <c r="T114" s="876"/>
      <c r="U114" s="876"/>
      <c r="V114" s="876"/>
      <c r="W114" s="876"/>
      <c r="X114" s="876"/>
      <c r="Y114" s="876"/>
      <c r="Z114" s="876"/>
    </row>
    <row r="115" ht="15.75" customHeight="1">
      <c r="A115" s="876"/>
      <c r="B115" s="876"/>
      <c r="C115" s="876"/>
      <c r="D115" s="876"/>
      <c r="E115" s="876"/>
      <c r="F115" s="876"/>
      <c r="G115" s="876"/>
      <c r="H115" s="876"/>
      <c r="I115" s="876"/>
      <c r="J115" s="876"/>
      <c r="K115" s="876"/>
      <c r="L115" s="876"/>
      <c r="M115" s="876"/>
      <c r="N115" s="876"/>
      <c r="O115" s="876"/>
      <c r="P115" s="876"/>
      <c r="Q115" s="876"/>
      <c r="R115" s="876"/>
      <c r="S115" s="876"/>
      <c r="T115" s="876"/>
      <c r="U115" s="876"/>
      <c r="V115" s="876"/>
      <c r="W115" s="876"/>
      <c r="X115" s="876"/>
      <c r="Y115" s="876"/>
      <c r="Z115" s="876"/>
    </row>
    <row r="116" ht="15.75" customHeight="1">
      <c r="A116" s="876"/>
      <c r="B116" s="876"/>
      <c r="C116" s="876"/>
      <c r="D116" s="876"/>
      <c r="E116" s="876"/>
      <c r="F116" s="876"/>
      <c r="G116" s="876"/>
      <c r="H116" s="876"/>
      <c r="I116" s="876"/>
      <c r="J116" s="876"/>
      <c r="K116" s="876"/>
      <c r="L116" s="876"/>
      <c r="M116" s="876"/>
      <c r="N116" s="876"/>
      <c r="O116" s="876"/>
      <c r="P116" s="876"/>
      <c r="Q116" s="876"/>
      <c r="R116" s="876"/>
      <c r="S116" s="876"/>
      <c r="T116" s="876"/>
      <c r="U116" s="876"/>
      <c r="V116" s="876"/>
      <c r="W116" s="876"/>
      <c r="X116" s="876"/>
      <c r="Y116" s="876"/>
      <c r="Z116" s="876"/>
    </row>
    <row r="117" ht="15.75" customHeight="1">
      <c r="A117" s="876"/>
      <c r="B117" s="876"/>
      <c r="C117" s="876"/>
      <c r="D117" s="876"/>
      <c r="E117" s="876"/>
      <c r="F117" s="876"/>
      <c r="G117" s="876"/>
      <c r="H117" s="876"/>
      <c r="I117" s="876"/>
      <c r="J117" s="876"/>
      <c r="K117" s="876"/>
      <c r="L117" s="876"/>
      <c r="M117" s="876"/>
      <c r="N117" s="876"/>
      <c r="O117" s="876"/>
      <c r="P117" s="876"/>
      <c r="Q117" s="876"/>
      <c r="R117" s="876"/>
      <c r="S117" s="876"/>
      <c r="T117" s="876"/>
      <c r="U117" s="876"/>
      <c r="V117" s="876"/>
      <c r="W117" s="876"/>
      <c r="X117" s="876"/>
      <c r="Y117" s="876"/>
      <c r="Z117" s="876"/>
    </row>
    <row r="118" ht="15.75" customHeight="1">
      <c r="A118" s="876"/>
      <c r="B118" s="876"/>
      <c r="C118" s="876"/>
      <c r="D118" s="876"/>
      <c r="E118" s="876"/>
      <c r="F118" s="876"/>
      <c r="G118" s="876"/>
      <c r="H118" s="876"/>
      <c r="I118" s="876"/>
      <c r="J118" s="876"/>
      <c r="K118" s="876"/>
      <c r="L118" s="876"/>
      <c r="M118" s="876"/>
      <c r="N118" s="876"/>
      <c r="O118" s="876"/>
      <c r="P118" s="876"/>
      <c r="Q118" s="876"/>
      <c r="R118" s="876"/>
      <c r="S118" s="876"/>
      <c r="T118" s="876"/>
      <c r="U118" s="876"/>
      <c r="V118" s="876"/>
      <c r="W118" s="876"/>
      <c r="X118" s="876"/>
      <c r="Y118" s="876"/>
      <c r="Z118" s="876"/>
    </row>
    <row r="119" ht="15.75" customHeight="1">
      <c r="A119" s="876"/>
      <c r="B119" s="876"/>
      <c r="C119" s="876"/>
      <c r="D119" s="876"/>
      <c r="E119" s="876"/>
      <c r="F119" s="876"/>
      <c r="G119" s="876"/>
      <c r="H119" s="876"/>
      <c r="I119" s="876"/>
      <c r="J119" s="876"/>
      <c r="K119" s="876"/>
      <c r="L119" s="876"/>
      <c r="M119" s="876"/>
      <c r="N119" s="876"/>
      <c r="O119" s="876"/>
      <c r="P119" s="876"/>
      <c r="Q119" s="876"/>
      <c r="R119" s="876"/>
      <c r="S119" s="876"/>
      <c r="T119" s="876"/>
      <c r="U119" s="876"/>
      <c r="V119" s="876"/>
      <c r="W119" s="876"/>
      <c r="X119" s="876"/>
      <c r="Y119" s="876"/>
      <c r="Z119" s="876"/>
    </row>
    <row r="120" ht="15.75" customHeight="1">
      <c r="A120" s="876"/>
      <c r="B120" s="876"/>
      <c r="C120" s="876"/>
      <c r="D120" s="876"/>
      <c r="E120" s="876"/>
      <c r="F120" s="876"/>
      <c r="G120" s="876"/>
      <c r="H120" s="876"/>
      <c r="I120" s="876"/>
      <c r="J120" s="876"/>
      <c r="K120" s="876"/>
      <c r="L120" s="876"/>
      <c r="M120" s="876"/>
      <c r="N120" s="876"/>
      <c r="O120" s="876"/>
      <c r="P120" s="876"/>
      <c r="Q120" s="876"/>
      <c r="R120" s="876"/>
      <c r="S120" s="876"/>
      <c r="T120" s="876"/>
      <c r="U120" s="876"/>
      <c r="V120" s="876"/>
      <c r="W120" s="876"/>
      <c r="X120" s="876"/>
      <c r="Y120" s="876"/>
      <c r="Z120" s="876"/>
    </row>
    <row r="121" ht="15.75" customHeight="1">
      <c r="A121" s="876"/>
      <c r="B121" s="876"/>
      <c r="C121" s="876"/>
      <c r="D121" s="876"/>
      <c r="E121" s="876"/>
      <c r="F121" s="876"/>
      <c r="G121" s="876"/>
      <c r="H121" s="876"/>
      <c r="I121" s="876"/>
      <c r="J121" s="876"/>
      <c r="K121" s="876"/>
      <c r="L121" s="876"/>
      <c r="M121" s="876"/>
      <c r="N121" s="876"/>
      <c r="O121" s="876"/>
      <c r="P121" s="876"/>
      <c r="Q121" s="876"/>
      <c r="R121" s="876"/>
      <c r="S121" s="876"/>
      <c r="T121" s="876"/>
      <c r="U121" s="876"/>
      <c r="V121" s="876"/>
      <c r="W121" s="876"/>
      <c r="X121" s="876"/>
      <c r="Y121" s="876"/>
      <c r="Z121" s="876"/>
    </row>
    <row r="122" ht="15.75" customHeight="1">
      <c r="A122" s="876"/>
      <c r="B122" s="876"/>
      <c r="C122" s="876"/>
      <c r="D122" s="876"/>
      <c r="E122" s="876"/>
      <c r="F122" s="876"/>
      <c r="G122" s="876"/>
      <c r="H122" s="876"/>
      <c r="I122" s="876"/>
      <c r="J122" s="876"/>
      <c r="K122" s="876"/>
      <c r="L122" s="876"/>
      <c r="M122" s="876"/>
      <c r="N122" s="876"/>
      <c r="O122" s="876"/>
      <c r="P122" s="876"/>
      <c r="Q122" s="876"/>
      <c r="R122" s="876"/>
      <c r="S122" s="876"/>
      <c r="T122" s="876"/>
      <c r="U122" s="876"/>
      <c r="V122" s="876"/>
      <c r="W122" s="876"/>
      <c r="X122" s="876"/>
      <c r="Y122" s="876"/>
      <c r="Z122" s="876"/>
    </row>
    <row r="123" ht="15.75" customHeight="1">
      <c r="A123" s="876"/>
      <c r="B123" s="876"/>
      <c r="C123" s="876"/>
      <c r="D123" s="876"/>
      <c r="E123" s="876"/>
      <c r="F123" s="876"/>
      <c r="G123" s="876"/>
      <c r="H123" s="876"/>
      <c r="I123" s="876"/>
      <c r="J123" s="876"/>
      <c r="K123" s="876"/>
      <c r="L123" s="876"/>
      <c r="M123" s="876"/>
      <c r="N123" s="876"/>
      <c r="O123" s="876"/>
      <c r="P123" s="876"/>
      <c r="Q123" s="876"/>
      <c r="R123" s="876"/>
      <c r="S123" s="876"/>
      <c r="T123" s="876"/>
      <c r="U123" s="876"/>
      <c r="V123" s="876"/>
      <c r="W123" s="876"/>
      <c r="X123" s="876"/>
      <c r="Y123" s="876"/>
      <c r="Z123" s="876"/>
    </row>
    <row r="124" ht="15.75" customHeight="1">
      <c r="A124" s="876"/>
      <c r="B124" s="876"/>
      <c r="C124" s="876"/>
      <c r="D124" s="876"/>
      <c r="E124" s="876"/>
      <c r="F124" s="876"/>
      <c r="G124" s="876"/>
      <c r="H124" s="876"/>
      <c r="I124" s="876"/>
      <c r="J124" s="876"/>
      <c r="K124" s="876"/>
      <c r="L124" s="876"/>
      <c r="M124" s="876"/>
      <c r="N124" s="876"/>
      <c r="O124" s="876"/>
      <c r="P124" s="876"/>
      <c r="Q124" s="876"/>
      <c r="R124" s="876"/>
      <c r="S124" s="876"/>
      <c r="T124" s="876"/>
      <c r="U124" s="876"/>
      <c r="V124" s="876"/>
      <c r="W124" s="876"/>
      <c r="X124" s="876"/>
      <c r="Y124" s="876"/>
      <c r="Z124" s="876"/>
    </row>
    <row r="125" ht="15.75" customHeight="1">
      <c r="A125" s="876"/>
      <c r="B125" s="876"/>
      <c r="C125" s="876"/>
      <c r="D125" s="876"/>
      <c r="E125" s="876"/>
      <c r="F125" s="876"/>
      <c r="G125" s="876"/>
      <c r="H125" s="876"/>
      <c r="I125" s="876"/>
      <c r="J125" s="876"/>
      <c r="K125" s="876"/>
      <c r="L125" s="876"/>
      <c r="M125" s="876"/>
      <c r="N125" s="876"/>
      <c r="O125" s="876"/>
      <c r="P125" s="876"/>
      <c r="Q125" s="876"/>
      <c r="R125" s="876"/>
      <c r="S125" s="876"/>
      <c r="T125" s="876"/>
      <c r="U125" s="876"/>
      <c r="V125" s="876"/>
      <c r="W125" s="876"/>
      <c r="X125" s="876"/>
      <c r="Y125" s="876"/>
      <c r="Z125" s="876"/>
    </row>
    <row r="126" ht="15.75" customHeight="1">
      <c r="A126" s="876"/>
      <c r="B126" s="876"/>
      <c r="C126" s="876"/>
      <c r="D126" s="876"/>
      <c r="E126" s="876"/>
      <c r="F126" s="876"/>
      <c r="G126" s="876"/>
      <c r="H126" s="876"/>
      <c r="I126" s="876"/>
      <c r="J126" s="876"/>
      <c r="K126" s="876"/>
      <c r="L126" s="876"/>
      <c r="M126" s="876"/>
      <c r="N126" s="876"/>
      <c r="O126" s="876"/>
      <c r="P126" s="876"/>
      <c r="Q126" s="876"/>
      <c r="R126" s="876"/>
      <c r="S126" s="876"/>
      <c r="T126" s="876"/>
      <c r="U126" s="876"/>
      <c r="V126" s="876"/>
      <c r="W126" s="876"/>
      <c r="X126" s="876"/>
      <c r="Y126" s="876"/>
      <c r="Z126" s="876"/>
    </row>
    <row r="127" ht="15.75" customHeight="1">
      <c r="A127" s="876"/>
      <c r="B127" s="876"/>
      <c r="C127" s="876"/>
      <c r="D127" s="876"/>
      <c r="E127" s="876"/>
      <c r="F127" s="876"/>
      <c r="G127" s="876"/>
      <c r="H127" s="876"/>
      <c r="I127" s="876"/>
      <c r="J127" s="876"/>
      <c r="K127" s="876"/>
      <c r="L127" s="876"/>
      <c r="M127" s="876"/>
      <c r="N127" s="876"/>
      <c r="O127" s="876"/>
      <c r="P127" s="876"/>
      <c r="Q127" s="876"/>
      <c r="R127" s="876"/>
      <c r="S127" s="876"/>
      <c r="T127" s="876"/>
      <c r="U127" s="876"/>
      <c r="V127" s="876"/>
      <c r="W127" s="876"/>
      <c r="X127" s="876"/>
      <c r="Y127" s="876"/>
      <c r="Z127" s="876"/>
    </row>
    <row r="128" ht="15.75" customHeight="1">
      <c r="A128" s="876"/>
      <c r="B128" s="876"/>
      <c r="C128" s="876"/>
      <c r="D128" s="876"/>
      <c r="E128" s="876"/>
      <c r="F128" s="876"/>
      <c r="G128" s="876"/>
      <c r="H128" s="876"/>
      <c r="I128" s="876"/>
      <c r="J128" s="876"/>
      <c r="K128" s="876"/>
      <c r="L128" s="876"/>
      <c r="M128" s="876"/>
      <c r="N128" s="876"/>
      <c r="O128" s="876"/>
      <c r="P128" s="876"/>
      <c r="Q128" s="876"/>
      <c r="R128" s="876"/>
      <c r="S128" s="876"/>
      <c r="T128" s="876"/>
      <c r="U128" s="876"/>
      <c r="V128" s="876"/>
      <c r="W128" s="876"/>
      <c r="X128" s="876"/>
      <c r="Y128" s="876"/>
      <c r="Z128" s="876"/>
    </row>
    <row r="129" ht="15.75" customHeight="1">
      <c r="A129" s="876"/>
      <c r="B129" s="876"/>
      <c r="C129" s="876"/>
      <c r="D129" s="876"/>
      <c r="E129" s="876"/>
      <c r="F129" s="876"/>
      <c r="G129" s="876"/>
      <c r="H129" s="876"/>
      <c r="I129" s="876"/>
      <c r="J129" s="876"/>
      <c r="K129" s="876"/>
      <c r="L129" s="876"/>
      <c r="M129" s="876"/>
      <c r="N129" s="876"/>
      <c r="O129" s="876"/>
      <c r="P129" s="876"/>
      <c r="Q129" s="876"/>
      <c r="R129" s="876"/>
      <c r="S129" s="876"/>
      <c r="T129" s="876"/>
      <c r="U129" s="876"/>
      <c r="V129" s="876"/>
      <c r="W129" s="876"/>
      <c r="X129" s="876"/>
      <c r="Y129" s="876"/>
      <c r="Z129" s="876"/>
    </row>
    <row r="130" ht="15.75" customHeight="1">
      <c r="A130" s="876"/>
      <c r="B130" s="876"/>
      <c r="C130" s="876"/>
      <c r="D130" s="876"/>
      <c r="E130" s="876"/>
      <c r="F130" s="876"/>
      <c r="G130" s="876"/>
      <c r="H130" s="876"/>
      <c r="I130" s="876"/>
      <c r="J130" s="876"/>
      <c r="K130" s="876"/>
      <c r="L130" s="876"/>
      <c r="M130" s="876"/>
      <c r="N130" s="876"/>
      <c r="O130" s="876"/>
      <c r="P130" s="876"/>
      <c r="Q130" s="876"/>
      <c r="R130" s="876"/>
      <c r="S130" s="876"/>
      <c r="T130" s="876"/>
      <c r="U130" s="876"/>
      <c r="V130" s="876"/>
      <c r="W130" s="876"/>
      <c r="X130" s="876"/>
      <c r="Y130" s="876"/>
      <c r="Z130" s="876"/>
    </row>
    <row r="131" ht="15.75" customHeight="1">
      <c r="A131" s="876"/>
      <c r="B131" s="876"/>
      <c r="C131" s="876"/>
      <c r="D131" s="876"/>
      <c r="E131" s="876"/>
      <c r="F131" s="876"/>
      <c r="G131" s="876"/>
      <c r="H131" s="876"/>
      <c r="I131" s="876"/>
      <c r="J131" s="876"/>
      <c r="K131" s="876"/>
      <c r="L131" s="876"/>
      <c r="M131" s="876"/>
      <c r="N131" s="876"/>
      <c r="O131" s="876"/>
      <c r="P131" s="876"/>
      <c r="Q131" s="876"/>
      <c r="R131" s="876"/>
      <c r="S131" s="876"/>
      <c r="T131" s="876"/>
      <c r="U131" s="876"/>
      <c r="V131" s="876"/>
      <c r="W131" s="876"/>
      <c r="X131" s="876"/>
      <c r="Y131" s="876"/>
      <c r="Z131" s="876"/>
    </row>
    <row r="132" ht="15.75" customHeight="1">
      <c r="A132" s="876"/>
      <c r="B132" s="876"/>
      <c r="C132" s="876"/>
      <c r="D132" s="876"/>
      <c r="E132" s="876"/>
      <c r="F132" s="876"/>
      <c r="G132" s="876"/>
      <c r="H132" s="876"/>
      <c r="I132" s="876"/>
      <c r="J132" s="876"/>
      <c r="K132" s="876"/>
      <c r="L132" s="876"/>
      <c r="M132" s="876"/>
      <c r="N132" s="876"/>
      <c r="O132" s="876"/>
      <c r="P132" s="876"/>
      <c r="Q132" s="876"/>
      <c r="R132" s="876"/>
      <c r="S132" s="876"/>
      <c r="T132" s="876"/>
      <c r="U132" s="876"/>
      <c r="V132" s="876"/>
      <c r="W132" s="876"/>
      <c r="X132" s="876"/>
      <c r="Y132" s="876"/>
      <c r="Z132" s="876"/>
    </row>
    <row r="133" ht="15.75" customHeight="1">
      <c r="A133" s="876"/>
      <c r="B133" s="876"/>
      <c r="C133" s="876"/>
      <c r="D133" s="876"/>
      <c r="E133" s="876"/>
      <c r="F133" s="876"/>
      <c r="G133" s="876"/>
      <c r="H133" s="876"/>
      <c r="I133" s="876"/>
      <c r="J133" s="876"/>
      <c r="K133" s="876"/>
      <c r="L133" s="876"/>
      <c r="M133" s="876"/>
      <c r="N133" s="876"/>
      <c r="O133" s="876"/>
      <c r="P133" s="876"/>
      <c r="Q133" s="876"/>
      <c r="R133" s="876"/>
      <c r="S133" s="876"/>
      <c r="T133" s="876"/>
      <c r="U133" s="876"/>
      <c r="V133" s="876"/>
      <c r="W133" s="876"/>
      <c r="X133" s="876"/>
      <c r="Y133" s="876"/>
      <c r="Z133" s="876"/>
    </row>
    <row r="134" ht="15.75" customHeight="1">
      <c r="A134" s="876"/>
      <c r="B134" s="876"/>
      <c r="C134" s="876"/>
      <c r="D134" s="876"/>
      <c r="E134" s="876"/>
      <c r="F134" s="876"/>
      <c r="G134" s="876"/>
      <c r="H134" s="876"/>
      <c r="I134" s="876"/>
      <c r="J134" s="876"/>
      <c r="K134" s="876"/>
      <c r="L134" s="876"/>
      <c r="M134" s="876"/>
      <c r="N134" s="876"/>
      <c r="O134" s="876"/>
      <c r="P134" s="876"/>
      <c r="Q134" s="876"/>
      <c r="R134" s="876"/>
      <c r="S134" s="876"/>
      <c r="T134" s="876"/>
      <c r="U134" s="876"/>
      <c r="V134" s="876"/>
      <c r="W134" s="876"/>
      <c r="X134" s="876"/>
      <c r="Y134" s="876"/>
      <c r="Z134" s="876"/>
    </row>
    <row r="135" ht="15.75" customHeight="1">
      <c r="A135" s="876"/>
      <c r="B135" s="876"/>
      <c r="C135" s="876"/>
      <c r="D135" s="876"/>
      <c r="E135" s="876"/>
      <c r="F135" s="876"/>
      <c r="G135" s="876"/>
      <c r="H135" s="876"/>
      <c r="I135" s="876"/>
      <c r="J135" s="876"/>
      <c r="K135" s="876"/>
      <c r="L135" s="876"/>
      <c r="M135" s="876"/>
      <c r="N135" s="876"/>
      <c r="O135" s="876"/>
      <c r="P135" s="876"/>
      <c r="Q135" s="876"/>
      <c r="R135" s="876"/>
      <c r="S135" s="876"/>
      <c r="T135" s="876"/>
      <c r="U135" s="876"/>
      <c r="V135" s="876"/>
      <c r="W135" s="876"/>
      <c r="X135" s="876"/>
      <c r="Y135" s="876"/>
      <c r="Z135" s="876"/>
    </row>
    <row r="136" ht="15.75" customHeight="1">
      <c r="A136" s="876"/>
      <c r="B136" s="876"/>
      <c r="C136" s="876"/>
      <c r="D136" s="876"/>
      <c r="E136" s="876"/>
      <c r="F136" s="876"/>
      <c r="G136" s="876"/>
      <c r="H136" s="876"/>
      <c r="I136" s="876"/>
      <c r="J136" s="876"/>
      <c r="K136" s="876"/>
      <c r="L136" s="876"/>
      <c r="M136" s="876"/>
      <c r="N136" s="876"/>
      <c r="O136" s="876"/>
      <c r="P136" s="876"/>
      <c r="Q136" s="876"/>
      <c r="R136" s="876"/>
      <c r="S136" s="876"/>
      <c r="T136" s="876"/>
      <c r="U136" s="876"/>
      <c r="V136" s="876"/>
      <c r="W136" s="876"/>
      <c r="X136" s="876"/>
      <c r="Y136" s="876"/>
      <c r="Z136" s="876"/>
    </row>
    <row r="137" ht="15.75" customHeight="1">
      <c r="A137" s="876"/>
      <c r="B137" s="876"/>
      <c r="C137" s="876"/>
      <c r="D137" s="876"/>
      <c r="E137" s="876"/>
      <c r="F137" s="876"/>
      <c r="G137" s="876"/>
      <c r="H137" s="876"/>
      <c r="I137" s="876"/>
      <c r="J137" s="876"/>
      <c r="K137" s="876"/>
      <c r="L137" s="876"/>
      <c r="M137" s="876"/>
      <c r="N137" s="876"/>
      <c r="O137" s="876"/>
      <c r="P137" s="876"/>
      <c r="Q137" s="876"/>
      <c r="R137" s="876"/>
      <c r="S137" s="876"/>
      <c r="T137" s="876"/>
      <c r="U137" s="876"/>
      <c r="V137" s="876"/>
      <c r="W137" s="876"/>
      <c r="X137" s="876"/>
      <c r="Y137" s="876"/>
      <c r="Z137" s="876"/>
    </row>
    <row r="138" ht="15.75" customHeight="1">
      <c r="A138" s="876"/>
      <c r="B138" s="876"/>
      <c r="C138" s="876"/>
      <c r="D138" s="876"/>
      <c r="E138" s="876"/>
      <c r="F138" s="876"/>
      <c r="G138" s="876"/>
      <c r="H138" s="876"/>
      <c r="I138" s="876"/>
      <c r="J138" s="876"/>
      <c r="K138" s="876"/>
      <c r="L138" s="876"/>
      <c r="M138" s="876"/>
      <c r="N138" s="876"/>
      <c r="O138" s="876"/>
      <c r="P138" s="876"/>
      <c r="Q138" s="876"/>
      <c r="R138" s="876"/>
      <c r="S138" s="876"/>
      <c r="T138" s="876"/>
      <c r="U138" s="876"/>
      <c r="V138" s="876"/>
      <c r="W138" s="876"/>
      <c r="X138" s="876"/>
      <c r="Y138" s="876"/>
      <c r="Z138" s="876"/>
    </row>
    <row r="139" ht="15.75" customHeight="1">
      <c r="A139" s="876"/>
      <c r="B139" s="876"/>
      <c r="C139" s="876"/>
      <c r="D139" s="876"/>
      <c r="E139" s="876"/>
      <c r="F139" s="876"/>
      <c r="G139" s="876"/>
      <c r="H139" s="876"/>
      <c r="I139" s="876"/>
      <c r="J139" s="876"/>
      <c r="K139" s="876"/>
      <c r="L139" s="876"/>
      <c r="M139" s="876"/>
      <c r="N139" s="876"/>
      <c r="O139" s="876"/>
      <c r="P139" s="876"/>
      <c r="Q139" s="876"/>
      <c r="R139" s="876"/>
      <c r="S139" s="876"/>
      <c r="T139" s="876"/>
      <c r="U139" s="876"/>
      <c r="V139" s="876"/>
      <c r="W139" s="876"/>
      <c r="X139" s="876"/>
      <c r="Y139" s="876"/>
      <c r="Z139" s="876"/>
    </row>
    <row r="140" ht="15.75" customHeight="1">
      <c r="A140" s="876"/>
      <c r="B140" s="876"/>
      <c r="C140" s="876"/>
      <c r="D140" s="876"/>
      <c r="E140" s="876"/>
      <c r="F140" s="876"/>
      <c r="G140" s="876"/>
      <c r="H140" s="876"/>
      <c r="I140" s="876"/>
      <c r="J140" s="876"/>
      <c r="K140" s="876"/>
      <c r="L140" s="876"/>
      <c r="M140" s="876"/>
      <c r="N140" s="876"/>
      <c r="O140" s="876"/>
      <c r="P140" s="876"/>
      <c r="Q140" s="876"/>
      <c r="R140" s="876"/>
      <c r="S140" s="876"/>
      <c r="T140" s="876"/>
      <c r="U140" s="876"/>
      <c r="V140" s="876"/>
      <c r="W140" s="876"/>
      <c r="X140" s="876"/>
      <c r="Y140" s="876"/>
      <c r="Z140" s="876"/>
    </row>
    <row r="141" ht="15.75" customHeight="1">
      <c r="A141" s="876"/>
      <c r="B141" s="876"/>
      <c r="C141" s="876"/>
      <c r="D141" s="876"/>
      <c r="E141" s="876"/>
      <c r="F141" s="876"/>
      <c r="G141" s="876"/>
      <c r="H141" s="876"/>
      <c r="I141" s="876"/>
      <c r="J141" s="876"/>
      <c r="K141" s="876"/>
      <c r="L141" s="876"/>
      <c r="M141" s="876"/>
      <c r="N141" s="876"/>
      <c r="O141" s="876"/>
      <c r="P141" s="876"/>
      <c r="Q141" s="876"/>
      <c r="R141" s="876"/>
      <c r="S141" s="876"/>
      <c r="T141" s="876"/>
      <c r="U141" s="876"/>
      <c r="V141" s="876"/>
      <c r="W141" s="876"/>
      <c r="X141" s="876"/>
      <c r="Y141" s="876"/>
      <c r="Z141" s="876"/>
    </row>
    <row r="142" ht="15.75" customHeight="1">
      <c r="A142" s="876"/>
      <c r="B142" s="876"/>
      <c r="C142" s="876"/>
      <c r="D142" s="876"/>
      <c r="E142" s="876"/>
      <c r="F142" s="876"/>
      <c r="G142" s="876"/>
      <c r="H142" s="876"/>
      <c r="I142" s="876"/>
      <c r="J142" s="876"/>
      <c r="K142" s="876"/>
      <c r="L142" s="876"/>
      <c r="M142" s="876"/>
      <c r="N142" s="876"/>
      <c r="O142" s="876"/>
      <c r="P142" s="876"/>
      <c r="Q142" s="876"/>
      <c r="R142" s="876"/>
      <c r="S142" s="876"/>
      <c r="T142" s="876"/>
      <c r="U142" s="876"/>
      <c r="V142" s="876"/>
      <c r="W142" s="876"/>
      <c r="X142" s="876"/>
      <c r="Y142" s="876"/>
      <c r="Z142" s="876"/>
    </row>
    <row r="143" ht="15.75" customHeight="1">
      <c r="A143" s="876"/>
      <c r="B143" s="876"/>
      <c r="C143" s="876"/>
      <c r="D143" s="876"/>
      <c r="E143" s="876"/>
      <c r="F143" s="876"/>
      <c r="G143" s="876"/>
      <c r="H143" s="876"/>
      <c r="I143" s="876"/>
      <c r="J143" s="876"/>
      <c r="K143" s="876"/>
      <c r="L143" s="876"/>
      <c r="M143" s="876"/>
      <c r="N143" s="876"/>
      <c r="O143" s="876"/>
      <c r="P143" s="876"/>
      <c r="Q143" s="876"/>
      <c r="R143" s="876"/>
      <c r="S143" s="876"/>
      <c r="T143" s="876"/>
      <c r="U143" s="876"/>
      <c r="V143" s="876"/>
      <c r="W143" s="876"/>
      <c r="X143" s="876"/>
      <c r="Y143" s="876"/>
      <c r="Z143" s="876"/>
    </row>
    <row r="144" ht="15.75" customHeight="1">
      <c r="A144" s="876"/>
      <c r="B144" s="876"/>
      <c r="C144" s="876"/>
      <c r="D144" s="876"/>
      <c r="E144" s="876"/>
      <c r="F144" s="876"/>
      <c r="G144" s="876"/>
      <c r="H144" s="876"/>
      <c r="I144" s="876"/>
      <c r="J144" s="876"/>
      <c r="K144" s="876"/>
      <c r="L144" s="876"/>
      <c r="M144" s="876"/>
      <c r="N144" s="876"/>
      <c r="O144" s="876"/>
      <c r="P144" s="876"/>
      <c r="Q144" s="876"/>
      <c r="R144" s="876"/>
      <c r="S144" s="876"/>
      <c r="T144" s="876"/>
      <c r="U144" s="876"/>
      <c r="V144" s="876"/>
      <c r="W144" s="876"/>
      <c r="X144" s="876"/>
      <c r="Y144" s="876"/>
      <c r="Z144" s="876"/>
    </row>
    <row r="145" ht="15.75" customHeight="1">
      <c r="A145" s="876"/>
      <c r="B145" s="876"/>
      <c r="C145" s="876"/>
      <c r="D145" s="876"/>
      <c r="E145" s="876"/>
      <c r="F145" s="876"/>
      <c r="G145" s="876"/>
      <c r="H145" s="876"/>
      <c r="I145" s="876"/>
      <c r="J145" s="876"/>
      <c r="K145" s="876"/>
      <c r="L145" s="876"/>
      <c r="M145" s="876"/>
      <c r="N145" s="876"/>
      <c r="O145" s="876"/>
      <c r="P145" s="876"/>
      <c r="Q145" s="876"/>
      <c r="R145" s="876"/>
      <c r="S145" s="876"/>
      <c r="T145" s="876"/>
      <c r="U145" s="876"/>
      <c r="V145" s="876"/>
      <c r="W145" s="876"/>
      <c r="X145" s="876"/>
      <c r="Y145" s="876"/>
      <c r="Z145" s="876"/>
    </row>
    <row r="146" ht="15.75" customHeight="1">
      <c r="A146" s="876"/>
      <c r="B146" s="876"/>
      <c r="C146" s="876"/>
      <c r="D146" s="876"/>
      <c r="E146" s="876"/>
      <c r="F146" s="876"/>
      <c r="G146" s="876"/>
      <c r="H146" s="876"/>
      <c r="I146" s="876"/>
      <c r="J146" s="876"/>
      <c r="K146" s="876"/>
      <c r="L146" s="876"/>
      <c r="M146" s="876"/>
      <c r="N146" s="876"/>
      <c r="O146" s="876"/>
      <c r="P146" s="876"/>
      <c r="Q146" s="876"/>
      <c r="R146" s="876"/>
      <c r="S146" s="876"/>
      <c r="T146" s="876"/>
      <c r="U146" s="876"/>
      <c r="V146" s="876"/>
      <c r="W146" s="876"/>
      <c r="X146" s="876"/>
      <c r="Y146" s="876"/>
      <c r="Z146" s="876"/>
    </row>
    <row r="147" ht="15.75" customHeight="1">
      <c r="A147" s="876"/>
      <c r="B147" s="876"/>
      <c r="C147" s="876"/>
      <c r="D147" s="876"/>
      <c r="E147" s="876"/>
      <c r="F147" s="876"/>
      <c r="G147" s="876"/>
      <c r="H147" s="876"/>
      <c r="I147" s="876"/>
      <c r="J147" s="876"/>
      <c r="K147" s="876"/>
      <c r="L147" s="876"/>
      <c r="M147" s="876"/>
      <c r="N147" s="876"/>
      <c r="O147" s="876"/>
      <c r="P147" s="876"/>
      <c r="Q147" s="876"/>
      <c r="R147" s="876"/>
      <c r="S147" s="876"/>
      <c r="T147" s="876"/>
      <c r="U147" s="876"/>
      <c r="V147" s="876"/>
      <c r="W147" s="876"/>
      <c r="X147" s="876"/>
      <c r="Y147" s="876"/>
      <c r="Z147" s="876"/>
    </row>
    <row r="148" ht="15.75" customHeight="1">
      <c r="A148" s="876"/>
      <c r="B148" s="876"/>
      <c r="C148" s="876"/>
      <c r="D148" s="876"/>
      <c r="E148" s="876"/>
      <c r="F148" s="876"/>
      <c r="G148" s="876"/>
      <c r="H148" s="876"/>
      <c r="I148" s="876"/>
      <c r="J148" s="876"/>
      <c r="K148" s="876"/>
      <c r="L148" s="876"/>
      <c r="M148" s="876"/>
      <c r="N148" s="876"/>
      <c r="O148" s="876"/>
      <c r="P148" s="876"/>
      <c r="Q148" s="876"/>
      <c r="R148" s="876"/>
      <c r="S148" s="876"/>
      <c r="T148" s="876"/>
      <c r="U148" s="876"/>
      <c r="V148" s="876"/>
      <c r="W148" s="876"/>
      <c r="X148" s="876"/>
      <c r="Y148" s="876"/>
      <c r="Z148" s="876"/>
    </row>
    <row r="149" ht="15.75" customHeight="1">
      <c r="A149" s="876"/>
      <c r="B149" s="876"/>
      <c r="C149" s="876"/>
      <c r="D149" s="876"/>
      <c r="E149" s="876"/>
      <c r="F149" s="876"/>
      <c r="G149" s="876"/>
      <c r="H149" s="876"/>
      <c r="I149" s="876"/>
      <c r="J149" s="876"/>
      <c r="K149" s="876"/>
      <c r="L149" s="876"/>
      <c r="M149" s="876"/>
      <c r="N149" s="876"/>
      <c r="O149" s="876"/>
      <c r="P149" s="876"/>
      <c r="Q149" s="876"/>
      <c r="R149" s="876"/>
      <c r="S149" s="876"/>
      <c r="T149" s="876"/>
      <c r="U149" s="876"/>
      <c r="V149" s="876"/>
      <c r="W149" s="876"/>
      <c r="X149" s="876"/>
      <c r="Y149" s="876"/>
      <c r="Z149" s="876"/>
    </row>
    <row r="150" ht="15.75" customHeight="1">
      <c r="A150" s="876"/>
      <c r="B150" s="876"/>
      <c r="C150" s="876"/>
      <c r="D150" s="876"/>
      <c r="E150" s="876"/>
      <c r="F150" s="876"/>
      <c r="G150" s="876"/>
      <c r="H150" s="876"/>
      <c r="I150" s="876"/>
      <c r="J150" s="876"/>
      <c r="K150" s="876"/>
      <c r="L150" s="876"/>
      <c r="M150" s="876"/>
      <c r="N150" s="876"/>
      <c r="O150" s="876"/>
      <c r="P150" s="876"/>
      <c r="Q150" s="876"/>
      <c r="R150" s="876"/>
      <c r="S150" s="876"/>
      <c r="T150" s="876"/>
      <c r="U150" s="876"/>
      <c r="V150" s="876"/>
      <c r="W150" s="876"/>
      <c r="X150" s="876"/>
      <c r="Y150" s="876"/>
      <c r="Z150" s="876"/>
    </row>
    <row r="151" ht="15.75" customHeight="1">
      <c r="A151" s="876"/>
      <c r="B151" s="876"/>
      <c r="C151" s="876"/>
      <c r="D151" s="876"/>
      <c r="E151" s="876"/>
      <c r="F151" s="876"/>
      <c r="G151" s="876"/>
      <c r="H151" s="876"/>
      <c r="I151" s="876"/>
      <c r="J151" s="876"/>
      <c r="K151" s="876"/>
      <c r="L151" s="876"/>
      <c r="M151" s="876"/>
      <c r="N151" s="876"/>
      <c r="O151" s="876"/>
      <c r="P151" s="876"/>
      <c r="Q151" s="876"/>
      <c r="R151" s="876"/>
      <c r="S151" s="876"/>
      <c r="T151" s="876"/>
      <c r="U151" s="876"/>
      <c r="V151" s="876"/>
      <c r="W151" s="876"/>
      <c r="X151" s="876"/>
      <c r="Y151" s="876"/>
      <c r="Z151" s="876"/>
    </row>
    <row r="152" ht="15.75" customHeight="1">
      <c r="A152" s="876"/>
      <c r="B152" s="876"/>
      <c r="C152" s="876"/>
      <c r="D152" s="876"/>
      <c r="E152" s="876"/>
      <c r="F152" s="876"/>
      <c r="G152" s="876"/>
      <c r="H152" s="876"/>
      <c r="I152" s="876"/>
      <c r="J152" s="876"/>
      <c r="K152" s="876"/>
      <c r="L152" s="876"/>
      <c r="M152" s="876"/>
      <c r="N152" s="876"/>
      <c r="O152" s="876"/>
      <c r="P152" s="876"/>
      <c r="Q152" s="876"/>
      <c r="R152" s="876"/>
      <c r="S152" s="876"/>
      <c r="T152" s="876"/>
      <c r="U152" s="876"/>
      <c r="V152" s="876"/>
      <c r="W152" s="876"/>
      <c r="X152" s="876"/>
      <c r="Y152" s="876"/>
      <c r="Z152" s="876"/>
    </row>
    <row r="153" ht="15.75" customHeight="1">
      <c r="A153" s="876"/>
      <c r="B153" s="876"/>
      <c r="C153" s="876"/>
      <c r="D153" s="876"/>
      <c r="E153" s="876"/>
      <c r="F153" s="876"/>
      <c r="G153" s="876"/>
      <c r="H153" s="876"/>
      <c r="I153" s="876"/>
      <c r="J153" s="876"/>
      <c r="K153" s="876"/>
      <c r="L153" s="876"/>
      <c r="M153" s="876"/>
      <c r="N153" s="876"/>
      <c r="O153" s="876"/>
      <c r="P153" s="876"/>
      <c r="Q153" s="876"/>
      <c r="R153" s="876"/>
      <c r="S153" s="876"/>
      <c r="T153" s="876"/>
      <c r="U153" s="876"/>
      <c r="V153" s="876"/>
      <c r="W153" s="876"/>
      <c r="X153" s="876"/>
      <c r="Y153" s="876"/>
      <c r="Z153" s="876"/>
    </row>
    <row r="154" ht="15.75" customHeight="1">
      <c r="A154" s="876"/>
      <c r="B154" s="876"/>
      <c r="C154" s="876"/>
      <c r="D154" s="876"/>
      <c r="E154" s="876"/>
      <c r="F154" s="876"/>
      <c r="G154" s="876"/>
      <c r="H154" s="876"/>
      <c r="I154" s="876"/>
      <c r="J154" s="876"/>
      <c r="K154" s="876"/>
      <c r="L154" s="876"/>
      <c r="M154" s="876"/>
      <c r="N154" s="876"/>
      <c r="O154" s="876"/>
      <c r="P154" s="876"/>
      <c r="Q154" s="876"/>
      <c r="R154" s="876"/>
      <c r="S154" s="876"/>
      <c r="T154" s="876"/>
      <c r="U154" s="876"/>
      <c r="V154" s="876"/>
      <c r="W154" s="876"/>
      <c r="X154" s="876"/>
      <c r="Y154" s="876"/>
      <c r="Z154" s="876"/>
    </row>
    <row r="155" ht="15.75" customHeight="1">
      <c r="A155" s="876"/>
      <c r="B155" s="876"/>
      <c r="C155" s="876"/>
      <c r="D155" s="876"/>
      <c r="E155" s="876"/>
      <c r="F155" s="876"/>
      <c r="G155" s="876"/>
      <c r="H155" s="876"/>
      <c r="I155" s="876"/>
      <c r="J155" s="876"/>
      <c r="K155" s="876"/>
      <c r="L155" s="876"/>
      <c r="M155" s="876"/>
      <c r="N155" s="876"/>
      <c r="O155" s="876"/>
      <c r="P155" s="876"/>
      <c r="Q155" s="876"/>
      <c r="R155" s="876"/>
      <c r="S155" s="876"/>
      <c r="T155" s="876"/>
      <c r="U155" s="876"/>
      <c r="V155" s="876"/>
      <c r="W155" s="876"/>
      <c r="X155" s="876"/>
      <c r="Y155" s="876"/>
      <c r="Z155" s="876"/>
    </row>
    <row r="156" ht="15.75" customHeight="1">
      <c r="A156" s="876"/>
      <c r="B156" s="876"/>
      <c r="C156" s="876"/>
      <c r="D156" s="876"/>
      <c r="E156" s="876"/>
      <c r="F156" s="876"/>
      <c r="G156" s="876"/>
      <c r="H156" s="876"/>
      <c r="I156" s="876"/>
      <c r="J156" s="876"/>
      <c r="K156" s="876"/>
      <c r="L156" s="876"/>
      <c r="M156" s="876"/>
      <c r="N156" s="876"/>
      <c r="O156" s="876"/>
      <c r="P156" s="876"/>
      <c r="Q156" s="876"/>
      <c r="R156" s="876"/>
      <c r="S156" s="876"/>
      <c r="T156" s="876"/>
      <c r="U156" s="876"/>
      <c r="V156" s="876"/>
      <c r="W156" s="876"/>
      <c r="X156" s="876"/>
      <c r="Y156" s="876"/>
      <c r="Z156" s="876"/>
    </row>
    <row r="157" ht="15.75" customHeight="1">
      <c r="A157" s="876"/>
      <c r="B157" s="876"/>
      <c r="C157" s="876"/>
      <c r="D157" s="876"/>
      <c r="E157" s="876"/>
      <c r="F157" s="876"/>
      <c r="G157" s="876"/>
      <c r="H157" s="876"/>
      <c r="I157" s="876"/>
      <c r="J157" s="876"/>
      <c r="K157" s="876"/>
      <c r="L157" s="876"/>
      <c r="M157" s="876"/>
      <c r="N157" s="876"/>
      <c r="O157" s="876"/>
      <c r="P157" s="876"/>
      <c r="Q157" s="876"/>
      <c r="R157" s="876"/>
      <c r="S157" s="876"/>
      <c r="T157" s="876"/>
      <c r="U157" s="876"/>
      <c r="V157" s="876"/>
      <c r="W157" s="876"/>
      <c r="X157" s="876"/>
      <c r="Y157" s="876"/>
      <c r="Z157" s="876"/>
    </row>
    <row r="158" ht="15.75" customHeight="1">
      <c r="A158" s="876"/>
      <c r="B158" s="876"/>
      <c r="C158" s="876"/>
      <c r="D158" s="876"/>
      <c r="E158" s="876"/>
      <c r="F158" s="876"/>
      <c r="G158" s="876"/>
      <c r="H158" s="876"/>
      <c r="I158" s="876"/>
      <c r="J158" s="876"/>
      <c r="K158" s="876"/>
      <c r="L158" s="876"/>
      <c r="M158" s="876"/>
      <c r="N158" s="876"/>
      <c r="O158" s="876"/>
      <c r="P158" s="876"/>
      <c r="Q158" s="876"/>
      <c r="R158" s="876"/>
      <c r="S158" s="876"/>
      <c r="T158" s="876"/>
      <c r="U158" s="876"/>
      <c r="V158" s="876"/>
      <c r="W158" s="876"/>
      <c r="X158" s="876"/>
      <c r="Y158" s="876"/>
      <c r="Z158" s="876"/>
    </row>
    <row r="159" ht="15.75" customHeight="1">
      <c r="A159" s="876"/>
      <c r="B159" s="876"/>
      <c r="C159" s="876"/>
      <c r="D159" s="876"/>
      <c r="E159" s="876"/>
      <c r="F159" s="876"/>
      <c r="G159" s="876"/>
      <c r="H159" s="876"/>
      <c r="I159" s="876"/>
      <c r="J159" s="876"/>
      <c r="K159" s="876"/>
      <c r="L159" s="876"/>
      <c r="M159" s="876"/>
      <c r="N159" s="876"/>
      <c r="O159" s="876"/>
      <c r="P159" s="876"/>
      <c r="Q159" s="876"/>
      <c r="R159" s="876"/>
      <c r="S159" s="876"/>
      <c r="T159" s="876"/>
      <c r="U159" s="876"/>
      <c r="V159" s="876"/>
      <c r="W159" s="876"/>
      <c r="X159" s="876"/>
      <c r="Y159" s="876"/>
      <c r="Z159" s="876"/>
    </row>
    <row r="160" ht="15.75" customHeight="1">
      <c r="A160" s="876"/>
      <c r="B160" s="876"/>
      <c r="C160" s="876"/>
      <c r="D160" s="876"/>
      <c r="E160" s="876"/>
      <c r="F160" s="876"/>
      <c r="G160" s="876"/>
      <c r="H160" s="876"/>
      <c r="I160" s="876"/>
      <c r="J160" s="876"/>
      <c r="K160" s="876"/>
      <c r="L160" s="876"/>
      <c r="M160" s="876"/>
      <c r="N160" s="876"/>
      <c r="O160" s="876"/>
      <c r="P160" s="876"/>
      <c r="Q160" s="876"/>
      <c r="R160" s="876"/>
      <c r="S160" s="876"/>
      <c r="T160" s="876"/>
      <c r="U160" s="876"/>
      <c r="V160" s="876"/>
      <c r="W160" s="876"/>
      <c r="X160" s="876"/>
      <c r="Y160" s="876"/>
      <c r="Z160" s="876"/>
    </row>
    <row r="161" ht="15.75" customHeight="1">
      <c r="A161" s="876"/>
      <c r="B161" s="876"/>
      <c r="C161" s="876"/>
      <c r="D161" s="876"/>
      <c r="E161" s="876"/>
      <c r="F161" s="876"/>
      <c r="G161" s="876"/>
      <c r="H161" s="876"/>
      <c r="I161" s="876"/>
      <c r="J161" s="876"/>
      <c r="K161" s="876"/>
      <c r="L161" s="876"/>
      <c r="M161" s="876"/>
      <c r="N161" s="876"/>
      <c r="O161" s="876"/>
      <c r="P161" s="876"/>
      <c r="Q161" s="876"/>
      <c r="R161" s="876"/>
      <c r="S161" s="876"/>
      <c r="T161" s="876"/>
      <c r="U161" s="876"/>
      <c r="V161" s="876"/>
      <c r="W161" s="876"/>
      <c r="X161" s="876"/>
      <c r="Y161" s="876"/>
      <c r="Z161" s="876"/>
    </row>
    <row r="162" ht="15.75" customHeight="1">
      <c r="A162" s="876"/>
      <c r="B162" s="876"/>
      <c r="C162" s="876"/>
      <c r="D162" s="876"/>
      <c r="E162" s="876"/>
      <c r="F162" s="876"/>
      <c r="G162" s="876"/>
      <c r="H162" s="876"/>
      <c r="I162" s="876"/>
      <c r="J162" s="876"/>
      <c r="K162" s="876"/>
      <c r="L162" s="876"/>
      <c r="M162" s="876"/>
      <c r="N162" s="876"/>
      <c r="O162" s="876"/>
      <c r="P162" s="876"/>
      <c r="Q162" s="876"/>
      <c r="R162" s="876"/>
      <c r="S162" s="876"/>
      <c r="T162" s="876"/>
      <c r="U162" s="876"/>
      <c r="V162" s="876"/>
      <c r="W162" s="876"/>
      <c r="X162" s="876"/>
      <c r="Y162" s="876"/>
      <c r="Z162" s="876"/>
    </row>
    <row r="163" ht="15.75" customHeight="1">
      <c r="A163" s="876"/>
      <c r="B163" s="876"/>
      <c r="C163" s="876"/>
      <c r="D163" s="876"/>
      <c r="E163" s="876"/>
      <c r="F163" s="876"/>
      <c r="G163" s="876"/>
      <c r="H163" s="876"/>
      <c r="I163" s="876"/>
      <c r="J163" s="876"/>
      <c r="K163" s="876"/>
      <c r="L163" s="876"/>
      <c r="M163" s="876"/>
      <c r="N163" s="876"/>
      <c r="O163" s="876"/>
      <c r="P163" s="876"/>
      <c r="Q163" s="876"/>
      <c r="R163" s="876"/>
      <c r="S163" s="876"/>
      <c r="T163" s="876"/>
      <c r="U163" s="876"/>
      <c r="V163" s="876"/>
      <c r="W163" s="876"/>
      <c r="X163" s="876"/>
      <c r="Y163" s="876"/>
      <c r="Z163" s="876"/>
    </row>
    <row r="164" ht="15.75" customHeight="1">
      <c r="A164" s="876"/>
      <c r="B164" s="876"/>
      <c r="C164" s="876"/>
      <c r="D164" s="876"/>
      <c r="E164" s="876"/>
      <c r="F164" s="876"/>
      <c r="G164" s="876"/>
      <c r="H164" s="876"/>
      <c r="I164" s="876"/>
      <c r="J164" s="876"/>
      <c r="K164" s="876"/>
      <c r="L164" s="876"/>
      <c r="M164" s="876"/>
      <c r="N164" s="876"/>
      <c r="O164" s="876"/>
      <c r="P164" s="876"/>
      <c r="Q164" s="876"/>
      <c r="R164" s="876"/>
      <c r="S164" s="876"/>
      <c r="T164" s="876"/>
      <c r="U164" s="876"/>
      <c r="V164" s="876"/>
      <c r="W164" s="876"/>
      <c r="X164" s="876"/>
      <c r="Y164" s="876"/>
      <c r="Z164" s="876"/>
    </row>
    <row r="165" ht="15.75" customHeight="1">
      <c r="A165" s="876"/>
      <c r="B165" s="876"/>
      <c r="C165" s="876"/>
      <c r="D165" s="876"/>
      <c r="E165" s="876"/>
      <c r="F165" s="876"/>
      <c r="G165" s="876"/>
      <c r="H165" s="876"/>
      <c r="I165" s="876"/>
      <c r="J165" s="876"/>
      <c r="K165" s="876"/>
      <c r="L165" s="876"/>
      <c r="M165" s="876"/>
      <c r="N165" s="876"/>
      <c r="O165" s="876"/>
      <c r="P165" s="876"/>
      <c r="Q165" s="876"/>
      <c r="R165" s="876"/>
      <c r="S165" s="876"/>
      <c r="T165" s="876"/>
      <c r="U165" s="876"/>
      <c r="V165" s="876"/>
      <c r="W165" s="876"/>
      <c r="X165" s="876"/>
      <c r="Y165" s="876"/>
      <c r="Z165" s="876"/>
    </row>
    <row r="166" ht="15.75" customHeight="1">
      <c r="A166" s="876"/>
      <c r="B166" s="876"/>
      <c r="C166" s="876"/>
      <c r="D166" s="876"/>
      <c r="E166" s="876"/>
      <c r="F166" s="876"/>
      <c r="G166" s="876"/>
      <c r="H166" s="876"/>
      <c r="I166" s="876"/>
      <c r="J166" s="876"/>
      <c r="K166" s="876"/>
      <c r="L166" s="876"/>
      <c r="M166" s="876"/>
      <c r="N166" s="876"/>
      <c r="O166" s="876"/>
      <c r="P166" s="876"/>
      <c r="Q166" s="876"/>
      <c r="R166" s="876"/>
      <c r="S166" s="876"/>
      <c r="T166" s="876"/>
      <c r="U166" s="876"/>
      <c r="V166" s="876"/>
      <c r="W166" s="876"/>
      <c r="X166" s="876"/>
      <c r="Y166" s="876"/>
      <c r="Z166" s="876"/>
    </row>
    <row r="167" ht="15.75" customHeight="1">
      <c r="A167" s="876"/>
      <c r="B167" s="876"/>
      <c r="C167" s="876"/>
      <c r="D167" s="876"/>
      <c r="E167" s="876"/>
      <c r="F167" s="876"/>
      <c r="G167" s="876"/>
      <c r="H167" s="876"/>
      <c r="I167" s="876"/>
      <c r="J167" s="876"/>
      <c r="K167" s="876"/>
      <c r="L167" s="876"/>
      <c r="M167" s="876"/>
      <c r="N167" s="876"/>
      <c r="O167" s="876"/>
      <c r="P167" s="876"/>
      <c r="Q167" s="876"/>
      <c r="R167" s="876"/>
      <c r="S167" s="876"/>
      <c r="T167" s="876"/>
      <c r="U167" s="876"/>
      <c r="V167" s="876"/>
      <c r="W167" s="876"/>
      <c r="X167" s="876"/>
      <c r="Y167" s="876"/>
      <c r="Z167" s="876"/>
    </row>
    <row r="168" ht="15.75" customHeight="1">
      <c r="A168" s="876"/>
      <c r="B168" s="876"/>
      <c r="C168" s="876"/>
      <c r="D168" s="876"/>
      <c r="E168" s="876"/>
      <c r="F168" s="876"/>
      <c r="G168" s="876"/>
      <c r="H168" s="876"/>
      <c r="I168" s="876"/>
      <c r="J168" s="876"/>
      <c r="K168" s="876"/>
      <c r="L168" s="876"/>
      <c r="M168" s="876"/>
      <c r="N168" s="876"/>
      <c r="O168" s="876"/>
      <c r="P168" s="876"/>
      <c r="Q168" s="876"/>
      <c r="R168" s="876"/>
      <c r="S168" s="876"/>
      <c r="T168" s="876"/>
      <c r="U168" s="876"/>
      <c r="V168" s="876"/>
      <c r="W168" s="876"/>
      <c r="X168" s="876"/>
      <c r="Y168" s="876"/>
      <c r="Z168" s="876"/>
    </row>
    <row r="169" ht="15.75" customHeight="1">
      <c r="A169" s="876"/>
      <c r="B169" s="876"/>
      <c r="C169" s="876"/>
      <c r="D169" s="876"/>
      <c r="E169" s="876"/>
      <c r="F169" s="876"/>
      <c r="G169" s="876"/>
      <c r="H169" s="876"/>
      <c r="I169" s="876"/>
      <c r="J169" s="876"/>
      <c r="K169" s="876"/>
      <c r="L169" s="876"/>
      <c r="M169" s="876"/>
      <c r="N169" s="876"/>
      <c r="O169" s="876"/>
      <c r="P169" s="876"/>
      <c r="Q169" s="876"/>
      <c r="R169" s="876"/>
      <c r="S169" s="876"/>
      <c r="T169" s="876"/>
      <c r="U169" s="876"/>
      <c r="V169" s="876"/>
      <c r="W169" s="876"/>
      <c r="X169" s="876"/>
      <c r="Y169" s="876"/>
      <c r="Z169" s="876"/>
    </row>
    <row r="170" ht="15.75" customHeight="1">
      <c r="A170" s="876"/>
      <c r="B170" s="876"/>
      <c r="C170" s="876"/>
      <c r="D170" s="876"/>
      <c r="E170" s="876"/>
      <c r="F170" s="876"/>
      <c r="G170" s="876"/>
      <c r="H170" s="876"/>
      <c r="I170" s="876"/>
      <c r="J170" s="876"/>
      <c r="K170" s="876"/>
      <c r="L170" s="876"/>
      <c r="M170" s="876"/>
      <c r="N170" s="876"/>
      <c r="O170" s="876"/>
      <c r="P170" s="876"/>
      <c r="Q170" s="876"/>
      <c r="R170" s="876"/>
      <c r="S170" s="876"/>
      <c r="T170" s="876"/>
      <c r="U170" s="876"/>
      <c r="V170" s="876"/>
      <c r="W170" s="876"/>
      <c r="X170" s="876"/>
      <c r="Y170" s="876"/>
      <c r="Z170" s="876"/>
    </row>
    <row r="171" ht="15.75" customHeight="1">
      <c r="A171" s="876"/>
      <c r="B171" s="876"/>
      <c r="C171" s="876"/>
      <c r="D171" s="876"/>
      <c r="E171" s="876"/>
      <c r="F171" s="876"/>
      <c r="G171" s="876"/>
      <c r="H171" s="876"/>
      <c r="I171" s="876"/>
      <c r="J171" s="876"/>
      <c r="K171" s="876"/>
      <c r="L171" s="876"/>
      <c r="M171" s="876"/>
      <c r="N171" s="876"/>
      <c r="O171" s="876"/>
      <c r="P171" s="876"/>
      <c r="Q171" s="876"/>
      <c r="R171" s="876"/>
      <c r="S171" s="876"/>
      <c r="T171" s="876"/>
      <c r="U171" s="876"/>
      <c r="V171" s="876"/>
      <c r="W171" s="876"/>
      <c r="X171" s="876"/>
      <c r="Y171" s="876"/>
      <c r="Z171" s="876"/>
    </row>
    <row r="172" ht="15.75" customHeight="1">
      <c r="A172" s="876"/>
      <c r="B172" s="876"/>
      <c r="C172" s="876"/>
      <c r="D172" s="876"/>
      <c r="E172" s="876"/>
      <c r="F172" s="876"/>
      <c r="G172" s="876"/>
      <c r="H172" s="876"/>
      <c r="I172" s="876"/>
      <c r="J172" s="876"/>
      <c r="K172" s="876"/>
      <c r="L172" s="876"/>
      <c r="M172" s="876"/>
      <c r="N172" s="876"/>
      <c r="O172" s="876"/>
      <c r="P172" s="876"/>
      <c r="Q172" s="876"/>
      <c r="R172" s="876"/>
      <c r="S172" s="876"/>
      <c r="T172" s="876"/>
      <c r="U172" s="876"/>
      <c r="V172" s="876"/>
      <c r="W172" s="876"/>
      <c r="X172" s="876"/>
      <c r="Y172" s="876"/>
      <c r="Z172" s="876"/>
    </row>
    <row r="173" ht="15.75" customHeight="1">
      <c r="A173" s="876"/>
      <c r="B173" s="876"/>
      <c r="C173" s="876"/>
      <c r="D173" s="876"/>
      <c r="E173" s="876"/>
      <c r="F173" s="876"/>
      <c r="G173" s="876"/>
      <c r="H173" s="876"/>
      <c r="I173" s="876"/>
      <c r="J173" s="876"/>
      <c r="K173" s="876"/>
      <c r="L173" s="876"/>
      <c r="M173" s="876"/>
      <c r="N173" s="876"/>
      <c r="O173" s="876"/>
      <c r="P173" s="876"/>
      <c r="Q173" s="876"/>
      <c r="R173" s="876"/>
      <c r="S173" s="876"/>
      <c r="T173" s="876"/>
      <c r="U173" s="876"/>
      <c r="V173" s="876"/>
      <c r="W173" s="876"/>
      <c r="X173" s="876"/>
      <c r="Y173" s="876"/>
      <c r="Z173" s="876"/>
    </row>
    <row r="174" ht="15.75" customHeight="1">
      <c r="A174" s="876"/>
      <c r="B174" s="876"/>
      <c r="C174" s="876"/>
      <c r="D174" s="876"/>
      <c r="E174" s="876"/>
      <c r="F174" s="876"/>
      <c r="G174" s="876"/>
      <c r="H174" s="876"/>
      <c r="I174" s="876"/>
      <c r="J174" s="876"/>
      <c r="K174" s="876"/>
      <c r="L174" s="876"/>
      <c r="M174" s="876"/>
      <c r="N174" s="876"/>
      <c r="O174" s="876"/>
      <c r="P174" s="876"/>
      <c r="Q174" s="876"/>
      <c r="R174" s="876"/>
      <c r="S174" s="876"/>
      <c r="T174" s="876"/>
      <c r="U174" s="876"/>
      <c r="V174" s="876"/>
      <c r="W174" s="876"/>
      <c r="X174" s="876"/>
      <c r="Y174" s="876"/>
      <c r="Z174" s="876"/>
    </row>
    <row r="175" ht="15.75" customHeight="1">
      <c r="A175" s="876"/>
      <c r="B175" s="876"/>
      <c r="C175" s="876"/>
      <c r="D175" s="876"/>
      <c r="E175" s="876"/>
      <c r="F175" s="876"/>
      <c r="G175" s="876"/>
      <c r="H175" s="876"/>
      <c r="I175" s="876"/>
      <c r="J175" s="876"/>
      <c r="K175" s="876"/>
      <c r="L175" s="876"/>
      <c r="M175" s="876"/>
      <c r="N175" s="876"/>
      <c r="O175" s="876"/>
      <c r="P175" s="876"/>
      <c r="Q175" s="876"/>
      <c r="R175" s="876"/>
      <c r="S175" s="876"/>
      <c r="T175" s="876"/>
      <c r="U175" s="876"/>
      <c r="V175" s="876"/>
      <c r="W175" s="876"/>
      <c r="X175" s="876"/>
      <c r="Y175" s="876"/>
      <c r="Z175" s="876"/>
    </row>
    <row r="176" ht="15.75" customHeight="1">
      <c r="A176" s="876"/>
      <c r="B176" s="876"/>
      <c r="C176" s="876"/>
      <c r="D176" s="876"/>
      <c r="E176" s="876"/>
      <c r="F176" s="876"/>
      <c r="G176" s="876"/>
      <c r="H176" s="876"/>
      <c r="I176" s="876"/>
      <c r="J176" s="876"/>
      <c r="K176" s="876"/>
      <c r="L176" s="876"/>
      <c r="M176" s="876"/>
      <c r="N176" s="876"/>
      <c r="O176" s="876"/>
      <c r="P176" s="876"/>
      <c r="Q176" s="876"/>
      <c r="R176" s="876"/>
      <c r="S176" s="876"/>
      <c r="T176" s="876"/>
      <c r="U176" s="876"/>
      <c r="V176" s="876"/>
      <c r="W176" s="876"/>
      <c r="X176" s="876"/>
      <c r="Y176" s="876"/>
      <c r="Z176" s="876"/>
    </row>
    <row r="177" ht="15.75" customHeight="1">
      <c r="A177" s="876"/>
      <c r="B177" s="876"/>
      <c r="C177" s="876"/>
      <c r="D177" s="876"/>
      <c r="E177" s="876"/>
      <c r="F177" s="876"/>
      <c r="G177" s="876"/>
      <c r="H177" s="876"/>
      <c r="I177" s="876"/>
      <c r="J177" s="876"/>
      <c r="K177" s="876"/>
      <c r="L177" s="876"/>
      <c r="M177" s="876"/>
      <c r="N177" s="876"/>
      <c r="O177" s="876"/>
      <c r="P177" s="876"/>
      <c r="Q177" s="876"/>
      <c r="R177" s="876"/>
      <c r="S177" s="876"/>
      <c r="T177" s="876"/>
      <c r="U177" s="876"/>
      <c r="V177" s="876"/>
      <c r="W177" s="876"/>
      <c r="X177" s="876"/>
      <c r="Y177" s="876"/>
      <c r="Z177" s="876"/>
    </row>
    <row r="178" ht="15.75" customHeight="1">
      <c r="A178" s="876"/>
      <c r="B178" s="876"/>
      <c r="C178" s="876"/>
      <c r="D178" s="876"/>
      <c r="E178" s="876"/>
      <c r="F178" s="876"/>
      <c r="G178" s="876"/>
      <c r="H178" s="876"/>
      <c r="I178" s="876"/>
      <c r="J178" s="876"/>
      <c r="K178" s="876"/>
      <c r="L178" s="876"/>
      <c r="M178" s="876"/>
      <c r="N178" s="876"/>
      <c r="O178" s="876"/>
      <c r="P178" s="876"/>
      <c r="Q178" s="876"/>
      <c r="R178" s="876"/>
      <c r="S178" s="876"/>
      <c r="T178" s="876"/>
      <c r="U178" s="876"/>
      <c r="V178" s="876"/>
      <c r="W178" s="876"/>
      <c r="X178" s="876"/>
      <c r="Y178" s="876"/>
      <c r="Z178" s="876"/>
    </row>
    <row r="179" ht="15.75" customHeight="1">
      <c r="A179" s="876"/>
      <c r="B179" s="876"/>
      <c r="C179" s="876"/>
      <c r="D179" s="876"/>
      <c r="E179" s="876"/>
      <c r="F179" s="876"/>
      <c r="G179" s="876"/>
      <c r="H179" s="876"/>
      <c r="I179" s="876"/>
      <c r="J179" s="876"/>
      <c r="K179" s="876"/>
      <c r="L179" s="876"/>
      <c r="M179" s="876"/>
      <c r="N179" s="876"/>
      <c r="O179" s="876"/>
      <c r="P179" s="876"/>
      <c r="Q179" s="876"/>
      <c r="R179" s="876"/>
      <c r="S179" s="876"/>
      <c r="T179" s="876"/>
      <c r="U179" s="876"/>
      <c r="V179" s="876"/>
      <c r="W179" s="876"/>
      <c r="X179" s="876"/>
      <c r="Y179" s="876"/>
      <c r="Z179" s="876"/>
    </row>
    <row r="180" ht="15.75" customHeight="1">
      <c r="A180" s="876"/>
      <c r="B180" s="876"/>
      <c r="C180" s="876"/>
      <c r="D180" s="876"/>
      <c r="E180" s="876"/>
      <c r="F180" s="876"/>
      <c r="G180" s="876"/>
      <c r="H180" s="876"/>
      <c r="I180" s="876"/>
      <c r="J180" s="876"/>
      <c r="K180" s="876"/>
      <c r="L180" s="876"/>
      <c r="M180" s="876"/>
      <c r="N180" s="876"/>
      <c r="O180" s="876"/>
      <c r="P180" s="876"/>
      <c r="Q180" s="876"/>
      <c r="R180" s="876"/>
      <c r="S180" s="876"/>
      <c r="T180" s="876"/>
      <c r="U180" s="876"/>
      <c r="V180" s="876"/>
      <c r="W180" s="876"/>
      <c r="X180" s="876"/>
      <c r="Y180" s="876"/>
      <c r="Z180" s="876"/>
    </row>
    <row r="181" ht="15.75" customHeight="1">
      <c r="A181" s="876"/>
      <c r="B181" s="876"/>
      <c r="C181" s="876"/>
      <c r="D181" s="876"/>
      <c r="E181" s="876"/>
      <c r="F181" s="876"/>
      <c r="G181" s="876"/>
      <c r="H181" s="876"/>
      <c r="I181" s="876"/>
      <c r="J181" s="876"/>
      <c r="K181" s="876"/>
      <c r="L181" s="876"/>
      <c r="M181" s="876"/>
      <c r="N181" s="876"/>
      <c r="O181" s="876"/>
      <c r="P181" s="876"/>
      <c r="Q181" s="876"/>
      <c r="R181" s="876"/>
      <c r="S181" s="876"/>
      <c r="T181" s="876"/>
      <c r="U181" s="876"/>
      <c r="V181" s="876"/>
      <c r="W181" s="876"/>
      <c r="X181" s="876"/>
      <c r="Y181" s="876"/>
      <c r="Z181" s="876"/>
    </row>
    <row r="182" ht="15.75" customHeight="1">
      <c r="A182" s="876"/>
      <c r="B182" s="876"/>
      <c r="C182" s="876"/>
      <c r="D182" s="876"/>
      <c r="E182" s="876"/>
      <c r="F182" s="876"/>
      <c r="G182" s="876"/>
      <c r="H182" s="876"/>
      <c r="I182" s="876"/>
      <c r="J182" s="876"/>
      <c r="K182" s="876"/>
      <c r="L182" s="876"/>
      <c r="M182" s="876"/>
      <c r="N182" s="876"/>
      <c r="O182" s="876"/>
      <c r="P182" s="876"/>
      <c r="Q182" s="876"/>
      <c r="R182" s="876"/>
      <c r="S182" s="876"/>
      <c r="T182" s="876"/>
      <c r="U182" s="876"/>
      <c r="V182" s="876"/>
      <c r="W182" s="876"/>
      <c r="X182" s="876"/>
      <c r="Y182" s="876"/>
      <c r="Z182" s="876"/>
    </row>
    <row r="183" ht="15.75" customHeight="1">
      <c r="A183" s="876"/>
      <c r="B183" s="876"/>
      <c r="C183" s="876"/>
      <c r="D183" s="876"/>
      <c r="E183" s="876"/>
      <c r="F183" s="876"/>
      <c r="G183" s="876"/>
      <c r="H183" s="876"/>
      <c r="I183" s="876"/>
      <c r="J183" s="876"/>
      <c r="K183" s="876"/>
      <c r="L183" s="876"/>
      <c r="M183" s="876"/>
      <c r="N183" s="876"/>
      <c r="O183" s="876"/>
      <c r="P183" s="876"/>
      <c r="Q183" s="876"/>
      <c r="R183" s="876"/>
      <c r="S183" s="876"/>
      <c r="T183" s="876"/>
      <c r="U183" s="876"/>
      <c r="V183" s="876"/>
      <c r="W183" s="876"/>
      <c r="X183" s="876"/>
      <c r="Y183" s="876"/>
      <c r="Z183" s="876"/>
    </row>
    <row r="184" ht="15.75" customHeight="1">
      <c r="A184" s="876"/>
      <c r="B184" s="876"/>
      <c r="C184" s="876"/>
      <c r="D184" s="876"/>
      <c r="E184" s="876"/>
      <c r="F184" s="876"/>
      <c r="G184" s="876"/>
      <c r="H184" s="876"/>
      <c r="I184" s="876"/>
      <c r="J184" s="876"/>
      <c r="K184" s="876"/>
      <c r="L184" s="876"/>
      <c r="M184" s="876"/>
      <c r="N184" s="876"/>
      <c r="O184" s="876"/>
      <c r="P184" s="876"/>
      <c r="Q184" s="876"/>
      <c r="R184" s="876"/>
      <c r="S184" s="876"/>
      <c r="T184" s="876"/>
      <c r="U184" s="876"/>
      <c r="V184" s="876"/>
      <c r="W184" s="876"/>
      <c r="X184" s="876"/>
      <c r="Y184" s="876"/>
      <c r="Z184" s="876"/>
    </row>
    <row r="185" ht="15.75" customHeight="1">
      <c r="A185" s="876"/>
      <c r="B185" s="876"/>
      <c r="C185" s="876"/>
      <c r="D185" s="876"/>
      <c r="E185" s="876"/>
      <c r="F185" s="876"/>
      <c r="G185" s="876"/>
      <c r="H185" s="876"/>
      <c r="I185" s="876"/>
      <c r="J185" s="876"/>
      <c r="K185" s="876"/>
      <c r="L185" s="876"/>
      <c r="M185" s="876"/>
      <c r="N185" s="876"/>
      <c r="O185" s="876"/>
      <c r="P185" s="876"/>
      <c r="Q185" s="876"/>
      <c r="R185" s="876"/>
      <c r="S185" s="876"/>
      <c r="T185" s="876"/>
      <c r="U185" s="876"/>
      <c r="V185" s="876"/>
      <c r="W185" s="876"/>
      <c r="X185" s="876"/>
      <c r="Y185" s="876"/>
      <c r="Z185" s="876"/>
    </row>
    <row r="186" ht="15.75" customHeight="1">
      <c r="A186" s="876"/>
      <c r="B186" s="876"/>
      <c r="C186" s="876"/>
      <c r="D186" s="876"/>
      <c r="E186" s="876"/>
      <c r="F186" s="876"/>
      <c r="G186" s="876"/>
      <c r="H186" s="876"/>
      <c r="I186" s="876"/>
      <c r="J186" s="876"/>
      <c r="K186" s="876"/>
      <c r="L186" s="876"/>
      <c r="M186" s="876"/>
      <c r="N186" s="876"/>
      <c r="O186" s="876"/>
      <c r="P186" s="876"/>
      <c r="Q186" s="876"/>
      <c r="R186" s="876"/>
      <c r="S186" s="876"/>
      <c r="T186" s="876"/>
      <c r="U186" s="876"/>
      <c r="V186" s="876"/>
      <c r="W186" s="876"/>
      <c r="X186" s="876"/>
      <c r="Y186" s="876"/>
      <c r="Z186" s="876"/>
    </row>
    <row r="187" ht="15.75" customHeight="1">
      <c r="A187" s="876"/>
      <c r="B187" s="876"/>
      <c r="C187" s="876"/>
      <c r="D187" s="876"/>
      <c r="E187" s="876"/>
      <c r="F187" s="876"/>
      <c r="G187" s="876"/>
      <c r="H187" s="876"/>
      <c r="I187" s="876"/>
      <c r="J187" s="876"/>
      <c r="K187" s="876"/>
      <c r="L187" s="876"/>
      <c r="M187" s="876"/>
      <c r="N187" s="876"/>
      <c r="O187" s="876"/>
      <c r="P187" s="876"/>
      <c r="Q187" s="876"/>
      <c r="R187" s="876"/>
      <c r="S187" s="876"/>
      <c r="T187" s="876"/>
      <c r="U187" s="876"/>
      <c r="V187" s="876"/>
      <c r="W187" s="876"/>
      <c r="X187" s="876"/>
      <c r="Y187" s="876"/>
      <c r="Z187" s="876"/>
    </row>
    <row r="188" ht="15.75" customHeight="1">
      <c r="A188" s="876"/>
      <c r="B188" s="876"/>
      <c r="C188" s="876"/>
      <c r="D188" s="876"/>
      <c r="E188" s="876"/>
      <c r="F188" s="876"/>
      <c r="G188" s="876"/>
      <c r="H188" s="876"/>
      <c r="I188" s="876"/>
      <c r="J188" s="876"/>
      <c r="K188" s="876"/>
      <c r="L188" s="876"/>
      <c r="M188" s="876"/>
      <c r="N188" s="876"/>
      <c r="O188" s="876"/>
      <c r="P188" s="876"/>
      <c r="Q188" s="876"/>
      <c r="R188" s="876"/>
      <c r="S188" s="876"/>
      <c r="T188" s="876"/>
      <c r="U188" s="876"/>
      <c r="V188" s="876"/>
      <c r="W188" s="876"/>
      <c r="X188" s="876"/>
      <c r="Y188" s="876"/>
      <c r="Z188" s="876"/>
    </row>
    <row r="189" ht="15.75" customHeight="1">
      <c r="A189" s="876"/>
      <c r="B189" s="876"/>
      <c r="C189" s="876"/>
      <c r="D189" s="876"/>
      <c r="E189" s="876"/>
      <c r="F189" s="876"/>
      <c r="G189" s="876"/>
      <c r="H189" s="876"/>
      <c r="I189" s="876"/>
      <c r="J189" s="876"/>
      <c r="K189" s="876"/>
      <c r="L189" s="876"/>
      <c r="M189" s="876"/>
      <c r="N189" s="876"/>
      <c r="O189" s="876"/>
      <c r="P189" s="876"/>
      <c r="Q189" s="876"/>
      <c r="R189" s="876"/>
      <c r="S189" s="876"/>
      <c r="T189" s="876"/>
      <c r="U189" s="876"/>
      <c r="V189" s="876"/>
      <c r="W189" s="876"/>
      <c r="X189" s="876"/>
      <c r="Y189" s="876"/>
      <c r="Z189" s="876"/>
    </row>
    <row r="190" ht="15.75" customHeight="1">
      <c r="A190" s="876"/>
      <c r="B190" s="876"/>
      <c r="C190" s="876"/>
      <c r="D190" s="876"/>
      <c r="E190" s="876"/>
      <c r="F190" s="876"/>
      <c r="G190" s="876"/>
      <c r="H190" s="876"/>
      <c r="I190" s="876"/>
      <c r="J190" s="876"/>
      <c r="K190" s="876"/>
      <c r="L190" s="876"/>
      <c r="M190" s="876"/>
      <c r="N190" s="876"/>
      <c r="O190" s="876"/>
      <c r="P190" s="876"/>
      <c r="Q190" s="876"/>
      <c r="R190" s="876"/>
      <c r="S190" s="876"/>
      <c r="T190" s="876"/>
      <c r="U190" s="876"/>
      <c r="V190" s="876"/>
      <c r="W190" s="876"/>
      <c r="X190" s="876"/>
      <c r="Y190" s="876"/>
      <c r="Z190" s="876"/>
    </row>
    <row r="191" ht="15.75" customHeight="1">
      <c r="A191" s="876"/>
      <c r="B191" s="876"/>
      <c r="C191" s="876"/>
      <c r="D191" s="876"/>
      <c r="E191" s="876"/>
      <c r="F191" s="876"/>
      <c r="G191" s="876"/>
      <c r="H191" s="876"/>
      <c r="I191" s="876"/>
      <c r="J191" s="876"/>
      <c r="K191" s="876"/>
      <c r="L191" s="876"/>
      <c r="M191" s="876"/>
      <c r="N191" s="876"/>
      <c r="O191" s="876"/>
      <c r="P191" s="876"/>
      <c r="Q191" s="876"/>
      <c r="R191" s="876"/>
      <c r="S191" s="876"/>
      <c r="T191" s="876"/>
      <c r="U191" s="876"/>
      <c r="V191" s="876"/>
      <c r="W191" s="876"/>
      <c r="X191" s="876"/>
      <c r="Y191" s="876"/>
      <c r="Z191" s="876"/>
    </row>
    <row r="192" ht="15.75" customHeight="1">
      <c r="A192" s="876"/>
      <c r="B192" s="876"/>
      <c r="C192" s="876"/>
      <c r="D192" s="876"/>
      <c r="E192" s="876"/>
      <c r="F192" s="876"/>
      <c r="G192" s="876"/>
      <c r="H192" s="876"/>
      <c r="I192" s="876"/>
      <c r="J192" s="876"/>
      <c r="K192" s="876"/>
      <c r="L192" s="876"/>
      <c r="M192" s="876"/>
      <c r="N192" s="876"/>
      <c r="O192" s="876"/>
      <c r="P192" s="876"/>
      <c r="Q192" s="876"/>
      <c r="R192" s="876"/>
      <c r="S192" s="876"/>
      <c r="T192" s="876"/>
      <c r="U192" s="876"/>
      <c r="V192" s="876"/>
      <c r="W192" s="876"/>
      <c r="X192" s="876"/>
      <c r="Y192" s="876"/>
      <c r="Z192" s="876"/>
    </row>
    <row r="193" ht="15.75" customHeight="1">
      <c r="A193" s="876"/>
      <c r="B193" s="876"/>
      <c r="C193" s="876"/>
      <c r="D193" s="876"/>
      <c r="E193" s="876"/>
      <c r="F193" s="876"/>
      <c r="G193" s="876"/>
      <c r="H193" s="876"/>
      <c r="I193" s="876"/>
      <c r="J193" s="876"/>
      <c r="K193" s="876"/>
      <c r="L193" s="876"/>
      <c r="M193" s="876"/>
      <c r="N193" s="876"/>
      <c r="O193" s="876"/>
      <c r="P193" s="876"/>
      <c r="Q193" s="876"/>
      <c r="R193" s="876"/>
      <c r="S193" s="876"/>
      <c r="T193" s="876"/>
      <c r="U193" s="876"/>
      <c r="V193" s="876"/>
      <c r="W193" s="876"/>
      <c r="X193" s="876"/>
      <c r="Y193" s="876"/>
      <c r="Z193" s="876"/>
    </row>
    <row r="194" ht="15.75" customHeight="1">
      <c r="A194" s="876"/>
      <c r="B194" s="876"/>
      <c r="C194" s="876"/>
      <c r="D194" s="876"/>
      <c r="E194" s="876"/>
      <c r="F194" s="876"/>
      <c r="G194" s="876"/>
      <c r="H194" s="876"/>
      <c r="I194" s="876"/>
      <c r="J194" s="876"/>
      <c r="K194" s="876"/>
      <c r="L194" s="876"/>
      <c r="M194" s="876"/>
      <c r="N194" s="876"/>
      <c r="O194" s="876"/>
      <c r="P194" s="876"/>
      <c r="Q194" s="876"/>
      <c r="R194" s="876"/>
      <c r="S194" s="876"/>
      <c r="T194" s="876"/>
      <c r="U194" s="876"/>
      <c r="V194" s="876"/>
      <c r="W194" s="876"/>
      <c r="X194" s="876"/>
      <c r="Y194" s="876"/>
      <c r="Z194" s="876"/>
    </row>
    <row r="195" ht="15.75" customHeight="1">
      <c r="A195" s="876"/>
      <c r="B195" s="876"/>
      <c r="C195" s="876"/>
      <c r="D195" s="876"/>
      <c r="E195" s="876"/>
      <c r="F195" s="876"/>
      <c r="G195" s="876"/>
      <c r="H195" s="876"/>
      <c r="I195" s="876"/>
      <c r="J195" s="876"/>
      <c r="K195" s="876"/>
      <c r="L195" s="876"/>
      <c r="M195" s="876"/>
      <c r="N195" s="876"/>
      <c r="O195" s="876"/>
      <c r="P195" s="876"/>
      <c r="Q195" s="876"/>
      <c r="R195" s="876"/>
      <c r="S195" s="876"/>
      <c r="T195" s="876"/>
      <c r="U195" s="876"/>
      <c r="V195" s="876"/>
      <c r="W195" s="876"/>
      <c r="X195" s="876"/>
      <c r="Y195" s="876"/>
      <c r="Z195" s="876"/>
    </row>
    <row r="196" ht="15.75" customHeight="1">
      <c r="A196" s="876"/>
      <c r="B196" s="876"/>
      <c r="C196" s="876"/>
      <c r="D196" s="876"/>
      <c r="E196" s="876"/>
      <c r="F196" s="876"/>
      <c r="G196" s="876"/>
      <c r="H196" s="876"/>
      <c r="I196" s="876"/>
      <c r="J196" s="876"/>
      <c r="K196" s="876"/>
      <c r="L196" s="876"/>
      <c r="M196" s="876"/>
      <c r="N196" s="876"/>
      <c r="O196" s="876"/>
      <c r="P196" s="876"/>
      <c r="Q196" s="876"/>
      <c r="R196" s="876"/>
      <c r="S196" s="876"/>
      <c r="T196" s="876"/>
      <c r="U196" s="876"/>
      <c r="V196" s="876"/>
      <c r="W196" s="876"/>
      <c r="X196" s="876"/>
      <c r="Y196" s="876"/>
      <c r="Z196" s="876"/>
    </row>
    <row r="197" ht="15.75" customHeight="1">
      <c r="A197" s="876"/>
      <c r="B197" s="876"/>
      <c r="C197" s="876"/>
      <c r="D197" s="876"/>
      <c r="E197" s="876"/>
      <c r="F197" s="876"/>
      <c r="G197" s="876"/>
      <c r="H197" s="876"/>
      <c r="I197" s="876"/>
      <c r="J197" s="876"/>
      <c r="K197" s="876"/>
      <c r="L197" s="876"/>
      <c r="M197" s="876"/>
      <c r="N197" s="876"/>
      <c r="O197" s="876"/>
      <c r="P197" s="876"/>
      <c r="Q197" s="876"/>
      <c r="R197" s="876"/>
      <c r="S197" s="876"/>
      <c r="T197" s="876"/>
      <c r="U197" s="876"/>
      <c r="V197" s="876"/>
      <c r="W197" s="876"/>
      <c r="X197" s="876"/>
      <c r="Y197" s="876"/>
      <c r="Z197" s="876"/>
    </row>
    <row r="198" ht="15.75" customHeight="1">
      <c r="A198" s="876"/>
      <c r="B198" s="876"/>
      <c r="C198" s="876"/>
      <c r="D198" s="876"/>
      <c r="E198" s="876"/>
      <c r="F198" s="876"/>
      <c r="G198" s="876"/>
      <c r="H198" s="876"/>
      <c r="I198" s="876"/>
      <c r="J198" s="876"/>
      <c r="K198" s="876"/>
      <c r="L198" s="876"/>
      <c r="M198" s="876"/>
      <c r="N198" s="876"/>
      <c r="O198" s="876"/>
      <c r="P198" s="876"/>
      <c r="Q198" s="876"/>
      <c r="R198" s="876"/>
      <c r="S198" s="876"/>
      <c r="T198" s="876"/>
      <c r="U198" s="876"/>
      <c r="V198" s="876"/>
      <c r="W198" s="876"/>
      <c r="X198" s="876"/>
      <c r="Y198" s="876"/>
      <c r="Z198" s="876"/>
    </row>
    <row r="199" ht="15.75" customHeight="1">
      <c r="A199" s="876"/>
      <c r="B199" s="876"/>
      <c r="C199" s="876"/>
      <c r="D199" s="876"/>
      <c r="E199" s="876"/>
      <c r="F199" s="876"/>
      <c r="G199" s="876"/>
      <c r="H199" s="876"/>
      <c r="I199" s="876"/>
      <c r="J199" s="876"/>
      <c r="K199" s="876"/>
      <c r="L199" s="876"/>
      <c r="M199" s="876"/>
      <c r="N199" s="876"/>
      <c r="O199" s="876"/>
      <c r="P199" s="876"/>
      <c r="Q199" s="876"/>
      <c r="R199" s="876"/>
      <c r="S199" s="876"/>
      <c r="T199" s="876"/>
      <c r="U199" s="876"/>
      <c r="V199" s="876"/>
      <c r="W199" s="876"/>
      <c r="X199" s="876"/>
      <c r="Y199" s="876"/>
      <c r="Z199" s="876"/>
    </row>
    <row r="200" ht="15.75" customHeight="1">
      <c r="A200" s="876"/>
      <c r="B200" s="876"/>
      <c r="C200" s="876"/>
      <c r="D200" s="876"/>
      <c r="E200" s="876"/>
      <c r="F200" s="876"/>
      <c r="G200" s="876"/>
      <c r="H200" s="876"/>
      <c r="I200" s="876"/>
      <c r="J200" s="876"/>
      <c r="K200" s="876"/>
      <c r="L200" s="876"/>
      <c r="M200" s="876"/>
      <c r="N200" s="876"/>
      <c r="O200" s="876"/>
      <c r="P200" s="876"/>
      <c r="Q200" s="876"/>
      <c r="R200" s="876"/>
      <c r="S200" s="876"/>
      <c r="T200" s="876"/>
      <c r="U200" s="876"/>
      <c r="V200" s="876"/>
      <c r="W200" s="876"/>
      <c r="X200" s="876"/>
      <c r="Y200" s="876"/>
      <c r="Z200" s="876"/>
    </row>
    <row r="201" ht="15.75" customHeight="1">
      <c r="A201" s="876"/>
      <c r="B201" s="876"/>
      <c r="C201" s="876"/>
      <c r="D201" s="876"/>
      <c r="E201" s="876"/>
      <c r="F201" s="876"/>
      <c r="G201" s="876"/>
      <c r="H201" s="876"/>
      <c r="I201" s="876"/>
      <c r="J201" s="876"/>
      <c r="K201" s="876"/>
      <c r="L201" s="876"/>
      <c r="M201" s="876"/>
      <c r="N201" s="876"/>
      <c r="O201" s="876"/>
      <c r="P201" s="876"/>
      <c r="Q201" s="876"/>
      <c r="R201" s="876"/>
      <c r="S201" s="876"/>
      <c r="T201" s="876"/>
      <c r="U201" s="876"/>
      <c r="V201" s="876"/>
      <c r="W201" s="876"/>
      <c r="X201" s="876"/>
      <c r="Y201" s="876"/>
      <c r="Z201" s="876"/>
    </row>
    <row r="202" ht="15.75" customHeight="1">
      <c r="A202" s="876"/>
      <c r="B202" s="876"/>
      <c r="C202" s="876"/>
      <c r="D202" s="876"/>
      <c r="E202" s="876"/>
      <c r="F202" s="876"/>
      <c r="G202" s="876"/>
      <c r="H202" s="876"/>
      <c r="I202" s="876"/>
      <c r="J202" s="876"/>
      <c r="K202" s="876"/>
      <c r="L202" s="876"/>
      <c r="M202" s="876"/>
      <c r="N202" s="876"/>
      <c r="O202" s="876"/>
      <c r="P202" s="876"/>
      <c r="Q202" s="876"/>
      <c r="R202" s="876"/>
      <c r="S202" s="876"/>
      <c r="T202" s="876"/>
      <c r="U202" s="876"/>
      <c r="V202" s="876"/>
      <c r="W202" s="876"/>
      <c r="X202" s="876"/>
      <c r="Y202" s="876"/>
      <c r="Z202" s="876"/>
    </row>
    <row r="203" ht="15.75" customHeight="1">
      <c r="A203" s="876"/>
      <c r="B203" s="876"/>
      <c r="C203" s="876"/>
      <c r="D203" s="876"/>
      <c r="E203" s="876"/>
      <c r="F203" s="876"/>
      <c r="G203" s="876"/>
      <c r="H203" s="876"/>
      <c r="I203" s="876"/>
      <c r="J203" s="876"/>
      <c r="K203" s="876"/>
      <c r="L203" s="876"/>
      <c r="M203" s="876"/>
      <c r="N203" s="876"/>
      <c r="O203" s="876"/>
      <c r="P203" s="876"/>
      <c r="Q203" s="876"/>
      <c r="R203" s="876"/>
      <c r="S203" s="876"/>
      <c r="T203" s="876"/>
      <c r="U203" s="876"/>
      <c r="V203" s="876"/>
      <c r="W203" s="876"/>
      <c r="X203" s="876"/>
      <c r="Y203" s="876"/>
      <c r="Z203" s="876"/>
    </row>
    <row r="204" ht="15.75" customHeight="1">
      <c r="A204" s="876"/>
      <c r="B204" s="876"/>
      <c r="C204" s="876"/>
      <c r="D204" s="876"/>
      <c r="E204" s="876"/>
      <c r="F204" s="876"/>
      <c r="G204" s="876"/>
      <c r="H204" s="876"/>
      <c r="I204" s="876"/>
      <c r="J204" s="876"/>
      <c r="K204" s="876"/>
      <c r="L204" s="876"/>
      <c r="M204" s="876"/>
      <c r="N204" s="876"/>
      <c r="O204" s="876"/>
      <c r="P204" s="876"/>
      <c r="Q204" s="876"/>
      <c r="R204" s="876"/>
      <c r="S204" s="876"/>
      <c r="T204" s="876"/>
      <c r="U204" s="876"/>
      <c r="V204" s="876"/>
      <c r="W204" s="876"/>
      <c r="X204" s="876"/>
      <c r="Y204" s="876"/>
      <c r="Z204" s="876"/>
    </row>
    <row r="205" ht="15.75" customHeight="1">
      <c r="A205" s="876"/>
      <c r="B205" s="876"/>
      <c r="C205" s="876"/>
      <c r="D205" s="876"/>
      <c r="E205" s="876"/>
      <c r="F205" s="876"/>
      <c r="G205" s="876"/>
      <c r="H205" s="876"/>
      <c r="I205" s="876"/>
      <c r="J205" s="876"/>
      <c r="K205" s="876"/>
      <c r="L205" s="876"/>
      <c r="M205" s="876"/>
      <c r="N205" s="876"/>
      <c r="O205" s="876"/>
      <c r="P205" s="876"/>
      <c r="Q205" s="876"/>
      <c r="R205" s="876"/>
      <c r="S205" s="876"/>
      <c r="T205" s="876"/>
      <c r="U205" s="876"/>
      <c r="V205" s="876"/>
      <c r="W205" s="876"/>
      <c r="X205" s="876"/>
      <c r="Y205" s="876"/>
      <c r="Z205" s="876"/>
    </row>
    <row r="206" ht="15.75" customHeight="1">
      <c r="A206" s="876"/>
      <c r="B206" s="876"/>
      <c r="C206" s="876"/>
      <c r="D206" s="876"/>
      <c r="E206" s="876"/>
      <c r="F206" s="876"/>
      <c r="G206" s="876"/>
      <c r="H206" s="876"/>
      <c r="I206" s="876"/>
      <c r="J206" s="876"/>
      <c r="K206" s="876"/>
      <c r="L206" s="876"/>
      <c r="M206" s="876"/>
      <c r="N206" s="876"/>
      <c r="O206" s="876"/>
      <c r="P206" s="876"/>
      <c r="Q206" s="876"/>
      <c r="R206" s="876"/>
      <c r="S206" s="876"/>
      <c r="T206" s="876"/>
      <c r="U206" s="876"/>
      <c r="V206" s="876"/>
      <c r="W206" s="876"/>
      <c r="X206" s="876"/>
      <c r="Y206" s="876"/>
      <c r="Z206" s="876"/>
    </row>
    <row r="207" ht="15.75" customHeight="1">
      <c r="A207" s="876"/>
      <c r="B207" s="876"/>
      <c r="C207" s="876"/>
      <c r="D207" s="876"/>
      <c r="E207" s="876"/>
      <c r="F207" s="876"/>
      <c r="G207" s="876"/>
      <c r="H207" s="876"/>
      <c r="I207" s="876"/>
      <c r="J207" s="876"/>
      <c r="K207" s="876"/>
      <c r="L207" s="876"/>
      <c r="M207" s="876"/>
      <c r="N207" s="876"/>
      <c r="O207" s="876"/>
      <c r="P207" s="876"/>
      <c r="Q207" s="876"/>
      <c r="R207" s="876"/>
      <c r="S207" s="876"/>
      <c r="T207" s="876"/>
      <c r="U207" s="876"/>
      <c r="V207" s="876"/>
      <c r="W207" s="876"/>
      <c r="X207" s="876"/>
      <c r="Y207" s="876"/>
      <c r="Z207" s="876"/>
    </row>
    <row r="208" ht="15.75" customHeight="1">
      <c r="A208" s="876"/>
      <c r="B208" s="876"/>
      <c r="C208" s="876"/>
      <c r="D208" s="876"/>
      <c r="E208" s="876"/>
      <c r="F208" s="876"/>
      <c r="G208" s="876"/>
      <c r="H208" s="876"/>
      <c r="I208" s="876"/>
      <c r="J208" s="876"/>
      <c r="K208" s="876"/>
      <c r="L208" s="876"/>
      <c r="M208" s="876"/>
      <c r="N208" s="876"/>
      <c r="O208" s="876"/>
      <c r="P208" s="876"/>
      <c r="Q208" s="876"/>
      <c r="R208" s="876"/>
      <c r="S208" s="876"/>
      <c r="T208" s="876"/>
      <c r="U208" s="876"/>
      <c r="V208" s="876"/>
      <c r="W208" s="876"/>
      <c r="X208" s="876"/>
      <c r="Y208" s="876"/>
      <c r="Z208" s="876"/>
    </row>
    <row r="209" ht="15.75" customHeight="1">
      <c r="A209" s="876"/>
      <c r="B209" s="876"/>
      <c r="C209" s="876"/>
      <c r="D209" s="876"/>
      <c r="E209" s="876"/>
      <c r="F209" s="876"/>
      <c r="G209" s="876"/>
      <c r="H209" s="876"/>
      <c r="I209" s="876"/>
      <c r="J209" s="876"/>
      <c r="K209" s="876"/>
      <c r="L209" s="876"/>
      <c r="M209" s="876"/>
      <c r="N209" s="876"/>
      <c r="O209" s="876"/>
      <c r="P209" s="876"/>
      <c r="Q209" s="876"/>
      <c r="R209" s="876"/>
      <c r="S209" s="876"/>
      <c r="T209" s="876"/>
      <c r="U209" s="876"/>
      <c r="V209" s="876"/>
      <c r="W209" s="876"/>
      <c r="X209" s="876"/>
      <c r="Y209" s="876"/>
      <c r="Z209" s="876"/>
    </row>
    <row r="210" ht="15.75" customHeight="1">
      <c r="A210" s="876"/>
      <c r="B210" s="876"/>
      <c r="C210" s="876"/>
      <c r="D210" s="876"/>
      <c r="E210" s="876"/>
      <c r="F210" s="876"/>
      <c r="G210" s="876"/>
      <c r="H210" s="876"/>
      <c r="I210" s="876"/>
      <c r="J210" s="876"/>
      <c r="K210" s="876"/>
      <c r="L210" s="876"/>
      <c r="M210" s="876"/>
      <c r="N210" s="876"/>
      <c r="O210" s="876"/>
      <c r="P210" s="876"/>
      <c r="Q210" s="876"/>
      <c r="R210" s="876"/>
      <c r="S210" s="876"/>
      <c r="T210" s="876"/>
      <c r="U210" s="876"/>
      <c r="V210" s="876"/>
      <c r="W210" s="876"/>
      <c r="X210" s="876"/>
      <c r="Y210" s="876"/>
      <c r="Z210" s="876"/>
    </row>
    <row r="211" ht="15.75" customHeight="1">
      <c r="A211" s="876"/>
      <c r="B211" s="876"/>
      <c r="C211" s="876"/>
      <c r="D211" s="876"/>
      <c r="E211" s="876"/>
      <c r="F211" s="876"/>
      <c r="G211" s="876"/>
      <c r="H211" s="876"/>
      <c r="I211" s="876"/>
      <c r="J211" s="876"/>
      <c r="K211" s="876"/>
      <c r="L211" s="876"/>
      <c r="M211" s="876"/>
      <c r="N211" s="876"/>
      <c r="O211" s="876"/>
      <c r="P211" s="876"/>
      <c r="Q211" s="876"/>
      <c r="R211" s="876"/>
      <c r="S211" s="876"/>
      <c r="T211" s="876"/>
      <c r="U211" s="876"/>
      <c r="V211" s="876"/>
      <c r="W211" s="876"/>
      <c r="X211" s="876"/>
      <c r="Y211" s="876"/>
      <c r="Z211" s="876"/>
    </row>
    <row r="212" ht="15.75" customHeight="1">
      <c r="A212" s="876"/>
      <c r="B212" s="876"/>
      <c r="C212" s="876"/>
      <c r="D212" s="876"/>
      <c r="E212" s="876"/>
      <c r="F212" s="876"/>
      <c r="G212" s="876"/>
      <c r="H212" s="876"/>
      <c r="I212" s="876"/>
      <c r="J212" s="876"/>
      <c r="K212" s="876"/>
      <c r="L212" s="876"/>
      <c r="M212" s="876"/>
      <c r="N212" s="876"/>
      <c r="O212" s="876"/>
      <c r="P212" s="876"/>
      <c r="Q212" s="876"/>
      <c r="R212" s="876"/>
      <c r="S212" s="876"/>
      <c r="T212" s="876"/>
      <c r="U212" s="876"/>
      <c r="V212" s="876"/>
      <c r="W212" s="876"/>
      <c r="X212" s="876"/>
      <c r="Y212" s="876"/>
      <c r="Z212" s="876"/>
    </row>
    <row r="213" ht="15.75" customHeight="1">
      <c r="A213" s="876"/>
      <c r="B213" s="876"/>
      <c r="C213" s="876"/>
      <c r="D213" s="876"/>
      <c r="E213" s="876"/>
      <c r="F213" s="876"/>
      <c r="G213" s="876"/>
      <c r="H213" s="876"/>
      <c r="I213" s="876"/>
      <c r="J213" s="876"/>
      <c r="K213" s="876"/>
      <c r="L213" s="876"/>
      <c r="M213" s="876"/>
      <c r="N213" s="876"/>
      <c r="O213" s="876"/>
      <c r="P213" s="876"/>
      <c r="Q213" s="876"/>
      <c r="R213" s="876"/>
      <c r="S213" s="876"/>
      <c r="T213" s="876"/>
      <c r="U213" s="876"/>
      <c r="V213" s="876"/>
      <c r="W213" s="876"/>
      <c r="X213" s="876"/>
      <c r="Y213" s="876"/>
      <c r="Z213" s="876"/>
    </row>
    <row r="214" ht="15.75" customHeight="1">
      <c r="A214" s="876"/>
      <c r="B214" s="876"/>
      <c r="C214" s="876"/>
      <c r="D214" s="876"/>
      <c r="E214" s="876"/>
      <c r="F214" s="876"/>
      <c r="G214" s="876"/>
      <c r="H214" s="876"/>
      <c r="I214" s="876"/>
      <c r="J214" s="876"/>
      <c r="K214" s="876"/>
      <c r="L214" s="876"/>
      <c r="M214" s="876"/>
      <c r="N214" s="876"/>
      <c r="O214" s="876"/>
      <c r="P214" s="876"/>
      <c r="Q214" s="876"/>
      <c r="R214" s="876"/>
      <c r="S214" s="876"/>
      <c r="T214" s="876"/>
      <c r="U214" s="876"/>
      <c r="V214" s="876"/>
      <c r="W214" s="876"/>
      <c r="X214" s="876"/>
      <c r="Y214" s="876"/>
      <c r="Z214" s="876"/>
    </row>
    <row r="215" ht="15.75" customHeight="1">
      <c r="A215" s="876"/>
      <c r="B215" s="876"/>
      <c r="C215" s="876"/>
      <c r="D215" s="876"/>
      <c r="E215" s="876"/>
      <c r="F215" s="876"/>
      <c r="G215" s="876"/>
      <c r="H215" s="876"/>
      <c r="I215" s="876"/>
      <c r="J215" s="876"/>
      <c r="K215" s="876"/>
      <c r="L215" s="876"/>
      <c r="M215" s="876"/>
      <c r="N215" s="876"/>
      <c r="O215" s="876"/>
      <c r="P215" s="876"/>
      <c r="Q215" s="876"/>
      <c r="R215" s="876"/>
      <c r="S215" s="876"/>
      <c r="T215" s="876"/>
      <c r="U215" s="876"/>
      <c r="V215" s="876"/>
      <c r="W215" s="876"/>
      <c r="X215" s="876"/>
      <c r="Y215" s="876"/>
      <c r="Z215" s="876"/>
    </row>
    <row r="216" ht="15.75" customHeight="1">
      <c r="A216" s="876"/>
      <c r="B216" s="876"/>
      <c r="C216" s="876"/>
      <c r="D216" s="876"/>
      <c r="E216" s="876"/>
      <c r="F216" s="876"/>
      <c r="G216" s="876"/>
      <c r="H216" s="876"/>
      <c r="I216" s="876"/>
      <c r="J216" s="876"/>
      <c r="K216" s="876"/>
      <c r="L216" s="876"/>
      <c r="M216" s="876"/>
      <c r="N216" s="876"/>
      <c r="O216" s="876"/>
      <c r="P216" s="876"/>
      <c r="Q216" s="876"/>
      <c r="R216" s="876"/>
      <c r="S216" s="876"/>
      <c r="T216" s="876"/>
      <c r="U216" s="876"/>
      <c r="V216" s="876"/>
      <c r="W216" s="876"/>
      <c r="X216" s="876"/>
      <c r="Y216" s="876"/>
      <c r="Z216" s="876"/>
    </row>
    <row r="217" ht="15.75" customHeight="1">
      <c r="A217" s="876"/>
      <c r="B217" s="876"/>
      <c r="C217" s="876"/>
      <c r="D217" s="876"/>
      <c r="E217" s="876"/>
      <c r="F217" s="876"/>
      <c r="G217" s="876"/>
      <c r="H217" s="876"/>
      <c r="I217" s="876"/>
      <c r="J217" s="876"/>
      <c r="K217" s="876"/>
      <c r="L217" s="876"/>
      <c r="M217" s="876"/>
      <c r="N217" s="876"/>
      <c r="O217" s="876"/>
      <c r="P217" s="876"/>
      <c r="Q217" s="876"/>
      <c r="R217" s="876"/>
      <c r="S217" s="876"/>
      <c r="T217" s="876"/>
      <c r="U217" s="876"/>
      <c r="V217" s="876"/>
      <c r="W217" s="876"/>
      <c r="X217" s="876"/>
      <c r="Y217" s="876"/>
      <c r="Z217" s="876"/>
    </row>
    <row r="218" ht="15.75" customHeight="1">
      <c r="A218" s="876"/>
      <c r="B218" s="876"/>
      <c r="C218" s="876"/>
      <c r="D218" s="876"/>
      <c r="E218" s="876"/>
      <c r="F218" s="876"/>
      <c r="G218" s="876"/>
      <c r="H218" s="876"/>
      <c r="I218" s="876"/>
      <c r="J218" s="876"/>
      <c r="K218" s="876"/>
      <c r="L218" s="876"/>
      <c r="M218" s="876"/>
      <c r="N218" s="876"/>
      <c r="O218" s="876"/>
      <c r="P218" s="876"/>
      <c r="Q218" s="876"/>
      <c r="R218" s="876"/>
      <c r="S218" s="876"/>
      <c r="T218" s="876"/>
      <c r="U218" s="876"/>
      <c r="V218" s="876"/>
      <c r="W218" s="876"/>
      <c r="X218" s="876"/>
      <c r="Y218" s="876"/>
      <c r="Z218" s="876"/>
    </row>
    <row r="219" ht="15.75" customHeight="1">
      <c r="A219" s="876"/>
      <c r="B219" s="876"/>
      <c r="C219" s="876"/>
      <c r="D219" s="876"/>
      <c r="E219" s="876"/>
      <c r="F219" s="876"/>
      <c r="G219" s="876"/>
      <c r="H219" s="876"/>
      <c r="I219" s="876"/>
      <c r="J219" s="876"/>
      <c r="K219" s="876"/>
      <c r="L219" s="876"/>
      <c r="M219" s="876"/>
      <c r="N219" s="876"/>
      <c r="O219" s="876"/>
      <c r="P219" s="876"/>
      <c r="Q219" s="876"/>
      <c r="R219" s="876"/>
      <c r="S219" s="876"/>
      <c r="T219" s="876"/>
      <c r="U219" s="876"/>
      <c r="V219" s="876"/>
      <c r="W219" s="876"/>
      <c r="X219" s="876"/>
      <c r="Y219" s="876"/>
      <c r="Z219" s="876"/>
    </row>
    <row r="220" ht="15.75" customHeight="1">
      <c r="A220" s="876"/>
      <c r="B220" s="876"/>
      <c r="C220" s="876"/>
      <c r="D220" s="876"/>
      <c r="E220" s="876"/>
      <c r="F220" s="876"/>
      <c r="G220" s="876"/>
      <c r="H220" s="876"/>
      <c r="I220" s="876"/>
      <c r="J220" s="876"/>
      <c r="K220" s="876"/>
      <c r="L220" s="876"/>
      <c r="M220" s="876"/>
      <c r="N220" s="876"/>
      <c r="O220" s="876"/>
      <c r="P220" s="876"/>
      <c r="Q220" s="876"/>
      <c r="R220" s="876"/>
      <c r="S220" s="876"/>
      <c r="T220" s="876"/>
      <c r="U220" s="876"/>
      <c r="V220" s="876"/>
      <c r="W220" s="876"/>
      <c r="X220" s="876"/>
      <c r="Y220" s="876"/>
      <c r="Z220" s="876"/>
    </row>
    <row r="221" ht="15.75" customHeight="1">
      <c r="A221" s="876"/>
      <c r="B221" s="876"/>
      <c r="C221" s="876"/>
      <c r="D221" s="876"/>
      <c r="E221" s="876"/>
      <c r="F221" s="876"/>
      <c r="G221" s="876"/>
      <c r="H221" s="876"/>
      <c r="I221" s="876"/>
      <c r="J221" s="876"/>
      <c r="K221" s="876"/>
      <c r="L221" s="876"/>
      <c r="M221" s="876"/>
      <c r="N221" s="876"/>
      <c r="O221" s="876"/>
      <c r="P221" s="876"/>
      <c r="Q221" s="876"/>
      <c r="R221" s="876"/>
      <c r="S221" s="876"/>
      <c r="T221" s="876"/>
      <c r="U221" s="876"/>
      <c r="V221" s="876"/>
      <c r="W221" s="876"/>
      <c r="X221" s="876"/>
      <c r="Y221" s="876"/>
      <c r="Z221" s="876"/>
    </row>
    <row r="222" ht="15.75" customHeight="1">
      <c r="A222" s="876"/>
      <c r="B222" s="876"/>
      <c r="C222" s="876"/>
      <c r="D222" s="876"/>
      <c r="E222" s="876"/>
      <c r="F222" s="876"/>
      <c r="G222" s="876"/>
      <c r="H222" s="876"/>
      <c r="I222" s="876"/>
      <c r="J222" s="876"/>
      <c r="K222" s="876"/>
      <c r="L222" s="876"/>
      <c r="M222" s="876"/>
      <c r="N222" s="876"/>
      <c r="O222" s="876"/>
      <c r="P222" s="876"/>
      <c r="Q222" s="876"/>
      <c r="R222" s="876"/>
      <c r="S222" s="876"/>
      <c r="T222" s="876"/>
      <c r="U222" s="876"/>
      <c r="V222" s="876"/>
      <c r="W222" s="876"/>
      <c r="X222" s="876"/>
      <c r="Y222" s="876"/>
      <c r="Z222" s="876"/>
    </row>
    <row r="223" ht="15.75" customHeight="1">
      <c r="A223" s="876"/>
      <c r="B223" s="876"/>
      <c r="C223" s="876"/>
      <c r="D223" s="876"/>
      <c r="E223" s="876"/>
      <c r="F223" s="876"/>
      <c r="G223" s="876"/>
      <c r="H223" s="876"/>
      <c r="I223" s="876"/>
      <c r="J223" s="876"/>
      <c r="K223" s="876"/>
      <c r="L223" s="876"/>
      <c r="M223" s="876"/>
      <c r="N223" s="876"/>
      <c r="O223" s="876"/>
      <c r="P223" s="876"/>
      <c r="Q223" s="876"/>
      <c r="R223" s="876"/>
      <c r="S223" s="876"/>
      <c r="T223" s="876"/>
      <c r="U223" s="876"/>
      <c r="V223" s="876"/>
      <c r="W223" s="876"/>
      <c r="X223" s="876"/>
      <c r="Y223" s="876"/>
      <c r="Z223" s="876"/>
    </row>
    <row r="224" ht="15.75" customHeight="1">
      <c r="A224" s="876"/>
      <c r="B224" s="876"/>
      <c r="C224" s="876"/>
      <c r="D224" s="876"/>
      <c r="E224" s="876"/>
      <c r="F224" s="876"/>
      <c r="G224" s="876"/>
      <c r="H224" s="876"/>
      <c r="I224" s="876"/>
      <c r="J224" s="876"/>
      <c r="K224" s="876"/>
      <c r="L224" s="876"/>
      <c r="M224" s="876"/>
      <c r="N224" s="876"/>
      <c r="O224" s="876"/>
      <c r="P224" s="876"/>
      <c r="Q224" s="876"/>
      <c r="R224" s="876"/>
      <c r="S224" s="876"/>
      <c r="T224" s="876"/>
      <c r="U224" s="876"/>
      <c r="V224" s="876"/>
      <c r="W224" s="876"/>
      <c r="X224" s="876"/>
      <c r="Y224" s="876"/>
      <c r="Z224" s="876"/>
    </row>
    <row r="225" ht="15.75" customHeight="1">
      <c r="A225" s="876"/>
      <c r="B225" s="876"/>
      <c r="C225" s="876"/>
      <c r="D225" s="876"/>
      <c r="E225" s="876"/>
      <c r="F225" s="876"/>
      <c r="G225" s="876"/>
      <c r="H225" s="876"/>
      <c r="I225" s="876"/>
      <c r="J225" s="876"/>
      <c r="K225" s="876"/>
      <c r="L225" s="876"/>
      <c r="M225" s="876"/>
      <c r="N225" s="876"/>
      <c r="O225" s="876"/>
      <c r="P225" s="876"/>
      <c r="Q225" s="876"/>
      <c r="R225" s="876"/>
      <c r="S225" s="876"/>
      <c r="T225" s="876"/>
      <c r="U225" s="876"/>
      <c r="V225" s="876"/>
      <c r="W225" s="876"/>
      <c r="X225" s="876"/>
      <c r="Y225" s="876"/>
      <c r="Z225" s="876"/>
    </row>
    <row r="226" ht="15.75" customHeight="1">
      <c r="A226" s="876"/>
      <c r="B226" s="876"/>
      <c r="C226" s="876"/>
      <c r="D226" s="876"/>
      <c r="E226" s="876"/>
      <c r="F226" s="876"/>
      <c r="G226" s="876"/>
      <c r="H226" s="876"/>
      <c r="I226" s="876"/>
      <c r="J226" s="876"/>
      <c r="K226" s="876"/>
      <c r="L226" s="876"/>
      <c r="M226" s="876"/>
      <c r="N226" s="876"/>
      <c r="O226" s="876"/>
      <c r="P226" s="876"/>
      <c r="Q226" s="876"/>
      <c r="R226" s="876"/>
      <c r="S226" s="876"/>
      <c r="T226" s="876"/>
      <c r="U226" s="876"/>
      <c r="V226" s="876"/>
      <c r="W226" s="876"/>
      <c r="X226" s="876"/>
      <c r="Y226" s="876"/>
      <c r="Z226" s="876"/>
    </row>
    <row r="227" ht="15.75" customHeight="1">
      <c r="A227" s="876"/>
      <c r="B227" s="876"/>
      <c r="C227" s="876"/>
      <c r="D227" s="876"/>
      <c r="E227" s="876"/>
      <c r="F227" s="876"/>
      <c r="G227" s="876"/>
      <c r="H227" s="876"/>
      <c r="I227" s="876"/>
      <c r="J227" s="876"/>
      <c r="K227" s="876"/>
      <c r="L227" s="876"/>
      <c r="M227" s="876"/>
      <c r="N227" s="876"/>
      <c r="O227" s="876"/>
      <c r="P227" s="876"/>
      <c r="Q227" s="876"/>
      <c r="R227" s="876"/>
      <c r="S227" s="876"/>
      <c r="T227" s="876"/>
      <c r="U227" s="876"/>
      <c r="V227" s="876"/>
      <c r="W227" s="876"/>
      <c r="X227" s="876"/>
      <c r="Y227" s="876"/>
      <c r="Z227" s="876"/>
    </row>
    <row r="228" ht="15.75" customHeight="1">
      <c r="A228" s="876"/>
      <c r="B228" s="876"/>
      <c r="C228" s="876"/>
      <c r="D228" s="876"/>
      <c r="E228" s="876"/>
      <c r="F228" s="876"/>
      <c r="G228" s="876"/>
      <c r="H228" s="876"/>
      <c r="I228" s="876"/>
      <c r="J228" s="876"/>
      <c r="K228" s="876"/>
      <c r="L228" s="876"/>
      <c r="M228" s="876"/>
      <c r="N228" s="876"/>
      <c r="O228" s="876"/>
      <c r="P228" s="876"/>
      <c r="Q228" s="876"/>
      <c r="R228" s="876"/>
      <c r="S228" s="876"/>
      <c r="T228" s="876"/>
      <c r="U228" s="876"/>
      <c r="V228" s="876"/>
      <c r="W228" s="876"/>
      <c r="X228" s="876"/>
      <c r="Y228" s="876"/>
      <c r="Z228" s="876"/>
    </row>
    <row r="229" ht="15.75" customHeight="1">
      <c r="A229" s="876"/>
      <c r="B229" s="876"/>
      <c r="C229" s="876"/>
      <c r="D229" s="876"/>
      <c r="E229" s="876"/>
      <c r="F229" s="876"/>
      <c r="G229" s="876"/>
      <c r="H229" s="876"/>
      <c r="I229" s="876"/>
      <c r="J229" s="876"/>
      <c r="K229" s="876"/>
      <c r="L229" s="876"/>
      <c r="M229" s="876"/>
      <c r="N229" s="876"/>
      <c r="O229" s="876"/>
      <c r="P229" s="876"/>
      <c r="Q229" s="876"/>
      <c r="R229" s="876"/>
      <c r="S229" s="876"/>
      <c r="T229" s="876"/>
      <c r="U229" s="876"/>
      <c r="V229" s="876"/>
      <c r="W229" s="876"/>
      <c r="X229" s="876"/>
      <c r="Y229" s="876"/>
      <c r="Z229" s="876"/>
    </row>
    <row r="230" ht="15.75" customHeight="1">
      <c r="A230" s="876"/>
      <c r="B230" s="876"/>
      <c r="C230" s="876"/>
      <c r="D230" s="876"/>
      <c r="E230" s="876"/>
      <c r="F230" s="876"/>
      <c r="G230" s="876"/>
      <c r="H230" s="876"/>
      <c r="I230" s="876"/>
      <c r="J230" s="876"/>
      <c r="K230" s="876"/>
      <c r="L230" s="876"/>
      <c r="M230" s="876"/>
      <c r="N230" s="876"/>
      <c r="O230" s="876"/>
      <c r="P230" s="876"/>
      <c r="Q230" s="876"/>
      <c r="R230" s="876"/>
      <c r="S230" s="876"/>
      <c r="T230" s="876"/>
      <c r="U230" s="876"/>
      <c r="V230" s="876"/>
      <c r="W230" s="876"/>
      <c r="X230" s="876"/>
      <c r="Y230" s="876"/>
      <c r="Z230" s="876"/>
    </row>
    <row r="231" ht="15.75" customHeight="1">
      <c r="A231" s="876"/>
      <c r="B231" s="876"/>
      <c r="C231" s="876"/>
      <c r="D231" s="876"/>
      <c r="E231" s="876"/>
      <c r="F231" s="876"/>
      <c r="G231" s="876"/>
      <c r="H231" s="876"/>
      <c r="I231" s="876"/>
      <c r="J231" s="876"/>
      <c r="K231" s="876"/>
      <c r="L231" s="876"/>
      <c r="M231" s="876"/>
      <c r="N231" s="876"/>
      <c r="O231" s="876"/>
      <c r="P231" s="876"/>
      <c r="Q231" s="876"/>
      <c r="R231" s="876"/>
      <c r="S231" s="876"/>
      <c r="T231" s="876"/>
      <c r="U231" s="876"/>
      <c r="V231" s="876"/>
      <c r="W231" s="876"/>
      <c r="X231" s="876"/>
      <c r="Y231" s="876"/>
      <c r="Z231" s="876"/>
    </row>
    <row r="232" ht="15.75" customHeight="1">
      <c r="A232" s="876"/>
      <c r="B232" s="876"/>
      <c r="C232" s="876"/>
      <c r="D232" s="876"/>
      <c r="E232" s="876"/>
      <c r="F232" s="876"/>
      <c r="G232" s="876"/>
      <c r="H232" s="876"/>
      <c r="I232" s="876"/>
      <c r="J232" s="876"/>
      <c r="K232" s="876"/>
      <c r="L232" s="876"/>
      <c r="M232" s="876"/>
      <c r="N232" s="876"/>
      <c r="O232" s="876"/>
      <c r="P232" s="876"/>
      <c r="Q232" s="876"/>
      <c r="R232" s="876"/>
      <c r="S232" s="876"/>
      <c r="T232" s="876"/>
      <c r="U232" s="876"/>
      <c r="V232" s="876"/>
      <c r="W232" s="876"/>
      <c r="X232" s="876"/>
      <c r="Y232" s="876"/>
      <c r="Z232" s="876"/>
    </row>
    <row r="233" ht="15.75" customHeight="1">
      <c r="A233" s="876"/>
      <c r="B233" s="876"/>
      <c r="C233" s="876"/>
      <c r="D233" s="876"/>
      <c r="E233" s="876"/>
      <c r="F233" s="876"/>
      <c r="G233" s="876"/>
      <c r="H233" s="876"/>
      <c r="I233" s="876"/>
      <c r="J233" s="876"/>
      <c r="K233" s="876"/>
      <c r="L233" s="876"/>
      <c r="M233" s="876"/>
      <c r="N233" s="876"/>
      <c r="O233" s="876"/>
      <c r="P233" s="876"/>
      <c r="Q233" s="876"/>
      <c r="R233" s="876"/>
      <c r="S233" s="876"/>
      <c r="T233" s="876"/>
      <c r="U233" s="876"/>
      <c r="V233" s="876"/>
      <c r="W233" s="876"/>
      <c r="X233" s="876"/>
      <c r="Y233" s="876"/>
      <c r="Z233" s="876"/>
    </row>
    <row r="234" ht="15.75" customHeight="1">
      <c r="A234" s="876"/>
      <c r="B234" s="876"/>
      <c r="C234" s="876"/>
      <c r="D234" s="876"/>
      <c r="E234" s="876"/>
      <c r="F234" s="876"/>
      <c r="G234" s="876"/>
      <c r="H234" s="876"/>
      <c r="I234" s="876"/>
      <c r="J234" s="876"/>
      <c r="K234" s="876"/>
      <c r="L234" s="876"/>
      <c r="M234" s="876"/>
      <c r="N234" s="876"/>
      <c r="O234" s="876"/>
      <c r="P234" s="876"/>
      <c r="Q234" s="876"/>
      <c r="R234" s="876"/>
      <c r="S234" s="876"/>
      <c r="T234" s="876"/>
      <c r="U234" s="876"/>
      <c r="V234" s="876"/>
      <c r="W234" s="876"/>
      <c r="X234" s="876"/>
      <c r="Y234" s="876"/>
      <c r="Z234" s="876"/>
    </row>
    <row r="235" ht="15.75" customHeight="1">
      <c r="A235" s="876"/>
      <c r="B235" s="876"/>
      <c r="C235" s="876"/>
      <c r="D235" s="876"/>
      <c r="E235" s="876"/>
      <c r="F235" s="876"/>
      <c r="G235" s="876"/>
      <c r="H235" s="876"/>
      <c r="I235" s="876"/>
      <c r="J235" s="876"/>
      <c r="K235" s="876"/>
      <c r="L235" s="876"/>
      <c r="M235" s="876"/>
      <c r="N235" s="876"/>
      <c r="O235" s="876"/>
      <c r="P235" s="876"/>
      <c r="Q235" s="876"/>
      <c r="R235" s="876"/>
      <c r="S235" s="876"/>
      <c r="T235" s="876"/>
      <c r="U235" s="876"/>
      <c r="V235" s="876"/>
      <c r="W235" s="876"/>
      <c r="X235" s="876"/>
      <c r="Y235" s="876"/>
      <c r="Z235" s="876"/>
    </row>
    <row r="236" ht="15.75" customHeight="1">
      <c r="A236" s="876"/>
      <c r="B236" s="876"/>
      <c r="C236" s="876"/>
      <c r="D236" s="876"/>
      <c r="E236" s="876"/>
      <c r="F236" s="876"/>
      <c r="G236" s="876"/>
      <c r="H236" s="876"/>
      <c r="I236" s="876"/>
      <c r="J236" s="876"/>
      <c r="K236" s="876"/>
      <c r="L236" s="876"/>
      <c r="M236" s="876"/>
      <c r="N236" s="876"/>
      <c r="O236" s="876"/>
      <c r="P236" s="876"/>
      <c r="Q236" s="876"/>
      <c r="R236" s="876"/>
      <c r="S236" s="876"/>
      <c r="T236" s="876"/>
      <c r="U236" s="876"/>
      <c r="V236" s="876"/>
      <c r="W236" s="876"/>
      <c r="X236" s="876"/>
      <c r="Y236" s="876"/>
      <c r="Z236" s="876"/>
    </row>
    <row r="237" ht="15.75" customHeight="1">
      <c r="A237" s="876"/>
      <c r="B237" s="876"/>
      <c r="C237" s="876"/>
      <c r="D237" s="876"/>
      <c r="E237" s="876"/>
      <c r="F237" s="876"/>
      <c r="G237" s="876"/>
      <c r="H237" s="876"/>
      <c r="I237" s="876"/>
      <c r="J237" s="876"/>
      <c r="K237" s="876"/>
      <c r="L237" s="876"/>
      <c r="M237" s="876"/>
      <c r="N237" s="876"/>
      <c r="O237" s="876"/>
      <c r="P237" s="876"/>
      <c r="Q237" s="876"/>
      <c r="R237" s="876"/>
      <c r="S237" s="876"/>
      <c r="T237" s="876"/>
      <c r="U237" s="876"/>
      <c r="V237" s="876"/>
      <c r="W237" s="876"/>
      <c r="X237" s="876"/>
      <c r="Y237" s="876"/>
      <c r="Z237" s="876"/>
    </row>
    <row r="238" ht="15.75" customHeight="1">
      <c r="A238" s="876"/>
      <c r="B238" s="876"/>
      <c r="C238" s="876"/>
      <c r="D238" s="876"/>
      <c r="E238" s="876"/>
      <c r="F238" s="876"/>
      <c r="G238" s="876"/>
      <c r="H238" s="876"/>
      <c r="I238" s="876"/>
      <c r="J238" s="876"/>
      <c r="K238" s="876"/>
      <c r="L238" s="876"/>
      <c r="M238" s="876"/>
      <c r="N238" s="876"/>
      <c r="O238" s="876"/>
      <c r="P238" s="876"/>
      <c r="Q238" s="876"/>
      <c r="R238" s="876"/>
      <c r="S238" s="876"/>
      <c r="T238" s="876"/>
      <c r="U238" s="876"/>
      <c r="V238" s="876"/>
      <c r="W238" s="876"/>
      <c r="X238" s="876"/>
      <c r="Y238" s="876"/>
      <c r="Z238" s="876"/>
    </row>
    <row r="239" ht="15.75" customHeight="1">
      <c r="A239" s="876"/>
      <c r="B239" s="876"/>
      <c r="C239" s="876"/>
      <c r="D239" s="876"/>
      <c r="E239" s="876"/>
      <c r="F239" s="876"/>
      <c r="G239" s="876"/>
      <c r="H239" s="876"/>
      <c r="I239" s="876"/>
      <c r="J239" s="876"/>
      <c r="K239" s="876"/>
      <c r="L239" s="876"/>
      <c r="M239" s="876"/>
      <c r="N239" s="876"/>
      <c r="O239" s="876"/>
      <c r="P239" s="876"/>
      <c r="Q239" s="876"/>
      <c r="R239" s="876"/>
      <c r="S239" s="876"/>
      <c r="T239" s="876"/>
      <c r="U239" s="876"/>
      <c r="V239" s="876"/>
      <c r="W239" s="876"/>
      <c r="X239" s="876"/>
      <c r="Y239" s="876"/>
      <c r="Z239" s="876"/>
    </row>
    <row r="240" ht="15.75" customHeight="1">
      <c r="A240" s="876"/>
      <c r="B240" s="876"/>
      <c r="C240" s="876"/>
      <c r="D240" s="876"/>
      <c r="E240" s="876"/>
      <c r="F240" s="876"/>
      <c r="G240" s="876"/>
      <c r="H240" s="876"/>
      <c r="I240" s="876"/>
      <c r="J240" s="876"/>
      <c r="K240" s="876"/>
      <c r="L240" s="876"/>
      <c r="M240" s="876"/>
      <c r="N240" s="876"/>
      <c r="O240" s="876"/>
      <c r="P240" s="876"/>
      <c r="Q240" s="876"/>
      <c r="R240" s="876"/>
      <c r="S240" s="876"/>
      <c r="T240" s="876"/>
      <c r="U240" s="876"/>
      <c r="V240" s="876"/>
      <c r="W240" s="876"/>
      <c r="X240" s="876"/>
      <c r="Y240" s="876"/>
      <c r="Z240" s="876"/>
    </row>
    <row r="241" ht="15.75" customHeight="1">
      <c r="A241" s="876"/>
      <c r="B241" s="876"/>
      <c r="C241" s="876"/>
      <c r="D241" s="876"/>
      <c r="E241" s="876"/>
      <c r="F241" s="876"/>
      <c r="G241" s="876"/>
      <c r="H241" s="876"/>
      <c r="I241" s="876"/>
      <c r="J241" s="876"/>
      <c r="K241" s="876"/>
      <c r="L241" s="876"/>
      <c r="M241" s="876"/>
      <c r="N241" s="876"/>
      <c r="O241" s="876"/>
      <c r="P241" s="876"/>
      <c r="Q241" s="876"/>
      <c r="R241" s="876"/>
      <c r="S241" s="876"/>
      <c r="T241" s="876"/>
      <c r="U241" s="876"/>
      <c r="V241" s="876"/>
      <c r="W241" s="876"/>
      <c r="X241" s="876"/>
      <c r="Y241" s="876"/>
      <c r="Z241" s="876"/>
    </row>
    <row r="242" ht="15.75" customHeight="1">
      <c r="A242" s="876"/>
      <c r="B242" s="876"/>
      <c r="C242" s="876"/>
      <c r="D242" s="876"/>
      <c r="E242" s="876"/>
      <c r="F242" s="876"/>
      <c r="G242" s="876"/>
      <c r="H242" s="876"/>
      <c r="I242" s="876"/>
      <c r="J242" s="876"/>
      <c r="K242" s="876"/>
      <c r="L242" s="876"/>
      <c r="M242" s="876"/>
      <c r="N242" s="876"/>
      <c r="O242" s="876"/>
      <c r="P242" s="876"/>
      <c r="Q242" s="876"/>
      <c r="R242" s="876"/>
      <c r="S242" s="876"/>
      <c r="T242" s="876"/>
      <c r="U242" s="876"/>
      <c r="V242" s="876"/>
      <c r="W242" s="876"/>
      <c r="X242" s="876"/>
      <c r="Y242" s="876"/>
      <c r="Z242" s="876"/>
    </row>
    <row r="243" ht="15.75" customHeight="1">
      <c r="A243" s="876"/>
      <c r="B243" s="876"/>
      <c r="C243" s="876"/>
      <c r="D243" s="876"/>
      <c r="E243" s="876"/>
      <c r="F243" s="876"/>
      <c r="G243" s="876"/>
      <c r="H243" s="876"/>
      <c r="I243" s="876"/>
      <c r="J243" s="876"/>
      <c r="K243" s="876"/>
      <c r="L243" s="876"/>
      <c r="M243" s="876"/>
      <c r="N243" s="876"/>
      <c r="O243" s="876"/>
      <c r="P243" s="876"/>
      <c r="Q243" s="876"/>
      <c r="R243" s="876"/>
      <c r="S243" s="876"/>
      <c r="T243" s="876"/>
      <c r="U243" s="876"/>
      <c r="V243" s="876"/>
      <c r="W243" s="876"/>
      <c r="X243" s="876"/>
      <c r="Y243" s="876"/>
      <c r="Z243" s="876"/>
    </row>
    <row r="244" ht="15.75" customHeight="1">
      <c r="A244" s="876"/>
      <c r="B244" s="876"/>
      <c r="C244" s="876"/>
      <c r="D244" s="876"/>
      <c r="E244" s="876"/>
      <c r="F244" s="876"/>
      <c r="G244" s="876"/>
      <c r="H244" s="876"/>
      <c r="I244" s="876"/>
      <c r="J244" s="876"/>
      <c r="K244" s="876"/>
      <c r="L244" s="876"/>
      <c r="M244" s="876"/>
      <c r="N244" s="876"/>
      <c r="O244" s="876"/>
      <c r="P244" s="876"/>
      <c r="Q244" s="876"/>
      <c r="R244" s="876"/>
      <c r="S244" s="876"/>
      <c r="T244" s="876"/>
      <c r="U244" s="876"/>
      <c r="V244" s="876"/>
      <c r="W244" s="876"/>
      <c r="X244" s="876"/>
      <c r="Y244" s="876"/>
      <c r="Z244" s="876"/>
    </row>
    <row r="245" ht="15.75" customHeight="1">
      <c r="A245" s="876"/>
      <c r="B245" s="876"/>
      <c r="C245" s="876"/>
      <c r="D245" s="876"/>
      <c r="E245" s="876"/>
      <c r="F245" s="876"/>
      <c r="G245" s="876"/>
      <c r="H245" s="876"/>
      <c r="I245" s="876"/>
      <c r="J245" s="876"/>
      <c r="K245" s="876"/>
      <c r="L245" s="876"/>
      <c r="M245" s="876"/>
      <c r="N245" s="876"/>
      <c r="O245" s="876"/>
      <c r="P245" s="876"/>
      <c r="Q245" s="876"/>
      <c r="R245" s="876"/>
      <c r="S245" s="876"/>
      <c r="T245" s="876"/>
      <c r="U245" s="876"/>
      <c r="V245" s="876"/>
      <c r="W245" s="876"/>
      <c r="X245" s="876"/>
      <c r="Y245" s="876"/>
      <c r="Z245" s="876"/>
    </row>
    <row r="246" ht="15.75" customHeight="1">
      <c r="A246" s="876"/>
      <c r="B246" s="876"/>
      <c r="C246" s="876"/>
      <c r="D246" s="876"/>
      <c r="E246" s="876"/>
      <c r="F246" s="876"/>
      <c r="G246" s="876"/>
      <c r="H246" s="876"/>
      <c r="I246" s="876"/>
      <c r="J246" s="876"/>
      <c r="K246" s="876"/>
      <c r="L246" s="876"/>
      <c r="M246" s="876"/>
      <c r="N246" s="876"/>
      <c r="O246" s="876"/>
      <c r="P246" s="876"/>
      <c r="Q246" s="876"/>
      <c r="R246" s="876"/>
      <c r="S246" s="876"/>
      <c r="T246" s="876"/>
      <c r="U246" s="876"/>
      <c r="V246" s="876"/>
      <c r="W246" s="876"/>
      <c r="X246" s="876"/>
      <c r="Y246" s="876"/>
      <c r="Z246" s="876"/>
    </row>
    <row r="247" ht="15.75" customHeight="1">
      <c r="A247" s="876"/>
      <c r="B247" s="876"/>
      <c r="C247" s="876"/>
      <c r="D247" s="876"/>
      <c r="E247" s="876"/>
      <c r="F247" s="876"/>
      <c r="G247" s="876"/>
      <c r="H247" s="876"/>
      <c r="I247" s="876"/>
      <c r="J247" s="876"/>
      <c r="K247" s="876"/>
      <c r="L247" s="876"/>
      <c r="M247" s="876"/>
      <c r="N247" s="876"/>
      <c r="O247" s="876"/>
      <c r="P247" s="876"/>
      <c r="Q247" s="876"/>
      <c r="R247" s="876"/>
      <c r="S247" s="876"/>
      <c r="T247" s="876"/>
      <c r="U247" s="876"/>
      <c r="V247" s="876"/>
      <c r="W247" s="876"/>
      <c r="X247" s="876"/>
      <c r="Y247" s="876"/>
      <c r="Z247" s="876"/>
    </row>
    <row r="248" ht="15.75" customHeight="1">
      <c r="A248" s="876"/>
      <c r="B248" s="876"/>
      <c r="C248" s="876"/>
      <c r="D248" s="876"/>
      <c r="E248" s="876"/>
      <c r="F248" s="876"/>
      <c r="G248" s="876"/>
      <c r="H248" s="876"/>
      <c r="I248" s="876"/>
      <c r="J248" s="876"/>
      <c r="K248" s="876"/>
      <c r="L248" s="876"/>
      <c r="M248" s="876"/>
      <c r="N248" s="876"/>
      <c r="O248" s="876"/>
      <c r="P248" s="876"/>
      <c r="Q248" s="876"/>
      <c r="R248" s="876"/>
      <c r="S248" s="876"/>
      <c r="T248" s="876"/>
      <c r="U248" s="876"/>
      <c r="V248" s="876"/>
      <c r="W248" s="876"/>
      <c r="X248" s="876"/>
      <c r="Y248" s="876"/>
      <c r="Z248" s="876"/>
    </row>
    <row r="249" ht="15.75" customHeight="1">
      <c r="A249" s="876"/>
      <c r="B249" s="876"/>
      <c r="C249" s="876"/>
      <c r="D249" s="876"/>
      <c r="E249" s="876"/>
      <c r="F249" s="876"/>
      <c r="G249" s="876"/>
      <c r="H249" s="876"/>
      <c r="I249" s="876"/>
      <c r="J249" s="876"/>
      <c r="K249" s="876"/>
      <c r="L249" s="876"/>
      <c r="M249" s="876"/>
      <c r="N249" s="876"/>
      <c r="O249" s="876"/>
      <c r="P249" s="876"/>
      <c r="Q249" s="876"/>
      <c r="R249" s="876"/>
      <c r="S249" s="876"/>
      <c r="T249" s="876"/>
      <c r="U249" s="876"/>
      <c r="V249" s="876"/>
      <c r="W249" s="876"/>
      <c r="X249" s="876"/>
      <c r="Y249" s="876"/>
      <c r="Z249" s="876"/>
    </row>
    <row r="250" ht="15.75" customHeight="1">
      <c r="A250" s="876"/>
      <c r="B250" s="876"/>
      <c r="C250" s="876"/>
      <c r="D250" s="876"/>
      <c r="E250" s="876"/>
      <c r="F250" s="876"/>
      <c r="G250" s="876"/>
      <c r="H250" s="876"/>
      <c r="I250" s="876"/>
      <c r="J250" s="876"/>
      <c r="K250" s="876"/>
      <c r="L250" s="876"/>
      <c r="M250" s="876"/>
      <c r="N250" s="876"/>
      <c r="O250" s="876"/>
      <c r="P250" s="876"/>
      <c r="Q250" s="876"/>
      <c r="R250" s="876"/>
      <c r="S250" s="876"/>
      <c r="T250" s="876"/>
      <c r="U250" s="876"/>
      <c r="V250" s="876"/>
      <c r="W250" s="876"/>
      <c r="X250" s="876"/>
      <c r="Y250" s="876"/>
      <c r="Z250" s="876"/>
    </row>
    <row r="251" ht="15.75" customHeight="1">
      <c r="A251" s="876"/>
      <c r="B251" s="876"/>
      <c r="C251" s="876"/>
      <c r="D251" s="876"/>
      <c r="E251" s="876"/>
      <c r="F251" s="876"/>
      <c r="G251" s="876"/>
      <c r="H251" s="876"/>
      <c r="I251" s="876"/>
      <c r="J251" s="876"/>
      <c r="K251" s="876"/>
      <c r="L251" s="876"/>
      <c r="M251" s="876"/>
      <c r="N251" s="876"/>
      <c r="O251" s="876"/>
      <c r="P251" s="876"/>
      <c r="Q251" s="876"/>
      <c r="R251" s="876"/>
      <c r="S251" s="876"/>
      <c r="T251" s="876"/>
      <c r="U251" s="876"/>
      <c r="V251" s="876"/>
      <c r="W251" s="876"/>
      <c r="X251" s="876"/>
      <c r="Y251" s="876"/>
      <c r="Z251" s="876"/>
    </row>
    <row r="252" ht="15.75" customHeight="1">
      <c r="A252" s="876"/>
      <c r="B252" s="876"/>
      <c r="C252" s="876"/>
      <c r="D252" s="876"/>
      <c r="E252" s="876"/>
      <c r="F252" s="876"/>
      <c r="G252" s="876"/>
      <c r="H252" s="876"/>
      <c r="I252" s="876"/>
      <c r="J252" s="876"/>
      <c r="K252" s="876"/>
      <c r="L252" s="876"/>
      <c r="M252" s="876"/>
      <c r="N252" s="876"/>
      <c r="O252" s="876"/>
      <c r="P252" s="876"/>
      <c r="Q252" s="876"/>
      <c r="R252" s="876"/>
      <c r="S252" s="876"/>
      <c r="T252" s="876"/>
      <c r="U252" s="876"/>
      <c r="V252" s="876"/>
      <c r="W252" s="876"/>
      <c r="X252" s="876"/>
      <c r="Y252" s="876"/>
      <c r="Z252" s="876"/>
    </row>
    <row r="253" ht="15.75" customHeight="1">
      <c r="A253" s="876"/>
      <c r="B253" s="876"/>
      <c r="C253" s="876"/>
      <c r="D253" s="876"/>
      <c r="E253" s="876"/>
      <c r="F253" s="876"/>
      <c r="G253" s="876"/>
      <c r="H253" s="876"/>
      <c r="I253" s="876"/>
      <c r="J253" s="876"/>
      <c r="K253" s="876"/>
      <c r="L253" s="876"/>
      <c r="M253" s="876"/>
      <c r="N253" s="876"/>
      <c r="O253" s="876"/>
      <c r="P253" s="876"/>
      <c r="Q253" s="876"/>
      <c r="R253" s="876"/>
      <c r="S253" s="876"/>
      <c r="T253" s="876"/>
      <c r="U253" s="876"/>
      <c r="V253" s="876"/>
      <c r="W253" s="876"/>
      <c r="X253" s="876"/>
      <c r="Y253" s="876"/>
      <c r="Z253" s="876"/>
    </row>
    <row r="254" ht="15.75" customHeight="1">
      <c r="A254" s="876"/>
      <c r="B254" s="876"/>
      <c r="C254" s="876"/>
      <c r="D254" s="876"/>
      <c r="E254" s="876"/>
      <c r="F254" s="876"/>
      <c r="G254" s="876"/>
      <c r="H254" s="876"/>
      <c r="I254" s="876"/>
      <c r="J254" s="876"/>
      <c r="K254" s="876"/>
      <c r="L254" s="876"/>
      <c r="M254" s="876"/>
      <c r="N254" s="876"/>
      <c r="O254" s="876"/>
      <c r="P254" s="876"/>
      <c r="Q254" s="876"/>
      <c r="R254" s="876"/>
      <c r="S254" s="876"/>
      <c r="T254" s="876"/>
      <c r="U254" s="876"/>
      <c r="V254" s="876"/>
      <c r="W254" s="876"/>
      <c r="X254" s="876"/>
      <c r="Y254" s="876"/>
      <c r="Z254" s="876"/>
    </row>
    <row r="255" ht="15.75" customHeight="1">
      <c r="A255" s="876"/>
      <c r="B255" s="876"/>
      <c r="C255" s="876"/>
      <c r="D255" s="876"/>
      <c r="E255" s="876"/>
      <c r="F255" s="876"/>
      <c r="G255" s="876"/>
      <c r="H255" s="876"/>
      <c r="I255" s="876"/>
      <c r="J255" s="876"/>
      <c r="K255" s="876"/>
      <c r="L255" s="876"/>
      <c r="M255" s="876"/>
      <c r="N255" s="876"/>
      <c r="O255" s="876"/>
      <c r="P255" s="876"/>
      <c r="Q255" s="876"/>
      <c r="R255" s="876"/>
      <c r="S255" s="876"/>
      <c r="T255" s="876"/>
      <c r="U255" s="876"/>
      <c r="V255" s="876"/>
      <c r="W255" s="876"/>
      <c r="X255" s="876"/>
      <c r="Y255" s="876"/>
      <c r="Z255" s="876"/>
    </row>
    <row r="256" ht="15.75" customHeight="1">
      <c r="A256" s="876"/>
      <c r="B256" s="876"/>
      <c r="C256" s="876"/>
      <c r="D256" s="876"/>
      <c r="E256" s="876"/>
      <c r="F256" s="876"/>
      <c r="G256" s="876"/>
      <c r="H256" s="876"/>
      <c r="I256" s="876"/>
      <c r="J256" s="876"/>
      <c r="K256" s="876"/>
      <c r="L256" s="876"/>
      <c r="M256" s="876"/>
      <c r="N256" s="876"/>
      <c r="O256" s="876"/>
      <c r="P256" s="876"/>
      <c r="Q256" s="876"/>
      <c r="R256" s="876"/>
      <c r="S256" s="876"/>
      <c r="T256" s="876"/>
      <c r="U256" s="876"/>
      <c r="V256" s="876"/>
      <c r="W256" s="876"/>
      <c r="X256" s="876"/>
      <c r="Y256" s="876"/>
      <c r="Z256" s="876"/>
    </row>
    <row r="257" ht="15.75" customHeight="1">
      <c r="A257" s="876"/>
      <c r="B257" s="876"/>
      <c r="C257" s="876"/>
      <c r="D257" s="876"/>
      <c r="E257" s="876"/>
      <c r="F257" s="876"/>
      <c r="G257" s="876"/>
      <c r="H257" s="876"/>
      <c r="I257" s="876"/>
      <c r="J257" s="876"/>
      <c r="K257" s="876"/>
      <c r="L257" s="876"/>
      <c r="M257" s="876"/>
      <c r="N257" s="876"/>
      <c r="O257" s="876"/>
      <c r="P257" s="876"/>
      <c r="Q257" s="876"/>
      <c r="R257" s="876"/>
      <c r="S257" s="876"/>
      <c r="T257" s="876"/>
      <c r="U257" s="876"/>
      <c r="V257" s="876"/>
      <c r="W257" s="876"/>
      <c r="X257" s="876"/>
      <c r="Y257" s="876"/>
      <c r="Z257" s="876"/>
    </row>
    <row r="258" ht="15.75" customHeight="1">
      <c r="A258" s="876"/>
      <c r="B258" s="876"/>
      <c r="C258" s="876"/>
      <c r="D258" s="876"/>
      <c r="E258" s="876"/>
      <c r="F258" s="876"/>
      <c r="G258" s="876"/>
      <c r="H258" s="876"/>
      <c r="I258" s="876"/>
      <c r="J258" s="876"/>
      <c r="K258" s="876"/>
      <c r="L258" s="876"/>
      <c r="M258" s="876"/>
      <c r="N258" s="876"/>
      <c r="O258" s="876"/>
      <c r="P258" s="876"/>
      <c r="Q258" s="876"/>
      <c r="R258" s="876"/>
      <c r="S258" s="876"/>
      <c r="T258" s="876"/>
      <c r="U258" s="876"/>
      <c r="V258" s="876"/>
      <c r="W258" s="876"/>
      <c r="X258" s="876"/>
      <c r="Y258" s="876"/>
      <c r="Z258" s="876"/>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3" width="10.71"/>
    <col customWidth="1" min="4" max="4" width="55.71"/>
    <col customWidth="1" min="5" max="5" width="12.71"/>
    <col customWidth="1" min="6" max="6" width="10.71"/>
    <col customWidth="1" min="7" max="7" width="12.14"/>
    <col customWidth="1" min="8" max="8" width="55.43"/>
    <col customWidth="1" min="9" max="10" width="10.86"/>
    <col customWidth="1" min="11" max="13" width="10.71"/>
    <col customWidth="1" min="14" max="15" width="11.14"/>
    <col customWidth="1" min="16" max="16" width="10.71"/>
    <col customWidth="1" min="17" max="17" width="12.86"/>
    <col customWidth="1" min="18" max="21" width="13.86"/>
    <col customWidth="1" min="22" max="22" width="13.14"/>
    <col customWidth="1" min="23" max="16384" width="10.71"/>
  </cols>
  <sheetData>
    <row r="1">
      <c r="I1" s="292"/>
      <c r="J1" s="292"/>
    </row>
    <row r="2" ht="30.75" customHeight="1">
      <c r="B2" s="893"/>
      <c r="C2" s="893" t="s">
        <v>646</v>
      </c>
      <c r="D2" s="893" t="s">
        <v>647</v>
      </c>
      <c r="E2" s="893" t="s">
        <v>648</v>
      </c>
      <c r="F2" s="893" t="s">
        <v>649</v>
      </c>
      <c r="G2" s="893" t="s">
        <v>650</v>
      </c>
      <c r="H2" s="893" t="s">
        <v>651</v>
      </c>
      <c r="I2" s="893"/>
      <c r="J2" s="893"/>
      <c r="K2" s="893" t="s">
        <v>80</v>
      </c>
      <c r="L2" s="893" t="s">
        <v>81</v>
      </c>
      <c r="M2" s="893" t="s">
        <v>82</v>
      </c>
      <c r="N2" s="893" t="s">
        <v>652</v>
      </c>
      <c r="O2" s="893" t="s">
        <v>84</v>
      </c>
      <c r="Q2" s="292" t="s">
        <v>80</v>
      </c>
      <c r="R2" s="292" t="s">
        <v>81</v>
      </c>
      <c r="S2" s="292" t="s">
        <v>82</v>
      </c>
      <c r="T2" s="292" t="s">
        <v>652</v>
      </c>
      <c r="U2" s="292" t="s">
        <v>84</v>
      </c>
    </row>
    <row r="3" ht="40.5" customHeight="1">
      <c r="A3" s="916"/>
      <c r="B3" s="916" t="s">
        <v>653</v>
      </c>
      <c r="C3" s="916" t="s">
        <v>654</v>
      </c>
      <c r="D3" s="917" t="s">
        <v>655</v>
      </c>
      <c r="E3" s="918">
        <f>E24*E21</f>
        <v>1696800</v>
      </c>
      <c r="F3" s="919">
        <v>0.1</v>
      </c>
      <c r="G3" s="918">
        <f t="shared" ref="G3:G7" si="2">F3*E3</f>
        <v>169680</v>
      </c>
      <c r="H3" s="916" t="s">
        <v>656</v>
      </c>
      <c r="I3" s="916"/>
      <c r="J3" s="916"/>
      <c r="K3" s="920">
        <v>0.0</v>
      </c>
      <c r="L3" s="920">
        <v>0.6</v>
      </c>
      <c r="M3" s="920">
        <v>0.8</v>
      </c>
      <c r="N3" s="920">
        <v>1.0</v>
      </c>
      <c r="O3" s="920">
        <v>1.0</v>
      </c>
      <c r="P3" s="916"/>
      <c r="Q3" s="921">
        <f t="shared" ref="Q3:U3" si="1">K3*$G3</f>
        <v>0</v>
      </c>
      <c r="R3" s="921">
        <f t="shared" si="1"/>
        <v>101808</v>
      </c>
      <c r="S3" s="921">
        <f t="shared" si="1"/>
        <v>135744</v>
      </c>
      <c r="T3" s="921">
        <f t="shared" si="1"/>
        <v>169680</v>
      </c>
      <c r="U3" s="921">
        <f t="shared" si="1"/>
        <v>169680</v>
      </c>
      <c r="V3" s="916"/>
      <c r="W3" s="916"/>
      <c r="X3" s="916"/>
      <c r="Y3" s="916"/>
      <c r="Z3" s="916"/>
      <c r="AA3" s="916"/>
      <c r="AB3" s="916"/>
      <c r="AC3" s="916"/>
      <c r="AD3" s="916"/>
      <c r="AE3" s="916"/>
      <c r="AF3" s="916"/>
      <c r="AG3" s="916"/>
      <c r="AH3" s="916"/>
      <c r="AI3" s="916"/>
      <c r="AJ3" s="916"/>
      <c r="AK3" s="916"/>
      <c r="AL3" s="916"/>
      <c r="AM3" s="916"/>
      <c r="AN3" s="916"/>
      <c r="AO3" s="916"/>
    </row>
    <row r="4" ht="40.5" customHeight="1">
      <c r="A4" s="916"/>
      <c r="B4" s="916" t="s">
        <v>653</v>
      </c>
      <c r="C4" s="916" t="s">
        <v>654</v>
      </c>
      <c r="D4" s="917" t="s">
        <v>657</v>
      </c>
      <c r="E4" s="918">
        <f>E23*E22*E21</f>
        <v>2545200</v>
      </c>
      <c r="F4" s="919">
        <v>0.3</v>
      </c>
      <c r="G4" s="918">
        <f t="shared" si="2"/>
        <v>763560</v>
      </c>
      <c r="H4" s="916" t="s">
        <v>658</v>
      </c>
      <c r="I4" s="916"/>
      <c r="J4" s="916"/>
      <c r="K4" s="920">
        <v>0.0</v>
      </c>
      <c r="L4" s="920">
        <v>0.6</v>
      </c>
      <c r="M4" s="920">
        <v>0.8</v>
      </c>
      <c r="N4" s="920">
        <v>1.0</v>
      </c>
      <c r="O4" s="920">
        <v>1.0</v>
      </c>
      <c r="P4" s="916"/>
      <c r="Q4" s="921">
        <f t="shared" ref="Q4:U4" si="3">K4*$G4</f>
        <v>0</v>
      </c>
      <c r="R4" s="921">
        <f t="shared" si="3"/>
        <v>458136</v>
      </c>
      <c r="S4" s="921">
        <f t="shared" si="3"/>
        <v>610848</v>
      </c>
      <c r="T4" s="921">
        <f t="shared" si="3"/>
        <v>763560</v>
      </c>
      <c r="U4" s="921">
        <f t="shared" si="3"/>
        <v>763560</v>
      </c>
      <c r="V4" s="916"/>
      <c r="W4" s="916"/>
      <c r="X4" s="916"/>
      <c r="Y4" s="916"/>
      <c r="Z4" s="916"/>
      <c r="AA4" s="916"/>
      <c r="AB4" s="916"/>
      <c r="AC4" s="916"/>
      <c r="AD4" s="916"/>
      <c r="AE4" s="916"/>
      <c r="AF4" s="916"/>
      <c r="AG4" s="916"/>
      <c r="AH4" s="916"/>
      <c r="AI4" s="916"/>
      <c r="AJ4" s="916"/>
      <c r="AK4" s="916"/>
      <c r="AL4" s="916"/>
      <c r="AM4" s="916"/>
      <c r="AN4" s="916"/>
      <c r="AO4" s="916"/>
    </row>
    <row r="5" ht="40.5" customHeight="1">
      <c r="A5" s="916"/>
      <c r="B5" s="916" t="s">
        <v>653</v>
      </c>
      <c r="C5" s="916" t="s">
        <v>659</v>
      </c>
      <c r="D5" s="917" t="s">
        <v>660</v>
      </c>
      <c r="E5" s="918">
        <f>E19*E20*E21</f>
        <v>37172957.79</v>
      </c>
      <c r="F5" s="919">
        <v>0.1</v>
      </c>
      <c r="G5" s="918">
        <f t="shared" si="2"/>
        <v>3717295.779</v>
      </c>
      <c r="H5" s="916" t="s">
        <v>661</v>
      </c>
      <c r="I5" s="916"/>
      <c r="J5" s="916"/>
      <c r="K5" s="920">
        <v>0.0</v>
      </c>
      <c r="L5" s="920">
        <v>0.6</v>
      </c>
      <c r="M5" s="920">
        <v>0.8</v>
      </c>
      <c r="N5" s="920">
        <v>1.0</v>
      </c>
      <c r="O5" s="920">
        <v>1.0</v>
      </c>
      <c r="P5" s="916"/>
      <c r="Q5" s="921">
        <f t="shared" ref="Q5:U5" si="4">K5*$G5</f>
        <v>0</v>
      </c>
      <c r="R5" s="921">
        <f t="shared" si="4"/>
        <v>2230377.467</v>
      </c>
      <c r="S5" s="921">
        <f t="shared" si="4"/>
        <v>2973836.623</v>
      </c>
      <c r="T5" s="921">
        <f t="shared" si="4"/>
        <v>3717295.779</v>
      </c>
      <c r="U5" s="921">
        <f t="shared" si="4"/>
        <v>3717295.779</v>
      </c>
      <c r="V5" s="916"/>
      <c r="W5" s="916"/>
      <c r="X5" s="916"/>
      <c r="Y5" s="916"/>
      <c r="Z5" s="916"/>
      <c r="AA5" s="916"/>
      <c r="AB5" s="916"/>
      <c r="AC5" s="916"/>
      <c r="AD5" s="916"/>
      <c r="AE5" s="916"/>
      <c r="AF5" s="916"/>
      <c r="AG5" s="916"/>
      <c r="AH5" s="916"/>
      <c r="AI5" s="916"/>
      <c r="AJ5" s="916"/>
      <c r="AK5" s="916"/>
      <c r="AL5" s="916"/>
      <c r="AM5" s="916"/>
      <c r="AN5" s="916"/>
      <c r="AO5" s="916"/>
    </row>
    <row r="6" ht="45.0" customHeight="1">
      <c r="A6" s="916"/>
      <c r="B6" s="916" t="s">
        <v>662</v>
      </c>
      <c r="C6" s="916"/>
      <c r="D6" s="922" t="s">
        <v>663</v>
      </c>
      <c r="E6" s="918">
        <f>E59+E67</f>
        <v>78750</v>
      </c>
      <c r="F6" s="919">
        <v>0.45</v>
      </c>
      <c r="G6" s="918">
        <f t="shared" si="2"/>
        <v>35437.5</v>
      </c>
      <c r="H6" s="916" t="s">
        <v>664</v>
      </c>
      <c r="I6" s="916"/>
      <c r="J6" s="916"/>
      <c r="K6" s="920">
        <v>0.0</v>
      </c>
      <c r="L6" s="920">
        <v>0.6</v>
      </c>
      <c r="M6" s="920">
        <v>0.8</v>
      </c>
      <c r="N6" s="920">
        <v>1.0</v>
      </c>
      <c r="O6" s="920">
        <v>1.0</v>
      </c>
      <c r="P6" s="916"/>
      <c r="Q6" s="921">
        <f t="shared" ref="Q6:U6" si="5">K6*$G6</f>
        <v>0</v>
      </c>
      <c r="R6" s="921">
        <f t="shared" si="5"/>
        <v>21262.5</v>
      </c>
      <c r="S6" s="921">
        <f t="shared" si="5"/>
        <v>28350</v>
      </c>
      <c r="T6" s="921">
        <f t="shared" si="5"/>
        <v>35437.5</v>
      </c>
      <c r="U6" s="921">
        <f t="shared" si="5"/>
        <v>35437.5</v>
      </c>
      <c r="V6" s="916"/>
      <c r="W6" s="916"/>
      <c r="X6" s="916"/>
      <c r="Y6" s="916"/>
      <c r="Z6" s="916"/>
      <c r="AA6" s="916"/>
      <c r="AB6" s="916"/>
      <c r="AC6" s="916"/>
      <c r="AD6" s="916"/>
      <c r="AE6" s="916"/>
      <c r="AF6" s="916"/>
      <c r="AG6" s="916"/>
      <c r="AH6" s="916"/>
      <c r="AI6" s="916"/>
      <c r="AJ6" s="916"/>
      <c r="AK6" s="916"/>
      <c r="AL6" s="916"/>
      <c r="AM6" s="916"/>
      <c r="AN6" s="916"/>
      <c r="AO6" s="916"/>
    </row>
    <row r="7">
      <c r="B7" s="916" t="s">
        <v>662</v>
      </c>
      <c r="D7" s="922" t="s">
        <v>665</v>
      </c>
      <c r="E7" s="918">
        <f>SUM(E34,E43,E51)</f>
        <v>77175</v>
      </c>
      <c r="F7" s="919">
        <v>0.45</v>
      </c>
      <c r="G7" s="918">
        <f t="shared" si="2"/>
        <v>34728.75</v>
      </c>
      <c r="I7" s="292"/>
      <c r="J7" s="292"/>
      <c r="K7" s="920">
        <v>0.0</v>
      </c>
      <c r="L7" s="920">
        <v>0.6</v>
      </c>
      <c r="M7" s="920">
        <v>0.8</v>
      </c>
      <c r="N7" s="920">
        <v>1.0</v>
      </c>
      <c r="O7" s="920">
        <v>1.0</v>
      </c>
      <c r="Q7" s="923">
        <f t="shared" ref="Q7:U7" si="6">K7*$G7</f>
        <v>0</v>
      </c>
      <c r="R7" s="923">
        <f t="shared" si="6"/>
        <v>20837.25</v>
      </c>
      <c r="S7" s="923">
        <f t="shared" si="6"/>
        <v>27783</v>
      </c>
      <c r="T7" s="923">
        <f t="shared" si="6"/>
        <v>34728.75</v>
      </c>
      <c r="U7" s="923">
        <f t="shared" si="6"/>
        <v>34728.75</v>
      </c>
    </row>
    <row r="8">
      <c r="D8" s="924"/>
      <c r="G8" s="871">
        <f>SUM(G3:G7)</f>
        <v>4720702.029</v>
      </c>
      <c r="I8" s="292"/>
      <c r="J8" s="292"/>
      <c r="K8" s="871">
        <f t="shared" ref="K8:O8" si="7">$G$8*K7</f>
        <v>0</v>
      </c>
      <c r="L8" s="871">
        <f t="shared" si="7"/>
        <v>2832421.217</v>
      </c>
      <c r="M8" s="871">
        <f t="shared" si="7"/>
        <v>3776561.623</v>
      </c>
      <c r="N8" s="871">
        <f t="shared" si="7"/>
        <v>4720702.029</v>
      </c>
      <c r="O8" s="871">
        <f t="shared" si="7"/>
        <v>4720702.029</v>
      </c>
      <c r="Q8" s="925">
        <f>SUM(Q3:Q7)</f>
        <v>0</v>
      </c>
      <c r="XFD8" s="925">
        <f>SUM(XFD3:XFD7)</f>
        <v>0</v>
      </c>
    </row>
    <row r="9">
      <c r="I9" s="292"/>
      <c r="J9" s="292"/>
      <c r="K9" s="292"/>
      <c r="L9" s="292"/>
      <c r="M9" s="292"/>
    </row>
    <row r="10">
      <c r="G10" s="871">
        <f>SUM(G3:G5)</f>
        <v>4650535.779</v>
      </c>
      <c r="I10" s="292"/>
      <c r="J10" s="292"/>
      <c r="K10" s="292"/>
      <c r="L10" s="292"/>
      <c r="M10" s="292"/>
      <c r="Q10" s="292" t="s">
        <v>80</v>
      </c>
      <c r="R10" s="292" t="s">
        <v>81</v>
      </c>
      <c r="S10" s="292" t="s">
        <v>82</v>
      </c>
      <c r="T10" s="292" t="s">
        <v>652</v>
      </c>
      <c r="U10" s="292" t="s">
        <v>84</v>
      </c>
    </row>
    <row r="11">
      <c r="G11" s="871">
        <f>SUM(G6:G7)</f>
        <v>70166.25</v>
      </c>
      <c r="I11" s="292"/>
      <c r="J11" s="292"/>
      <c r="K11" s="292"/>
      <c r="L11" s="292"/>
      <c r="M11" s="292"/>
      <c r="P11" s="852" t="s">
        <v>666</v>
      </c>
      <c r="Q11" s="925">
        <f t="shared" ref="Q11:U11" si="8">SUM(Q3:Q7)</f>
        <v>0</v>
      </c>
      <c r="R11" s="925">
        <f t="shared" si="8"/>
        <v>2832421.217</v>
      </c>
      <c r="S11" s="925">
        <f t="shared" si="8"/>
        <v>3776561.623</v>
      </c>
      <c r="T11" s="925">
        <f t="shared" si="8"/>
        <v>4720702.029</v>
      </c>
      <c r="U11" s="925">
        <f t="shared" si="8"/>
        <v>4720702.029</v>
      </c>
    </row>
    <row r="12">
      <c r="I12" s="292"/>
      <c r="J12" s="292"/>
      <c r="P12" s="852" t="s">
        <v>667</v>
      </c>
      <c r="Q12" s="925">
        <v>1000000.0</v>
      </c>
      <c r="R12" s="925">
        <v>1000000.0</v>
      </c>
      <c r="S12" s="925">
        <v>1000000.0</v>
      </c>
      <c r="T12" s="925">
        <v>1000000.0</v>
      </c>
      <c r="U12" s="925">
        <v>1000000.0</v>
      </c>
    </row>
    <row r="13">
      <c r="I13" s="292"/>
      <c r="J13" s="292"/>
      <c r="P13" s="852" t="s">
        <v>625</v>
      </c>
      <c r="Q13" s="925">
        <v>2500000.0</v>
      </c>
      <c r="R13" s="925"/>
      <c r="S13" s="925"/>
      <c r="T13" s="925"/>
      <c r="U13" s="925"/>
    </row>
    <row r="14">
      <c r="E14" s="926" t="s">
        <v>668</v>
      </c>
      <c r="I14" s="292"/>
      <c r="J14" s="292"/>
    </row>
    <row r="15">
      <c r="I15" s="292"/>
      <c r="J15" s="292"/>
      <c r="P15" s="292"/>
      <c r="Q15" s="927" t="s">
        <v>80</v>
      </c>
      <c r="R15" s="927" t="s">
        <v>81</v>
      </c>
      <c r="S15" s="927" t="s">
        <v>82</v>
      </c>
      <c r="T15" s="927" t="s">
        <v>83</v>
      </c>
      <c r="U15" s="927" t="s">
        <v>84</v>
      </c>
      <c r="V15" s="928" t="s">
        <v>240</v>
      </c>
    </row>
    <row r="16">
      <c r="A16" s="292"/>
      <c r="B16" s="292"/>
      <c r="C16" s="292"/>
      <c r="D16" s="292"/>
      <c r="E16" s="292"/>
      <c r="F16" s="292"/>
      <c r="G16" s="292"/>
      <c r="H16" s="292"/>
      <c r="I16" s="292"/>
      <c r="J16" s="292"/>
      <c r="K16" s="292"/>
      <c r="L16" s="292"/>
      <c r="M16" s="292"/>
      <c r="N16" s="292"/>
      <c r="O16" s="292"/>
      <c r="P16" s="929" t="s">
        <v>604</v>
      </c>
      <c r="Q16" s="930">
        <f t="shared" ref="Q16:U16" si="9">SUM(Q3:Q7)</f>
        <v>0</v>
      </c>
      <c r="R16" s="930">
        <f t="shared" si="9"/>
        <v>2832421.217</v>
      </c>
      <c r="S16" s="930">
        <f t="shared" si="9"/>
        <v>3776561.623</v>
      </c>
      <c r="T16" s="930">
        <f t="shared" si="9"/>
        <v>4720702.029</v>
      </c>
      <c r="U16" s="930">
        <f t="shared" si="9"/>
        <v>4720702.029</v>
      </c>
      <c r="V16" s="931">
        <f t="shared" ref="V16:V17" si="11">SUM(Q16:U16)</f>
        <v>16050386.9</v>
      </c>
      <c r="W16" s="292"/>
      <c r="X16" s="292"/>
      <c r="Y16" s="292"/>
      <c r="Z16" s="292"/>
      <c r="AA16" s="292"/>
      <c r="AB16" s="292"/>
      <c r="AC16" s="292"/>
      <c r="AD16" s="292"/>
      <c r="AE16" s="292"/>
      <c r="AF16" s="292"/>
      <c r="AG16" s="292"/>
      <c r="AH16" s="292"/>
      <c r="AI16" s="292"/>
      <c r="AJ16" s="292"/>
      <c r="AK16" s="292"/>
      <c r="AL16" s="292"/>
      <c r="AM16" s="292"/>
      <c r="AN16" s="292"/>
      <c r="AO16" s="292"/>
      <c r="AP16" s="292"/>
      <c r="AQ16" s="292"/>
      <c r="AR16" s="292"/>
      <c r="AS16" s="292"/>
      <c r="AT16" s="292"/>
      <c r="AU16" s="292"/>
      <c r="AV16" s="292"/>
      <c r="AW16" s="292"/>
      <c r="AX16" s="292"/>
      <c r="AY16" s="292"/>
      <c r="AZ16" s="292"/>
      <c r="BA16" s="292"/>
      <c r="BB16" s="292"/>
      <c r="BC16" s="292"/>
      <c r="BD16" s="292"/>
      <c r="BE16" s="292"/>
      <c r="BF16" s="292"/>
      <c r="BG16" s="292"/>
      <c r="BH16" s="292"/>
      <c r="BI16" s="292"/>
      <c r="BJ16" s="292"/>
      <c r="BK16" s="292"/>
      <c r="BL16" s="292"/>
      <c r="BM16" s="292"/>
      <c r="BN16" s="292"/>
      <c r="BO16" s="292"/>
      <c r="BP16" s="292"/>
      <c r="BQ16" s="292"/>
      <c r="BR16" s="292"/>
      <c r="BS16" s="292"/>
      <c r="BT16" s="292"/>
      <c r="BU16" s="292"/>
      <c r="BV16" s="292"/>
      <c r="BW16" s="292"/>
      <c r="BX16" s="292"/>
      <c r="BY16" s="292"/>
      <c r="BZ16" s="292"/>
      <c r="CA16" s="292"/>
      <c r="CB16" s="292"/>
      <c r="CC16" s="292"/>
      <c r="CD16" s="292"/>
      <c r="CE16" s="292"/>
      <c r="CF16" s="292"/>
      <c r="CG16" s="292"/>
      <c r="CH16" s="292"/>
      <c r="CI16" s="292"/>
      <c r="CJ16" s="292"/>
      <c r="CK16" s="292"/>
      <c r="CL16" s="292"/>
      <c r="CM16" s="292"/>
      <c r="CN16" s="292"/>
      <c r="CO16" s="292"/>
      <c r="CP16" s="292"/>
      <c r="CQ16" s="292"/>
      <c r="CR16" s="292"/>
      <c r="CS16" s="292"/>
      <c r="CT16" s="292"/>
      <c r="CU16" s="292"/>
      <c r="CV16" s="292"/>
      <c r="CW16" s="292"/>
      <c r="CX16" s="292"/>
      <c r="CY16" s="292"/>
      <c r="CZ16" s="292"/>
      <c r="DA16" s="292"/>
      <c r="DB16" s="292"/>
      <c r="DC16" s="292"/>
      <c r="DD16" s="292"/>
      <c r="DE16" s="292"/>
      <c r="DF16" s="292"/>
      <c r="DG16" s="292"/>
      <c r="DH16" s="292"/>
      <c r="DI16" s="292"/>
      <c r="DJ16" s="292"/>
      <c r="DK16" s="292"/>
      <c r="DL16" s="292"/>
      <c r="DM16" s="292"/>
      <c r="DN16" s="292"/>
      <c r="DO16" s="292"/>
      <c r="DP16" s="292"/>
      <c r="DQ16" s="292"/>
      <c r="DR16" s="292"/>
      <c r="DS16" s="292"/>
      <c r="DT16" s="292"/>
      <c r="DU16" s="292"/>
      <c r="DV16" s="292"/>
      <c r="DW16" s="292"/>
      <c r="DX16" s="292"/>
      <c r="DY16" s="292"/>
      <c r="DZ16" s="292"/>
      <c r="EA16" s="292"/>
      <c r="EB16" s="292"/>
      <c r="EC16" s="292"/>
      <c r="ED16" s="292"/>
      <c r="EE16" s="292"/>
      <c r="EF16" s="292"/>
      <c r="EG16" s="292"/>
      <c r="EH16" s="292"/>
      <c r="EI16" s="292"/>
      <c r="EJ16" s="292"/>
      <c r="EK16" s="292"/>
      <c r="EL16" s="292"/>
      <c r="EM16" s="292"/>
      <c r="EN16" s="292"/>
      <c r="EO16" s="292"/>
      <c r="EP16" s="292"/>
      <c r="EQ16" s="292"/>
      <c r="ER16" s="292"/>
      <c r="ES16" s="292"/>
      <c r="ET16" s="292"/>
      <c r="EU16" s="292"/>
      <c r="EV16" s="292"/>
      <c r="EW16" s="292"/>
      <c r="EX16" s="292"/>
      <c r="EY16" s="292"/>
      <c r="EZ16" s="292"/>
      <c r="FA16" s="292"/>
      <c r="FB16" s="292"/>
      <c r="FC16" s="292"/>
      <c r="FD16" s="292"/>
      <c r="FE16" s="292"/>
      <c r="FF16" s="292"/>
      <c r="FG16" s="292"/>
      <c r="FH16" s="292"/>
      <c r="FI16" s="292"/>
      <c r="FJ16" s="292"/>
      <c r="FK16" s="292"/>
      <c r="FL16" s="292"/>
      <c r="FM16" s="292"/>
      <c r="FN16" s="292"/>
      <c r="FO16" s="292"/>
      <c r="FP16" s="292"/>
      <c r="FQ16" s="292"/>
      <c r="FR16" s="292"/>
      <c r="FS16" s="292"/>
      <c r="FT16" s="292"/>
      <c r="FU16" s="292"/>
      <c r="FV16" s="292"/>
      <c r="FW16" s="292"/>
      <c r="FX16" s="292"/>
      <c r="FY16" s="292"/>
      <c r="FZ16" s="292"/>
      <c r="GA16" s="292"/>
      <c r="GB16" s="292"/>
      <c r="GC16" s="292"/>
      <c r="GD16" s="292"/>
      <c r="GE16" s="292"/>
      <c r="GF16" s="292"/>
      <c r="GG16" s="292"/>
      <c r="GH16" s="292"/>
      <c r="GI16" s="292"/>
      <c r="GJ16" s="292"/>
      <c r="GK16" s="292"/>
      <c r="GL16" s="292"/>
      <c r="GM16" s="292"/>
      <c r="GN16" s="292"/>
      <c r="GO16" s="292"/>
      <c r="GP16" s="292"/>
      <c r="GQ16" s="292"/>
      <c r="GR16" s="292"/>
      <c r="GS16" s="292"/>
      <c r="GT16" s="292"/>
      <c r="GU16" s="292"/>
      <c r="GV16" s="292"/>
      <c r="GW16" s="292"/>
      <c r="GX16" s="292"/>
      <c r="GY16" s="292"/>
      <c r="GZ16" s="292"/>
      <c r="HA16" s="292"/>
      <c r="HB16" s="292"/>
      <c r="HC16" s="292"/>
      <c r="HD16" s="292"/>
      <c r="HE16" s="292"/>
      <c r="HF16" s="292"/>
      <c r="HG16" s="292"/>
      <c r="HH16" s="292"/>
      <c r="HI16" s="292"/>
      <c r="HJ16" s="292"/>
      <c r="HK16" s="292"/>
      <c r="HL16" s="292"/>
      <c r="HM16" s="292"/>
      <c r="HN16" s="292"/>
      <c r="HO16" s="292"/>
      <c r="HP16" s="292"/>
      <c r="HQ16" s="292"/>
      <c r="HR16" s="292"/>
      <c r="HS16" s="292"/>
      <c r="HT16" s="292"/>
      <c r="HU16" s="292"/>
      <c r="HV16" s="292"/>
      <c r="HW16" s="292"/>
      <c r="HX16" s="292"/>
      <c r="HY16" s="292"/>
      <c r="HZ16" s="292"/>
      <c r="IA16" s="292"/>
      <c r="IB16" s="292"/>
      <c r="IC16" s="292"/>
      <c r="ID16" s="292"/>
      <c r="IE16" s="292"/>
      <c r="IF16" s="292"/>
      <c r="IG16" s="292"/>
      <c r="IH16" s="292"/>
      <c r="II16" s="292"/>
      <c r="IJ16" s="292"/>
      <c r="IK16" s="292"/>
      <c r="IL16" s="292"/>
      <c r="IM16" s="292"/>
      <c r="IN16" s="292"/>
      <c r="IO16" s="292"/>
      <c r="IP16" s="292"/>
      <c r="IQ16" s="292"/>
      <c r="IR16" s="292"/>
      <c r="IS16" s="292"/>
      <c r="IT16" s="292"/>
      <c r="IU16" s="292"/>
      <c r="IV16" s="292"/>
      <c r="IW16" s="292"/>
      <c r="IX16" s="292"/>
      <c r="IY16" s="292"/>
      <c r="IZ16" s="292"/>
      <c r="JA16" s="292"/>
      <c r="JB16" s="292"/>
      <c r="JC16" s="292"/>
      <c r="JD16" s="292"/>
      <c r="JE16" s="292"/>
      <c r="JF16" s="292"/>
      <c r="JG16" s="292"/>
      <c r="JH16" s="292"/>
      <c r="JI16" s="292"/>
      <c r="JJ16" s="292"/>
      <c r="JK16" s="292"/>
      <c r="JL16" s="292"/>
      <c r="JM16" s="292"/>
      <c r="JN16" s="292"/>
      <c r="JO16" s="292"/>
      <c r="JP16" s="292"/>
      <c r="JQ16" s="292"/>
      <c r="JR16" s="292"/>
      <c r="JS16" s="292"/>
      <c r="JT16" s="292"/>
      <c r="JU16" s="292"/>
      <c r="JV16" s="292"/>
      <c r="JW16" s="292"/>
      <c r="JX16" s="292"/>
      <c r="JY16" s="292"/>
      <c r="JZ16" s="292"/>
      <c r="KA16" s="292"/>
      <c r="KB16" s="292"/>
      <c r="KC16" s="292"/>
      <c r="KD16" s="292"/>
      <c r="KE16" s="292"/>
      <c r="KF16" s="292"/>
      <c r="KG16" s="292"/>
      <c r="KH16" s="292"/>
      <c r="KI16" s="292"/>
      <c r="KJ16" s="292"/>
      <c r="KK16" s="292"/>
      <c r="KL16" s="292"/>
      <c r="KM16" s="292"/>
      <c r="KN16" s="292"/>
      <c r="KO16" s="292"/>
      <c r="KP16" s="292"/>
      <c r="KQ16" s="292"/>
      <c r="KR16" s="292"/>
      <c r="KS16" s="292"/>
      <c r="KT16" s="292"/>
      <c r="KU16" s="292"/>
      <c r="KV16" s="292"/>
      <c r="KW16" s="292"/>
      <c r="KX16" s="292"/>
      <c r="KY16" s="292"/>
      <c r="KZ16" s="292"/>
      <c r="LA16" s="292"/>
      <c r="LB16" s="292"/>
      <c r="LC16" s="292"/>
      <c r="LD16" s="292"/>
      <c r="LE16" s="292"/>
      <c r="LF16" s="292"/>
      <c r="LG16" s="292"/>
      <c r="LH16" s="292"/>
      <c r="LI16" s="292"/>
      <c r="LJ16" s="292"/>
      <c r="LK16" s="292"/>
      <c r="LL16" s="292"/>
      <c r="LM16" s="292"/>
      <c r="LN16" s="292"/>
      <c r="LO16" s="292"/>
      <c r="LP16" s="292"/>
      <c r="LQ16" s="292"/>
      <c r="LR16" s="292"/>
      <c r="LS16" s="292"/>
      <c r="LT16" s="292"/>
      <c r="LU16" s="292"/>
      <c r="LV16" s="292"/>
      <c r="LW16" s="292"/>
      <c r="LX16" s="292"/>
      <c r="LY16" s="292"/>
      <c r="LZ16" s="292"/>
      <c r="MA16" s="292"/>
      <c r="MB16" s="292"/>
      <c r="MC16" s="292"/>
      <c r="MD16" s="292"/>
      <c r="ME16" s="292"/>
      <c r="MF16" s="292"/>
      <c r="MG16" s="292"/>
      <c r="MH16" s="292"/>
      <c r="MI16" s="292"/>
      <c r="MJ16" s="292"/>
      <c r="MK16" s="292"/>
      <c r="ML16" s="292"/>
      <c r="MM16" s="292"/>
      <c r="MN16" s="292"/>
      <c r="MO16" s="292"/>
      <c r="MP16" s="292"/>
      <c r="MQ16" s="292"/>
      <c r="MR16" s="292"/>
      <c r="MS16" s="292"/>
      <c r="MT16" s="292"/>
      <c r="MU16" s="292"/>
      <c r="MV16" s="292"/>
      <c r="MW16" s="292"/>
      <c r="MX16" s="292"/>
      <c r="MY16" s="292"/>
      <c r="MZ16" s="292"/>
      <c r="NA16" s="292"/>
      <c r="NB16" s="292"/>
      <c r="NC16" s="292"/>
      <c r="ND16" s="292"/>
      <c r="NE16" s="292"/>
      <c r="NF16" s="292"/>
      <c r="NG16" s="292"/>
      <c r="NH16" s="292"/>
      <c r="NI16" s="292"/>
      <c r="NJ16" s="292"/>
      <c r="NK16" s="292"/>
      <c r="NL16" s="292"/>
      <c r="NM16" s="292"/>
      <c r="NN16" s="292"/>
      <c r="NO16" s="292"/>
      <c r="NP16" s="292"/>
      <c r="NQ16" s="292"/>
      <c r="NR16" s="292"/>
      <c r="NS16" s="292"/>
      <c r="NT16" s="292"/>
      <c r="NU16" s="292"/>
      <c r="NV16" s="292"/>
      <c r="NW16" s="292"/>
      <c r="NX16" s="292"/>
      <c r="NY16" s="292"/>
      <c r="NZ16" s="292"/>
      <c r="OA16" s="292"/>
      <c r="OB16" s="292"/>
      <c r="OC16" s="292"/>
      <c r="OD16" s="292"/>
      <c r="OE16" s="292"/>
      <c r="OF16" s="292"/>
      <c r="OG16" s="292"/>
      <c r="OH16" s="292"/>
      <c r="OI16" s="292"/>
      <c r="OJ16" s="292"/>
      <c r="OK16" s="292"/>
      <c r="OL16" s="292"/>
      <c r="OM16" s="292"/>
      <c r="ON16" s="292"/>
      <c r="OO16" s="292"/>
      <c r="OP16" s="292"/>
      <c r="OQ16" s="292"/>
      <c r="OR16" s="292"/>
      <c r="OS16" s="292"/>
      <c r="OT16" s="292"/>
      <c r="OU16" s="292"/>
      <c r="OV16" s="292"/>
      <c r="OW16" s="292"/>
      <c r="OX16" s="292"/>
      <c r="OY16" s="292"/>
      <c r="OZ16" s="292"/>
      <c r="PA16" s="292"/>
      <c r="PB16" s="292"/>
      <c r="PC16" s="292"/>
      <c r="PD16" s="292"/>
      <c r="PE16" s="292"/>
      <c r="PF16" s="292"/>
      <c r="PG16" s="292"/>
      <c r="PH16" s="292"/>
      <c r="PI16" s="292"/>
      <c r="PJ16" s="292"/>
      <c r="PK16" s="292"/>
      <c r="PL16" s="292"/>
      <c r="PM16" s="292"/>
      <c r="PN16" s="292"/>
      <c r="PO16" s="292"/>
      <c r="PP16" s="292"/>
      <c r="PQ16" s="292"/>
      <c r="PR16" s="292"/>
      <c r="PS16" s="292"/>
      <c r="PT16" s="292"/>
      <c r="PU16" s="292"/>
      <c r="PV16" s="292"/>
      <c r="PW16" s="292"/>
      <c r="PX16" s="292"/>
      <c r="PY16" s="292"/>
      <c r="PZ16" s="292"/>
      <c r="QA16" s="292"/>
      <c r="QB16" s="292"/>
      <c r="QC16" s="292"/>
      <c r="QD16" s="292"/>
      <c r="QE16" s="292"/>
      <c r="QF16" s="292"/>
      <c r="QG16" s="292"/>
      <c r="QH16" s="292"/>
      <c r="QI16" s="292"/>
      <c r="QJ16" s="292"/>
      <c r="QK16" s="292"/>
      <c r="QL16" s="292"/>
      <c r="QM16" s="292"/>
      <c r="QN16" s="292"/>
      <c r="QO16" s="292"/>
      <c r="QP16" s="292"/>
      <c r="QQ16" s="292"/>
      <c r="QR16" s="292"/>
      <c r="QS16" s="292"/>
      <c r="QT16" s="292"/>
      <c r="QU16" s="292"/>
      <c r="QV16" s="292"/>
      <c r="QW16" s="292"/>
      <c r="QX16" s="292"/>
      <c r="QY16" s="292"/>
      <c r="QZ16" s="292"/>
      <c r="RA16" s="292"/>
      <c r="RB16" s="292"/>
      <c r="RC16" s="292"/>
      <c r="RD16" s="292"/>
      <c r="RE16" s="292"/>
      <c r="RF16" s="292"/>
      <c r="RG16" s="292"/>
      <c r="RH16" s="292"/>
      <c r="RI16" s="292"/>
      <c r="RJ16" s="292"/>
      <c r="RK16" s="292"/>
      <c r="RL16" s="292"/>
      <c r="RM16" s="292"/>
      <c r="RN16" s="292"/>
      <c r="RO16" s="292"/>
      <c r="RP16" s="292"/>
      <c r="RQ16" s="292"/>
      <c r="RR16" s="292"/>
      <c r="RS16" s="292"/>
      <c r="RT16" s="292"/>
      <c r="RU16" s="292"/>
      <c r="RV16" s="292"/>
      <c r="RW16" s="292"/>
      <c r="RX16" s="292"/>
      <c r="RY16" s="292"/>
      <c r="RZ16" s="292"/>
      <c r="SA16" s="292"/>
      <c r="SB16" s="292"/>
      <c r="SC16" s="292"/>
      <c r="SD16" s="292"/>
      <c r="SE16" s="292"/>
      <c r="SF16" s="292"/>
      <c r="SG16" s="292"/>
      <c r="SH16" s="292"/>
      <c r="SI16" s="292"/>
      <c r="SJ16" s="292"/>
      <c r="SK16" s="292"/>
      <c r="SL16" s="292"/>
      <c r="SM16" s="292"/>
      <c r="SN16" s="292"/>
      <c r="SO16" s="292"/>
      <c r="SP16" s="292"/>
      <c r="SQ16" s="292"/>
      <c r="SR16" s="292"/>
      <c r="SS16" s="292"/>
      <c r="ST16" s="292"/>
      <c r="SU16" s="292"/>
      <c r="SV16" s="292"/>
      <c r="SW16" s="292"/>
      <c r="SX16" s="292"/>
      <c r="SY16" s="292"/>
      <c r="SZ16" s="292"/>
      <c r="TA16" s="292"/>
      <c r="TB16" s="292"/>
      <c r="TC16" s="292"/>
      <c r="TD16" s="292"/>
      <c r="TE16" s="292"/>
      <c r="TF16" s="292"/>
      <c r="TG16" s="292"/>
      <c r="TH16" s="292"/>
      <c r="TI16" s="292"/>
      <c r="TJ16" s="292"/>
      <c r="TK16" s="292"/>
      <c r="TL16" s="292"/>
      <c r="TM16" s="292"/>
      <c r="TN16" s="292"/>
      <c r="TO16" s="292"/>
      <c r="TP16" s="292"/>
      <c r="TQ16" s="292"/>
      <c r="TR16" s="292"/>
      <c r="TS16" s="292"/>
      <c r="TT16" s="292"/>
      <c r="TU16" s="292"/>
      <c r="TV16" s="292"/>
      <c r="TW16" s="292"/>
      <c r="TX16" s="292"/>
      <c r="TY16" s="292"/>
      <c r="TZ16" s="292"/>
      <c r="UA16" s="292"/>
      <c r="UB16" s="292"/>
      <c r="UC16" s="292"/>
      <c r="UD16" s="292"/>
      <c r="UE16" s="292"/>
      <c r="UF16" s="292"/>
      <c r="UG16" s="292"/>
      <c r="UH16" s="292"/>
      <c r="UI16" s="292"/>
      <c r="UJ16" s="292"/>
      <c r="UK16" s="292"/>
      <c r="UL16" s="292"/>
      <c r="UM16" s="292"/>
      <c r="UN16" s="292"/>
      <c r="UO16" s="292"/>
      <c r="UP16" s="292"/>
      <c r="UQ16" s="292"/>
      <c r="UR16" s="292"/>
      <c r="US16" s="292"/>
      <c r="UT16" s="292"/>
      <c r="UU16" s="292"/>
      <c r="UV16" s="292"/>
      <c r="UW16" s="292"/>
      <c r="UX16" s="292"/>
      <c r="UY16" s="292"/>
      <c r="UZ16" s="292"/>
      <c r="VA16" s="292"/>
      <c r="VB16" s="292"/>
      <c r="VC16" s="292"/>
      <c r="VD16" s="292"/>
      <c r="VE16" s="292"/>
      <c r="VF16" s="292"/>
      <c r="VG16" s="292"/>
      <c r="VH16" s="292"/>
      <c r="VI16" s="292"/>
      <c r="VJ16" s="292"/>
      <c r="VK16" s="292"/>
      <c r="VL16" s="292"/>
      <c r="VM16" s="292"/>
      <c r="VN16" s="292"/>
      <c r="VO16" s="292"/>
      <c r="VP16" s="292"/>
      <c r="VQ16" s="292"/>
      <c r="VR16" s="292"/>
      <c r="VS16" s="292"/>
      <c r="VT16" s="292"/>
      <c r="VU16" s="292"/>
      <c r="VV16" s="292"/>
      <c r="VW16" s="292"/>
      <c r="VX16" s="292"/>
      <c r="VY16" s="292"/>
      <c r="VZ16" s="292"/>
      <c r="WA16" s="292"/>
      <c r="WB16" s="292"/>
      <c r="WC16" s="292"/>
      <c r="WD16" s="292"/>
      <c r="WE16" s="292"/>
      <c r="WF16" s="292"/>
      <c r="WG16" s="292"/>
      <c r="WH16" s="292"/>
      <c r="WI16" s="292"/>
      <c r="WJ16" s="292"/>
      <c r="WK16" s="292"/>
      <c r="WL16" s="292"/>
      <c r="WM16" s="292"/>
      <c r="WN16" s="292"/>
      <c r="WO16" s="292"/>
      <c r="WP16" s="292"/>
      <c r="WQ16" s="292"/>
      <c r="WR16" s="292"/>
      <c r="WS16" s="292"/>
      <c r="WT16" s="292"/>
      <c r="WU16" s="292"/>
      <c r="WV16" s="292"/>
      <c r="WW16" s="292"/>
      <c r="WX16" s="292"/>
      <c r="WY16" s="292"/>
      <c r="WZ16" s="292"/>
      <c r="XA16" s="292"/>
      <c r="XB16" s="292"/>
      <c r="XC16" s="292"/>
      <c r="XD16" s="292"/>
      <c r="XE16" s="292"/>
      <c r="XF16" s="292"/>
      <c r="XG16" s="292"/>
      <c r="XH16" s="292"/>
      <c r="XI16" s="292"/>
      <c r="XJ16" s="292"/>
      <c r="XK16" s="292"/>
      <c r="XL16" s="292"/>
      <c r="XM16" s="292"/>
      <c r="XN16" s="292"/>
      <c r="XO16" s="292"/>
      <c r="XP16" s="292"/>
      <c r="XQ16" s="292"/>
      <c r="XR16" s="292"/>
      <c r="XS16" s="292"/>
      <c r="XT16" s="292"/>
      <c r="XU16" s="292"/>
      <c r="XV16" s="292"/>
      <c r="XW16" s="292"/>
      <c r="XX16" s="292"/>
      <c r="XY16" s="292"/>
      <c r="XZ16" s="292"/>
      <c r="YA16" s="292"/>
      <c r="YB16" s="292"/>
      <c r="YC16" s="292"/>
      <c r="YD16" s="292"/>
      <c r="YE16" s="292"/>
      <c r="YF16" s="292"/>
      <c r="YG16" s="292"/>
      <c r="YH16" s="292"/>
      <c r="YI16" s="292"/>
      <c r="YJ16" s="292"/>
      <c r="YK16" s="292"/>
      <c r="YL16" s="292"/>
      <c r="YM16" s="292"/>
      <c r="YN16" s="292"/>
      <c r="YO16" s="292"/>
      <c r="YP16" s="292"/>
      <c r="YQ16" s="292"/>
      <c r="YR16" s="292"/>
      <c r="YS16" s="292"/>
      <c r="YT16" s="292"/>
      <c r="YU16" s="292"/>
      <c r="YV16" s="292"/>
      <c r="YW16" s="292"/>
      <c r="YX16" s="292"/>
      <c r="YY16" s="292"/>
      <c r="YZ16" s="292"/>
      <c r="ZA16" s="292"/>
      <c r="ZB16" s="292"/>
      <c r="ZC16" s="292"/>
      <c r="ZD16" s="292"/>
      <c r="ZE16" s="292"/>
      <c r="ZF16" s="292"/>
      <c r="ZG16" s="292"/>
      <c r="ZH16" s="292"/>
      <c r="ZI16" s="292"/>
      <c r="ZJ16" s="292"/>
      <c r="ZK16" s="292"/>
      <c r="ZL16" s="292"/>
      <c r="ZM16" s="292"/>
      <c r="ZN16" s="292"/>
      <c r="ZO16" s="292"/>
      <c r="ZP16" s="292"/>
      <c r="ZQ16" s="292"/>
      <c r="ZR16" s="292"/>
      <c r="ZS16" s="292"/>
      <c r="ZT16" s="292"/>
      <c r="ZU16" s="292"/>
      <c r="ZV16" s="292"/>
      <c r="ZW16" s="292"/>
      <c r="ZX16" s="292"/>
      <c r="ZY16" s="292"/>
      <c r="ZZ16" s="292"/>
      <c r="AAA16" s="292"/>
      <c r="AAB16" s="292"/>
      <c r="AAC16" s="292"/>
      <c r="AAD16" s="292"/>
      <c r="AAE16" s="292"/>
      <c r="AAF16" s="292"/>
      <c r="AAG16" s="292"/>
      <c r="AAH16" s="292"/>
      <c r="AAI16" s="292"/>
      <c r="AAJ16" s="292"/>
      <c r="AAK16" s="292"/>
      <c r="AAL16" s="292"/>
      <c r="AAM16" s="292"/>
      <c r="AAN16" s="292"/>
      <c r="AAO16" s="292"/>
      <c r="AAP16" s="292"/>
      <c r="AAQ16" s="292"/>
      <c r="AAR16" s="292"/>
      <c r="AAS16" s="292"/>
      <c r="AAT16" s="292"/>
      <c r="AAU16" s="292"/>
      <c r="AAV16" s="292"/>
      <c r="AAW16" s="292"/>
      <c r="AAX16" s="292"/>
      <c r="AAY16" s="292"/>
      <c r="AAZ16" s="292"/>
      <c r="ABA16" s="292"/>
      <c r="ABB16" s="292"/>
      <c r="ABC16" s="292"/>
      <c r="ABD16" s="292"/>
      <c r="ABE16" s="292"/>
      <c r="ABF16" s="292"/>
      <c r="ABG16" s="292"/>
      <c r="ABH16" s="292"/>
      <c r="ABI16" s="292"/>
      <c r="ABJ16" s="292"/>
      <c r="ABK16" s="292"/>
      <c r="ABL16" s="292"/>
      <c r="ABM16" s="292"/>
      <c r="ABN16" s="292"/>
      <c r="ABO16" s="292"/>
      <c r="ABP16" s="292"/>
      <c r="ABQ16" s="292"/>
      <c r="ABR16" s="292"/>
      <c r="ABS16" s="292"/>
      <c r="ABT16" s="292"/>
      <c r="ABU16" s="292"/>
      <c r="ABV16" s="292"/>
      <c r="ABW16" s="292"/>
      <c r="ABX16" s="292"/>
      <c r="ABY16" s="292"/>
      <c r="ABZ16" s="292"/>
      <c r="ACA16" s="292"/>
      <c r="ACB16" s="292"/>
      <c r="ACC16" s="292"/>
      <c r="ACD16" s="292"/>
      <c r="ACE16" s="292"/>
      <c r="ACF16" s="292"/>
      <c r="ACG16" s="292"/>
      <c r="ACH16" s="292"/>
      <c r="ACI16" s="292"/>
      <c r="ACJ16" s="292"/>
      <c r="ACK16" s="292"/>
      <c r="ACL16" s="292"/>
      <c r="ACM16" s="292"/>
      <c r="ACN16" s="292"/>
      <c r="ACO16" s="292"/>
      <c r="ACP16" s="292"/>
      <c r="ACQ16" s="292"/>
      <c r="ACR16" s="292"/>
      <c r="ACS16" s="292"/>
      <c r="ACT16" s="292"/>
      <c r="ACU16" s="292"/>
      <c r="ACV16" s="292"/>
      <c r="ACW16" s="292"/>
      <c r="ACX16" s="292"/>
      <c r="ACY16" s="292"/>
      <c r="ACZ16" s="292"/>
      <c r="ADA16" s="292"/>
      <c r="ADB16" s="292"/>
      <c r="ADC16" s="292"/>
      <c r="ADD16" s="292"/>
      <c r="ADE16" s="292"/>
      <c r="ADF16" s="292"/>
      <c r="ADG16" s="292"/>
      <c r="ADH16" s="292"/>
      <c r="ADI16" s="292"/>
      <c r="ADJ16" s="292"/>
      <c r="ADK16" s="292"/>
      <c r="ADL16" s="292"/>
      <c r="ADM16" s="292"/>
      <c r="ADN16" s="292"/>
      <c r="ADO16" s="292"/>
      <c r="ADP16" s="292"/>
      <c r="ADQ16" s="292"/>
      <c r="ADR16" s="292"/>
      <c r="ADS16" s="292"/>
      <c r="ADT16" s="292"/>
      <c r="ADU16" s="292"/>
      <c r="ADV16" s="292"/>
      <c r="ADW16" s="292"/>
      <c r="ADX16" s="292"/>
      <c r="ADY16" s="292"/>
      <c r="ADZ16" s="292"/>
      <c r="AEA16" s="292"/>
      <c r="AEB16" s="292"/>
      <c r="AEC16" s="292"/>
      <c r="AED16" s="292"/>
      <c r="AEE16" s="292"/>
      <c r="AEF16" s="292"/>
      <c r="AEG16" s="292"/>
      <c r="AEH16" s="292"/>
      <c r="AEI16" s="292"/>
      <c r="AEJ16" s="292"/>
      <c r="AEK16" s="292"/>
      <c r="AEL16" s="292"/>
      <c r="AEM16" s="292"/>
      <c r="AEN16" s="292"/>
      <c r="AEO16" s="292"/>
      <c r="AEP16" s="292"/>
      <c r="AEQ16" s="292"/>
      <c r="AER16" s="292"/>
      <c r="AES16" s="292"/>
      <c r="AET16" s="292"/>
      <c r="AEU16" s="292"/>
      <c r="AEV16" s="292"/>
      <c r="AEW16" s="292"/>
      <c r="AEX16" s="292"/>
      <c r="AEY16" s="292"/>
      <c r="AEZ16" s="292"/>
      <c r="AFA16" s="292"/>
      <c r="AFB16" s="292"/>
      <c r="AFC16" s="292"/>
      <c r="AFD16" s="292"/>
      <c r="AFE16" s="292"/>
      <c r="AFF16" s="292"/>
      <c r="AFG16" s="292"/>
      <c r="AFH16" s="292"/>
      <c r="AFI16" s="292"/>
      <c r="AFJ16" s="292"/>
      <c r="AFK16" s="292"/>
      <c r="AFL16" s="292"/>
      <c r="AFM16" s="292"/>
      <c r="AFN16" s="292"/>
      <c r="AFO16" s="292"/>
      <c r="AFP16" s="292"/>
      <c r="AFQ16" s="292"/>
      <c r="AFR16" s="292"/>
      <c r="AFS16" s="292"/>
      <c r="AFT16" s="292"/>
      <c r="AFU16" s="292"/>
      <c r="AFV16" s="292"/>
      <c r="AFW16" s="292"/>
      <c r="AFX16" s="292"/>
      <c r="AFY16" s="292"/>
      <c r="AFZ16" s="292"/>
      <c r="AGA16" s="292"/>
      <c r="AGB16" s="292"/>
      <c r="AGC16" s="292"/>
      <c r="AGD16" s="292"/>
      <c r="AGE16" s="292"/>
      <c r="AGF16" s="292"/>
      <c r="AGG16" s="292"/>
      <c r="AGH16" s="292"/>
      <c r="AGI16" s="292"/>
      <c r="AGJ16" s="292"/>
      <c r="AGK16" s="292"/>
      <c r="AGL16" s="292"/>
      <c r="AGM16" s="292"/>
      <c r="AGN16" s="292"/>
      <c r="AGO16" s="292"/>
      <c r="AGP16" s="292"/>
      <c r="AGQ16" s="292"/>
      <c r="AGR16" s="292"/>
      <c r="AGS16" s="292"/>
      <c r="AGT16" s="292"/>
      <c r="AGU16" s="292"/>
      <c r="AGV16" s="292"/>
      <c r="AGW16" s="292"/>
      <c r="AGX16" s="292"/>
      <c r="AGY16" s="292"/>
      <c r="AGZ16" s="292"/>
      <c r="AHA16" s="292"/>
      <c r="AHB16" s="292"/>
      <c r="AHC16" s="292"/>
      <c r="AHD16" s="292"/>
      <c r="AHE16" s="292"/>
      <c r="AHF16" s="292"/>
      <c r="AHG16" s="292"/>
      <c r="AHH16" s="292"/>
      <c r="AHI16" s="292"/>
      <c r="AHJ16" s="292"/>
      <c r="AHK16" s="292"/>
      <c r="AHL16" s="292"/>
      <c r="AHM16" s="292"/>
      <c r="AHN16" s="292"/>
      <c r="AHO16" s="292"/>
      <c r="AHP16" s="292"/>
      <c r="AHQ16" s="292"/>
      <c r="AHR16" s="292"/>
      <c r="AHS16" s="292"/>
      <c r="AHT16" s="292"/>
      <c r="AHU16" s="292"/>
      <c r="AHV16" s="292"/>
      <c r="AHW16" s="292"/>
      <c r="AHX16" s="292"/>
      <c r="AHY16" s="292"/>
      <c r="AHZ16" s="292"/>
      <c r="AIA16" s="292"/>
      <c r="AIB16" s="292"/>
      <c r="AIC16" s="292"/>
      <c r="AID16" s="292"/>
      <c r="AIE16" s="292"/>
      <c r="AIF16" s="292"/>
      <c r="AIG16" s="292"/>
      <c r="AIH16" s="292"/>
      <c r="AII16" s="292"/>
      <c r="AIJ16" s="292"/>
      <c r="AIK16" s="292"/>
      <c r="AIL16" s="292"/>
      <c r="AIM16" s="292"/>
      <c r="AIN16" s="292"/>
      <c r="AIO16" s="292"/>
      <c r="AIP16" s="292"/>
      <c r="AIQ16" s="292"/>
      <c r="AIR16" s="292"/>
      <c r="AIS16" s="292"/>
      <c r="AIT16" s="292"/>
      <c r="AIU16" s="292"/>
      <c r="AIV16" s="292"/>
      <c r="AIW16" s="292"/>
      <c r="AIX16" s="292"/>
      <c r="AIY16" s="292"/>
      <c r="AIZ16" s="292"/>
      <c r="AJA16" s="292"/>
      <c r="AJB16" s="292"/>
      <c r="AJC16" s="292"/>
      <c r="AJD16" s="292"/>
      <c r="AJE16" s="292"/>
      <c r="AJF16" s="292"/>
      <c r="AJG16" s="292"/>
      <c r="AJH16" s="292"/>
      <c r="AJI16" s="292"/>
      <c r="AJJ16" s="292"/>
      <c r="AJK16" s="292"/>
      <c r="AJL16" s="292"/>
      <c r="AJM16" s="292"/>
      <c r="AJN16" s="292"/>
      <c r="AJO16" s="292"/>
      <c r="AJP16" s="292"/>
      <c r="AJQ16" s="292"/>
      <c r="AJR16" s="292"/>
      <c r="AJS16" s="292"/>
      <c r="AJT16" s="292"/>
      <c r="AJU16" s="292"/>
      <c r="AJV16" s="292"/>
      <c r="AJW16" s="292"/>
      <c r="AJX16" s="292"/>
      <c r="AJY16" s="292"/>
      <c r="AJZ16" s="292"/>
      <c r="AKA16" s="292"/>
      <c r="AKB16" s="292"/>
      <c r="AKC16" s="292"/>
      <c r="AKD16" s="292"/>
      <c r="AKE16" s="292"/>
      <c r="AKF16" s="292"/>
      <c r="AKG16" s="292"/>
      <c r="AKH16" s="292"/>
      <c r="AKI16" s="292"/>
      <c r="AKJ16" s="292"/>
      <c r="AKK16" s="292"/>
      <c r="AKL16" s="292"/>
      <c r="AKM16" s="292"/>
      <c r="AKN16" s="292"/>
      <c r="AKO16" s="292"/>
      <c r="AKP16" s="292"/>
      <c r="AKQ16" s="292"/>
      <c r="AKR16" s="292"/>
      <c r="AKS16" s="292"/>
      <c r="AKT16" s="292"/>
      <c r="AKU16" s="292"/>
      <c r="AKV16" s="292"/>
      <c r="AKW16" s="292"/>
      <c r="AKX16" s="292"/>
      <c r="AKY16" s="292"/>
      <c r="AKZ16" s="292"/>
      <c r="ALA16" s="292"/>
      <c r="ALB16" s="292"/>
      <c r="ALC16" s="292"/>
      <c r="ALD16" s="292"/>
      <c r="ALE16" s="292"/>
      <c r="ALF16" s="292"/>
      <c r="ALG16" s="292"/>
      <c r="ALH16" s="292"/>
      <c r="ALI16" s="292"/>
      <c r="ALJ16" s="292"/>
      <c r="ALK16" s="292"/>
      <c r="ALL16" s="292"/>
      <c r="ALM16" s="292"/>
      <c r="ALN16" s="292"/>
      <c r="ALO16" s="292"/>
      <c r="ALP16" s="292"/>
      <c r="ALQ16" s="292"/>
      <c r="ALR16" s="292"/>
      <c r="ALS16" s="292"/>
      <c r="ALT16" s="292"/>
      <c r="ALU16" s="292"/>
      <c r="ALV16" s="292"/>
      <c r="ALW16" s="292"/>
      <c r="ALX16" s="292"/>
      <c r="ALY16" s="292"/>
      <c r="ALZ16" s="292"/>
      <c r="AMA16" s="292"/>
      <c r="AMB16" s="292"/>
      <c r="AMC16" s="292"/>
      <c r="AMD16" s="292"/>
      <c r="AME16" s="292"/>
      <c r="AMF16" s="292"/>
      <c r="AMG16" s="292"/>
      <c r="AMH16" s="292"/>
      <c r="AMI16" s="292"/>
      <c r="AMJ16" s="292"/>
      <c r="AMK16" s="292"/>
      <c r="AML16" s="292"/>
      <c r="AMM16" s="292"/>
      <c r="AMN16" s="292"/>
      <c r="AMO16" s="292"/>
      <c r="AMP16" s="292"/>
      <c r="AMQ16" s="292"/>
      <c r="AMR16" s="292"/>
      <c r="AMS16" s="292"/>
      <c r="AMT16" s="292"/>
      <c r="AMU16" s="292"/>
      <c r="AMV16" s="292"/>
      <c r="AMW16" s="292"/>
      <c r="AMX16" s="292"/>
      <c r="AMY16" s="292"/>
      <c r="AMZ16" s="292"/>
      <c r="ANA16" s="292"/>
      <c r="ANB16" s="292"/>
      <c r="ANC16" s="292"/>
      <c r="AND16" s="292"/>
      <c r="ANE16" s="292"/>
      <c r="ANF16" s="292"/>
      <c r="ANG16" s="292"/>
      <c r="ANH16" s="292"/>
      <c r="ANI16" s="292"/>
      <c r="ANJ16" s="292"/>
      <c r="ANK16" s="292"/>
      <c r="ANL16" s="292"/>
      <c r="ANM16" s="292"/>
      <c r="ANN16" s="292"/>
      <c r="ANO16" s="292"/>
      <c r="ANP16" s="292"/>
      <c r="ANQ16" s="292"/>
      <c r="ANR16" s="292"/>
      <c r="ANS16" s="292"/>
      <c r="ANT16" s="292"/>
      <c r="ANU16" s="292"/>
      <c r="ANV16" s="292"/>
      <c r="ANW16" s="292"/>
      <c r="ANX16" s="292"/>
      <c r="ANY16" s="292"/>
      <c r="ANZ16" s="292"/>
      <c r="AOA16" s="292"/>
      <c r="AOB16" s="292"/>
      <c r="AOC16" s="292"/>
      <c r="AOD16" s="292"/>
      <c r="AOE16" s="292"/>
      <c r="AOF16" s="292"/>
      <c r="AOG16" s="292"/>
      <c r="AOH16" s="292"/>
      <c r="AOI16" s="292"/>
      <c r="AOJ16" s="292"/>
      <c r="AOK16" s="292"/>
      <c r="AOL16" s="292"/>
      <c r="AOM16" s="292"/>
      <c r="AON16" s="292"/>
      <c r="AOO16" s="292"/>
      <c r="AOP16" s="292"/>
      <c r="AOQ16" s="292"/>
      <c r="AOR16" s="292"/>
      <c r="AOS16" s="292"/>
      <c r="AOT16" s="292"/>
      <c r="AOU16" s="292"/>
      <c r="AOV16" s="292"/>
      <c r="AOW16" s="292"/>
      <c r="AOX16" s="292"/>
      <c r="AOY16" s="292"/>
      <c r="AOZ16" s="292"/>
      <c r="APA16" s="292"/>
      <c r="APB16" s="292"/>
      <c r="APC16" s="292"/>
      <c r="APD16" s="292"/>
      <c r="APE16" s="292"/>
      <c r="APF16" s="292"/>
      <c r="APG16" s="292"/>
      <c r="APH16" s="292"/>
      <c r="API16" s="292"/>
      <c r="APJ16" s="292"/>
      <c r="APK16" s="292"/>
      <c r="APL16" s="292"/>
      <c r="APM16" s="292"/>
      <c r="APN16" s="292"/>
      <c r="APO16" s="292"/>
      <c r="APP16" s="292"/>
      <c r="APQ16" s="292"/>
      <c r="APR16" s="292"/>
      <c r="APS16" s="292"/>
      <c r="APT16" s="292"/>
      <c r="APU16" s="292"/>
      <c r="APV16" s="292"/>
      <c r="APW16" s="292"/>
      <c r="APX16" s="292"/>
      <c r="APY16" s="292"/>
      <c r="APZ16" s="292"/>
      <c r="AQA16" s="292"/>
      <c r="AQB16" s="292"/>
      <c r="AQC16" s="292"/>
      <c r="AQD16" s="292"/>
      <c r="AQE16" s="292"/>
      <c r="AQF16" s="292"/>
      <c r="AQG16" s="292"/>
      <c r="AQH16" s="292"/>
      <c r="AQI16" s="292"/>
      <c r="AQJ16" s="292"/>
      <c r="AQK16" s="292"/>
      <c r="AQL16" s="292"/>
      <c r="AQM16" s="292"/>
      <c r="AQN16" s="292"/>
      <c r="AQO16" s="292"/>
      <c r="AQP16" s="292"/>
      <c r="AQQ16" s="292"/>
      <c r="AQR16" s="292"/>
      <c r="AQS16" s="292"/>
      <c r="AQT16" s="292"/>
      <c r="AQU16" s="292"/>
      <c r="AQV16" s="292"/>
      <c r="AQW16" s="292"/>
      <c r="AQX16" s="292"/>
      <c r="AQY16" s="292"/>
      <c r="AQZ16" s="292"/>
      <c r="ARA16" s="292"/>
      <c r="ARB16" s="292"/>
      <c r="ARC16" s="292"/>
      <c r="ARD16" s="292"/>
      <c r="ARE16" s="292"/>
      <c r="ARF16" s="292"/>
      <c r="ARG16" s="292"/>
      <c r="ARH16" s="292"/>
      <c r="ARI16" s="292"/>
      <c r="ARJ16" s="292"/>
      <c r="ARK16" s="292"/>
      <c r="ARL16" s="292"/>
      <c r="ARM16" s="292"/>
      <c r="ARN16" s="292"/>
      <c r="ARO16" s="292"/>
      <c r="ARP16" s="292"/>
      <c r="ARQ16" s="292"/>
      <c r="ARR16" s="292"/>
      <c r="ARS16" s="292"/>
      <c r="ART16" s="292"/>
      <c r="ARU16" s="292"/>
      <c r="ARV16" s="292"/>
      <c r="ARW16" s="292"/>
      <c r="ARX16" s="292"/>
      <c r="ARY16" s="292"/>
      <c r="ARZ16" s="292"/>
      <c r="ASA16" s="292"/>
      <c r="ASB16" s="292"/>
      <c r="ASC16" s="292"/>
      <c r="ASD16" s="292"/>
      <c r="ASE16" s="292"/>
      <c r="ASF16" s="292"/>
      <c r="ASG16" s="292"/>
      <c r="ASH16" s="292"/>
      <c r="ASI16" s="292"/>
      <c r="ASJ16" s="292"/>
      <c r="ASK16" s="292"/>
      <c r="ASL16" s="292"/>
      <c r="ASM16" s="292"/>
      <c r="ASN16" s="292"/>
      <c r="ASO16" s="292"/>
      <c r="ASP16" s="292"/>
      <c r="ASQ16" s="292"/>
      <c r="ASR16" s="292"/>
      <c r="ASS16" s="292"/>
      <c r="AST16" s="292"/>
      <c r="ASU16" s="292"/>
      <c r="ASV16" s="292"/>
      <c r="ASW16" s="292"/>
      <c r="ASX16" s="292"/>
      <c r="ASY16" s="292"/>
      <c r="ASZ16" s="292"/>
      <c r="ATA16" s="292"/>
      <c r="ATB16" s="292"/>
      <c r="ATC16" s="292"/>
      <c r="ATD16" s="292"/>
      <c r="ATE16" s="292"/>
      <c r="ATF16" s="292"/>
      <c r="ATG16" s="292"/>
      <c r="ATH16" s="292"/>
      <c r="ATI16" s="292"/>
      <c r="ATJ16" s="292"/>
      <c r="ATK16" s="292"/>
      <c r="ATL16" s="292"/>
      <c r="ATM16" s="292"/>
      <c r="ATN16" s="292"/>
      <c r="ATO16" s="292"/>
      <c r="ATP16" s="292"/>
      <c r="ATQ16" s="292"/>
      <c r="ATR16" s="292"/>
      <c r="ATS16" s="292"/>
      <c r="ATT16" s="292"/>
      <c r="ATU16" s="292"/>
      <c r="ATV16" s="292"/>
      <c r="ATW16" s="292"/>
      <c r="ATX16" s="292"/>
      <c r="ATY16" s="292"/>
      <c r="ATZ16" s="292"/>
      <c r="AUA16" s="292"/>
      <c r="AUB16" s="292"/>
      <c r="AUC16" s="292"/>
      <c r="AUD16" s="292"/>
      <c r="AUE16" s="292"/>
      <c r="AUF16" s="292"/>
      <c r="AUG16" s="292"/>
      <c r="AUH16" s="292"/>
      <c r="AUI16" s="292"/>
      <c r="AUJ16" s="292"/>
      <c r="AUK16" s="292"/>
      <c r="AUL16" s="292"/>
      <c r="AUM16" s="292"/>
      <c r="AUN16" s="292"/>
      <c r="AUO16" s="292"/>
      <c r="AUP16" s="292"/>
      <c r="AUQ16" s="292"/>
      <c r="AUR16" s="292"/>
      <c r="AUS16" s="292"/>
      <c r="AUT16" s="292"/>
      <c r="AUU16" s="292"/>
      <c r="AUV16" s="292"/>
      <c r="AUW16" s="292"/>
      <c r="AUX16" s="292"/>
      <c r="AUY16" s="292"/>
      <c r="AUZ16" s="292"/>
      <c r="AVA16" s="292"/>
      <c r="AVB16" s="292"/>
      <c r="AVC16" s="292"/>
      <c r="AVD16" s="292"/>
      <c r="AVE16" s="292"/>
      <c r="AVF16" s="292"/>
      <c r="AVG16" s="292"/>
      <c r="AVH16" s="292"/>
      <c r="AVI16" s="292"/>
      <c r="AVJ16" s="292"/>
      <c r="AVK16" s="292"/>
      <c r="AVL16" s="292"/>
      <c r="AVM16" s="292"/>
      <c r="AVN16" s="292"/>
      <c r="AVO16" s="292"/>
      <c r="AVP16" s="292"/>
      <c r="AVQ16" s="292"/>
      <c r="AVR16" s="292"/>
      <c r="AVS16" s="292"/>
      <c r="AVT16" s="292"/>
      <c r="AVU16" s="292"/>
      <c r="AVV16" s="292"/>
      <c r="AVW16" s="292"/>
      <c r="AVX16" s="292"/>
      <c r="AVY16" s="292"/>
      <c r="AVZ16" s="292"/>
      <c r="AWA16" s="292"/>
      <c r="AWB16" s="292"/>
      <c r="AWC16" s="292"/>
      <c r="AWD16" s="292"/>
      <c r="AWE16" s="292"/>
      <c r="AWF16" s="292"/>
      <c r="AWG16" s="292"/>
      <c r="AWH16" s="292"/>
      <c r="AWI16" s="292"/>
      <c r="AWJ16" s="292"/>
      <c r="AWK16" s="292"/>
      <c r="AWL16" s="292"/>
      <c r="AWM16" s="292"/>
      <c r="AWN16" s="292"/>
      <c r="AWO16" s="292"/>
      <c r="AWP16" s="292"/>
      <c r="AWQ16" s="292"/>
      <c r="AWR16" s="292"/>
      <c r="AWS16" s="292"/>
      <c r="AWT16" s="292"/>
      <c r="AWU16" s="292"/>
      <c r="AWV16" s="292"/>
      <c r="AWW16" s="292"/>
      <c r="AWX16" s="292"/>
      <c r="AWY16" s="292"/>
      <c r="AWZ16" s="292"/>
      <c r="AXA16" s="292"/>
      <c r="AXB16" s="292"/>
      <c r="AXC16" s="292"/>
      <c r="AXD16" s="292"/>
      <c r="AXE16" s="292"/>
      <c r="AXF16" s="292"/>
      <c r="AXG16" s="292"/>
      <c r="AXH16" s="292"/>
      <c r="AXI16" s="292"/>
      <c r="AXJ16" s="292"/>
      <c r="AXK16" s="292"/>
      <c r="AXL16" s="292"/>
      <c r="AXM16" s="292"/>
      <c r="AXN16" s="292"/>
      <c r="AXO16" s="292"/>
      <c r="AXP16" s="292"/>
      <c r="AXQ16" s="292"/>
      <c r="AXR16" s="292"/>
      <c r="AXS16" s="292"/>
      <c r="AXT16" s="292"/>
      <c r="AXU16" s="292"/>
      <c r="AXV16" s="292"/>
      <c r="AXW16" s="292"/>
      <c r="AXX16" s="292"/>
      <c r="AXY16" s="292"/>
      <c r="AXZ16" s="292"/>
      <c r="AYA16" s="292"/>
      <c r="AYB16" s="292"/>
      <c r="AYC16" s="292"/>
      <c r="AYD16" s="292"/>
      <c r="AYE16" s="292"/>
      <c r="AYF16" s="292"/>
      <c r="AYG16" s="292"/>
      <c r="AYH16" s="292"/>
      <c r="AYI16" s="292"/>
      <c r="AYJ16" s="292"/>
      <c r="AYK16" s="292"/>
      <c r="AYL16" s="292"/>
      <c r="AYM16" s="292"/>
      <c r="AYN16" s="292"/>
      <c r="AYO16" s="292"/>
      <c r="AYP16" s="292"/>
      <c r="AYQ16" s="292"/>
      <c r="AYR16" s="292"/>
      <c r="AYS16" s="292"/>
      <c r="AYT16" s="292"/>
      <c r="AYU16" s="292"/>
      <c r="AYV16" s="292"/>
      <c r="AYW16" s="292"/>
      <c r="AYX16" s="292"/>
      <c r="AYY16" s="292"/>
      <c r="AYZ16" s="292"/>
      <c r="AZA16" s="292"/>
      <c r="AZB16" s="292"/>
      <c r="AZC16" s="292"/>
      <c r="AZD16" s="292"/>
      <c r="AZE16" s="292"/>
      <c r="AZF16" s="292"/>
      <c r="AZG16" s="292"/>
      <c r="AZH16" s="292"/>
      <c r="AZI16" s="292"/>
      <c r="AZJ16" s="292"/>
      <c r="AZK16" s="292"/>
      <c r="AZL16" s="292"/>
      <c r="AZM16" s="292"/>
      <c r="AZN16" s="292"/>
      <c r="AZO16" s="292"/>
      <c r="AZP16" s="292"/>
      <c r="AZQ16" s="292"/>
      <c r="AZR16" s="292"/>
      <c r="AZS16" s="292"/>
      <c r="AZT16" s="292"/>
      <c r="AZU16" s="292"/>
      <c r="AZV16" s="292"/>
      <c r="AZW16" s="292"/>
      <c r="AZX16" s="292"/>
      <c r="AZY16" s="292"/>
      <c r="AZZ16" s="292"/>
      <c r="BAA16" s="292"/>
      <c r="BAB16" s="292"/>
      <c r="BAC16" s="292"/>
      <c r="BAD16" s="292"/>
      <c r="BAE16" s="292"/>
      <c r="BAF16" s="292"/>
      <c r="BAG16" s="292"/>
      <c r="BAH16" s="292"/>
      <c r="BAI16" s="292"/>
      <c r="BAJ16" s="292"/>
      <c r="BAK16" s="292"/>
      <c r="BAL16" s="292"/>
      <c r="BAM16" s="292"/>
      <c r="BAN16" s="292"/>
      <c r="BAO16" s="292"/>
      <c r="BAP16" s="292"/>
      <c r="BAQ16" s="292"/>
      <c r="BAR16" s="292"/>
      <c r="BAS16" s="292"/>
      <c r="BAT16" s="292"/>
      <c r="BAU16" s="292"/>
      <c r="BAV16" s="292"/>
      <c r="BAW16" s="292"/>
      <c r="BAX16" s="292"/>
      <c r="BAY16" s="292"/>
      <c r="BAZ16" s="292"/>
      <c r="BBA16" s="292"/>
      <c r="BBB16" s="292"/>
      <c r="BBC16" s="292"/>
      <c r="BBD16" s="292"/>
      <c r="BBE16" s="292"/>
      <c r="BBF16" s="292"/>
      <c r="BBG16" s="292"/>
      <c r="BBH16" s="292"/>
      <c r="BBI16" s="292"/>
      <c r="BBJ16" s="292"/>
      <c r="BBK16" s="292"/>
      <c r="BBL16" s="292"/>
      <c r="BBM16" s="292"/>
      <c r="BBN16" s="292"/>
      <c r="BBO16" s="292"/>
      <c r="BBP16" s="292"/>
      <c r="BBQ16" s="292"/>
      <c r="BBR16" s="292"/>
      <c r="BBS16" s="292"/>
      <c r="BBT16" s="292"/>
      <c r="BBU16" s="292"/>
      <c r="BBV16" s="292"/>
      <c r="BBW16" s="292"/>
      <c r="BBX16" s="292"/>
      <c r="BBY16" s="292"/>
      <c r="BBZ16" s="292"/>
      <c r="BCA16" s="292"/>
      <c r="BCB16" s="292"/>
      <c r="BCC16" s="292"/>
      <c r="BCD16" s="292"/>
      <c r="BCE16" s="292"/>
      <c r="BCF16" s="292"/>
      <c r="BCG16" s="292"/>
      <c r="BCH16" s="292"/>
      <c r="BCI16" s="292"/>
      <c r="BCJ16" s="292"/>
      <c r="BCK16" s="292"/>
      <c r="BCL16" s="292"/>
      <c r="BCM16" s="292"/>
      <c r="BCN16" s="292"/>
      <c r="BCO16" s="292"/>
      <c r="BCP16" s="292"/>
      <c r="BCQ16" s="292"/>
      <c r="BCR16" s="292"/>
      <c r="BCS16" s="292"/>
      <c r="BCT16" s="292"/>
      <c r="BCU16" s="292"/>
      <c r="BCV16" s="292"/>
      <c r="BCW16" s="292"/>
      <c r="BCX16" s="292"/>
      <c r="BCY16" s="292"/>
      <c r="BCZ16" s="292"/>
      <c r="BDA16" s="292"/>
      <c r="BDB16" s="292"/>
      <c r="BDC16" s="292"/>
      <c r="BDD16" s="292"/>
      <c r="BDE16" s="292"/>
      <c r="BDF16" s="292"/>
      <c r="BDG16" s="292"/>
      <c r="BDH16" s="292"/>
      <c r="BDI16" s="292"/>
      <c r="BDJ16" s="292"/>
      <c r="BDK16" s="292"/>
      <c r="BDL16" s="292"/>
      <c r="BDM16" s="292"/>
      <c r="BDN16" s="292"/>
      <c r="BDO16" s="292"/>
      <c r="BDP16" s="292"/>
      <c r="BDQ16" s="292"/>
      <c r="BDR16" s="292"/>
      <c r="BDS16" s="292"/>
      <c r="BDT16" s="292"/>
      <c r="BDU16" s="292"/>
      <c r="BDV16" s="292"/>
      <c r="BDW16" s="292"/>
      <c r="BDX16" s="292"/>
      <c r="BDY16" s="292"/>
      <c r="BDZ16" s="292"/>
      <c r="BEA16" s="292"/>
      <c r="BEB16" s="292"/>
      <c r="BEC16" s="292"/>
      <c r="BED16" s="292"/>
      <c r="BEE16" s="292"/>
      <c r="BEF16" s="292"/>
      <c r="BEG16" s="292"/>
      <c r="BEH16" s="292"/>
      <c r="BEI16" s="292"/>
      <c r="BEJ16" s="292"/>
      <c r="BEK16" s="292"/>
      <c r="BEL16" s="292"/>
      <c r="BEM16" s="292"/>
      <c r="BEN16" s="292"/>
      <c r="BEO16" s="292"/>
      <c r="BEP16" s="292"/>
      <c r="BEQ16" s="292"/>
      <c r="BER16" s="292"/>
      <c r="BES16" s="292"/>
      <c r="BET16" s="292"/>
      <c r="BEU16" s="292"/>
      <c r="BEV16" s="292"/>
      <c r="BEW16" s="292"/>
      <c r="BEX16" s="292"/>
      <c r="BEY16" s="292"/>
      <c r="BEZ16" s="292"/>
      <c r="BFA16" s="292"/>
      <c r="BFB16" s="292"/>
      <c r="BFC16" s="292"/>
      <c r="BFD16" s="292"/>
      <c r="BFE16" s="292"/>
      <c r="BFF16" s="292"/>
      <c r="BFG16" s="292"/>
      <c r="BFH16" s="292"/>
      <c r="BFI16" s="292"/>
      <c r="BFJ16" s="292"/>
      <c r="BFK16" s="292"/>
      <c r="BFL16" s="292"/>
      <c r="BFM16" s="292"/>
      <c r="BFN16" s="292"/>
      <c r="BFO16" s="292"/>
      <c r="BFP16" s="292"/>
      <c r="BFQ16" s="292"/>
      <c r="BFR16" s="292"/>
      <c r="BFS16" s="292"/>
      <c r="BFT16" s="292"/>
      <c r="BFU16" s="292"/>
      <c r="BFV16" s="292"/>
      <c r="BFW16" s="292"/>
      <c r="BFX16" s="292"/>
      <c r="BFY16" s="292"/>
      <c r="BFZ16" s="292"/>
      <c r="BGA16" s="292"/>
      <c r="BGB16" s="292"/>
      <c r="BGC16" s="292"/>
      <c r="BGD16" s="292"/>
      <c r="BGE16" s="292"/>
      <c r="BGF16" s="292"/>
      <c r="BGG16" s="292"/>
      <c r="BGH16" s="292"/>
      <c r="BGI16" s="292"/>
      <c r="BGJ16" s="292"/>
      <c r="BGK16" s="292"/>
      <c r="BGL16" s="292"/>
      <c r="BGM16" s="292"/>
      <c r="BGN16" s="292"/>
      <c r="BGO16" s="292"/>
      <c r="BGP16" s="292"/>
      <c r="BGQ16" s="292"/>
      <c r="BGR16" s="292"/>
      <c r="BGS16" s="292"/>
      <c r="BGT16" s="292"/>
      <c r="BGU16" s="292"/>
      <c r="BGV16" s="292"/>
      <c r="BGW16" s="292"/>
      <c r="BGX16" s="292"/>
      <c r="BGY16" s="292"/>
      <c r="BGZ16" s="292"/>
      <c r="BHA16" s="292"/>
      <c r="BHB16" s="292"/>
      <c r="BHC16" s="292"/>
      <c r="BHD16" s="292"/>
      <c r="BHE16" s="292"/>
      <c r="BHF16" s="292"/>
      <c r="BHG16" s="292"/>
      <c r="BHH16" s="292"/>
      <c r="BHI16" s="292"/>
      <c r="BHJ16" s="292"/>
      <c r="BHK16" s="292"/>
      <c r="BHL16" s="292"/>
      <c r="BHM16" s="292"/>
      <c r="BHN16" s="292"/>
      <c r="BHO16" s="292"/>
      <c r="BHP16" s="292"/>
      <c r="BHQ16" s="292"/>
      <c r="BHR16" s="292"/>
      <c r="BHS16" s="292"/>
      <c r="BHT16" s="292"/>
      <c r="BHU16" s="292"/>
      <c r="BHV16" s="292"/>
      <c r="BHW16" s="292"/>
      <c r="BHX16" s="292"/>
      <c r="BHY16" s="292"/>
      <c r="BHZ16" s="292"/>
      <c r="BIA16" s="292"/>
      <c r="BIB16" s="292"/>
      <c r="BIC16" s="292"/>
      <c r="BID16" s="292"/>
      <c r="BIE16" s="292"/>
      <c r="BIF16" s="292"/>
      <c r="BIG16" s="292"/>
      <c r="BIH16" s="292"/>
      <c r="BII16" s="292"/>
      <c r="BIJ16" s="292"/>
      <c r="BIK16" s="292"/>
      <c r="BIL16" s="292"/>
      <c r="BIM16" s="292"/>
      <c r="BIN16" s="292"/>
      <c r="BIO16" s="292"/>
      <c r="BIP16" s="292"/>
      <c r="BIQ16" s="292"/>
      <c r="BIR16" s="292"/>
      <c r="BIS16" s="292"/>
      <c r="BIT16" s="292"/>
      <c r="BIU16" s="292"/>
      <c r="BIV16" s="292"/>
      <c r="BIW16" s="292"/>
      <c r="BIX16" s="292"/>
      <c r="BIY16" s="292"/>
      <c r="BIZ16" s="292"/>
      <c r="BJA16" s="292"/>
      <c r="BJB16" s="292"/>
      <c r="BJC16" s="292"/>
      <c r="BJD16" s="292"/>
      <c r="BJE16" s="292"/>
      <c r="BJF16" s="292"/>
      <c r="BJG16" s="292"/>
      <c r="BJH16" s="292"/>
      <c r="BJI16" s="292"/>
      <c r="BJJ16" s="292"/>
      <c r="BJK16" s="292"/>
      <c r="BJL16" s="292"/>
      <c r="BJM16" s="292"/>
      <c r="BJN16" s="292"/>
      <c r="BJO16" s="292"/>
      <c r="BJP16" s="292"/>
      <c r="BJQ16" s="292"/>
      <c r="BJR16" s="292"/>
      <c r="BJS16" s="292"/>
      <c r="BJT16" s="292"/>
      <c r="BJU16" s="292"/>
      <c r="BJV16" s="292"/>
      <c r="BJW16" s="292"/>
      <c r="BJX16" s="292"/>
      <c r="BJY16" s="292"/>
      <c r="BJZ16" s="292"/>
      <c r="BKA16" s="292"/>
      <c r="BKB16" s="292"/>
      <c r="BKC16" s="292"/>
      <c r="BKD16" s="292"/>
      <c r="BKE16" s="292"/>
      <c r="BKF16" s="292"/>
      <c r="BKG16" s="292"/>
      <c r="BKH16" s="292"/>
      <c r="BKI16" s="292"/>
      <c r="BKJ16" s="292"/>
      <c r="BKK16" s="292"/>
      <c r="BKL16" s="292"/>
      <c r="BKM16" s="292"/>
      <c r="BKN16" s="292"/>
      <c r="BKO16" s="292"/>
      <c r="BKP16" s="292"/>
      <c r="BKQ16" s="292"/>
      <c r="BKR16" s="292"/>
      <c r="BKS16" s="292"/>
      <c r="BKT16" s="292"/>
      <c r="BKU16" s="292"/>
      <c r="BKV16" s="292"/>
      <c r="BKW16" s="292"/>
      <c r="BKX16" s="292"/>
      <c r="BKY16" s="292"/>
      <c r="BKZ16" s="292"/>
      <c r="BLA16" s="292"/>
      <c r="BLB16" s="292"/>
      <c r="BLC16" s="292"/>
      <c r="BLD16" s="292"/>
      <c r="BLE16" s="292"/>
      <c r="BLF16" s="292"/>
      <c r="BLG16" s="292"/>
      <c r="BLH16" s="292"/>
      <c r="BLI16" s="292"/>
      <c r="BLJ16" s="292"/>
      <c r="BLK16" s="292"/>
      <c r="BLL16" s="292"/>
      <c r="BLM16" s="292"/>
      <c r="BLN16" s="292"/>
      <c r="BLO16" s="292"/>
      <c r="BLP16" s="292"/>
      <c r="BLQ16" s="292"/>
      <c r="BLR16" s="292"/>
      <c r="BLS16" s="292"/>
      <c r="BLT16" s="292"/>
      <c r="BLU16" s="292"/>
      <c r="BLV16" s="292"/>
      <c r="BLW16" s="292"/>
      <c r="BLX16" s="292"/>
      <c r="BLY16" s="292"/>
      <c r="BLZ16" s="292"/>
      <c r="BMA16" s="292"/>
      <c r="BMB16" s="292"/>
      <c r="BMC16" s="292"/>
      <c r="BMD16" s="292"/>
      <c r="BME16" s="292"/>
      <c r="BMF16" s="292"/>
      <c r="BMG16" s="292"/>
      <c r="BMH16" s="292"/>
      <c r="BMI16" s="292"/>
      <c r="BMJ16" s="292"/>
      <c r="BMK16" s="292"/>
      <c r="BML16" s="292"/>
      <c r="BMM16" s="292"/>
      <c r="BMN16" s="292"/>
      <c r="BMO16" s="292"/>
      <c r="BMP16" s="292"/>
      <c r="BMQ16" s="292"/>
      <c r="BMR16" s="292"/>
      <c r="BMS16" s="292"/>
      <c r="BMT16" s="292"/>
      <c r="BMU16" s="292"/>
      <c r="BMV16" s="292"/>
      <c r="BMW16" s="292"/>
      <c r="BMX16" s="292"/>
      <c r="BMY16" s="292"/>
      <c r="BMZ16" s="292"/>
      <c r="BNA16" s="292"/>
      <c r="BNB16" s="292"/>
      <c r="BNC16" s="292"/>
      <c r="BND16" s="292"/>
      <c r="BNE16" s="292"/>
      <c r="BNF16" s="292"/>
      <c r="BNG16" s="292"/>
      <c r="BNH16" s="292"/>
      <c r="BNI16" s="292"/>
      <c r="BNJ16" s="292"/>
      <c r="BNK16" s="292"/>
      <c r="BNL16" s="292"/>
      <c r="BNM16" s="292"/>
      <c r="BNN16" s="292"/>
      <c r="BNO16" s="292"/>
      <c r="BNP16" s="292"/>
      <c r="BNQ16" s="292"/>
      <c r="BNR16" s="292"/>
      <c r="BNS16" s="292"/>
      <c r="BNT16" s="292"/>
      <c r="BNU16" s="292"/>
      <c r="BNV16" s="292"/>
      <c r="BNW16" s="292"/>
      <c r="BNX16" s="292"/>
      <c r="BNY16" s="292"/>
      <c r="BNZ16" s="292"/>
      <c r="BOA16" s="292"/>
      <c r="BOB16" s="292"/>
      <c r="BOC16" s="292"/>
      <c r="BOD16" s="292"/>
      <c r="BOE16" s="292"/>
      <c r="BOF16" s="292"/>
      <c r="BOG16" s="292"/>
      <c r="BOH16" s="292"/>
      <c r="BOI16" s="292"/>
      <c r="BOJ16" s="292"/>
      <c r="BOK16" s="292"/>
      <c r="BOL16" s="292"/>
      <c r="BOM16" s="292"/>
      <c r="BON16" s="292"/>
      <c r="BOO16" s="292"/>
      <c r="BOP16" s="292"/>
      <c r="BOQ16" s="292"/>
      <c r="BOR16" s="292"/>
      <c r="BOS16" s="292"/>
      <c r="BOT16" s="292"/>
      <c r="BOU16" s="292"/>
      <c r="BOV16" s="292"/>
      <c r="BOW16" s="292"/>
      <c r="BOX16" s="292"/>
      <c r="BOY16" s="292"/>
      <c r="BOZ16" s="292"/>
      <c r="BPA16" s="292"/>
      <c r="BPB16" s="292"/>
      <c r="BPC16" s="292"/>
      <c r="BPD16" s="292"/>
      <c r="BPE16" s="292"/>
      <c r="BPF16" s="292"/>
      <c r="BPG16" s="292"/>
      <c r="BPH16" s="292"/>
      <c r="BPI16" s="292"/>
      <c r="BPJ16" s="292"/>
      <c r="BPK16" s="292"/>
      <c r="BPL16" s="292"/>
      <c r="BPM16" s="292"/>
      <c r="BPN16" s="292"/>
      <c r="BPO16" s="292"/>
      <c r="BPP16" s="292"/>
      <c r="BPQ16" s="292"/>
      <c r="BPR16" s="292"/>
      <c r="BPS16" s="292"/>
      <c r="BPT16" s="292"/>
      <c r="BPU16" s="292"/>
      <c r="BPV16" s="292"/>
      <c r="BPW16" s="292"/>
      <c r="BPX16" s="292"/>
      <c r="BPY16" s="292"/>
      <c r="BPZ16" s="292"/>
      <c r="BQA16" s="292"/>
      <c r="BQB16" s="292"/>
      <c r="BQC16" s="292"/>
      <c r="BQD16" s="292"/>
      <c r="BQE16" s="292"/>
      <c r="BQF16" s="292"/>
      <c r="BQG16" s="292"/>
      <c r="BQH16" s="292"/>
      <c r="BQI16" s="292"/>
      <c r="BQJ16" s="292"/>
      <c r="BQK16" s="292"/>
      <c r="BQL16" s="292"/>
      <c r="BQM16" s="292"/>
      <c r="BQN16" s="292"/>
      <c r="BQO16" s="292"/>
      <c r="BQP16" s="292"/>
      <c r="BQQ16" s="292"/>
      <c r="BQR16" s="292"/>
      <c r="BQS16" s="292"/>
      <c r="BQT16" s="292"/>
      <c r="BQU16" s="292"/>
      <c r="BQV16" s="292"/>
      <c r="BQW16" s="292"/>
      <c r="BQX16" s="292"/>
      <c r="BQY16" s="292"/>
      <c r="BQZ16" s="292"/>
      <c r="BRA16" s="292"/>
      <c r="BRB16" s="292"/>
      <c r="BRC16" s="292"/>
      <c r="BRD16" s="292"/>
      <c r="BRE16" s="292"/>
      <c r="BRF16" s="292"/>
      <c r="BRG16" s="292"/>
      <c r="BRH16" s="292"/>
      <c r="BRI16" s="292"/>
      <c r="BRJ16" s="292"/>
      <c r="BRK16" s="292"/>
      <c r="BRL16" s="292"/>
      <c r="BRM16" s="292"/>
      <c r="BRN16" s="292"/>
      <c r="BRO16" s="292"/>
      <c r="BRP16" s="292"/>
      <c r="BRQ16" s="292"/>
      <c r="BRR16" s="292"/>
      <c r="BRS16" s="292"/>
      <c r="BRT16" s="292"/>
      <c r="BRU16" s="292"/>
      <c r="BRV16" s="292"/>
      <c r="BRW16" s="292"/>
      <c r="BRX16" s="292"/>
      <c r="BRY16" s="292"/>
      <c r="BRZ16" s="292"/>
      <c r="BSA16" s="292"/>
      <c r="BSB16" s="292"/>
      <c r="BSC16" s="292"/>
      <c r="BSD16" s="292"/>
      <c r="BSE16" s="292"/>
      <c r="BSF16" s="292"/>
      <c r="BSG16" s="292"/>
      <c r="BSH16" s="292"/>
      <c r="BSI16" s="292"/>
      <c r="BSJ16" s="292"/>
      <c r="BSK16" s="292"/>
      <c r="BSL16" s="292"/>
      <c r="BSM16" s="292"/>
      <c r="BSN16" s="292"/>
      <c r="BSO16" s="292"/>
      <c r="BSP16" s="292"/>
      <c r="BSQ16" s="292"/>
      <c r="BSR16" s="292"/>
      <c r="BSS16" s="292"/>
      <c r="BST16" s="292"/>
      <c r="BSU16" s="292"/>
      <c r="BSV16" s="292"/>
      <c r="BSW16" s="292"/>
      <c r="BSX16" s="292"/>
      <c r="BSY16" s="292"/>
      <c r="BSZ16" s="292"/>
      <c r="BTA16" s="292"/>
      <c r="BTB16" s="292"/>
      <c r="BTC16" s="292"/>
      <c r="BTD16" s="292"/>
      <c r="BTE16" s="292"/>
      <c r="BTF16" s="292"/>
      <c r="BTG16" s="292"/>
      <c r="BTH16" s="292"/>
      <c r="BTI16" s="292"/>
      <c r="BTJ16" s="292"/>
      <c r="BTK16" s="292"/>
      <c r="BTL16" s="292"/>
      <c r="BTM16" s="292"/>
      <c r="BTN16" s="292"/>
      <c r="BTO16" s="292"/>
      <c r="BTP16" s="292"/>
      <c r="BTQ16" s="292"/>
      <c r="BTR16" s="292"/>
      <c r="BTS16" s="292"/>
      <c r="BTT16" s="292"/>
      <c r="BTU16" s="292"/>
      <c r="BTV16" s="292"/>
      <c r="BTW16" s="292"/>
      <c r="BTX16" s="292"/>
      <c r="BTY16" s="292"/>
      <c r="BTZ16" s="292"/>
      <c r="BUA16" s="292"/>
      <c r="BUB16" s="292"/>
      <c r="BUC16" s="292"/>
      <c r="BUD16" s="292"/>
      <c r="BUE16" s="292"/>
      <c r="BUF16" s="292"/>
      <c r="BUG16" s="292"/>
      <c r="BUH16" s="292"/>
      <c r="BUI16" s="292"/>
      <c r="BUJ16" s="292"/>
      <c r="BUK16" s="292"/>
      <c r="BUL16" s="292"/>
      <c r="BUM16" s="292"/>
      <c r="BUN16" s="292"/>
      <c r="BUO16" s="292"/>
      <c r="BUP16" s="292"/>
      <c r="BUQ16" s="292"/>
      <c r="BUR16" s="292"/>
      <c r="BUS16" s="292"/>
      <c r="BUT16" s="292"/>
      <c r="BUU16" s="292"/>
      <c r="BUV16" s="292"/>
      <c r="BUW16" s="292"/>
      <c r="BUX16" s="292"/>
      <c r="BUY16" s="292"/>
      <c r="BUZ16" s="292"/>
      <c r="BVA16" s="292"/>
      <c r="BVB16" s="292"/>
      <c r="BVC16" s="292"/>
      <c r="BVD16" s="292"/>
      <c r="BVE16" s="292"/>
      <c r="BVF16" s="292"/>
      <c r="BVG16" s="292"/>
      <c r="BVH16" s="292"/>
      <c r="BVI16" s="292"/>
      <c r="BVJ16" s="292"/>
      <c r="BVK16" s="292"/>
      <c r="BVL16" s="292"/>
      <c r="BVM16" s="292"/>
      <c r="BVN16" s="292"/>
      <c r="BVO16" s="292"/>
      <c r="BVP16" s="292"/>
      <c r="BVQ16" s="292"/>
      <c r="BVR16" s="292"/>
      <c r="BVS16" s="292"/>
      <c r="BVT16" s="292"/>
      <c r="BVU16" s="292"/>
      <c r="BVV16" s="292"/>
      <c r="BVW16" s="292"/>
      <c r="BVX16" s="292"/>
      <c r="BVY16" s="292"/>
      <c r="BVZ16" s="292"/>
      <c r="BWA16" s="292"/>
      <c r="BWB16" s="292"/>
      <c r="BWC16" s="292"/>
      <c r="BWD16" s="292"/>
      <c r="BWE16" s="292"/>
      <c r="BWF16" s="292"/>
      <c r="BWG16" s="292"/>
      <c r="BWH16" s="292"/>
      <c r="BWI16" s="292"/>
      <c r="BWJ16" s="292"/>
      <c r="BWK16" s="292"/>
      <c r="BWL16" s="292"/>
      <c r="BWM16" s="292"/>
      <c r="BWN16" s="292"/>
      <c r="BWO16" s="292"/>
      <c r="BWP16" s="292"/>
      <c r="BWQ16" s="292"/>
      <c r="BWR16" s="292"/>
      <c r="BWS16" s="292"/>
      <c r="BWT16" s="292"/>
      <c r="BWU16" s="292"/>
      <c r="BWV16" s="292"/>
      <c r="BWW16" s="292"/>
      <c r="BWX16" s="292"/>
      <c r="BWY16" s="292"/>
      <c r="BWZ16" s="292"/>
      <c r="BXA16" s="292"/>
      <c r="BXB16" s="292"/>
      <c r="BXC16" s="292"/>
      <c r="BXD16" s="292"/>
      <c r="BXE16" s="292"/>
      <c r="BXF16" s="292"/>
      <c r="BXG16" s="292"/>
      <c r="BXH16" s="292"/>
      <c r="BXI16" s="292"/>
      <c r="BXJ16" s="292"/>
      <c r="BXK16" s="292"/>
      <c r="BXL16" s="292"/>
      <c r="BXM16" s="292"/>
      <c r="BXN16" s="292"/>
      <c r="BXO16" s="292"/>
      <c r="BXP16" s="292"/>
      <c r="BXQ16" s="292"/>
      <c r="BXR16" s="292"/>
      <c r="BXS16" s="292"/>
      <c r="BXT16" s="292"/>
      <c r="BXU16" s="292"/>
      <c r="BXV16" s="292"/>
      <c r="BXW16" s="292"/>
      <c r="BXX16" s="292"/>
      <c r="BXY16" s="292"/>
      <c r="BXZ16" s="292"/>
      <c r="BYA16" s="292"/>
      <c r="BYB16" s="292"/>
      <c r="BYC16" s="292"/>
      <c r="BYD16" s="292"/>
      <c r="BYE16" s="292"/>
      <c r="BYF16" s="292"/>
      <c r="BYG16" s="292"/>
      <c r="BYH16" s="292"/>
      <c r="BYI16" s="292"/>
      <c r="BYJ16" s="292"/>
      <c r="BYK16" s="292"/>
      <c r="BYL16" s="292"/>
      <c r="BYM16" s="292"/>
      <c r="BYN16" s="292"/>
      <c r="BYO16" s="292"/>
      <c r="BYP16" s="292"/>
      <c r="BYQ16" s="292"/>
      <c r="BYR16" s="292"/>
      <c r="BYS16" s="292"/>
      <c r="BYT16" s="292"/>
      <c r="BYU16" s="292"/>
      <c r="BYV16" s="292"/>
      <c r="BYW16" s="292"/>
      <c r="BYX16" s="292"/>
      <c r="BYY16" s="292"/>
      <c r="BYZ16" s="292"/>
      <c r="BZA16" s="292"/>
      <c r="BZB16" s="292"/>
      <c r="BZC16" s="292"/>
      <c r="BZD16" s="292"/>
      <c r="BZE16" s="292"/>
      <c r="BZF16" s="292"/>
      <c r="BZG16" s="292"/>
      <c r="BZH16" s="292"/>
      <c r="BZI16" s="292"/>
      <c r="BZJ16" s="292"/>
      <c r="BZK16" s="292"/>
      <c r="BZL16" s="292"/>
      <c r="BZM16" s="292"/>
      <c r="BZN16" s="292"/>
      <c r="BZO16" s="292"/>
      <c r="BZP16" s="292"/>
      <c r="BZQ16" s="292"/>
      <c r="BZR16" s="292"/>
      <c r="BZS16" s="292"/>
      <c r="BZT16" s="292"/>
      <c r="BZU16" s="292"/>
      <c r="BZV16" s="292"/>
      <c r="BZW16" s="292"/>
      <c r="BZX16" s="292"/>
      <c r="BZY16" s="292"/>
      <c r="BZZ16" s="292"/>
      <c r="CAA16" s="292"/>
      <c r="CAB16" s="292"/>
      <c r="CAC16" s="292"/>
      <c r="CAD16" s="292"/>
      <c r="CAE16" s="292"/>
      <c r="CAF16" s="292"/>
      <c r="CAG16" s="292"/>
      <c r="CAH16" s="292"/>
      <c r="CAI16" s="292"/>
      <c r="CAJ16" s="292"/>
      <c r="CAK16" s="292"/>
      <c r="CAL16" s="292"/>
      <c r="CAM16" s="292"/>
      <c r="CAN16" s="292"/>
      <c r="CAO16" s="292"/>
      <c r="CAP16" s="292"/>
      <c r="CAQ16" s="292"/>
      <c r="CAR16" s="292"/>
      <c r="CAS16" s="292"/>
      <c r="CAT16" s="292"/>
      <c r="CAU16" s="292"/>
      <c r="CAV16" s="292"/>
      <c r="CAW16" s="292"/>
      <c r="CAX16" s="292"/>
      <c r="CAY16" s="292"/>
      <c r="CAZ16" s="292"/>
      <c r="CBA16" s="292"/>
      <c r="CBB16" s="292"/>
      <c r="CBC16" s="292"/>
      <c r="CBD16" s="292"/>
      <c r="CBE16" s="292"/>
      <c r="CBF16" s="292"/>
      <c r="CBG16" s="292"/>
      <c r="CBH16" s="292"/>
      <c r="CBI16" s="292"/>
      <c r="CBJ16" s="292"/>
      <c r="CBK16" s="292"/>
      <c r="CBL16" s="292"/>
      <c r="CBM16" s="292"/>
      <c r="CBN16" s="292"/>
      <c r="CBO16" s="292"/>
      <c r="CBP16" s="292"/>
      <c r="CBQ16" s="292"/>
      <c r="CBR16" s="292"/>
      <c r="CBS16" s="292"/>
      <c r="CBT16" s="292"/>
      <c r="CBU16" s="292"/>
      <c r="CBV16" s="292"/>
      <c r="CBW16" s="292"/>
      <c r="CBX16" s="292"/>
      <c r="CBY16" s="292"/>
      <c r="CBZ16" s="292"/>
      <c r="CCA16" s="292"/>
      <c r="CCB16" s="292"/>
      <c r="CCC16" s="292"/>
      <c r="CCD16" s="292"/>
      <c r="CCE16" s="292"/>
      <c r="CCF16" s="292"/>
      <c r="CCG16" s="292"/>
      <c r="CCH16" s="292"/>
      <c r="CCI16" s="292"/>
      <c r="CCJ16" s="292"/>
      <c r="CCK16" s="292"/>
      <c r="CCL16" s="292"/>
      <c r="CCM16" s="292"/>
      <c r="CCN16" s="292"/>
      <c r="CCO16" s="292"/>
      <c r="CCP16" s="292"/>
      <c r="CCQ16" s="292"/>
      <c r="CCR16" s="292"/>
      <c r="CCS16" s="292"/>
      <c r="CCT16" s="292"/>
      <c r="CCU16" s="292"/>
      <c r="CCV16" s="292"/>
      <c r="CCW16" s="292"/>
      <c r="CCX16" s="292"/>
      <c r="CCY16" s="292"/>
      <c r="CCZ16" s="292"/>
      <c r="CDA16" s="292"/>
      <c r="CDB16" s="292"/>
      <c r="CDC16" s="292"/>
      <c r="CDD16" s="292"/>
      <c r="CDE16" s="292"/>
      <c r="CDF16" s="292"/>
      <c r="CDG16" s="292"/>
      <c r="CDH16" s="292"/>
      <c r="CDI16" s="292"/>
      <c r="CDJ16" s="292"/>
      <c r="CDK16" s="292"/>
      <c r="CDL16" s="292"/>
      <c r="CDM16" s="292"/>
      <c r="CDN16" s="292"/>
      <c r="CDO16" s="292"/>
      <c r="CDP16" s="292"/>
      <c r="CDQ16" s="292"/>
      <c r="CDR16" s="292"/>
      <c r="CDS16" s="292"/>
      <c r="CDT16" s="292"/>
      <c r="CDU16" s="292"/>
      <c r="CDV16" s="292"/>
      <c r="CDW16" s="292"/>
      <c r="CDX16" s="292"/>
      <c r="CDY16" s="292"/>
      <c r="CDZ16" s="292"/>
      <c r="CEA16" s="292"/>
      <c r="CEB16" s="292"/>
      <c r="CEC16" s="292"/>
      <c r="CED16" s="292"/>
      <c r="CEE16" s="292"/>
      <c r="CEF16" s="292"/>
      <c r="CEG16" s="292"/>
      <c r="CEH16" s="292"/>
      <c r="CEI16" s="292"/>
      <c r="CEJ16" s="292"/>
      <c r="CEK16" s="292"/>
      <c r="CEL16" s="292"/>
      <c r="CEM16" s="292"/>
      <c r="CEN16" s="292"/>
      <c r="CEO16" s="292"/>
      <c r="CEP16" s="292"/>
      <c r="CEQ16" s="292"/>
      <c r="CER16" s="292"/>
      <c r="CES16" s="292"/>
      <c r="CET16" s="292"/>
      <c r="CEU16" s="292"/>
      <c r="CEV16" s="292"/>
      <c r="CEW16" s="292"/>
      <c r="CEX16" s="292"/>
      <c r="CEY16" s="292"/>
      <c r="CEZ16" s="292"/>
      <c r="CFA16" s="292"/>
      <c r="CFB16" s="292"/>
      <c r="CFC16" s="292"/>
      <c r="CFD16" s="292"/>
      <c r="CFE16" s="292"/>
      <c r="CFF16" s="292"/>
      <c r="CFG16" s="292"/>
      <c r="CFH16" s="292"/>
      <c r="CFI16" s="292"/>
      <c r="CFJ16" s="292"/>
      <c r="CFK16" s="292"/>
      <c r="CFL16" s="292"/>
      <c r="CFM16" s="292"/>
      <c r="CFN16" s="292"/>
      <c r="CFO16" s="292"/>
      <c r="CFP16" s="292"/>
      <c r="CFQ16" s="292"/>
      <c r="CFR16" s="292"/>
      <c r="CFS16" s="292"/>
      <c r="CFT16" s="292"/>
      <c r="CFU16" s="292"/>
      <c r="CFV16" s="292"/>
      <c r="CFW16" s="292"/>
      <c r="CFX16" s="292"/>
      <c r="CFY16" s="292"/>
      <c r="CFZ16" s="292"/>
      <c r="CGA16" s="292"/>
      <c r="CGB16" s="292"/>
      <c r="CGC16" s="292"/>
      <c r="CGD16" s="292"/>
      <c r="CGE16" s="292"/>
      <c r="CGF16" s="292"/>
      <c r="CGG16" s="292"/>
      <c r="CGH16" s="292"/>
      <c r="CGI16" s="292"/>
      <c r="CGJ16" s="292"/>
      <c r="CGK16" s="292"/>
      <c r="CGL16" s="292"/>
      <c r="CGM16" s="292"/>
      <c r="CGN16" s="292"/>
      <c r="CGO16" s="292"/>
      <c r="CGP16" s="292"/>
      <c r="CGQ16" s="292"/>
      <c r="CGR16" s="292"/>
      <c r="CGS16" s="292"/>
      <c r="CGT16" s="292"/>
      <c r="CGU16" s="292"/>
      <c r="CGV16" s="292"/>
      <c r="CGW16" s="292"/>
      <c r="CGX16" s="292"/>
      <c r="CGY16" s="292"/>
      <c r="CGZ16" s="292"/>
      <c r="CHA16" s="292"/>
      <c r="CHB16" s="292"/>
      <c r="CHC16" s="292"/>
      <c r="CHD16" s="292"/>
      <c r="CHE16" s="292"/>
      <c r="CHF16" s="292"/>
      <c r="CHG16" s="292"/>
      <c r="CHH16" s="292"/>
      <c r="CHI16" s="292"/>
      <c r="CHJ16" s="292"/>
      <c r="CHK16" s="292"/>
      <c r="CHL16" s="292"/>
      <c r="CHM16" s="292"/>
      <c r="CHN16" s="292"/>
      <c r="CHO16" s="292"/>
      <c r="CHP16" s="292"/>
      <c r="CHQ16" s="292"/>
      <c r="CHR16" s="292"/>
      <c r="CHS16" s="292"/>
      <c r="CHT16" s="292"/>
      <c r="CHU16" s="292"/>
      <c r="CHV16" s="292"/>
      <c r="CHW16" s="292"/>
      <c r="CHX16" s="292"/>
      <c r="CHY16" s="292"/>
      <c r="CHZ16" s="292"/>
      <c r="CIA16" s="292"/>
      <c r="CIB16" s="292"/>
      <c r="CIC16" s="292"/>
      <c r="CID16" s="292"/>
      <c r="CIE16" s="292"/>
      <c r="CIF16" s="292"/>
      <c r="CIG16" s="292"/>
      <c r="CIH16" s="292"/>
      <c r="CII16" s="292"/>
      <c r="CIJ16" s="292"/>
      <c r="CIK16" s="292"/>
      <c r="CIL16" s="292"/>
      <c r="CIM16" s="292"/>
      <c r="CIN16" s="292"/>
      <c r="CIO16" s="292"/>
      <c r="CIP16" s="292"/>
      <c r="CIQ16" s="292"/>
      <c r="CIR16" s="292"/>
      <c r="CIS16" s="292"/>
      <c r="CIT16" s="292"/>
      <c r="CIU16" s="292"/>
      <c r="CIV16" s="292"/>
      <c r="CIW16" s="292"/>
      <c r="CIX16" s="292"/>
      <c r="CIY16" s="292"/>
      <c r="CIZ16" s="292"/>
      <c r="CJA16" s="292"/>
      <c r="CJB16" s="292"/>
      <c r="CJC16" s="292"/>
      <c r="CJD16" s="292"/>
      <c r="CJE16" s="292"/>
      <c r="CJF16" s="292"/>
      <c r="CJG16" s="292"/>
      <c r="CJH16" s="292"/>
      <c r="CJI16" s="292"/>
      <c r="CJJ16" s="292"/>
      <c r="CJK16" s="292"/>
      <c r="CJL16" s="292"/>
      <c r="CJM16" s="292"/>
      <c r="CJN16" s="292"/>
      <c r="CJO16" s="292"/>
      <c r="CJP16" s="292"/>
      <c r="CJQ16" s="292"/>
      <c r="CJR16" s="292"/>
      <c r="CJS16" s="292"/>
      <c r="CJT16" s="292"/>
      <c r="CJU16" s="292"/>
      <c r="CJV16" s="292"/>
      <c r="CJW16" s="292"/>
      <c r="CJX16" s="292"/>
      <c r="CJY16" s="292"/>
      <c r="CJZ16" s="292"/>
      <c r="CKA16" s="292"/>
      <c r="CKB16" s="292"/>
      <c r="CKC16" s="292"/>
      <c r="CKD16" s="292"/>
      <c r="CKE16" s="292"/>
      <c r="CKF16" s="292"/>
      <c r="CKG16" s="292"/>
      <c r="CKH16" s="292"/>
      <c r="CKI16" s="292"/>
      <c r="CKJ16" s="292"/>
      <c r="CKK16" s="292"/>
      <c r="CKL16" s="292"/>
      <c r="CKM16" s="292"/>
      <c r="CKN16" s="292"/>
      <c r="CKO16" s="292"/>
      <c r="CKP16" s="292"/>
      <c r="CKQ16" s="292"/>
      <c r="CKR16" s="292"/>
      <c r="CKS16" s="292"/>
      <c r="CKT16" s="292"/>
      <c r="CKU16" s="292"/>
      <c r="CKV16" s="292"/>
      <c r="CKW16" s="292"/>
      <c r="CKX16" s="292"/>
      <c r="CKY16" s="292"/>
      <c r="CKZ16" s="292"/>
      <c r="CLA16" s="292"/>
      <c r="CLB16" s="292"/>
      <c r="CLC16" s="292"/>
      <c r="CLD16" s="292"/>
      <c r="CLE16" s="292"/>
      <c r="CLF16" s="292"/>
      <c r="CLG16" s="292"/>
      <c r="CLH16" s="292"/>
      <c r="CLI16" s="292"/>
      <c r="CLJ16" s="292"/>
      <c r="CLK16" s="292"/>
      <c r="CLL16" s="292"/>
      <c r="CLM16" s="292"/>
      <c r="CLN16" s="292"/>
      <c r="CLO16" s="292"/>
      <c r="CLP16" s="292"/>
      <c r="CLQ16" s="292"/>
      <c r="CLR16" s="292"/>
      <c r="CLS16" s="292"/>
      <c r="CLT16" s="292"/>
      <c r="CLU16" s="292"/>
      <c r="CLV16" s="292"/>
      <c r="CLW16" s="292"/>
      <c r="CLX16" s="292"/>
      <c r="CLY16" s="292"/>
      <c r="CLZ16" s="292"/>
      <c r="CMA16" s="292"/>
      <c r="CMB16" s="292"/>
      <c r="CMC16" s="292"/>
      <c r="CMD16" s="292"/>
      <c r="CME16" s="292"/>
      <c r="CMF16" s="292"/>
      <c r="CMG16" s="292"/>
      <c r="CMH16" s="292"/>
      <c r="CMI16" s="292"/>
      <c r="CMJ16" s="292"/>
      <c r="CMK16" s="292"/>
      <c r="CML16" s="292"/>
      <c r="CMM16" s="292"/>
      <c r="CMN16" s="292"/>
      <c r="CMO16" s="292"/>
      <c r="CMP16" s="292"/>
      <c r="CMQ16" s="292"/>
      <c r="CMR16" s="292"/>
      <c r="CMS16" s="292"/>
      <c r="CMT16" s="292"/>
      <c r="CMU16" s="292"/>
      <c r="CMV16" s="292"/>
      <c r="CMW16" s="292"/>
      <c r="CMX16" s="292"/>
      <c r="CMY16" s="292"/>
      <c r="CMZ16" s="292"/>
      <c r="CNA16" s="292"/>
      <c r="CNB16" s="292"/>
      <c r="CNC16" s="292"/>
      <c r="CND16" s="292"/>
      <c r="CNE16" s="292"/>
      <c r="CNF16" s="292"/>
      <c r="CNG16" s="292"/>
      <c r="CNH16" s="292"/>
      <c r="CNI16" s="292"/>
      <c r="CNJ16" s="292"/>
      <c r="CNK16" s="292"/>
      <c r="CNL16" s="292"/>
      <c r="CNM16" s="292"/>
      <c r="CNN16" s="292"/>
      <c r="CNO16" s="292"/>
      <c r="CNP16" s="292"/>
      <c r="CNQ16" s="292"/>
      <c r="CNR16" s="292"/>
      <c r="CNS16" s="292"/>
      <c r="CNT16" s="292"/>
      <c r="CNU16" s="292"/>
      <c r="CNV16" s="292"/>
      <c r="CNW16" s="292"/>
      <c r="CNX16" s="292"/>
      <c r="CNY16" s="292"/>
      <c r="CNZ16" s="292"/>
      <c r="COA16" s="292"/>
      <c r="COB16" s="292"/>
      <c r="COC16" s="292"/>
      <c r="COD16" s="292"/>
      <c r="COE16" s="292"/>
      <c r="COF16" s="292"/>
      <c r="COG16" s="292"/>
      <c r="COH16" s="292"/>
      <c r="COI16" s="292"/>
      <c r="COJ16" s="292"/>
      <c r="COK16" s="292"/>
      <c r="COL16" s="292"/>
      <c r="COM16" s="292"/>
      <c r="CON16" s="292"/>
      <c r="COO16" s="292"/>
      <c r="COP16" s="292"/>
      <c r="COQ16" s="292"/>
      <c r="COR16" s="292"/>
      <c r="COS16" s="292"/>
      <c r="COT16" s="292"/>
      <c r="COU16" s="292"/>
      <c r="COV16" s="292"/>
      <c r="COW16" s="292"/>
      <c r="COX16" s="292"/>
      <c r="COY16" s="292"/>
      <c r="COZ16" s="292"/>
      <c r="CPA16" s="292"/>
      <c r="CPB16" s="292"/>
      <c r="CPC16" s="292"/>
      <c r="CPD16" s="292"/>
      <c r="CPE16" s="292"/>
      <c r="CPF16" s="292"/>
      <c r="CPG16" s="292"/>
      <c r="CPH16" s="292"/>
      <c r="CPI16" s="292"/>
      <c r="CPJ16" s="292"/>
      <c r="CPK16" s="292"/>
      <c r="CPL16" s="292"/>
      <c r="CPM16" s="292"/>
      <c r="CPN16" s="292"/>
      <c r="CPO16" s="292"/>
      <c r="CPP16" s="292"/>
      <c r="CPQ16" s="292"/>
      <c r="CPR16" s="292"/>
      <c r="CPS16" s="292"/>
      <c r="CPT16" s="292"/>
      <c r="CPU16" s="292"/>
      <c r="CPV16" s="292"/>
      <c r="CPW16" s="292"/>
      <c r="CPX16" s="292"/>
      <c r="CPY16" s="292"/>
      <c r="CPZ16" s="292"/>
      <c r="CQA16" s="292"/>
      <c r="CQB16" s="292"/>
      <c r="CQC16" s="292"/>
      <c r="CQD16" s="292"/>
      <c r="CQE16" s="292"/>
      <c r="CQF16" s="292"/>
      <c r="CQG16" s="292"/>
      <c r="CQH16" s="292"/>
      <c r="CQI16" s="292"/>
      <c r="CQJ16" s="292"/>
      <c r="CQK16" s="292"/>
      <c r="CQL16" s="292"/>
      <c r="CQM16" s="292"/>
      <c r="CQN16" s="292"/>
      <c r="CQO16" s="292"/>
      <c r="CQP16" s="292"/>
      <c r="CQQ16" s="292"/>
      <c r="CQR16" s="292"/>
      <c r="CQS16" s="292"/>
      <c r="CQT16" s="292"/>
      <c r="CQU16" s="292"/>
      <c r="CQV16" s="292"/>
      <c r="CQW16" s="292"/>
      <c r="CQX16" s="292"/>
      <c r="CQY16" s="292"/>
      <c r="CQZ16" s="292"/>
      <c r="CRA16" s="292"/>
      <c r="CRB16" s="292"/>
      <c r="CRC16" s="292"/>
      <c r="CRD16" s="292"/>
      <c r="CRE16" s="292"/>
      <c r="CRF16" s="292"/>
      <c r="CRG16" s="292"/>
      <c r="CRH16" s="292"/>
      <c r="CRI16" s="292"/>
      <c r="CRJ16" s="292"/>
      <c r="CRK16" s="292"/>
      <c r="CRL16" s="292"/>
      <c r="CRM16" s="292"/>
      <c r="CRN16" s="292"/>
      <c r="CRO16" s="292"/>
      <c r="CRP16" s="292"/>
      <c r="CRQ16" s="292"/>
      <c r="CRR16" s="292"/>
      <c r="CRS16" s="292"/>
      <c r="CRT16" s="292"/>
      <c r="CRU16" s="292"/>
      <c r="CRV16" s="292"/>
      <c r="CRW16" s="292"/>
      <c r="CRX16" s="292"/>
      <c r="CRY16" s="292"/>
      <c r="CRZ16" s="292"/>
      <c r="CSA16" s="292"/>
      <c r="CSB16" s="292"/>
      <c r="CSC16" s="292"/>
      <c r="CSD16" s="292"/>
      <c r="CSE16" s="292"/>
      <c r="CSF16" s="292"/>
      <c r="CSG16" s="292"/>
      <c r="CSH16" s="292"/>
      <c r="CSI16" s="292"/>
      <c r="CSJ16" s="292"/>
      <c r="CSK16" s="292"/>
      <c r="CSL16" s="292"/>
      <c r="CSM16" s="292"/>
      <c r="CSN16" s="292"/>
      <c r="CSO16" s="292"/>
      <c r="CSP16" s="292"/>
      <c r="CSQ16" s="292"/>
      <c r="CSR16" s="292"/>
      <c r="CSS16" s="292"/>
      <c r="CST16" s="292"/>
      <c r="CSU16" s="292"/>
      <c r="CSV16" s="292"/>
      <c r="CSW16" s="292"/>
      <c r="CSX16" s="292"/>
      <c r="CSY16" s="292"/>
      <c r="CSZ16" s="292"/>
      <c r="CTA16" s="292"/>
      <c r="CTB16" s="292"/>
      <c r="CTC16" s="292"/>
      <c r="CTD16" s="292"/>
      <c r="CTE16" s="292"/>
      <c r="CTF16" s="292"/>
      <c r="CTG16" s="292"/>
      <c r="CTH16" s="292"/>
      <c r="CTI16" s="292"/>
      <c r="CTJ16" s="292"/>
      <c r="CTK16" s="292"/>
      <c r="CTL16" s="292"/>
      <c r="CTM16" s="292"/>
      <c r="CTN16" s="292"/>
      <c r="CTO16" s="292"/>
      <c r="CTP16" s="292"/>
      <c r="CTQ16" s="292"/>
      <c r="CTR16" s="292"/>
      <c r="CTS16" s="292"/>
      <c r="CTT16" s="292"/>
      <c r="CTU16" s="292"/>
      <c r="CTV16" s="292"/>
      <c r="CTW16" s="292"/>
      <c r="CTX16" s="292"/>
      <c r="CTY16" s="292"/>
      <c r="CTZ16" s="292"/>
      <c r="CUA16" s="292"/>
      <c r="CUB16" s="292"/>
      <c r="CUC16" s="292"/>
      <c r="CUD16" s="292"/>
      <c r="CUE16" s="292"/>
      <c r="CUF16" s="292"/>
      <c r="CUG16" s="292"/>
      <c r="CUH16" s="292"/>
      <c r="CUI16" s="292"/>
      <c r="CUJ16" s="292"/>
      <c r="CUK16" s="292"/>
      <c r="CUL16" s="292"/>
      <c r="CUM16" s="292"/>
      <c r="CUN16" s="292"/>
      <c r="CUO16" s="292"/>
      <c r="CUP16" s="292"/>
      <c r="CUQ16" s="292"/>
      <c r="CUR16" s="292"/>
      <c r="CUS16" s="292"/>
      <c r="CUT16" s="292"/>
      <c r="CUU16" s="292"/>
      <c r="CUV16" s="292"/>
      <c r="CUW16" s="292"/>
      <c r="CUX16" s="292"/>
      <c r="CUY16" s="292"/>
      <c r="CUZ16" s="292"/>
      <c r="CVA16" s="292"/>
      <c r="CVB16" s="292"/>
      <c r="CVC16" s="292"/>
      <c r="CVD16" s="292"/>
      <c r="CVE16" s="292"/>
      <c r="CVF16" s="292"/>
      <c r="CVG16" s="292"/>
      <c r="CVH16" s="292"/>
      <c r="CVI16" s="292"/>
      <c r="CVJ16" s="292"/>
      <c r="CVK16" s="292"/>
      <c r="CVL16" s="292"/>
      <c r="CVM16" s="292"/>
      <c r="CVN16" s="292"/>
      <c r="CVO16" s="292"/>
      <c r="CVP16" s="292"/>
      <c r="CVQ16" s="292"/>
      <c r="CVR16" s="292"/>
      <c r="CVS16" s="292"/>
      <c r="CVT16" s="292"/>
      <c r="CVU16" s="292"/>
      <c r="CVV16" s="292"/>
      <c r="CVW16" s="292"/>
      <c r="CVX16" s="292"/>
      <c r="CVY16" s="292"/>
      <c r="CVZ16" s="292"/>
      <c r="CWA16" s="292"/>
      <c r="CWB16" s="292"/>
      <c r="CWC16" s="292"/>
      <c r="CWD16" s="292"/>
      <c r="CWE16" s="292"/>
      <c r="CWF16" s="292"/>
      <c r="CWG16" s="292"/>
      <c r="CWH16" s="292"/>
      <c r="CWI16" s="292"/>
      <c r="CWJ16" s="292"/>
      <c r="CWK16" s="292"/>
      <c r="CWL16" s="292"/>
      <c r="CWM16" s="292"/>
      <c r="CWN16" s="292"/>
      <c r="CWO16" s="292"/>
      <c r="CWP16" s="292"/>
      <c r="CWQ16" s="292"/>
      <c r="CWR16" s="292"/>
      <c r="CWS16" s="292"/>
      <c r="CWT16" s="292"/>
      <c r="CWU16" s="292"/>
      <c r="CWV16" s="292"/>
      <c r="CWW16" s="292"/>
      <c r="CWX16" s="292"/>
      <c r="CWY16" s="292"/>
      <c r="CWZ16" s="292"/>
      <c r="CXA16" s="292"/>
      <c r="CXB16" s="292"/>
      <c r="CXC16" s="292"/>
      <c r="CXD16" s="292"/>
      <c r="CXE16" s="292"/>
      <c r="CXF16" s="292"/>
      <c r="CXG16" s="292"/>
      <c r="CXH16" s="292"/>
      <c r="CXI16" s="292"/>
      <c r="CXJ16" s="292"/>
      <c r="CXK16" s="292"/>
      <c r="CXL16" s="292"/>
      <c r="CXM16" s="292"/>
      <c r="CXN16" s="292"/>
      <c r="CXO16" s="292"/>
      <c r="CXP16" s="292"/>
      <c r="CXQ16" s="292"/>
      <c r="CXR16" s="292"/>
      <c r="CXS16" s="292"/>
      <c r="CXT16" s="292"/>
      <c r="CXU16" s="292"/>
      <c r="CXV16" s="292"/>
      <c r="CXW16" s="292"/>
      <c r="CXX16" s="292"/>
      <c r="CXY16" s="292"/>
      <c r="CXZ16" s="292"/>
      <c r="CYA16" s="292"/>
      <c r="CYB16" s="292"/>
      <c r="CYC16" s="292"/>
      <c r="CYD16" s="292"/>
      <c r="CYE16" s="292"/>
      <c r="CYF16" s="292"/>
      <c r="CYG16" s="292"/>
      <c r="CYH16" s="292"/>
      <c r="CYI16" s="292"/>
      <c r="CYJ16" s="292"/>
      <c r="CYK16" s="292"/>
      <c r="CYL16" s="292"/>
      <c r="CYM16" s="292"/>
      <c r="CYN16" s="292"/>
      <c r="CYO16" s="292"/>
      <c r="CYP16" s="292"/>
      <c r="CYQ16" s="292"/>
      <c r="CYR16" s="292"/>
      <c r="CYS16" s="292"/>
      <c r="CYT16" s="292"/>
      <c r="CYU16" s="292"/>
      <c r="CYV16" s="292"/>
      <c r="CYW16" s="292"/>
      <c r="CYX16" s="292"/>
      <c r="CYY16" s="292"/>
      <c r="CYZ16" s="292"/>
      <c r="CZA16" s="292"/>
      <c r="CZB16" s="292"/>
      <c r="CZC16" s="292"/>
      <c r="CZD16" s="292"/>
      <c r="CZE16" s="292"/>
      <c r="CZF16" s="292"/>
      <c r="CZG16" s="292"/>
      <c r="CZH16" s="292"/>
      <c r="CZI16" s="292"/>
      <c r="CZJ16" s="292"/>
      <c r="CZK16" s="292"/>
      <c r="CZL16" s="292"/>
      <c r="CZM16" s="292"/>
      <c r="CZN16" s="292"/>
      <c r="CZO16" s="292"/>
      <c r="CZP16" s="292"/>
      <c r="CZQ16" s="292"/>
      <c r="CZR16" s="292"/>
      <c r="CZS16" s="292"/>
      <c r="CZT16" s="292"/>
      <c r="CZU16" s="292"/>
      <c r="CZV16" s="292"/>
      <c r="CZW16" s="292"/>
      <c r="CZX16" s="292"/>
      <c r="CZY16" s="292"/>
      <c r="CZZ16" s="292"/>
      <c r="DAA16" s="292"/>
      <c r="DAB16" s="292"/>
      <c r="DAC16" s="292"/>
      <c r="DAD16" s="292"/>
      <c r="DAE16" s="292"/>
      <c r="DAF16" s="292"/>
      <c r="DAG16" s="292"/>
      <c r="DAH16" s="292"/>
      <c r="DAI16" s="292"/>
      <c r="DAJ16" s="292"/>
      <c r="DAK16" s="292"/>
      <c r="DAL16" s="292"/>
      <c r="DAM16" s="292"/>
      <c r="DAN16" s="292"/>
      <c r="DAO16" s="292"/>
      <c r="DAP16" s="292"/>
      <c r="DAQ16" s="292"/>
      <c r="DAR16" s="292"/>
      <c r="DAS16" s="292"/>
      <c r="DAT16" s="292"/>
      <c r="DAU16" s="292"/>
      <c r="DAV16" s="292"/>
      <c r="DAW16" s="292"/>
      <c r="DAX16" s="292"/>
      <c r="DAY16" s="292"/>
      <c r="DAZ16" s="292"/>
      <c r="DBA16" s="292"/>
      <c r="DBB16" s="292"/>
      <c r="DBC16" s="292"/>
      <c r="DBD16" s="292"/>
      <c r="DBE16" s="292"/>
      <c r="DBF16" s="292"/>
      <c r="DBG16" s="292"/>
      <c r="DBH16" s="292"/>
      <c r="DBI16" s="292"/>
      <c r="DBJ16" s="292"/>
      <c r="DBK16" s="292"/>
      <c r="DBL16" s="292"/>
      <c r="DBM16" s="292"/>
      <c r="DBN16" s="292"/>
      <c r="DBO16" s="292"/>
      <c r="DBP16" s="292"/>
      <c r="DBQ16" s="292"/>
      <c r="DBR16" s="292"/>
      <c r="DBS16" s="292"/>
      <c r="DBT16" s="292"/>
      <c r="DBU16" s="292"/>
      <c r="DBV16" s="292"/>
      <c r="DBW16" s="292"/>
      <c r="DBX16" s="292"/>
      <c r="DBY16" s="292"/>
      <c r="DBZ16" s="292"/>
      <c r="DCA16" s="292"/>
      <c r="DCB16" s="292"/>
      <c r="DCC16" s="292"/>
      <c r="DCD16" s="292"/>
      <c r="DCE16" s="292"/>
      <c r="DCF16" s="292"/>
      <c r="DCG16" s="292"/>
      <c r="DCH16" s="292"/>
      <c r="DCI16" s="292"/>
      <c r="DCJ16" s="292"/>
      <c r="DCK16" s="292"/>
      <c r="DCL16" s="292"/>
      <c r="DCM16" s="292"/>
      <c r="DCN16" s="292"/>
      <c r="DCO16" s="292"/>
      <c r="DCP16" s="292"/>
      <c r="DCQ16" s="292"/>
      <c r="DCR16" s="292"/>
      <c r="DCS16" s="292"/>
      <c r="DCT16" s="292"/>
      <c r="DCU16" s="292"/>
      <c r="DCV16" s="292"/>
      <c r="DCW16" s="292"/>
      <c r="DCX16" s="292"/>
      <c r="DCY16" s="292"/>
      <c r="DCZ16" s="292"/>
      <c r="DDA16" s="292"/>
      <c r="DDB16" s="292"/>
      <c r="DDC16" s="292"/>
      <c r="DDD16" s="292"/>
      <c r="DDE16" s="292"/>
      <c r="DDF16" s="292"/>
      <c r="DDG16" s="292"/>
      <c r="DDH16" s="292"/>
      <c r="DDI16" s="292"/>
      <c r="DDJ16" s="292"/>
      <c r="DDK16" s="292"/>
      <c r="DDL16" s="292"/>
      <c r="DDM16" s="292"/>
      <c r="DDN16" s="292"/>
      <c r="DDO16" s="292"/>
      <c r="DDP16" s="292"/>
      <c r="DDQ16" s="292"/>
      <c r="DDR16" s="292"/>
      <c r="DDS16" s="292"/>
      <c r="DDT16" s="292"/>
      <c r="DDU16" s="292"/>
      <c r="DDV16" s="292"/>
      <c r="DDW16" s="292"/>
      <c r="DDX16" s="292"/>
      <c r="DDY16" s="292"/>
      <c r="DDZ16" s="292"/>
      <c r="DEA16" s="292"/>
      <c r="DEB16" s="292"/>
      <c r="DEC16" s="292"/>
      <c r="DED16" s="292"/>
      <c r="DEE16" s="292"/>
      <c r="DEF16" s="292"/>
      <c r="DEG16" s="292"/>
      <c r="DEH16" s="292"/>
      <c r="DEI16" s="292"/>
      <c r="DEJ16" s="292"/>
      <c r="DEK16" s="292"/>
      <c r="DEL16" s="292"/>
      <c r="DEM16" s="292"/>
      <c r="DEN16" s="292"/>
      <c r="DEO16" s="292"/>
      <c r="DEP16" s="292"/>
      <c r="DEQ16" s="292"/>
      <c r="DER16" s="292"/>
      <c r="DES16" s="292"/>
      <c r="DET16" s="292"/>
      <c r="DEU16" s="292"/>
      <c r="DEV16" s="292"/>
      <c r="DEW16" s="292"/>
      <c r="DEX16" s="292"/>
      <c r="DEY16" s="292"/>
      <c r="DEZ16" s="292"/>
      <c r="DFA16" s="292"/>
      <c r="DFB16" s="292"/>
      <c r="DFC16" s="292"/>
      <c r="DFD16" s="292"/>
      <c r="DFE16" s="292"/>
      <c r="DFF16" s="292"/>
      <c r="DFG16" s="292"/>
      <c r="DFH16" s="292"/>
      <c r="DFI16" s="292"/>
      <c r="DFJ16" s="292"/>
      <c r="DFK16" s="292"/>
      <c r="DFL16" s="292"/>
      <c r="DFM16" s="292"/>
      <c r="DFN16" s="292"/>
      <c r="DFO16" s="292"/>
      <c r="DFP16" s="292"/>
      <c r="DFQ16" s="292"/>
      <c r="DFR16" s="292"/>
      <c r="DFS16" s="292"/>
      <c r="DFT16" s="292"/>
      <c r="DFU16" s="292"/>
      <c r="DFV16" s="292"/>
      <c r="DFW16" s="292"/>
      <c r="DFX16" s="292"/>
      <c r="DFY16" s="292"/>
      <c r="DFZ16" s="292"/>
      <c r="DGA16" s="292"/>
      <c r="DGB16" s="292"/>
      <c r="DGC16" s="292"/>
      <c r="DGD16" s="292"/>
      <c r="DGE16" s="292"/>
      <c r="DGF16" s="292"/>
      <c r="DGG16" s="292"/>
      <c r="DGH16" s="292"/>
      <c r="DGI16" s="292"/>
      <c r="DGJ16" s="292"/>
      <c r="DGK16" s="292"/>
      <c r="DGL16" s="292"/>
      <c r="DGM16" s="292"/>
      <c r="DGN16" s="292"/>
      <c r="DGO16" s="292"/>
      <c r="DGP16" s="292"/>
      <c r="DGQ16" s="292"/>
      <c r="DGR16" s="292"/>
      <c r="DGS16" s="292"/>
      <c r="DGT16" s="292"/>
      <c r="DGU16" s="292"/>
      <c r="DGV16" s="292"/>
      <c r="DGW16" s="292"/>
      <c r="DGX16" s="292"/>
      <c r="DGY16" s="292"/>
      <c r="DGZ16" s="292"/>
      <c r="DHA16" s="292"/>
      <c r="DHB16" s="292"/>
      <c r="DHC16" s="292"/>
      <c r="DHD16" s="292"/>
      <c r="DHE16" s="292"/>
      <c r="DHF16" s="292"/>
      <c r="DHG16" s="292"/>
      <c r="DHH16" s="292"/>
      <c r="DHI16" s="292"/>
      <c r="DHJ16" s="292"/>
      <c r="DHK16" s="292"/>
      <c r="DHL16" s="292"/>
      <c r="DHM16" s="292"/>
      <c r="DHN16" s="292"/>
      <c r="DHO16" s="292"/>
      <c r="DHP16" s="292"/>
      <c r="DHQ16" s="292"/>
      <c r="DHR16" s="292"/>
      <c r="DHS16" s="292"/>
      <c r="DHT16" s="292"/>
      <c r="DHU16" s="292"/>
      <c r="DHV16" s="292"/>
      <c r="DHW16" s="292"/>
      <c r="DHX16" s="292"/>
      <c r="DHY16" s="292"/>
      <c r="DHZ16" s="292"/>
      <c r="DIA16" s="292"/>
      <c r="DIB16" s="292"/>
      <c r="DIC16" s="292"/>
      <c r="DID16" s="292"/>
      <c r="DIE16" s="292"/>
      <c r="DIF16" s="292"/>
      <c r="DIG16" s="292"/>
      <c r="DIH16" s="292"/>
      <c r="DII16" s="292"/>
      <c r="DIJ16" s="292"/>
      <c r="DIK16" s="292"/>
      <c r="DIL16" s="292"/>
      <c r="DIM16" s="292"/>
      <c r="DIN16" s="292"/>
      <c r="DIO16" s="292"/>
      <c r="DIP16" s="292"/>
      <c r="DIQ16" s="292"/>
      <c r="DIR16" s="292"/>
      <c r="DIS16" s="292"/>
      <c r="DIT16" s="292"/>
      <c r="DIU16" s="292"/>
      <c r="DIV16" s="292"/>
      <c r="DIW16" s="292"/>
      <c r="DIX16" s="292"/>
      <c r="DIY16" s="292"/>
      <c r="DIZ16" s="292"/>
      <c r="DJA16" s="292"/>
      <c r="DJB16" s="292"/>
      <c r="DJC16" s="292"/>
      <c r="DJD16" s="292"/>
      <c r="DJE16" s="292"/>
      <c r="DJF16" s="292"/>
      <c r="DJG16" s="292"/>
      <c r="DJH16" s="292"/>
      <c r="DJI16" s="292"/>
      <c r="DJJ16" s="292"/>
      <c r="DJK16" s="292"/>
      <c r="DJL16" s="292"/>
      <c r="DJM16" s="292"/>
      <c r="DJN16" s="292"/>
      <c r="DJO16" s="292"/>
      <c r="DJP16" s="292"/>
      <c r="DJQ16" s="292"/>
      <c r="DJR16" s="292"/>
      <c r="DJS16" s="292"/>
      <c r="DJT16" s="292"/>
      <c r="DJU16" s="292"/>
      <c r="DJV16" s="292"/>
      <c r="DJW16" s="292"/>
      <c r="DJX16" s="292"/>
      <c r="DJY16" s="292"/>
      <c r="DJZ16" s="292"/>
      <c r="DKA16" s="292"/>
      <c r="DKB16" s="292"/>
      <c r="DKC16" s="292"/>
      <c r="DKD16" s="292"/>
      <c r="DKE16" s="292"/>
      <c r="DKF16" s="292"/>
      <c r="DKG16" s="292"/>
      <c r="DKH16" s="292"/>
      <c r="DKI16" s="292"/>
      <c r="DKJ16" s="292"/>
      <c r="DKK16" s="292"/>
      <c r="DKL16" s="292"/>
      <c r="DKM16" s="292"/>
      <c r="DKN16" s="292"/>
      <c r="DKO16" s="292"/>
      <c r="DKP16" s="292"/>
      <c r="DKQ16" s="292"/>
      <c r="DKR16" s="292"/>
      <c r="DKS16" s="292"/>
      <c r="DKT16" s="292"/>
      <c r="DKU16" s="292"/>
      <c r="DKV16" s="292"/>
      <c r="DKW16" s="292"/>
      <c r="DKX16" s="292"/>
      <c r="DKY16" s="292"/>
      <c r="DKZ16" s="292"/>
      <c r="DLA16" s="292"/>
      <c r="DLB16" s="292"/>
      <c r="DLC16" s="292"/>
      <c r="DLD16" s="292"/>
      <c r="DLE16" s="292"/>
      <c r="DLF16" s="292"/>
      <c r="DLG16" s="292"/>
      <c r="DLH16" s="292"/>
      <c r="DLI16" s="292"/>
      <c r="DLJ16" s="292"/>
      <c r="DLK16" s="292"/>
      <c r="DLL16" s="292"/>
      <c r="DLM16" s="292"/>
      <c r="DLN16" s="292"/>
      <c r="DLO16" s="292"/>
      <c r="DLP16" s="292"/>
      <c r="DLQ16" s="292"/>
      <c r="DLR16" s="292"/>
      <c r="DLS16" s="292"/>
      <c r="DLT16" s="292"/>
      <c r="DLU16" s="292"/>
      <c r="DLV16" s="292"/>
      <c r="DLW16" s="292"/>
      <c r="DLX16" s="292"/>
      <c r="DLY16" s="292"/>
      <c r="DLZ16" s="292"/>
      <c r="DMA16" s="292"/>
      <c r="DMB16" s="292"/>
      <c r="DMC16" s="292"/>
      <c r="DMD16" s="292"/>
      <c r="DME16" s="292"/>
      <c r="DMF16" s="292"/>
      <c r="DMG16" s="292"/>
      <c r="DMH16" s="292"/>
      <c r="DMI16" s="292"/>
      <c r="DMJ16" s="292"/>
      <c r="DMK16" s="292"/>
      <c r="DML16" s="292"/>
      <c r="DMM16" s="292"/>
      <c r="DMN16" s="292"/>
      <c r="DMO16" s="292"/>
      <c r="DMP16" s="292"/>
      <c r="DMQ16" s="292"/>
      <c r="DMR16" s="292"/>
      <c r="DMS16" s="292"/>
      <c r="DMT16" s="292"/>
      <c r="DMU16" s="292"/>
      <c r="DMV16" s="292"/>
      <c r="DMW16" s="292"/>
      <c r="DMX16" s="292"/>
      <c r="DMY16" s="292"/>
      <c r="DMZ16" s="292"/>
      <c r="DNA16" s="292"/>
      <c r="DNB16" s="292"/>
      <c r="DNC16" s="292"/>
      <c r="DND16" s="292"/>
      <c r="DNE16" s="292"/>
      <c r="DNF16" s="292"/>
      <c r="DNG16" s="292"/>
      <c r="DNH16" s="292"/>
      <c r="DNI16" s="292"/>
      <c r="DNJ16" s="292"/>
      <c r="DNK16" s="292"/>
      <c r="DNL16" s="292"/>
      <c r="DNM16" s="292"/>
      <c r="DNN16" s="292"/>
      <c r="DNO16" s="292"/>
      <c r="DNP16" s="292"/>
      <c r="DNQ16" s="292"/>
      <c r="DNR16" s="292"/>
      <c r="DNS16" s="292"/>
      <c r="DNT16" s="292"/>
      <c r="DNU16" s="292"/>
      <c r="DNV16" s="292"/>
      <c r="DNW16" s="292"/>
      <c r="DNX16" s="292"/>
      <c r="DNY16" s="292"/>
      <c r="DNZ16" s="292"/>
      <c r="DOA16" s="292"/>
      <c r="DOB16" s="292"/>
      <c r="DOC16" s="292"/>
      <c r="DOD16" s="292"/>
      <c r="DOE16" s="292"/>
      <c r="DOF16" s="292"/>
      <c r="DOG16" s="292"/>
      <c r="DOH16" s="292"/>
      <c r="DOI16" s="292"/>
      <c r="DOJ16" s="292"/>
      <c r="DOK16" s="292"/>
      <c r="DOL16" s="292"/>
      <c r="DOM16" s="292"/>
      <c r="DON16" s="292"/>
      <c r="DOO16" s="292"/>
      <c r="DOP16" s="292"/>
      <c r="DOQ16" s="292"/>
      <c r="DOR16" s="292"/>
      <c r="DOS16" s="292"/>
      <c r="DOT16" s="292"/>
      <c r="DOU16" s="292"/>
      <c r="DOV16" s="292"/>
      <c r="DOW16" s="292"/>
      <c r="DOX16" s="292"/>
      <c r="DOY16" s="292"/>
      <c r="DOZ16" s="292"/>
      <c r="DPA16" s="292"/>
      <c r="DPB16" s="292"/>
      <c r="DPC16" s="292"/>
      <c r="DPD16" s="292"/>
      <c r="DPE16" s="292"/>
      <c r="DPF16" s="292"/>
      <c r="DPG16" s="292"/>
      <c r="DPH16" s="292"/>
      <c r="DPI16" s="292"/>
      <c r="DPJ16" s="292"/>
      <c r="DPK16" s="292"/>
      <c r="DPL16" s="292"/>
      <c r="DPM16" s="292"/>
      <c r="DPN16" s="292"/>
      <c r="DPO16" s="292"/>
      <c r="DPP16" s="292"/>
      <c r="DPQ16" s="292"/>
      <c r="DPR16" s="292"/>
      <c r="DPS16" s="292"/>
      <c r="DPT16" s="292"/>
      <c r="DPU16" s="292"/>
      <c r="DPV16" s="292"/>
      <c r="DPW16" s="292"/>
      <c r="DPX16" s="292"/>
      <c r="DPY16" s="292"/>
      <c r="DPZ16" s="292"/>
      <c r="DQA16" s="292"/>
      <c r="DQB16" s="292"/>
      <c r="DQC16" s="292"/>
      <c r="DQD16" s="292"/>
      <c r="DQE16" s="292"/>
      <c r="DQF16" s="292"/>
      <c r="DQG16" s="292"/>
      <c r="DQH16" s="292"/>
      <c r="DQI16" s="292"/>
      <c r="DQJ16" s="292"/>
      <c r="DQK16" s="292"/>
      <c r="DQL16" s="292"/>
      <c r="DQM16" s="292"/>
      <c r="DQN16" s="292"/>
      <c r="DQO16" s="292"/>
      <c r="DQP16" s="292"/>
      <c r="DQQ16" s="292"/>
      <c r="DQR16" s="292"/>
      <c r="DQS16" s="292"/>
      <c r="DQT16" s="292"/>
      <c r="DQU16" s="292"/>
      <c r="DQV16" s="292"/>
      <c r="DQW16" s="292"/>
      <c r="DQX16" s="292"/>
      <c r="DQY16" s="292"/>
      <c r="DQZ16" s="292"/>
      <c r="DRA16" s="292"/>
      <c r="DRB16" s="292"/>
      <c r="DRC16" s="292"/>
      <c r="DRD16" s="292"/>
      <c r="DRE16" s="292"/>
      <c r="DRF16" s="292"/>
      <c r="DRG16" s="292"/>
      <c r="DRH16" s="292"/>
      <c r="DRI16" s="292"/>
      <c r="DRJ16" s="292"/>
      <c r="DRK16" s="292"/>
      <c r="DRL16" s="292"/>
      <c r="DRM16" s="292"/>
      <c r="DRN16" s="292"/>
      <c r="DRO16" s="292"/>
      <c r="DRP16" s="292"/>
      <c r="DRQ16" s="292"/>
      <c r="DRR16" s="292"/>
      <c r="DRS16" s="292"/>
      <c r="DRT16" s="292"/>
      <c r="DRU16" s="292"/>
      <c r="DRV16" s="292"/>
      <c r="DRW16" s="292"/>
      <c r="DRX16" s="292"/>
      <c r="DRY16" s="292"/>
      <c r="DRZ16" s="292"/>
      <c r="DSA16" s="292"/>
      <c r="DSB16" s="292"/>
      <c r="DSC16" s="292"/>
      <c r="DSD16" s="292"/>
      <c r="DSE16" s="292"/>
      <c r="DSF16" s="292"/>
      <c r="DSG16" s="292"/>
      <c r="DSH16" s="292"/>
      <c r="DSI16" s="292"/>
      <c r="DSJ16" s="292"/>
      <c r="DSK16" s="292"/>
      <c r="DSL16" s="292"/>
      <c r="DSM16" s="292"/>
      <c r="DSN16" s="292"/>
      <c r="DSO16" s="292"/>
      <c r="DSP16" s="292"/>
      <c r="DSQ16" s="292"/>
      <c r="DSR16" s="292"/>
      <c r="DSS16" s="292"/>
      <c r="DST16" s="292"/>
      <c r="DSU16" s="292"/>
      <c r="DSV16" s="292"/>
      <c r="DSW16" s="292"/>
      <c r="DSX16" s="292"/>
      <c r="DSY16" s="292"/>
      <c r="DSZ16" s="292"/>
      <c r="DTA16" s="292"/>
      <c r="DTB16" s="292"/>
      <c r="DTC16" s="292"/>
      <c r="DTD16" s="292"/>
      <c r="DTE16" s="292"/>
      <c r="DTF16" s="292"/>
      <c r="DTG16" s="292"/>
      <c r="DTH16" s="292"/>
      <c r="DTI16" s="292"/>
      <c r="DTJ16" s="292"/>
      <c r="DTK16" s="292"/>
      <c r="DTL16" s="292"/>
      <c r="DTM16" s="292"/>
      <c r="DTN16" s="292"/>
      <c r="DTO16" s="292"/>
      <c r="DTP16" s="292"/>
      <c r="DTQ16" s="292"/>
      <c r="DTR16" s="292"/>
      <c r="DTS16" s="292"/>
      <c r="DTT16" s="292"/>
      <c r="DTU16" s="292"/>
      <c r="DTV16" s="292"/>
      <c r="DTW16" s="292"/>
      <c r="DTX16" s="292"/>
      <c r="DTY16" s="292"/>
      <c r="DTZ16" s="292"/>
      <c r="DUA16" s="292"/>
      <c r="DUB16" s="292"/>
      <c r="DUC16" s="292"/>
      <c r="DUD16" s="292"/>
      <c r="DUE16" s="292"/>
      <c r="DUF16" s="292"/>
      <c r="DUG16" s="292"/>
      <c r="DUH16" s="292"/>
      <c r="DUI16" s="292"/>
      <c r="DUJ16" s="292"/>
      <c r="DUK16" s="292"/>
      <c r="DUL16" s="292"/>
      <c r="DUM16" s="292"/>
      <c r="DUN16" s="292"/>
      <c r="DUO16" s="292"/>
      <c r="DUP16" s="292"/>
      <c r="DUQ16" s="292"/>
      <c r="DUR16" s="292"/>
      <c r="DUS16" s="292"/>
      <c r="DUT16" s="292"/>
      <c r="DUU16" s="292"/>
      <c r="DUV16" s="292"/>
      <c r="DUW16" s="292"/>
      <c r="DUX16" s="292"/>
      <c r="DUY16" s="292"/>
      <c r="DUZ16" s="292"/>
      <c r="DVA16" s="292"/>
      <c r="DVB16" s="292"/>
      <c r="DVC16" s="292"/>
      <c r="DVD16" s="292"/>
      <c r="DVE16" s="292"/>
      <c r="DVF16" s="292"/>
      <c r="DVG16" s="292"/>
      <c r="DVH16" s="292"/>
      <c r="DVI16" s="292"/>
      <c r="DVJ16" s="292"/>
      <c r="DVK16" s="292"/>
      <c r="DVL16" s="292"/>
      <c r="DVM16" s="292"/>
      <c r="DVN16" s="292"/>
      <c r="DVO16" s="292"/>
      <c r="DVP16" s="292"/>
      <c r="DVQ16" s="292"/>
      <c r="DVR16" s="292"/>
      <c r="DVS16" s="292"/>
      <c r="DVT16" s="292"/>
      <c r="DVU16" s="292"/>
      <c r="DVV16" s="292"/>
      <c r="DVW16" s="292"/>
      <c r="DVX16" s="292"/>
      <c r="DVY16" s="292"/>
      <c r="DVZ16" s="292"/>
      <c r="DWA16" s="292"/>
      <c r="DWB16" s="292"/>
      <c r="DWC16" s="292"/>
      <c r="DWD16" s="292"/>
      <c r="DWE16" s="292"/>
      <c r="DWF16" s="292"/>
      <c r="DWG16" s="292"/>
      <c r="DWH16" s="292"/>
      <c r="DWI16" s="292"/>
      <c r="DWJ16" s="292"/>
      <c r="DWK16" s="292"/>
      <c r="DWL16" s="292"/>
      <c r="DWM16" s="292"/>
      <c r="DWN16" s="292"/>
      <c r="DWO16" s="292"/>
      <c r="DWP16" s="292"/>
      <c r="DWQ16" s="292"/>
      <c r="DWR16" s="292"/>
      <c r="DWS16" s="292"/>
      <c r="DWT16" s="292"/>
      <c r="DWU16" s="292"/>
      <c r="DWV16" s="292"/>
      <c r="DWW16" s="292"/>
      <c r="DWX16" s="292"/>
      <c r="DWY16" s="292"/>
      <c r="DWZ16" s="292"/>
      <c r="DXA16" s="292"/>
      <c r="DXB16" s="292"/>
      <c r="DXC16" s="292"/>
      <c r="DXD16" s="292"/>
      <c r="DXE16" s="292"/>
      <c r="DXF16" s="292"/>
      <c r="DXG16" s="292"/>
      <c r="DXH16" s="292"/>
      <c r="DXI16" s="292"/>
      <c r="DXJ16" s="292"/>
      <c r="DXK16" s="292"/>
      <c r="DXL16" s="292"/>
      <c r="DXM16" s="292"/>
      <c r="DXN16" s="292"/>
      <c r="DXO16" s="292"/>
      <c r="DXP16" s="292"/>
      <c r="DXQ16" s="292"/>
      <c r="DXR16" s="292"/>
      <c r="DXS16" s="292"/>
      <c r="DXT16" s="292"/>
      <c r="DXU16" s="292"/>
      <c r="DXV16" s="292"/>
      <c r="DXW16" s="292"/>
      <c r="DXX16" s="292"/>
      <c r="DXY16" s="292"/>
      <c r="DXZ16" s="292"/>
      <c r="DYA16" s="292"/>
      <c r="DYB16" s="292"/>
      <c r="DYC16" s="292"/>
      <c r="DYD16" s="292"/>
      <c r="DYE16" s="292"/>
      <c r="DYF16" s="292"/>
      <c r="DYG16" s="292"/>
      <c r="DYH16" s="292"/>
      <c r="DYI16" s="292"/>
      <c r="DYJ16" s="292"/>
      <c r="DYK16" s="292"/>
      <c r="DYL16" s="292"/>
      <c r="DYM16" s="292"/>
      <c r="DYN16" s="292"/>
      <c r="DYO16" s="292"/>
      <c r="DYP16" s="292"/>
      <c r="DYQ16" s="292"/>
      <c r="DYR16" s="292"/>
      <c r="DYS16" s="292"/>
      <c r="DYT16" s="292"/>
      <c r="DYU16" s="292"/>
      <c r="DYV16" s="292"/>
      <c r="DYW16" s="292"/>
      <c r="DYX16" s="292"/>
      <c r="DYY16" s="292"/>
      <c r="DYZ16" s="292"/>
      <c r="DZA16" s="292"/>
      <c r="DZB16" s="292"/>
      <c r="DZC16" s="292"/>
      <c r="DZD16" s="292"/>
      <c r="DZE16" s="292"/>
      <c r="DZF16" s="292"/>
      <c r="DZG16" s="292"/>
      <c r="DZH16" s="292"/>
      <c r="DZI16" s="292"/>
      <c r="DZJ16" s="292"/>
      <c r="DZK16" s="292"/>
      <c r="DZL16" s="292"/>
      <c r="DZM16" s="292"/>
      <c r="DZN16" s="292"/>
      <c r="DZO16" s="292"/>
      <c r="DZP16" s="292"/>
      <c r="DZQ16" s="292"/>
      <c r="DZR16" s="292"/>
      <c r="DZS16" s="292"/>
      <c r="DZT16" s="292"/>
      <c r="DZU16" s="292"/>
      <c r="DZV16" s="292"/>
      <c r="DZW16" s="292"/>
      <c r="DZX16" s="292"/>
      <c r="DZY16" s="292"/>
      <c r="DZZ16" s="292"/>
      <c r="EAA16" s="292"/>
      <c r="EAB16" s="292"/>
      <c r="EAC16" s="292"/>
      <c r="EAD16" s="292"/>
      <c r="EAE16" s="292"/>
      <c r="EAF16" s="292"/>
      <c r="EAG16" s="292"/>
      <c r="EAH16" s="292"/>
      <c r="EAI16" s="292"/>
      <c r="EAJ16" s="292"/>
      <c r="EAK16" s="292"/>
      <c r="EAL16" s="292"/>
      <c r="EAM16" s="292"/>
      <c r="EAN16" s="292"/>
      <c r="EAO16" s="292"/>
      <c r="EAP16" s="292"/>
      <c r="EAQ16" s="292"/>
      <c r="EAR16" s="292"/>
      <c r="EAS16" s="292"/>
      <c r="EAT16" s="292"/>
      <c r="EAU16" s="292"/>
      <c r="EAV16" s="292"/>
      <c r="EAW16" s="292"/>
      <c r="EAX16" s="292"/>
      <c r="EAY16" s="292"/>
      <c r="EAZ16" s="292"/>
      <c r="EBA16" s="292"/>
      <c r="EBB16" s="292"/>
      <c r="EBC16" s="292"/>
      <c r="EBD16" s="292"/>
      <c r="EBE16" s="292"/>
      <c r="EBF16" s="292"/>
      <c r="EBG16" s="292"/>
      <c r="EBH16" s="292"/>
      <c r="EBI16" s="292"/>
      <c r="EBJ16" s="292"/>
      <c r="EBK16" s="292"/>
      <c r="EBL16" s="292"/>
      <c r="EBM16" s="292"/>
      <c r="EBN16" s="292"/>
      <c r="EBO16" s="292"/>
      <c r="EBP16" s="292"/>
      <c r="EBQ16" s="292"/>
      <c r="EBR16" s="292"/>
      <c r="EBS16" s="292"/>
      <c r="EBT16" s="292"/>
      <c r="EBU16" s="292"/>
      <c r="EBV16" s="292"/>
      <c r="EBW16" s="292"/>
      <c r="EBX16" s="292"/>
      <c r="EBY16" s="292"/>
      <c r="EBZ16" s="292"/>
      <c r="ECA16" s="292"/>
      <c r="ECB16" s="292"/>
      <c r="ECC16" s="292"/>
      <c r="ECD16" s="292"/>
      <c r="ECE16" s="292"/>
      <c r="ECF16" s="292"/>
      <c r="ECG16" s="292"/>
      <c r="ECH16" s="292"/>
      <c r="ECI16" s="292"/>
      <c r="ECJ16" s="292"/>
      <c r="ECK16" s="292"/>
      <c r="ECL16" s="292"/>
      <c r="ECM16" s="292"/>
      <c r="ECN16" s="292"/>
      <c r="ECO16" s="292"/>
      <c r="ECP16" s="292"/>
      <c r="ECQ16" s="292"/>
      <c r="ECR16" s="292"/>
      <c r="ECS16" s="292"/>
      <c r="ECT16" s="292"/>
      <c r="ECU16" s="292"/>
      <c r="ECV16" s="292"/>
      <c r="ECW16" s="292"/>
      <c r="ECX16" s="292"/>
      <c r="ECY16" s="292"/>
      <c r="ECZ16" s="292"/>
      <c r="EDA16" s="292"/>
      <c r="EDB16" s="292"/>
      <c r="EDC16" s="292"/>
      <c r="EDD16" s="292"/>
      <c r="EDE16" s="292"/>
      <c r="EDF16" s="292"/>
      <c r="EDG16" s="292"/>
      <c r="EDH16" s="292"/>
      <c r="EDI16" s="292"/>
      <c r="EDJ16" s="292"/>
      <c r="EDK16" s="292"/>
      <c r="EDL16" s="292"/>
      <c r="EDM16" s="292"/>
      <c r="EDN16" s="292"/>
      <c r="EDO16" s="292"/>
      <c r="EDP16" s="292"/>
      <c r="EDQ16" s="292"/>
      <c r="EDR16" s="292"/>
      <c r="EDS16" s="292"/>
      <c r="EDT16" s="292"/>
      <c r="EDU16" s="292"/>
      <c r="EDV16" s="292"/>
      <c r="EDW16" s="292"/>
      <c r="EDX16" s="292"/>
      <c r="EDY16" s="292"/>
      <c r="EDZ16" s="292"/>
      <c r="EEA16" s="292"/>
      <c r="EEB16" s="292"/>
      <c r="EEC16" s="292"/>
      <c r="EED16" s="292"/>
      <c r="EEE16" s="292"/>
      <c r="EEF16" s="292"/>
      <c r="EEG16" s="292"/>
      <c r="EEH16" s="292"/>
      <c r="EEI16" s="292"/>
      <c r="EEJ16" s="292"/>
      <c r="EEK16" s="292"/>
      <c r="EEL16" s="292"/>
      <c r="EEM16" s="292"/>
      <c r="EEN16" s="292"/>
      <c r="EEO16" s="292"/>
      <c r="EEP16" s="292"/>
      <c r="EEQ16" s="292"/>
      <c r="EER16" s="292"/>
      <c r="EES16" s="292"/>
      <c r="EET16" s="292"/>
      <c r="EEU16" s="292"/>
      <c r="EEV16" s="292"/>
      <c r="EEW16" s="292"/>
      <c r="EEX16" s="292"/>
      <c r="EEY16" s="292"/>
      <c r="EEZ16" s="292"/>
      <c r="EFA16" s="292"/>
      <c r="EFB16" s="292"/>
      <c r="EFC16" s="292"/>
      <c r="EFD16" s="292"/>
      <c r="EFE16" s="292"/>
      <c r="EFF16" s="292"/>
      <c r="EFG16" s="292"/>
      <c r="EFH16" s="292"/>
      <c r="EFI16" s="292"/>
      <c r="EFJ16" s="292"/>
      <c r="EFK16" s="292"/>
      <c r="EFL16" s="292"/>
      <c r="EFM16" s="292"/>
      <c r="EFN16" s="292"/>
      <c r="EFO16" s="292"/>
      <c r="EFP16" s="292"/>
      <c r="EFQ16" s="292"/>
      <c r="EFR16" s="292"/>
      <c r="EFS16" s="292"/>
      <c r="EFT16" s="292"/>
      <c r="EFU16" s="292"/>
      <c r="EFV16" s="292"/>
      <c r="EFW16" s="292"/>
      <c r="EFX16" s="292"/>
      <c r="EFY16" s="292"/>
      <c r="EFZ16" s="292"/>
      <c r="EGA16" s="292"/>
      <c r="EGB16" s="292"/>
      <c r="EGC16" s="292"/>
      <c r="EGD16" s="292"/>
      <c r="EGE16" s="292"/>
      <c r="EGF16" s="292"/>
      <c r="EGG16" s="292"/>
      <c r="EGH16" s="292"/>
      <c r="EGI16" s="292"/>
      <c r="EGJ16" s="292"/>
      <c r="EGK16" s="292"/>
      <c r="EGL16" s="292"/>
      <c r="EGM16" s="292"/>
      <c r="EGN16" s="292"/>
      <c r="EGO16" s="292"/>
      <c r="EGP16" s="292"/>
      <c r="EGQ16" s="292"/>
      <c r="EGR16" s="292"/>
      <c r="EGS16" s="292"/>
      <c r="EGT16" s="292"/>
      <c r="EGU16" s="292"/>
      <c r="EGV16" s="292"/>
      <c r="EGW16" s="292"/>
      <c r="EGX16" s="292"/>
      <c r="EGY16" s="292"/>
      <c r="EGZ16" s="292"/>
      <c r="EHA16" s="292"/>
      <c r="EHB16" s="292"/>
      <c r="EHC16" s="292"/>
      <c r="EHD16" s="292"/>
      <c r="EHE16" s="292"/>
      <c r="EHF16" s="292"/>
      <c r="EHG16" s="292"/>
      <c r="EHH16" s="292"/>
      <c r="EHI16" s="292"/>
      <c r="EHJ16" s="292"/>
      <c r="EHK16" s="292"/>
      <c r="EHL16" s="292"/>
      <c r="EHM16" s="292"/>
      <c r="EHN16" s="292"/>
      <c r="EHO16" s="292"/>
      <c r="EHP16" s="292"/>
      <c r="EHQ16" s="292"/>
      <c r="EHR16" s="292"/>
      <c r="EHS16" s="292"/>
      <c r="EHT16" s="292"/>
      <c r="EHU16" s="292"/>
      <c r="EHV16" s="292"/>
      <c r="EHW16" s="292"/>
      <c r="EHX16" s="292"/>
      <c r="EHY16" s="292"/>
      <c r="EHZ16" s="292"/>
      <c r="EIA16" s="292"/>
      <c r="EIB16" s="292"/>
      <c r="EIC16" s="292"/>
      <c r="EID16" s="292"/>
      <c r="EIE16" s="292"/>
      <c r="EIF16" s="292"/>
      <c r="EIG16" s="292"/>
      <c r="EIH16" s="292"/>
      <c r="EII16" s="292"/>
      <c r="EIJ16" s="292"/>
      <c r="EIK16" s="292"/>
      <c r="EIL16" s="292"/>
      <c r="EIM16" s="292"/>
      <c r="EIN16" s="292"/>
      <c r="EIO16" s="292"/>
      <c r="EIP16" s="292"/>
      <c r="EIQ16" s="292"/>
      <c r="EIR16" s="292"/>
      <c r="EIS16" s="292"/>
      <c r="EIT16" s="292"/>
      <c r="EIU16" s="292"/>
      <c r="EIV16" s="292"/>
      <c r="EIW16" s="292"/>
      <c r="EIX16" s="292"/>
      <c r="EIY16" s="292"/>
      <c r="EIZ16" s="292"/>
      <c r="EJA16" s="292"/>
      <c r="EJB16" s="292"/>
      <c r="EJC16" s="292"/>
      <c r="EJD16" s="292"/>
      <c r="EJE16" s="292"/>
      <c r="EJF16" s="292"/>
      <c r="EJG16" s="292"/>
      <c r="EJH16" s="292"/>
      <c r="EJI16" s="292"/>
      <c r="EJJ16" s="292"/>
      <c r="EJK16" s="292"/>
      <c r="EJL16" s="292"/>
      <c r="EJM16" s="292"/>
      <c r="EJN16" s="292"/>
      <c r="EJO16" s="292"/>
      <c r="EJP16" s="292"/>
      <c r="EJQ16" s="292"/>
      <c r="EJR16" s="292"/>
      <c r="EJS16" s="292"/>
      <c r="EJT16" s="292"/>
      <c r="EJU16" s="292"/>
      <c r="EJV16" s="292"/>
      <c r="EJW16" s="292"/>
      <c r="EJX16" s="292"/>
      <c r="EJY16" s="292"/>
      <c r="EJZ16" s="292"/>
      <c r="EKA16" s="292"/>
      <c r="EKB16" s="292"/>
      <c r="EKC16" s="292"/>
      <c r="EKD16" s="292"/>
      <c r="EKE16" s="292"/>
      <c r="EKF16" s="292"/>
      <c r="EKG16" s="292"/>
      <c r="EKH16" s="292"/>
      <c r="EKI16" s="292"/>
      <c r="EKJ16" s="292"/>
      <c r="EKK16" s="292"/>
      <c r="EKL16" s="292"/>
      <c r="EKM16" s="292"/>
      <c r="EKN16" s="292"/>
      <c r="EKO16" s="292"/>
      <c r="EKP16" s="292"/>
      <c r="EKQ16" s="292"/>
      <c r="EKR16" s="292"/>
      <c r="EKS16" s="292"/>
      <c r="EKT16" s="292"/>
      <c r="EKU16" s="292"/>
      <c r="EKV16" s="292"/>
      <c r="EKW16" s="292"/>
      <c r="EKX16" s="292"/>
      <c r="EKY16" s="292"/>
      <c r="EKZ16" s="292"/>
      <c r="ELA16" s="292"/>
      <c r="ELB16" s="292"/>
      <c r="ELC16" s="292"/>
      <c r="ELD16" s="292"/>
      <c r="ELE16" s="292"/>
      <c r="ELF16" s="292"/>
      <c r="ELG16" s="292"/>
      <c r="ELH16" s="292"/>
      <c r="ELI16" s="292"/>
      <c r="ELJ16" s="292"/>
      <c r="ELK16" s="292"/>
      <c r="ELL16" s="292"/>
      <c r="ELM16" s="292"/>
      <c r="ELN16" s="292"/>
      <c r="ELO16" s="292"/>
      <c r="ELP16" s="292"/>
      <c r="ELQ16" s="292"/>
      <c r="ELR16" s="292"/>
      <c r="ELS16" s="292"/>
      <c r="ELT16" s="292"/>
      <c r="ELU16" s="292"/>
      <c r="ELV16" s="292"/>
      <c r="ELW16" s="292"/>
      <c r="ELX16" s="292"/>
      <c r="ELY16" s="292"/>
      <c r="ELZ16" s="292"/>
      <c r="EMA16" s="292"/>
      <c r="EMB16" s="292"/>
      <c r="EMC16" s="292"/>
      <c r="EMD16" s="292"/>
      <c r="EME16" s="292"/>
      <c r="EMF16" s="292"/>
      <c r="EMG16" s="292"/>
      <c r="EMH16" s="292"/>
      <c r="EMI16" s="292"/>
      <c r="EMJ16" s="292"/>
      <c r="EMK16" s="292"/>
      <c r="EML16" s="292"/>
      <c r="EMM16" s="292"/>
      <c r="EMN16" s="292"/>
      <c r="EMO16" s="292"/>
      <c r="EMP16" s="292"/>
      <c r="EMQ16" s="292"/>
      <c r="EMR16" s="292"/>
      <c r="EMS16" s="292"/>
      <c r="EMT16" s="292"/>
      <c r="EMU16" s="292"/>
      <c r="EMV16" s="292"/>
      <c r="EMW16" s="292"/>
      <c r="EMX16" s="292"/>
      <c r="EMY16" s="292"/>
      <c r="EMZ16" s="292"/>
      <c r="ENA16" s="292"/>
      <c r="ENB16" s="292"/>
      <c r="ENC16" s="292"/>
      <c r="END16" s="292"/>
      <c r="ENE16" s="292"/>
      <c r="ENF16" s="292"/>
      <c r="ENG16" s="292"/>
      <c r="ENH16" s="292"/>
      <c r="ENI16" s="292"/>
      <c r="ENJ16" s="292"/>
      <c r="ENK16" s="292"/>
      <c r="ENL16" s="292"/>
      <c r="ENM16" s="292"/>
      <c r="ENN16" s="292"/>
      <c r="ENO16" s="292"/>
      <c r="ENP16" s="292"/>
      <c r="ENQ16" s="292"/>
      <c r="ENR16" s="292"/>
      <c r="ENS16" s="292"/>
      <c r="ENT16" s="292"/>
      <c r="ENU16" s="292"/>
      <c r="ENV16" s="292"/>
      <c r="ENW16" s="292"/>
      <c r="ENX16" s="292"/>
      <c r="ENY16" s="292"/>
      <c r="ENZ16" s="292"/>
      <c r="EOA16" s="292"/>
      <c r="EOB16" s="292"/>
      <c r="EOC16" s="292"/>
      <c r="EOD16" s="292"/>
      <c r="EOE16" s="292"/>
      <c r="EOF16" s="292"/>
      <c r="EOG16" s="292"/>
      <c r="EOH16" s="292"/>
      <c r="EOI16" s="292"/>
      <c r="EOJ16" s="292"/>
      <c r="EOK16" s="292"/>
      <c r="EOL16" s="292"/>
      <c r="EOM16" s="292"/>
      <c r="EON16" s="292"/>
      <c r="EOO16" s="292"/>
      <c r="EOP16" s="292"/>
      <c r="EOQ16" s="292"/>
      <c r="EOR16" s="292"/>
      <c r="EOS16" s="292"/>
      <c r="EOT16" s="292"/>
      <c r="EOU16" s="292"/>
      <c r="EOV16" s="292"/>
      <c r="EOW16" s="292"/>
      <c r="EOX16" s="292"/>
      <c r="EOY16" s="292"/>
      <c r="EOZ16" s="292"/>
      <c r="EPA16" s="292"/>
      <c r="EPB16" s="292"/>
      <c r="EPC16" s="292"/>
      <c r="EPD16" s="292"/>
      <c r="EPE16" s="292"/>
      <c r="EPF16" s="292"/>
      <c r="EPG16" s="292"/>
      <c r="EPH16" s="292"/>
      <c r="EPI16" s="292"/>
      <c r="EPJ16" s="292"/>
      <c r="EPK16" s="292"/>
      <c r="EPL16" s="292"/>
      <c r="EPM16" s="292"/>
      <c r="EPN16" s="292"/>
      <c r="EPO16" s="292"/>
      <c r="EPP16" s="292"/>
      <c r="EPQ16" s="292"/>
      <c r="EPR16" s="292"/>
      <c r="EPS16" s="292"/>
      <c r="EPT16" s="292"/>
      <c r="EPU16" s="292"/>
      <c r="EPV16" s="292"/>
      <c r="EPW16" s="292"/>
      <c r="EPX16" s="292"/>
      <c r="EPY16" s="292"/>
      <c r="EPZ16" s="292"/>
      <c r="EQA16" s="292"/>
      <c r="EQB16" s="292"/>
      <c r="EQC16" s="292"/>
      <c r="EQD16" s="292"/>
      <c r="EQE16" s="292"/>
      <c r="EQF16" s="292"/>
      <c r="EQG16" s="292"/>
      <c r="EQH16" s="292"/>
      <c r="EQI16" s="292"/>
      <c r="EQJ16" s="292"/>
      <c r="EQK16" s="292"/>
      <c r="EQL16" s="292"/>
      <c r="EQM16" s="292"/>
      <c r="EQN16" s="292"/>
      <c r="EQO16" s="292"/>
      <c r="EQP16" s="292"/>
      <c r="EQQ16" s="292"/>
      <c r="EQR16" s="292"/>
      <c r="EQS16" s="292"/>
      <c r="EQT16" s="292"/>
      <c r="EQU16" s="292"/>
      <c r="EQV16" s="292"/>
      <c r="EQW16" s="292"/>
      <c r="EQX16" s="292"/>
      <c r="EQY16" s="292"/>
      <c r="EQZ16" s="292"/>
      <c r="ERA16" s="292"/>
      <c r="ERB16" s="292"/>
      <c r="ERC16" s="292"/>
      <c r="ERD16" s="292"/>
      <c r="ERE16" s="292"/>
      <c r="ERF16" s="292"/>
      <c r="ERG16" s="292"/>
      <c r="ERH16" s="292"/>
      <c r="ERI16" s="292"/>
      <c r="ERJ16" s="292"/>
      <c r="ERK16" s="292"/>
      <c r="ERL16" s="292"/>
      <c r="ERM16" s="292"/>
      <c r="ERN16" s="292"/>
      <c r="ERO16" s="292"/>
      <c r="ERP16" s="292"/>
      <c r="ERQ16" s="292"/>
      <c r="ERR16" s="292"/>
      <c r="ERS16" s="292"/>
      <c r="ERT16" s="292"/>
      <c r="ERU16" s="292"/>
      <c r="ERV16" s="292"/>
      <c r="ERW16" s="292"/>
      <c r="ERX16" s="292"/>
      <c r="ERY16" s="292"/>
      <c r="ERZ16" s="292"/>
      <c r="ESA16" s="292"/>
      <c r="ESB16" s="292"/>
      <c r="ESC16" s="292"/>
      <c r="ESD16" s="292"/>
      <c r="ESE16" s="292"/>
      <c r="ESF16" s="292"/>
      <c r="ESG16" s="292"/>
      <c r="ESH16" s="292"/>
      <c r="ESI16" s="292"/>
      <c r="ESJ16" s="292"/>
      <c r="ESK16" s="292"/>
      <c r="ESL16" s="292"/>
      <c r="ESM16" s="292"/>
      <c r="ESN16" s="292"/>
      <c r="ESO16" s="292"/>
      <c r="ESP16" s="292"/>
      <c r="ESQ16" s="292"/>
      <c r="ESR16" s="292"/>
      <c r="ESS16" s="292"/>
      <c r="EST16" s="292"/>
      <c r="ESU16" s="292"/>
      <c r="ESV16" s="292"/>
      <c r="ESW16" s="292"/>
      <c r="ESX16" s="292"/>
      <c r="ESY16" s="292"/>
      <c r="ESZ16" s="292"/>
      <c r="ETA16" s="292"/>
      <c r="ETB16" s="292"/>
      <c r="ETC16" s="292"/>
      <c r="ETD16" s="292"/>
      <c r="ETE16" s="292"/>
      <c r="ETF16" s="292"/>
      <c r="ETG16" s="292"/>
      <c r="ETH16" s="292"/>
      <c r="ETI16" s="292"/>
      <c r="ETJ16" s="292"/>
      <c r="ETK16" s="292"/>
      <c r="ETL16" s="292"/>
      <c r="ETM16" s="292"/>
      <c r="ETN16" s="292"/>
      <c r="ETO16" s="292"/>
      <c r="ETP16" s="292"/>
      <c r="ETQ16" s="292"/>
      <c r="ETR16" s="292"/>
      <c r="ETS16" s="292"/>
      <c r="ETT16" s="292"/>
      <c r="ETU16" s="292"/>
      <c r="ETV16" s="292"/>
      <c r="ETW16" s="292"/>
      <c r="ETX16" s="292"/>
      <c r="ETY16" s="292"/>
      <c r="ETZ16" s="292"/>
      <c r="EUA16" s="292"/>
      <c r="EUB16" s="292"/>
      <c r="EUC16" s="292"/>
      <c r="EUD16" s="292"/>
      <c r="EUE16" s="292"/>
      <c r="EUF16" s="292"/>
      <c r="EUG16" s="292"/>
      <c r="EUH16" s="292"/>
      <c r="EUI16" s="292"/>
      <c r="EUJ16" s="292"/>
      <c r="EUK16" s="292"/>
      <c r="EUL16" s="292"/>
      <c r="EUM16" s="292"/>
      <c r="EUN16" s="292"/>
      <c r="EUO16" s="292"/>
      <c r="EUP16" s="292"/>
      <c r="EUQ16" s="292"/>
      <c r="EUR16" s="292"/>
      <c r="EUS16" s="292"/>
      <c r="EUT16" s="292"/>
      <c r="EUU16" s="292"/>
      <c r="EUV16" s="292"/>
      <c r="EUW16" s="292"/>
      <c r="EUX16" s="292"/>
      <c r="EUY16" s="292"/>
      <c r="EUZ16" s="292"/>
      <c r="EVA16" s="292"/>
      <c r="EVB16" s="292"/>
      <c r="EVC16" s="292"/>
      <c r="EVD16" s="292"/>
      <c r="EVE16" s="292"/>
      <c r="EVF16" s="292"/>
      <c r="EVG16" s="292"/>
      <c r="EVH16" s="292"/>
      <c r="EVI16" s="292"/>
      <c r="EVJ16" s="292"/>
      <c r="EVK16" s="292"/>
      <c r="EVL16" s="292"/>
      <c r="EVM16" s="292"/>
      <c r="EVN16" s="292"/>
      <c r="EVO16" s="292"/>
      <c r="EVP16" s="292"/>
      <c r="EVQ16" s="292"/>
      <c r="EVR16" s="292"/>
      <c r="EVS16" s="292"/>
      <c r="EVT16" s="292"/>
      <c r="EVU16" s="292"/>
      <c r="EVV16" s="292"/>
      <c r="EVW16" s="292"/>
      <c r="EVX16" s="292"/>
      <c r="EVY16" s="292"/>
      <c r="EVZ16" s="292"/>
      <c r="EWA16" s="292"/>
      <c r="EWB16" s="292"/>
      <c r="EWC16" s="292"/>
      <c r="EWD16" s="292"/>
      <c r="EWE16" s="292"/>
      <c r="EWF16" s="292"/>
      <c r="EWG16" s="292"/>
      <c r="EWH16" s="292"/>
      <c r="EWI16" s="292"/>
      <c r="EWJ16" s="292"/>
      <c r="EWK16" s="292"/>
      <c r="EWL16" s="292"/>
      <c r="EWM16" s="292"/>
      <c r="EWN16" s="292"/>
      <c r="EWO16" s="292"/>
      <c r="EWP16" s="292"/>
      <c r="EWQ16" s="292"/>
      <c r="EWR16" s="292"/>
      <c r="EWS16" s="292"/>
      <c r="EWT16" s="292"/>
      <c r="EWU16" s="292"/>
      <c r="EWV16" s="292"/>
      <c r="EWW16" s="292"/>
      <c r="EWX16" s="292"/>
      <c r="EWY16" s="292"/>
      <c r="EWZ16" s="292"/>
      <c r="EXA16" s="292"/>
      <c r="EXB16" s="292"/>
      <c r="EXC16" s="292"/>
      <c r="EXD16" s="292"/>
      <c r="EXE16" s="292"/>
      <c r="EXF16" s="292"/>
      <c r="EXG16" s="292"/>
      <c r="EXH16" s="292"/>
      <c r="EXI16" s="292"/>
      <c r="EXJ16" s="292"/>
      <c r="EXK16" s="292"/>
      <c r="EXL16" s="292"/>
      <c r="EXM16" s="292"/>
      <c r="EXN16" s="292"/>
      <c r="EXO16" s="292"/>
      <c r="EXP16" s="292"/>
      <c r="EXQ16" s="292"/>
      <c r="EXR16" s="292"/>
      <c r="EXS16" s="292"/>
      <c r="EXT16" s="292"/>
      <c r="EXU16" s="292"/>
      <c r="EXV16" s="292"/>
      <c r="EXW16" s="292"/>
      <c r="EXX16" s="292"/>
      <c r="EXY16" s="292"/>
      <c r="EXZ16" s="292"/>
      <c r="EYA16" s="292"/>
      <c r="EYB16" s="292"/>
      <c r="EYC16" s="292"/>
      <c r="EYD16" s="292"/>
      <c r="EYE16" s="292"/>
      <c r="EYF16" s="292"/>
      <c r="EYG16" s="292"/>
      <c r="EYH16" s="292"/>
      <c r="EYI16" s="292"/>
      <c r="EYJ16" s="292"/>
      <c r="EYK16" s="292"/>
      <c r="EYL16" s="292"/>
      <c r="EYM16" s="292"/>
      <c r="EYN16" s="292"/>
      <c r="EYO16" s="292"/>
      <c r="EYP16" s="292"/>
      <c r="EYQ16" s="292"/>
      <c r="EYR16" s="292"/>
      <c r="EYS16" s="292"/>
      <c r="EYT16" s="292"/>
      <c r="EYU16" s="292"/>
      <c r="EYV16" s="292"/>
      <c r="EYW16" s="292"/>
      <c r="EYX16" s="292"/>
      <c r="EYY16" s="292"/>
      <c r="EYZ16" s="292"/>
      <c r="EZA16" s="292"/>
      <c r="EZB16" s="292"/>
      <c r="EZC16" s="292"/>
      <c r="EZD16" s="292"/>
      <c r="EZE16" s="292"/>
      <c r="EZF16" s="292"/>
      <c r="EZG16" s="292"/>
      <c r="EZH16" s="292"/>
      <c r="EZI16" s="292"/>
      <c r="EZJ16" s="292"/>
      <c r="EZK16" s="292"/>
      <c r="EZL16" s="292"/>
      <c r="EZM16" s="292"/>
      <c r="EZN16" s="292"/>
      <c r="EZO16" s="292"/>
      <c r="EZP16" s="292"/>
      <c r="EZQ16" s="292"/>
      <c r="EZR16" s="292"/>
      <c r="EZS16" s="292"/>
      <c r="EZT16" s="292"/>
      <c r="EZU16" s="292"/>
      <c r="EZV16" s="292"/>
      <c r="EZW16" s="292"/>
      <c r="EZX16" s="292"/>
      <c r="EZY16" s="292"/>
      <c r="EZZ16" s="292"/>
      <c r="FAA16" s="292"/>
      <c r="FAB16" s="292"/>
      <c r="FAC16" s="292"/>
      <c r="FAD16" s="292"/>
      <c r="FAE16" s="292"/>
      <c r="FAF16" s="292"/>
      <c r="FAG16" s="292"/>
      <c r="FAH16" s="292"/>
      <c r="FAI16" s="292"/>
      <c r="FAJ16" s="292"/>
      <c r="FAK16" s="292"/>
      <c r="FAL16" s="292"/>
      <c r="FAM16" s="292"/>
      <c r="FAN16" s="292"/>
      <c r="FAO16" s="292"/>
      <c r="FAP16" s="292"/>
      <c r="FAQ16" s="292"/>
      <c r="FAR16" s="292"/>
      <c r="FAS16" s="292"/>
      <c r="FAT16" s="292"/>
      <c r="FAU16" s="292"/>
      <c r="FAV16" s="292"/>
      <c r="FAW16" s="292"/>
      <c r="FAX16" s="292"/>
      <c r="FAY16" s="292"/>
      <c r="FAZ16" s="292"/>
      <c r="FBA16" s="292"/>
      <c r="FBB16" s="292"/>
      <c r="FBC16" s="292"/>
      <c r="FBD16" s="292"/>
      <c r="FBE16" s="292"/>
      <c r="FBF16" s="292"/>
      <c r="FBG16" s="292"/>
      <c r="FBH16" s="292"/>
      <c r="FBI16" s="292"/>
      <c r="FBJ16" s="292"/>
      <c r="FBK16" s="292"/>
      <c r="FBL16" s="292"/>
      <c r="FBM16" s="292"/>
      <c r="FBN16" s="292"/>
      <c r="FBO16" s="292"/>
      <c r="FBP16" s="292"/>
      <c r="FBQ16" s="292"/>
      <c r="FBR16" s="292"/>
      <c r="FBS16" s="292"/>
      <c r="FBT16" s="292"/>
      <c r="FBU16" s="292"/>
      <c r="FBV16" s="292"/>
      <c r="FBW16" s="292"/>
      <c r="FBX16" s="292"/>
      <c r="FBY16" s="292"/>
      <c r="FBZ16" s="292"/>
      <c r="FCA16" s="292"/>
      <c r="FCB16" s="292"/>
      <c r="FCC16" s="292"/>
      <c r="FCD16" s="292"/>
      <c r="FCE16" s="292"/>
      <c r="FCF16" s="292"/>
      <c r="FCG16" s="292"/>
      <c r="FCH16" s="292"/>
      <c r="FCI16" s="292"/>
      <c r="FCJ16" s="292"/>
      <c r="FCK16" s="292"/>
      <c r="FCL16" s="292"/>
      <c r="FCM16" s="292"/>
      <c r="FCN16" s="292"/>
      <c r="FCO16" s="292"/>
      <c r="FCP16" s="292"/>
      <c r="FCQ16" s="292"/>
      <c r="FCR16" s="292"/>
      <c r="FCS16" s="292"/>
      <c r="FCT16" s="292"/>
      <c r="FCU16" s="292"/>
      <c r="FCV16" s="292"/>
      <c r="FCW16" s="292"/>
      <c r="FCX16" s="292"/>
      <c r="FCY16" s="292"/>
      <c r="FCZ16" s="292"/>
      <c r="FDA16" s="292"/>
      <c r="FDB16" s="292"/>
      <c r="FDC16" s="292"/>
      <c r="FDD16" s="292"/>
      <c r="FDE16" s="292"/>
      <c r="FDF16" s="292"/>
      <c r="FDG16" s="292"/>
      <c r="FDH16" s="292"/>
      <c r="FDI16" s="292"/>
      <c r="FDJ16" s="292"/>
      <c r="FDK16" s="292"/>
      <c r="FDL16" s="292"/>
      <c r="FDM16" s="292"/>
      <c r="FDN16" s="292"/>
      <c r="FDO16" s="292"/>
      <c r="FDP16" s="292"/>
      <c r="FDQ16" s="292"/>
      <c r="FDR16" s="292"/>
      <c r="FDS16" s="292"/>
      <c r="FDT16" s="292"/>
      <c r="FDU16" s="292"/>
      <c r="FDV16" s="292"/>
      <c r="FDW16" s="292"/>
      <c r="FDX16" s="292"/>
      <c r="FDY16" s="292"/>
      <c r="FDZ16" s="292"/>
      <c r="FEA16" s="292"/>
      <c r="FEB16" s="292"/>
      <c r="FEC16" s="292"/>
      <c r="FED16" s="292"/>
      <c r="FEE16" s="292"/>
      <c r="FEF16" s="292"/>
      <c r="FEG16" s="292"/>
      <c r="FEH16" s="292"/>
      <c r="FEI16" s="292"/>
      <c r="FEJ16" s="292"/>
      <c r="FEK16" s="292"/>
      <c r="FEL16" s="292"/>
      <c r="FEM16" s="292"/>
      <c r="FEN16" s="292"/>
      <c r="FEO16" s="292"/>
      <c r="FEP16" s="292"/>
      <c r="FEQ16" s="292"/>
      <c r="FER16" s="292"/>
      <c r="FES16" s="292"/>
      <c r="FET16" s="292"/>
      <c r="FEU16" s="292"/>
      <c r="FEV16" s="292"/>
      <c r="FEW16" s="292"/>
      <c r="FEX16" s="292"/>
      <c r="FEY16" s="292"/>
      <c r="FEZ16" s="292"/>
      <c r="FFA16" s="292"/>
      <c r="FFB16" s="292"/>
      <c r="FFC16" s="292"/>
      <c r="FFD16" s="292"/>
      <c r="FFE16" s="292"/>
      <c r="FFF16" s="292"/>
      <c r="FFG16" s="292"/>
      <c r="FFH16" s="292"/>
      <c r="FFI16" s="292"/>
      <c r="FFJ16" s="292"/>
      <c r="FFK16" s="292"/>
      <c r="FFL16" s="292"/>
      <c r="FFM16" s="292"/>
      <c r="FFN16" s="292"/>
      <c r="FFO16" s="292"/>
      <c r="FFP16" s="292"/>
      <c r="FFQ16" s="292"/>
      <c r="FFR16" s="292"/>
      <c r="FFS16" s="292"/>
      <c r="FFT16" s="292"/>
      <c r="FFU16" s="292"/>
      <c r="FFV16" s="292"/>
      <c r="FFW16" s="292"/>
      <c r="FFX16" s="292"/>
      <c r="FFY16" s="292"/>
      <c r="FFZ16" s="292"/>
      <c r="FGA16" s="292"/>
      <c r="FGB16" s="292"/>
      <c r="FGC16" s="292"/>
      <c r="FGD16" s="292"/>
      <c r="FGE16" s="292"/>
      <c r="FGF16" s="292"/>
      <c r="FGG16" s="292"/>
      <c r="FGH16" s="292"/>
      <c r="FGI16" s="292"/>
      <c r="FGJ16" s="292"/>
      <c r="FGK16" s="292"/>
      <c r="FGL16" s="292"/>
      <c r="FGM16" s="292"/>
      <c r="FGN16" s="292"/>
      <c r="FGO16" s="292"/>
      <c r="FGP16" s="292"/>
      <c r="FGQ16" s="292"/>
      <c r="FGR16" s="292"/>
      <c r="FGS16" s="292"/>
      <c r="FGT16" s="292"/>
      <c r="FGU16" s="292"/>
      <c r="FGV16" s="292"/>
      <c r="FGW16" s="292"/>
      <c r="FGX16" s="292"/>
      <c r="FGY16" s="292"/>
      <c r="FGZ16" s="292"/>
      <c r="FHA16" s="292"/>
      <c r="FHB16" s="292"/>
      <c r="FHC16" s="292"/>
      <c r="FHD16" s="292"/>
      <c r="FHE16" s="292"/>
      <c r="FHF16" s="292"/>
      <c r="FHG16" s="292"/>
      <c r="FHH16" s="292"/>
      <c r="FHI16" s="292"/>
      <c r="FHJ16" s="292"/>
      <c r="FHK16" s="292"/>
      <c r="FHL16" s="292"/>
      <c r="FHM16" s="292"/>
      <c r="FHN16" s="292"/>
      <c r="FHO16" s="292"/>
      <c r="FHP16" s="292"/>
      <c r="FHQ16" s="292"/>
      <c r="FHR16" s="292"/>
      <c r="FHS16" s="292"/>
      <c r="FHT16" s="292"/>
      <c r="FHU16" s="292"/>
      <c r="FHV16" s="292"/>
      <c r="FHW16" s="292"/>
      <c r="FHX16" s="292"/>
      <c r="FHY16" s="292"/>
      <c r="FHZ16" s="292"/>
      <c r="FIA16" s="292"/>
      <c r="FIB16" s="292"/>
      <c r="FIC16" s="292"/>
      <c r="FID16" s="292"/>
      <c r="FIE16" s="292"/>
      <c r="FIF16" s="292"/>
      <c r="FIG16" s="292"/>
      <c r="FIH16" s="292"/>
      <c r="FII16" s="292"/>
      <c r="FIJ16" s="292"/>
      <c r="FIK16" s="292"/>
      <c r="FIL16" s="292"/>
      <c r="FIM16" s="292"/>
      <c r="FIN16" s="292"/>
      <c r="FIO16" s="292"/>
      <c r="FIP16" s="292"/>
      <c r="FIQ16" s="292"/>
      <c r="FIR16" s="292"/>
      <c r="FIS16" s="292"/>
      <c r="FIT16" s="292"/>
      <c r="FIU16" s="292"/>
      <c r="FIV16" s="292"/>
      <c r="FIW16" s="292"/>
      <c r="FIX16" s="292"/>
      <c r="FIY16" s="292"/>
      <c r="FIZ16" s="292"/>
      <c r="FJA16" s="292"/>
      <c r="FJB16" s="292"/>
      <c r="FJC16" s="292"/>
      <c r="FJD16" s="292"/>
      <c r="FJE16" s="292"/>
      <c r="FJF16" s="292"/>
      <c r="FJG16" s="292"/>
      <c r="FJH16" s="292"/>
      <c r="FJI16" s="292"/>
      <c r="FJJ16" s="292"/>
      <c r="FJK16" s="292"/>
      <c r="FJL16" s="292"/>
      <c r="FJM16" s="292"/>
      <c r="FJN16" s="292"/>
      <c r="FJO16" s="292"/>
      <c r="FJP16" s="292"/>
      <c r="FJQ16" s="292"/>
      <c r="FJR16" s="292"/>
      <c r="FJS16" s="292"/>
      <c r="FJT16" s="292"/>
      <c r="FJU16" s="292"/>
      <c r="FJV16" s="292"/>
      <c r="FJW16" s="292"/>
      <c r="FJX16" s="292"/>
      <c r="FJY16" s="292"/>
      <c r="FJZ16" s="292"/>
      <c r="FKA16" s="292"/>
      <c r="FKB16" s="292"/>
      <c r="FKC16" s="292"/>
      <c r="FKD16" s="292"/>
      <c r="FKE16" s="292"/>
      <c r="FKF16" s="292"/>
      <c r="FKG16" s="292"/>
      <c r="FKH16" s="292"/>
      <c r="FKI16" s="292"/>
      <c r="FKJ16" s="292"/>
      <c r="FKK16" s="292"/>
      <c r="FKL16" s="292"/>
      <c r="FKM16" s="292"/>
      <c r="FKN16" s="292"/>
      <c r="FKO16" s="292"/>
      <c r="FKP16" s="292"/>
      <c r="FKQ16" s="292"/>
      <c r="FKR16" s="292"/>
      <c r="FKS16" s="292"/>
      <c r="FKT16" s="292"/>
      <c r="FKU16" s="292"/>
      <c r="FKV16" s="292"/>
      <c r="FKW16" s="292"/>
      <c r="FKX16" s="292"/>
      <c r="FKY16" s="292"/>
      <c r="FKZ16" s="292"/>
      <c r="FLA16" s="292"/>
      <c r="FLB16" s="292"/>
      <c r="FLC16" s="292"/>
      <c r="FLD16" s="292"/>
      <c r="FLE16" s="292"/>
      <c r="FLF16" s="292"/>
      <c r="FLG16" s="292"/>
      <c r="FLH16" s="292"/>
      <c r="FLI16" s="292"/>
      <c r="FLJ16" s="292"/>
      <c r="FLK16" s="292"/>
      <c r="FLL16" s="292"/>
      <c r="FLM16" s="292"/>
      <c r="FLN16" s="292"/>
      <c r="FLO16" s="292"/>
      <c r="FLP16" s="292"/>
      <c r="FLQ16" s="292"/>
      <c r="FLR16" s="292"/>
      <c r="FLS16" s="292"/>
      <c r="FLT16" s="292"/>
      <c r="FLU16" s="292"/>
      <c r="FLV16" s="292"/>
      <c r="FLW16" s="292"/>
      <c r="FLX16" s="292"/>
      <c r="FLY16" s="292"/>
      <c r="FLZ16" s="292"/>
      <c r="FMA16" s="292"/>
      <c r="FMB16" s="292"/>
      <c r="FMC16" s="292"/>
      <c r="FMD16" s="292"/>
      <c r="FME16" s="292"/>
      <c r="FMF16" s="292"/>
      <c r="FMG16" s="292"/>
      <c r="FMH16" s="292"/>
      <c r="FMI16" s="292"/>
      <c r="FMJ16" s="292"/>
      <c r="FMK16" s="292"/>
      <c r="FML16" s="292"/>
      <c r="FMM16" s="292"/>
      <c r="FMN16" s="292"/>
      <c r="FMO16" s="292"/>
      <c r="FMP16" s="292"/>
      <c r="FMQ16" s="292"/>
      <c r="FMR16" s="292"/>
      <c r="FMS16" s="292"/>
      <c r="FMT16" s="292"/>
      <c r="FMU16" s="292"/>
      <c r="FMV16" s="292"/>
      <c r="FMW16" s="292"/>
      <c r="FMX16" s="292"/>
      <c r="FMY16" s="292"/>
      <c r="FMZ16" s="292"/>
      <c r="FNA16" s="292"/>
      <c r="FNB16" s="292"/>
      <c r="FNC16" s="292"/>
      <c r="FND16" s="292"/>
      <c r="FNE16" s="292"/>
      <c r="FNF16" s="292"/>
      <c r="FNG16" s="292"/>
      <c r="FNH16" s="292"/>
      <c r="FNI16" s="292"/>
      <c r="FNJ16" s="292"/>
      <c r="FNK16" s="292"/>
      <c r="FNL16" s="292"/>
      <c r="FNM16" s="292"/>
      <c r="FNN16" s="292"/>
      <c r="FNO16" s="292"/>
      <c r="FNP16" s="292"/>
      <c r="FNQ16" s="292"/>
      <c r="FNR16" s="292"/>
      <c r="FNS16" s="292"/>
      <c r="FNT16" s="292"/>
      <c r="FNU16" s="292"/>
      <c r="FNV16" s="292"/>
      <c r="FNW16" s="292"/>
      <c r="FNX16" s="292"/>
      <c r="FNY16" s="292"/>
      <c r="FNZ16" s="292"/>
      <c r="FOA16" s="292"/>
      <c r="FOB16" s="292"/>
      <c r="FOC16" s="292"/>
      <c r="FOD16" s="292"/>
      <c r="FOE16" s="292"/>
      <c r="FOF16" s="292"/>
      <c r="FOG16" s="292"/>
      <c r="FOH16" s="292"/>
      <c r="FOI16" s="292"/>
      <c r="FOJ16" s="292"/>
      <c r="FOK16" s="292"/>
      <c r="FOL16" s="292"/>
      <c r="FOM16" s="292"/>
      <c r="FON16" s="292"/>
      <c r="FOO16" s="292"/>
      <c r="FOP16" s="292"/>
      <c r="FOQ16" s="292"/>
      <c r="FOR16" s="292"/>
      <c r="FOS16" s="292"/>
      <c r="FOT16" s="292"/>
      <c r="FOU16" s="292"/>
      <c r="FOV16" s="292"/>
      <c r="FOW16" s="292"/>
      <c r="FOX16" s="292"/>
      <c r="FOY16" s="292"/>
      <c r="FOZ16" s="292"/>
      <c r="FPA16" s="292"/>
      <c r="FPB16" s="292"/>
      <c r="FPC16" s="292"/>
      <c r="FPD16" s="292"/>
      <c r="FPE16" s="292"/>
      <c r="FPF16" s="292"/>
      <c r="FPG16" s="292"/>
      <c r="FPH16" s="292"/>
      <c r="FPI16" s="292"/>
      <c r="FPJ16" s="292"/>
      <c r="FPK16" s="292"/>
      <c r="FPL16" s="292"/>
      <c r="FPM16" s="292"/>
      <c r="FPN16" s="292"/>
      <c r="FPO16" s="292"/>
      <c r="FPP16" s="292"/>
      <c r="FPQ16" s="292"/>
      <c r="FPR16" s="292"/>
      <c r="FPS16" s="292"/>
      <c r="FPT16" s="292"/>
      <c r="FPU16" s="292"/>
      <c r="FPV16" s="292"/>
      <c r="FPW16" s="292"/>
      <c r="FPX16" s="292"/>
      <c r="FPY16" s="292"/>
      <c r="FPZ16" s="292"/>
      <c r="FQA16" s="292"/>
      <c r="FQB16" s="292"/>
      <c r="FQC16" s="292"/>
      <c r="FQD16" s="292"/>
      <c r="FQE16" s="292"/>
      <c r="FQF16" s="292"/>
      <c r="FQG16" s="292"/>
      <c r="FQH16" s="292"/>
      <c r="FQI16" s="292"/>
      <c r="FQJ16" s="292"/>
      <c r="FQK16" s="292"/>
      <c r="FQL16" s="292"/>
      <c r="FQM16" s="292"/>
      <c r="FQN16" s="292"/>
      <c r="FQO16" s="292"/>
      <c r="FQP16" s="292"/>
      <c r="FQQ16" s="292"/>
      <c r="FQR16" s="292"/>
      <c r="FQS16" s="292"/>
      <c r="FQT16" s="292"/>
      <c r="FQU16" s="292"/>
      <c r="FQV16" s="292"/>
      <c r="FQW16" s="292"/>
      <c r="FQX16" s="292"/>
      <c r="FQY16" s="292"/>
      <c r="FQZ16" s="292"/>
      <c r="FRA16" s="292"/>
      <c r="FRB16" s="292"/>
      <c r="FRC16" s="292"/>
      <c r="FRD16" s="292"/>
      <c r="FRE16" s="292"/>
      <c r="FRF16" s="292"/>
      <c r="FRG16" s="292"/>
      <c r="FRH16" s="292"/>
      <c r="FRI16" s="292"/>
      <c r="FRJ16" s="292"/>
      <c r="FRK16" s="292"/>
      <c r="FRL16" s="292"/>
      <c r="FRM16" s="292"/>
      <c r="FRN16" s="292"/>
      <c r="FRO16" s="292"/>
      <c r="FRP16" s="292"/>
      <c r="FRQ16" s="292"/>
      <c r="FRR16" s="292"/>
      <c r="FRS16" s="292"/>
      <c r="FRT16" s="292"/>
      <c r="FRU16" s="292"/>
      <c r="FRV16" s="292"/>
      <c r="FRW16" s="292"/>
      <c r="FRX16" s="292"/>
      <c r="FRY16" s="292"/>
      <c r="FRZ16" s="292"/>
      <c r="FSA16" s="292"/>
      <c r="FSB16" s="292"/>
      <c r="FSC16" s="292"/>
      <c r="FSD16" s="292"/>
      <c r="FSE16" s="292"/>
      <c r="FSF16" s="292"/>
      <c r="FSG16" s="292"/>
      <c r="FSH16" s="292"/>
      <c r="FSI16" s="292"/>
      <c r="FSJ16" s="292"/>
      <c r="FSK16" s="292"/>
      <c r="FSL16" s="292"/>
      <c r="FSM16" s="292"/>
      <c r="FSN16" s="292"/>
      <c r="FSO16" s="292"/>
      <c r="FSP16" s="292"/>
      <c r="FSQ16" s="292"/>
      <c r="FSR16" s="292"/>
      <c r="FSS16" s="292"/>
      <c r="FST16" s="292"/>
      <c r="FSU16" s="292"/>
      <c r="FSV16" s="292"/>
      <c r="FSW16" s="292"/>
      <c r="FSX16" s="292"/>
      <c r="FSY16" s="292"/>
      <c r="FSZ16" s="292"/>
      <c r="FTA16" s="292"/>
      <c r="FTB16" s="292"/>
      <c r="FTC16" s="292"/>
      <c r="FTD16" s="292"/>
      <c r="FTE16" s="292"/>
      <c r="FTF16" s="292"/>
      <c r="FTG16" s="292"/>
      <c r="FTH16" s="292"/>
      <c r="FTI16" s="292"/>
      <c r="FTJ16" s="292"/>
      <c r="FTK16" s="292"/>
      <c r="FTL16" s="292"/>
      <c r="FTM16" s="292"/>
      <c r="FTN16" s="292"/>
      <c r="FTO16" s="292"/>
      <c r="FTP16" s="292"/>
      <c r="FTQ16" s="292"/>
      <c r="FTR16" s="292"/>
      <c r="FTS16" s="292"/>
      <c r="FTT16" s="292"/>
      <c r="FTU16" s="292"/>
      <c r="FTV16" s="292"/>
      <c r="FTW16" s="292"/>
      <c r="FTX16" s="292"/>
      <c r="FTY16" s="292"/>
      <c r="FTZ16" s="292"/>
      <c r="FUA16" s="292"/>
      <c r="FUB16" s="292"/>
      <c r="FUC16" s="292"/>
      <c r="FUD16" s="292"/>
      <c r="FUE16" s="292"/>
      <c r="FUF16" s="292"/>
      <c r="FUG16" s="292"/>
      <c r="FUH16" s="292"/>
      <c r="FUI16" s="292"/>
      <c r="FUJ16" s="292"/>
      <c r="FUK16" s="292"/>
      <c r="FUL16" s="292"/>
      <c r="FUM16" s="292"/>
      <c r="FUN16" s="292"/>
      <c r="FUO16" s="292"/>
      <c r="FUP16" s="292"/>
      <c r="FUQ16" s="292"/>
      <c r="FUR16" s="292"/>
      <c r="FUS16" s="292"/>
      <c r="FUT16" s="292"/>
      <c r="FUU16" s="292"/>
      <c r="FUV16" s="292"/>
      <c r="FUW16" s="292"/>
      <c r="FUX16" s="292"/>
      <c r="FUY16" s="292"/>
      <c r="FUZ16" s="292"/>
      <c r="FVA16" s="292"/>
      <c r="FVB16" s="292"/>
      <c r="FVC16" s="292"/>
      <c r="FVD16" s="292"/>
      <c r="FVE16" s="292"/>
      <c r="FVF16" s="292"/>
      <c r="FVG16" s="292"/>
      <c r="FVH16" s="292"/>
      <c r="FVI16" s="292"/>
      <c r="FVJ16" s="292"/>
      <c r="FVK16" s="292"/>
      <c r="FVL16" s="292"/>
      <c r="FVM16" s="292"/>
      <c r="FVN16" s="292"/>
      <c r="FVO16" s="292"/>
      <c r="FVP16" s="292"/>
      <c r="FVQ16" s="292"/>
      <c r="FVR16" s="292"/>
      <c r="FVS16" s="292"/>
      <c r="FVT16" s="292"/>
      <c r="FVU16" s="292"/>
      <c r="FVV16" s="292"/>
      <c r="FVW16" s="292"/>
      <c r="FVX16" s="292"/>
      <c r="FVY16" s="292"/>
      <c r="FVZ16" s="292"/>
      <c r="FWA16" s="292"/>
      <c r="FWB16" s="292"/>
      <c r="FWC16" s="292"/>
      <c r="FWD16" s="292"/>
      <c r="FWE16" s="292"/>
      <c r="FWF16" s="292"/>
      <c r="FWG16" s="292"/>
      <c r="FWH16" s="292"/>
      <c r="FWI16" s="292"/>
      <c r="FWJ16" s="292"/>
      <c r="FWK16" s="292"/>
      <c r="FWL16" s="292"/>
      <c r="FWM16" s="292"/>
      <c r="FWN16" s="292"/>
      <c r="FWO16" s="292"/>
      <c r="FWP16" s="292"/>
      <c r="FWQ16" s="292"/>
      <c r="FWR16" s="292"/>
      <c r="FWS16" s="292"/>
      <c r="FWT16" s="292"/>
      <c r="FWU16" s="292"/>
      <c r="FWV16" s="292"/>
      <c r="FWW16" s="292"/>
      <c r="FWX16" s="292"/>
      <c r="FWY16" s="292"/>
      <c r="FWZ16" s="292"/>
      <c r="FXA16" s="292"/>
      <c r="FXB16" s="292"/>
      <c r="FXC16" s="292"/>
      <c r="FXD16" s="292"/>
      <c r="FXE16" s="292"/>
      <c r="FXF16" s="292"/>
      <c r="FXG16" s="292"/>
      <c r="FXH16" s="292"/>
      <c r="FXI16" s="292"/>
      <c r="FXJ16" s="292"/>
      <c r="FXK16" s="292"/>
      <c r="FXL16" s="292"/>
      <c r="FXM16" s="292"/>
      <c r="FXN16" s="292"/>
      <c r="FXO16" s="292"/>
      <c r="FXP16" s="292"/>
      <c r="FXQ16" s="292"/>
      <c r="FXR16" s="292"/>
      <c r="FXS16" s="292"/>
      <c r="FXT16" s="292"/>
      <c r="FXU16" s="292"/>
      <c r="FXV16" s="292"/>
      <c r="FXW16" s="292"/>
      <c r="FXX16" s="292"/>
      <c r="FXY16" s="292"/>
      <c r="FXZ16" s="292"/>
      <c r="FYA16" s="292"/>
      <c r="FYB16" s="292"/>
      <c r="FYC16" s="292"/>
      <c r="FYD16" s="292"/>
      <c r="FYE16" s="292"/>
      <c r="FYF16" s="292"/>
      <c r="FYG16" s="292"/>
      <c r="FYH16" s="292"/>
      <c r="FYI16" s="292"/>
      <c r="FYJ16" s="292"/>
      <c r="FYK16" s="292"/>
      <c r="FYL16" s="292"/>
      <c r="FYM16" s="292"/>
      <c r="FYN16" s="292"/>
      <c r="FYO16" s="292"/>
      <c r="FYP16" s="292"/>
      <c r="FYQ16" s="292"/>
      <c r="FYR16" s="292"/>
      <c r="FYS16" s="292"/>
      <c r="FYT16" s="292"/>
      <c r="FYU16" s="292"/>
      <c r="FYV16" s="292"/>
      <c r="FYW16" s="292"/>
      <c r="FYX16" s="292"/>
      <c r="FYY16" s="292"/>
      <c r="FYZ16" s="292"/>
      <c r="FZA16" s="292"/>
      <c r="FZB16" s="292"/>
      <c r="FZC16" s="292"/>
      <c r="FZD16" s="292"/>
      <c r="FZE16" s="292"/>
      <c r="FZF16" s="292"/>
      <c r="FZG16" s="292"/>
      <c r="FZH16" s="292"/>
      <c r="FZI16" s="292"/>
      <c r="FZJ16" s="292"/>
      <c r="FZK16" s="292"/>
      <c r="FZL16" s="292"/>
      <c r="FZM16" s="292"/>
      <c r="FZN16" s="292"/>
      <c r="FZO16" s="292"/>
      <c r="FZP16" s="292"/>
      <c r="FZQ16" s="292"/>
      <c r="FZR16" s="292"/>
      <c r="FZS16" s="292"/>
      <c r="FZT16" s="292"/>
      <c r="FZU16" s="292"/>
      <c r="FZV16" s="292"/>
      <c r="FZW16" s="292"/>
      <c r="FZX16" s="292"/>
      <c r="FZY16" s="292"/>
      <c r="FZZ16" s="292"/>
      <c r="GAA16" s="292"/>
      <c r="GAB16" s="292"/>
      <c r="GAC16" s="292"/>
      <c r="GAD16" s="292"/>
      <c r="GAE16" s="292"/>
      <c r="GAF16" s="292"/>
      <c r="GAG16" s="292"/>
      <c r="GAH16" s="292"/>
      <c r="GAI16" s="292"/>
      <c r="GAJ16" s="292"/>
      <c r="GAK16" s="292"/>
      <c r="GAL16" s="292"/>
      <c r="GAM16" s="292"/>
      <c r="GAN16" s="292"/>
      <c r="GAO16" s="292"/>
      <c r="GAP16" s="292"/>
      <c r="GAQ16" s="292"/>
      <c r="GAR16" s="292"/>
      <c r="GAS16" s="292"/>
      <c r="GAT16" s="292"/>
      <c r="GAU16" s="292"/>
      <c r="GAV16" s="292"/>
      <c r="GAW16" s="292"/>
      <c r="GAX16" s="292"/>
      <c r="GAY16" s="292"/>
      <c r="GAZ16" s="292"/>
      <c r="GBA16" s="292"/>
      <c r="GBB16" s="292"/>
      <c r="GBC16" s="292"/>
      <c r="GBD16" s="292"/>
      <c r="GBE16" s="292"/>
      <c r="GBF16" s="292"/>
      <c r="GBG16" s="292"/>
      <c r="GBH16" s="292"/>
      <c r="GBI16" s="292"/>
      <c r="GBJ16" s="292"/>
      <c r="GBK16" s="292"/>
      <c r="GBL16" s="292"/>
      <c r="GBM16" s="292"/>
      <c r="GBN16" s="292"/>
      <c r="GBO16" s="292"/>
      <c r="GBP16" s="292"/>
      <c r="GBQ16" s="292"/>
      <c r="GBR16" s="292"/>
      <c r="GBS16" s="292"/>
      <c r="GBT16" s="292"/>
      <c r="GBU16" s="292"/>
      <c r="GBV16" s="292"/>
      <c r="GBW16" s="292"/>
      <c r="GBX16" s="292"/>
      <c r="GBY16" s="292"/>
      <c r="GBZ16" s="292"/>
      <c r="GCA16" s="292"/>
      <c r="GCB16" s="292"/>
      <c r="GCC16" s="292"/>
      <c r="GCD16" s="292"/>
      <c r="GCE16" s="292"/>
      <c r="GCF16" s="292"/>
      <c r="GCG16" s="292"/>
      <c r="GCH16" s="292"/>
      <c r="GCI16" s="292"/>
      <c r="GCJ16" s="292"/>
      <c r="GCK16" s="292"/>
      <c r="GCL16" s="292"/>
      <c r="GCM16" s="292"/>
      <c r="GCN16" s="292"/>
      <c r="GCO16" s="292"/>
      <c r="GCP16" s="292"/>
      <c r="GCQ16" s="292"/>
      <c r="GCR16" s="292"/>
      <c r="GCS16" s="292"/>
      <c r="GCT16" s="292"/>
      <c r="GCU16" s="292"/>
      <c r="GCV16" s="292"/>
      <c r="GCW16" s="292"/>
      <c r="GCX16" s="292"/>
      <c r="GCY16" s="292"/>
      <c r="GCZ16" s="292"/>
      <c r="GDA16" s="292"/>
      <c r="GDB16" s="292"/>
      <c r="GDC16" s="292"/>
      <c r="GDD16" s="292"/>
      <c r="GDE16" s="292"/>
      <c r="GDF16" s="292"/>
      <c r="GDG16" s="292"/>
      <c r="GDH16" s="292"/>
      <c r="GDI16" s="292"/>
      <c r="GDJ16" s="292"/>
      <c r="GDK16" s="292"/>
      <c r="GDL16" s="292"/>
      <c r="GDM16" s="292"/>
      <c r="GDN16" s="292"/>
      <c r="GDO16" s="292"/>
      <c r="GDP16" s="292"/>
      <c r="GDQ16" s="292"/>
      <c r="GDR16" s="292"/>
      <c r="GDS16" s="292"/>
      <c r="GDT16" s="292"/>
      <c r="GDU16" s="292"/>
      <c r="GDV16" s="292"/>
      <c r="GDW16" s="292"/>
      <c r="GDX16" s="292"/>
      <c r="GDY16" s="292"/>
      <c r="GDZ16" s="292"/>
      <c r="GEA16" s="292"/>
      <c r="GEB16" s="292"/>
      <c r="GEC16" s="292"/>
      <c r="GED16" s="292"/>
      <c r="GEE16" s="292"/>
      <c r="GEF16" s="292"/>
      <c r="GEG16" s="292"/>
      <c r="GEH16" s="292"/>
      <c r="GEI16" s="292"/>
      <c r="GEJ16" s="292"/>
      <c r="GEK16" s="292"/>
      <c r="GEL16" s="292"/>
      <c r="GEM16" s="292"/>
      <c r="GEN16" s="292"/>
      <c r="GEO16" s="292"/>
      <c r="GEP16" s="292"/>
      <c r="GEQ16" s="292"/>
      <c r="GER16" s="292"/>
      <c r="GES16" s="292"/>
      <c r="GET16" s="292"/>
      <c r="GEU16" s="292"/>
      <c r="GEV16" s="292"/>
      <c r="GEW16" s="292"/>
      <c r="GEX16" s="292"/>
      <c r="GEY16" s="292"/>
      <c r="GEZ16" s="292"/>
      <c r="GFA16" s="292"/>
      <c r="GFB16" s="292"/>
      <c r="GFC16" s="292"/>
      <c r="GFD16" s="292"/>
      <c r="GFE16" s="292"/>
      <c r="GFF16" s="292"/>
      <c r="GFG16" s="292"/>
      <c r="GFH16" s="292"/>
      <c r="GFI16" s="292"/>
      <c r="GFJ16" s="292"/>
      <c r="GFK16" s="292"/>
      <c r="GFL16" s="292"/>
      <c r="GFM16" s="292"/>
      <c r="GFN16" s="292"/>
      <c r="GFO16" s="292"/>
      <c r="GFP16" s="292"/>
      <c r="GFQ16" s="292"/>
      <c r="GFR16" s="292"/>
      <c r="GFS16" s="292"/>
      <c r="GFT16" s="292"/>
      <c r="GFU16" s="292"/>
      <c r="GFV16" s="292"/>
      <c r="GFW16" s="292"/>
      <c r="GFX16" s="292"/>
      <c r="GFY16" s="292"/>
      <c r="GFZ16" s="292"/>
      <c r="GGA16" s="292"/>
      <c r="GGB16" s="292"/>
      <c r="GGC16" s="292"/>
      <c r="GGD16" s="292"/>
      <c r="GGE16" s="292"/>
      <c r="GGF16" s="292"/>
      <c r="GGG16" s="292"/>
      <c r="GGH16" s="292"/>
      <c r="GGI16" s="292"/>
      <c r="GGJ16" s="292"/>
      <c r="GGK16" s="292"/>
      <c r="GGL16" s="292"/>
      <c r="GGM16" s="292"/>
      <c r="GGN16" s="292"/>
      <c r="GGO16" s="292"/>
      <c r="GGP16" s="292"/>
      <c r="GGQ16" s="292"/>
      <c r="GGR16" s="292"/>
      <c r="GGS16" s="292"/>
      <c r="GGT16" s="292"/>
      <c r="GGU16" s="292"/>
      <c r="GGV16" s="292"/>
      <c r="GGW16" s="292"/>
      <c r="GGX16" s="292"/>
      <c r="GGY16" s="292"/>
      <c r="GGZ16" s="292"/>
      <c r="GHA16" s="292"/>
      <c r="GHB16" s="292"/>
      <c r="GHC16" s="292"/>
      <c r="GHD16" s="292"/>
      <c r="GHE16" s="292"/>
      <c r="GHF16" s="292"/>
      <c r="GHG16" s="292"/>
      <c r="GHH16" s="292"/>
      <c r="GHI16" s="292"/>
      <c r="GHJ16" s="292"/>
      <c r="GHK16" s="292"/>
      <c r="GHL16" s="292"/>
      <c r="GHM16" s="292"/>
      <c r="GHN16" s="292"/>
      <c r="GHO16" s="292"/>
      <c r="GHP16" s="292"/>
      <c r="GHQ16" s="292"/>
      <c r="GHR16" s="292"/>
      <c r="GHS16" s="292"/>
      <c r="GHT16" s="292"/>
      <c r="GHU16" s="292"/>
      <c r="GHV16" s="292"/>
      <c r="GHW16" s="292"/>
      <c r="GHX16" s="292"/>
      <c r="GHY16" s="292"/>
      <c r="GHZ16" s="292"/>
      <c r="GIA16" s="292"/>
      <c r="GIB16" s="292"/>
      <c r="GIC16" s="292"/>
      <c r="GID16" s="292"/>
      <c r="GIE16" s="292"/>
      <c r="GIF16" s="292"/>
      <c r="GIG16" s="292"/>
      <c r="GIH16" s="292"/>
      <c r="GII16" s="292"/>
      <c r="GIJ16" s="292"/>
      <c r="GIK16" s="292"/>
      <c r="GIL16" s="292"/>
      <c r="GIM16" s="292"/>
      <c r="GIN16" s="292"/>
      <c r="GIO16" s="292"/>
      <c r="GIP16" s="292"/>
      <c r="GIQ16" s="292"/>
      <c r="GIR16" s="292"/>
      <c r="GIS16" s="292"/>
      <c r="GIT16" s="292"/>
      <c r="GIU16" s="292"/>
      <c r="GIV16" s="292"/>
      <c r="GIW16" s="292"/>
      <c r="GIX16" s="292"/>
      <c r="GIY16" s="292"/>
      <c r="GIZ16" s="292"/>
      <c r="GJA16" s="292"/>
      <c r="GJB16" s="292"/>
      <c r="GJC16" s="292"/>
      <c r="GJD16" s="292"/>
      <c r="GJE16" s="292"/>
      <c r="GJF16" s="292"/>
      <c r="GJG16" s="292"/>
      <c r="GJH16" s="292"/>
      <c r="GJI16" s="292"/>
      <c r="GJJ16" s="292"/>
      <c r="GJK16" s="292"/>
      <c r="GJL16" s="292"/>
      <c r="GJM16" s="292"/>
      <c r="GJN16" s="292"/>
      <c r="GJO16" s="292"/>
      <c r="GJP16" s="292"/>
      <c r="GJQ16" s="292"/>
      <c r="GJR16" s="292"/>
      <c r="GJS16" s="292"/>
      <c r="GJT16" s="292"/>
      <c r="GJU16" s="292"/>
      <c r="GJV16" s="292"/>
      <c r="GJW16" s="292"/>
      <c r="GJX16" s="292"/>
      <c r="GJY16" s="292"/>
      <c r="GJZ16" s="292"/>
      <c r="GKA16" s="292"/>
      <c r="GKB16" s="292"/>
      <c r="GKC16" s="292"/>
      <c r="GKD16" s="292"/>
      <c r="GKE16" s="292"/>
      <c r="GKF16" s="292"/>
      <c r="GKG16" s="292"/>
      <c r="GKH16" s="292"/>
      <c r="GKI16" s="292"/>
      <c r="GKJ16" s="292"/>
      <c r="GKK16" s="292"/>
      <c r="GKL16" s="292"/>
      <c r="GKM16" s="292"/>
      <c r="GKN16" s="292"/>
      <c r="GKO16" s="292"/>
      <c r="GKP16" s="292"/>
      <c r="GKQ16" s="292"/>
      <c r="GKR16" s="292"/>
      <c r="GKS16" s="292"/>
      <c r="GKT16" s="292"/>
      <c r="GKU16" s="292"/>
      <c r="GKV16" s="292"/>
      <c r="GKW16" s="292"/>
      <c r="GKX16" s="292"/>
      <c r="GKY16" s="292"/>
      <c r="GKZ16" s="292"/>
      <c r="GLA16" s="292"/>
      <c r="GLB16" s="292"/>
      <c r="GLC16" s="292"/>
      <c r="GLD16" s="292"/>
      <c r="GLE16" s="292"/>
      <c r="GLF16" s="292"/>
      <c r="GLG16" s="292"/>
      <c r="GLH16" s="292"/>
      <c r="GLI16" s="292"/>
      <c r="GLJ16" s="292"/>
      <c r="GLK16" s="292"/>
      <c r="GLL16" s="292"/>
      <c r="GLM16" s="292"/>
      <c r="GLN16" s="292"/>
      <c r="GLO16" s="292"/>
      <c r="GLP16" s="292"/>
      <c r="GLQ16" s="292"/>
      <c r="GLR16" s="292"/>
      <c r="GLS16" s="292"/>
      <c r="GLT16" s="292"/>
      <c r="GLU16" s="292"/>
      <c r="GLV16" s="292"/>
      <c r="GLW16" s="292"/>
      <c r="GLX16" s="292"/>
      <c r="GLY16" s="292"/>
      <c r="GLZ16" s="292"/>
      <c r="GMA16" s="292"/>
      <c r="GMB16" s="292"/>
      <c r="GMC16" s="292"/>
      <c r="GMD16" s="292"/>
      <c r="GME16" s="292"/>
      <c r="GMF16" s="292"/>
      <c r="GMG16" s="292"/>
      <c r="GMH16" s="292"/>
      <c r="GMI16" s="292"/>
      <c r="GMJ16" s="292"/>
      <c r="GMK16" s="292"/>
      <c r="GML16" s="292"/>
      <c r="GMM16" s="292"/>
      <c r="GMN16" s="292"/>
      <c r="GMO16" s="292"/>
      <c r="GMP16" s="292"/>
      <c r="GMQ16" s="292"/>
      <c r="GMR16" s="292"/>
      <c r="GMS16" s="292"/>
      <c r="GMT16" s="292"/>
      <c r="GMU16" s="292"/>
      <c r="GMV16" s="292"/>
      <c r="GMW16" s="292"/>
      <c r="GMX16" s="292"/>
      <c r="GMY16" s="292"/>
      <c r="GMZ16" s="292"/>
      <c r="GNA16" s="292"/>
      <c r="GNB16" s="292"/>
      <c r="GNC16" s="292"/>
      <c r="GND16" s="292"/>
      <c r="GNE16" s="292"/>
      <c r="GNF16" s="292"/>
      <c r="GNG16" s="292"/>
      <c r="GNH16" s="292"/>
      <c r="GNI16" s="292"/>
      <c r="GNJ16" s="292"/>
      <c r="GNK16" s="292"/>
      <c r="GNL16" s="292"/>
      <c r="GNM16" s="292"/>
      <c r="GNN16" s="292"/>
      <c r="GNO16" s="292"/>
      <c r="GNP16" s="292"/>
      <c r="GNQ16" s="292"/>
      <c r="GNR16" s="292"/>
      <c r="GNS16" s="292"/>
      <c r="GNT16" s="292"/>
      <c r="GNU16" s="292"/>
      <c r="GNV16" s="292"/>
      <c r="GNW16" s="292"/>
      <c r="GNX16" s="292"/>
      <c r="GNY16" s="292"/>
      <c r="GNZ16" s="292"/>
      <c r="GOA16" s="292"/>
      <c r="GOB16" s="292"/>
      <c r="GOC16" s="292"/>
      <c r="GOD16" s="292"/>
      <c r="GOE16" s="292"/>
      <c r="GOF16" s="292"/>
      <c r="GOG16" s="292"/>
      <c r="GOH16" s="292"/>
      <c r="GOI16" s="292"/>
      <c r="GOJ16" s="292"/>
      <c r="GOK16" s="292"/>
      <c r="GOL16" s="292"/>
      <c r="GOM16" s="292"/>
      <c r="GON16" s="292"/>
      <c r="GOO16" s="292"/>
      <c r="GOP16" s="292"/>
      <c r="GOQ16" s="292"/>
      <c r="GOR16" s="292"/>
      <c r="GOS16" s="292"/>
      <c r="GOT16" s="292"/>
      <c r="GOU16" s="292"/>
      <c r="GOV16" s="292"/>
      <c r="GOW16" s="292"/>
      <c r="GOX16" s="292"/>
      <c r="GOY16" s="292"/>
      <c r="GOZ16" s="292"/>
      <c r="GPA16" s="292"/>
      <c r="GPB16" s="292"/>
      <c r="GPC16" s="292"/>
      <c r="GPD16" s="292"/>
      <c r="GPE16" s="292"/>
      <c r="GPF16" s="292"/>
      <c r="GPG16" s="292"/>
      <c r="GPH16" s="292"/>
      <c r="GPI16" s="292"/>
      <c r="GPJ16" s="292"/>
      <c r="GPK16" s="292"/>
      <c r="GPL16" s="292"/>
      <c r="GPM16" s="292"/>
      <c r="GPN16" s="292"/>
      <c r="GPO16" s="292"/>
      <c r="GPP16" s="292"/>
      <c r="GPQ16" s="292"/>
      <c r="GPR16" s="292"/>
      <c r="GPS16" s="292"/>
      <c r="GPT16" s="292"/>
      <c r="GPU16" s="292"/>
      <c r="GPV16" s="292"/>
      <c r="GPW16" s="292"/>
      <c r="GPX16" s="292"/>
      <c r="GPY16" s="292"/>
      <c r="GPZ16" s="292"/>
      <c r="GQA16" s="292"/>
      <c r="GQB16" s="292"/>
      <c r="GQC16" s="292"/>
      <c r="GQD16" s="292"/>
      <c r="GQE16" s="292"/>
      <c r="GQF16" s="292"/>
      <c r="GQG16" s="292"/>
      <c r="GQH16" s="292"/>
      <c r="GQI16" s="292"/>
      <c r="GQJ16" s="292"/>
      <c r="GQK16" s="292"/>
      <c r="GQL16" s="292"/>
      <c r="GQM16" s="292"/>
      <c r="GQN16" s="292"/>
      <c r="GQO16" s="292"/>
      <c r="GQP16" s="292"/>
      <c r="GQQ16" s="292"/>
      <c r="GQR16" s="292"/>
      <c r="GQS16" s="292"/>
      <c r="GQT16" s="292"/>
      <c r="GQU16" s="292"/>
      <c r="GQV16" s="292"/>
      <c r="GQW16" s="292"/>
      <c r="GQX16" s="292"/>
      <c r="GQY16" s="292"/>
      <c r="GQZ16" s="292"/>
      <c r="GRA16" s="292"/>
      <c r="GRB16" s="292"/>
      <c r="GRC16" s="292"/>
      <c r="GRD16" s="292"/>
      <c r="GRE16" s="292"/>
      <c r="GRF16" s="292"/>
      <c r="GRG16" s="292"/>
      <c r="GRH16" s="292"/>
      <c r="GRI16" s="292"/>
      <c r="GRJ16" s="292"/>
      <c r="GRK16" s="292"/>
      <c r="GRL16" s="292"/>
      <c r="GRM16" s="292"/>
      <c r="GRN16" s="292"/>
      <c r="GRO16" s="292"/>
      <c r="GRP16" s="292"/>
      <c r="GRQ16" s="292"/>
      <c r="GRR16" s="292"/>
      <c r="GRS16" s="292"/>
      <c r="GRT16" s="292"/>
      <c r="GRU16" s="292"/>
      <c r="GRV16" s="292"/>
      <c r="GRW16" s="292"/>
      <c r="GRX16" s="292"/>
      <c r="GRY16" s="292"/>
      <c r="GRZ16" s="292"/>
      <c r="GSA16" s="292"/>
      <c r="GSB16" s="292"/>
      <c r="GSC16" s="292"/>
      <c r="GSD16" s="292"/>
      <c r="GSE16" s="292"/>
      <c r="GSF16" s="292"/>
      <c r="GSG16" s="292"/>
      <c r="GSH16" s="292"/>
      <c r="GSI16" s="292"/>
      <c r="GSJ16" s="292"/>
      <c r="GSK16" s="292"/>
      <c r="GSL16" s="292"/>
      <c r="GSM16" s="292"/>
      <c r="GSN16" s="292"/>
      <c r="GSO16" s="292"/>
      <c r="GSP16" s="292"/>
      <c r="GSQ16" s="292"/>
      <c r="GSR16" s="292"/>
      <c r="GSS16" s="292"/>
      <c r="GST16" s="292"/>
      <c r="GSU16" s="292"/>
      <c r="GSV16" s="292"/>
      <c r="GSW16" s="292"/>
      <c r="GSX16" s="292"/>
      <c r="GSY16" s="292"/>
      <c r="GSZ16" s="292"/>
      <c r="GTA16" s="292"/>
      <c r="GTB16" s="292"/>
      <c r="GTC16" s="292"/>
      <c r="GTD16" s="292"/>
      <c r="GTE16" s="292"/>
      <c r="GTF16" s="292"/>
      <c r="GTG16" s="292"/>
      <c r="GTH16" s="292"/>
      <c r="GTI16" s="292"/>
      <c r="GTJ16" s="292"/>
      <c r="GTK16" s="292"/>
      <c r="GTL16" s="292"/>
      <c r="GTM16" s="292"/>
      <c r="GTN16" s="292"/>
      <c r="GTO16" s="292"/>
      <c r="GTP16" s="292"/>
      <c r="GTQ16" s="292"/>
      <c r="GTR16" s="292"/>
      <c r="GTS16" s="292"/>
      <c r="GTT16" s="292"/>
      <c r="GTU16" s="292"/>
      <c r="GTV16" s="292"/>
      <c r="GTW16" s="292"/>
      <c r="GTX16" s="292"/>
      <c r="GTY16" s="292"/>
      <c r="GTZ16" s="292"/>
      <c r="GUA16" s="292"/>
      <c r="GUB16" s="292"/>
      <c r="GUC16" s="292"/>
      <c r="GUD16" s="292"/>
      <c r="GUE16" s="292"/>
      <c r="GUF16" s="292"/>
      <c r="GUG16" s="292"/>
      <c r="GUH16" s="292"/>
      <c r="GUI16" s="292"/>
      <c r="GUJ16" s="292"/>
      <c r="GUK16" s="292"/>
      <c r="GUL16" s="292"/>
      <c r="GUM16" s="292"/>
      <c r="GUN16" s="292"/>
      <c r="GUO16" s="292"/>
      <c r="GUP16" s="292"/>
      <c r="GUQ16" s="292"/>
      <c r="GUR16" s="292"/>
      <c r="GUS16" s="292"/>
      <c r="GUT16" s="292"/>
      <c r="GUU16" s="292"/>
      <c r="GUV16" s="292"/>
      <c r="GUW16" s="292"/>
      <c r="GUX16" s="292"/>
      <c r="GUY16" s="292"/>
      <c r="GUZ16" s="292"/>
      <c r="GVA16" s="292"/>
      <c r="GVB16" s="292"/>
      <c r="GVC16" s="292"/>
      <c r="GVD16" s="292"/>
      <c r="GVE16" s="292"/>
      <c r="GVF16" s="292"/>
      <c r="GVG16" s="292"/>
      <c r="GVH16" s="292"/>
      <c r="GVI16" s="292"/>
      <c r="GVJ16" s="292"/>
      <c r="GVK16" s="292"/>
      <c r="GVL16" s="292"/>
      <c r="GVM16" s="292"/>
      <c r="GVN16" s="292"/>
      <c r="GVO16" s="292"/>
      <c r="GVP16" s="292"/>
      <c r="GVQ16" s="292"/>
      <c r="GVR16" s="292"/>
      <c r="GVS16" s="292"/>
      <c r="GVT16" s="292"/>
      <c r="GVU16" s="292"/>
      <c r="GVV16" s="292"/>
      <c r="GVW16" s="292"/>
      <c r="GVX16" s="292"/>
      <c r="GVY16" s="292"/>
      <c r="GVZ16" s="292"/>
      <c r="GWA16" s="292"/>
      <c r="GWB16" s="292"/>
      <c r="GWC16" s="292"/>
      <c r="GWD16" s="292"/>
      <c r="GWE16" s="292"/>
      <c r="GWF16" s="292"/>
      <c r="GWG16" s="292"/>
      <c r="GWH16" s="292"/>
      <c r="GWI16" s="292"/>
      <c r="GWJ16" s="292"/>
      <c r="GWK16" s="292"/>
      <c r="GWL16" s="292"/>
      <c r="GWM16" s="292"/>
      <c r="GWN16" s="292"/>
      <c r="GWO16" s="292"/>
      <c r="GWP16" s="292"/>
      <c r="GWQ16" s="292"/>
      <c r="GWR16" s="292"/>
      <c r="GWS16" s="292"/>
      <c r="GWT16" s="292"/>
      <c r="GWU16" s="292"/>
      <c r="GWV16" s="292"/>
      <c r="GWW16" s="292"/>
      <c r="GWX16" s="292"/>
      <c r="GWY16" s="292"/>
      <c r="GWZ16" s="292"/>
      <c r="GXA16" s="292"/>
      <c r="GXB16" s="292"/>
      <c r="GXC16" s="292"/>
      <c r="GXD16" s="292"/>
      <c r="GXE16" s="292"/>
      <c r="GXF16" s="292"/>
      <c r="GXG16" s="292"/>
      <c r="GXH16" s="292"/>
      <c r="GXI16" s="292"/>
      <c r="GXJ16" s="292"/>
      <c r="GXK16" s="292"/>
      <c r="GXL16" s="292"/>
      <c r="GXM16" s="292"/>
      <c r="GXN16" s="292"/>
      <c r="GXO16" s="292"/>
      <c r="GXP16" s="292"/>
      <c r="GXQ16" s="292"/>
      <c r="GXR16" s="292"/>
      <c r="GXS16" s="292"/>
      <c r="GXT16" s="292"/>
      <c r="GXU16" s="292"/>
      <c r="GXV16" s="292"/>
      <c r="GXW16" s="292"/>
      <c r="GXX16" s="292"/>
      <c r="GXY16" s="292"/>
      <c r="GXZ16" s="292"/>
      <c r="GYA16" s="292"/>
      <c r="GYB16" s="292"/>
      <c r="GYC16" s="292"/>
      <c r="GYD16" s="292"/>
      <c r="GYE16" s="292"/>
      <c r="GYF16" s="292"/>
      <c r="GYG16" s="292"/>
      <c r="GYH16" s="292"/>
      <c r="GYI16" s="292"/>
      <c r="GYJ16" s="292"/>
      <c r="GYK16" s="292"/>
      <c r="GYL16" s="292"/>
      <c r="GYM16" s="292"/>
      <c r="GYN16" s="292"/>
      <c r="GYO16" s="292"/>
      <c r="GYP16" s="292"/>
      <c r="GYQ16" s="292"/>
      <c r="GYR16" s="292"/>
      <c r="GYS16" s="292"/>
      <c r="GYT16" s="292"/>
      <c r="GYU16" s="292"/>
      <c r="GYV16" s="292"/>
      <c r="GYW16" s="292"/>
      <c r="GYX16" s="292"/>
      <c r="GYY16" s="292"/>
      <c r="GYZ16" s="292"/>
      <c r="GZA16" s="292"/>
      <c r="GZB16" s="292"/>
      <c r="GZC16" s="292"/>
      <c r="GZD16" s="292"/>
      <c r="GZE16" s="292"/>
      <c r="GZF16" s="292"/>
      <c r="GZG16" s="292"/>
      <c r="GZH16" s="292"/>
      <c r="GZI16" s="292"/>
      <c r="GZJ16" s="292"/>
      <c r="GZK16" s="292"/>
      <c r="GZL16" s="292"/>
      <c r="GZM16" s="292"/>
      <c r="GZN16" s="292"/>
      <c r="GZO16" s="292"/>
      <c r="GZP16" s="292"/>
      <c r="GZQ16" s="292"/>
      <c r="GZR16" s="292"/>
      <c r="GZS16" s="292"/>
      <c r="GZT16" s="292"/>
      <c r="GZU16" s="292"/>
      <c r="GZV16" s="292"/>
      <c r="GZW16" s="292"/>
      <c r="GZX16" s="292"/>
      <c r="GZY16" s="292"/>
      <c r="GZZ16" s="292"/>
      <c r="HAA16" s="292"/>
      <c r="HAB16" s="292"/>
      <c r="HAC16" s="292"/>
      <c r="HAD16" s="292"/>
      <c r="HAE16" s="292"/>
      <c r="HAF16" s="292"/>
      <c r="HAG16" s="292"/>
      <c r="HAH16" s="292"/>
      <c r="HAI16" s="292"/>
      <c r="HAJ16" s="292"/>
      <c r="HAK16" s="292"/>
      <c r="HAL16" s="292"/>
      <c r="HAM16" s="292"/>
      <c r="HAN16" s="292"/>
      <c r="HAO16" s="292"/>
      <c r="HAP16" s="292"/>
      <c r="HAQ16" s="292"/>
      <c r="HAR16" s="292"/>
      <c r="HAS16" s="292"/>
      <c r="HAT16" s="292"/>
      <c r="HAU16" s="292"/>
      <c r="HAV16" s="292"/>
      <c r="HAW16" s="292"/>
      <c r="HAX16" s="292"/>
      <c r="HAY16" s="292"/>
      <c r="HAZ16" s="292"/>
      <c r="HBA16" s="292"/>
      <c r="HBB16" s="292"/>
      <c r="HBC16" s="292"/>
      <c r="HBD16" s="292"/>
      <c r="HBE16" s="292"/>
      <c r="HBF16" s="292"/>
      <c r="HBG16" s="292"/>
      <c r="HBH16" s="292"/>
      <c r="HBI16" s="292"/>
      <c r="HBJ16" s="292"/>
      <c r="HBK16" s="292"/>
      <c r="HBL16" s="292"/>
      <c r="HBM16" s="292"/>
      <c r="HBN16" s="292"/>
      <c r="HBO16" s="292"/>
      <c r="HBP16" s="292"/>
      <c r="HBQ16" s="292"/>
      <c r="HBR16" s="292"/>
      <c r="HBS16" s="292"/>
      <c r="HBT16" s="292"/>
      <c r="HBU16" s="292"/>
      <c r="HBV16" s="292"/>
      <c r="HBW16" s="292"/>
      <c r="HBX16" s="292"/>
      <c r="HBY16" s="292"/>
      <c r="HBZ16" s="292"/>
      <c r="HCA16" s="292"/>
      <c r="HCB16" s="292"/>
      <c r="HCC16" s="292"/>
      <c r="HCD16" s="292"/>
      <c r="HCE16" s="292"/>
      <c r="HCF16" s="292"/>
      <c r="HCG16" s="292"/>
      <c r="HCH16" s="292"/>
      <c r="HCI16" s="292"/>
      <c r="HCJ16" s="292"/>
      <c r="HCK16" s="292"/>
      <c r="HCL16" s="292"/>
      <c r="HCM16" s="292"/>
      <c r="HCN16" s="292"/>
      <c r="HCO16" s="292"/>
      <c r="HCP16" s="292"/>
      <c r="HCQ16" s="292"/>
      <c r="HCR16" s="292"/>
      <c r="HCS16" s="292"/>
      <c r="HCT16" s="292"/>
      <c r="HCU16" s="292"/>
      <c r="HCV16" s="292"/>
      <c r="HCW16" s="292"/>
      <c r="HCX16" s="292"/>
      <c r="HCY16" s="292"/>
      <c r="HCZ16" s="292"/>
      <c r="HDA16" s="292"/>
      <c r="HDB16" s="292"/>
      <c r="HDC16" s="292"/>
      <c r="HDD16" s="292"/>
      <c r="HDE16" s="292"/>
      <c r="HDF16" s="292"/>
      <c r="HDG16" s="292"/>
      <c r="HDH16" s="292"/>
      <c r="HDI16" s="292"/>
      <c r="HDJ16" s="292"/>
      <c r="HDK16" s="292"/>
      <c r="HDL16" s="292"/>
      <c r="HDM16" s="292"/>
      <c r="HDN16" s="292"/>
      <c r="HDO16" s="292"/>
      <c r="HDP16" s="292"/>
      <c r="HDQ16" s="292"/>
      <c r="HDR16" s="292"/>
      <c r="HDS16" s="292"/>
      <c r="HDT16" s="292"/>
      <c r="HDU16" s="292"/>
      <c r="HDV16" s="292"/>
      <c r="HDW16" s="292"/>
      <c r="HDX16" s="292"/>
      <c r="HDY16" s="292"/>
      <c r="HDZ16" s="292"/>
      <c r="HEA16" s="292"/>
      <c r="HEB16" s="292"/>
      <c r="HEC16" s="292"/>
      <c r="HED16" s="292"/>
      <c r="HEE16" s="292"/>
      <c r="HEF16" s="292"/>
      <c r="HEG16" s="292"/>
      <c r="HEH16" s="292"/>
      <c r="HEI16" s="292"/>
      <c r="HEJ16" s="292"/>
      <c r="HEK16" s="292"/>
      <c r="HEL16" s="292"/>
      <c r="HEM16" s="292"/>
      <c r="HEN16" s="292"/>
      <c r="HEO16" s="292"/>
      <c r="HEP16" s="292"/>
      <c r="HEQ16" s="292"/>
      <c r="HER16" s="292"/>
      <c r="HES16" s="292"/>
      <c r="HET16" s="292"/>
      <c r="HEU16" s="292"/>
      <c r="HEV16" s="292"/>
      <c r="HEW16" s="292"/>
      <c r="HEX16" s="292"/>
      <c r="HEY16" s="292"/>
      <c r="HEZ16" s="292"/>
      <c r="HFA16" s="292"/>
      <c r="HFB16" s="292"/>
      <c r="HFC16" s="292"/>
      <c r="HFD16" s="292"/>
      <c r="HFE16" s="292"/>
      <c r="HFF16" s="292"/>
      <c r="HFG16" s="292"/>
      <c r="HFH16" s="292"/>
      <c r="HFI16" s="292"/>
      <c r="HFJ16" s="292"/>
      <c r="HFK16" s="292"/>
      <c r="HFL16" s="292"/>
      <c r="HFM16" s="292"/>
      <c r="HFN16" s="292"/>
      <c r="HFO16" s="292"/>
      <c r="HFP16" s="292"/>
      <c r="HFQ16" s="292"/>
      <c r="HFR16" s="292"/>
      <c r="HFS16" s="292"/>
      <c r="HFT16" s="292"/>
      <c r="HFU16" s="292"/>
      <c r="HFV16" s="292"/>
      <c r="HFW16" s="292"/>
      <c r="HFX16" s="292"/>
      <c r="HFY16" s="292"/>
      <c r="HFZ16" s="292"/>
      <c r="HGA16" s="292"/>
      <c r="HGB16" s="292"/>
      <c r="HGC16" s="292"/>
      <c r="HGD16" s="292"/>
      <c r="HGE16" s="292"/>
      <c r="HGF16" s="292"/>
      <c r="HGG16" s="292"/>
      <c r="HGH16" s="292"/>
      <c r="HGI16" s="292"/>
      <c r="HGJ16" s="292"/>
      <c r="HGK16" s="292"/>
      <c r="HGL16" s="292"/>
      <c r="HGM16" s="292"/>
      <c r="HGN16" s="292"/>
      <c r="HGO16" s="292"/>
      <c r="HGP16" s="292"/>
      <c r="HGQ16" s="292"/>
      <c r="HGR16" s="292"/>
      <c r="HGS16" s="292"/>
      <c r="HGT16" s="292"/>
      <c r="HGU16" s="292"/>
      <c r="HGV16" s="292"/>
      <c r="HGW16" s="292"/>
      <c r="HGX16" s="292"/>
      <c r="HGY16" s="292"/>
      <c r="HGZ16" s="292"/>
      <c r="HHA16" s="292"/>
      <c r="HHB16" s="292"/>
      <c r="HHC16" s="292"/>
      <c r="HHD16" s="292"/>
      <c r="HHE16" s="292"/>
      <c r="HHF16" s="292"/>
      <c r="HHG16" s="292"/>
      <c r="HHH16" s="292"/>
      <c r="HHI16" s="292"/>
      <c r="HHJ16" s="292"/>
      <c r="HHK16" s="292"/>
      <c r="HHL16" s="292"/>
      <c r="HHM16" s="292"/>
      <c r="HHN16" s="292"/>
      <c r="HHO16" s="292"/>
      <c r="HHP16" s="292"/>
      <c r="HHQ16" s="292"/>
      <c r="HHR16" s="292"/>
      <c r="HHS16" s="292"/>
      <c r="HHT16" s="292"/>
      <c r="HHU16" s="292"/>
      <c r="HHV16" s="292"/>
      <c r="HHW16" s="292"/>
      <c r="HHX16" s="292"/>
      <c r="HHY16" s="292"/>
      <c r="HHZ16" s="292"/>
      <c r="HIA16" s="292"/>
      <c r="HIB16" s="292"/>
      <c r="HIC16" s="292"/>
      <c r="HID16" s="292"/>
      <c r="HIE16" s="292"/>
      <c r="HIF16" s="292"/>
      <c r="HIG16" s="292"/>
      <c r="HIH16" s="292"/>
      <c r="HII16" s="292"/>
      <c r="HIJ16" s="292"/>
      <c r="HIK16" s="292"/>
      <c r="HIL16" s="292"/>
      <c r="HIM16" s="292"/>
      <c r="HIN16" s="292"/>
      <c r="HIO16" s="292"/>
      <c r="HIP16" s="292"/>
      <c r="HIQ16" s="292"/>
      <c r="HIR16" s="292"/>
      <c r="HIS16" s="292"/>
      <c r="HIT16" s="292"/>
      <c r="HIU16" s="292"/>
      <c r="HIV16" s="292"/>
      <c r="HIW16" s="292"/>
      <c r="HIX16" s="292"/>
      <c r="HIY16" s="292"/>
      <c r="HIZ16" s="292"/>
      <c r="HJA16" s="292"/>
      <c r="HJB16" s="292"/>
      <c r="HJC16" s="292"/>
      <c r="HJD16" s="292"/>
      <c r="HJE16" s="292"/>
      <c r="HJF16" s="292"/>
      <c r="HJG16" s="292"/>
      <c r="HJH16" s="292"/>
      <c r="HJI16" s="292"/>
      <c r="HJJ16" s="292"/>
      <c r="HJK16" s="292"/>
      <c r="HJL16" s="292"/>
      <c r="HJM16" s="292"/>
      <c r="HJN16" s="292"/>
      <c r="HJO16" s="292"/>
      <c r="HJP16" s="292"/>
      <c r="HJQ16" s="292"/>
      <c r="HJR16" s="292"/>
      <c r="HJS16" s="292"/>
      <c r="HJT16" s="292"/>
      <c r="HJU16" s="292"/>
      <c r="HJV16" s="292"/>
      <c r="HJW16" s="292"/>
      <c r="HJX16" s="292"/>
      <c r="HJY16" s="292"/>
      <c r="HJZ16" s="292"/>
      <c r="HKA16" s="292"/>
      <c r="HKB16" s="292"/>
      <c r="HKC16" s="292"/>
      <c r="HKD16" s="292"/>
      <c r="HKE16" s="292"/>
      <c r="HKF16" s="292"/>
      <c r="HKG16" s="292"/>
      <c r="HKH16" s="292"/>
      <c r="HKI16" s="292"/>
      <c r="HKJ16" s="292"/>
      <c r="HKK16" s="292"/>
      <c r="HKL16" s="292"/>
      <c r="HKM16" s="292"/>
      <c r="HKN16" s="292"/>
      <c r="HKO16" s="292"/>
      <c r="HKP16" s="292"/>
      <c r="HKQ16" s="292"/>
      <c r="HKR16" s="292"/>
      <c r="HKS16" s="292"/>
      <c r="HKT16" s="292"/>
      <c r="HKU16" s="292"/>
      <c r="HKV16" s="292"/>
      <c r="HKW16" s="292"/>
      <c r="HKX16" s="292"/>
      <c r="HKY16" s="292"/>
      <c r="HKZ16" s="292"/>
      <c r="HLA16" s="292"/>
      <c r="HLB16" s="292"/>
      <c r="HLC16" s="292"/>
      <c r="HLD16" s="292"/>
      <c r="HLE16" s="292"/>
      <c r="HLF16" s="292"/>
      <c r="HLG16" s="292"/>
      <c r="HLH16" s="292"/>
      <c r="HLI16" s="292"/>
      <c r="HLJ16" s="292"/>
      <c r="HLK16" s="292"/>
      <c r="HLL16" s="292"/>
      <c r="HLM16" s="292"/>
      <c r="HLN16" s="292"/>
      <c r="HLO16" s="292"/>
      <c r="HLP16" s="292"/>
      <c r="HLQ16" s="292"/>
      <c r="HLR16" s="292"/>
      <c r="HLS16" s="292"/>
      <c r="HLT16" s="292"/>
      <c r="HLU16" s="292"/>
      <c r="HLV16" s="292"/>
      <c r="HLW16" s="292"/>
      <c r="HLX16" s="292"/>
      <c r="HLY16" s="292"/>
      <c r="HLZ16" s="292"/>
      <c r="HMA16" s="292"/>
      <c r="HMB16" s="292"/>
      <c r="HMC16" s="292"/>
      <c r="HMD16" s="292"/>
      <c r="HME16" s="292"/>
      <c r="HMF16" s="292"/>
      <c r="HMG16" s="292"/>
      <c r="HMH16" s="292"/>
      <c r="HMI16" s="292"/>
      <c r="HMJ16" s="292"/>
      <c r="HMK16" s="292"/>
      <c r="HML16" s="292"/>
      <c r="HMM16" s="292"/>
      <c r="HMN16" s="292"/>
      <c r="HMO16" s="292"/>
      <c r="HMP16" s="292"/>
      <c r="HMQ16" s="292"/>
      <c r="HMR16" s="292"/>
      <c r="HMS16" s="292"/>
      <c r="HMT16" s="292"/>
      <c r="HMU16" s="292"/>
      <c r="HMV16" s="292"/>
      <c r="HMW16" s="292"/>
      <c r="HMX16" s="292"/>
      <c r="HMY16" s="292"/>
      <c r="HMZ16" s="292"/>
      <c r="HNA16" s="292"/>
      <c r="HNB16" s="292"/>
      <c r="HNC16" s="292"/>
      <c r="HND16" s="292"/>
      <c r="HNE16" s="292"/>
      <c r="HNF16" s="292"/>
      <c r="HNG16" s="292"/>
      <c r="HNH16" s="292"/>
      <c r="HNI16" s="292"/>
      <c r="HNJ16" s="292"/>
      <c r="HNK16" s="292"/>
      <c r="HNL16" s="292"/>
      <c r="HNM16" s="292"/>
      <c r="HNN16" s="292"/>
      <c r="HNO16" s="292"/>
      <c r="HNP16" s="292"/>
      <c r="HNQ16" s="292"/>
      <c r="HNR16" s="292"/>
      <c r="HNS16" s="292"/>
      <c r="HNT16" s="292"/>
      <c r="HNU16" s="292"/>
      <c r="HNV16" s="292"/>
      <c r="HNW16" s="292"/>
      <c r="HNX16" s="292"/>
      <c r="HNY16" s="292"/>
      <c r="HNZ16" s="292"/>
      <c r="HOA16" s="292"/>
      <c r="HOB16" s="292"/>
      <c r="HOC16" s="292"/>
      <c r="HOD16" s="292"/>
      <c r="HOE16" s="292"/>
      <c r="HOF16" s="292"/>
      <c r="HOG16" s="292"/>
      <c r="HOH16" s="292"/>
      <c r="HOI16" s="292"/>
      <c r="HOJ16" s="292"/>
      <c r="HOK16" s="292"/>
      <c r="HOL16" s="292"/>
      <c r="HOM16" s="292"/>
      <c r="HON16" s="292"/>
      <c r="HOO16" s="292"/>
      <c r="HOP16" s="292"/>
      <c r="HOQ16" s="292"/>
      <c r="HOR16" s="292"/>
      <c r="HOS16" s="292"/>
      <c r="HOT16" s="292"/>
      <c r="HOU16" s="292"/>
      <c r="HOV16" s="292"/>
      <c r="HOW16" s="292"/>
      <c r="HOX16" s="292"/>
      <c r="HOY16" s="292"/>
      <c r="HOZ16" s="292"/>
      <c r="HPA16" s="292"/>
      <c r="HPB16" s="292"/>
      <c r="HPC16" s="292"/>
      <c r="HPD16" s="292"/>
      <c r="HPE16" s="292"/>
      <c r="HPF16" s="292"/>
      <c r="HPG16" s="292"/>
      <c r="HPH16" s="292"/>
      <c r="HPI16" s="292"/>
      <c r="HPJ16" s="292"/>
      <c r="HPK16" s="292"/>
      <c r="HPL16" s="292"/>
      <c r="HPM16" s="292"/>
      <c r="HPN16" s="292"/>
      <c r="HPO16" s="292"/>
      <c r="HPP16" s="292"/>
      <c r="HPQ16" s="292"/>
      <c r="HPR16" s="292"/>
      <c r="HPS16" s="292"/>
      <c r="HPT16" s="292"/>
      <c r="HPU16" s="292"/>
      <c r="HPV16" s="292"/>
      <c r="HPW16" s="292"/>
      <c r="HPX16" s="292"/>
      <c r="HPY16" s="292"/>
      <c r="HPZ16" s="292"/>
      <c r="HQA16" s="292"/>
      <c r="HQB16" s="292"/>
      <c r="HQC16" s="292"/>
      <c r="HQD16" s="292"/>
      <c r="HQE16" s="292"/>
      <c r="HQF16" s="292"/>
      <c r="HQG16" s="292"/>
      <c r="HQH16" s="292"/>
      <c r="HQI16" s="292"/>
      <c r="HQJ16" s="292"/>
      <c r="HQK16" s="292"/>
      <c r="HQL16" s="292"/>
      <c r="HQM16" s="292"/>
      <c r="HQN16" s="292"/>
      <c r="HQO16" s="292"/>
      <c r="HQP16" s="292"/>
      <c r="HQQ16" s="292"/>
      <c r="HQR16" s="292"/>
      <c r="HQS16" s="292"/>
      <c r="HQT16" s="292"/>
      <c r="HQU16" s="292"/>
      <c r="HQV16" s="292"/>
      <c r="HQW16" s="292"/>
      <c r="HQX16" s="292"/>
      <c r="HQY16" s="292"/>
      <c r="HQZ16" s="292"/>
      <c r="HRA16" s="292"/>
      <c r="HRB16" s="292"/>
      <c r="HRC16" s="292"/>
      <c r="HRD16" s="292"/>
      <c r="HRE16" s="292"/>
      <c r="HRF16" s="292"/>
      <c r="HRG16" s="292"/>
      <c r="HRH16" s="292"/>
      <c r="HRI16" s="292"/>
      <c r="HRJ16" s="292"/>
      <c r="HRK16" s="292"/>
      <c r="HRL16" s="292"/>
      <c r="HRM16" s="292"/>
      <c r="HRN16" s="292"/>
      <c r="HRO16" s="292"/>
      <c r="HRP16" s="292"/>
      <c r="HRQ16" s="292"/>
      <c r="HRR16" s="292"/>
      <c r="HRS16" s="292"/>
      <c r="HRT16" s="292"/>
      <c r="HRU16" s="292"/>
      <c r="HRV16" s="292"/>
      <c r="HRW16" s="292"/>
      <c r="HRX16" s="292"/>
      <c r="HRY16" s="292"/>
      <c r="HRZ16" s="292"/>
      <c r="HSA16" s="292"/>
      <c r="HSB16" s="292"/>
      <c r="HSC16" s="292"/>
      <c r="HSD16" s="292"/>
      <c r="HSE16" s="292"/>
      <c r="HSF16" s="292"/>
      <c r="HSG16" s="292"/>
      <c r="HSH16" s="292"/>
      <c r="HSI16" s="292"/>
      <c r="HSJ16" s="292"/>
      <c r="HSK16" s="292"/>
      <c r="HSL16" s="292"/>
      <c r="HSM16" s="292"/>
      <c r="HSN16" s="292"/>
      <c r="HSO16" s="292"/>
      <c r="HSP16" s="292"/>
      <c r="HSQ16" s="292"/>
      <c r="HSR16" s="292"/>
      <c r="HSS16" s="292"/>
      <c r="HST16" s="292"/>
      <c r="HSU16" s="292"/>
      <c r="HSV16" s="292"/>
      <c r="HSW16" s="292"/>
      <c r="HSX16" s="292"/>
      <c r="HSY16" s="292"/>
      <c r="HSZ16" s="292"/>
      <c r="HTA16" s="292"/>
      <c r="HTB16" s="292"/>
      <c r="HTC16" s="292"/>
      <c r="HTD16" s="292"/>
      <c r="HTE16" s="292"/>
      <c r="HTF16" s="292"/>
      <c r="HTG16" s="292"/>
      <c r="HTH16" s="292"/>
      <c r="HTI16" s="292"/>
      <c r="HTJ16" s="292"/>
      <c r="HTK16" s="292"/>
      <c r="HTL16" s="292"/>
      <c r="HTM16" s="292"/>
      <c r="HTN16" s="292"/>
      <c r="HTO16" s="292"/>
      <c r="HTP16" s="292"/>
      <c r="HTQ16" s="292"/>
      <c r="HTR16" s="292"/>
      <c r="HTS16" s="292"/>
      <c r="HTT16" s="292"/>
      <c r="HTU16" s="292"/>
      <c r="HTV16" s="292"/>
      <c r="HTW16" s="292"/>
      <c r="HTX16" s="292"/>
      <c r="HTY16" s="292"/>
      <c r="HTZ16" s="292"/>
      <c r="HUA16" s="292"/>
      <c r="HUB16" s="292"/>
      <c r="HUC16" s="292"/>
      <c r="HUD16" s="292"/>
      <c r="HUE16" s="292"/>
      <c r="HUF16" s="292"/>
      <c r="HUG16" s="292"/>
      <c r="HUH16" s="292"/>
      <c r="HUI16" s="292"/>
      <c r="HUJ16" s="292"/>
      <c r="HUK16" s="292"/>
      <c r="HUL16" s="292"/>
      <c r="HUM16" s="292"/>
      <c r="HUN16" s="292"/>
      <c r="HUO16" s="292"/>
      <c r="HUP16" s="292"/>
      <c r="HUQ16" s="292"/>
      <c r="HUR16" s="292"/>
      <c r="HUS16" s="292"/>
      <c r="HUT16" s="292"/>
      <c r="HUU16" s="292"/>
      <c r="HUV16" s="292"/>
      <c r="HUW16" s="292"/>
      <c r="HUX16" s="292"/>
      <c r="HUY16" s="292"/>
      <c r="HUZ16" s="292"/>
      <c r="HVA16" s="292"/>
      <c r="HVB16" s="292"/>
      <c r="HVC16" s="292"/>
      <c r="HVD16" s="292"/>
      <c r="HVE16" s="292"/>
      <c r="HVF16" s="292"/>
      <c r="HVG16" s="292"/>
      <c r="HVH16" s="292"/>
      <c r="HVI16" s="292"/>
      <c r="HVJ16" s="292"/>
      <c r="HVK16" s="292"/>
      <c r="HVL16" s="292"/>
      <c r="HVM16" s="292"/>
      <c r="HVN16" s="292"/>
      <c r="HVO16" s="292"/>
      <c r="HVP16" s="292"/>
      <c r="HVQ16" s="292"/>
      <c r="HVR16" s="292"/>
      <c r="HVS16" s="292"/>
      <c r="HVT16" s="292"/>
      <c r="HVU16" s="292"/>
      <c r="HVV16" s="292"/>
      <c r="HVW16" s="292"/>
      <c r="HVX16" s="292"/>
      <c r="HVY16" s="292"/>
      <c r="HVZ16" s="292"/>
      <c r="HWA16" s="292"/>
      <c r="HWB16" s="292"/>
      <c r="HWC16" s="292"/>
      <c r="HWD16" s="292"/>
      <c r="HWE16" s="292"/>
      <c r="HWF16" s="292"/>
      <c r="HWG16" s="292"/>
      <c r="HWH16" s="292"/>
      <c r="HWI16" s="292"/>
      <c r="HWJ16" s="292"/>
      <c r="HWK16" s="292"/>
      <c r="HWL16" s="292"/>
      <c r="HWM16" s="292"/>
      <c r="HWN16" s="292"/>
      <c r="HWO16" s="292"/>
      <c r="HWP16" s="292"/>
      <c r="HWQ16" s="292"/>
      <c r="HWR16" s="292"/>
      <c r="HWS16" s="292"/>
      <c r="HWT16" s="292"/>
      <c r="HWU16" s="292"/>
      <c r="HWV16" s="292"/>
      <c r="HWW16" s="292"/>
      <c r="HWX16" s="292"/>
      <c r="HWY16" s="292"/>
      <c r="HWZ16" s="292"/>
      <c r="HXA16" s="292"/>
      <c r="HXB16" s="292"/>
      <c r="HXC16" s="292"/>
      <c r="HXD16" s="292"/>
      <c r="HXE16" s="292"/>
      <c r="HXF16" s="292"/>
      <c r="HXG16" s="292"/>
      <c r="HXH16" s="292"/>
      <c r="HXI16" s="292"/>
      <c r="HXJ16" s="292"/>
      <c r="HXK16" s="292"/>
      <c r="HXL16" s="292"/>
      <c r="HXM16" s="292"/>
      <c r="HXN16" s="292"/>
      <c r="HXO16" s="292"/>
      <c r="HXP16" s="292"/>
      <c r="HXQ16" s="292"/>
      <c r="HXR16" s="292"/>
      <c r="HXS16" s="292"/>
      <c r="HXT16" s="292"/>
      <c r="HXU16" s="292"/>
      <c r="HXV16" s="292"/>
      <c r="HXW16" s="292"/>
      <c r="HXX16" s="292"/>
      <c r="HXY16" s="292"/>
      <c r="HXZ16" s="292"/>
      <c r="HYA16" s="292"/>
      <c r="HYB16" s="292"/>
      <c r="HYC16" s="292"/>
      <c r="HYD16" s="292"/>
      <c r="HYE16" s="292"/>
      <c r="HYF16" s="292"/>
      <c r="HYG16" s="292"/>
      <c r="HYH16" s="292"/>
      <c r="HYI16" s="292"/>
      <c r="HYJ16" s="292"/>
      <c r="HYK16" s="292"/>
      <c r="HYL16" s="292"/>
      <c r="HYM16" s="292"/>
      <c r="HYN16" s="292"/>
      <c r="HYO16" s="292"/>
      <c r="HYP16" s="292"/>
      <c r="HYQ16" s="292"/>
      <c r="HYR16" s="292"/>
      <c r="HYS16" s="292"/>
      <c r="HYT16" s="292"/>
      <c r="HYU16" s="292"/>
      <c r="HYV16" s="292"/>
      <c r="HYW16" s="292"/>
      <c r="HYX16" s="292"/>
      <c r="HYY16" s="292"/>
      <c r="HYZ16" s="292"/>
      <c r="HZA16" s="292"/>
      <c r="HZB16" s="292"/>
      <c r="HZC16" s="292"/>
      <c r="HZD16" s="292"/>
      <c r="HZE16" s="292"/>
      <c r="HZF16" s="292"/>
      <c r="HZG16" s="292"/>
      <c r="HZH16" s="292"/>
      <c r="HZI16" s="292"/>
      <c r="HZJ16" s="292"/>
      <c r="HZK16" s="292"/>
      <c r="HZL16" s="292"/>
      <c r="HZM16" s="292"/>
      <c r="HZN16" s="292"/>
      <c r="HZO16" s="292"/>
      <c r="HZP16" s="292"/>
      <c r="HZQ16" s="292"/>
      <c r="HZR16" s="292"/>
      <c r="HZS16" s="292"/>
      <c r="HZT16" s="292"/>
      <c r="HZU16" s="292"/>
      <c r="HZV16" s="292"/>
      <c r="HZW16" s="292"/>
      <c r="HZX16" s="292"/>
      <c r="HZY16" s="292"/>
      <c r="HZZ16" s="292"/>
      <c r="IAA16" s="292"/>
      <c r="IAB16" s="292"/>
      <c r="IAC16" s="292"/>
      <c r="IAD16" s="292"/>
      <c r="IAE16" s="292"/>
      <c r="IAF16" s="292"/>
      <c r="IAG16" s="292"/>
      <c r="IAH16" s="292"/>
      <c r="IAI16" s="292"/>
      <c r="IAJ16" s="292"/>
      <c r="IAK16" s="292"/>
      <c r="IAL16" s="292"/>
      <c r="IAM16" s="292"/>
      <c r="IAN16" s="292"/>
      <c r="IAO16" s="292"/>
      <c r="IAP16" s="292"/>
      <c r="IAQ16" s="292"/>
      <c r="IAR16" s="292"/>
      <c r="IAS16" s="292"/>
      <c r="IAT16" s="292"/>
      <c r="IAU16" s="292"/>
      <c r="IAV16" s="292"/>
      <c r="IAW16" s="292"/>
      <c r="IAX16" s="292"/>
      <c r="IAY16" s="292"/>
      <c r="IAZ16" s="292"/>
      <c r="IBA16" s="292"/>
      <c r="IBB16" s="292"/>
      <c r="IBC16" s="292"/>
      <c r="IBD16" s="292"/>
      <c r="IBE16" s="292"/>
      <c r="IBF16" s="292"/>
      <c r="IBG16" s="292"/>
      <c r="IBH16" s="292"/>
      <c r="IBI16" s="292"/>
      <c r="IBJ16" s="292"/>
      <c r="IBK16" s="292"/>
      <c r="IBL16" s="292"/>
      <c r="IBM16" s="292"/>
      <c r="IBN16" s="292"/>
      <c r="IBO16" s="292"/>
      <c r="IBP16" s="292"/>
      <c r="IBQ16" s="292"/>
      <c r="IBR16" s="292"/>
      <c r="IBS16" s="292"/>
      <c r="IBT16" s="292"/>
      <c r="IBU16" s="292"/>
      <c r="IBV16" s="292"/>
      <c r="IBW16" s="292"/>
      <c r="IBX16" s="292"/>
      <c r="IBY16" s="292"/>
      <c r="IBZ16" s="292"/>
      <c r="ICA16" s="292"/>
      <c r="ICB16" s="292"/>
      <c r="ICC16" s="292"/>
      <c r="ICD16" s="292"/>
      <c r="ICE16" s="292"/>
      <c r="ICF16" s="292"/>
      <c r="ICG16" s="292"/>
      <c r="ICH16" s="292"/>
      <c r="ICI16" s="292"/>
      <c r="ICJ16" s="292"/>
      <c r="ICK16" s="292"/>
      <c r="ICL16" s="292"/>
      <c r="ICM16" s="292"/>
      <c r="ICN16" s="292"/>
      <c r="ICO16" s="292"/>
      <c r="ICP16" s="292"/>
      <c r="ICQ16" s="292"/>
      <c r="ICR16" s="292"/>
      <c r="ICS16" s="292"/>
      <c r="ICT16" s="292"/>
      <c r="ICU16" s="292"/>
      <c r="ICV16" s="292"/>
      <c r="ICW16" s="292"/>
      <c r="ICX16" s="292"/>
      <c r="ICY16" s="292"/>
      <c r="ICZ16" s="292"/>
      <c r="IDA16" s="292"/>
      <c r="IDB16" s="292"/>
      <c r="IDC16" s="292"/>
      <c r="IDD16" s="292"/>
      <c r="IDE16" s="292"/>
      <c r="IDF16" s="292"/>
      <c r="IDG16" s="292"/>
      <c r="IDH16" s="292"/>
      <c r="IDI16" s="292"/>
      <c r="IDJ16" s="292"/>
      <c r="IDK16" s="292"/>
      <c r="IDL16" s="292"/>
      <c r="IDM16" s="292"/>
      <c r="IDN16" s="292"/>
      <c r="IDO16" s="292"/>
      <c r="IDP16" s="292"/>
      <c r="IDQ16" s="292"/>
      <c r="IDR16" s="292"/>
      <c r="IDS16" s="292"/>
      <c r="IDT16" s="292"/>
      <c r="IDU16" s="292"/>
      <c r="IDV16" s="292"/>
      <c r="IDW16" s="292"/>
      <c r="IDX16" s="292"/>
      <c r="IDY16" s="292"/>
      <c r="IDZ16" s="292"/>
      <c r="IEA16" s="292"/>
      <c r="IEB16" s="292"/>
      <c r="IEC16" s="292"/>
      <c r="IED16" s="292"/>
      <c r="IEE16" s="292"/>
      <c r="IEF16" s="292"/>
      <c r="IEG16" s="292"/>
      <c r="IEH16" s="292"/>
      <c r="IEI16" s="292"/>
      <c r="IEJ16" s="292"/>
      <c r="IEK16" s="292"/>
      <c r="IEL16" s="292"/>
      <c r="IEM16" s="292"/>
      <c r="IEN16" s="292"/>
      <c r="IEO16" s="292"/>
      <c r="IEP16" s="292"/>
      <c r="IEQ16" s="292"/>
      <c r="IER16" s="292"/>
      <c r="IES16" s="292"/>
      <c r="IET16" s="292"/>
      <c r="IEU16" s="292"/>
      <c r="IEV16" s="292"/>
      <c r="IEW16" s="292"/>
      <c r="IEX16" s="292"/>
      <c r="IEY16" s="292"/>
      <c r="IEZ16" s="292"/>
      <c r="IFA16" s="292"/>
      <c r="IFB16" s="292"/>
      <c r="IFC16" s="292"/>
      <c r="IFD16" s="292"/>
      <c r="IFE16" s="292"/>
      <c r="IFF16" s="292"/>
      <c r="IFG16" s="292"/>
      <c r="IFH16" s="292"/>
      <c r="IFI16" s="292"/>
      <c r="IFJ16" s="292"/>
      <c r="IFK16" s="292"/>
      <c r="IFL16" s="292"/>
      <c r="IFM16" s="292"/>
      <c r="IFN16" s="292"/>
      <c r="IFO16" s="292"/>
      <c r="IFP16" s="292"/>
      <c r="IFQ16" s="292"/>
      <c r="IFR16" s="292"/>
      <c r="IFS16" s="292"/>
      <c r="IFT16" s="292"/>
      <c r="IFU16" s="292"/>
      <c r="IFV16" s="292"/>
      <c r="IFW16" s="292"/>
      <c r="IFX16" s="292"/>
      <c r="IFY16" s="292"/>
      <c r="IFZ16" s="292"/>
      <c r="IGA16" s="292"/>
      <c r="IGB16" s="292"/>
      <c r="IGC16" s="292"/>
      <c r="IGD16" s="292"/>
      <c r="IGE16" s="292"/>
      <c r="IGF16" s="292"/>
      <c r="IGG16" s="292"/>
      <c r="IGH16" s="292"/>
      <c r="IGI16" s="292"/>
      <c r="IGJ16" s="292"/>
      <c r="IGK16" s="292"/>
      <c r="IGL16" s="292"/>
      <c r="IGM16" s="292"/>
      <c r="IGN16" s="292"/>
      <c r="IGO16" s="292"/>
      <c r="IGP16" s="292"/>
      <c r="IGQ16" s="292"/>
      <c r="IGR16" s="292"/>
      <c r="IGS16" s="292"/>
      <c r="IGT16" s="292"/>
      <c r="IGU16" s="292"/>
      <c r="IGV16" s="292"/>
      <c r="IGW16" s="292"/>
      <c r="IGX16" s="292"/>
      <c r="IGY16" s="292"/>
      <c r="IGZ16" s="292"/>
      <c r="IHA16" s="292"/>
      <c r="IHB16" s="292"/>
      <c r="IHC16" s="292"/>
      <c r="IHD16" s="292"/>
      <c r="IHE16" s="292"/>
      <c r="IHF16" s="292"/>
      <c r="IHG16" s="292"/>
      <c r="IHH16" s="292"/>
      <c r="IHI16" s="292"/>
      <c r="IHJ16" s="292"/>
      <c r="IHK16" s="292"/>
      <c r="IHL16" s="292"/>
      <c r="IHM16" s="292"/>
      <c r="IHN16" s="292"/>
      <c r="IHO16" s="292"/>
      <c r="IHP16" s="292"/>
      <c r="IHQ16" s="292"/>
      <c r="IHR16" s="292"/>
      <c r="IHS16" s="292"/>
      <c r="IHT16" s="292"/>
      <c r="IHU16" s="292"/>
      <c r="IHV16" s="292"/>
      <c r="IHW16" s="292"/>
      <c r="IHX16" s="292"/>
      <c r="IHY16" s="292"/>
      <c r="IHZ16" s="292"/>
      <c r="IIA16" s="292"/>
      <c r="IIB16" s="292"/>
      <c r="IIC16" s="292"/>
      <c r="IID16" s="292"/>
      <c r="IIE16" s="292"/>
      <c r="IIF16" s="292"/>
      <c r="IIG16" s="292"/>
      <c r="IIH16" s="292"/>
      <c r="III16" s="292"/>
      <c r="IIJ16" s="292"/>
      <c r="IIK16" s="292"/>
      <c r="IIL16" s="292"/>
      <c r="IIM16" s="292"/>
      <c r="IIN16" s="292"/>
      <c r="IIO16" s="292"/>
      <c r="IIP16" s="292"/>
      <c r="IIQ16" s="292"/>
      <c r="IIR16" s="292"/>
      <c r="IIS16" s="292"/>
      <c r="IIT16" s="292"/>
      <c r="IIU16" s="292"/>
      <c r="IIV16" s="292"/>
      <c r="IIW16" s="292"/>
      <c r="IIX16" s="292"/>
      <c r="IIY16" s="292"/>
      <c r="IIZ16" s="292"/>
      <c r="IJA16" s="292"/>
      <c r="IJB16" s="292"/>
      <c r="IJC16" s="292"/>
      <c r="IJD16" s="292"/>
      <c r="IJE16" s="292"/>
      <c r="IJF16" s="292"/>
      <c r="IJG16" s="292"/>
      <c r="IJH16" s="292"/>
      <c r="IJI16" s="292"/>
      <c r="IJJ16" s="292"/>
      <c r="IJK16" s="292"/>
      <c r="IJL16" s="292"/>
      <c r="IJM16" s="292"/>
      <c r="IJN16" s="292"/>
      <c r="IJO16" s="292"/>
      <c r="IJP16" s="292"/>
      <c r="IJQ16" s="292"/>
      <c r="IJR16" s="292"/>
      <c r="IJS16" s="292"/>
      <c r="IJT16" s="292"/>
      <c r="IJU16" s="292"/>
      <c r="IJV16" s="292"/>
      <c r="IJW16" s="292"/>
      <c r="IJX16" s="292"/>
      <c r="IJY16" s="292"/>
      <c r="IJZ16" s="292"/>
      <c r="IKA16" s="292"/>
      <c r="IKB16" s="292"/>
      <c r="IKC16" s="292"/>
      <c r="IKD16" s="292"/>
      <c r="IKE16" s="292"/>
      <c r="IKF16" s="292"/>
      <c r="IKG16" s="292"/>
      <c r="IKH16" s="292"/>
      <c r="IKI16" s="292"/>
      <c r="IKJ16" s="292"/>
      <c r="IKK16" s="292"/>
      <c r="IKL16" s="292"/>
      <c r="IKM16" s="292"/>
      <c r="IKN16" s="292"/>
      <c r="IKO16" s="292"/>
      <c r="IKP16" s="292"/>
      <c r="IKQ16" s="292"/>
      <c r="IKR16" s="292"/>
      <c r="IKS16" s="292"/>
      <c r="IKT16" s="292"/>
      <c r="IKU16" s="292"/>
      <c r="IKV16" s="292"/>
      <c r="IKW16" s="292"/>
      <c r="IKX16" s="292"/>
      <c r="IKY16" s="292"/>
      <c r="IKZ16" s="292"/>
      <c r="ILA16" s="292"/>
      <c r="ILB16" s="292"/>
      <c r="ILC16" s="292"/>
      <c r="ILD16" s="292"/>
      <c r="ILE16" s="292"/>
      <c r="ILF16" s="292"/>
      <c r="ILG16" s="292"/>
      <c r="ILH16" s="292"/>
      <c r="ILI16" s="292"/>
      <c r="ILJ16" s="292"/>
      <c r="ILK16" s="292"/>
      <c r="ILL16" s="292"/>
      <c r="ILM16" s="292"/>
      <c r="ILN16" s="292"/>
      <c r="ILO16" s="292"/>
      <c r="ILP16" s="292"/>
      <c r="ILQ16" s="292"/>
      <c r="ILR16" s="292"/>
      <c r="ILS16" s="292"/>
      <c r="ILT16" s="292"/>
      <c r="ILU16" s="292"/>
      <c r="ILV16" s="292"/>
      <c r="ILW16" s="292"/>
      <c r="ILX16" s="292"/>
      <c r="ILY16" s="292"/>
      <c r="ILZ16" s="292"/>
      <c r="IMA16" s="292"/>
      <c r="IMB16" s="292"/>
      <c r="IMC16" s="292"/>
      <c r="IMD16" s="292"/>
      <c r="IME16" s="292"/>
      <c r="IMF16" s="292"/>
      <c r="IMG16" s="292"/>
      <c r="IMH16" s="292"/>
      <c r="IMI16" s="292"/>
      <c r="IMJ16" s="292"/>
      <c r="IMK16" s="292"/>
      <c r="IML16" s="292"/>
      <c r="IMM16" s="292"/>
      <c r="IMN16" s="292"/>
      <c r="IMO16" s="292"/>
      <c r="IMP16" s="292"/>
      <c r="IMQ16" s="292"/>
      <c r="IMR16" s="292"/>
      <c r="IMS16" s="292"/>
      <c r="IMT16" s="292"/>
      <c r="IMU16" s="292"/>
      <c r="IMV16" s="292"/>
      <c r="IMW16" s="292"/>
      <c r="IMX16" s="292"/>
      <c r="IMY16" s="292"/>
      <c r="IMZ16" s="292"/>
      <c r="INA16" s="292"/>
      <c r="INB16" s="292"/>
      <c r="INC16" s="292"/>
      <c r="IND16" s="292"/>
      <c r="INE16" s="292"/>
      <c r="INF16" s="292"/>
      <c r="ING16" s="292"/>
      <c r="INH16" s="292"/>
      <c r="INI16" s="292"/>
      <c r="INJ16" s="292"/>
      <c r="INK16" s="292"/>
      <c r="INL16" s="292"/>
      <c r="INM16" s="292"/>
      <c r="INN16" s="292"/>
      <c r="INO16" s="292"/>
      <c r="INP16" s="292"/>
      <c r="INQ16" s="292"/>
      <c r="INR16" s="292"/>
      <c r="INS16" s="292"/>
      <c r="INT16" s="292"/>
      <c r="INU16" s="292"/>
      <c r="INV16" s="292"/>
      <c r="INW16" s="292"/>
      <c r="INX16" s="292"/>
      <c r="INY16" s="292"/>
      <c r="INZ16" s="292"/>
      <c r="IOA16" s="292"/>
      <c r="IOB16" s="292"/>
      <c r="IOC16" s="292"/>
      <c r="IOD16" s="292"/>
      <c r="IOE16" s="292"/>
      <c r="IOF16" s="292"/>
      <c r="IOG16" s="292"/>
      <c r="IOH16" s="292"/>
      <c r="IOI16" s="292"/>
      <c r="IOJ16" s="292"/>
      <c r="IOK16" s="292"/>
      <c r="IOL16" s="292"/>
      <c r="IOM16" s="292"/>
      <c r="ION16" s="292"/>
      <c r="IOO16" s="292"/>
      <c r="IOP16" s="292"/>
      <c r="IOQ16" s="292"/>
      <c r="IOR16" s="292"/>
      <c r="IOS16" s="292"/>
      <c r="IOT16" s="292"/>
      <c r="IOU16" s="292"/>
      <c r="IOV16" s="292"/>
      <c r="IOW16" s="292"/>
      <c r="IOX16" s="292"/>
      <c r="IOY16" s="292"/>
      <c r="IOZ16" s="292"/>
      <c r="IPA16" s="292"/>
      <c r="IPB16" s="292"/>
      <c r="IPC16" s="292"/>
      <c r="IPD16" s="292"/>
      <c r="IPE16" s="292"/>
      <c r="IPF16" s="292"/>
      <c r="IPG16" s="292"/>
      <c r="IPH16" s="292"/>
      <c r="IPI16" s="292"/>
      <c r="IPJ16" s="292"/>
      <c r="IPK16" s="292"/>
      <c r="IPL16" s="292"/>
      <c r="IPM16" s="292"/>
      <c r="IPN16" s="292"/>
      <c r="IPO16" s="292"/>
      <c r="IPP16" s="292"/>
      <c r="IPQ16" s="292"/>
      <c r="IPR16" s="292"/>
      <c r="IPS16" s="292"/>
      <c r="IPT16" s="292"/>
      <c r="IPU16" s="292"/>
      <c r="IPV16" s="292"/>
      <c r="IPW16" s="292"/>
      <c r="IPX16" s="292"/>
      <c r="IPY16" s="292"/>
      <c r="IPZ16" s="292"/>
      <c r="IQA16" s="292"/>
      <c r="IQB16" s="292"/>
      <c r="IQC16" s="292"/>
      <c r="IQD16" s="292"/>
      <c r="IQE16" s="292"/>
      <c r="IQF16" s="292"/>
      <c r="IQG16" s="292"/>
      <c r="IQH16" s="292"/>
      <c r="IQI16" s="292"/>
      <c r="IQJ16" s="292"/>
      <c r="IQK16" s="292"/>
      <c r="IQL16" s="292"/>
      <c r="IQM16" s="292"/>
      <c r="IQN16" s="292"/>
      <c r="IQO16" s="292"/>
      <c r="IQP16" s="292"/>
      <c r="IQQ16" s="292"/>
      <c r="IQR16" s="292"/>
      <c r="IQS16" s="292"/>
      <c r="IQT16" s="292"/>
      <c r="IQU16" s="292"/>
      <c r="IQV16" s="292"/>
      <c r="IQW16" s="292"/>
      <c r="IQX16" s="292"/>
      <c r="IQY16" s="292"/>
      <c r="IQZ16" s="292"/>
      <c r="IRA16" s="292"/>
      <c r="IRB16" s="292"/>
      <c r="IRC16" s="292"/>
      <c r="IRD16" s="292"/>
      <c r="IRE16" s="292"/>
      <c r="IRF16" s="292"/>
      <c r="IRG16" s="292"/>
      <c r="IRH16" s="292"/>
      <c r="IRI16" s="292"/>
      <c r="IRJ16" s="292"/>
      <c r="IRK16" s="292"/>
      <c r="IRL16" s="292"/>
      <c r="IRM16" s="292"/>
      <c r="IRN16" s="292"/>
      <c r="IRO16" s="292"/>
      <c r="IRP16" s="292"/>
      <c r="IRQ16" s="292"/>
      <c r="IRR16" s="292"/>
      <c r="IRS16" s="292"/>
      <c r="IRT16" s="292"/>
      <c r="IRU16" s="292"/>
      <c r="IRV16" s="292"/>
      <c r="IRW16" s="292"/>
      <c r="IRX16" s="292"/>
      <c r="IRY16" s="292"/>
      <c r="IRZ16" s="292"/>
      <c r="ISA16" s="292"/>
      <c r="ISB16" s="292"/>
      <c r="ISC16" s="292"/>
      <c r="ISD16" s="292"/>
      <c r="ISE16" s="292"/>
      <c r="ISF16" s="292"/>
      <c r="ISG16" s="292"/>
      <c r="ISH16" s="292"/>
      <c r="ISI16" s="292"/>
      <c r="ISJ16" s="292"/>
      <c r="ISK16" s="292"/>
      <c r="ISL16" s="292"/>
      <c r="ISM16" s="292"/>
      <c r="ISN16" s="292"/>
      <c r="ISO16" s="292"/>
      <c r="ISP16" s="292"/>
      <c r="ISQ16" s="292"/>
      <c r="ISR16" s="292"/>
      <c r="ISS16" s="292"/>
      <c r="IST16" s="292"/>
      <c r="ISU16" s="292"/>
      <c r="ISV16" s="292"/>
      <c r="ISW16" s="292"/>
      <c r="ISX16" s="292"/>
      <c r="ISY16" s="292"/>
      <c r="ISZ16" s="292"/>
      <c r="ITA16" s="292"/>
      <c r="ITB16" s="292"/>
      <c r="ITC16" s="292"/>
      <c r="ITD16" s="292"/>
      <c r="ITE16" s="292"/>
      <c r="ITF16" s="292"/>
      <c r="ITG16" s="292"/>
      <c r="ITH16" s="292"/>
      <c r="ITI16" s="292"/>
      <c r="ITJ16" s="292"/>
      <c r="ITK16" s="292"/>
      <c r="ITL16" s="292"/>
      <c r="ITM16" s="292"/>
      <c r="ITN16" s="292"/>
      <c r="ITO16" s="292"/>
      <c r="ITP16" s="292"/>
      <c r="ITQ16" s="292"/>
      <c r="ITR16" s="292"/>
      <c r="ITS16" s="292"/>
      <c r="ITT16" s="292"/>
      <c r="ITU16" s="292"/>
      <c r="ITV16" s="292"/>
      <c r="ITW16" s="292"/>
      <c r="ITX16" s="292"/>
      <c r="ITY16" s="292"/>
      <c r="ITZ16" s="292"/>
      <c r="IUA16" s="292"/>
      <c r="IUB16" s="292"/>
      <c r="IUC16" s="292"/>
      <c r="IUD16" s="292"/>
      <c r="IUE16" s="292"/>
      <c r="IUF16" s="292"/>
      <c r="IUG16" s="292"/>
      <c r="IUH16" s="292"/>
      <c r="IUI16" s="292"/>
      <c r="IUJ16" s="292"/>
      <c r="IUK16" s="292"/>
      <c r="IUL16" s="292"/>
      <c r="IUM16" s="292"/>
      <c r="IUN16" s="292"/>
      <c r="IUO16" s="292"/>
      <c r="IUP16" s="292"/>
      <c r="IUQ16" s="292"/>
      <c r="IUR16" s="292"/>
      <c r="IUS16" s="292"/>
      <c r="IUT16" s="292"/>
      <c r="IUU16" s="292"/>
      <c r="IUV16" s="292"/>
      <c r="IUW16" s="292"/>
      <c r="IUX16" s="292"/>
      <c r="IUY16" s="292"/>
      <c r="IUZ16" s="292"/>
      <c r="IVA16" s="292"/>
      <c r="IVB16" s="292"/>
      <c r="IVC16" s="292"/>
      <c r="IVD16" s="292"/>
      <c r="IVE16" s="292"/>
      <c r="IVF16" s="292"/>
      <c r="IVG16" s="292"/>
      <c r="IVH16" s="292"/>
      <c r="IVI16" s="292"/>
      <c r="IVJ16" s="292"/>
      <c r="IVK16" s="292"/>
      <c r="IVL16" s="292"/>
      <c r="IVM16" s="292"/>
      <c r="IVN16" s="292"/>
      <c r="IVO16" s="292"/>
      <c r="IVP16" s="292"/>
      <c r="IVQ16" s="292"/>
      <c r="IVR16" s="292"/>
      <c r="IVS16" s="292"/>
      <c r="IVT16" s="292"/>
      <c r="IVU16" s="292"/>
      <c r="IVV16" s="292"/>
      <c r="IVW16" s="292"/>
      <c r="IVX16" s="292"/>
      <c r="IVY16" s="292"/>
      <c r="IVZ16" s="292"/>
      <c r="IWA16" s="292"/>
      <c r="IWB16" s="292"/>
      <c r="IWC16" s="292"/>
      <c r="IWD16" s="292"/>
      <c r="IWE16" s="292"/>
      <c r="IWF16" s="292"/>
      <c r="IWG16" s="292"/>
      <c r="IWH16" s="292"/>
      <c r="IWI16" s="292"/>
      <c r="IWJ16" s="292"/>
      <c r="IWK16" s="292"/>
      <c r="IWL16" s="292"/>
      <c r="IWM16" s="292"/>
      <c r="IWN16" s="292"/>
      <c r="IWO16" s="292"/>
      <c r="IWP16" s="292"/>
      <c r="IWQ16" s="292"/>
      <c r="IWR16" s="292"/>
      <c r="IWS16" s="292"/>
      <c r="IWT16" s="292"/>
      <c r="IWU16" s="292"/>
      <c r="IWV16" s="292"/>
      <c r="IWW16" s="292"/>
      <c r="IWX16" s="292"/>
      <c r="IWY16" s="292"/>
      <c r="IWZ16" s="292"/>
      <c r="IXA16" s="292"/>
      <c r="IXB16" s="292"/>
      <c r="IXC16" s="292"/>
      <c r="IXD16" s="292"/>
      <c r="IXE16" s="292"/>
      <c r="IXF16" s="292"/>
      <c r="IXG16" s="292"/>
      <c r="IXH16" s="292"/>
      <c r="IXI16" s="292"/>
      <c r="IXJ16" s="292"/>
      <c r="IXK16" s="292"/>
      <c r="IXL16" s="292"/>
      <c r="IXM16" s="292"/>
      <c r="IXN16" s="292"/>
      <c r="IXO16" s="292"/>
      <c r="IXP16" s="292"/>
      <c r="IXQ16" s="292"/>
      <c r="IXR16" s="292"/>
      <c r="IXS16" s="292"/>
      <c r="IXT16" s="292"/>
      <c r="IXU16" s="292"/>
      <c r="IXV16" s="292"/>
      <c r="IXW16" s="292"/>
      <c r="IXX16" s="292"/>
      <c r="IXY16" s="292"/>
      <c r="IXZ16" s="292"/>
      <c r="IYA16" s="292"/>
      <c r="IYB16" s="292"/>
      <c r="IYC16" s="292"/>
      <c r="IYD16" s="292"/>
      <c r="IYE16" s="292"/>
      <c r="IYF16" s="292"/>
      <c r="IYG16" s="292"/>
      <c r="IYH16" s="292"/>
      <c r="IYI16" s="292"/>
      <c r="IYJ16" s="292"/>
      <c r="IYK16" s="292"/>
      <c r="IYL16" s="292"/>
      <c r="IYM16" s="292"/>
      <c r="IYN16" s="292"/>
      <c r="IYO16" s="292"/>
      <c r="IYP16" s="292"/>
      <c r="IYQ16" s="292"/>
      <c r="IYR16" s="292"/>
      <c r="IYS16" s="292"/>
      <c r="IYT16" s="292"/>
      <c r="IYU16" s="292"/>
      <c r="IYV16" s="292"/>
      <c r="IYW16" s="292"/>
      <c r="IYX16" s="292"/>
      <c r="IYY16" s="292"/>
      <c r="IYZ16" s="292"/>
      <c r="IZA16" s="292"/>
      <c r="IZB16" s="292"/>
      <c r="IZC16" s="292"/>
      <c r="IZD16" s="292"/>
      <c r="IZE16" s="292"/>
      <c r="IZF16" s="292"/>
      <c r="IZG16" s="292"/>
      <c r="IZH16" s="292"/>
      <c r="IZI16" s="292"/>
      <c r="IZJ16" s="292"/>
      <c r="IZK16" s="292"/>
      <c r="IZL16" s="292"/>
      <c r="IZM16" s="292"/>
      <c r="IZN16" s="292"/>
      <c r="IZO16" s="292"/>
      <c r="IZP16" s="292"/>
      <c r="IZQ16" s="292"/>
      <c r="IZR16" s="292"/>
      <c r="IZS16" s="292"/>
      <c r="IZT16" s="292"/>
      <c r="IZU16" s="292"/>
      <c r="IZV16" s="292"/>
      <c r="IZW16" s="292"/>
      <c r="IZX16" s="292"/>
      <c r="IZY16" s="292"/>
      <c r="IZZ16" s="292"/>
      <c r="JAA16" s="292"/>
      <c r="JAB16" s="292"/>
      <c r="JAC16" s="292"/>
      <c r="JAD16" s="292"/>
      <c r="JAE16" s="292"/>
      <c r="JAF16" s="292"/>
      <c r="JAG16" s="292"/>
      <c r="JAH16" s="292"/>
      <c r="JAI16" s="292"/>
      <c r="JAJ16" s="292"/>
      <c r="JAK16" s="292"/>
      <c r="JAL16" s="292"/>
      <c r="JAM16" s="292"/>
      <c r="JAN16" s="292"/>
      <c r="JAO16" s="292"/>
      <c r="JAP16" s="292"/>
      <c r="JAQ16" s="292"/>
      <c r="JAR16" s="292"/>
      <c r="JAS16" s="292"/>
      <c r="JAT16" s="292"/>
      <c r="JAU16" s="292"/>
      <c r="JAV16" s="292"/>
      <c r="JAW16" s="292"/>
      <c r="JAX16" s="292"/>
      <c r="JAY16" s="292"/>
      <c r="JAZ16" s="292"/>
      <c r="JBA16" s="292"/>
      <c r="JBB16" s="292"/>
      <c r="JBC16" s="292"/>
      <c r="JBD16" s="292"/>
      <c r="JBE16" s="292"/>
      <c r="JBF16" s="292"/>
      <c r="JBG16" s="292"/>
      <c r="JBH16" s="292"/>
      <c r="JBI16" s="292"/>
      <c r="JBJ16" s="292"/>
      <c r="JBK16" s="292"/>
      <c r="JBL16" s="292"/>
      <c r="JBM16" s="292"/>
      <c r="JBN16" s="292"/>
      <c r="JBO16" s="292"/>
      <c r="JBP16" s="292"/>
      <c r="JBQ16" s="292"/>
      <c r="JBR16" s="292"/>
      <c r="JBS16" s="292"/>
      <c r="JBT16" s="292"/>
      <c r="JBU16" s="292"/>
      <c r="JBV16" s="292"/>
      <c r="JBW16" s="292"/>
      <c r="JBX16" s="292"/>
      <c r="JBY16" s="292"/>
      <c r="JBZ16" s="292"/>
      <c r="JCA16" s="292"/>
      <c r="JCB16" s="292"/>
      <c r="JCC16" s="292"/>
      <c r="JCD16" s="292"/>
      <c r="JCE16" s="292"/>
      <c r="JCF16" s="292"/>
      <c r="JCG16" s="292"/>
      <c r="JCH16" s="292"/>
      <c r="JCI16" s="292"/>
      <c r="JCJ16" s="292"/>
      <c r="JCK16" s="292"/>
      <c r="JCL16" s="292"/>
      <c r="JCM16" s="292"/>
      <c r="JCN16" s="292"/>
      <c r="JCO16" s="292"/>
      <c r="JCP16" s="292"/>
      <c r="JCQ16" s="292"/>
      <c r="JCR16" s="292"/>
      <c r="JCS16" s="292"/>
      <c r="JCT16" s="292"/>
      <c r="JCU16" s="292"/>
      <c r="JCV16" s="292"/>
      <c r="JCW16" s="292"/>
      <c r="JCX16" s="292"/>
      <c r="JCY16" s="292"/>
      <c r="JCZ16" s="292"/>
      <c r="JDA16" s="292"/>
      <c r="JDB16" s="292"/>
      <c r="JDC16" s="292"/>
      <c r="JDD16" s="292"/>
      <c r="JDE16" s="292"/>
      <c r="JDF16" s="292"/>
      <c r="JDG16" s="292"/>
      <c r="JDH16" s="292"/>
      <c r="JDI16" s="292"/>
      <c r="JDJ16" s="292"/>
      <c r="JDK16" s="292"/>
      <c r="JDL16" s="292"/>
      <c r="JDM16" s="292"/>
      <c r="JDN16" s="292"/>
      <c r="JDO16" s="292"/>
      <c r="JDP16" s="292"/>
      <c r="JDQ16" s="292"/>
      <c r="JDR16" s="292"/>
      <c r="JDS16" s="292"/>
      <c r="JDT16" s="292"/>
      <c r="JDU16" s="292"/>
      <c r="JDV16" s="292"/>
      <c r="JDW16" s="292"/>
      <c r="JDX16" s="292"/>
      <c r="JDY16" s="292"/>
      <c r="JDZ16" s="292"/>
      <c r="JEA16" s="292"/>
      <c r="JEB16" s="292"/>
      <c r="JEC16" s="292"/>
      <c r="JED16" s="292"/>
      <c r="JEE16" s="292"/>
      <c r="JEF16" s="292"/>
      <c r="JEG16" s="292"/>
      <c r="JEH16" s="292"/>
      <c r="JEI16" s="292"/>
      <c r="JEJ16" s="292"/>
      <c r="JEK16" s="292"/>
      <c r="JEL16" s="292"/>
      <c r="JEM16" s="292"/>
      <c r="JEN16" s="292"/>
      <c r="JEO16" s="292"/>
      <c r="JEP16" s="292"/>
      <c r="JEQ16" s="292"/>
      <c r="JER16" s="292"/>
      <c r="JES16" s="292"/>
      <c r="JET16" s="292"/>
      <c r="JEU16" s="292"/>
      <c r="JEV16" s="292"/>
      <c r="JEW16" s="292"/>
      <c r="JEX16" s="292"/>
      <c r="JEY16" s="292"/>
      <c r="JEZ16" s="292"/>
      <c r="JFA16" s="292"/>
      <c r="JFB16" s="292"/>
      <c r="JFC16" s="292"/>
      <c r="JFD16" s="292"/>
      <c r="JFE16" s="292"/>
      <c r="JFF16" s="292"/>
      <c r="JFG16" s="292"/>
      <c r="JFH16" s="292"/>
      <c r="JFI16" s="292"/>
      <c r="JFJ16" s="292"/>
      <c r="JFK16" s="292"/>
      <c r="JFL16" s="292"/>
      <c r="JFM16" s="292"/>
      <c r="JFN16" s="292"/>
      <c r="JFO16" s="292"/>
      <c r="JFP16" s="292"/>
      <c r="JFQ16" s="292"/>
      <c r="JFR16" s="292"/>
      <c r="JFS16" s="292"/>
      <c r="JFT16" s="292"/>
      <c r="JFU16" s="292"/>
      <c r="JFV16" s="292"/>
      <c r="JFW16" s="292"/>
      <c r="JFX16" s="292"/>
      <c r="JFY16" s="292"/>
      <c r="JFZ16" s="292"/>
      <c r="JGA16" s="292"/>
      <c r="JGB16" s="292"/>
      <c r="JGC16" s="292"/>
      <c r="JGD16" s="292"/>
      <c r="JGE16" s="292"/>
      <c r="JGF16" s="292"/>
      <c r="JGG16" s="292"/>
      <c r="JGH16" s="292"/>
      <c r="JGI16" s="292"/>
      <c r="JGJ16" s="292"/>
      <c r="JGK16" s="292"/>
      <c r="JGL16" s="292"/>
      <c r="JGM16" s="292"/>
      <c r="JGN16" s="292"/>
      <c r="JGO16" s="292"/>
      <c r="JGP16" s="292"/>
      <c r="JGQ16" s="292"/>
      <c r="JGR16" s="292"/>
      <c r="JGS16" s="292"/>
      <c r="JGT16" s="292"/>
      <c r="JGU16" s="292"/>
      <c r="JGV16" s="292"/>
      <c r="JGW16" s="292"/>
      <c r="JGX16" s="292"/>
      <c r="JGY16" s="292"/>
      <c r="JGZ16" s="292"/>
      <c r="JHA16" s="292"/>
      <c r="JHB16" s="292"/>
      <c r="JHC16" s="292"/>
      <c r="JHD16" s="292"/>
      <c r="JHE16" s="292"/>
      <c r="JHF16" s="292"/>
      <c r="JHG16" s="292"/>
      <c r="JHH16" s="292"/>
      <c r="JHI16" s="292"/>
      <c r="JHJ16" s="292"/>
      <c r="JHK16" s="292"/>
      <c r="JHL16" s="292"/>
      <c r="JHM16" s="292"/>
      <c r="JHN16" s="292"/>
      <c r="JHO16" s="292"/>
      <c r="JHP16" s="292"/>
      <c r="JHQ16" s="292"/>
      <c r="JHR16" s="292"/>
      <c r="JHS16" s="292"/>
      <c r="JHT16" s="292"/>
      <c r="JHU16" s="292"/>
      <c r="JHV16" s="292"/>
      <c r="JHW16" s="292"/>
      <c r="JHX16" s="292"/>
      <c r="JHY16" s="292"/>
      <c r="JHZ16" s="292"/>
      <c r="JIA16" s="292"/>
      <c r="JIB16" s="292"/>
      <c r="JIC16" s="292"/>
      <c r="JID16" s="292"/>
      <c r="JIE16" s="292"/>
      <c r="JIF16" s="292"/>
      <c r="JIG16" s="292"/>
      <c r="JIH16" s="292"/>
      <c r="JII16" s="292"/>
      <c r="JIJ16" s="292"/>
      <c r="JIK16" s="292"/>
      <c r="JIL16" s="292"/>
      <c r="JIM16" s="292"/>
      <c r="JIN16" s="292"/>
      <c r="JIO16" s="292"/>
      <c r="JIP16" s="292"/>
      <c r="JIQ16" s="292"/>
      <c r="JIR16" s="292"/>
      <c r="JIS16" s="292"/>
      <c r="JIT16" s="292"/>
      <c r="JIU16" s="292"/>
      <c r="JIV16" s="292"/>
      <c r="JIW16" s="292"/>
      <c r="JIX16" s="292"/>
      <c r="JIY16" s="292"/>
      <c r="JIZ16" s="292"/>
      <c r="JJA16" s="292"/>
      <c r="JJB16" s="292"/>
      <c r="JJC16" s="292"/>
      <c r="JJD16" s="292"/>
      <c r="JJE16" s="292"/>
      <c r="JJF16" s="292"/>
      <c r="JJG16" s="292"/>
      <c r="JJH16" s="292"/>
      <c r="JJI16" s="292"/>
      <c r="JJJ16" s="292"/>
      <c r="JJK16" s="292"/>
      <c r="JJL16" s="292"/>
      <c r="JJM16" s="292"/>
      <c r="JJN16" s="292"/>
      <c r="JJO16" s="292"/>
      <c r="JJP16" s="292"/>
      <c r="JJQ16" s="292"/>
      <c r="JJR16" s="292"/>
      <c r="JJS16" s="292"/>
      <c r="JJT16" s="292"/>
      <c r="JJU16" s="292"/>
      <c r="JJV16" s="292"/>
      <c r="JJW16" s="292"/>
      <c r="JJX16" s="292"/>
      <c r="JJY16" s="292"/>
      <c r="JJZ16" s="292"/>
      <c r="JKA16" s="292"/>
      <c r="JKB16" s="292"/>
      <c r="JKC16" s="292"/>
      <c r="JKD16" s="292"/>
      <c r="JKE16" s="292"/>
      <c r="JKF16" s="292"/>
      <c r="JKG16" s="292"/>
      <c r="JKH16" s="292"/>
      <c r="JKI16" s="292"/>
      <c r="JKJ16" s="292"/>
      <c r="JKK16" s="292"/>
      <c r="JKL16" s="292"/>
      <c r="JKM16" s="292"/>
      <c r="JKN16" s="292"/>
      <c r="JKO16" s="292"/>
      <c r="JKP16" s="292"/>
      <c r="JKQ16" s="292"/>
      <c r="JKR16" s="292"/>
      <c r="JKS16" s="292"/>
      <c r="JKT16" s="292"/>
      <c r="JKU16" s="292"/>
      <c r="JKV16" s="292"/>
      <c r="JKW16" s="292"/>
      <c r="JKX16" s="292"/>
      <c r="JKY16" s="292"/>
      <c r="JKZ16" s="292"/>
      <c r="JLA16" s="292"/>
      <c r="JLB16" s="292"/>
      <c r="JLC16" s="292"/>
      <c r="JLD16" s="292"/>
      <c r="JLE16" s="292"/>
      <c r="JLF16" s="292"/>
      <c r="JLG16" s="292"/>
      <c r="JLH16" s="292"/>
      <c r="JLI16" s="292"/>
      <c r="JLJ16" s="292"/>
      <c r="JLK16" s="292"/>
      <c r="JLL16" s="292"/>
      <c r="JLM16" s="292"/>
      <c r="JLN16" s="292"/>
      <c r="JLO16" s="292"/>
      <c r="JLP16" s="292"/>
      <c r="JLQ16" s="292"/>
      <c r="JLR16" s="292"/>
      <c r="JLS16" s="292"/>
      <c r="JLT16" s="292"/>
      <c r="JLU16" s="292"/>
      <c r="JLV16" s="292"/>
      <c r="JLW16" s="292"/>
      <c r="JLX16" s="292"/>
      <c r="JLY16" s="292"/>
      <c r="JLZ16" s="292"/>
      <c r="JMA16" s="292"/>
      <c r="JMB16" s="292"/>
      <c r="JMC16" s="292"/>
      <c r="JMD16" s="292"/>
      <c r="JME16" s="292"/>
      <c r="JMF16" s="292"/>
      <c r="JMG16" s="292"/>
      <c r="JMH16" s="292"/>
      <c r="JMI16" s="292"/>
      <c r="JMJ16" s="292"/>
      <c r="JMK16" s="292"/>
      <c r="JML16" s="292"/>
      <c r="JMM16" s="292"/>
      <c r="JMN16" s="292"/>
      <c r="JMO16" s="292"/>
      <c r="JMP16" s="292"/>
      <c r="JMQ16" s="292"/>
      <c r="JMR16" s="292"/>
      <c r="JMS16" s="292"/>
      <c r="JMT16" s="292"/>
      <c r="JMU16" s="292"/>
      <c r="JMV16" s="292"/>
      <c r="JMW16" s="292"/>
      <c r="JMX16" s="292"/>
      <c r="JMY16" s="292"/>
      <c r="JMZ16" s="292"/>
      <c r="JNA16" s="292"/>
      <c r="JNB16" s="292"/>
      <c r="JNC16" s="292"/>
      <c r="JND16" s="292"/>
      <c r="JNE16" s="292"/>
      <c r="JNF16" s="292"/>
      <c r="JNG16" s="292"/>
      <c r="JNH16" s="292"/>
      <c r="JNI16" s="292"/>
      <c r="JNJ16" s="292"/>
      <c r="JNK16" s="292"/>
      <c r="JNL16" s="292"/>
      <c r="JNM16" s="292"/>
      <c r="JNN16" s="292"/>
      <c r="JNO16" s="292"/>
      <c r="JNP16" s="292"/>
      <c r="JNQ16" s="292"/>
      <c r="JNR16" s="292"/>
      <c r="JNS16" s="292"/>
      <c r="JNT16" s="292"/>
      <c r="JNU16" s="292"/>
      <c r="JNV16" s="292"/>
      <c r="JNW16" s="292"/>
      <c r="JNX16" s="292"/>
      <c r="JNY16" s="292"/>
      <c r="JNZ16" s="292"/>
      <c r="JOA16" s="292"/>
      <c r="JOB16" s="292"/>
      <c r="JOC16" s="292"/>
      <c r="JOD16" s="292"/>
      <c r="JOE16" s="292"/>
      <c r="JOF16" s="292"/>
      <c r="JOG16" s="292"/>
      <c r="JOH16" s="292"/>
      <c r="JOI16" s="292"/>
      <c r="JOJ16" s="292"/>
      <c r="JOK16" s="292"/>
      <c r="JOL16" s="292"/>
      <c r="JOM16" s="292"/>
      <c r="JON16" s="292"/>
      <c r="JOO16" s="292"/>
      <c r="JOP16" s="292"/>
      <c r="JOQ16" s="292"/>
      <c r="JOR16" s="292"/>
      <c r="JOS16" s="292"/>
      <c r="JOT16" s="292"/>
      <c r="JOU16" s="292"/>
      <c r="JOV16" s="292"/>
      <c r="JOW16" s="292"/>
      <c r="JOX16" s="292"/>
      <c r="JOY16" s="292"/>
      <c r="JOZ16" s="292"/>
      <c r="JPA16" s="292"/>
      <c r="JPB16" s="292"/>
      <c r="JPC16" s="292"/>
      <c r="JPD16" s="292"/>
      <c r="JPE16" s="292"/>
      <c r="JPF16" s="292"/>
      <c r="JPG16" s="292"/>
      <c r="JPH16" s="292"/>
      <c r="JPI16" s="292"/>
      <c r="JPJ16" s="292"/>
      <c r="JPK16" s="292"/>
      <c r="JPL16" s="292"/>
      <c r="JPM16" s="292"/>
      <c r="JPN16" s="292"/>
      <c r="JPO16" s="292"/>
      <c r="JPP16" s="292"/>
      <c r="JPQ16" s="292"/>
      <c r="JPR16" s="292"/>
      <c r="JPS16" s="292"/>
      <c r="JPT16" s="292"/>
      <c r="JPU16" s="292"/>
      <c r="JPV16" s="292"/>
      <c r="JPW16" s="292"/>
      <c r="JPX16" s="292"/>
      <c r="JPY16" s="292"/>
      <c r="JPZ16" s="292"/>
      <c r="JQA16" s="292"/>
      <c r="JQB16" s="292"/>
      <c r="JQC16" s="292"/>
      <c r="JQD16" s="292"/>
      <c r="JQE16" s="292"/>
      <c r="JQF16" s="292"/>
      <c r="JQG16" s="292"/>
      <c r="JQH16" s="292"/>
      <c r="JQI16" s="292"/>
      <c r="JQJ16" s="292"/>
      <c r="JQK16" s="292"/>
      <c r="JQL16" s="292"/>
      <c r="JQM16" s="292"/>
      <c r="JQN16" s="292"/>
      <c r="JQO16" s="292"/>
      <c r="JQP16" s="292"/>
      <c r="JQQ16" s="292"/>
      <c r="JQR16" s="292"/>
      <c r="JQS16" s="292"/>
      <c r="JQT16" s="292"/>
      <c r="JQU16" s="292"/>
      <c r="JQV16" s="292"/>
      <c r="JQW16" s="292"/>
      <c r="JQX16" s="292"/>
      <c r="JQY16" s="292"/>
      <c r="JQZ16" s="292"/>
      <c r="JRA16" s="292"/>
      <c r="JRB16" s="292"/>
      <c r="JRC16" s="292"/>
      <c r="JRD16" s="292"/>
      <c r="JRE16" s="292"/>
      <c r="JRF16" s="292"/>
      <c r="JRG16" s="292"/>
      <c r="JRH16" s="292"/>
      <c r="JRI16" s="292"/>
      <c r="JRJ16" s="292"/>
      <c r="JRK16" s="292"/>
      <c r="JRL16" s="292"/>
      <c r="JRM16" s="292"/>
      <c r="JRN16" s="292"/>
      <c r="JRO16" s="292"/>
      <c r="JRP16" s="292"/>
      <c r="JRQ16" s="292"/>
      <c r="JRR16" s="292"/>
      <c r="JRS16" s="292"/>
      <c r="JRT16" s="292"/>
      <c r="JRU16" s="292"/>
      <c r="JRV16" s="292"/>
      <c r="JRW16" s="292"/>
      <c r="JRX16" s="292"/>
      <c r="JRY16" s="292"/>
      <c r="JRZ16" s="292"/>
      <c r="JSA16" s="292"/>
      <c r="JSB16" s="292"/>
      <c r="JSC16" s="292"/>
      <c r="JSD16" s="292"/>
      <c r="JSE16" s="292"/>
      <c r="JSF16" s="292"/>
      <c r="JSG16" s="292"/>
      <c r="JSH16" s="292"/>
      <c r="JSI16" s="292"/>
      <c r="JSJ16" s="292"/>
      <c r="JSK16" s="292"/>
      <c r="JSL16" s="292"/>
      <c r="JSM16" s="292"/>
      <c r="JSN16" s="292"/>
      <c r="JSO16" s="292"/>
      <c r="JSP16" s="292"/>
      <c r="JSQ16" s="292"/>
      <c r="JSR16" s="292"/>
      <c r="JSS16" s="292"/>
      <c r="JST16" s="292"/>
      <c r="JSU16" s="292"/>
      <c r="JSV16" s="292"/>
      <c r="JSW16" s="292"/>
      <c r="JSX16" s="292"/>
      <c r="JSY16" s="292"/>
      <c r="JSZ16" s="292"/>
      <c r="JTA16" s="292"/>
      <c r="JTB16" s="292"/>
      <c r="JTC16" s="292"/>
      <c r="JTD16" s="292"/>
      <c r="JTE16" s="292"/>
      <c r="JTF16" s="292"/>
      <c r="JTG16" s="292"/>
      <c r="JTH16" s="292"/>
      <c r="JTI16" s="292"/>
      <c r="JTJ16" s="292"/>
      <c r="JTK16" s="292"/>
      <c r="JTL16" s="292"/>
      <c r="JTM16" s="292"/>
      <c r="JTN16" s="292"/>
      <c r="JTO16" s="292"/>
      <c r="JTP16" s="292"/>
      <c r="JTQ16" s="292"/>
      <c r="JTR16" s="292"/>
      <c r="JTS16" s="292"/>
      <c r="JTT16" s="292"/>
      <c r="JTU16" s="292"/>
      <c r="JTV16" s="292"/>
      <c r="JTW16" s="292"/>
      <c r="JTX16" s="292"/>
      <c r="JTY16" s="292"/>
      <c r="JTZ16" s="292"/>
      <c r="JUA16" s="292"/>
      <c r="JUB16" s="292"/>
      <c r="JUC16" s="292"/>
      <c r="JUD16" s="292"/>
      <c r="JUE16" s="292"/>
      <c r="JUF16" s="292"/>
      <c r="JUG16" s="292"/>
      <c r="JUH16" s="292"/>
      <c r="JUI16" s="292"/>
      <c r="JUJ16" s="292"/>
      <c r="JUK16" s="292"/>
      <c r="JUL16" s="292"/>
      <c r="JUM16" s="292"/>
      <c r="JUN16" s="292"/>
      <c r="JUO16" s="292"/>
      <c r="JUP16" s="292"/>
      <c r="JUQ16" s="292"/>
      <c r="JUR16" s="292"/>
      <c r="JUS16" s="292"/>
      <c r="JUT16" s="292"/>
      <c r="JUU16" s="292"/>
      <c r="JUV16" s="292"/>
      <c r="JUW16" s="292"/>
      <c r="JUX16" s="292"/>
      <c r="JUY16" s="292"/>
      <c r="JUZ16" s="292"/>
      <c r="JVA16" s="292"/>
      <c r="JVB16" s="292"/>
      <c r="JVC16" s="292"/>
      <c r="JVD16" s="292"/>
      <c r="JVE16" s="292"/>
      <c r="JVF16" s="292"/>
      <c r="JVG16" s="292"/>
      <c r="JVH16" s="292"/>
      <c r="JVI16" s="292"/>
      <c r="JVJ16" s="292"/>
      <c r="JVK16" s="292"/>
      <c r="JVL16" s="292"/>
      <c r="JVM16" s="292"/>
      <c r="JVN16" s="292"/>
      <c r="JVO16" s="292"/>
      <c r="JVP16" s="292"/>
      <c r="JVQ16" s="292"/>
      <c r="JVR16" s="292"/>
      <c r="JVS16" s="292"/>
      <c r="JVT16" s="292"/>
      <c r="JVU16" s="292"/>
      <c r="JVV16" s="292"/>
      <c r="JVW16" s="292"/>
      <c r="JVX16" s="292"/>
      <c r="JVY16" s="292"/>
      <c r="JVZ16" s="292"/>
      <c r="JWA16" s="292"/>
      <c r="JWB16" s="292"/>
      <c r="JWC16" s="292"/>
      <c r="JWD16" s="292"/>
      <c r="JWE16" s="292"/>
      <c r="JWF16" s="292"/>
      <c r="JWG16" s="292"/>
      <c r="JWH16" s="292"/>
      <c r="JWI16" s="292"/>
      <c r="JWJ16" s="292"/>
      <c r="JWK16" s="292"/>
      <c r="JWL16" s="292"/>
      <c r="JWM16" s="292"/>
      <c r="JWN16" s="292"/>
      <c r="JWO16" s="292"/>
      <c r="JWP16" s="292"/>
      <c r="JWQ16" s="292"/>
      <c r="JWR16" s="292"/>
      <c r="JWS16" s="292"/>
      <c r="JWT16" s="292"/>
      <c r="JWU16" s="292"/>
      <c r="JWV16" s="292"/>
      <c r="JWW16" s="292"/>
      <c r="JWX16" s="292"/>
      <c r="JWY16" s="292"/>
      <c r="JWZ16" s="292"/>
      <c r="JXA16" s="292"/>
      <c r="JXB16" s="292"/>
      <c r="JXC16" s="292"/>
      <c r="JXD16" s="292"/>
      <c r="JXE16" s="292"/>
      <c r="JXF16" s="292"/>
      <c r="JXG16" s="292"/>
      <c r="JXH16" s="292"/>
      <c r="JXI16" s="292"/>
      <c r="JXJ16" s="292"/>
      <c r="JXK16" s="292"/>
      <c r="JXL16" s="292"/>
      <c r="JXM16" s="292"/>
      <c r="JXN16" s="292"/>
      <c r="JXO16" s="292"/>
      <c r="JXP16" s="292"/>
      <c r="JXQ16" s="292"/>
      <c r="JXR16" s="292"/>
      <c r="JXS16" s="292"/>
      <c r="JXT16" s="292"/>
      <c r="JXU16" s="292"/>
      <c r="JXV16" s="292"/>
      <c r="JXW16" s="292"/>
      <c r="JXX16" s="292"/>
      <c r="JXY16" s="292"/>
      <c r="JXZ16" s="292"/>
      <c r="JYA16" s="292"/>
      <c r="JYB16" s="292"/>
      <c r="JYC16" s="292"/>
      <c r="JYD16" s="292"/>
      <c r="JYE16" s="292"/>
      <c r="JYF16" s="292"/>
      <c r="JYG16" s="292"/>
      <c r="JYH16" s="292"/>
      <c r="JYI16" s="292"/>
      <c r="JYJ16" s="292"/>
      <c r="JYK16" s="292"/>
      <c r="JYL16" s="292"/>
      <c r="JYM16" s="292"/>
      <c r="JYN16" s="292"/>
      <c r="JYO16" s="292"/>
      <c r="JYP16" s="292"/>
      <c r="JYQ16" s="292"/>
      <c r="JYR16" s="292"/>
      <c r="JYS16" s="292"/>
      <c r="JYT16" s="292"/>
      <c r="JYU16" s="292"/>
      <c r="JYV16" s="292"/>
      <c r="JYW16" s="292"/>
      <c r="JYX16" s="292"/>
      <c r="JYY16" s="292"/>
      <c r="JYZ16" s="292"/>
      <c r="JZA16" s="292"/>
      <c r="JZB16" s="292"/>
      <c r="JZC16" s="292"/>
      <c r="JZD16" s="292"/>
      <c r="JZE16" s="292"/>
      <c r="JZF16" s="292"/>
      <c r="JZG16" s="292"/>
      <c r="JZH16" s="292"/>
      <c r="JZI16" s="292"/>
      <c r="JZJ16" s="292"/>
      <c r="JZK16" s="292"/>
      <c r="JZL16" s="292"/>
      <c r="JZM16" s="292"/>
      <c r="JZN16" s="292"/>
      <c r="JZO16" s="292"/>
      <c r="JZP16" s="292"/>
      <c r="JZQ16" s="292"/>
      <c r="JZR16" s="292"/>
      <c r="JZS16" s="292"/>
      <c r="JZT16" s="292"/>
      <c r="JZU16" s="292"/>
      <c r="JZV16" s="292"/>
      <c r="JZW16" s="292"/>
      <c r="JZX16" s="292"/>
      <c r="JZY16" s="292"/>
      <c r="JZZ16" s="292"/>
      <c r="KAA16" s="292"/>
      <c r="KAB16" s="292"/>
      <c r="KAC16" s="292"/>
      <c r="KAD16" s="292"/>
      <c r="KAE16" s="292"/>
      <c r="KAF16" s="292"/>
      <c r="KAG16" s="292"/>
      <c r="KAH16" s="292"/>
      <c r="KAI16" s="292"/>
      <c r="KAJ16" s="292"/>
      <c r="KAK16" s="292"/>
      <c r="KAL16" s="292"/>
      <c r="KAM16" s="292"/>
      <c r="KAN16" s="292"/>
      <c r="KAO16" s="292"/>
      <c r="KAP16" s="292"/>
      <c r="KAQ16" s="292"/>
      <c r="KAR16" s="292"/>
      <c r="KAS16" s="292"/>
      <c r="KAT16" s="292"/>
      <c r="KAU16" s="292"/>
      <c r="KAV16" s="292"/>
      <c r="KAW16" s="292"/>
      <c r="KAX16" s="292"/>
      <c r="KAY16" s="292"/>
      <c r="KAZ16" s="292"/>
      <c r="KBA16" s="292"/>
      <c r="KBB16" s="292"/>
      <c r="KBC16" s="292"/>
      <c r="KBD16" s="292"/>
      <c r="KBE16" s="292"/>
      <c r="KBF16" s="292"/>
      <c r="KBG16" s="292"/>
      <c r="KBH16" s="292"/>
      <c r="KBI16" s="292"/>
      <c r="KBJ16" s="292"/>
      <c r="KBK16" s="292"/>
      <c r="KBL16" s="292"/>
      <c r="KBM16" s="292"/>
      <c r="KBN16" s="292"/>
      <c r="KBO16" s="292"/>
      <c r="KBP16" s="292"/>
      <c r="KBQ16" s="292"/>
      <c r="KBR16" s="292"/>
      <c r="KBS16" s="292"/>
      <c r="KBT16" s="292"/>
      <c r="KBU16" s="292"/>
      <c r="KBV16" s="292"/>
      <c r="KBW16" s="292"/>
      <c r="KBX16" s="292"/>
      <c r="KBY16" s="292"/>
      <c r="KBZ16" s="292"/>
      <c r="KCA16" s="292"/>
      <c r="KCB16" s="292"/>
      <c r="KCC16" s="292"/>
      <c r="KCD16" s="292"/>
      <c r="KCE16" s="292"/>
      <c r="KCF16" s="292"/>
      <c r="KCG16" s="292"/>
      <c r="KCH16" s="292"/>
      <c r="KCI16" s="292"/>
      <c r="KCJ16" s="292"/>
      <c r="KCK16" s="292"/>
      <c r="KCL16" s="292"/>
      <c r="KCM16" s="292"/>
      <c r="KCN16" s="292"/>
      <c r="KCO16" s="292"/>
      <c r="KCP16" s="292"/>
      <c r="KCQ16" s="292"/>
      <c r="KCR16" s="292"/>
      <c r="KCS16" s="292"/>
      <c r="KCT16" s="292"/>
      <c r="KCU16" s="292"/>
      <c r="KCV16" s="292"/>
      <c r="KCW16" s="292"/>
      <c r="KCX16" s="292"/>
      <c r="KCY16" s="292"/>
      <c r="KCZ16" s="292"/>
      <c r="KDA16" s="292"/>
      <c r="KDB16" s="292"/>
      <c r="KDC16" s="292"/>
      <c r="KDD16" s="292"/>
      <c r="KDE16" s="292"/>
      <c r="KDF16" s="292"/>
      <c r="KDG16" s="292"/>
      <c r="KDH16" s="292"/>
      <c r="KDI16" s="292"/>
      <c r="KDJ16" s="292"/>
      <c r="KDK16" s="292"/>
      <c r="KDL16" s="292"/>
      <c r="KDM16" s="292"/>
      <c r="KDN16" s="292"/>
      <c r="KDO16" s="292"/>
      <c r="KDP16" s="292"/>
      <c r="KDQ16" s="292"/>
      <c r="KDR16" s="292"/>
      <c r="KDS16" s="292"/>
      <c r="KDT16" s="292"/>
      <c r="KDU16" s="292"/>
      <c r="KDV16" s="292"/>
      <c r="KDW16" s="292"/>
      <c r="KDX16" s="292"/>
      <c r="KDY16" s="292"/>
      <c r="KDZ16" s="292"/>
      <c r="KEA16" s="292"/>
      <c r="KEB16" s="292"/>
      <c r="KEC16" s="292"/>
      <c r="KED16" s="292"/>
      <c r="KEE16" s="292"/>
      <c r="KEF16" s="292"/>
      <c r="KEG16" s="292"/>
      <c r="KEH16" s="292"/>
      <c r="KEI16" s="292"/>
      <c r="KEJ16" s="292"/>
      <c r="KEK16" s="292"/>
      <c r="KEL16" s="292"/>
      <c r="KEM16" s="292"/>
      <c r="KEN16" s="292"/>
      <c r="KEO16" s="292"/>
      <c r="KEP16" s="292"/>
      <c r="KEQ16" s="292"/>
      <c r="KER16" s="292"/>
      <c r="KES16" s="292"/>
      <c r="KET16" s="292"/>
      <c r="KEU16" s="292"/>
      <c r="KEV16" s="292"/>
      <c r="KEW16" s="292"/>
      <c r="KEX16" s="292"/>
      <c r="KEY16" s="292"/>
      <c r="KEZ16" s="292"/>
      <c r="KFA16" s="292"/>
      <c r="KFB16" s="292"/>
      <c r="KFC16" s="292"/>
      <c r="KFD16" s="292"/>
      <c r="KFE16" s="292"/>
      <c r="KFF16" s="292"/>
      <c r="KFG16" s="292"/>
      <c r="KFH16" s="292"/>
      <c r="KFI16" s="292"/>
      <c r="KFJ16" s="292"/>
      <c r="KFK16" s="292"/>
      <c r="KFL16" s="292"/>
      <c r="KFM16" s="292"/>
      <c r="KFN16" s="292"/>
      <c r="KFO16" s="292"/>
      <c r="KFP16" s="292"/>
      <c r="KFQ16" s="292"/>
      <c r="KFR16" s="292"/>
      <c r="KFS16" s="292"/>
      <c r="KFT16" s="292"/>
      <c r="KFU16" s="292"/>
      <c r="KFV16" s="292"/>
      <c r="KFW16" s="292"/>
      <c r="KFX16" s="292"/>
      <c r="KFY16" s="292"/>
      <c r="KFZ16" s="292"/>
      <c r="KGA16" s="292"/>
      <c r="KGB16" s="292"/>
      <c r="KGC16" s="292"/>
      <c r="KGD16" s="292"/>
      <c r="KGE16" s="292"/>
      <c r="KGF16" s="292"/>
      <c r="KGG16" s="292"/>
      <c r="KGH16" s="292"/>
      <c r="KGI16" s="292"/>
      <c r="KGJ16" s="292"/>
      <c r="KGK16" s="292"/>
      <c r="KGL16" s="292"/>
      <c r="KGM16" s="292"/>
      <c r="KGN16" s="292"/>
      <c r="KGO16" s="292"/>
      <c r="KGP16" s="292"/>
      <c r="KGQ16" s="292"/>
      <c r="KGR16" s="292"/>
      <c r="KGS16" s="292"/>
      <c r="KGT16" s="292"/>
      <c r="KGU16" s="292"/>
      <c r="KGV16" s="292"/>
      <c r="KGW16" s="292"/>
      <c r="KGX16" s="292"/>
      <c r="KGY16" s="292"/>
      <c r="KGZ16" s="292"/>
      <c r="KHA16" s="292"/>
      <c r="KHB16" s="292"/>
      <c r="KHC16" s="292"/>
      <c r="KHD16" s="292"/>
      <c r="KHE16" s="292"/>
      <c r="KHF16" s="292"/>
      <c r="KHG16" s="292"/>
      <c r="KHH16" s="292"/>
      <c r="KHI16" s="292"/>
      <c r="KHJ16" s="292"/>
      <c r="KHK16" s="292"/>
      <c r="KHL16" s="292"/>
      <c r="KHM16" s="292"/>
      <c r="KHN16" s="292"/>
      <c r="KHO16" s="292"/>
      <c r="KHP16" s="292"/>
      <c r="KHQ16" s="292"/>
      <c r="KHR16" s="292"/>
      <c r="KHS16" s="292"/>
      <c r="KHT16" s="292"/>
      <c r="KHU16" s="292"/>
      <c r="KHV16" s="292"/>
      <c r="KHW16" s="292"/>
      <c r="KHX16" s="292"/>
      <c r="KHY16" s="292"/>
      <c r="KHZ16" s="292"/>
      <c r="KIA16" s="292"/>
      <c r="KIB16" s="292"/>
      <c r="KIC16" s="292"/>
      <c r="KID16" s="292"/>
      <c r="KIE16" s="292"/>
      <c r="KIF16" s="292"/>
      <c r="KIG16" s="292"/>
      <c r="KIH16" s="292"/>
      <c r="KII16" s="292"/>
      <c r="KIJ16" s="292"/>
      <c r="KIK16" s="292"/>
      <c r="KIL16" s="292"/>
      <c r="KIM16" s="292"/>
      <c r="KIN16" s="292"/>
      <c r="KIO16" s="292"/>
      <c r="KIP16" s="292"/>
      <c r="KIQ16" s="292"/>
      <c r="KIR16" s="292"/>
      <c r="KIS16" s="292"/>
      <c r="KIT16" s="292"/>
      <c r="KIU16" s="292"/>
      <c r="KIV16" s="292"/>
      <c r="KIW16" s="292"/>
      <c r="KIX16" s="292"/>
      <c r="KIY16" s="292"/>
      <c r="KIZ16" s="292"/>
      <c r="KJA16" s="292"/>
      <c r="KJB16" s="292"/>
      <c r="KJC16" s="292"/>
      <c r="KJD16" s="292"/>
      <c r="KJE16" s="292"/>
      <c r="KJF16" s="292"/>
      <c r="KJG16" s="292"/>
      <c r="KJH16" s="292"/>
      <c r="KJI16" s="292"/>
      <c r="KJJ16" s="292"/>
      <c r="KJK16" s="292"/>
      <c r="KJL16" s="292"/>
      <c r="KJM16" s="292"/>
      <c r="KJN16" s="292"/>
      <c r="KJO16" s="292"/>
      <c r="KJP16" s="292"/>
      <c r="KJQ16" s="292"/>
      <c r="KJR16" s="292"/>
      <c r="KJS16" s="292"/>
      <c r="KJT16" s="292"/>
      <c r="KJU16" s="292"/>
      <c r="KJV16" s="292"/>
      <c r="KJW16" s="292"/>
      <c r="KJX16" s="292"/>
      <c r="KJY16" s="292"/>
      <c r="KJZ16" s="292"/>
      <c r="KKA16" s="292"/>
      <c r="KKB16" s="292"/>
      <c r="KKC16" s="292"/>
      <c r="KKD16" s="292"/>
      <c r="KKE16" s="292"/>
      <c r="KKF16" s="292"/>
      <c r="KKG16" s="292"/>
      <c r="KKH16" s="292"/>
      <c r="KKI16" s="292"/>
      <c r="KKJ16" s="292"/>
      <c r="KKK16" s="292"/>
      <c r="KKL16" s="292"/>
      <c r="KKM16" s="292"/>
      <c r="KKN16" s="292"/>
      <c r="KKO16" s="292"/>
      <c r="KKP16" s="292"/>
      <c r="KKQ16" s="292"/>
      <c r="KKR16" s="292"/>
      <c r="KKS16" s="292"/>
      <c r="KKT16" s="292"/>
      <c r="KKU16" s="292"/>
      <c r="KKV16" s="292"/>
      <c r="KKW16" s="292"/>
      <c r="KKX16" s="292"/>
      <c r="KKY16" s="292"/>
      <c r="KKZ16" s="292"/>
      <c r="KLA16" s="292"/>
      <c r="KLB16" s="292"/>
      <c r="KLC16" s="292"/>
      <c r="KLD16" s="292"/>
      <c r="KLE16" s="292"/>
      <c r="KLF16" s="292"/>
      <c r="KLG16" s="292"/>
      <c r="KLH16" s="292"/>
      <c r="KLI16" s="292"/>
      <c r="KLJ16" s="292"/>
      <c r="KLK16" s="292"/>
      <c r="KLL16" s="292"/>
      <c r="KLM16" s="292"/>
      <c r="KLN16" s="292"/>
      <c r="KLO16" s="292"/>
      <c r="KLP16" s="292"/>
      <c r="KLQ16" s="292"/>
      <c r="KLR16" s="292"/>
      <c r="KLS16" s="292"/>
      <c r="KLT16" s="292"/>
      <c r="KLU16" s="292"/>
      <c r="KLV16" s="292"/>
      <c r="KLW16" s="292"/>
      <c r="KLX16" s="292"/>
      <c r="KLY16" s="292"/>
      <c r="KLZ16" s="292"/>
      <c r="KMA16" s="292"/>
      <c r="KMB16" s="292"/>
      <c r="KMC16" s="292"/>
      <c r="KMD16" s="292"/>
      <c r="KME16" s="292"/>
      <c r="KMF16" s="292"/>
      <c r="KMG16" s="292"/>
      <c r="KMH16" s="292"/>
      <c r="KMI16" s="292"/>
      <c r="KMJ16" s="292"/>
      <c r="KMK16" s="292"/>
      <c r="KML16" s="292"/>
      <c r="KMM16" s="292"/>
      <c r="KMN16" s="292"/>
      <c r="KMO16" s="292"/>
      <c r="KMP16" s="292"/>
      <c r="KMQ16" s="292"/>
      <c r="KMR16" s="292"/>
      <c r="KMS16" s="292"/>
      <c r="KMT16" s="292"/>
      <c r="KMU16" s="292"/>
      <c r="KMV16" s="292"/>
      <c r="KMW16" s="292"/>
      <c r="KMX16" s="292"/>
      <c r="KMY16" s="292"/>
      <c r="KMZ16" s="292"/>
      <c r="KNA16" s="292"/>
      <c r="KNB16" s="292"/>
      <c r="KNC16" s="292"/>
      <c r="KND16" s="292"/>
      <c r="KNE16" s="292"/>
      <c r="KNF16" s="292"/>
      <c r="KNG16" s="292"/>
      <c r="KNH16" s="292"/>
      <c r="KNI16" s="292"/>
      <c r="KNJ16" s="292"/>
      <c r="KNK16" s="292"/>
      <c r="KNL16" s="292"/>
      <c r="KNM16" s="292"/>
      <c r="KNN16" s="292"/>
      <c r="KNO16" s="292"/>
      <c r="KNP16" s="292"/>
      <c r="KNQ16" s="292"/>
      <c r="KNR16" s="292"/>
      <c r="KNS16" s="292"/>
      <c r="KNT16" s="292"/>
      <c r="KNU16" s="292"/>
      <c r="KNV16" s="292"/>
      <c r="KNW16" s="292"/>
      <c r="KNX16" s="292"/>
      <c r="KNY16" s="292"/>
      <c r="KNZ16" s="292"/>
      <c r="KOA16" s="292"/>
      <c r="KOB16" s="292"/>
      <c r="KOC16" s="292"/>
      <c r="KOD16" s="292"/>
      <c r="KOE16" s="292"/>
      <c r="KOF16" s="292"/>
      <c r="KOG16" s="292"/>
      <c r="KOH16" s="292"/>
      <c r="KOI16" s="292"/>
      <c r="KOJ16" s="292"/>
      <c r="KOK16" s="292"/>
      <c r="KOL16" s="292"/>
      <c r="KOM16" s="292"/>
      <c r="KON16" s="292"/>
      <c r="KOO16" s="292"/>
      <c r="KOP16" s="292"/>
      <c r="KOQ16" s="292"/>
      <c r="KOR16" s="292"/>
      <c r="KOS16" s="292"/>
      <c r="KOT16" s="292"/>
      <c r="KOU16" s="292"/>
      <c r="KOV16" s="292"/>
      <c r="KOW16" s="292"/>
      <c r="KOX16" s="292"/>
      <c r="KOY16" s="292"/>
      <c r="KOZ16" s="292"/>
      <c r="KPA16" s="292"/>
      <c r="KPB16" s="292"/>
      <c r="KPC16" s="292"/>
      <c r="KPD16" s="292"/>
      <c r="KPE16" s="292"/>
      <c r="KPF16" s="292"/>
      <c r="KPG16" s="292"/>
      <c r="KPH16" s="292"/>
      <c r="KPI16" s="292"/>
      <c r="KPJ16" s="292"/>
      <c r="KPK16" s="292"/>
      <c r="KPL16" s="292"/>
      <c r="KPM16" s="292"/>
      <c r="KPN16" s="292"/>
      <c r="KPO16" s="292"/>
      <c r="KPP16" s="292"/>
      <c r="KPQ16" s="292"/>
      <c r="KPR16" s="292"/>
      <c r="KPS16" s="292"/>
      <c r="KPT16" s="292"/>
      <c r="KPU16" s="292"/>
      <c r="KPV16" s="292"/>
      <c r="KPW16" s="292"/>
      <c r="KPX16" s="292"/>
      <c r="KPY16" s="292"/>
      <c r="KPZ16" s="292"/>
      <c r="KQA16" s="292"/>
      <c r="KQB16" s="292"/>
      <c r="KQC16" s="292"/>
      <c r="KQD16" s="292"/>
      <c r="KQE16" s="292"/>
      <c r="KQF16" s="292"/>
      <c r="KQG16" s="292"/>
      <c r="KQH16" s="292"/>
      <c r="KQI16" s="292"/>
      <c r="KQJ16" s="292"/>
      <c r="KQK16" s="292"/>
      <c r="KQL16" s="292"/>
      <c r="KQM16" s="292"/>
      <c r="KQN16" s="292"/>
      <c r="KQO16" s="292"/>
      <c r="KQP16" s="292"/>
      <c r="KQQ16" s="292"/>
      <c r="KQR16" s="292"/>
      <c r="KQS16" s="292"/>
      <c r="KQT16" s="292"/>
      <c r="KQU16" s="292"/>
      <c r="KQV16" s="292"/>
      <c r="KQW16" s="292"/>
      <c r="KQX16" s="292"/>
      <c r="KQY16" s="292"/>
      <c r="KQZ16" s="292"/>
      <c r="KRA16" s="292"/>
      <c r="KRB16" s="292"/>
      <c r="KRC16" s="292"/>
      <c r="KRD16" s="292"/>
      <c r="KRE16" s="292"/>
      <c r="KRF16" s="292"/>
      <c r="KRG16" s="292"/>
      <c r="KRH16" s="292"/>
      <c r="KRI16" s="292"/>
      <c r="KRJ16" s="292"/>
      <c r="KRK16" s="292"/>
      <c r="KRL16" s="292"/>
      <c r="KRM16" s="292"/>
      <c r="KRN16" s="292"/>
      <c r="KRO16" s="292"/>
      <c r="KRP16" s="292"/>
      <c r="KRQ16" s="292"/>
      <c r="KRR16" s="292"/>
      <c r="KRS16" s="292"/>
      <c r="KRT16" s="292"/>
      <c r="KRU16" s="292"/>
      <c r="KRV16" s="292"/>
      <c r="KRW16" s="292"/>
      <c r="KRX16" s="292"/>
      <c r="KRY16" s="292"/>
      <c r="KRZ16" s="292"/>
      <c r="KSA16" s="292"/>
      <c r="KSB16" s="292"/>
      <c r="KSC16" s="292"/>
      <c r="KSD16" s="292"/>
      <c r="KSE16" s="292"/>
      <c r="KSF16" s="292"/>
      <c r="KSG16" s="292"/>
      <c r="KSH16" s="292"/>
      <c r="KSI16" s="292"/>
      <c r="KSJ16" s="292"/>
      <c r="KSK16" s="292"/>
      <c r="KSL16" s="292"/>
      <c r="KSM16" s="292"/>
      <c r="KSN16" s="292"/>
      <c r="KSO16" s="292"/>
      <c r="KSP16" s="292"/>
      <c r="KSQ16" s="292"/>
      <c r="KSR16" s="292"/>
      <c r="KSS16" s="292"/>
      <c r="KST16" s="292"/>
      <c r="KSU16" s="292"/>
      <c r="KSV16" s="292"/>
      <c r="KSW16" s="292"/>
      <c r="KSX16" s="292"/>
      <c r="KSY16" s="292"/>
      <c r="KSZ16" s="292"/>
      <c r="KTA16" s="292"/>
      <c r="KTB16" s="292"/>
      <c r="KTC16" s="292"/>
      <c r="KTD16" s="292"/>
      <c r="KTE16" s="292"/>
      <c r="KTF16" s="292"/>
      <c r="KTG16" s="292"/>
      <c r="KTH16" s="292"/>
      <c r="KTI16" s="292"/>
      <c r="KTJ16" s="292"/>
      <c r="KTK16" s="292"/>
      <c r="KTL16" s="292"/>
      <c r="KTM16" s="292"/>
      <c r="KTN16" s="292"/>
      <c r="KTO16" s="292"/>
      <c r="KTP16" s="292"/>
      <c r="KTQ16" s="292"/>
      <c r="KTR16" s="292"/>
      <c r="KTS16" s="292"/>
      <c r="KTT16" s="292"/>
      <c r="KTU16" s="292"/>
      <c r="KTV16" s="292"/>
      <c r="KTW16" s="292"/>
      <c r="KTX16" s="292"/>
      <c r="KTY16" s="292"/>
      <c r="KTZ16" s="292"/>
      <c r="KUA16" s="292"/>
      <c r="KUB16" s="292"/>
      <c r="KUC16" s="292"/>
      <c r="KUD16" s="292"/>
      <c r="KUE16" s="292"/>
      <c r="KUF16" s="292"/>
      <c r="KUG16" s="292"/>
      <c r="KUH16" s="292"/>
      <c r="KUI16" s="292"/>
      <c r="KUJ16" s="292"/>
      <c r="KUK16" s="292"/>
      <c r="KUL16" s="292"/>
      <c r="KUM16" s="292"/>
      <c r="KUN16" s="292"/>
      <c r="KUO16" s="292"/>
      <c r="KUP16" s="292"/>
      <c r="KUQ16" s="292"/>
      <c r="KUR16" s="292"/>
      <c r="KUS16" s="292"/>
      <c r="KUT16" s="292"/>
      <c r="KUU16" s="292"/>
      <c r="KUV16" s="292"/>
      <c r="KUW16" s="292"/>
      <c r="KUX16" s="292"/>
      <c r="KUY16" s="292"/>
      <c r="KUZ16" s="292"/>
      <c r="KVA16" s="292"/>
      <c r="KVB16" s="292"/>
      <c r="KVC16" s="292"/>
      <c r="KVD16" s="292"/>
      <c r="KVE16" s="292"/>
      <c r="KVF16" s="292"/>
      <c r="KVG16" s="292"/>
      <c r="KVH16" s="292"/>
      <c r="KVI16" s="292"/>
      <c r="KVJ16" s="292"/>
      <c r="KVK16" s="292"/>
      <c r="KVL16" s="292"/>
      <c r="KVM16" s="292"/>
      <c r="KVN16" s="292"/>
      <c r="KVO16" s="292"/>
      <c r="KVP16" s="292"/>
      <c r="KVQ16" s="292"/>
      <c r="KVR16" s="292"/>
      <c r="KVS16" s="292"/>
      <c r="KVT16" s="292"/>
      <c r="KVU16" s="292"/>
      <c r="KVV16" s="292"/>
      <c r="KVW16" s="292"/>
      <c r="KVX16" s="292"/>
      <c r="KVY16" s="292"/>
      <c r="KVZ16" s="292"/>
      <c r="KWA16" s="292"/>
      <c r="KWB16" s="292"/>
      <c r="KWC16" s="292"/>
      <c r="KWD16" s="292"/>
      <c r="KWE16" s="292"/>
      <c r="KWF16" s="292"/>
      <c r="KWG16" s="292"/>
      <c r="KWH16" s="292"/>
      <c r="KWI16" s="292"/>
      <c r="KWJ16" s="292"/>
      <c r="KWK16" s="292"/>
      <c r="KWL16" s="292"/>
      <c r="KWM16" s="292"/>
      <c r="KWN16" s="292"/>
      <c r="KWO16" s="292"/>
      <c r="KWP16" s="292"/>
      <c r="KWQ16" s="292"/>
      <c r="KWR16" s="292"/>
      <c r="KWS16" s="292"/>
      <c r="KWT16" s="292"/>
      <c r="KWU16" s="292"/>
      <c r="KWV16" s="292"/>
      <c r="KWW16" s="292"/>
      <c r="KWX16" s="292"/>
      <c r="KWY16" s="292"/>
      <c r="KWZ16" s="292"/>
      <c r="KXA16" s="292"/>
      <c r="KXB16" s="292"/>
      <c r="KXC16" s="292"/>
      <c r="KXD16" s="292"/>
      <c r="KXE16" s="292"/>
      <c r="KXF16" s="292"/>
      <c r="KXG16" s="292"/>
      <c r="KXH16" s="292"/>
      <c r="KXI16" s="292"/>
      <c r="KXJ16" s="292"/>
      <c r="KXK16" s="292"/>
      <c r="KXL16" s="292"/>
      <c r="KXM16" s="292"/>
      <c r="KXN16" s="292"/>
      <c r="KXO16" s="292"/>
      <c r="KXP16" s="292"/>
      <c r="KXQ16" s="292"/>
      <c r="KXR16" s="292"/>
      <c r="KXS16" s="292"/>
      <c r="KXT16" s="292"/>
      <c r="KXU16" s="292"/>
      <c r="KXV16" s="292"/>
      <c r="KXW16" s="292"/>
      <c r="KXX16" s="292"/>
      <c r="KXY16" s="292"/>
      <c r="KXZ16" s="292"/>
      <c r="KYA16" s="292"/>
      <c r="KYB16" s="292"/>
      <c r="KYC16" s="292"/>
      <c r="KYD16" s="292"/>
      <c r="KYE16" s="292"/>
      <c r="KYF16" s="292"/>
      <c r="KYG16" s="292"/>
      <c r="KYH16" s="292"/>
      <c r="KYI16" s="292"/>
      <c r="KYJ16" s="292"/>
      <c r="KYK16" s="292"/>
      <c r="KYL16" s="292"/>
      <c r="KYM16" s="292"/>
      <c r="KYN16" s="292"/>
      <c r="KYO16" s="292"/>
      <c r="KYP16" s="292"/>
      <c r="KYQ16" s="292"/>
      <c r="KYR16" s="292"/>
      <c r="KYS16" s="292"/>
      <c r="KYT16" s="292"/>
      <c r="KYU16" s="292"/>
      <c r="KYV16" s="292"/>
      <c r="KYW16" s="292"/>
      <c r="KYX16" s="292"/>
      <c r="KYY16" s="292"/>
      <c r="KYZ16" s="292"/>
      <c r="KZA16" s="292"/>
      <c r="KZB16" s="292"/>
      <c r="KZC16" s="292"/>
      <c r="KZD16" s="292"/>
      <c r="KZE16" s="292"/>
      <c r="KZF16" s="292"/>
      <c r="KZG16" s="292"/>
      <c r="KZH16" s="292"/>
      <c r="KZI16" s="292"/>
      <c r="KZJ16" s="292"/>
      <c r="KZK16" s="292"/>
      <c r="KZL16" s="292"/>
      <c r="KZM16" s="292"/>
      <c r="KZN16" s="292"/>
      <c r="KZO16" s="292"/>
      <c r="KZP16" s="292"/>
      <c r="KZQ16" s="292"/>
      <c r="KZR16" s="292"/>
      <c r="KZS16" s="292"/>
      <c r="KZT16" s="292"/>
      <c r="KZU16" s="292"/>
      <c r="KZV16" s="292"/>
      <c r="KZW16" s="292"/>
      <c r="KZX16" s="292"/>
      <c r="KZY16" s="292"/>
      <c r="KZZ16" s="292"/>
      <c r="LAA16" s="292"/>
      <c r="LAB16" s="292"/>
      <c r="LAC16" s="292"/>
      <c r="LAD16" s="292"/>
      <c r="LAE16" s="292"/>
      <c r="LAF16" s="292"/>
      <c r="LAG16" s="292"/>
      <c r="LAH16" s="292"/>
      <c r="LAI16" s="292"/>
      <c r="LAJ16" s="292"/>
      <c r="LAK16" s="292"/>
      <c r="LAL16" s="292"/>
      <c r="LAM16" s="292"/>
      <c r="LAN16" s="292"/>
      <c r="LAO16" s="292"/>
      <c r="LAP16" s="292"/>
      <c r="LAQ16" s="292"/>
      <c r="LAR16" s="292"/>
      <c r="LAS16" s="292"/>
      <c r="LAT16" s="292"/>
      <c r="LAU16" s="292"/>
      <c r="LAV16" s="292"/>
      <c r="LAW16" s="292"/>
      <c r="LAX16" s="292"/>
      <c r="LAY16" s="292"/>
      <c r="LAZ16" s="292"/>
      <c r="LBA16" s="292"/>
      <c r="LBB16" s="292"/>
      <c r="LBC16" s="292"/>
      <c r="LBD16" s="292"/>
      <c r="LBE16" s="292"/>
      <c r="LBF16" s="292"/>
      <c r="LBG16" s="292"/>
      <c r="LBH16" s="292"/>
      <c r="LBI16" s="292"/>
      <c r="LBJ16" s="292"/>
      <c r="LBK16" s="292"/>
      <c r="LBL16" s="292"/>
      <c r="LBM16" s="292"/>
      <c r="LBN16" s="292"/>
      <c r="LBO16" s="292"/>
      <c r="LBP16" s="292"/>
      <c r="LBQ16" s="292"/>
      <c r="LBR16" s="292"/>
      <c r="LBS16" s="292"/>
      <c r="LBT16" s="292"/>
      <c r="LBU16" s="292"/>
      <c r="LBV16" s="292"/>
      <c r="LBW16" s="292"/>
      <c r="LBX16" s="292"/>
      <c r="LBY16" s="292"/>
      <c r="LBZ16" s="292"/>
      <c r="LCA16" s="292"/>
      <c r="LCB16" s="292"/>
      <c r="LCC16" s="292"/>
      <c r="LCD16" s="292"/>
      <c r="LCE16" s="292"/>
      <c r="LCF16" s="292"/>
      <c r="LCG16" s="292"/>
      <c r="LCH16" s="292"/>
      <c r="LCI16" s="292"/>
      <c r="LCJ16" s="292"/>
      <c r="LCK16" s="292"/>
      <c r="LCL16" s="292"/>
      <c r="LCM16" s="292"/>
      <c r="LCN16" s="292"/>
      <c r="LCO16" s="292"/>
      <c r="LCP16" s="292"/>
      <c r="LCQ16" s="292"/>
      <c r="LCR16" s="292"/>
      <c r="LCS16" s="292"/>
      <c r="LCT16" s="292"/>
      <c r="LCU16" s="292"/>
      <c r="LCV16" s="292"/>
      <c r="LCW16" s="292"/>
      <c r="LCX16" s="292"/>
      <c r="LCY16" s="292"/>
      <c r="LCZ16" s="292"/>
      <c r="LDA16" s="292"/>
      <c r="LDB16" s="292"/>
      <c r="LDC16" s="292"/>
      <c r="LDD16" s="292"/>
      <c r="LDE16" s="292"/>
      <c r="LDF16" s="292"/>
      <c r="LDG16" s="292"/>
      <c r="LDH16" s="292"/>
      <c r="LDI16" s="292"/>
      <c r="LDJ16" s="292"/>
      <c r="LDK16" s="292"/>
      <c r="LDL16" s="292"/>
      <c r="LDM16" s="292"/>
      <c r="LDN16" s="292"/>
      <c r="LDO16" s="292"/>
      <c r="LDP16" s="292"/>
      <c r="LDQ16" s="292"/>
      <c r="LDR16" s="292"/>
      <c r="LDS16" s="292"/>
      <c r="LDT16" s="292"/>
      <c r="LDU16" s="292"/>
      <c r="LDV16" s="292"/>
      <c r="LDW16" s="292"/>
      <c r="LDX16" s="292"/>
      <c r="LDY16" s="292"/>
      <c r="LDZ16" s="292"/>
      <c r="LEA16" s="292"/>
      <c r="LEB16" s="292"/>
      <c r="LEC16" s="292"/>
      <c r="LED16" s="292"/>
      <c r="LEE16" s="292"/>
      <c r="LEF16" s="292"/>
      <c r="LEG16" s="292"/>
      <c r="LEH16" s="292"/>
      <c r="LEI16" s="292"/>
      <c r="LEJ16" s="292"/>
      <c r="LEK16" s="292"/>
      <c r="LEL16" s="292"/>
      <c r="LEM16" s="292"/>
      <c r="LEN16" s="292"/>
      <c r="LEO16" s="292"/>
      <c r="LEP16" s="292"/>
      <c r="LEQ16" s="292"/>
      <c r="LER16" s="292"/>
      <c r="LES16" s="292"/>
      <c r="LET16" s="292"/>
      <c r="LEU16" s="292"/>
      <c r="LEV16" s="292"/>
      <c r="LEW16" s="292"/>
      <c r="LEX16" s="292"/>
      <c r="LEY16" s="292"/>
      <c r="LEZ16" s="292"/>
      <c r="LFA16" s="292"/>
      <c r="LFB16" s="292"/>
      <c r="LFC16" s="292"/>
      <c r="LFD16" s="292"/>
      <c r="LFE16" s="292"/>
      <c r="LFF16" s="292"/>
      <c r="LFG16" s="292"/>
      <c r="LFH16" s="292"/>
      <c r="LFI16" s="292"/>
      <c r="LFJ16" s="292"/>
      <c r="LFK16" s="292"/>
      <c r="LFL16" s="292"/>
      <c r="LFM16" s="292"/>
      <c r="LFN16" s="292"/>
      <c r="LFO16" s="292"/>
      <c r="LFP16" s="292"/>
      <c r="LFQ16" s="292"/>
      <c r="LFR16" s="292"/>
      <c r="LFS16" s="292"/>
      <c r="LFT16" s="292"/>
      <c r="LFU16" s="292"/>
      <c r="LFV16" s="292"/>
      <c r="LFW16" s="292"/>
      <c r="LFX16" s="292"/>
      <c r="LFY16" s="292"/>
      <c r="LFZ16" s="292"/>
      <c r="LGA16" s="292"/>
      <c r="LGB16" s="292"/>
      <c r="LGC16" s="292"/>
      <c r="LGD16" s="292"/>
      <c r="LGE16" s="292"/>
      <c r="LGF16" s="292"/>
      <c r="LGG16" s="292"/>
      <c r="LGH16" s="292"/>
      <c r="LGI16" s="292"/>
      <c r="LGJ16" s="292"/>
      <c r="LGK16" s="292"/>
      <c r="LGL16" s="292"/>
      <c r="LGM16" s="292"/>
      <c r="LGN16" s="292"/>
      <c r="LGO16" s="292"/>
      <c r="LGP16" s="292"/>
      <c r="LGQ16" s="292"/>
      <c r="LGR16" s="292"/>
      <c r="LGS16" s="292"/>
      <c r="LGT16" s="292"/>
      <c r="LGU16" s="292"/>
      <c r="LGV16" s="292"/>
      <c r="LGW16" s="292"/>
      <c r="LGX16" s="292"/>
      <c r="LGY16" s="292"/>
      <c r="LGZ16" s="292"/>
      <c r="LHA16" s="292"/>
      <c r="LHB16" s="292"/>
      <c r="LHC16" s="292"/>
      <c r="LHD16" s="292"/>
      <c r="LHE16" s="292"/>
      <c r="LHF16" s="292"/>
      <c r="LHG16" s="292"/>
      <c r="LHH16" s="292"/>
      <c r="LHI16" s="292"/>
      <c r="LHJ16" s="292"/>
      <c r="LHK16" s="292"/>
      <c r="LHL16" s="292"/>
      <c r="LHM16" s="292"/>
      <c r="LHN16" s="292"/>
      <c r="LHO16" s="292"/>
      <c r="LHP16" s="292"/>
      <c r="LHQ16" s="292"/>
      <c r="LHR16" s="292"/>
      <c r="LHS16" s="292"/>
      <c r="LHT16" s="292"/>
      <c r="LHU16" s="292"/>
      <c r="LHV16" s="292"/>
      <c r="LHW16" s="292"/>
      <c r="LHX16" s="292"/>
      <c r="LHY16" s="292"/>
      <c r="LHZ16" s="292"/>
      <c r="LIA16" s="292"/>
      <c r="LIB16" s="292"/>
      <c r="LIC16" s="292"/>
      <c r="LID16" s="292"/>
      <c r="LIE16" s="292"/>
      <c r="LIF16" s="292"/>
      <c r="LIG16" s="292"/>
      <c r="LIH16" s="292"/>
      <c r="LII16" s="292"/>
      <c r="LIJ16" s="292"/>
      <c r="LIK16" s="292"/>
      <c r="LIL16" s="292"/>
      <c r="LIM16" s="292"/>
      <c r="LIN16" s="292"/>
      <c r="LIO16" s="292"/>
      <c r="LIP16" s="292"/>
      <c r="LIQ16" s="292"/>
      <c r="LIR16" s="292"/>
      <c r="LIS16" s="292"/>
      <c r="LIT16" s="292"/>
      <c r="LIU16" s="292"/>
      <c r="LIV16" s="292"/>
      <c r="LIW16" s="292"/>
      <c r="LIX16" s="292"/>
      <c r="LIY16" s="292"/>
      <c r="LIZ16" s="292"/>
      <c r="LJA16" s="292"/>
      <c r="LJB16" s="292"/>
      <c r="LJC16" s="292"/>
      <c r="LJD16" s="292"/>
      <c r="LJE16" s="292"/>
      <c r="LJF16" s="292"/>
      <c r="LJG16" s="292"/>
      <c r="LJH16" s="292"/>
      <c r="LJI16" s="292"/>
      <c r="LJJ16" s="292"/>
      <c r="LJK16" s="292"/>
      <c r="LJL16" s="292"/>
      <c r="LJM16" s="292"/>
      <c r="LJN16" s="292"/>
      <c r="LJO16" s="292"/>
      <c r="LJP16" s="292"/>
      <c r="LJQ16" s="292"/>
      <c r="LJR16" s="292"/>
      <c r="LJS16" s="292"/>
      <c r="LJT16" s="292"/>
      <c r="LJU16" s="292"/>
      <c r="LJV16" s="292"/>
      <c r="LJW16" s="292"/>
      <c r="LJX16" s="292"/>
      <c r="LJY16" s="292"/>
      <c r="LJZ16" s="292"/>
      <c r="LKA16" s="292"/>
      <c r="LKB16" s="292"/>
      <c r="LKC16" s="292"/>
      <c r="LKD16" s="292"/>
      <c r="LKE16" s="292"/>
      <c r="LKF16" s="292"/>
      <c r="LKG16" s="292"/>
      <c r="LKH16" s="292"/>
      <c r="LKI16" s="292"/>
      <c r="LKJ16" s="292"/>
      <c r="LKK16" s="292"/>
      <c r="LKL16" s="292"/>
      <c r="LKM16" s="292"/>
      <c r="LKN16" s="292"/>
      <c r="LKO16" s="292"/>
      <c r="LKP16" s="292"/>
      <c r="LKQ16" s="292"/>
      <c r="LKR16" s="292"/>
      <c r="LKS16" s="292"/>
      <c r="LKT16" s="292"/>
      <c r="LKU16" s="292"/>
      <c r="LKV16" s="292"/>
      <c r="LKW16" s="292"/>
      <c r="LKX16" s="292"/>
      <c r="LKY16" s="292"/>
      <c r="LKZ16" s="292"/>
      <c r="LLA16" s="292"/>
      <c r="LLB16" s="292"/>
      <c r="LLC16" s="292"/>
      <c r="LLD16" s="292"/>
      <c r="LLE16" s="292"/>
      <c r="LLF16" s="292"/>
      <c r="LLG16" s="292"/>
      <c r="LLH16" s="292"/>
      <c r="LLI16" s="292"/>
      <c r="LLJ16" s="292"/>
      <c r="LLK16" s="292"/>
      <c r="LLL16" s="292"/>
      <c r="LLM16" s="292"/>
      <c r="LLN16" s="292"/>
      <c r="LLO16" s="292"/>
      <c r="LLP16" s="292"/>
      <c r="LLQ16" s="292"/>
      <c r="LLR16" s="292"/>
      <c r="LLS16" s="292"/>
      <c r="LLT16" s="292"/>
      <c r="LLU16" s="292"/>
      <c r="LLV16" s="292"/>
      <c r="LLW16" s="292"/>
      <c r="LLX16" s="292"/>
      <c r="LLY16" s="292"/>
      <c r="LLZ16" s="292"/>
      <c r="LMA16" s="292"/>
      <c r="LMB16" s="292"/>
      <c r="LMC16" s="292"/>
      <c r="LMD16" s="292"/>
      <c r="LME16" s="292"/>
      <c r="LMF16" s="292"/>
      <c r="LMG16" s="292"/>
      <c r="LMH16" s="292"/>
      <c r="LMI16" s="292"/>
      <c r="LMJ16" s="292"/>
      <c r="LMK16" s="292"/>
      <c r="LML16" s="292"/>
      <c r="LMM16" s="292"/>
      <c r="LMN16" s="292"/>
      <c r="LMO16" s="292"/>
      <c r="LMP16" s="292"/>
      <c r="LMQ16" s="292"/>
      <c r="LMR16" s="292"/>
      <c r="LMS16" s="292"/>
      <c r="LMT16" s="292"/>
      <c r="LMU16" s="292"/>
      <c r="LMV16" s="292"/>
      <c r="LMW16" s="292"/>
      <c r="LMX16" s="292"/>
      <c r="LMY16" s="292"/>
      <c r="LMZ16" s="292"/>
      <c r="LNA16" s="292"/>
      <c r="LNB16" s="292"/>
      <c r="LNC16" s="292"/>
      <c r="LND16" s="292"/>
      <c r="LNE16" s="292"/>
      <c r="LNF16" s="292"/>
      <c r="LNG16" s="292"/>
      <c r="LNH16" s="292"/>
      <c r="LNI16" s="292"/>
      <c r="LNJ16" s="292"/>
      <c r="LNK16" s="292"/>
      <c r="LNL16" s="292"/>
      <c r="LNM16" s="292"/>
      <c r="LNN16" s="292"/>
      <c r="LNO16" s="292"/>
      <c r="LNP16" s="292"/>
      <c r="LNQ16" s="292"/>
      <c r="LNR16" s="292"/>
      <c r="LNS16" s="292"/>
      <c r="LNT16" s="292"/>
      <c r="LNU16" s="292"/>
      <c r="LNV16" s="292"/>
      <c r="LNW16" s="292"/>
      <c r="LNX16" s="292"/>
      <c r="LNY16" s="292"/>
      <c r="LNZ16" s="292"/>
      <c r="LOA16" s="292"/>
      <c r="LOB16" s="292"/>
      <c r="LOC16" s="292"/>
      <c r="LOD16" s="292"/>
      <c r="LOE16" s="292"/>
      <c r="LOF16" s="292"/>
      <c r="LOG16" s="292"/>
      <c r="LOH16" s="292"/>
      <c r="LOI16" s="292"/>
      <c r="LOJ16" s="292"/>
      <c r="LOK16" s="292"/>
      <c r="LOL16" s="292"/>
      <c r="LOM16" s="292"/>
      <c r="LON16" s="292"/>
      <c r="LOO16" s="292"/>
      <c r="LOP16" s="292"/>
      <c r="LOQ16" s="292"/>
      <c r="LOR16" s="292"/>
      <c r="LOS16" s="292"/>
      <c r="LOT16" s="292"/>
      <c r="LOU16" s="292"/>
      <c r="LOV16" s="292"/>
      <c r="LOW16" s="292"/>
      <c r="LOX16" s="292"/>
      <c r="LOY16" s="292"/>
      <c r="LOZ16" s="292"/>
      <c r="LPA16" s="292"/>
      <c r="LPB16" s="292"/>
      <c r="LPC16" s="292"/>
      <c r="LPD16" s="292"/>
      <c r="LPE16" s="292"/>
      <c r="LPF16" s="292"/>
      <c r="LPG16" s="292"/>
      <c r="LPH16" s="292"/>
      <c r="LPI16" s="292"/>
      <c r="LPJ16" s="292"/>
      <c r="LPK16" s="292"/>
      <c r="LPL16" s="292"/>
      <c r="LPM16" s="292"/>
      <c r="LPN16" s="292"/>
      <c r="LPO16" s="292"/>
      <c r="LPP16" s="292"/>
      <c r="LPQ16" s="292"/>
      <c r="LPR16" s="292"/>
      <c r="LPS16" s="292"/>
      <c r="LPT16" s="292"/>
      <c r="LPU16" s="292"/>
      <c r="LPV16" s="292"/>
      <c r="LPW16" s="292"/>
      <c r="LPX16" s="292"/>
      <c r="LPY16" s="292"/>
      <c r="LPZ16" s="292"/>
      <c r="LQA16" s="292"/>
      <c r="LQB16" s="292"/>
      <c r="LQC16" s="292"/>
      <c r="LQD16" s="292"/>
      <c r="LQE16" s="292"/>
      <c r="LQF16" s="292"/>
      <c r="LQG16" s="292"/>
      <c r="LQH16" s="292"/>
      <c r="LQI16" s="292"/>
      <c r="LQJ16" s="292"/>
      <c r="LQK16" s="292"/>
      <c r="LQL16" s="292"/>
      <c r="LQM16" s="292"/>
      <c r="LQN16" s="292"/>
      <c r="LQO16" s="292"/>
      <c r="LQP16" s="292"/>
      <c r="LQQ16" s="292"/>
      <c r="LQR16" s="292"/>
      <c r="LQS16" s="292"/>
      <c r="LQT16" s="292"/>
      <c r="LQU16" s="292"/>
      <c r="LQV16" s="292"/>
      <c r="LQW16" s="292"/>
      <c r="LQX16" s="292"/>
      <c r="LQY16" s="292"/>
      <c r="LQZ16" s="292"/>
      <c r="LRA16" s="292"/>
      <c r="LRB16" s="292"/>
      <c r="LRC16" s="292"/>
      <c r="LRD16" s="292"/>
      <c r="LRE16" s="292"/>
      <c r="LRF16" s="292"/>
      <c r="LRG16" s="292"/>
      <c r="LRH16" s="292"/>
      <c r="LRI16" s="292"/>
      <c r="LRJ16" s="292"/>
      <c r="LRK16" s="292"/>
      <c r="LRL16" s="292"/>
      <c r="LRM16" s="292"/>
      <c r="LRN16" s="292"/>
      <c r="LRO16" s="292"/>
      <c r="LRP16" s="292"/>
      <c r="LRQ16" s="292"/>
      <c r="LRR16" s="292"/>
      <c r="LRS16" s="292"/>
      <c r="LRT16" s="292"/>
      <c r="LRU16" s="292"/>
      <c r="LRV16" s="292"/>
      <c r="LRW16" s="292"/>
      <c r="LRX16" s="292"/>
      <c r="LRY16" s="292"/>
      <c r="LRZ16" s="292"/>
      <c r="LSA16" s="292"/>
      <c r="LSB16" s="292"/>
      <c r="LSC16" s="292"/>
      <c r="LSD16" s="292"/>
      <c r="LSE16" s="292"/>
      <c r="LSF16" s="292"/>
      <c r="LSG16" s="292"/>
      <c r="LSH16" s="292"/>
      <c r="LSI16" s="292"/>
      <c r="LSJ16" s="292"/>
      <c r="LSK16" s="292"/>
      <c r="LSL16" s="292"/>
      <c r="LSM16" s="292"/>
      <c r="LSN16" s="292"/>
      <c r="LSO16" s="292"/>
      <c r="LSP16" s="292"/>
      <c r="LSQ16" s="292"/>
      <c r="LSR16" s="292"/>
      <c r="LSS16" s="292"/>
      <c r="LST16" s="292"/>
      <c r="LSU16" s="292"/>
      <c r="LSV16" s="292"/>
      <c r="LSW16" s="292"/>
      <c r="LSX16" s="292"/>
      <c r="LSY16" s="292"/>
      <c r="LSZ16" s="292"/>
      <c r="LTA16" s="292"/>
      <c r="LTB16" s="292"/>
      <c r="LTC16" s="292"/>
      <c r="LTD16" s="292"/>
      <c r="LTE16" s="292"/>
      <c r="LTF16" s="292"/>
      <c r="LTG16" s="292"/>
      <c r="LTH16" s="292"/>
      <c r="LTI16" s="292"/>
      <c r="LTJ16" s="292"/>
      <c r="LTK16" s="292"/>
      <c r="LTL16" s="292"/>
      <c r="LTM16" s="292"/>
      <c r="LTN16" s="292"/>
      <c r="LTO16" s="292"/>
      <c r="LTP16" s="292"/>
      <c r="LTQ16" s="292"/>
      <c r="LTR16" s="292"/>
      <c r="LTS16" s="292"/>
      <c r="LTT16" s="292"/>
      <c r="LTU16" s="292"/>
      <c r="LTV16" s="292"/>
      <c r="LTW16" s="292"/>
      <c r="LTX16" s="292"/>
      <c r="LTY16" s="292"/>
      <c r="LTZ16" s="292"/>
      <c r="LUA16" s="292"/>
      <c r="LUB16" s="292"/>
      <c r="LUC16" s="292"/>
      <c r="LUD16" s="292"/>
      <c r="LUE16" s="292"/>
      <c r="LUF16" s="292"/>
      <c r="LUG16" s="292"/>
      <c r="LUH16" s="292"/>
      <c r="LUI16" s="292"/>
      <c r="LUJ16" s="292"/>
      <c r="LUK16" s="292"/>
      <c r="LUL16" s="292"/>
      <c r="LUM16" s="292"/>
      <c r="LUN16" s="292"/>
      <c r="LUO16" s="292"/>
      <c r="LUP16" s="292"/>
      <c r="LUQ16" s="292"/>
      <c r="LUR16" s="292"/>
      <c r="LUS16" s="292"/>
      <c r="LUT16" s="292"/>
      <c r="LUU16" s="292"/>
      <c r="LUV16" s="292"/>
      <c r="LUW16" s="292"/>
      <c r="LUX16" s="292"/>
      <c r="LUY16" s="292"/>
      <c r="LUZ16" s="292"/>
      <c r="LVA16" s="292"/>
      <c r="LVB16" s="292"/>
      <c r="LVC16" s="292"/>
      <c r="LVD16" s="292"/>
      <c r="LVE16" s="292"/>
      <c r="LVF16" s="292"/>
      <c r="LVG16" s="292"/>
      <c r="LVH16" s="292"/>
      <c r="LVI16" s="292"/>
      <c r="LVJ16" s="292"/>
      <c r="LVK16" s="292"/>
      <c r="LVL16" s="292"/>
      <c r="LVM16" s="292"/>
      <c r="LVN16" s="292"/>
      <c r="LVO16" s="292"/>
      <c r="LVP16" s="292"/>
      <c r="LVQ16" s="292"/>
      <c r="LVR16" s="292"/>
      <c r="LVS16" s="292"/>
      <c r="LVT16" s="292"/>
      <c r="LVU16" s="292"/>
      <c r="LVV16" s="292"/>
      <c r="LVW16" s="292"/>
      <c r="LVX16" s="292"/>
      <c r="LVY16" s="292"/>
      <c r="LVZ16" s="292"/>
      <c r="LWA16" s="292"/>
      <c r="LWB16" s="292"/>
      <c r="LWC16" s="292"/>
      <c r="LWD16" s="292"/>
      <c r="LWE16" s="292"/>
      <c r="LWF16" s="292"/>
      <c r="LWG16" s="292"/>
      <c r="LWH16" s="292"/>
      <c r="LWI16" s="292"/>
      <c r="LWJ16" s="292"/>
      <c r="LWK16" s="292"/>
      <c r="LWL16" s="292"/>
      <c r="LWM16" s="292"/>
      <c r="LWN16" s="292"/>
      <c r="LWO16" s="292"/>
      <c r="LWP16" s="292"/>
      <c r="LWQ16" s="292"/>
      <c r="LWR16" s="292"/>
      <c r="LWS16" s="292"/>
      <c r="LWT16" s="292"/>
      <c r="LWU16" s="292"/>
      <c r="LWV16" s="292"/>
      <c r="LWW16" s="292"/>
      <c r="LWX16" s="292"/>
      <c r="LWY16" s="292"/>
      <c r="LWZ16" s="292"/>
      <c r="LXA16" s="292"/>
      <c r="LXB16" s="292"/>
      <c r="LXC16" s="292"/>
      <c r="LXD16" s="292"/>
      <c r="LXE16" s="292"/>
      <c r="LXF16" s="292"/>
      <c r="LXG16" s="292"/>
      <c r="LXH16" s="292"/>
      <c r="LXI16" s="292"/>
      <c r="LXJ16" s="292"/>
      <c r="LXK16" s="292"/>
      <c r="LXL16" s="292"/>
      <c r="LXM16" s="292"/>
      <c r="LXN16" s="292"/>
      <c r="LXO16" s="292"/>
      <c r="LXP16" s="292"/>
      <c r="LXQ16" s="292"/>
      <c r="LXR16" s="292"/>
      <c r="LXS16" s="292"/>
      <c r="LXT16" s="292"/>
      <c r="LXU16" s="292"/>
      <c r="LXV16" s="292"/>
      <c r="LXW16" s="292"/>
      <c r="LXX16" s="292"/>
      <c r="LXY16" s="292"/>
      <c r="LXZ16" s="292"/>
      <c r="LYA16" s="292"/>
      <c r="LYB16" s="292"/>
      <c r="LYC16" s="292"/>
      <c r="LYD16" s="292"/>
      <c r="LYE16" s="292"/>
      <c r="LYF16" s="292"/>
      <c r="LYG16" s="292"/>
      <c r="LYH16" s="292"/>
      <c r="LYI16" s="292"/>
      <c r="LYJ16" s="292"/>
      <c r="LYK16" s="292"/>
      <c r="LYL16" s="292"/>
      <c r="LYM16" s="292"/>
      <c r="LYN16" s="292"/>
      <c r="LYO16" s="292"/>
      <c r="LYP16" s="292"/>
      <c r="LYQ16" s="292"/>
      <c r="LYR16" s="292"/>
      <c r="LYS16" s="292"/>
      <c r="LYT16" s="292"/>
      <c r="LYU16" s="292"/>
      <c r="LYV16" s="292"/>
      <c r="LYW16" s="292"/>
      <c r="LYX16" s="292"/>
      <c r="LYY16" s="292"/>
      <c r="LYZ16" s="292"/>
      <c r="LZA16" s="292"/>
      <c r="LZB16" s="292"/>
      <c r="LZC16" s="292"/>
      <c r="LZD16" s="292"/>
      <c r="LZE16" s="292"/>
      <c r="LZF16" s="292"/>
      <c r="LZG16" s="292"/>
      <c r="LZH16" s="292"/>
      <c r="LZI16" s="292"/>
      <c r="LZJ16" s="292"/>
      <c r="LZK16" s="292"/>
      <c r="LZL16" s="292"/>
      <c r="LZM16" s="292"/>
      <c r="LZN16" s="292"/>
      <c r="LZO16" s="292"/>
      <c r="LZP16" s="292"/>
      <c r="LZQ16" s="292"/>
      <c r="LZR16" s="292"/>
      <c r="LZS16" s="292"/>
      <c r="LZT16" s="292"/>
      <c r="LZU16" s="292"/>
      <c r="LZV16" s="292"/>
      <c r="LZW16" s="292"/>
      <c r="LZX16" s="292"/>
      <c r="LZY16" s="292"/>
      <c r="LZZ16" s="292"/>
      <c r="MAA16" s="292"/>
      <c r="MAB16" s="292"/>
      <c r="MAC16" s="292"/>
      <c r="MAD16" s="292"/>
      <c r="MAE16" s="292"/>
      <c r="MAF16" s="292"/>
      <c r="MAG16" s="292"/>
      <c r="MAH16" s="292"/>
      <c r="MAI16" s="292"/>
      <c r="MAJ16" s="292"/>
      <c r="MAK16" s="292"/>
      <c r="MAL16" s="292"/>
      <c r="MAM16" s="292"/>
      <c r="MAN16" s="292"/>
      <c r="MAO16" s="292"/>
      <c r="MAP16" s="292"/>
      <c r="MAQ16" s="292"/>
      <c r="MAR16" s="292"/>
      <c r="MAS16" s="292"/>
      <c r="MAT16" s="292"/>
      <c r="MAU16" s="292"/>
      <c r="MAV16" s="292"/>
      <c r="MAW16" s="292"/>
      <c r="MAX16" s="292"/>
      <c r="MAY16" s="292"/>
      <c r="MAZ16" s="292"/>
      <c r="MBA16" s="292"/>
      <c r="MBB16" s="292"/>
      <c r="MBC16" s="292"/>
      <c r="MBD16" s="292"/>
      <c r="MBE16" s="292"/>
      <c r="MBF16" s="292"/>
      <c r="MBG16" s="292"/>
      <c r="MBH16" s="292"/>
      <c r="MBI16" s="292"/>
      <c r="MBJ16" s="292"/>
      <c r="MBK16" s="292"/>
      <c r="MBL16" s="292"/>
      <c r="MBM16" s="292"/>
      <c r="MBN16" s="292"/>
      <c r="MBO16" s="292"/>
      <c r="MBP16" s="292"/>
      <c r="MBQ16" s="292"/>
      <c r="MBR16" s="292"/>
      <c r="MBS16" s="292"/>
      <c r="MBT16" s="292"/>
      <c r="MBU16" s="292"/>
      <c r="MBV16" s="292"/>
      <c r="MBW16" s="292"/>
      <c r="MBX16" s="292"/>
      <c r="MBY16" s="292"/>
      <c r="MBZ16" s="292"/>
      <c r="MCA16" s="292"/>
      <c r="MCB16" s="292"/>
      <c r="MCC16" s="292"/>
      <c r="MCD16" s="292"/>
      <c r="MCE16" s="292"/>
      <c r="MCF16" s="292"/>
      <c r="MCG16" s="292"/>
      <c r="MCH16" s="292"/>
      <c r="MCI16" s="292"/>
      <c r="MCJ16" s="292"/>
      <c r="MCK16" s="292"/>
      <c r="MCL16" s="292"/>
      <c r="MCM16" s="292"/>
      <c r="MCN16" s="292"/>
      <c r="MCO16" s="292"/>
      <c r="MCP16" s="292"/>
      <c r="MCQ16" s="292"/>
      <c r="MCR16" s="292"/>
      <c r="MCS16" s="292"/>
      <c r="MCT16" s="292"/>
      <c r="MCU16" s="292"/>
      <c r="MCV16" s="292"/>
      <c r="MCW16" s="292"/>
      <c r="MCX16" s="292"/>
      <c r="MCY16" s="292"/>
      <c r="MCZ16" s="292"/>
      <c r="MDA16" s="292"/>
      <c r="MDB16" s="292"/>
      <c r="MDC16" s="292"/>
      <c r="MDD16" s="292"/>
      <c r="MDE16" s="292"/>
      <c r="MDF16" s="292"/>
      <c r="MDG16" s="292"/>
      <c r="MDH16" s="292"/>
      <c r="MDI16" s="292"/>
      <c r="MDJ16" s="292"/>
      <c r="MDK16" s="292"/>
      <c r="MDL16" s="292"/>
      <c r="MDM16" s="292"/>
      <c r="MDN16" s="292"/>
      <c r="MDO16" s="292"/>
      <c r="MDP16" s="292"/>
      <c r="MDQ16" s="292"/>
      <c r="MDR16" s="292"/>
      <c r="MDS16" s="292"/>
      <c r="MDT16" s="292"/>
      <c r="MDU16" s="292"/>
      <c r="MDV16" s="292"/>
      <c r="MDW16" s="292"/>
      <c r="MDX16" s="292"/>
      <c r="MDY16" s="292"/>
      <c r="MDZ16" s="292"/>
      <c r="MEA16" s="292"/>
      <c r="MEB16" s="292"/>
      <c r="MEC16" s="292"/>
      <c r="MED16" s="292"/>
      <c r="MEE16" s="292"/>
      <c r="MEF16" s="292"/>
      <c r="MEG16" s="292"/>
      <c r="MEH16" s="292"/>
      <c r="MEI16" s="292"/>
      <c r="MEJ16" s="292"/>
      <c r="MEK16" s="292"/>
      <c r="MEL16" s="292"/>
      <c r="MEM16" s="292"/>
      <c r="MEN16" s="292"/>
      <c r="MEO16" s="292"/>
      <c r="MEP16" s="292"/>
      <c r="MEQ16" s="292"/>
      <c r="MER16" s="292"/>
      <c r="MES16" s="292"/>
      <c r="MET16" s="292"/>
      <c r="MEU16" s="292"/>
      <c r="MEV16" s="292"/>
      <c r="MEW16" s="292"/>
      <c r="MEX16" s="292"/>
      <c r="MEY16" s="292"/>
      <c r="MEZ16" s="292"/>
      <c r="MFA16" s="292"/>
      <c r="MFB16" s="292"/>
      <c r="MFC16" s="292"/>
      <c r="MFD16" s="292"/>
      <c r="MFE16" s="292"/>
      <c r="MFF16" s="292"/>
      <c r="MFG16" s="292"/>
      <c r="MFH16" s="292"/>
      <c r="MFI16" s="292"/>
      <c r="MFJ16" s="292"/>
      <c r="MFK16" s="292"/>
      <c r="MFL16" s="292"/>
      <c r="MFM16" s="292"/>
      <c r="MFN16" s="292"/>
      <c r="MFO16" s="292"/>
      <c r="MFP16" s="292"/>
      <c r="MFQ16" s="292"/>
      <c r="MFR16" s="292"/>
      <c r="MFS16" s="292"/>
      <c r="MFT16" s="292"/>
      <c r="MFU16" s="292"/>
      <c r="MFV16" s="292"/>
      <c r="MFW16" s="292"/>
      <c r="MFX16" s="292"/>
      <c r="MFY16" s="292"/>
      <c r="MFZ16" s="292"/>
      <c r="MGA16" s="292"/>
      <c r="MGB16" s="292"/>
      <c r="MGC16" s="292"/>
      <c r="MGD16" s="292"/>
      <c r="MGE16" s="292"/>
      <c r="MGF16" s="292"/>
      <c r="MGG16" s="292"/>
      <c r="MGH16" s="292"/>
      <c r="MGI16" s="292"/>
      <c r="MGJ16" s="292"/>
      <c r="MGK16" s="292"/>
      <c r="MGL16" s="292"/>
      <c r="MGM16" s="292"/>
      <c r="MGN16" s="292"/>
      <c r="MGO16" s="292"/>
      <c r="MGP16" s="292"/>
      <c r="MGQ16" s="292"/>
      <c r="MGR16" s="292"/>
      <c r="MGS16" s="292"/>
      <c r="MGT16" s="292"/>
      <c r="MGU16" s="292"/>
      <c r="MGV16" s="292"/>
      <c r="MGW16" s="292"/>
      <c r="MGX16" s="292"/>
      <c r="MGY16" s="292"/>
      <c r="MGZ16" s="292"/>
      <c r="MHA16" s="292"/>
      <c r="MHB16" s="292"/>
      <c r="MHC16" s="292"/>
      <c r="MHD16" s="292"/>
      <c r="MHE16" s="292"/>
      <c r="MHF16" s="292"/>
      <c r="MHG16" s="292"/>
      <c r="MHH16" s="292"/>
      <c r="MHI16" s="292"/>
      <c r="MHJ16" s="292"/>
      <c r="MHK16" s="292"/>
      <c r="MHL16" s="292"/>
      <c r="MHM16" s="292"/>
      <c r="MHN16" s="292"/>
      <c r="MHO16" s="292"/>
      <c r="MHP16" s="292"/>
      <c r="MHQ16" s="292"/>
      <c r="MHR16" s="292"/>
      <c r="MHS16" s="292"/>
      <c r="MHT16" s="292"/>
      <c r="MHU16" s="292"/>
      <c r="MHV16" s="292"/>
      <c r="MHW16" s="292"/>
      <c r="MHX16" s="292"/>
      <c r="MHY16" s="292"/>
      <c r="MHZ16" s="292"/>
      <c r="MIA16" s="292"/>
      <c r="MIB16" s="292"/>
      <c r="MIC16" s="292"/>
      <c r="MID16" s="292"/>
      <c r="MIE16" s="292"/>
      <c r="MIF16" s="292"/>
      <c r="MIG16" s="292"/>
      <c r="MIH16" s="292"/>
      <c r="MII16" s="292"/>
      <c r="MIJ16" s="292"/>
      <c r="MIK16" s="292"/>
      <c r="MIL16" s="292"/>
      <c r="MIM16" s="292"/>
      <c r="MIN16" s="292"/>
      <c r="MIO16" s="292"/>
      <c r="MIP16" s="292"/>
      <c r="MIQ16" s="292"/>
      <c r="MIR16" s="292"/>
      <c r="MIS16" s="292"/>
      <c r="MIT16" s="292"/>
      <c r="MIU16" s="292"/>
      <c r="MIV16" s="292"/>
      <c r="MIW16" s="292"/>
      <c r="MIX16" s="292"/>
      <c r="MIY16" s="292"/>
      <c r="MIZ16" s="292"/>
      <c r="MJA16" s="292"/>
      <c r="MJB16" s="292"/>
      <c r="MJC16" s="292"/>
      <c r="MJD16" s="292"/>
      <c r="MJE16" s="292"/>
      <c r="MJF16" s="292"/>
      <c r="MJG16" s="292"/>
      <c r="MJH16" s="292"/>
      <c r="MJI16" s="292"/>
      <c r="MJJ16" s="292"/>
      <c r="MJK16" s="292"/>
      <c r="MJL16" s="292"/>
      <c r="MJM16" s="292"/>
      <c r="MJN16" s="292"/>
      <c r="MJO16" s="292"/>
      <c r="MJP16" s="292"/>
      <c r="MJQ16" s="292"/>
      <c r="MJR16" s="292"/>
      <c r="MJS16" s="292"/>
      <c r="MJT16" s="292"/>
      <c r="MJU16" s="292"/>
      <c r="MJV16" s="292"/>
      <c r="MJW16" s="292"/>
      <c r="MJX16" s="292"/>
      <c r="MJY16" s="292"/>
      <c r="MJZ16" s="292"/>
      <c r="MKA16" s="292"/>
      <c r="MKB16" s="292"/>
      <c r="MKC16" s="292"/>
      <c r="MKD16" s="292"/>
      <c r="MKE16" s="292"/>
      <c r="MKF16" s="292"/>
      <c r="MKG16" s="292"/>
      <c r="MKH16" s="292"/>
      <c r="MKI16" s="292"/>
      <c r="MKJ16" s="292"/>
      <c r="MKK16" s="292"/>
      <c r="MKL16" s="292"/>
      <c r="MKM16" s="292"/>
      <c r="MKN16" s="292"/>
      <c r="MKO16" s="292"/>
      <c r="MKP16" s="292"/>
      <c r="MKQ16" s="292"/>
      <c r="MKR16" s="292"/>
      <c r="MKS16" s="292"/>
      <c r="MKT16" s="292"/>
      <c r="MKU16" s="292"/>
      <c r="MKV16" s="292"/>
      <c r="MKW16" s="292"/>
      <c r="MKX16" s="292"/>
      <c r="MKY16" s="292"/>
      <c r="MKZ16" s="292"/>
      <c r="MLA16" s="292"/>
      <c r="MLB16" s="292"/>
      <c r="MLC16" s="292"/>
      <c r="MLD16" s="292"/>
      <c r="MLE16" s="292"/>
      <c r="MLF16" s="292"/>
      <c r="MLG16" s="292"/>
      <c r="MLH16" s="292"/>
      <c r="MLI16" s="292"/>
      <c r="MLJ16" s="292"/>
      <c r="MLK16" s="292"/>
      <c r="MLL16" s="292"/>
      <c r="MLM16" s="292"/>
      <c r="MLN16" s="292"/>
      <c r="MLO16" s="292"/>
      <c r="MLP16" s="292"/>
      <c r="MLQ16" s="292"/>
      <c r="MLR16" s="292"/>
      <c r="MLS16" s="292"/>
      <c r="MLT16" s="292"/>
      <c r="MLU16" s="292"/>
      <c r="MLV16" s="292"/>
      <c r="MLW16" s="292"/>
      <c r="MLX16" s="292"/>
      <c r="MLY16" s="292"/>
      <c r="MLZ16" s="292"/>
      <c r="MMA16" s="292"/>
      <c r="MMB16" s="292"/>
      <c r="MMC16" s="292"/>
      <c r="MMD16" s="292"/>
      <c r="MME16" s="292"/>
      <c r="MMF16" s="292"/>
      <c r="MMG16" s="292"/>
      <c r="MMH16" s="292"/>
      <c r="MMI16" s="292"/>
      <c r="MMJ16" s="292"/>
      <c r="MMK16" s="292"/>
      <c r="MML16" s="292"/>
      <c r="MMM16" s="292"/>
      <c r="MMN16" s="292"/>
      <c r="MMO16" s="292"/>
      <c r="MMP16" s="292"/>
      <c r="MMQ16" s="292"/>
      <c r="MMR16" s="292"/>
      <c r="MMS16" s="292"/>
      <c r="MMT16" s="292"/>
      <c r="MMU16" s="292"/>
      <c r="MMV16" s="292"/>
      <c r="MMW16" s="292"/>
      <c r="MMX16" s="292"/>
      <c r="MMY16" s="292"/>
      <c r="MMZ16" s="292"/>
      <c r="MNA16" s="292"/>
      <c r="MNB16" s="292"/>
      <c r="MNC16" s="292"/>
      <c r="MND16" s="292"/>
      <c r="MNE16" s="292"/>
      <c r="MNF16" s="292"/>
      <c r="MNG16" s="292"/>
      <c r="MNH16" s="292"/>
      <c r="MNI16" s="292"/>
      <c r="MNJ16" s="292"/>
      <c r="MNK16" s="292"/>
      <c r="MNL16" s="292"/>
      <c r="MNM16" s="292"/>
      <c r="MNN16" s="292"/>
      <c r="MNO16" s="292"/>
      <c r="MNP16" s="292"/>
      <c r="MNQ16" s="292"/>
      <c r="MNR16" s="292"/>
      <c r="MNS16" s="292"/>
      <c r="MNT16" s="292"/>
      <c r="MNU16" s="292"/>
      <c r="MNV16" s="292"/>
      <c r="MNW16" s="292"/>
      <c r="MNX16" s="292"/>
      <c r="MNY16" s="292"/>
      <c r="MNZ16" s="292"/>
      <c r="MOA16" s="292"/>
      <c r="MOB16" s="292"/>
      <c r="MOC16" s="292"/>
      <c r="MOD16" s="292"/>
      <c r="MOE16" s="292"/>
      <c r="MOF16" s="292"/>
      <c r="MOG16" s="292"/>
      <c r="MOH16" s="292"/>
      <c r="MOI16" s="292"/>
      <c r="MOJ16" s="292"/>
      <c r="MOK16" s="292"/>
      <c r="MOL16" s="292"/>
      <c r="MOM16" s="292"/>
      <c r="MON16" s="292"/>
      <c r="MOO16" s="292"/>
      <c r="MOP16" s="292"/>
      <c r="MOQ16" s="292"/>
      <c r="MOR16" s="292"/>
      <c r="MOS16" s="292"/>
      <c r="MOT16" s="292"/>
      <c r="MOU16" s="292"/>
      <c r="MOV16" s="292"/>
      <c r="MOW16" s="292"/>
      <c r="MOX16" s="292"/>
      <c r="MOY16" s="292"/>
      <c r="MOZ16" s="292"/>
      <c r="MPA16" s="292"/>
      <c r="MPB16" s="292"/>
      <c r="MPC16" s="292"/>
      <c r="MPD16" s="292"/>
      <c r="MPE16" s="292"/>
      <c r="MPF16" s="292"/>
      <c r="MPG16" s="292"/>
      <c r="MPH16" s="292"/>
      <c r="MPI16" s="292"/>
      <c r="MPJ16" s="292"/>
      <c r="MPK16" s="292"/>
      <c r="MPL16" s="292"/>
      <c r="MPM16" s="292"/>
      <c r="MPN16" s="292"/>
      <c r="MPO16" s="292"/>
      <c r="MPP16" s="292"/>
      <c r="MPQ16" s="292"/>
      <c r="MPR16" s="292"/>
      <c r="MPS16" s="292"/>
      <c r="MPT16" s="292"/>
      <c r="MPU16" s="292"/>
      <c r="MPV16" s="292"/>
      <c r="MPW16" s="292"/>
      <c r="MPX16" s="292"/>
      <c r="MPY16" s="292"/>
      <c r="MPZ16" s="292"/>
      <c r="MQA16" s="292"/>
      <c r="MQB16" s="292"/>
      <c r="MQC16" s="292"/>
      <c r="MQD16" s="292"/>
      <c r="MQE16" s="292"/>
      <c r="MQF16" s="292"/>
      <c r="MQG16" s="292"/>
      <c r="MQH16" s="292"/>
      <c r="MQI16" s="292"/>
      <c r="MQJ16" s="292"/>
      <c r="MQK16" s="292"/>
      <c r="MQL16" s="292"/>
      <c r="MQM16" s="292"/>
      <c r="MQN16" s="292"/>
      <c r="MQO16" s="292"/>
      <c r="MQP16" s="292"/>
      <c r="MQQ16" s="292"/>
      <c r="MQR16" s="292"/>
      <c r="MQS16" s="292"/>
      <c r="MQT16" s="292"/>
      <c r="MQU16" s="292"/>
      <c r="MQV16" s="292"/>
      <c r="MQW16" s="292"/>
      <c r="MQX16" s="292"/>
      <c r="MQY16" s="292"/>
      <c r="MQZ16" s="292"/>
      <c r="MRA16" s="292"/>
      <c r="MRB16" s="292"/>
      <c r="MRC16" s="292"/>
      <c r="MRD16" s="292"/>
      <c r="MRE16" s="292"/>
      <c r="MRF16" s="292"/>
      <c r="MRG16" s="292"/>
      <c r="MRH16" s="292"/>
      <c r="MRI16" s="292"/>
      <c r="MRJ16" s="292"/>
      <c r="MRK16" s="292"/>
      <c r="MRL16" s="292"/>
      <c r="MRM16" s="292"/>
      <c r="MRN16" s="292"/>
      <c r="MRO16" s="292"/>
      <c r="MRP16" s="292"/>
      <c r="MRQ16" s="292"/>
      <c r="MRR16" s="292"/>
      <c r="MRS16" s="292"/>
      <c r="MRT16" s="292"/>
      <c r="MRU16" s="292"/>
      <c r="MRV16" s="292"/>
      <c r="MRW16" s="292"/>
      <c r="MRX16" s="292"/>
      <c r="MRY16" s="292"/>
      <c r="MRZ16" s="292"/>
      <c r="MSA16" s="292"/>
      <c r="MSB16" s="292"/>
      <c r="MSC16" s="292"/>
      <c r="MSD16" s="292"/>
      <c r="MSE16" s="292"/>
      <c r="MSF16" s="292"/>
      <c r="MSG16" s="292"/>
      <c r="MSH16" s="292"/>
      <c r="MSI16" s="292"/>
      <c r="MSJ16" s="292"/>
      <c r="MSK16" s="292"/>
      <c r="MSL16" s="292"/>
      <c r="MSM16" s="292"/>
      <c r="MSN16" s="292"/>
      <c r="MSO16" s="292"/>
      <c r="MSP16" s="292"/>
      <c r="MSQ16" s="292"/>
      <c r="MSR16" s="292"/>
      <c r="MSS16" s="292"/>
      <c r="MST16" s="292"/>
      <c r="MSU16" s="292"/>
      <c r="MSV16" s="292"/>
      <c r="MSW16" s="292"/>
      <c r="MSX16" s="292"/>
      <c r="MSY16" s="292"/>
      <c r="MSZ16" s="292"/>
      <c r="MTA16" s="292"/>
      <c r="MTB16" s="292"/>
      <c r="MTC16" s="292"/>
      <c r="MTD16" s="292"/>
      <c r="MTE16" s="292"/>
      <c r="MTF16" s="292"/>
      <c r="MTG16" s="292"/>
      <c r="MTH16" s="292"/>
      <c r="MTI16" s="292"/>
      <c r="MTJ16" s="292"/>
      <c r="MTK16" s="292"/>
      <c r="MTL16" s="292"/>
      <c r="MTM16" s="292"/>
      <c r="MTN16" s="292"/>
      <c r="MTO16" s="292"/>
      <c r="MTP16" s="292"/>
      <c r="MTQ16" s="292"/>
      <c r="MTR16" s="292"/>
      <c r="MTS16" s="292"/>
      <c r="MTT16" s="292"/>
      <c r="MTU16" s="292"/>
      <c r="MTV16" s="292"/>
      <c r="MTW16" s="292"/>
      <c r="MTX16" s="292"/>
      <c r="MTY16" s="292"/>
      <c r="MTZ16" s="292"/>
      <c r="MUA16" s="292"/>
      <c r="MUB16" s="292"/>
      <c r="MUC16" s="292"/>
      <c r="MUD16" s="292"/>
      <c r="MUE16" s="292"/>
      <c r="MUF16" s="292"/>
      <c r="MUG16" s="292"/>
      <c r="MUH16" s="292"/>
      <c r="MUI16" s="292"/>
      <c r="MUJ16" s="292"/>
      <c r="MUK16" s="292"/>
      <c r="MUL16" s="292"/>
      <c r="MUM16" s="292"/>
      <c r="MUN16" s="292"/>
      <c r="MUO16" s="292"/>
      <c r="MUP16" s="292"/>
      <c r="MUQ16" s="292"/>
      <c r="MUR16" s="292"/>
      <c r="MUS16" s="292"/>
      <c r="MUT16" s="292"/>
      <c r="MUU16" s="292"/>
      <c r="MUV16" s="292"/>
      <c r="MUW16" s="292"/>
      <c r="MUX16" s="292"/>
      <c r="MUY16" s="292"/>
      <c r="MUZ16" s="292"/>
      <c r="MVA16" s="292"/>
      <c r="MVB16" s="292"/>
      <c r="MVC16" s="292"/>
      <c r="MVD16" s="292"/>
      <c r="MVE16" s="292"/>
      <c r="MVF16" s="292"/>
      <c r="MVG16" s="292"/>
      <c r="MVH16" s="292"/>
      <c r="MVI16" s="292"/>
      <c r="MVJ16" s="292"/>
      <c r="MVK16" s="292"/>
      <c r="MVL16" s="292"/>
      <c r="MVM16" s="292"/>
      <c r="MVN16" s="292"/>
      <c r="MVO16" s="292"/>
      <c r="MVP16" s="292"/>
      <c r="MVQ16" s="292"/>
      <c r="MVR16" s="292"/>
      <c r="MVS16" s="292"/>
      <c r="MVT16" s="292"/>
      <c r="MVU16" s="292"/>
      <c r="MVV16" s="292"/>
      <c r="MVW16" s="292"/>
      <c r="MVX16" s="292"/>
      <c r="MVY16" s="292"/>
      <c r="MVZ16" s="292"/>
      <c r="MWA16" s="292"/>
      <c r="MWB16" s="292"/>
      <c r="MWC16" s="292"/>
      <c r="MWD16" s="292"/>
      <c r="MWE16" s="292"/>
      <c r="MWF16" s="292"/>
      <c r="MWG16" s="292"/>
      <c r="MWH16" s="292"/>
      <c r="MWI16" s="292"/>
      <c r="MWJ16" s="292"/>
      <c r="MWK16" s="292"/>
      <c r="MWL16" s="292"/>
      <c r="MWM16" s="292"/>
      <c r="MWN16" s="292"/>
      <c r="MWO16" s="292"/>
      <c r="MWP16" s="292"/>
      <c r="MWQ16" s="292"/>
      <c r="MWR16" s="292"/>
      <c r="MWS16" s="292"/>
      <c r="MWT16" s="292"/>
      <c r="MWU16" s="292"/>
      <c r="MWV16" s="292"/>
      <c r="MWW16" s="292"/>
      <c r="MWX16" s="292"/>
      <c r="MWY16" s="292"/>
      <c r="MWZ16" s="292"/>
      <c r="MXA16" s="292"/>
      <c r="MXB16" s="292"/>
      <c r="MXC16" s="292"/>
      <c r="MXD16" s="292"/>
      <c r="MXE16" s="292"/>
      <c r="MXF16" s="292"/>
      <c r="MXG16" s="292"/>
      <c r="MXH16" s="292"/>
      <c r="MXI16" s="292"/>
      <c r="MXJ16" s="292"/>
      <c r="MXK16" s="292"/>
      <c r="MXL16" s="292"/>
      <c r="MXM16" s="292"/>
      <c r="MXN16" s="292"/>
      <c r="MXO16" s="292"/>
      <c r="MXP16" s="292"/>
      <c r="MXQ16" s="292"/>
      <c r="MXR16" s="292"/>
      <c r="MXS16" s="292"/>
      <c r="MXT16" s="292"/>
      <c r="MXU16" s="292"/>
      <c r="MXV16" s="292"/>
      <c r="MXW16" s="292"/>
      <c r="MXX16" s="292"/>
      <c r="MXY16" s="292"/>
      <c r="MXZ16" s="292"/>
      <c r="MYA16" s="292"/>
      <c r="MYB16" s="292"/>
      <c r="MYC16" s="292"/>
      <c r="MYD16" s="292"/>
      <c r="MYE16" s="292"/>
      <c r="MYF16" s="292"/>
      <c r="MYG16" s="292"/>
      <c r="MYH16" s="292"/>
      <c r="MYI16" s="292"/>
      <c r="MYJ16" s="292"/>
      <c r="MYK16" s="292"/>
      <c r="MYL16" s="292"/>
      <c r="MYM16" s="292"/>
      <c r="MYN16" s="292"/>
      <c r="MYO16" s="292"/>
      <c r="MYP16" s="292"/>
      <c r="MYQ16" s="292"/>
      <c r="MYR16" s="292"/>
      <c r="MYS16" s="292"/>
      <c r="MYT16" s="292"/>
      <c r="MYU16" s="292"/>
      <c r="MYV16" s="292"/>
      <c r="MYW16" s="292"/>
      <c r="MYX16" s="292"/>
      <c r="MYY16" s="292"/>
      <c r="MYZ16" s="292"/>
      <c r="MZA16" s="292"/>
      <c r="MZB16" s="292"/>
      <c r="MZC16" s="292"/>
      <c r="MZD16" s="292"/>
      <c r="MZE16" s="292"/>
      <c r="MZF16" s="292"/>
      <c r="MZG16" s="292"/>
      <c r="MZH16" s="292"/>
      <c r="MZI16" s="292"/>
      <c r="MZJ16" s="292"/>
      <c r="MZK16" s="292"/>
      <c r="MZL16" s="292"/>
      <c r="MZM16" s="292"/>
      <c r="MZN16" s="292"/>
      <c r="MZO16" s="292"/>
      <c r="MZP16" s="292"/>
      <c r="MZQ16" s="292"/>
      <c r="MZR16" s="292"/>
      <c r="MZS16" s="292"/>
      <c r="MZT16" s="292"/>
      <c r="MZU16" s="292"/>
      <c r="MZV16" s="292"/>
      <c r="MZW16" s="292"/>
      <c r="MZX16" s="292"/>
      <c r="MZY16" s="292"/>
      <c r="MZZ16" s="292"/>
      <c r="NAA16" s="292"/>
      <c r="NAB16" s="292"/>
      <c r="NAC16" s="292"/>
      <c r="NAD16" s="292"/>
      <c r="NAE16" s="292"/>
      <c r="NAF16" s="292"/>
      <c r="NAG16" s="292"/>
      <c r="NAH16" s="292"/>
      <c r="NAI16" s="292"/>
      <c r="NAJ16" s="292"/>
      <c r="NAK16" s="292"/>
      <c r="NAL16" s="292"/>
      <c r="NAM16" s="292"/>
      <c r="NAN16" s="292"/>
      <c r="NAO16" s="292"/>
      <c r="NAP16" s="292"/>
      <c r="NAQ16" s="292"/>
      <c r="NAR16" s="292"/>
      <c r="NAS16" s="292"/>
      <c r="NAT16" s="292"/>
      <c r="NAU16" s="292"/>
      <c r="NAV16" s="292"/>
      <c r="NAW16" s="292"/>
      <c r="NAX16" s="292"/>
      <c r="NAY16" s="292"/>
      <c r="NAZ16" s="292"/>
      <c r="NBA16" s="292"/>
      <c r="NBB16" s="292"/>
      <c r="NBC16" s="292"/>
      <c r="NBD16" s="292"/>
      <c r="NBE16" s="292"/>
      <c r="NBF16" s="292"/>
      <c r="NBG16" s="292"/>
      <c r="NBH16" s="292"/>
      <c r="NBI16" s="292"/>
      <c r="NBJ16" s="292"/>
      <c r="NBK16" s="292"/>
      <c r="NBL16" s="292"/>
      <c r="NBM16" s="292"/>
      <c r="NBN16" s="292"/>
      <c r="NBO16" s="292"/>
      <c r="NBP16" s="292"/>
      <c r="NBQ16" s="292"/>
      <c r="NBR16" s="292"/>
      <c r="NBS16" s="292"/>
      <c r="NBT16" s="292"/>
      <c r="NBU16" s="292"/>
      <c r="NBV16" s="292"/>
      <c r="NBW16" s="292"/>
      <c r="NBX16" s="292"/>
      <c r="NBY16" s="292"/>
      <c r="NBZ16" s="292"/>
      <c r="NCA16" s="292"/>
      <c r="NCB16" s="292"/>
      <c r="NCC16" s="292"/>
      <c r="NCD16" s="292"/>
      <c r="NCE16" s="292"/>
      <c r="NCF16" s="292"/>
      <c r="NCG16" s="292"/>
      <c r="NCH16" s="292"/>
      <c r="NCI16" s="292"/>
      <c r="NCJ16" s="292"/>
      <c r="NCK16" s="292"/>
      <c r="NCL16" s="292"/>
      <c r="NCM16" s="292"/>
      <c r="NCN16" s="292"/>
      <c r="NCO16" s="292"/>
      <c r="NCP16" s="292"/>
      <c r="NCQ16" s="292"/>
      <c r="NCR16" s="292"/>
      <c r="NCS16" s="292"/>
      <c r="NCT16" s="292"/>
      <c r="NCU16" s="292"/>
      <c r="NCV16" s="292"/>
      <c r="NCW16" s="292"/>
      <c r="NCX16" s="292"/>
      <c r="NCY16" s="292"/>
      <c r="NCZ16" s="292"/>
      <c r="NDA16" s="292"/>
      <c r="NDB16" s="292"/>
      <c r="NDC16" s="292"/>
      <c r="NDD16" s="292"/>
      <c r="NDE16" s="292"/>
      <c r="NDF16" s="292"/>
      <c r="NDG16" s="292"/>
      <c r="NDH16" s="292"/>
      <c r="NDI16" s="292"/>
      <c r="NDJ16" s="292"/>
      <c r="NDK16" s="292"/>
      <c r="NDL16" s="292"/>
      <c r="NDM16" s="292"/>
      <c r="NDN16" s="292"/>
      <c r="NDO16" s="292"/>
      <c r="NDP16" s="292"/>
      <c r="NDQ16" s="292"/>
      <c r="NDR16" s="292"/>
      <c r="NDS16" s="292"/>
      <c r="NDT16" s="292"/>
      <c r="NDU16" s="292"/>
      <c r="NDV16" s="292"/>
      <c r="NDW16" s="292"/>
      <c r="NDX16" s="292"/>
      <c r="NDY16" s="292"/>
      <c r="NDZ16" s="292"/>
      <c r="NEA16" s="292"/>
      <c r="NEB16" s="292"/>
      <c r="NEC16" s="292"/>
      <c r="NED16" s="292"/>
      <c r="NEE16" s="292"/>
      <c r="NEF16" s="292"/>
      <c r="NEG16" s="292"/>
      <c r="NEH16" s="292"/>
      <c r="NEI16" s="292"/>
      <c r="NEJ16" s="292"/>
      <c r="NEK16" s="292"/>
      <c r="NEL16" s="292"/>
      <c r="NEM16" s="292"/>
      <c r="NEN16" s="292"/>
      <c r="NEO16" s="292"/>
      <c r="NEP16" s="292"/>
      <c r="NEQ16" s="292"/>
      <c r="NER16" s="292"/>
      <c r="NES16" s="292"/>
      <c r="NET16" s="292"/>
      <c r="NEU16" s="292"/>
      <c r="NEV16" s="292"/>
      <c r="NEW16" s="292"/>
      <c r="NEX16" s="292"/>
      <c r="NEY16" s="292"/>
      <c r="NEZ16" s="292"/>
      <c r="NFA16" s="292"/>
      <c r="NFB16" s="292"/>
      <c r="NFC16" s="292"/>
      <c r="NFD16" s="292"/>
      <c r="NFE16" s="292"/>
      <c r="NFF16" s="292"/>
      <c r="NFG16" s="292"/>
      <c r="NFH16" s="292"/>
      <c r="NFI16" s="292"/>
      <c r="NFJ16" s="292"/>
      <c r="NFK16" s="292"/>
      <c r="NFL16" s="292"/>
      <c r="NFM16" s="292"/>
      <c r="NFN16" s="292"/>
      <c r="NFO16" s="292"/>
      <c r="NFP16" s="292"/>
      <c r="NFQ16" s="292"/>
      <c r="NFR16" s="292"/>
      <c r="NFS16" s="292"/>
      <c r="NFT16" s="292"/>
      <c r="NFU16" s="292"/>
      <c r="NFV16" s="292"/>
      <c r="NFW16" s="292"/>
      <c r="NFX16" s="292"/>
      <c r="NFY16" s="292"/>
      <c r="NFZ16" s="292"/>
      <c r="NGA16" s="292"/>
      <c r="NGB16" s="292"/>
      <c r="NGC16" s="292"/>
      <c r="NGD16" s="292"/>
      <c r="NGE16" s="292"/>
      <c r="NGF16" s="292"/>
      <c r="NGG16" s="292"/>
      <c r="NGH16" s="292"/>
      <c r="NGI16" s="292"/>
      <c r="NGJ16" s="292"/>
      <c r="NGK16" s="292"/>
      <c r="NGL16" s="292"/>
      <c r="NGM16" s="292"/>
      <c r="NGN16" s="292"/>
      <c r="NGO16" s="292"/>
      <c r="NGP16" s="292"/>
      <c r="NGQ16" s="292"/>
      <c r="NGR16" s="292"/>
      <c r="NGS16" s="292"/>
      <c r="NGT16" s="292"/>
      <c r="NGU16" s="292"/>
      <c r="NGV16" s="292"/>
      <c r="NGW16" s="292"/>
      <c r="NGX16" s="292"/>
      <c r="NGY16" s="292"/>
      <c r="NGZ16" s="292"/>
      <c r="NHA16" s="292"/>
      <c r="NHB16" s="292"/>
      <c r="NHC16" s="292"/>
      <c r="NHD16" s="292"/>
      <c r="NHE16" s="292"/>
      <c r="NHF16" s="292"/>
      <c r="NHG16" s="292"/>
      <c r="NHH16" s="292"/>
      <c r="NHI16" s="292"/>
      <c r="NHJ16" s="292"/>
      <c r="NHK16" s="292"/>
      <c r="NHL16" s="292"/>
      <c r="NHM16" s="292"/>
      <c r="NHN16" s="292"/>
      <c r="NHO16" s="292"/>
      <c r="NHP16" s="292"/>
      <c r="NHQ16" s="292"/>
      <c r="NHR16" s="292"/>
      <c r="NHS16" s="292"/>
      <c r="NHT16" s="292"/>
      <c r="NHU16" s="292"/>
      <c r="NHV16" s="292"/>
      <c r="NHW16" s="292"/>
      <c r="NHX16" s="292"/>
      <c r="NHY16" s="292"/>
      <c r="NHZ16" s="292"/>
      <c r="NIA16" s="292"/>
      <c r="NIB16" s="292"/>
      <c r="NIC16" s="292"/>
      <c r="NID16" s="292"/>
      <c r="NIE16" s="292"/>
      <c r="NIF16" s="292"/>
      <c r="NIG16" s="292"/>
      <c r="NIH16" s="292"/>
      <c r="NII16" s="292"/>
      <c r="NIJ16" s="292"/>
      <c r="NIK16" s="292"/>
      <c r="NIL16" s="292"/>
      <c r="NIM16" s="292"/>
      <c r="NIN16" s="292"/>
      <c r="NIO16" s="292"/>
      <c r="NIP16" s="292"/>
      <c r="NIQ16" s="292"/>
      <c r="NIR16" s="292"/>
      <c r="NIS16" s="292"/>
      <c r="NIT16" s="292"/>
      <c r="NIU16" s="292"/>
      <c r="NIV16" s="292"/>
      <c r="NIW16" s="292"/>
      <c r="NIX16" s="292"/>
      <c r="NIY16" s="292"/>
      <c r="NIZ16" s="292"/>
      <c r="NJA16" s="292"/>
      <c r="NJB16" s="292"/>
      <c r="NJC16" s="292"/>
      <c r="NJD16" s="292"/>
      <c r="NJE16" s="292"/>
      <c r="NJF16" s="292"/>
      <c r="NJG16" s="292"/>
      <c r="NJH16" s="292"/>
      <c r="NJI16" s="292"/>
      <c r="NJJ16" s="292"/>
      <c r="NJK16" s="292"/>
      <c r="NJL16" s="292"/>
      <c r="NJM16" s="292"/>
      <c r="NJN16" s="292"/>
      <c r="NJO16" s="292"/>
      <c r="NJP16" s="292"/>
      <c r="NJQ16" s="292"/>
      <c r="NJR16" s="292"/>
      <c r="NJS16" s="292"/>
      <c r="NJT16" s="292"/>
      <c r="NJU16" s="292"/>
      <c r="NJV16" s="292"/>
      <c r="NJW16" s="292"/>
      <c r="NJX16" s="292"/>
      <c r="NJY16" s="292"/>
      <c r="NJZ16" s="292"/>
      <c r="NKA16" s="292"/>
      <c r="NKB16" s="292"/>
      <c r="NKC16" s="292"/>
      <c r="NKD16" s="292"/>
      <c r="NKE16" s="292"/>
      <c r="NKF16" s="292"/>
      <c r="NKG16" s="292"/>
      <c r="NKH16" s="292"/>
      <c r="NKI16" s="292"/>
      <c r="NKJ16" s="292"/>
      <c r="NKK16" s="292"/>
      <c r="NKL16" s="292"/>
      <c r="NKM16" s="292"/>
      <c r="NKN16" s="292"/>
      <c r="NKO16" s="292"/>
      <c r="NKP16" s="292"/>
      <c r="NKQ16" s="292"/>
      <c r="NKR16" s="292"/>
      <c r="NKS16" s="292"/>
      <c r="NKT16" s="292"/>
      <c r="NKU16" s="292"/>
      <c r="NKV16" s="292"/>
      <c r="NKW16" s="292"/>
      <c r="NKX16" s="292"/>
      <c r="NKY16" s="292"/>
      <c r="NKZ16" s="292"/>
      <c r="NLA16" s="292"/>
      <c r="NLB16" s="292"/>
      <c r="NLC16" s="292"/>
      <c r="NLD16" s="292"/>
      <c r="NLE16" s="292"/>
      <c r="NLF16" s="292"/>
      <c r="NLG16" s="292"/>
      <c r="NLH16" s="292"/>
      <c r="NLI16" s="292"/>
      <c r="NLJ16" s="292"/>
      <c r="NLK16" s="292"/>
      <c r="NLL16" s="292"/>
      <c r="NLM16" s="292"/>
      <c r="NLN16" s="292"/>
      <c r="NLO16" s="292"/>
      <c r="NLP16" s="292"/>
      <c r="NLQ16" s="292"/>
      <c r="NLR16" s="292"/>
      <c r="NLS16" s="292"/>
      <c r="NLT16" s="292"/>
      <c r="NLU16" s="292"/>
      <c r="NLV16" s="292"/>
      <c r="NLW16" s="292"/>
      <c r="NLX16" s="292"/>
      <c r="NLY16" s="292"/>
      <c r="NLZ16" s="292"/>
      <c r="NMA16" s="292"/>
      <c r="NMB16" s="292"/>
      <c r="NMC16" s="292"/>
      <c r="NMD16" s="292"/>
      <c r="NME16" s="292"/>
      <c r="NMF16" s="292"/>
      <c r="NMG16" s="292"/>
      <c r="NMH16" s="292"/>
      <c r="NMI16" s="292"/>
      <c r="NMJ16" s="292"/>
      <c r="NMK16" s="292"/>
      <c r="NML16" s="292"/>
      <c r="NMM16" s="292"/>
      <c r="NMN16" s="292"/>
      <c r="NMO16" s="292"/>
      <c r="NMP16" s="292"/>
      <c r="NMQ16" s="292"/>
      <c r="NMR16" s="292"/>
      <c r="NMS16" s="292"/>
      <c r="NMT16" s="292"/>
      <c r="NMU16" s="292"/>
      <c r="NMV16" s="292"/>
      <c r="NMW16" s="292"/>
      <c r="NMX16" s="292"/>
      <c r="NMY16" s="292"/>
      <c r="NMZ16" s="292"/>
      <c r="NNA16" s="292"/>
      <c r="NNB16" s="292"/>
      <c r="NNC16" s="292"/>
      <c r="NND16" s="292"/>
      <c r="NNE16" s="292"/>
      <c r="NNF16" s="292"/>
      <c r="NNG16" s="292"/>
      <c r="NNH16" s="292"/>
      <c r="NNI16" s="292"/>
      <c r="NNJ16" s="292"/>
      <c r="NNK16" s="292"/>
      <c r="NNL16" s="292"/>
      <c r="NNM16" s="292"/>
      <c r="NNN16" s="292"/>
      <c r="NNO16" s="292"/>
      <c r="NNP16" s="292"/>
      <c r="NNQ16" s="292"/>
      <c r="NNR16" s="292"/>
      <c r="NNS16" s="292"/>
      <c r="NNT16" s="292"/>
      <c r="NNU16" s="292"/>
      <c r="NNV16" s="292"/>
      <c r="NNW16" s="292"/>
      <c r="NNX16" s="292"/>
      <c r="NNY16" s="292"/>
      <c r="NNZ16" s="292"/>
      <c r="NOA16" s="292"/>
      <c r="NOB16" s="292"/>
      <c r="NOC16" s="292"/>
      <c r="NOD16" s="292"/>
      <c r="NOE16" s="292"/>
      <c r="NOF16" s="292"/>
      <c r="NOG16" s="292"/>
      <c r="NOH16" s="292"/>
      <c r="NOI16" s="292"/>
      <c r="NOJ16" s="292"/>
      <c r="NOK16" s="292"/>
      <c r="NOL16" s="292"/>
      <c r="NOM16" s="292"/>
      <c r="NON16" s="292"/>
      <c r="NOO16" s="292"/>
      <c r="NOP16" s="292"/>
      <c r="NOQ16" s="292"/>
      <c r="NOR16" s="292"/>
      <c r="NOS16" s="292"/>
      <c r="NOT16" s="292"/>
      <c r="NOU16" s="292"/>
      <c r="NOV16" s="292"/>
      <c r="NOW16" s="292"/>
      <c r="NOX16" s="292"/>
      <c r="NOY16" s="292"/>
      <c r="NOZ16" s="292"/>
      <c r="NPA16" s="292"/>
      <c r="NPB16" s="292"/>
      <c r="NPC16" s="292"/>
      <c r="NPD16" s="292"/>
      <c r="NPE16" s="292"/>
      <c r="NPF16" s="292"/>
      <c r="NPG16" s="292"/>
      <c r="NPH16" s="292"/>
      <c r="NPI16" s="292"/>
      <c r="NPJ16" s="292"/>
      <c r="NPK16" s="292"/>
      <c r="NPL16" s="292"/>
      <c r="NPM16" s="292"/>
      <c r="NPN16" s="292"/>
      <c r="NPO16" s="292"/>
      <c r="NPP16" s="292"/>
      <c r="NPQ16" s="292"/>
      <c r="NPR16" s="292"/>
      <c r="NPS16" s="292"/>
      <c r="NPT16" s="292"/>
      <c r="NPU16" s="292"/>
      <c r="NPV16" s="292"/>
      <c r="NPW16" s="292"/>
      <c r="NPX16" s="292"/>
      <c r="NPY16" s="292"/>
      <c r="NPZ16" s="292"/>
      <c r="NQA16" s="292"/>
      <c r="NQB16" s="292"/>
      <c r="NQC16" s="292"/>
      <c r="NQD16" s="292"/>
      <c r="NQE16" s="292"/>
      <c r="NQF16" s="292"/>
      <c r="NQG16" s="292"/>
      <c r="NQH16" s="292"/>
      <c r="NQI16" s="292"/>
      <c r="NQJ16" s="292"/>
      <c r="NQK16" s="292"/>
      <c r="NQL16" s="292"/>
      <c r="NQM16" s="292"/>
      <c r="NQN16" s="292"/>
      <c r="NQO16" s="292"/>
      <c r="NQP16" s="292"/>
      <c r="NQQ16" s="292"/>
      <c r="NQR16" s="292"/>
      <c r="NQS16" s="292"/>
      <c r="NQT16" s="292"/>
      <c r="NQU16" s="292"/>
      <c r="NQV16" s="292"/>
      <c r="NQW16" s="292"/>
      <c r="NQX16" s="292"/>
      <c r="NQY16" s="292"/>
      <c r="NQZ16" s="292"/>
      <c r="NRA16" s="292"/>
      <c r="NRB16" s="292"/>
      <c r="NRC16" s="292"/>
      <c r="NRD16" s="292"/>
      <c r="NRE16" s="292"/>
      <c r="NRF16" s="292"/>
      <c r="NRG16" s="292"/>
      <c r="NRH16" s="292"/>
      <c r="NRI16" s="292"/>
      <c r="NRJ16" s="292"/>
      <c r="NRK16" s="292"/>
      <c r="NRL16" s="292"/>
      <c r="NRM16" s="292"/>
      <c r="NRN16" s="292"/>
      <c r="NRO16" s="292"/>
      <c r="NRP16" s="292"/>
      <c r="NRQ16" s="292"/>
      <c r="NRR16" s="292"/>
      <c r="NRS16" s="292"/>
      <c r="NRT16" s="292"/>
      <c r="NRU16" s="292"/>
      <c r="NRV16" s="292"/>
      <c r="NRW16" s="292"/>
      <c r="NRX16" s="292"/>
      <c r="NRY16" s="292"/>
      <c r="NRZ16" s="292"/>
      <c r="NSA16" s="292"/>
      <c r="NSB16" s="292"/>
      <c r="NSC16" s="292"/>
      <c r="NSD16" s="292"/>
      <c r="NSE16" s="292"/>
      <c r="NSF16" s="292"/>
      <c r="NSG16" s="292"/>
      <c r="NSH16" s="292"/>
      <c r="NSI16" s="292"/>
      <c r="NSJ16" s="292"/>
      <c r="NSK16" s="292"/>
      <c r="NSL16" s="292"/>
      <c r="NSM16" s="292"/>
      <c r="NSN16" s="292"/>
      <c r="NSO16" s="292"/>
      <c r="NSP16" s="292"/>
      <c r="NSQ16" s="292"/>
      <c r="NSR16" s="292"/>
      <c r="NSS16" s="292"/>
      <c r="NST16" s="292"/>
      <c r="NSU16" s="292"/>
      <c r="NSV16" s="292"/>
      <c r="NSW16" s="292"/>
      <c r="NSX16" s="292"/>
      <c r="NSY16" s="292"/>
      <c r="NSZ16" s="292"/>
      <c r="NTA16" s="292"/>
      <c r="NTB16" s="292"/>
      <c r="NTC16" s="292"/>
      <c r="NTD16" s="292"/>
      <c r="NTE16" s="292"/>
      <c r="NTF16" s="292"/>
      <c r="NTG16" s="292"/>
      <c r="NTH16" s="292"/>
      <c r="NTI16" s="292"/>
      <c r="NTJ16" s="292"/>
      <c r="NTK16" s="292"/>
      <c r="NTL16" s="292"/>
      <c r="NTM16" s="292"/>
      <c r="NTN16" s="292"/>
      <c r="NTO16" s="292"/>
      <c r="NTP16" s="292"/>
      <c r="NTQ16" s="292"/>
      <c r="NTR16" s="292"/>
      <c r="NTS16" s="292"/>
      <c r="NTT16" s="292"/>
      <c r="NTU16" s="292"/>
      <c r="NTV16" s="292"/>
      <c r="NTW16" s="292"/>
      <c r="NTX16" s="292"/>
      <c r="NTY16" s="292"/>
      <c r="NTZ16" s="292"/>
      <c r="NUA16" s="292"/>
      <c r="NUB16" s="292"/>
      <c r="NUC16" s="292"/>
      <c r="NUD16" s="292"/>
      <c r="NUE16" s="292"/>
      <c r="NUF16" s="292"/>
      <c r="NUG16" s="292"/>
      <c r="NUH16" s="292"/>
      <c r="NUI16" s="292"/>
      <c r="NUJ16" s="292"/>
      <c r="NUK16" s="292"/>
      <c r="NUL16" s="292"/>
      <c r="NUM16" s="292"/>
      <c r="NUN16" s="292"/>
      <c r="NUO16" s="292"/>
      <c r="NUP16" s="292"/>
      <c r="NUQ16" s="292"/>
      <c r="NUR16" s="292"/>
      <c r="NUS16" s="292"/>
      <c r="NUT16" s="292"/>
      <c r="NUU16" s="292"/>
      <c r="NUV16" s="292"/>
      <c r="NUW16" s="292"/>
      <c r="NUX16" s="292"/>
      <c r="NUY16" s="292"/>
      <c r="NUZ16" s="292"/>
      <c r="NVA16" s="292"/>
      <c r="NVB16" s="292"/>
      <c r="NVC16" s="292"/>
      <c r="NVD16" s="292"/>
      <c r="NVE16" s="292"/>
      <c r="NVF16" s="292"/>
      <c r="NVG16" s="292"/>
      <c r="NVH16" s="292"/>
      <c r="NVI16" s="292"/>
      <c r="NVJ16" s="292"/>
      <c r="NVK16" s="292"/>
      <c r="NVL16" s="292"/>
      <c r="NVM16" s="292"/>
      <c r="NVN16" s="292"/>
      <c r="NVO16" s="292"/>
      <c r="NVP16" s="292"/>
      <c r="NVQ16" s="292"/>
      <c r="NVR16" s="292"/>
      <c r="NVS16" s="292"/>
      <c r="NVT16" s="292"/>
      <c r="NVU16" s="292"/>
      <c r="NVV16" s="292"/>
      <c r="NVW16" s="292"/>
      <c r="NVX16" s="292"/>
      <c r="NVY16" s="292"/>
      <c r="NVZ16" s="292"/>
      <c r="NWA16" s="292"/>
      <c r="NWB16" s="292"/>
      <c r="NWC16" s="292"/>
      <c r="NWD16" s="292"/>
      <c r="NWE16" s="292"/>
      <c r="NWF16" s="292"/>
      <c r="NWG16" s="292"/>
      <c r="NWH16" s="292"/>
      <c r="NWI16" s="292"/>
      <c r="NWJ16" s="292"/>
      <c r="NWK16" s="292"/>
      <c r="NWL16" s="292"/>
      <c r="NWM16" s="292"/>
      <c r="NWN16" s="292"/>
      <c r="NWO16" s="292"/>
      <c r="NWP16" s="292"/>
      <c r="NWQ16" s="292"/>
      <c r="NWR16" s="292"/>
      <c r="NWS16" s="292"/>
      <c r="NWT16" s="292"/>
      <c r="NWU16" s="292"/>
      <c r="NWV16" s="292"/>
      <c r="NWW16" s="292"/>
      <c r="NWX16" s="292"/>
      <c r="NWY16" s="292"/>
      <c r="NWZ16" s="292"/>
      <c r="NXA16" s="292"/>
      <c r="NXB16" s="292"/>
      <c r="NXC16" s="292"/>
      <c r="NXD16" s="292"/>
      <c r="NXE16" s="292"/>
      <c r="NXF16" s="292"/>
      <c r="NXG16" s="292"/>
      <c r="NXH16" s="292"/>
      <c r="NXI16" s="292"/>
      <c r="NXJ16" s="292"/>
      <c r="NXK16" s="292"/>
      <c r="NXL16" s="292"/>
      <c r="NXM16" s="292"/>
      <c r="NXN16" s="292"/>
      <c r="NXO16" s="292"/>
      <c r="NXP16" s="292"/>
      <c r="NXQ16" s="292"/>
      <c r="NXR16" s="292"/>
      <c r="NXS16" s="292"/>
      <c r="NXT16" s="292"/>
      <c r="NXU16" s="292"/>
      <c r="NXV16" s="292"/>
      <c r="NXW16" s="292"/>
      <c r="NXX16" s="292"/>
      <c r="NXY16" s="292"/>
      <c r="NXZ16" s="292"/>
      <c r="NYA16" s="292"/>
      <c r="NYB16" s="292"/>
      <c r="NYC16" s="292"/>
      <c r="NYD16" s="292"/>
      <c r="NYE16" s="292"/>
      <c r="NYF16" s="292"/>
      <c r="NYG16" s="292"/>
      <c r="NYH16" s="292"/>
      <c r="NYI16" s="292"/>
      <c r="NYJ16" s="292"/>
      <c r="NYK16" s="292"/>
      <c r="NYL16" s="292"/>
      <c r="NYM16" s="292"/>
      <c r="NYN16" s="292"/>
      <c r="NYO16" s="292"/>
      <c r="NYP16" s="292"/>
      <c r="NYQ16" s="292"/>
      <c r="NYR16" s="292"/>
      <c r="NYS16" s="292"/>
      <c r="NYT16" s="292"/>
      <c r="NYU16" s="292"/>
      <c r="NYV16" s="292"/>
      <c r="NYW16" s="292"/>
      <c r="NYX16" s="292"/>
      <c r="NYY16" s="292"/>
      <c r="NYZ16" s="292"/>
      <c r="NZA16" s="292"/>
      <c r="NZB16" s="292"/>
      <c r="NZC16" s="292"/>
      <c r="NZD16" s="292"/>
      <c r="NZE16" s="292"/>
      <c r="NZF16" s="292"/>
      <c r="NZG16" s="292"/>
      <c r="NZH16" s="292"/>
      <c r="NZI16" s="292"/>
      <c r="NZJ16" s="292"/>
      <c r="NZK16" s="292"/>
      <c r="NZL16" s="292"/>
      <c r="NZM16" s="292"/>
      <c r="NZN16" s="292"/>
      <c r="NZO16" s="292"/>
      <c r="NZP16" s="292"/>
      <c r="NZQ16" s="292"/>
      <c r="NZR16" s="292"/>
      <c r="NZS16" s="292"/>
      <c r="NZT16" s="292"/>
      <c r="NZU16" s="292"/>
      <c r="NZV16" s="292"/>
      <c r="NZW16" s="292"/>
      <c r="NZX16" s="292"/>
      <c r="NZY16" s="292"/>
      <c r="NZZ16" s="292"/>
      <c r="OAA16" s="292"/>
      <c r="OAB16" s="292"/>
      <c r="OAC16" s="292"/>
      <c r="OAD16" s="292"/>
      <c r="OAE16" s="292"/>
      <c r="OAF16" s="292"/>
      <c r="OAG16" s="292"/>
      <c r="OAH16" s="292"/>
      <c r="OAI16" s="292"/>
      <c r="OAJ16" s="292"/>
      <c r="OAK16" s="292"/>
      <c r="OAL16" s="292"/>
      <c r="OAM16" s="292"/>
      <c r="OAN16" s="292"/>
      <c r="OAO16" s="292"/>
      <c r="OAP16" s="292"/>
      <c r="OAQ16" s="292"/>
      <c r="OAR16" s="292"/>
      <c r="OAS16" s="292"/>
      <c r="OAT16" s="292"/>
      <c r="OAU16" s="292"/>
      <c r="OAV16" s="292"/>
      <c r="OAW16" s="292"/>
      <c r="OAX16" s="292"/>
      <c r="OAY16" s="292"/>
      <c r="OAZ16" s="292"/>
      <c r="OBA16" s="292"/>
      <c r="OBB16" s="292"/>
      <c r="OBC16" s="292"/>
      <c r="OBD16" s="292"/>
      <c r="OBE16" s="292"/>
      <c r="OBF16" s="292"/>
      <c r="OBG16" s="292"/>
      <c r="OBH16" s="292"/>
      <c r="OBI16" s="292"/>
      <c r="OBJ16" s="292"/>
      <c r="OBK16" s="292"/>
      <c r="OBL16" s="292"/>
      <c r="OBM16" s="292"/>
      <c r="OBN16" s="292"/>
      <c r="OBO16" s="292"/>
      <c r="OBP16" s="292"/>
      <c r="OBQ16" s="292"/>
      <c r="OBR16" s="292"/>
      <c r="OBS16" s="292"/>
      <c r="OBT16" s="292"/>
      <c r="OBU16" s="292"/>
      <c r="OBV16" s="292"/>
      <c r="OBW16" s="292"/>
      <c r="OBX16" s="292"/>
      <c r="OBY16" s="292"/>
      <c r="OBZ16" s="292"/>
      <c r="OCA16" s="292"/>
      <c r="OCB16" s="292"/>
      <c r="OCC16" s="292"/>
      <c r="OCD16" s="292"/>
      <c r="OCE16" s="292"/>
      <c r="OCF16" s="292"/>
      <c r="OCG16" s="292"/>
      <c r="OCH16" s="292"/>
      <c r="OCI16" s="292"/>
      <c r="OCJ16" s="292"/>
      <c r="OCK16" s="292"/>
      <c r="OCL16" s="292"/>
      <c r="OCM16" s="292"/>
      <c r="OCN16" s="292"/>
      <c r="OCO16" s="292"/>
      <c r="OCP16" s="292"/>
      <c r="OCQ16" s="292"/>
      <c r="OCR16" s="292"/>
      <c r="OCS16" s="292"/>
      <c r="OCT16" s="292"/>
      <c r="OCU16" s="292"/>
      <c r="OCV16" s="292"/>
      <c r="OCW16" s="292"/>
      <c r="OCX16" s="292"/>
      <c r="OCY16" s="292"/>
      <c r="OCZ16" s="292"/>
      <c r="ODA16" s="292"/>
      <c r="ODB16" s="292"/>
      <c r="ODC16" s="292"/>
      <c r="ODD16" s="292"/>
      <c r="ODE16" s="292"/>
      <c r="ODF16" s="292"/>
      <c r="ODG16" s="292"/>
      <c r="ODH16" s="292"/>
      <c r="ODI16" s="292"/>
      <c r="ODJ16" s="292"/>
      <c r="ODK16" s="292"/>
      <c r="ODL16" s="292"/>
      <c r="ODM16" s="292"/>
      <c r="ODN16" s="292"/>
      <c r="ODO16" s="292"/>
      <c r="ODP16" s="292"/>
      <c r="ODQ16" s="292"/>
      <c r="ODR16" s="292"/>
      <c r="ODS16" s="292"/>
      <c r="ODT16" s="292"/>
      <c r="ODU16" s="292"/>
      <c r="ODV16" s="292"/>
      <c r="ODW16" s="292"/>
      <c r="ODX16" s="292"/>
      <c r="ODY16" s="292"/>
      <c r="ODZ16" s="292"/>
      <c r="OEA16" s="292"/>
      <c r="OEB16" s="292"/>
      <c r="OEC16" s="292"/>
      <c r="OED16" s="292"/>
      <c r="OEE16" s="292"/>
      <c r="OEF16" s="292"/>
      <c r="OEG16" s="292"/>
      <c r="OEH16" s="292"/>
      <c r="OEI16" s="292"/>
      <c r="OEJ16" s="292"/>
      <c r="OEK16" s="292"/>
      <c r="OEL16" s="292"/>
      <c r="OEM16" s="292"/>
      <c r="OEN16" s="292"/>
      <c r="OEO16" s="292"/>
      <c r="OEP16" s="292"/>
      <c r="OEQ16" s="292"/>
      <c r="OER16" s="292"/>
      <c r="OES16" s="292"/>
      <c r="OET16" s="292"/>
      <c r="OEU16" s="292"/>
      <c r="OEV16" s="292"/>
      <c r="OEW16" s="292"/>
      <c r="OEX16" s="292"/>
      <c r="OEY16" s="292"/>
      <c r="OEZ16" s="292"/>
      <c r="OFA16" s="292"/>
      <c r="OFB16" s="292"/>
      <c r="OFC16" s="292"/>
      <c r="OFD16" s="292"/>
      <c r="OFE16" s="292"/>
      <c r="OFF16" s="292"/>
      <c r="OFG16" s="292"/>
      <c r="OFH16" s="292"/>
      <c r="OFI16" s="292"/>
      <c r="OFJ16" s="292"/>
      <c r="OFK16" s="292"/>
      <c r="OFL16" s="292"/>
      <c r="OFM16" s="292"/>
      <c r="OFN16" s="292"/>
      <c r="OFO16" s="292"/>
      <c r="OFP16" s="292"/>
      <c r="OFQ16" s="292"/>
      <c r="OFR16" s="292"/>
      <c r="OFS16" s="292"/>
      <c r="OFT16" s="292"/>
      <c r="OFU16" s="292"/>
      <c r="OFV16" s="292"/>
      <c r="OFW16" s="292"/>
      <c r="OFX16" s="292"/>
      <c r="OFY16" s="292"/>
      <c r="OFZ16" s="292"/>
      <c r="OGA16" s="292"/>
      <c r="OGB16" s="292"/>
      <c r="OGC16" s="292"/>
      <c r="OGD16" s="292"/>
      <c r="OGE16" s="292"/>
      <c r="OGF16" s="292"/>
      <c r="OGG16" s="292"/>
      <c r="OGH16" s="292"/>
      <c r="OGI16" s="292"/>
      <c r="OGJ16" s="292"/>
      <c r="OGK16" s="292"/>
      <c r="OGL16" s="292"/>
      <c r="OGM16" s="292"/>
      <c r="OGN16" s="292"/>
      <c r="OGO16" s="292"/>
      <c r="OGP16" s="292"/>
      <c r="OGQ16" s="292"/>
      <c r="OGR16" s="292"/>
      <c r="OGS16" s="292"/>
      <c r="OGT16" s="292"/>
      <c r="OGU16" s="292"/>
      <c r="OGV16" s="292"/>
      <c r="OGW16" s="292"/>
      <c r="OGX16" s="292"/>
      <c r="OGY16" s="292"/>
      <c r="OGZ16" s="292"/>
      <c r="OHA16" s="292"/>
      <c r="OHB16" s="292"/>
      <c r="OHC16" s="292"/>
      <c r="OHD16" s="292"/>
      <c r="OHE16" s="292"/>
      <c r="OHF16" s="292"/>
      <c r="OHG16" s="292"/>
      <c r="OHH16" s="292"/>
      <c r="OHI16" s="292"/>
      <c r="OHJ16" s="292"/>
      <c r="OHK16" s="292"/>
      <c r="OHL16" s="292"/>
      <c r="OHM16" s="292"/>
      <c r="OHN16" s="292"/>
      <c r="OHO16" s="292"/>
      <c r="OHP16" s="292"/>
      <c r="OHQ16" s="292"/>
      <c r="OHR16" s="292"/>
      <c r="OHS16" s="292"/>
      <c r="OHT16" s="292"/>
      <c r="OHU16" s="292"/>
      <c r="OHV16" s="292"/>
      <c r="OHW16" s="292"/>
      <c r="OHX16" s="292"/>
      <c r="OHY16" s="292"/>
      <c r="OHZ16" s="292"/>
      <c r="OIA16" s="292"/>
      <c r="OIB16" s="292"/>
      <c r="OIC16" s="292"/>
      <c r="OID16" s="292"/>
      <c r="OIE16" s="292"/>
      <c r="OIF16" s="292"/>
      <c r="OIG16" s="292"/>
      <c r="OIH16" s="292"/>
      <c r="OII16" s="292"/>
      <c r="OIJ16" s="292"/>
      <c r="OIK16" s="292"/>
      <c r="OIL16" s="292"/>
      <c r="OIM16" s="292"/>
      <c r="OIN16" s="292"/>
      <c r="OIO16" s="292"/>
      <c r="OIP16" s="292"/>
      <c r="OIQ16" s="292"/>
      <c r="OIR16" s="292"/>
      <c r="OIS16" s="292"/>
      <c r="OIT16" s="292"/>
      <c r="OIU16" s="292"/>
      <c r="OIV16" s="292"/>
      <c r="OIW16" s="292"/>
      <c r="OIX16" s="292"/>
      <c r="OIY16" s="292"/>
      <c r="OIZ16" s="292"/>
      <c r="OJA16" s="292"/>
      <c r="OJB16" s="292"/>
      <c r="OJC16" s="292"/>
      <c r="OJD16" s="292"/>
      <c r="OJE16" s="292"/>
      <c r="OJF16" s="292"/>
      <c r="OJG16" s="292"/>
      <c r="OJH16" s="292"/>
      <c r="OJI16" s="292"/>
      <c r="OJJ16" s="292"/>
      <c r="OJK16" s="292"/>
      <c r="OJL16" s="292"/>
      <c r="OJM16" s="292"/>
      <c r="OJN16" s="292"/>
      <c r="OJO16" s="292"/>
      <c r="OJP16" s="292"/>
      <c r="OJQ16" s="292"/>
      <c r="OJR16" s="292"/>
      <c r="OJS16" s="292"/>
      <c r="OJT16" s="292"/>
      <c r="OJU16" s="292"/>
      <c r="OJV16" s="292"/>
      <c r="OJW16" s="292"/>
      <c r="OJX16" s="292"/>
      <c r="OJY16" s="292"/>
      <c r="OJZ16" s="292"/>
      <c r="OKA16" s="292"/>
      <c r="OKB16" s="292"/>
      <c r="OKC16" s="292"/>
      <c r="OKD16" s="292"/>
      <c r="OKE16" s="292"/>
      <c r="OKF16" s="292"/>
      <c r="OKG16" s="292"/>
      <c r="OKH16" s="292"/>
      <c r="OKI16" s="292"/>
      <c r="OKJ16" s="292"/>
      <c r="OKK16" s="292"/>
      <c r="OKL16" s="292"/>
      <c r="OKM16" s="292"/>
      <c r="OKN16" s="292"/>
      <c r="OKO16" s="292"/>
      <c r="OKP16" s="292"/>
      <c r="OKQ16" s="292"/>
      <c r="OKR16" s="292"/>
      <c r="OKS16" s="292"/>
      <c r="OKT16" s="292"/>
      <c r="OKU16" s="292"/>
      <c r="OKV16" s="292"/>
      <c r="OKW16" s="292"/>
      <c r="OKX16" s="292"/>
      <c r="OKY16" s="292"/>
      <c r="OKZ16" s="292"/>
      <c r="OLA16" s="292"/>
      <c r="OLB16" s="292"/>
      <c r="OLC16" s="292"/>
      <c r="OLD16" s="292"/>
      <c r="OLE16" s="292"/>
      <c r="OLF16" s="292"/>
      <c r="OLG16" s="292"/>
      <c r="OLH16" s="292"/>
      <c r="OLI16" s="292"/>
      <c r="OLJ16" s="292"/>
      <c r="OLK16" s="292"/>
      <c r="OLL16" s="292"/>
      <c r="OLM16" s="292"/>
      <c r="OLN16" s="292"/>
      <c r="OLO16" s="292"/>
      <c r="OLP16" s="292"/>
      <c r="OLQ16" s="292"/>
      <c r="OLR16" s="292"/>
      <c r="OLS16" s="292"/>
      <c r="OLT16" s="292"/>
      <c r="OLU16" s="292"/>
      <c r="OLV16" s="292"/>
      <c r="OLW16" s="292"/>
      <c r="OLX16" s="292"/>
      <c r="OLY16" s="292"/>
      <c r="OLZ16" s="292"/>
      <c r="OMA16" s="292"/>
      <c r="OMB16" s="292"/>
      <c r="OMC16" s="292"/>
      <c r="OMD16" s="292"/>
      <c r="OME16" s="292"/>
      <c r="OMF16" s="292"/>
      <c r="OMG16" s="292"/>
      <c r="OMH16" s="292"/>
      <c r="OMI16" s="292"/>
      <c r="OMJ16" s="292"/>
      <c r="OMK16" s="292"/>
      <c r="OML16" s="292"/>
      <c r="OMM16" s="292"/>
      <c r="OMN16" s="292"/>
      <c r="OMO16" s="292"/>
      <c r="OMP16" s="292"/>
      <c r="OMQ16" s="292"/>
      <c r="OMR16" s="292"/>
      <c r="OMS16" s="292"/>
      <c r="OMT16" s="292"/>
      <c r="OMU16" s="292"/>
      <c r="OMV16" s="292"/>
      <c r="OMW16" s="292"/>
      <c r="OMX16" s="292"/>
      <c r="OMY16" s="292"/>
      <c r="OMZ16" s="292"/>
      <c r="ONA16" s="292"/>
      <c r="ONB16" s="292"/>
      <c r="ONC16" s="292"/>
      <c r="OND16" s="292"/>
      <c r="ONE16" s="292"/>
      <c r="ONF16" s="292"/>
      <c r="ONG16" s="292"/>
      <c r="ONH16" s="292"/>
      <c r="ONI16" s="292"/>
      <c r="ONJ16" s="292"/>
      <c r="ONK16" s="292"/>
      <c r="ONL16" s="292"/>
      <c r="ONM16" s="292"/>
      <c r="ONN16" s="292"/>
      <c r="ONO16" s="292"/>
      <c r="ONP16" s="292"/>
      <c r="ONQ16" s="292"/>
      <c r="ONR16" s="292"/>
      <c r="ONS16" s="292"/>
      <c r="ONT16" s="292"/>
      <c r="ONU16" s="292"/>
      <c r="ONV16" s="292"/>
      <c r="ONW16" s="292"/>
      <c r="ONX16" s="292"/>
      <c r="ONY16" s="292"/>
      <c r="ONZ16" s="292"/>
      <c r="OOA16" s="292"/>
      <c r="OOB16" s="292"/>
      <c r="OOC16" s="292"/>
      <c r="OOD16" s="292"/>
      <c r="OOE16" s="292"/>
      <c r="OOF16" s="292"/>
      <c r="OOG16" s="292"/>
      <c r="OOH16" s="292"/>
      <c r="OOI16" s="292"/>
      <c r="OOJ16" s="292"/>
      <c r="OOK16" s="292"/>
      <c r="OOL16" s="292"/>
      <c r="OOM16" s="292"/>
      <c r="OON16" s="292"/>
      <c r="OOO16" s="292"/>
      <c r="OOP16" s="292"/>
      <c r="OOQ16" s="292"/>
      <c r="OOR16" s="292"/>
      <c r="OOS16" s="292"/>
      <c r="OOT16" s="292"/>
      <c r="OOU16" s="292"/>
      <c r="OOV16" s="292"/>
      <c r="OOW16" s="292"/>
      <c r="OOX16" s="292"/>
      <c r="OOY16" s="292"/>
      <c r="OOZ16" s="292"/>
      <c r="OPA16" s="292"/>
      <c r="OPB16" s="292"/>
      <c r="OPC16" s="292"/>
      <c r="OPD16" s="292"/>
      <c r="OPE16" s="292"/>
      <c r="OPF16" s="292"/>
      <c r="OPG16" s="292"/>
      <c r="OPH16" s="292"/>
      <c r="OPI16" s="292"/>
      <c r="OPJ16" s="292"/>
      <c r="OPK16" s="292"/>
      <c r="OPL16" s="292"/>
      <c r="OPM16" s="292"/>
      <c r="OPN16" s="292"/>
      <c r="OPO16" s="292"/>
      <c r="OPP16" s="292"/>
      <c r="OPQ16" s="292"/>
      <c r="OPR16" s="292"/>
      <c r="OPS16" s="292"/>
      <c r="OPT16" s="292"/>
      <c r="OPU16" s="292"/>
      <c r="OPV16" s="292"/>
      <c r="OPW16" s="292"/>
      <c r="OPX16" s="292"/>
      <c r="OPY16" s="292"/>
      <c r="OPZ16" s="292"/>
      <c r="OQA16" s="292"/>
      <c r="OQB16" s="292"/>
      <c r="OQC16" s="292"/>
      <c r="OQD16" s="292"/>
      <c r="OQE16" s="292"/>
      <c r="OQF16" s="292"/>
      <c r="OQG16" s="292"/>
      <c r="OQH16" s="292"/>
      <c r="OQI16" s="292"/>
      <c r="OQJ16" s="292"/>
      <c r="OQK16" s="292"/>
      <c r="OQL16" s="292"/>
      <c r="OQM16" s="292"/>
      <c r="OQN16" s="292"/>
      <c r="OQO16" s="292"/>
      <c r="OQP16" s="292"/>
      <c r="OQQ16" s="292"/>
      <c r="OQR16" s="292"/>
      <c r="OQS16" s="292"/>
      <c r="OQT16" s="292"/>
      <c r="OQU16" s="292"/>
      <c r="OQV16" s="292"/>
      <c r="OQW16" s="292"/>
      <c r="OQX16" s="292"/>
      <c r="OQY16" s="292"/>
      <c r="OQZ16" s="292"/>
      <c r="ORA16" s="292"/>
      <c r="ORB16" s="292"/>
      <c r="ORC16" s="292"/>
      <c r="ORD16" s="292"/>
      <c r="ORE16" s="292"/>
      <c r="ORF16" s="292"/>
      <c r="ORG16" s="292"/>
      <c r="ORH16" s="292"/>
      <c r="ORI16" s="292"/>
      <c r="ORJ16" s="292"/>
      <c r="ORK16" s="292"/>
      <c r="ORL16" s="292"/>
      <c r="ORM16" s="292"/>
      <c r="ORN16" s="292"/>
      <c r="ORO16" s="292"/>
      <c r="ORP16" s="292"/>
      <c r="ORQ16" s="292"/>
      <c r="ORR16" s="292"/>
      <c r="ORS16" s="292"/>
      <c r="ORT16" s="292"/>
      <c r="ORU16" s="292"/>
      <c r="ORV16" s="292"/>
      <c r="ORW16" s="292"/>
      <c r="ORX16" s="292"/>
      <c r="ORY16" s="292"/>
      <c r="ORZ16" s="292"/>
      <c r="OSA16" s="292"/>
      <c r="OSB16" s="292"/>
      <c r="OSC16" s="292"/>
      <c r="OSD16" s="292"/>
      <c r="OSE16" s="292"/>
      <c r="OSF16" s="292"/>
      <c r="OSG16" s="292"/>
      <c r="OSH16" s="292"/>
      <c r="OSI16" s="292"/>
      <c r="OSJ16" s="292"/>
      <c r="OSK16" s="292"/>
      <c r="OSL16" s="292"/>
      <c r="OSM16" s="292"/>
      <c r="OSN16" s="292"/>
      <c r="OSO16" s="292"/>
      <c r="OSP16" s="292"/>
      <c r="OSQ16" s="292"/>
      <c r="OSR16" s="292"/>
      <c r="OSS16" s="292"/>
      <c r="OST16" s="292"/>
      <c r="OSU16" s="292"/>
      <c r="OSV16" s="292"/>
      <c r="OSW16" s="292"/>
      <c r="OSX16" s="292"/>
      <c r="OSY16" s="292"/>
      <c r="OSZ16" s="292"/>
      <c r="OTA16" s="292"/>
      <c r="OTB16" s="292"/>
      <c r="OTC16" s="292"/>
      <c r="OTD16" s="292"/>
      <c r="OTE16" s="292"/>
      <c r="OTF16" s="292"/>
      <c r="OTG16" s="292"/>
      <c r="OTH16" s="292"/>
      <c r="OTI16" s="292"/>
      <c r="OTJ16" s="292"/>
      <c r="OTK16" s="292"/>
      <c r="OTL16" s="292"/>
      <c r="OTM16" s="292"/>
      <c r="OTN16" s="292"/>
      <c r="OTO16" s="292"/>
      <c r="OTP16" s="292"/>
      <c r="OTQ16" s="292"/>
      <c r="OTR16" s="292"/>
      <c r="OTS16" s="292"/>
      <c r="OTT16" s="292"/>
      <c r="OTU16" s="292"/>
      <c r="OTV16" s="292"/>
      <c r="OTW16" s="292"/>
      <c r="OTX16" s="292"/>
      <c r="OTY16" s="292"/>
      <c r="OTZ16" s="292"/>
      <c r="OUA16" s="292"/>
      <c r="OUB16" s="292"/>
      <c r="OUC16" s="292"/>
      <c r="OUD16" s="292"/>
      <c r="OUE16" s="292"/>
      <c r="OUF16" s="292"/>
      <c r="OUG16" s="292"/>
      <c r="OUH16" s="292"/>
      <c r="OUI16" s="292"/>
      <c r="OUJ16" s="292"/>
      <c r="OUK16" s="292"/>
      <c r="OUL16" s="292"/>
      <c r="OUM16" s="292"/>
      <c r="OUN16" s="292"/>
      <c r="OUO16" s="292"/>
      <c r="OUP16" s="292"/>
      <c r="OUQ16" s="292"/>
      <c r="OUR16" s="292"/>
      <c r="OUS16" s="292"/>
      <c r="OUT16" s="292"/>
      <c r="OUU16" s="292"/>
      <c r="OUV16" s="292"/>
      <c r="OUW16" s="292"/>
      <c r="OUX16" s="292"/>
      <c r="OUY16" s="292"/>
      <c r="OUZ16" s="292"/>
      <c r="OVA16" s="292"/>
      <c r="OVB16" s="292"/>
      <c r="OVC16" s="292"/>
      <c r="OVD16" s="292"/>
      <c r="OVE16" s="292"/>
      <c r="OVF16" s="292"/>
      <c r="OVG16" s="292"/>
      <c r="OVH16" s="292"/>
      <c r="OVI16" s="292"/>
      <c r="OVJ16" s="292"/>
      <c r="OVK16" s="292"/>
      <c r="OVL16" s="292"/>
      <c r="OVM16" s="292"/>
      <c r="OVN16" s="292"/>
      <c r="OVO16" s="292"/>
      <c r="OVP16" s="292"/>
      <c r="OVQ16" s="292"/>
      <c r="OVR16" s="292"/>
      <c r="OVS16" s="292"/>
      <c r="OVT16" s="292"/>
      <c r="OVU16" s="292"/>
      <c r="OVV16" s="292"/>
      <c r="OVW16" s="292"/>
      <c r="OVX16" s="292"/>
      <c r="OVY16" s="292"/>
      <c r="OVZ16" s="292"/>
      <c r="OWA16" s="292"/>
      <c r="OWB16" s="292"/>
      <c r="OWC16" s="292"/>
      <c r="OWD16" s="292"/>
      <c r="OWE16" s="292"/>
      <c r="OWF16" s="292"/>
      <c r="OWG16" s="292"/>
      <c r="OWH16" s="292"/>
      <c r="OWI16" s="292"/>
      <c r="OWJ16" s="292"/>
      <c r="OWK16" s="292"/>
      <c r="OWL16" s="292"/>
      <c r="OWM16" s="292"/>
      <c r="OWN16" s="292"/>
      <c r="OWO16" s="292"/>
      <c r="OWP16" s="292"/>
      <c r="OWQ16" s="292"/>
      <c r="OWR16" s="292"/>
      <c r="OWS16" s="292"/>
      <c r="OWT16" s="292"/>
      <c r="OWU16" s="292"/>
      <c r="OWV16" s="292"/>
      <c r="OWW16" s="292"/>
      <c r="OWX16" s="292"/>
      <c r="OWY16" s="292"/>
      <c r="OWZ16" s="292"/>
      <c r="OXA16" s="292"/>
      <c r="OXB16" s="292"/>
      <c r="OXC16" s="292"/>
      <c r="OXD16" s="292"/>
      <c r="OXE16" s="292"/>
      <c r="OXF16" s="292"/>
      <c r="OXG16" s="292"/>
      <c r="OXH16" s="292"/>
      <c r="OXI16" s="292"/>
      <c r="OXJ16" s="292"/>
      <c r="OXK16" s="292"/>
      <c r="OXL16" s="292"/>
      <c r="OXM16" s="292"/>
      <c r="OXN16" s="292"/>
      <c r="OXO16" s="292"/>
      <c r="OXP16" s="292"/>
      <c r="OXQ16" s="292"/>
      <c r="OXR16" s="292"/>
      <c r="OXS16" s="292"/>
      <c r="OXT16" s="292"/>
      <c r="OXU16" s="292"/>
      <c r="OXV16" s="292"/>
      <c r="OXW16" s="292"/>
      <c r="OXX16" s="292"/>
      <c r="OXY16" s="292"/>
      <c r="OXZ16" s="292"/>
      <c r="OYA16" s="292"/>
      <c r="OYB16" s="292"/>
      <c r="OYC16" s="292"/>
      <c r="OYD16" s="292"/>
      <c r="OYE16" s="292"/>
      <c r="OYF16" s="292"/>
      <c r="OYG16" s="292"/>
      <c r="OYH16" s="292"/>
      <c r="OYI16" s="292"/>
      <c r="OYJ16" s="292"/>
      <c r="OYK16" s="292"/>
      <c r="OYL16" s="292"/>
      <c r="OYM16" s="292"/>
      <c r="OYN16" s="292"/>
      <c r="OYO16" s="292"/>
      <c r="OYP16" s="292"/>
      <c r="OYQ16" s="292"/>
      <c r="OYR16" s="292"/>
      <c r="OYS16" s="292"/>
      <c r="OYT16" s="292"/>
      <c r="OYU16" s="292"/>
      <c r="OYV16" s="292"/>
      <c r="OYW16" s="292"/>
      <c r="OYX16" s="292"/>
      <c r="OYY16" s="292"/>
      <c r="OYZ16" s="292"/>
      <c r="OZA16" s="292"/>
      <c r="OZB16" s="292"/>
      <c r="OZC16" s="292"/>
      <c r="OZD16" s="292"/>
      <c r="OZE16" s="292"/>
      <c r="OZF16" s="292"/>
      <c r="OZG16" s="292"/>
      <c r="OZH16" s="292"/>
      <c r="OZI16" s="292"/>
      <c r="OZJ16" s="292"/>
      <c r="OZK16" s="292"/>
      <c r="OZL16" s="292"/>
      <c r="OZM16" s="292"/>
      <c r="OZN16" s="292"/>
      <c r="OZO16" s="292"/>
      <c r="OZP16" s="292"/>
      <c r="OZQ16" s="292"/>
      <c r="OZR16" s="292"/>
      <c r="OZS16" s="292"/>
      <c r="OZT16" s="292"/>
      <c r="OZU16" s="292"/>
      <c r="OZV16" s="292"/>
      <c r="OZW16" s="292"/>
      <c r="OZX16" s="292"/>
      <c r="OZY16" s="292"/>
      <c r="OZZ16" s="292"/>
      <c r="PAA16" s="292"/>
      <c r="PAB16" s="292"/>
      <c r="PAC16" s="292"/>
      <c r="PAD16" s="292"/>
      <c r="PAE16" s="292"/>
      <c r="PAF16" s="292"/>
      <c r="PAG16" s="292"/>
      <c r="PAH16" s="292"/>
      <c r="PAI16" s="292"/>
      <c r="PAJ16" s="292"/>
      <c r="PAK16" s="292"/>
      <c r="PAL16" s="292"/>
      <c r="PAM16" s="292"/>
      <c r="PAN16" s="292"/>
      <c r="PAO16" s="292"/>
      <c r="PAP16" s="292"/>
      <c r="PAQ16" s="292"/>
      <c r="PAR16" s="292"/>
      <c r="PAS16" s="292"/>
      <c r="PAT16" s="292"/>
      <c r="PAU16" s="292"/>
      <c r="PAV16" s="292"/>
      <c r="PAW16" s="292"/>
      <c r="PAX16" s="292"/>
      <c r="PAY16" s="292"/>
      <c r="PAZ16" s="292"/>
      <c r="PBA16" s="292"/>
      <c r="PBB16" s="292"/>
      <c r="PBC16" s="292"/>
      <c r="PBD16" s="292"/>
      <c r="PBE16" s="292"/>
      <c r="PBF16" s="292"/>
      <c r="PBG16" s="292"/>
      <c r="PBH16" s="292"/>
      <c r="PBI16" s="292"/>
      <c r="PBJ16" s="292"/>
      <c r="PBK16" s="292"/>
      <c r="PBL16" s="292"/>
      <c r="PBM16" s="292"/>
      <c r="PBN16" s="292"/>
      <c r="PBO16" s="292"/>
      <c r="PBP16" s="292"/>
      <c r="PBQ16" s="292"/>
      <c r="PBR16" s="292"/>
      <c r="PBS16" s="292"/>
      <c r="PBT16" s="292"/>
      <c r="PBU16" s="292"/>
      <c r="PBV16" s="292"/>
      <c r="PBW16" s="292"/>
      <c r="PBX16" s="292"/>
      <c r="PBY16" s="292"/>
      <c r="PBZ16" s="292"/>
      <c r="PCA16" s="292"/>
      <c r="PCB16" s="292"/>
      <c r="PCC16" s="292"/>
      <c r="PCD16" s="292"/>
      <c r="PCE16" s="292"/>
      <c r="PCF16" s="292"/>
      <c r="PCG16" s="292"/>
      <c r="PCH16" s="292"/>
      <c r="PCI16" s="292"/>
      <c r="PCJ16" s="292"/>
      <c r="PCK16" s="292"/>
      <c r="PCL16" s="292"/>
      <c r="PCM16" s="292"/>
      <c r="PCN16" s="292"/>
      <c r="PCO16" s="292"/>
      <c r="PCP16" s="292"/>
      <c r="PCQ16" s="292"/>
      <c r="PCR16" s="292"/>
      <c r="PCS16" s="292"/>
      <c r="PCT16" s="292"/>
      <c r="PCU16" s="292"/>
      <c r="PCV16" s="292"/>
      <c r="PCW16" s="292"/>
      <c r="PCX16" s="292"/>
      <c r="PCY16" s="292"/>
      <c r="PCZ16" s="292"/>
      <c r="PDA16" s="292"/>
      <c r="PDB16" s="292"/>
      <c r="PDC16" s="292"/>
      <c r="PDD16" s="292"/>
      <c r="PDE16" s="292"/>
      <c r="PDF16" s="292"/>
      <c r="PDG16" s="292"/>
      <c r="PDH16" s="292"/>
      <c r="PDI16" s="292"/>
      <c r="PDJ16" s="292"/>
      <c r="PDK16" s="292"/>
      <c r="PDL16" s="292"/>
      <c r="PDM16" s="292"/>
      <c r="PDN16" s="292"/>
      <c r="PDO16" s="292"/>
      <c r="PDP16" s="292"/>
      <c r="PDQ16" s="292"/>
      <c r="PDR16" s="292"/>
      <c r="PDS16" s="292"/>
      <c r="PDT16" s="292"/>
      <c r="PDU16" s="292"/>
      <c r="PDV16" s="292"/>
      <c r="PDW16" s="292"/>
      <c r="PDX16" s="292"/>
      <c r="PDY16" s="292"/>
      <c r="PDZ16" s="292"/>
      <c r="PEA16" s="292"/>
      <c r="PEB16" s="292"/>
      <c r="PEC16" s="292"/>
      <c r="PED16" s="292"/>
      <c r="PEE16" s="292"/>
      <c r="PEF16" s="292"/>
      <c r="PEG16" s="292"/>
      <c r="PEH16" s="292"/>
      <c r="PEI16" s="292"/>
      <c r="PEJ16" s="292"/>
      <c r="PEK16" s="292"/>
      <c r="PEL16" s="292"/>
      <c r="PEM16" s="292"/>
      <c r="PEN16" s="292"/>
      <c r="PEO16" s="292"/>
      <c r="PEP16" s="292"/>
      <c r="PEQ16" s="292"/>
      <c r="PER16" s="292"/>
      <c r="PES16" s="292"/>
      <c r="PET16" s="292"/>
      <c r="PEU16" s="292"/>
      <c r="PEV16" s="292"/>
      <c r="PEW16" s="292"/>
      <c r="PEX16" s="292"/>
      <c r="PEY16" s="292"/>
      <c r="PEZ16" s="292"/>
      <c r="PFA16" s="292"/>
      <c r="PFB16" s="292"/>
      <c r="PFC16" s="292"/>
      <c r="PFD16" s="292"/>
      <c r="PFE16" s="292"/>
      <c r="PFF16" s="292"/>
      <c r="PFG16" s="292"/>
      <c r="PFH16" s="292"/>
      <c r="PFI16" s="292"/>
      <c r="PFJ16" s="292"/>
      <c r="PFK16" s="292"/>
      <c r="PFL16" s="292"/>
      <c r="PFM16" s="292"/>
      <c r="PFN16" s="292"/>
      <c r="PFO16" s="292"/>
      <c r="PFP16" s="292"/>
      <c r="PFQ16" s="292"/>
      <c r="PFR16" s="292"/>
      <c r="PFS16" s="292"/>
      <c r="PFT16" s="292"/>
      <c r="PFU16" s="292"/>
      <c r="PFV16" s="292"/>
      <c r="PFW16" s="292"/>
      <c r="PFX16" s="292"/>
      <c r="PFY16" s="292"/>
      <c r="PFZ16" s="292"/>
      <c r="PGA16" s="292"/>
      <c r="PGB16" s="292"/>
      <c r="PGC16" s="292"/>
      <c r="PGD16" s="292"/>
      <c r="PGE16" s="292"/>
      <c r="PGF16" s="292"/>
      <c r="PGG16" s="292"/>
      <c r="PGH16" s="292"/>
      <c r="PGI16" s="292"/>
      <c r="PGJ16" s="292"/>
      <c r="PGK16" s="292"/>
      <c r="PGL16" s="292"/>
      <c r="PGM16" s="292"/>
      <c r="PGN16" s="292"/>
      <c r="PGO16" s="292"/>
      <c r="PGP16" s="292"/>
      <c r="PGQ16" s="292"/>
      <c r="PGR16" s="292"/>
      <c r="PGS16" s="292"/>
      <c r="PGT16" s="292"/>
      <c r="PGU16" s="292"/>
      <c r="PGV16" s="292"/>
      <c r="PGW16" s="292"/>
      <c r="PGX16" s="292"/>
      <c r="PGY16" s="292"/>
      <c r="PGZ16" s="292"/>
      <c r="PHA16" s="292"/>
      <c r="PHB16" s="292"/>
      <c r="PHC16" s="292"/>
      <c r="PHD16" s="292"/>
      <c r="PHE16" s="292"/>
      <c r="PHF16" s="292"/>
      <c r="PHG16" s="292"/>
      <c r="PHH16" s="292"/>
      <c r="PHI16" s="292"/>
      <c r="PHJ16" s="292"/>
      <c r="PHK16" s="292"/>
      <c r="PHL16" s="292"/>
      <c r="PHM16" s="292"/>
      <c r="PHN16" s="292"/>
      <c r="PHO16" s="292"/>
      <c r="PHP16" s="292"/>
      <c r="PHQ16" s="292"/>
      <c r="PHR16" s="292"/>
      <c r="PHS16" s="292"/>
      <c r="PHT16" s="292"/>
      <c r="PHU16" s="292"/>
      <c r="PHV16" s="292"/>
      <c r="PHW16" s="292"/>
      <c r="PHX16" s="292"/>
      <c r="PHY16" s="292"/>
      <c r="PHZ16" s="292"/>
      <c r="PIA16" s="292"/>
      <c r="PIB16" s="292"/>
      <c r="PIC16" s="292"/>
      <c r="PID16" s="292"/>
      <c r="PIE16" s="292"/>
      <c r="PIF16" s="292"/>
      <c r="PIG16" s="292"/>
      <c r="PIH16" s="292"/>
      <c r="PII16" s="292"/>
      <c r="PIJ16" s="292"/>
      <c r="PIK16" s="292"/>
      <c r="PIL16" s="292"/>
      <c r="PIM16" s="292"/>
      <c r="PIN16" s="292"/>
      <c r="PIO16" s="292"/>
      <c r="PIP16" s="292"/>
      <c r="PIQ16" s="292"/>
      <c r="PIR16" s="292"/>
      <c r="PIS16" s="292"/>
      <c r="PIT16" s="292"/>
      <c r="PIU16" s="292"/>
      <c r="PIV16" s="292"/>
      <c r="PIW16" s="292"/>
      <c r="PIX16" s="292"/>
      <c r="PIY16" s="292"/>
      <c r="PIZ16" s="292"/>
      <c r="PJA16" s="292"/>
      <c r="PJB16" s="292"/>
      <c r="PJC16" s="292"/>
      <c r="PJD16" s="292"/>
      <c r="PJE16" s="292"/>
      <c r="PJF16" s="292"/>
      <c r="PJG16" s="292"/>
      <c r="PJH16" s="292"/>
      <c r="PJI16" s="292"/>
      <c r="PJJ16" s="292"/>
      <c r="PJK16" s="292"/>
      <c r="PJL16" s="292"/>
      <c r="PJM16" s="292"/>
      <c r="PJN16" s="292"/>
      <c r="PJO16" s="292"/>
      <c r="PJP16" s="292"/>
      <c r="PJQ16" s="292"/>
      <c r="PJR16" s="292"/>
      <c r="PJS16" s="292"/>
      <c r="PJT16" s="292"/>
      <c r="PJU16" s="292"/>
      <c r="PJV16" s="292"/>
      <c r="PJW16" s="292"/>
      <c r="PJX16" s="292"/>
      <c r="PJY16" s="292"/>
      <c r="PJZ16" s="292"/>
      <c r="PKA16" s="292"/>
      <c r="PKB16" s="292"/>
      <c r="PKC16" s="292"/>
      <c r="PKD16" s="292"/>
      <c r="PKE16" s="292"/>
      <c r="PKF16" s="292"/>
      <c r="PKG16" s="292"/>
      <c r="PKH16" s="292"/>
      <c r="PKI16" s="292"/>
      <c r="PKJ16" s="292"/>
      <c r="PKK16" s="292"/>
      <c r="PKL16" s="292"/>
      <c r="PKM16" s="292"/>
      <c r="PKN16" s="292"/>
      <c r="PKO16" s="292"/>
      <c r="PKP16" s="292"/>
      <c r="PKQ16" s="292"/>
      <c r="PKR16" s="292"/>
      <c r="PKS16" s="292"/>
      <c r="PKT16" s="292"/>
      <c r="PKU16" s="292"/>
      <c r="PKV16" s="292"/>
      <c r="PKW16" s="292"/>
      <c r="PKX16" s="292"/>
      <c r="PKY16" s="292"/>
      <c r="PKZ16" s="292"/>
      <c r="PLA16" s="292"/>
      <c r="PLB16" s="292"/>
      <c r="PLC16" s="292"/>
      <c r="PLD16" s="292"/>
      <c r="PLE16" s="292"/>
      <c r="PLF16" s="292"/>
      <c r="PLG16" s="292"/>
      <c r="PLH16" s="292"/>
      <c r="PLI16" s="292"/>
      <c r="PLJ16" s="292"/>
      <c r="PLK16" s="292"/>
      <c r="PLL16" s="292"/>
      <c r="PLM16" s="292"/>
      <c r="PLN16" s="292"/>
      <c r="PLO16" s="292"/>
      <c r="PLP16" s="292"/>
      <c r="PLQ16" s="292"/>
      <c r="PLR16" s="292"/>
      <c r="PLS16" s="292"/>
      <c r="PLT16" s="292"/>
      <c r="PLU16" s="292"/>
      <c r="PLV16" s="292"/>
      <c r="PLW16" s="292"/>
      <c r="PLX16" s="292"/>
      <c r="PLY16" s="292"/>
      <c r="PLZ16" s="292"/>
      <c r="PMA16" s="292"/>
      <c r="PMB16" s="292"/>
      <c r="PMC16" s="292"/>
      <c r="PMD16" s="292"/>
      <c r="PME16" s="292"/>
      <c r="PMF16" s="292"/>
      <c r="PMG16" s="292"/>
      <c r="PMH16" s="292"/>
      <c r="PMI16" s="292"/>
      <c r="PMJ16" s="292"/>
      <c r="PMK16" s="292"/>
      <c r="PML16" s="292"/>
      <c r="PMM16" s="292"/>
      <c r="PMN16" s="292"/>
      <c r="PMO16" s="292"/>
      <c r="PMP16" s="292"/>
      <c r="PMQ16" s="292"/>
      <c r="PMR16" s="292"/>
      <c r="PMS16" s="292"/>
      <c r="PMT16" s="292"/>
      <c r="PMU16" s="292"/>
      <c r="PMV16" s="292"/>
      <c r="PMW16" s="292"/>
      <c r="PMX16" s="292"/>
      <c r="PMY16" s="292"/>
      <c r="PMZ16" s="292"/>
      <c r="PNA16" s="292"/>
      <c r="PNB16" s="292"/>
      <c r="PNC16" s="292"/>
      <c r="PND16" s="292"/>
      <c r="PNE16" s="292"/>
      <c r="PNF16" s="292"/>
      <c r="PNG16" s="292"/>
      <c r="PNH16" s="292"/>
      <c r="PNI16" s="292"/>
      <c r="PNJ16" s="292"/>
      <c r="PNK16" s="292"/>
      <c r="PNL16" s="292"/>
      <c r="PNM16" s="292"/>
      <c r="PNN16" s="292"/>
      <c r="PNO16" s="292"/>
      <c r="PNP16" s="292"/>
      <c r="PNQ16" s="292"/>
      <c r="PNR16" s="292"/>
      <c r="PNS16" s="292"/>
      <c r="PNT16" s="292"/>
      <c r="PNU16" s="292"/>
      <c r="PNV16" s="292"/>
      <c r="PNW16" s="292"/>
      <c r="PNX16" s="292"/>
      <c r="PNY16" s="292"/>
      <c r="PNZ16" s="292"/>
      <c r="POA16" s="292"/>
      <c r="POB16" s="292"/>
      <c r="POC16" s="292"/>
      <c r="POD16" s="292"/>
      <c r="POE16" s="292"/>
      <c r="POF16" s="292"/>
      <c r="POG16" s="292"/>
      <c r="POH16" s="292"/>
      <c r="POI16" s="292"/>
      <c r="POJ16" s="292"/>
      <c r="POK16" s="292"/>
      <c r="POL16" s="292"/>
      <c r="POM16" s="292"/>
      <c r="PON16" s="292"/>
      <c r="POO16" s="292"/>
      <c r="POP16" s="292"/>
      <c r="POQ16" s="292"/>
      <c r="POR16" s="292"/>
      <c r="POS16" s="292"/>
      <c r="POT16" s="292"/>
      <c r="POU16" s="292"/>
      <c r="POV16" s="292"/>
      <c r="POW16" s="292"/>
      <c r="POX16" s="292"/>
      <c r="POY16" s="292"/>
      <c r="POZ16" s="292"/>
      <c r="PPA16" s="292"/>
      <c r="PPB16" s="292"/>
      <c r="PPC16" s="292"/>
      <c r="PPD16" s="292"/>
      <c r="PPE16" s="292"/>
      <c r="PPF16" s="292"/>
      <c r="PPG16" s="292"/>
      <c r="PPH16" s="292"/>
      <c r="PPI16" s="292"/>
      <c r="PPJ16" s="292"/>
      <c r="PPK16" s="292"/>
      <c r="PPL16" s="292"/>
      <c r="PPM16" s="292"/>
      <c r="PPN16" s="292"/>
      <c r="PPO16" s="292"/>
      <c r="PPP16" s="292"/>
      <c r="PPQ16" s="292"/>
      <c r="PPR16" s="292"/>
      <c r="PPS16" s="292"/>
      <c r="PPT16" s="292"/>
      <c r="PPU16" s="292"/>
      <c r="PPV16" s="292"/>
      <c r="PPW16" s="292"/>
      <c r="PPX16" s="292"/>
      <c r="PPY16" s="292"/>
      <c r="PPZ16" s="292"/>
      <c r="PQA16" s="292"/>
      <c r="PQB16" s="292"/>
      <c r="PQC16" s="292"/>
      <c r="PQD16" s="292"/>
      <c r="PQE16" s="292"/>
      <c r="PQF16" s="292"/>
      <c r="PQG16" s="292"/>
      <c r="PQH16" s="292"/>
      <c r="PQI16" s="292"/>
      <c r="PQJ16" s="292"/>
      <c r="PQK16" s="292"/>
      <c r="PQL16" s="292"/>
      <c r="PQM16" s="292"/>
      <c r="PQN16" s="292"/>
      <c r="PQO16" s="292"/>
      <c r="PQP16" s="292"/>
      <c r="PQQ16" s="292"/>
      <c r="PQR16" s="292"/>
      <c r="PQS16" s="292"/>
      <c r="PQT16" s="292"/>
      <c r="PQU16" s="292"/>
      <c r="PQV16" s="292"/>
      <c r="PQW16" s="292"/>
      <c r="PQX16" s="292"/>
      <c r="PQY16" s="292"/>
      <c r="PQZ16" s="292"/>
      <c r="PRA16" s="292"/>
      <c r="PRB16" s="292"/>
      <c r="PRC16" s="292"/>
      <c r="PRD16" s="292"/>
      <c r="PRE16" s="292"/>
      <c r="PRF16" s="292"/>
      <c r="PRG16" s="292"/>
      <c r="PRH16" s="292"/>
      <c r="PRI16" s="292"/>
      <c r="PRJ16" s="292"/>
      <c r="PRK16" s="292"/>
      <c r="PRL16" s="292"/>
      <c r="PRM16" s="292"/>
      <c r="PRN16" s="292"/>
      <c r="PRO16" s="292"/>
      <c r="PRP16" s="292"/>
      <c r="PRQ16" s="292"/>
      <c r="PRR16" s="292"/>
      <c r="PRS16" s="292"/>
      <c r="PRT16" s="292"/>
      <c r="PRU16" s="292"/>
      <c r="PRV16" s="292"/>
      <c r="PRW16" s="292"/>
      <c r="PRX16" s="292"/>
      <c r="PRY16" s="292"/>
      <c r="PRZ16" s="292"/>
      <c r="PSA16" s="292"/>
      <c r="PSB16" s="292"/>
      <c r="PSC16" s="292"/>
      <c r="PSD16" s="292"/>
      <c r="PSE16" s="292"/>
      <c r="PSF16" s="292"/>
      <c r="PSG16" s="292"/>
      <c r="PSH16" s="292"/>
      <c r="PSI16" s="292"/>
      <c r="PSJ16" s="292"/>
      <c r="PSK16" s="292"/>
      <c r="PSL16" s="292"/>
      <c r="PSM16" s="292"/>
      <c r="PSN16" s="292"/>
      <c r="PSO16" s="292"/>
      <c r="PSP16" s="292"/>
      <c r="PSQ16" s="292"/>
      <c r="PSR16" s="292"/>
      <c r="PSS16" s="292"/>
      <c r="PST16" s="292"/>
      <c r="PSU16" s="292"/>
      <c r="PSV16" s="292"/>
      <c r="PSW16" s="292"/>
      <c r="PSX16" s="292"/>
      <c r="PSY16" s="292"/>
      <c r="PSZ16" s="292"/>
      <c r="PTA16" s="292"/>
      <c r="PTB16" s="292"/>
      <c r="PTC16" s="292"/>
      <c r="PTD16" s="292"/>
      <c r="PTE16" s="292"/>
      <c r="PTF16" s="292"/>
      <c r="PTG16" s="292"/>
      <c r="PTH16" s="292"/>
      <c r="PTI16" s="292"/>
      <c r="PTJ16" s="292"/>
      <c r="PTK16" s="292"/>
      <c r="PTL16" s="292"/>
      <c r="PTM16" s="292"/>
      <c r="PTN16" s="292"/>
      <c r="PTO16" s="292"/>
      <c r="PTP16" s="292"/>
      <c r="PTQ16" s="292"/>
      <c r="PTR16" s="292"/>
      <c r="PTS16" s="292"/>
      <c r="PTT16" s="292"/>
      <c r="PTU16" s="292"/>
      <c r="PTV16" s="292"/>
      <c r="PTW16" s="292"/>
      <c r="PTX16" s="292"/>
      <c r="PTY16" s="292"/>
      <c r="PTZ16" s="292"/>
      <c r="PUA16" s="292"/>
      <c r="PUB16" s="292"/>
      <c r="PUC16" s="292"/>
      <c r="PUD16" s="292"/>
      <c r="PUE16" s="292"/>
      <c r="PUF16" s="292"/>
      <c r="PUG16" s="292"/>
      <c r="PUH16" s="292"/>
      <c r="PUI16" s="292"/>
      <c r="PUJ16" s="292"/>
      <c r="PUK16" s="292"/>
      <c r="PUL16" s="292"/>
      <c r="PUM16" s="292"/>
      <c r="PUN16" s="292"/>
      <c r="PUO16" s="292"/>
      <c r="PUP16" s="292"/>
      <c r="PUQ16" s="292"/>
      <c r="PUR16" s="292"/>
      <c r="PUS16" s="292"/>
      <c r="PUT16" s="292"/>
      <c r="PUU16" s="292"/>
      <c r="PUV16" s="292"/>
      <c r="PUW16" s="292"/>
      <c r="PUX16" s="292"/>
      <c r="PUY16" s="292"/>
      <c r="PUZ16" s="292"/>
      <c r="PVA16" s="292"/>
      <c r="PVB16" s="292"/>
      <c r="PVC16" s="292"/>
      <c r="PVD16" s="292"/>
      <c r="PVE16" s="292"/>
      <c r="PVF16" s="292"/>
      <c r="PVG16" s="292"/>
      <c r="PVH16" s="292"/>
      <c r="PVI16" s="292"/>
      <c r="PVJ16" s="292"/>
      <c r="PVK16" s="292"/>
      <c r="PVL16" s="292"/>
      <c r="PVM16" s="292"/>
      <c r="PVN16" s="292"/>
      <c r="PVO16" s="292"/>
      <c r="PVP16" s="292"/>
      <c r="PVQ16" s="292"/>
      <c r="PVR16" s="292"/>
      <c r="PVS16" s="292"/>
      <c r="PVT16" s="292"/>
      <c r="PVU16" s="292"/>
      <c r="PVV16" s="292"/>
      <c r="PVW16" s="292"/>
      <c r="PVX16" s="292"/>
      <c r="PVY16" s="292"/>
      <c r="PVZ16" s="292"/>
      <c r="PWA16" s="292"/>
      <c r="PWB16" s="292"/>
      <c r="PWC16" s="292"/>
      <c r="PWD16" s="292"/>
      <c r="PWE16" s="292"/>
      <c r="PWF16" s="292"/>
      <c r="PWG16" s="292"/>
      <c r="PWH16" s="292"/>
      <c r="PWI16" s="292"/>
      <c r="PWJ16" s="292"/>
      <c r="PWK16" s="292"/>
      <c r="PWL16" s="292"/>
      <c r="PWM16" s="292"/>
      <c r="PWN16" s="292"/>
      <c r="PWO16" s="292"/>
      <c r="PWP16" s="292"/>
      <c r="PWQ16" s="292"/>
      <c r="PWR16" s="292"/>
      <c r="PWS16" s="292"/>
      <c r="PWT16" s="292"/>
      <c r="PWU16" s="292"/>
      <c r="PWV16" s="292"/>
      <c r="PWW16" s="292"/>
      <c r="PWX16" s="292"/>
      <c r="PWY16" s="292"/>
      <c r="PWZ16" s="292"/>
      <c r="PXA16" s="292"/>
      <c r="PXB16" s="292"/>
      <c r="PXC16" s="292"/>
      <c r="PXD16" s="292"/>
      <c r="PXE16" s="292"/>
      <c r="PXF16" s="292"/>
      <c r="PXG16" s="292"/>
      <c r="PXH16" s="292"/>
      <c r="PXI16" s="292"/>
      <c r="PXJ16" s="292"/>
      <c r="PXK16" s="292"/>
      <c r="PXL16" s="292"/>
      <c r="PXM16" s="292"/>
      <c r="PXN16" s="292"/>
      <c r="PXO16" s="292"/>
      <c r="PXP16" s="292"/>
      <c r="PXQ16" s="292"/>
      <c r="PXR16" s="292"/>
      <c r="PXS16" s="292"/>
      <c r="PXT16" s="292"/>
      <c r="PXU16" s="292"/>
      <c r="PXV16" s="292"/>
      <c r="PXW16" s="292"/>
      <c r="PXX16" s="292"/>
      <c r="PXY16" s="292"/>
      <c r="PXZ16" s="292"/>
      <c r="PYA16" s="292"/>
      <c r="PYB16" s="292"/>
      <c r="PYC16" s="292"/>
      <c r="PYD16" s="292"/>
      <c r="PYE16" s="292"/>
      <c r="PYF16" s="292"/>
      <c r="PYG16" s="292"/>
      <c r="PYH16" s="292"/>
      <c r="PYI16" s="292"/>
      <c r="PYJ16" s="292"/>
      <c r="PYK16" s="292"/>
      <c r="PYL16" s="292"/>
      <c r="PYM16" s="292"/>
      <c r="PYN16" s="292"/>
      <c r="PYO16" s="292"/>
      <c r="PYP16" s="292"/>
      <c r="PYQ16" s="292"/>
      <c r="PYR16" s="292"/>
      <c r="PYS16" s="292"/>
      <c r="PYT16" s="292"/>
      <c r="PYU16" s="292"/>
      <c r="PYV16" s="292"/>
      <c r="PYW16" s="292"/>
      <c r="PYX16" s="292"/>
      <c r="PYY16" s="292"/>
      <c r="PYZ16" s="292"/>
      <c r="PZA16" s="292"/>
      <c r="PZB16" s="292"/>
      <c r="PZC16" s="292"/>
      <c r="PZD16" s="292"/>
      <c r="PZE16" s="292"/>
      <c r="PZF16" s="292"/>
      <c r="PZG16" s="292"/>
      <c r="PZH16" s="292"/>
      <c r="PZI16" s="292"/>
      <c r="PZJ16" s="292"/>
      <c r="PZK16" s="292"/>
      <c r="PZL16" s="292"/>
      <c r="PZM16" s="292"/>
      <c r="PZN16" s="292"/>
      <c r="PZO16" s="292"/>
      <c r="PZP16" s="292"/>
      <c r="PZQ16" s="292"/>
      <c r="PZR16" s="292"/>
      <c r="PZS16" s="292"/>
      <c r="PZT16" s="292"/>
      <c r="PZU16" s="292"/>
      <c r="PZV16" s="292"/>
      <c r="PZW16" s="292"/>
      <c r="PZX16" s="292"/>
      <c r="PZY16" s="292"/>
      <c r="PZZ16" s="292"/>
      <c r="QAA16" s="292"/>
      <c r="QAB16" s="292"/>
      <c r="QAC16" s="292"/>
      <c r="QAD16" s="292"/>
      <c r="QAE16" s="292"/>
      <c r="QAF16" s="292"/>
      <c r="QAG16" s="292"/>
      <c r="QAH16" s="292"/>
      <c r="QAI16" s="292"/>
      <c r="QAJ16" s="292"/>
      <c r="QAK16" s="292"/>
      <c r="QAL16" s="292"/>
      <c r="QAM16" s="292"/>
      <c r="QAN16" s="292"/>
      <c r="QAO16" s="292"/>
      <c r="QAP16" s="292"/>
      <c r="QAQ16" s="292"/>
      <c r="QAR16" s="292"/>
      <c r="QAS16" s="292"/>
      <c r="QAT16" s="292"/>
      <c r="QAU16" s="292"/>
      <c r="QAV16" s="292"/>
      <c r="QAW16" s="292"/>
      <c r="QAX16" s="292"/>
      <c r="QAY16" s="292"/>
      <c r="QAZ16" s="292"/>
      <c r="QBA16" s="292"/>
      <c r="QBB16" s="292"/>
      <c r="QBC16" s="292"/>
      <c r="QBD16" s="292"/>
      <c r="QBE16" s="292"/>
      <c r="QBF16" s="292"/>
      <c r="QBG16" s="292"/>
      <c r="QBH16" s="292"/>
      <c r="QBI16" s="292"/>
      <c r="QBJ16" s="292"/>
      <c r="QBK16" s="292"/>
      <c r="QBL16" s="292"/>
      <c r="QBM16" s="292"/>
      <c r="QBN16" s="292"/>
      <c r="QBO16" s="292"/>
      <c r="QBP16" s="292"/>
      <c r="QBQ16" s="292"/>
      <c r="QBR16" s="292"/>
      <c r="QBS16" s="292"/>
      <c r="QBT16" s="292"/>
      <c r="QBU16" s="292"/>
      <c r="QBV16" s="292"/>
      <c r="QBW16" s="292"/>
      <c r="QBX16" s="292"/>
      <c r="QBY16" s="292"/>
      <c r="QBZ16" s="292"/>
      <c r="QCA16" s="292"/>
      <c r="QCB16" s="292"/>
      <c r="QCC16" s="292"/>
      <c r="QCD16" s="292"/>
      <c r="QCE16" s="292"/>
      <c r="QCF16" s="292"/>
      <c r="QCG16" s="292"/>
      <c r="QCH16" s="292"/>
      <c r="QCI16" s="292"/>
      <c r="QCJ16" s="292"/>
      <c r="QCK16" s="292"/>
      <c r="QCL16" s="292"/>
      <c r="QCM16" s="292"/>
      <c r="QCN16" s="292"/>
      <c r="QCO16" s="292"/>
      <c r="QCP16" s="292"/>
      <c r="QCQ16" s="292"/>
      <c r="QCR16" s="292"/>
      <c r="QCS16" s="292"/>
      <c r="QCT16" s="292"/>
      <c r="QCU16" s="292"/>
      <c r="QCV16" s="292"/>
      <c r="QCW16" s="292"/>
      <c r="QCX16" s="292"/>
      <c r="QCY16" s="292"/>
      <c r="QCZ16" s="292"/>
      <c r="QDA16" s="292"/>
      <c r="QDB16" s="292"/>
      <c r="QDC16" s="292"/>
      <c r="QDD16" s="292"/>
      <c r="QDE16" s="292"/>
      <c r="QDF16" s="292"/>
      <c r="QDG16" s="292"/>
      <c r="QDH16" s="292"/>
      <c r="QDI16" s="292"/>
      <c r="QDJ16" s="292"/>
      <c r="QDK16" s="292"/>
      <c r="QDL16" s="292"/>
      <c r="QDM16" s="292"/>
      <c r="QDN16" s="292"/>
      <c r="QDO16" s="292"/>
      <c r="QDP16" s="292"/>
      <c r="QDQ16" s="292"/>
      <c r="QDR16" s="292"/>
      <c r="QDS16" s="292"/>
      <c r="QDT16" s="292"/>
      <c r="QDU16" s="292"/>
      <c r="QDV16" s="292"/>
      <c r="QDW16" s="292"/>
      <c r="QDX16" s="292"/>
      <c r="QDY16" s="292"/>
      <c r="QDZ16" s="292"/>
      <c r="QEA16" s="292"/>
      <c r="QEB16" s="292"/>
      <c r="QEC16" s="292"/>
      <c r="QED16" s="292"/>
      <c r="QEE16" s="292"/>
      <c r="QEF16" s="292"/>
      <c r="QEG16" s="292"/>
      <c r="QEH16" s="292"/>
      <c r="QEI16" s="292"/>
      <c r="QEJ16" s="292"/>
      <c r="QEK16" s="292"/>
      <c r="QEL16" s="292"/>
      <c r="QEM16" s="292"/>
      <c r="QEN16" s="292"/>
      <c r="QEO16" s="292"/>
      <c r="QEP16" s="292"/>
      <c r="QEQ16" s="292"/>
      <c r="QER16" s="292"/>
      <c r="QES16" s="292"/>
      <c r="QET16" s="292"/>
      <c r="QEU16" s="292"/>
      <c r="QEV16" s="292"/>
      <c r="QEW16" s="292"/>
      <c r="QEX16" s="292"/>
      <c r="QEY16" s="292"/>
      <c r="QEZ16" s="292"/>
      <c r="QFA16" s="292"/>
      <c r="QFB16" s="292"/>
      <c r="QFC16" s="292"/>
      <c r="QFD16" s="292"/>
      <c r="QFE16" s="292"/>
      <c r="QFF16" s="292"/>
      <c r="QFG16" s="292"/>
      <c r="QFH16" s="292"/>
      <c r="QFI16" s="292"/>
      <c r="QFJ16" s="292"/>
      <c r="QFK16" s="292"/>
      <c r="QFL16" s="292"/>
      <c r="QFM16" s="292"/>
      <c r="QFN16" s="292"/>
      <c r="QFO16" s="292"/>
      <c r="QFP16" s="292"/>
      <c r="QFQ16" s="292"/>
      <c r="QFR16" s="292"/>
      <c r="QFS16" s="292"/>
      <c r="QFT16" s="292"/>
      <c r="QFU16" s="292"/>
      <c r="QFV16" s="292"/>
      <c r="QFW16" s="292"/>
      <c r="QFX16" s="292"/>
      <c r="QFY16" s="292"/>
      <c r="QFZ16" s="292"/>
      <c r="QGA16" s="292"/>
      <c r="QGB16" s="292"/>
      <c r="QGC16" s="292"/>
      <c r="QGD16" s="292"/>
      <c r="QGE16" s="292"/>
      <c r="QGF16" s="292"/>
      <c r="QGG16" s="292"/>
      <c r="QGH16" s="292"/>
      <c r="QGI16" s="292"/>
      <c r="QGJ16" s="292"/>
      <c r="QGK16" s="292"/>
      <c r="QGL16" s="292"/>
      <c r="QGM16" s="292"/>
      <c r="QGN16" s="292"/>
      <c r="QGO16" s="292"/>
      <c r="QGP16" s="292"/>
      <c r="QGQ16" s="292"/>
      <c r="QGR16" s="292"/>
      <c r="QGS16" s="292"/>
      <c r="QGT16" s="292"/>
      <c r="QGU16" s="292"/>
      <c r="QGV16" s="292"/>
      <c r="QGW16" s="292"/>
      <c r="QGX16" s="292"/>
      <c r="QGY16" s="292"/>
      <c r="QGZ16" s="292"/>
      <c r="QHA16" s="292"/>
      <c r="QHB16" s="292"/>
      <c r="QHC16" s="292"/>
      <c r="QHD16" s="292"/>
      <c r="QHE16" s="292"/>
      <c r="QHF16" s="292"/>
      <c r="QHG16" s="292"/>
      <c r="QHH16" s="292"/>
      <c r="QHI16" s="292"/>
      <c r="QHJ16" s="292"/>
      <c r="QHK16" s="292"/>
      <c r="QHL16" s="292"/>
      <c r="QHM16" s="292"/>
      <c r="QHN16" s="292"/>
      <c r="QHO16" s="292"/>
      <c r="QHP16" s="292"/>
      <c r="QHQ16" s="292"/>
      <c r="QHR16" s="292"/>
      <c r="QHS16" s="292"/>
      <c r="QHT16" s="292"/>
      <c r="QHU16" s="292"/>
      <c r="QHV16" s="292"/>
      <c r="QHW16" s="292"/>
      <c r="QHX16" s="292"/>
      <c r="QHY16" s="292"/>
      <c r="QHZ16" s="292"/>
      <c r="QIA16" s="292"/>
      <c r="QIB16" s="292"/>
      <c r="QIC16" s="292"/>
      <c r="QID16" s="292"/>
      <c r="QIE16" s="292"/>
      <c r="QIF16" s="292"/>
      <c r="QIG16" s="292"/>
      <c r="QIH16" s="292"/>
      <c r="QII16" s="292"/>
      <c r="QIJ16" s="292"/>
      <c r="QIK16" s="292"/>
      <c r="QIL16" s="292"/>
      <c r="QIM16" s="292"/>
      <c r="QIN16" s="292"/>
      <c r="QIO16" s="292"/>
      <c r="QIP16" s="292"/>
      <c r="QIQ16" s="292"/>
      <c r="QIR16" s="292"/>
      <c r="QIS16" s="292"/>
      <c r="QIT16" s="292"/>
      <c r="QIU16" s="292"/>
      <c r="QIV16" s="292"/>
      <c r="QIW16" s="292"/>
      <c r="QIX16" s="292"/>
      <c r="QIY16" s="292"/>
      <c r="QIZ16" s="292"/>
      <c r="QJA16" s="292"/>
      <c r="QJB16" s="292"/>
      <c r="QJC16" s="292"/>
      <c r="QJD16" s="292"/>
      <c r="QJE16" s="292"/>
      <c r="QJF16" s="292"/>
      <c r="QJG16" s="292"/>
      <c r="QJH16" s="292"/>
      <c r="QJI16" s="292"/>
      <c r="QJJ16" s="292"/>
      <c r="QJK16" s="292"/>
      <c r="QJL16" s="292"/>
      <c r="QJM16" s="292"/>
      <c r="QJN16" s="292"/>
      <c r="QJO16" s="292"/>
      <c r="QJP16" s="292"/>
      <c r="QJQ16" s="292"/>
      <c r="QJR16" s="292"/>
      <c r="QJS16" s="292"/>
      <c r="QJT16" s="292"/>
      <c r="QJU16" s="292"/>
      <c r="QJV16" s="292"/>
      <c r="QJW16" s="292"/>
      <c r="QJX16" s="292"/>
      <c r="QJY16" s="292"/>
      <c r="QJZ16" s="292"/>
      <c r="QKA16" s="292"/>
      <c r="QKB16" s="292"/>
      <c r="QKC16" s="292"/>
      <c r="QKD16" s="292"/>
      <c r="QKE16" s="292"/>
      <c r="QKF16" s="292"/>
      <c r="QKG16" s="292"/>
      <c r="QKH16" s="292"/>
      <c r="QKI16" s="292"/>
      <c r="QKJ16" s="292"/>
      <c r="QKK16" s="292"/>
      <c r="QKL16" s="292"/>
      <c r="QKM16" s="292"/>
      <c r="QKN16" s="292"/>
      <c r="QKO16" s="292"/>
      <c r="QKP16" s="292"/>
      <c r="QKQ16" s="292"/>
      <c r="QKR16" s="292"/>
      <c r="QKS16" s="292"/>
      <c r="QKT16" s="292"/>
      <c r="QKU16" s="292"/>
      <c r="QKV16" s="292"/>
      <c r="QKW16" s="292"/>
      <c r="QKX16" s="292"/>
      <c r="QKY16" s="292"/>
      <c r="QKZ16" s="292"/>
      <c r="QLA16" s="292"/>
      <c r="QLB16" s="292"/>
      <c r="QLC16" s="292"/>
      <c r="QLD16" s="292"/>
      <c r="QLE16" s="292"/>
      <c r="QLF16" s="292"/>
      <c r="QLG16" s="292"/>
      <c r="QLH16" s="292"/>
      <c r="QLI16" s="292"/>
      <c r="QLJ16" s="292"/>
      <c r="QLK16" s="292"/>
      <c r="QLL16" s="292"/>
      <c r="QLM16" s="292"/>
      <c r="QLN16" s="292"/>
      <c r="QLO16" s="292"/>
      <c r="QLP16" s="292"/>
      <c r="QLQ16" s="292"/>
      <c r="QLR16" s="292"/>
      <c r="QLS16" s="292"/>
      <c r="QLT16" s="292"/>
      <c r="QLU16" s="292"/>
      <c r="QLV16" s="292"/>
      <c r="QLW16" s="292"/>
      <c r="QLX16" s="292"/>
      <c r="QLY16" s="292"/>
      <c r="QLZ16" s="292"/>
      <c r="QMA16" s="292"/>
      <c r="QMB16" s="292"/>
      <c r="QMC16" s="292"/>
      <c r="QMD16" s="292"/>
      <c r="QME16" s="292"/>
      <c r="QMF16" s="292"/>
      <c r="QMG16" s="292"/>
      <c r="QMH16" s="292"/>
      <c r="QMI16" s="292"/>
      <c r="QMJ16" s="292"/>
      <c r="QMK16" s="292"/>
      <c r="QML16" s="292"/>
      <c r="QMM16" s="292"/>
      <c r="QMN16" s="292"/>
      <c r="QMO16" s="292"/>
      <c r="QMP16" s="292"/>
      <c r="QMQ16" s="292"/>
      <c r="QMR16" s="292"/>
      <c r="QMS16" s="292"/>
      <c r="QMT16" s="292"/>
      <c r="QMU16" s="292"/>
      <c r="QMV16" s="292"/>
      <c r="QMW16" s="292"/>
      <c r="QMX16" s="292"/>
      <c r="QMY16" s="292"/>
      <c r="QMZ16" s="292"/>
      <c r="QNA16" s="292"/>
      <c r="QNB16" s="292"/>
      <c r="QNC16" s="292"/>
      <c r="QND16" s="292"/>
      <c r="QNE16" s="292"/>
      <c r="QNF16" s="292"/>
      <c r="QNG16" s="292"/>
      <c r="QNH16" s="292"/>
      <c r="QNI16" s="292"/>
      <c r="QNJ16" s="292"/>
      <c r="QNK16" s="292"/>
      <c r="QNL16" s="292"/>
      <c r="QNM16" s="292"/>
      <c r="QNN16" s="292"/>
      <c r="QNO16" s="292"/>
      <c r="QNP16" s="292"/>
      <c r="QNQ16" s="292"/>
      <c r="QNR16" s="292"/>
      <c r="QNS16" s="292"/>
      <c r="QNT16" s="292"/>
      <c r="QNU16" s="292"/>
      <c r="QNV16" s="292"/>
      <c r="QNW16" s="292"/>
      <c r="QNX16" s="292"/>
      <c r="QNY16" s="292"/>
      <c r="QNZ16" s="292"/>
      <c r="QOA16" s="292"/>
      <c r="QOB16" s="292"/>
      <c r="QOC16" s="292"/>
      <c r="QOD16" s="292"/>
      <c r="QOE16" s="292"/>
      <c r="QOF16" s="292"/>
      <c r="QOG16" s="292"/>
      <c r="QOH16" s="292"/>
      <c r="QOI16" s="292"/>
      <c r="QOJ16" s="292"/>
      <c r="QOK16" s="292"/>
      <c r="QOL16" s="292"/>
      <c r="QOM16" s="292"/>
      <c r="QON16" s="292"/>
      <c r="QOO16" s="292"/>
      <c r="QOP16" s="292"/>
      <c r="QOQ16" s="292"/>
      <c r="QOR16" s="292"/>
      <c r="QOS16" s="292"/>
      <c r="QOT16" s="292"/>
      <c r="QOU16" s="292"/>
      <c r="QOV16" s="292"/>
      <c r="QOW16" s="292"/>
      <c r="QOX16" s="292"/>
      <c r="QOY16" s="292"/>
      <c r="QOZ16" s="292"/>
      <c r="QPA16" s="292"/>
      <c r="QPB16" s="292"/>
      <c r="QPC16" s="292"/>
      <c r="QPD16" s="292"/>
      <c r="QPE16" s="292"/>
      <c r="QPF16" s="292"/>
      <c r="QPG16" s="292"/>
      <c r="QPH16" s="292"/>
      <c r="QPI16" s="292"/>
      <c r="QPJ16" s="292"/>
      <c r="QPK16" s="292"/>
      <c r="QPL16" s="292"/>
      <c r="QPM16" s="292"/>
      <c r="QPN16" s="292"/>
      <c r="QPO16" s="292"/>
      <c r="QPP16" s="292"/>
      <c r="QPQ16" s="292"/>
      <c r="QPR16" s="292"/>
      <c r="QPS16" s="292"/>
      <c r="QPT16" s="292"/>
      <c r="QPU16" s="292"/>
      <c r="QPV16" s="292"/>
      <c r="QPW16" s="292"/>
      <c r="QPX16" s="292"/>
      <c r="QPY16" s="292"/>
      <c r="QPZ16" s="292"/>
      <c r="QQA16" s="292"/>
      <c r="QQB16" s="292"/>
      <c r="QQC16" s="292"/>
      <c r="QQD16" s="292"/>
      <c r="QQE16" s="292"/>
      <c r="QQF16" s="292"/>
      <c r="QQG16" s="292"/>
      <c r="QQH16" s="292"/>
      <c r="QQI16" s="292"/>
      <c r="QQJ16" s="292"/>
      <c r="QQK16" s="292"/>
      <c r="QQL16" s="292"/>
      <c r="QQM16" s="292"/>
      <c r="QQN16" s="292"/>
      <c r="QQO16" s="292"/>
      <c r="QQP16" s="292"/>
      <c r="QQQ16" s="292"/>
      <c r="QQR16" s="292"/>
      <c r="QQS16" s="292"/>
      <c r="QQT16" s="292"/>
      <c r="QQU16" s="292"/>
      <c r="QQV16" s="292"/>
      <c r="QQW16" s="292"/>
      <c r="QQX16" s="292"/>
      <c r="QQY16" s="292"/>
      <c r="QQZ16" s="292"/>
      <c r="QRA16" s="292"/>
      <c r="QRB16" s="292"/>
      <c r="QRC16" s="292"/>
      <c r="QRD16" s="292"/>
      <c r="QRE16" s="292"/>
      <c r="QRF16" s="292"/>
      <c r="QRG16" s="292"/>
      <c r="QRH16" s="292"/>
      <c r="QRI16" s="292"/>
      <c r="QRJ16" s="292"/>
      <c r="QRK16" s="292"/>
      <c r="QRL16" s="292"/>
      <c r="QRM16" s="292"/>
      <c r="QRN16" s="292"/>
      <c r="QRO16" s="292"/>
      <c r="QRP16" s="292"/>
      <c r="QRQ16" s="292"/>
      <c r="QRR16" s="292"/>
      <c r="QRS16" s="292"/>
      <c r="QRT16" s="292"/>
      <c r="QRU16" s="292"/>
      <c r="QRV16" s="292"/>
      <c r="QRW16" s="292"/>
      <c r="QRX16" s="292"/>
      <c r="QRY16" s="292"/>
      <c r="QRZ16" s="292"/>
      <c r="QSA16" s="292"/>
      <c r="QSB16" s="292"/>
      <c r="QSC16" s="292"/>
      <c r="QSD16" s="292"/>
      <c r="QSE16" s="292"/>
      <c r="QSF16" s="292"/>
      <c r="QSG16" s="292"/>
      <c r="QSH16" s="292"/>
      <c r="QSI16" s="292"/>
      <c r="QSJ16" s="292"/>
      <c r="QSK16" s="292"/>
      <c r="QSL16" s="292"/>
      <c r="QSM16" s="292"/>
      <c r="QSN16" s="292"/>
      <c r="QSO16" s="292"/>
      <c r="QSP16" s="292"/>
      <c r="QSQ16" s="292"/>
      <c r="QSR16" s="292"/>
      <c r="QSS16" s="292"/>
      <c r="QST16" s="292"/>
      <c r="QSU16" s="292"/>
      <c r="QSV16" s="292"/>
      <c r="QSW16" s="292"/>
      <c r="QSX16" s="292"/>
      <c r="QSY16" s="292"/>
      <c r="QSZ16" s="292"/>
      <c r="QTA16" s="292"/>
      <c r="QTB16" s="292"/>
      <c r="QTC16" s="292"/>
      <c r="QTD16" s="292"/>
      <c r="QTE16" s="292"/>
      <c r="QTF16" s="292"/>
      <c r="QTG16" s="292"/>
      <c r="QTH16" s="292"/>
      <c r="QTI16" s="292"/>
      <c r="QTJ16" s="292"/>
      <c r="QTK16" s="292"/>
      <c r="QTL16" s="292"/>
      <c r="QTM16" s="292"/>
      <c r="QTN16" s="292"/>
      <c r="QTO16" s="292"/>
      <c r="QTP16" s="292"/>
      <c r="QTQ16" s="292"/>
      <c r="QTR16" s="292"/>
      <c r="QTS16" s="292"/>
      <c r="QTT16" s="292"/>
      <c r="QTU16" s="292"/>
      <c r="QTV16" s="292"/>
      <c r="QTW16" s="292"/>
      <c r="QTX16" s="292"/>
      <c r="QTY16" s="292"/>
      <c r="QTZ16" s="292"/>
      <c r="QUA16" s="292"/>
      <c r="QUB16" s="292"/>
      <c r="QUC16" s="292"/>
      <c r="QUD16" s="292"/>
      <c r="QUE16" s="292"/>
      <c r="QUF16" s="292"/>
      <c r="QUG16" s="292"/>
      <c r="QUH16" s="292"/>
      <c r="QUI16" s="292"/>
      <c r="QUJ16" s="292"/>
      <c r="QUK16" s="292"/>
      <c r="QUL16" s="292"/>
      <c r="QUM16" s="292"/>
      <c r="QUN16" s="292"/>
      <c r="QUO16" s="292"/>
      <c r="QUP16" s="292"/>
      <c r="QUQ16" s="292"/>
      <c r="QUR16" s="292"/>
      <c r="QUS16" s="292"/>
      <c r="QUT16" s="292"/>
      <c r="QUU16" s="292"/>
      <c r="QUV16" s="292"/>
      <c r="QUW16" s="292"/>
      <c r="QUX16" s="292"/>
      <c r="QUY16" s="292"/>
      <c r="QUZ16" s="292"/>
      <c r="QVA16" s="292"/>
      <c r="QVB16" s="292"/>
      <c r="QVC16" s="292"/>
      <c r="QVD16" s="292"/>
      <c r="QVE16" s="292"/>
      <c r="QVF16" s="292"/>
      <c r="QVG16" s="292"/>
      <c r="QVH16" s="292"/>
      <c r="QVI16" s="292"/>
      <c r="QVJ16" s="292"/>
      <c r="QVK16" s="292"/>
      <c r="QVL16" s="292"/>
      <c r="QVM16" s="292"/>
      <c r="QVN16" s="292"/>
      <c r="QVO16" s="292"/>
      <c r="QVP16" s="292"/>
      <c r="QVQ16" s="292"/>
      <c r="QVR16" s="292"/>
      <c r="QVS16" s="292"/>
      <c r="QVT16" s="292"/>
      <c r="QVU16" s="292"/>
      <c r="QVV16" s="292"/>
      <c r="QVW16" s="292"/>
      <c r="QVX16" s="292"/>
      <c r="QVY16" s="292"/>
      <c r="QVZ16" s="292"/>
      <c r="QWA16" s="292"/>
      <c r="QWB16" s="292"/>
      <c r="QWC16" s="292"/>
      <c r="QWD16" s="292"/>
      <c r="QWE16" s="292"/>
      <c r="QWF16" s="292"/>
      <c r="QWG16" s="292"/>
      <c r="QWH16" s="292"/>
      <c r="QWI16" s="292"/>
      <c r="QWJ16" s="292"/>
      <c r="QWK16" s="292"/>
      <c r="QWL16" s="292"/>
      <c r="QWM16" s="292"/>
      <c r="QWN16" s="292"/>
      <c r="QWO16" s="292"/>
      <c r="QWP16" s="292"/>
      <c r="QWQ16" s="292"/>
      <c r="QWR16" s="292"/>
      <c r="QWS16" s="292"/>
      <c r="QWT16" s="292"/>
      <c r="QWU16" s="292"/>
      <c r="QWV16" s="292"/>
      <c r="QWW16" s="292"/>
      <c r="QWX16" s="292"/>
      <c r="QWY16" s="292"/>
      <c r="QWZ16" s="292"/>
      <c r="QXA16" s="292"/>
      <c r="QXB16" s="292"/>
      <c r="QXC16" s="292"/>
      <c r="QXD16" s="292"/>
      <c r="QXE16" s="292"/>
      <c r="QXF16" s="292"/>
      <c r="QXG16" s="292"/>
      <c r="QXH16" s="292"/>
      <c r="QXI16" s="292"/>
      <c r="QXJ16" s="292"/>
      <c r="QXK16" s="292"/>
      <c r="QXL16" s="292"/>
      <c r="QXM16" s="292"/>
      <c r="QXN16" s="292"/>
      <c r="QXO16" s="292"/>
      <c r="QXP16" s="292"/>
      <c r="QXQ16" s="292"/>
      <c r="QXR16" s="292"/>
      <c r="QXS16" s="292"/>
      <c r="QXT16" s="292"/>
      <c r="QXU16" s="292"/>
      <c r="QXV16" s="292"/>
      <c r="QXW16" s="292"/>
      <c r="QXX16" s="292"/>
      <c r="QXY16" s="292"/>
      <c r="QXZ16" s="292"/>
      <c r="QYA16" s="292"/>
      <c r="QYB16" s="292"/>
      <c r="QYC16" s="292"/>
      <c r="QYD16" s="292"/>
      <c r="QYE16" s="292"/>
      <c r="QYF16" s="292"/>
      <c r="QYG16" s="292"/>
      <c r="QYH16" s="292"/>
      <c r="QYI16" s="292"/>
      <c r="QYJ16" s="292"/>
      <c r="QYK16" s="292"/>
      <c r="QYL16" s="292"/>
      <c r="QYM16" s="292"/>
      <c r="QYN16" s="292"/>
      <c r="QYO16" s="292"/>
      <c r="QYP16" s="292"/>
      <c r="QYQ16" s="292"/>
      <c r="QYR16" s="292"/>
      <c r="QYS16" s="292"/>
      <c r="QYT16" s="292"/>
      <c r="QYU16" s="292"/>
      <c r="QYV16" s="292"/>
      <c r="QYW16" s="292"/>
      <c r="QYX16" s="292"/>
      <c r="QYY16" s="292"/>
      <c r="QYZ16" s="292"/>
      <c r="QZA16" s="292"/>
      <c r="QZB16" s="292"/>
      <c r="QZC16" s="292"/>
      <c r="QZD16" s="292"/>
      <c r="QZE16" s="292"/>
      <c r="QZF16" s="292"/>
      <c r="QZG16" s="292"/>
      <c r="QZH16" s="292"/>
      <c r="QZI16" s="292"/>
      <c r="QZJ16" s="292"/>
      <c r="QZK16" s="292"/>
      <c r="QZL16" s="292"/>
      <c r="QZM16" s="292"/>
      <c r="QZN16" s="292"/>
      <c r="QZO16" s="292"/>
      <c r="QZP16" s="292"/>
      <c r="QZQ16" s="292"/>
      <c r="QZR16" s="292"/>
      <c r="QZS16" s="292"/>
      <c r="QZT16" s="292"/>
      <c r="QZU16" s="292"/>
      <c r="QZV16" s="292"/>
      <c r="QZW16" s="292"/>
      <c r="QZX16" s="292"/>
      <c r="QZY16" s="292"/>
      <c r="QZZ16" s="292"/>
      <c r="RAA16" s="292"/>
      <c r="RAB16" s="292"/>
      <c r="RAC16" s="292"/>
      <c r="RAD16" s="292"/>
      <c r="RAE16" s="292"/>
      <c r="RAF16" s="292"/>
      <c r="RAG16" s="292"/>
      <c r="RAH16" s="292"/>
      <c r="RAI16" s="292"/>
      <c r="RAJ16" s="292"/>
      <c r="RAK16" s="292"/>
      <c r="RAL16" s="292"/>
      <c r="RAM16" s="292"/>
      <c r="RAN16" s="292"/>
      <c r="RAO16" s="292"/>
      <c r="RAP16" s="292"/>
      <c r="RAQ16" s="292"/>
      <c r="RAR16" s="292"/>
      <c r="RAS16" s="292"/>
      <c r="RAT16" s="292"/>
      <c r="RAU16" s="292"/>
      <c r="RAV16" s="292"/>
      <c r="RAW16" s="292"/>
      <c r="RAX16" s="292"/>
      <c r="RAY16" s="292"/>
      <c r="RAZ16" s="292"/>
      <c r="RBA16" s="292"/>
      <c r="RBB16" s="292"/>
      <c r="RBC16" s="292"/>
      <c r="RBD16" s="292"/>
      <c r="RBE16" s="292"/>
      <c r="RBF16" s="292"/>
      <c r="RBG16" s="292"/>
      <c r="RBH16" s="292"/>
      <c r="RBI16" s="292"/>
      <c r="RBJ16" s="292"/>
      <c r="RBK16" s="292"/>
      <c r="RBL16" s="292"/>
      <c r="RBM16" s="292"/>
      <c r="RBN16" s="292"/>
      <c r="RBO16" s="292"/>
      <c r="RBP16" s="292"/>
      <c r="RBQ16" s="292"/>
      <c r="RBR16" s="292"/>
      <c r="RBS16" s="292"/>
      <c r="RBT16" s="292"/>
      <c r="RBU16" s="292"/>
      <c r="RBV16" s="292"/>
      <c r="RBW16" s="292"/>
      <c r="RBX16" s="292"/>
      <c r="RBY16" s="292"/>
      <c r="RBZ16" s="292"/>
      <c r="RCA16" s="292"/>
      <c r="RCB16" s="292"/>
      <c r="RCC16" s="292"/>
      <c r="RCD16" s="292"/>
      <c r="RCE16" s="292"/>
      <c r="RCF16" s="292"/>
      <c r="RCG16" s="292"/>
      <c r="RCH16" s="292"/>
      <c r="RCI16" s="292"/>
      <c r="RCJ16" s="292"/>
      <c r="RCK16" s="292"/>
      <c r="RCL16" s="292"/>
      <c r="RCM16" s="292"/>
      <c r="RCN16" s="292"/>
      <c r="RCO16" s="292"/>
      <c r="RCP16" s="292"/>
      <c r="RCQ16" s="292"/>
      <c r="RCR16" s="292"/>
      <c r="RCS16" s="292"/>
      <c r="RCT16" s="292"/>
      <c r="RCU16" s="292"/>
      <c r="RCV16" s="292"/>
      <c r="RCW16" s="292"/>
      <c r="RCX16" s="292"/>
      <c r="RCY16" s="292"/>
      <c r="RCZ16" s="292"/>
      <c r="RDA16" s="292"/>
      <c r="RDB16" s="292"/>
      <c r="RDC16" s="292"/>
      <c r="RDD16" s="292"/>
      <c r="RDE16" s="292"/>
      <c r="RDF16" s="292"/>
      <c r="RDG16" s="292"/>
      <c r="RDH16" s="292"/>
      <c r="RDI16" s="292"/>
      <c r="RDJ16" s="292"/>
      <c r="RDK16" s="292"/>
      <c r="RDL16" s="292"/>
      <c r="RDM16" s="292"/>
      <c r="RDN16" s="292"/>
      <c r="RDO16" s="292"/>
      <c r="RDP16" s="292"/>
      <c r="RDQ16" s="292"/>
      <c r="RDR16" s="292"/>
      <c r="RDS16" s="292"/>
      <c r="RDT16" s="292"/>
      <c r="RDU16" s="292"/>
      <c r="RDV16" s="292"/>
      <c r="RDW16" s="292"/>
      <c r="RDX16" s="292"/>
      <c r="RDY16" s="292"/>
      <c r="RDZ16" s="292"/>
      <c r="REA16" s="292"/>
      <c r="REB16" s="292"/>
      <c r="REC16" s="292"/>
      <c r="RED16" s="292"/>
      <c r="REE16" s="292"/>
      <c r="REF16" s="292"/>
      <c r="REG16" s="292"/>
      <c r="REH16" s="292"/>
      <c r="REI16" s="292"/>
      <c r="REJ16" s="292"/>
      <c r="REK16" s="292"/>
      <c r="REL16" s="292"/>
      <c r="REM16" s="292"/>
      <c r="REN16" s="292"/>
      <c r="REO16" s="292"/>
      <c r="REP16" s="292"/>
      <c r="REQ16" s="292"/>
      <c r="RER16" s="292"/>
      <c r="RES16" s="292"/>
      <c r="RET16" s="292"/>
      <c r="REU16" s="292"/>
      <c r="REV16" s="292"/>
      <c r="REW16" s="292"/>
      <c r="REX16" s="292"/>
      <c r="REY16" s="292"/>
      <c r="REZ16" s="292"/>
      <c r="RFA16" s="292"/>
      <c r="RFB16" s="292"/>
      <c r="RFC16" s="292"/>
      <c r="RFD16" s="292"/>
      <c r="RFE16" s="292"/>
      <c r="RFF16" s="292"/>
      <c r="RFG16" s="292"/>
      <c r="RFH16" s="292"/>
      <c r="RFI16" s="292"/>
      <c r="RFJ16" s="292"/>
      <c r="RFK16" s="292"/>
      <c r="RFL16" s="292"/>
      <c r="RFM16" s="292"/>
      <c r="RFN16" s="292"/>
      <c r="RFO16" s="292"/>
      <c r="RFP16" s="292"/>
      <c r="RFQ16" s="292"/>
      <c r="RFR16" s="292"/>
      <c r="RFS16" s="292"/>
      <c r="RFT16" s="292"/>
      <c r="RFU16" s="292"/>
      <c r="RFV16" s="292"/>
      <c r="RFW16" s="292"/>
      <c r="RFX16" s="292"/>
      <c r="RFY16" s="292"/>
      <c r="RFZ16" s="292"/>
      <c r="RGA16" s="292"/>
      <c r="RGB16" s="292"/>
      <c r="RGC16" s="292"/>
      <c r="RGD16" s="292"/>
      <c r="RGE16" s="292"/>
      <c r="RGF16" s="292"/>
      <c r="RGG16" s="292"/>
      <c r="RGH16" s="292"/>
      <c r="RGI16" s="292"/>
      <c r="RGJ16" s="292"/>
      <c r="RGK16" s="292"/>
      <c r="RGL16" s="292"/>
      <c r="RGM16" s="292"/>
      <c r="RGN16" s="292"/>
      <c r="RGO16" s="292"/>
      <c r="RGP16" s="292"/>
      <c r="RGQ16" s="292"/>
      <c r="RGR16" s="292"/>
      <c r="RGS16" s="292"/>
      <c r="RGT16" s="292"/>
      <c r="RGU16" s="292"/>
      <c r="RGV16" s="292"/>
      <c r="RGW16" s="292"/>
      <c r="RGX16" s="292"/>
      <c r="RGY16" s="292"/>
      <c r="RGZ16" s="292"/>
      <c r="RHA16" s="292"/>
      <c r="RHB16" s="292"/>
      <c r="RHC16" s="292"/>
      <c r="RHD16" s="292"/>
      <c r="RHE16" s="292"/>
      <c r="RHF16" s="292"/>
      <c r="RHG16" s="292"/>
      <c r="RHH16" s="292"/>
      <c r="RHI16" s="292"/>
      <c r="RHJ16" s="292"/>
      <c r="RHK16" s="292"/>
      <c r="RHL16" s="292"/>
      <c r="RHM16" s="292"/>
      <c r="RHN16" s="292"/>
      <c r="RHO16" s="292"/>
      <c r="RHP16" s="292"/>
      <c r="RHQ16" s="292"/>
      <c r="RHR16" s="292"/>
      <c r="RHS16" s="292"/>
      <c r="RHT16" s="292"/>
      <c r="RHU16" s="292"/>
      <c r="RHV16" s="292"/>
      <c r="RHW16" s="292"/>
      <c r="RHX16" s="292"/>
      <c r="RHY16" s="292"/>
      <c r="RHZ16" s="292"/>
      <c r="RIA16" s="292"/>
      <c r="RIB16" s="292"/>
      <c r="RIC16" s="292"/>
      <c r="RID16" s="292"/>
      <c r="RIE16" s="292"/>
      <c r="RIF16" s="292"/>
      <c r="RIG16" s="292"/>
      <c r="RIH16" s="292"/>
      <c r="RII16" s="292"/>
      <c r="RIJ16" s="292"/>
      <c r="RIK16" s="292"/>
      <c r="RIL16" s="292"/>
      <c r="RIM16" s="292"/>
      <c r="RIN16" s="292"/>
      <c r="RIO16" s="292"/>
      <c r="RIP16" s="292"/>
      <c r="RIQ16" s="292"/>
      <c r="RIR16" s="292"/>
      <c r="RIS16" s="292"/>
      <c r="RIT16" s="292"/>
      <c r="RIU16" s="292"/>
      <c r="RIV16" s="292"/>
      <c r="RIW16" s="292"/>
      <c r="RIX16" s="292"/>
      <c r="RIY16" s="292"/>
      <c r="RIZ16" s="292"/>
      <c r="RJA16" s="292"/>
      <c r="RJB16" s="292"/>
      <c r="RJC16" s="292"/>
      <c r="RJD16" s="292"/>
      <c r="RJE16" s="292"/>
      <c r="RJF16" s="292"/>
      <c r="RJG16" s="292"/>
      <c r="RJH16" s="292"/>
      <c r="RJI16" s="292"/>
      <c r="RJJ16" s="292"/>
      <c r="RJK16" s="292"/>
      <c r="RJL16" s="292"/>
      <c r="RJM16" s="292"/>
      <c r="RJN16" s="292"/>
      <c r="RJO16" s="292"/>
      <c r="RJP16" s="292"/>
      <c r="RJQ16" s="292"/>
      <c r="RJR16" s="292"/>
      <c r="RJS16" s="292"/>
      <c r="RJT16" s="292"/>
      <c r="RJU16" s="292"/>
      <c r="RJV16" s="292"/>
      <c r="RJW16" s="292"/>
      <c r="RJX16" s="292"/>
      <c r="RJY16" s="292"/>
      <c r="RJZ16" s="292"/>
      <c r="RKA16" s="292"/>
      <c r="RKB16" s="292"/>
      <c r="RKC16" s="292"/>
      <c r="RKD16" s="292"/>
      <c r="RKE16" s="292"/>
      <c r="RKF16" s="292"/>
      <c r="RKG16" s="292"/>
      <c r="RKH16" s="292"/>
      <c r="RKI16" s="292"/>
      <c r="RKJ16" s="292"/>
      <c r="RKK16" s="292"/>
      <c r="RKL16" s="292"/>
      <c r="RKM16" s="292"/>
      <c r="RKN16" s="292"/>
      <c r="RKO16" s="292"/>
      <c r="RKP16" s="292"/>
      <c r="RKQ16" s="292"/>
      <c r="RKR16" s="292"/>
      <c r="RKS16" s="292"/>
      <c r="RKT16" s="292"/>
      <c r="RKU16" s="292"/>
      <c r="RKV16" s="292"/>
      <c r="RKW16" s="292"/>
      <c r="RKX16" s="292"/>
      <c r="RKY16" s="292"/>
      <c r="RKZ16" s="292"/>
      <c r="RLA16" s="292"/>
      <c r="RLB16" s="292"/>
      <c r="RLC16" s="292"/>
      <c r="RLD16" s="292"/>
      <c r="RLE16" s="292"/>
      <c r="RLF16" s="292"/>
      <c r="RLG16" s="292"/>
      <c r="RLH16" s="292"/>
      <c r="RLI16" s="292"/>
      <c r="RLJ16" s="292"/>
      <c r="RLK16" s="292"/>
      <c r="RLL16" s="292"/>
      <c r="RLM16" s="292"/>
      <c r="RLN16" s="292"/>
      <c r="RLO16" s="292"/>
      <c r="RLP16" s="292"/>
      <c r="RLQ16" s="292"/>
      <c r="RLR16" s="292"/>
      <c r="RLS16" s="292"/>
      <c r="RLT16" s="292"/>
      <c r="RLU16" s="292"/>
      <c r="RLV16" s="292"/>
      <c r="RLW16" s="292"/>
      <c r="RLX16" s="292"/>
      <c r="RLY16" s="292"/>
      <c r="RLZ16" s="292"/>
      <c r="RMA16" s="292"/>
      <c r="RMB16" s="292"/>
      <c r="RMC16" s="292"/>
      <c r="RMD16" s="292"/>
      <c r="RME16" s="292"/>
      <c r="RMF16" s="292"/>
      <c r="RMG16" s="292"/>
      <c r="RMH16" s="292"/>
      <c r="RMI16" s="292"/>
      <c r="RMJ16" s="292"/>
      <c r="RMK16" s="292"/>
      <c r="RML16" s="292"/>
      <c r="RMM16" s="292"/>
      <c r="RMN16" s="292"/>
      <c r="RMO16" s="292"/>
      <c r="RMP16" s="292"/>
      <c r="RMQ16" s="292"/>
      <c r="RMR16" s="292"/>
      <c r="RMS16" s="292"/>
      <c r="RMT16" s="292"/>
      <c r="RMU16" s="292"/>
      <c r="RMV16" s="292"/>
      <c r="RMW16" s="292"/>
      <c r="RMX16" s="292"/>
      <c r="RMY16" s="292"/>
      <c r="RMZ16" s="292"/>
      <c r="RNA16" s="292"/>
      <c r="RNB16" s="292"/>
      <c r="RNC16" s="292"/>
      <c r="RND16" s="292"/>
      <c r="RNE16" s="292"/>
      <c r="RNF16" s="292"/>
      <c r="RNG16" s="292"/>
      <c r="RNH16" s="292"/>
      <c r="RNI16" s="292"/>
      <c r="RNJ16" s="292"/>
      <c r="RNK16" s="292"/>
      <c r="RNL16" s="292"/>
      <c r="RNM16" s="292"/>
      <c r="RNN16" s="292"/>
      <c r="RNO16" s="292"/>
      <c r="RNP16" s="292"/>
      <c r="RNQ16" s="292"/>
      <c r="RNR16" s="292"/>
      <c r="RNS16" s="292"/>
      <c r="RNT16" s="292"/>
      <c r="RNU16" s="292"/>
      <c r="RNV16" s="292"/>
      <c r="RNW16" s="292"/>
      <c r="RNX16" s="292"/>
      <c r="RNY16" s="292"/>
      <c r="RNZ16" s="292"/>
      <c r="ROA16" s="292"/>
      <c r="ROB16" s="292"/>
      <c r="ROC16" s="292"/>
      <c r="ROD16" s="292"/>
      <c r="ROE16" s="292"/>
      <c r="ROF16" s="292"/>
      <c r="ROG16" s="292"/>
      <c r="ROH16" s="292"/>
      <c r="ROI16" s="292"/>
      <c r="ROJ16" s="292"/>
      <c r="ROK16" s="292"/>
      <c r="ROL16" s="292"/>
      <c r="ROM16" s="292"/>
      <c r="RON16" s="292"/>
      <c r="ROO16" s="292"/>
      <c r="ROP16" s="292"/>
      <c r="ROQ16" s="292"/>
      <c r="ROR16" s="292"/>
      <c r="ROS16" s="292"/>
      <c r="ROT16" s="292"/>
      <c r="ROU16" s="292"/>
      <c r="ROV16" s="292"/>
      <c r="ROW16" s="292"/>
      <c r="ROX16" s="292"/>
      <c r="ROY16" s="292"/>
      <c r="ROZ16" s="292"/>
      <c r="RPA16" s="292"/>
      <c r="RPB16" s="292"/>
      <c r="RPC16" s="292"/>
      <c r="RPD16" s="292"/>
      <c r="RPE16" s="292"/>
      <c r="RPF16" s="292"/>
      <c r="RPG16" s="292"/>
      <c r="RPH16" s="292"/>
      <c r="RPI16" s="292"/>
      <c r="RPJ16" s="292"/>
      <c r="RPK16" s="292"/>
      <c r="RPL16" s="292"/>
      <c r="RPM16" s="292"/>
      <c r="RPN16" s="292"/>
      <c r="RPO16" s="292"/>
      <c r="RPP16" s="292"/>
      <c r="RPQ16" s="292"/>
      <c r="RPR16" s="292"/>
      <c r="RPS16" s="292"/>
      <c r="RPT16" s="292"/>
      <c r="RPU16" s="292"/>
      <c r="RPV16" s="292"/>
      <c r="RPW16" s="292"/>
      <c r="RPX16" s="292"/>
      <c r="RPY16" s="292"/>
      <c r="RPZ16" s="292"/>
      <c r="RQA16" s="292"/>
      <c r="RQB16" s="292"/>
      <c r="RQC16" s="292"/>
      <c r="RQD16" s="292"/>
      <c r="RQE16" s="292"/>
      <c r="RQF16" s="292"/>
      <c r="RQG16" s="292"/>
      <c r="RQH16" s="292"/>
      <c r="RQI16" s="292"/>
      <c r="RQJ16" s="292"/>
      <c r="RQK16" s="292"/>
      <c r="RQL16" s="292"/>
      <c r="RQM16" s="292"/>
      <c r="RQN16" s="292"/>
      <c r="RQO16" s="292"/>
      <c r="RQP16" s="292"/>
      <c r="RQQ16" s="292"/>
      <c r="RQR16" s="292"/>
      <c r="RQS16" s="292"/>
      <c r="RQT16" s="292"/>
      <c r="RQU16" s="292"/>
      <c r="RQV16" s="292"/>
      <c r="RQW16" s="292"/>
      <c r="RQX16" s="292"/>
      <c r="RQY16" s="292"/>
      <c r="RQZ16" s="292"/>
      <c r="RRA16" s="292"/>
      <c r="RRB16" s="292"/>
      <c r="RRC16" s="292"/>
      <c r="RRD16" s="292"/>
      <c r="RRE16" s="292"/>
      <c r="RRF16" s="292"/>
      <c r="RRG16" s="292"/>
      <c r="RRH16" s="292"/>
      <c r="RRI16" s="292"/>
      <c r="RRJ16" s="292"/>
      <c r="RRK16" s="292"/>
      <c r="RRL16" s="292"/>
      <c r="RRM16" s="292"/>
      <c r="RRN16" s="292"/>
      <c r="RRO16" s="292"/>
      <c r="RRP16" s="292"/>
      <c r="RRQ16" s="292"/>
      <c r="RRR16" s="292"/>
      <c r="RRS16" s="292"/>
      <c r="RRT16" s="292"/>
      <c r="RRU16" s="292"/>
      <c r="RRV16" s="292"/>
      <c r="RRW16" s="292"/>
      <c r="RRX16" s="292"/>
      <c r="RRY16" s="292"/>
      <c r="RRZ16" s="292"/>
      <c r="RSA16" s="292"/>
      <c r="RSB16" s="292"/>
      <c r="RSC16" s="292"/>
      <c r="RSD16" s="292"/>
      <c r="RSE16" s="292"/>
      <c r="RSF16" s="292"/>
      <c r="RSG16" s="292"/>
      <c r="RSH16" s="292"/>
      <c r="RSI16" s="292"/>
      <c r="RSJ16" s="292"/>
      <c r="RSK16" s="292"/>
      <c r="RSL16" s="292"/>
      <c r="RSM16" s="292"/>
      <c r="RSN16" s="292"/>
      <c r="RSO16" s="292"/>
      <c r="RSP16" s="292"/>
      <c r="RSQ16" s="292"/>
      <c r="RSR16" s="292"/>
      <c r="RSS16" s="292"/>
      <c r="RST16" s="292"/>
      <c r="RSU16" s="292"/>
      <c r="RSV16" s="292"/>
      <c r="RSW16" s="292"/>
      <c r="RSX16" s="292"/>
      <c r="RSY16" s="292"/>
      <c r="RSZ16" s="292"/>
      <c r="RTA16" s="292"/>
      <c r="RTB16" s="292"/>
      <c r="RTC16" s="292"/>
      <c r="RTD16" s="292"/>
      <c r="RTE16" s="292"/>
      <c r="RTF16" s="292"/>
      <c r="RTG16" s="292"/>
      <c r="RTH16" s="292"/>
      <c r="RTI16" s="292"/>
      <c r="RTJ16" s="292"/>
      <c r="RTK16" s="292"/>
      <c r="RTL16" s="292"/>
      <c r="RTM16" s="292"/>
      <c r="RTN16" s="292"/>
      <c r="RTO16" s="292"/>
      <c r="RTP16" s="292"/>
      <c r="RTQ16" s="292"/>
      <c r="RTR16" s="292"/>
      <c r="RTS16" s="292"/>
      <c r="RTT16" s="292"/>
      <c r="RTU16" s="292"/>
      <c r="RTV16" s="292"/>
      <c r="RTW16" s="292"/>
      <c r="RTX16" s="292"/>
      <c r="RTY16" s="292"/>
      <c r="RTZ16" s="292"/>
      <c r="RUA16" s="292"/>
      <c r="RUB16" s="292"/>
      <c r="RUC16" s="292"/>
      <c r="RUD16" s="292"/>
      <c r="RUE16" s="292"/>
      <c r="RUF16" s="292"/>
      <c r="RUG16" s="292"/>
      <c r="RUH16" s="292"/>
      <c r="RUI16" s="292"/>
      <c r="RUJ16" s="292"/>
      <c r="RUK16" s="292"/>
      <c r="RUL16" s="292"/>
      <c r="RUM16" s="292"/>
      <c r="RUN16" s="292"/>
      <c r="RUO16" s="292"/>
      <c r="RUP16" s="292"/>
      <c r="RUQ16" s="292"/>
      <c r="RUR16" s="292"/>
      <c r="RUS16" s="292"/>
      <c r="RUT16" s="292"/>
      <c r="RUU16" s="292"/>
      <c r="RUV16" s="292"/>
      <c r="RUW16" s="292"/>
      <c r="RUX16" s="292"/>
      <c r="RUY16" s="292"/>
      <c r="RUZ16" s="292"/>
      <c r="RVA16" s="292"/>
      <c r="RVB16" s="292"/>
      <c r="RVC16" s="292"/>
      <c r="RVD16" s="292"/>
      <c r="RVE16" s="292"/>
      <c r="RVF16" s="292"/>
      <c r="RVG16" s="292"/>
      <c r="RVH16" s="292"/>
      <c r="RVI16" s="292"/>
      <c r="RVJ16" s="292"/>
      <c r="RVK16" s="292"/>
      <c r="RVL16" s="292"/>
      <c r="RVM16" s="292"/>
      <c r="RVN16" s="292"/>
      <c r="RVO16" s="292"/>
      <c r="RVP16" s="292"/>
      <c r="RVQ16" s="292"/>
      <c r="RVR16" s="292"/>
      <c r="RVS16" s="292"/>
      <c r="RVT16" s="292"/>
      <c r="RVU16" s="292"/>
      <c r="RVV16" s="292"/>
      <c r="RVW16" s="292"/>
      <c r="RVX16" s="292"/>
      <c r="RVY16" s="292"/>
      <c r="RVZ16" s="292"/>
      <c r="RWA16" s="292"/>
      <c r="RWB16" s="292"/>
      <c r="RWC16" s="292"/>
      <c r="RWD16" s="292"/>
      <c r="RWE16" s="292"/>
      <c r="RWF16" s="292"/>
      <c r="RWG16" s="292"/>
      <c r="RWH16" s="292"/>
      <c r="RWI16" s="292"/>
      <c r="RWJ16" s="292"/>
      <c r="RWK16" s="292"/>
      <c r="RWL16" s="292"/>
      <c r="RWM16" s="292"/>
      <c r="RWN16" s="292"/>
      <c r="RWO16" s="292"/>
      <c r="RWP16" s="292"/>
      <c r="RWQ16" s="292"/>
      <c r="RWR16" s="292"/>
      <c r="RWS16" s="292"/>
      <c r="RWT16" s="292"/>
      <c r="RWU16" s="292"/>
      <c r="RWV16" s="292"/>
      <c r="RWW16" s="292"/>
      <c r="RWX16" s="292"/>
      <c r="RWY16" s="292"/>
      <c r="RWZ16" s="292"/>
      <c r="RXA16" s="292"/>
      <c r="RXB16" s="292"/>
      <c r="RXC16" s="292"/>
      <c r="RXD16" s="292"/>
      <c r="RXE16" s="292"/>
      <c r="RXF16" s="292"/>
      <c r="RXG16" s="292"/>
      <c r="RXH16" s="292"/>
      <c r="RXI16" s="292"/>
      <c r="RXJ16" s="292"/>
      <c r="RXK16" s="292"/>
      <c r="RXL16" s="292"/>
      <c r="RXM16" s="292"/>
      <c r="RXN16" s="292"/>
      <c r="RXO16" s="292"/>
      <c r="RXP16" s="292"/>
      <c r="RXQ16" s="292"/>
      <c r="RXR16" s="292"/>
      <c r="RXS16" s="292"/>
      <c r="RXT16" s="292"/>
      <c r="RXU16" s="292"/>
      <c r="RXV16" s="292"/>
      <c r="RXW16" s="292"/>
      <c r="RXX16" s="292"/>
      <c r="RXY16" s="292"/>
      <c r="RXZ16" s="292"/>
      <c r="RYA16" s="292"/>
      <c r="RYB16" s="292"/>
      <c r="RYC16" s="292"/>
      <c r="RYD16" s="292"/>
      <c r="RYE16" s="292"/>
      <c r="RYF16" s="292"/>
      <c r="RYG16" s="292"/>
      <c r="RYH16" s="292"/>
      <c r="RYI16" s="292"/>
      <c r="RYJ16" s="292"/>
      <c r="RYK16" s="292"/>
      <c r="RYL16" s="292"/>
      <c r="RYM16" s="292"/>
      <c r="RYN16" s="292"/>
      <c r="RYO16" s="292"/>
      <c r="RYP16" s="292"/>
      <c r="RYQ16" s="292"/>
      <c r="RYR16" s="292"/>
      <c r="RYS16" s="292"/>
      <c r="RYT16" s="292"/>
      <c r="RYU16" s="292"/>
      <c r="RYV16" s="292"/>
      <c r="RYW16" s="292"/>
      <c r="RYX16" s="292"/>
      <c r="RYY16" s="292"/>
      <c r="RYZ16" s="292"/>
      <c r="RZA16" s="292"/>
      <c r="RZB16" s="292"/>
      <c r="RZC16" s="292"/>
      <c r="RZD16" s="292"/>
      <c r="RZE16" s="292"/>
      <c r="RZF16" s="292"/>
      <c r="RZG16" s="292"/>
      <c r="RZH16" s="292"/>
      <c r="RZI16" s="292"/>
      <c r="RZJ16" s="292"/>
      <c r="RZK16" s="292"/>
      <c r="RZL16" s="292"/>
      <c r="RZM16" s="292"/>
      <c r="RZN16" s="292"/>
      <c r="RZO16" s="292"/>
      <c r="RZP16" s="292"/>
      <c r="RZQ16" s="292"/>
      <c r="RZR16" s="292"/>
      <c r="RZS16" s="292"/>
      <c r="RZT16" s="292"/>
      <c r="RZU16" s="292"/>
      <c r="RZV16" s="292"/>
      <c r="RZW16" s="292"/>
      <c r="RZX16" s="292"/>
      <c r="RZY16" s="292"/>
      <c r="RZZ16" s="292"/>
      <c r="SAA16" s="292"/>
      <c r="SAB16" s="292"/>
      <c r="SAC16" s="292"/>
      <c r="SAD16" s="292"/>
      <c r="SAE16" s="292"/>
      <c r="SAF16" s="292"/>
      <c r="SAG16" s="292"/>
      <c r="SAH16" s="292"/>
      <c r="SAI16" s="292"/>
      <c r="SAJ16" s="292"/>
      <c r="SAK16" s="292"/>
      <c r="SAL16" s="292"/>
      <c r="SAM16" s="292"/>
      <c r="SAN16" s="292"/>
      <c r="SAO16" s="292"/>
      <c r="SAP16" s="292"/>
      <c r="SAQ16" s="292"/>
      <c r="SAR16" s="292"/>
      <c r="SAS16" s="292"/>
      <c r="SAT16" s="292"/>
      <c r="SAU16" s="292"/>
      <c r="SAV16" s="292"/>
      <c r="SAW16" s="292"/>
      <c r="SAX16" s="292"/>
      <c r="SAY16" s="292"/>
      <c r="SAZ16" s="292"/>
      <c r="SBA16" s="292"/>
      <c r="SBB16" s="292"/>
      <c r="SBC16" s="292"/>
      <c r="SBD16" s="292"/>
      <c r="SBE16" s="292"/>
      <c r="SBF16" s="292"/>
      <c r="SBG16" s="292"/>
      <c r="SBH16" s="292"/>
      <c r="SBI16" s="292"/>
      <c r="SBJ16" s="292"/>
      <c r="SBK16" s="292"/>
      <c r="SBL16" s="292"/>
      <c r="SBM16" s="292"/>
      <c r="SBN16" s="292"/>
      <c r="SBO16" s="292"/>
      <c r="SBP16" s="292"/>
      <c r="SBQ16" s="292"/>
      <c r="SBR16" s="292"/>
      <c r="SBS16" s="292"/>
      <c r="SBT16" s="292"/>
      <c r="SBU16" s="292"/>
      <c r="SBV16" s="292"/>
      <c r="SBW16" s="292"/>
      <c r="SBX16" s="292"/>
      <c r="SBY16" s="292"/>
      <c r="SBZ16" s="292"/>
      <c r="SCA16" s="292"/>
      <c r="SCB16" s="292"/>
      <c r="SCC16" s="292"/>
      <c r="SCD16" s="292"/>
      <c r="SCE16" s="292"/>
      <c r="SCF16" s="292"/>
      <c r="SCG16" s="292"/>
      <c r="SCH16" s="292"/>
      <c r="SCI16" s="292"/>
      <c r="SCJ16" s="292"/>
      <c r="SCK16" s="292"/>
      <c r="SCL16" s="292"/>
      <c r="SCM16" s="292"/>
      <c r="SCN16" s="292"/>
      <c r="SCO16" s="292"/>
      <c r="SCP16" s="292"/>
      <c r="SCQ16" s="292"/>
      <c r="SCR16" s="292"/>
      <c r="SCS16" s="292"/>
      <c r="SCT16" s="292"/>
      <c r="SCU16" s="292"/>
      <c r="SCV16" s="292"/>
      <c r="SCW16" s="292"/>
      <c r="SCX16" s="292"/>
      <c r="SCY16" s="292"/>
      <c r="SCZ16" s="292"/>
      <c r="SDA16" s="292"/>
      <c r="SDB16" s="292"/>
      <c r="SDC16" s="292"/>
      <c r="SDD16" s="292"/>
      <c r="SDE16" s="292"/>
      <c r="SDF16" s="292"/>
      <c r="SDG16" s="292"/>
      <c r="SDH16" s="292"/>
      <c r="SDI16" s="292"/>
      <c r="SDJ16" s="292"/>
      <c r="SDK16" s="292"/>
      <c r="SDL16" s="292"/>
      <c r="SDM16" s="292"/>
      <c r="SDN16" s="292"/>
      <c r="SDO16" s="292"/>
      <c r="SDP16" s="292"/>
      <c r="SDQ16" s="292"/>
      <c r="SDR16" s="292"/>
      <c r="SDS16" s="292"/>
      <c r="SDT16" s="292"/>
      <c r="SDU16" s="292"/>
      <c r="SDV16" s="292"/>
      <c r="SDW16" s="292"/>
      <c r="SDX16" s="292"/>
      <c r="SDY16" s="292"/>
      <c r="SDZ16" s="292"/>
      <c r="SEA16" s="292"/>
      <c r="SEB16" s="292"/>
      <c r="SEC16" s="292"/>
      <c r="SED16" s="292"/>
      <c r="SEE16" s="292"/>
      <c r="SEF16" s="292"/>
      <c r="SEG16" s="292"/>
      <c r="SEH16" s="292"/>
      <c r="SEI16" s="292"/>
      <c r="SEJ16" s="292"/>
      <c r="SEK16" s="292"/>
      <c r="SEL16" s="292"/>
      <c r="SEM16" s="292"/>
      <c r="SEN16" s="292"/>
      <c r="SEO16" s="292"/>
      <c r="SEP16" s="292"/>
      <c r="SEQ16" s="292"/>
      <c r="SER16" s="292"/>
      <c r="SES16" s="292"/>
      <c r="SET16" s="292"/>
      <c r="SEU16" s="292"/>
      <c r="SEV16" s="292"/>
      <c r="SEW16" s="292"/>
      <c r="SEX16" s="292"/>
      <c r="SEY16" s="292"/>
      <c r="SEZ16" s="292"/>
      <c r="SFA16" s="292"/>
      <c r="SFB16" s="292"/>
      <c r="SFC16" s="292"/>
      <c r="SFD16" s="292"/>
      <c r="SFE16" s="292"/>
      <c r="SFF16" s="292"/>
      <c r="SFG16" s="292"/>
      <c r="SFH16" s="292"/>
      <c r="SFI16" s="292"/>
      <c r="SFJ16" s="292"/>
      <c r="SFK16" s="292"/>
      <c r="SFL16" s="292"/>
      <c r="SFM16" s="292"/>
      <c r="SFN16" s="292"/>
      <c r="SFO16" s="292"/>
      <c r="SFP16" s="292"/>
      <c r="SFQ16" s="292"/>
      <c r="SFR16" s="292"/>
      <c r="SFS16" s="292"/>
      <c r="SFT16" s="292"/>
      <c r="SFU16" s="292"/>
      <c r="SFV16" s="292"/>
      <c r="SFW16" s="292"/>
      <c r="SFX16" s="292"/>
      <c r="SFY16" s="292"/>
      <c r="SFZ16" s="292"/>
      <c r="SGA16" s="292"/>
      <c r="SGB16" s="292"/>
      <c r="SGC16" s="292"/>
      <c r="SGD16" s="292"/>
      <c r="SGE16" s="292"/>
      <c r="SGF16" s="292"/>
      <c r="SGG16" s="292"/>
      <c r="SGH16" s="292"/>
      <c r="SGI16" s="292"/>
      <c r="SGJ16" s="292"/>
      <c r="SGK16" s="292"/>
      <c r="SGL16" s="292"/>
      <c r="SGM16" s="292"/>
      <c r="SGN16" s="292"/>
      <c r="SGO16" s="292"/>
      <c r="SGP16" s="292"/>
      <c r="SGQ16" s="292"/>
      <c r="SGR16" s="292"/>
      <c r="SGS16" s="292"/>
      <c r="SGT16" s="292"/>
      <c r="SGU16" s="292"/>
      <c r="SGV16" s="292"/>
      <c r="SGW16" s="292"/>
      <c r="SGX16" s="292"/>
      <c r="SGY16" s="292"/>
      <c r="SGZ16" s="292"/>
      <c r="SHA16" s="292"/>
      <c r="SHB16" s="292"/>
      <c r="SHC16" s="292"/>
      <c r="SHD16" s="292"/>
      <c r="SHE16" s="292"/>
      <c r="SHF16" s="292"/>
      <c r="SHG16" s="292"/>
      <c r="SHH16" s="292"/>
      <c r="SHI16" s="292"/>
      <c r="SHJ16" s="292"/>
      <c r="SHK16" s="292"/>
      <c r="SHL16" s="292"/>
      <c r="SHM16" s="292"/>
      <c r="SHN16" s="292"/>
      <c r="SHO16" s="292"/>
      <c r="SHP16" s="292"/>
      <c r="SHQ16" s="292"/>
      <c r="SHR16" s="292"/>
      <c r="SHS16" s="292"/>
      <c r="SHT16" s="292"/>
      <c r="SHU16" s="292"/>
      <c r="SHV16" s="292"/>
      <c r="SHW16" s="292"/>
      <c r="SHX16" s="292"/>
      <c r="SHY16" s="292"/>
      <c r="SHZ16" s="292"/>
      <c r="SIA16" s="292"/>
      <c r="SIB16" s="292"/>
      <c r="SIC16" s="292"/>
      <c r="SID16" s="292"/>
      <c r="SIE16" s="292"/>
      <c r="SIF16" s="292"/>
      <c r="SIG16" s="292"/>
      <c r="SIH16" s="292"/>
      <c r="SII16" s="292"/>
      <c r="SIJ16" s="292"/>
      <c r="SIK16" s="292"/>
      <c r="SIL16" s="292"/>
      <c r="SIM16" s="292"/>
      <c r="SIN16" s="292"/>
      <c r="SIO16" s="292"/>
      <c r="SIP16" s="292"/>
      <c r="SIQ16" s="292"/>
      <c r="SIR16" s="292"/>
      <c r="SIS16" s="292"/>
      <c r="SIT16" s="292"/>
      <c r="SIU16" s="292"/>
      <c r="SIV16" s="292"/>
      <c r="SIW16" s="292"/>
      <c r="SIX16" s="292"/>
      <c r="SIY16" s="292"/>
      <c r="SIZ16" s="292"/>
      <c r="SJA16" s="292"/>
      <c r="SJB16" s="292"/>
      <c r="SJC16" s="292"/>
      <c r="SJD16" s="292"/>
      <c r="SJE16" s="292"/>
      <c r="SJF16" s="292"/>
      <c r="SJG16" s="292"/>
      <c r="SJH16" s="292"/>
      <c r="SJI16" s="292"/>
      <c r="SJJ16" s="292"/>
      <c r="SJK16" s="292"/>
      <c r="SJL16" s="292"/>
      <c r="SJM16" s="292"/>
      <c r="SJN16" s="292"/>
      <c r="SJO16" s="292"/>
      <c r="SJP16" s="292"/>
      <c r="SJQ16" s="292"/>
      <c r="SJR16" s="292"/>
      <c r="SJS16" s="292"/>
      <c r="SJT16" s="292"/>
      <c r="SJU16" s="292"/>
      <c r="SJV16" s="292"/>
      <c r="SJW16" s="292"/>
      <c r="SJX16" s="292"/>
      <c r="SJY16" s="292"/>
      <c r="SJZ16" s="292"/>
      <c r="SKA16" s="292"/>
      <c r="SKB16" s="292"/>
      <c r="SKC16" s="292"/>
      <c r="SKD16" s="292"/>
      <c r="SKE16" s="292"/>
      <c r="SKF16" s="292"/>
      <c r="SKG16" s="292"/>
      <c r="SKH16" s="292"/>
      <c r="SKI16" s="292"/>
      <c r="SKJ16" s="292"/>
      <c r="SKK16" s="292"/>
      <c r="SKL16" s="292"/>
      <c r="SKM16" s="292"/>
      <c r="SKN16" s="292"/>
      <c r="SKO16" s="292"/>
      <c r="SKP16" s="292"/>
      <c r="SKQ16" s="292"/>
      <c r="SKR16" s="292"/>
      <c r="SKS16" s="292"/>
      <c r="SKT16" s="292"/>
      <c r="SKU16" s="292"/>
      <c r="SKV16" s="292"/>
      <c r="SKW16" s="292"/>
      <c r="SKX16" s="292"/>
      <c r="SKY16" s="292"/>
      <c r="SKZ16" s="292"/>
      <c r="SLA16" s="292"/>
      <c r="SLB16" s="292"/>
      <c r="SLC16" s="292"/>
      <c r="SLD16" s="292"/>
      <c r="SLE16" s="292"/>
      <c r="SLF16" s="292"/>
      <c r="SLG16" s="292"/>
      <c r="SLH16" s="292"/>
      <c r="SLI16" s="292"/>
      <c r="SLJ16" s="292"/>
      <c r="SLK16" s="292"/>
      <c r="SLL16" s="292"/>
      <c r="SLM16" s="292"/>
      <c r="SLN16" s="292"/>
      <c r="SLO16" s="292"/>
      <c r="SLP16" s="292"/>
      <c r="SLQ16" s="292"/>
      <c r="SLR16" s="292"/>
      <c r="SLS16" s="292"/>
      <c r="SLT16" s="292"/>
      <c r="SLU16" s="292"/>
      <c r="SLV16" s="292"/>
      <c r="SLW16" s="292"/>
      <c r="SLX16" s="292"/>
      <c r="SLY16" s="292"/>
      <c r="SLZ16" s="292"/>
      <c r="SMA16" s="292"/>
      <c r="SMB16" s="292"/>
      <c r="SMC16" s="292"/>
      <c r="SMD16" s="292"/>
      <c r="SME16" s="292"/>
      <c r="SMF16" s="292"/>
      <c r="SMG16" s="292"/>
      <c r="SMH16" s="292"/>
      <c r="SMI16" s="292"/>
      <c r="SMJ16" s="292"/>
      <c r="SMK16" s="292"/>
      <c r="SML16" s="292"/>
      <c r="SMM16" s="292"/>
      <c r="SMN16" s="292"/>
      <c r="SMO16" s="292"/>
      <c r="SMP16" s="292"/>
      <c r="SMQ16" s="292"/>
      <c r="SMR16" s="292"/>
      <c r="SMS16" s="292"/>
      <c r="SMT16" s="292"/>
      <c r="SMU16" s="292"/>
      <c r="SMV16" s="292"/>
      <c r="SMW16" s="292"/>
      <c r="SMX16" s="292"/>
      <c r="SMY16" s="292"/>
      <c r="SMZ16" s="292"/>
      <c r="SNA16" s="292"/>
      <c r="SNB16" s="292"/>
      <c r="SNC16" s="292"/>
      <c r="SND16" s="292"/>
      <c r="SNE16" s="292"/>
      <c r="SNF16" s="292"/>
      <c r="SNG16" s="292"/>
      <c r="SNH16" s="292"/>
      <c r="SNI16" s="292"/>
      <c r="SNJ16" s="292"/>
      <c r="SNK16" s="292"/>
      <c r="SNL16" s="292"/>
      <c r="SNM16" s="292"/>
      <c r="SNN16" s="292"/>
      <c r="SNO16" s="292"/>
      <c r="SNP16" s="292"/>
      <c r="SNQ16" s="292"/>
      <c r="SNR16" s="292"/>
      <c r="SNS16" s="292"/>
      <c r="SNT16" s="292"/>
      <c r="SNU16" s="292"/>
      <c r="SNV16" s="292"/>
      <c r="SNW16" s="292"/>
      <c r="SNX16" s="292"/>
      <c r="SNY16" s="292"/>
      <c r="SNZ16" s="292"/>
      <c r="SOA16" s="292"/>
      <c r="SOB16" s="292"/>
      <c r="SOC16" s="292"/>
      <c r="SOD16" s="292"/>
      <c r="SOE16" s="292"/>
      <c r="SOF16" s="292"/>
      <c r="SOG16" s="292"/>
      <c r="SOH16" s="292"/>
      <c r="SOI16" s="292"/>
      <c r="SOJ16" s="292"/>
      <c r="SOK16" s="292"/>
      <c r="SOL16" s="292"/>
      <c r="SOM16" s="292"/>
      <c r="SON16" s="292"/>
      <c r="SOO16" s="292"/>
      <c r="SOP16" s="292"/>
      <c r="SOQ16" s="292"/>
      <c r="SOR16" s="292"/>
      <c r="SOS16" s="292"/>
      <c r="SOT16" s="292"/>
      <c r="SOU16" s="292"/>
      <c r="SOV16" s="292"/>
      <c r="SOW16" s="292"/>
      <c r="SOX16" s="292"/>
      <c r="SOY16" s="292"/>
      <c r="SOZ16" s="292"/>
      <c r="SPA16" s="292"/>
      <c r="SPB16" s="292"/>
      <c r="SPC16" s="292"/>
      <c r="SPD16" s="292"/>
      <c r="SPE16" s="292"/>
      <c r="SPF16" s="292"/>
      <c r="SPG16" s="292"/>
      <c r="SPH16" s="292"/>
      <c r="SPI16" s="292"/>
      <c r="SPJ16" s="292"/>
      <c r="SPK16" s="292"/>
      <c r="SPL16" s="292"/>
      <c r="SPM16" s="292"/>
      <c r="SPN16" s="292"/>
      <c r="SPO16" s="292"/>
      <c r="SPP16" s="292"/>
      <c r="SPQ16" s="292"/>
      <c r="SPR16" s="292"/>
      <c r="SPS16" s="292"/>
      <c r="SPT16" s="292"/>
      <c r="SPU16" s="292"/>
      <c r="SPV16" s="292"/>
      <c r="SPW16" s="292"/>
      <c r="SPX16" s="292"/>
      <c r="SPY16" s="292"/>
      <c r="SPZ16" s="292"/>
      <c r="SQA16" s="292"/>
      <c r="SQB16" s="292"/>
      <c r="SQC16" s="292"/>
      <c r="SQD16" s="292"/>
      <c r="SQE16" s="292"/>
      <c r="SQF16" s="292"/>
      <c r="SQG16" s="292"/>
      <c r="SQH16" s="292"/>
      <c r="SQI16" s="292"/>
      <c r="SQJ16" s="292"/>
      <c r="SQK16" s="292"/>
      <c r="SQL16" s="292"/>
      <c r="SQM16" s="292"/>
      <c r="SQN16" s="292"/>
      <c r="SQO16" s="292"/>
      <c r="SQP16" s="292"/>
      <c r="SQQ16" s="292"/>
      <c r="SQR16" s="292"/>
      <c r="SQS16" s="292"/>
      <c r="SQT16" s="292"/>
      <c r="SQU16" s="292"/>
      <c r="SQV16" s="292"/>
      <c r="SQW16" s="292"/>
      <c r="SQX16" s="292"/>
      <c r="SQY16" s="292"/>
      <c r="SQZ16" s="292"/>
      <c r="SRA16" s="292"/>
      <c r="SRB16" s="292"/>
      <c r="SRC16" s="292"/>
      <c r="SRD16" s="292"/>
      <c r="SRE16" s="292"/>
      <c r="SRF16" s="292"/>
      <c r="SRG16" s="292"/>
      <c r="SRH16" s="292"/>
      <c r="SRI16" s="292"/>
      <c r="SRJ16" s="292"/>
      <c r="SRK16" s="292"/>
      <c r="SRL16" s="292"/>
      <c r="SRM16" s="292"/>
      <c r="SRN16" s="292"/>
      <c r="SRO16" s="292"/>
      <c r="SRP16" s="292"/>
      <c r="SRQ16" s="292"/>
      <c r="SRR16" s="292"/>
      <c r="SRS16" s="292"/>
      <c r="SRT16" s="292"/>
      <c r="SRU16" s="292"/>
      <c r="SRV16" s="292"/>
      <c r="SRW16" s="292"/>
      <c r="SRX16" s="292"/>
      <c r="SRY16" s="292"/>
      <c r="SRZ16" s="292"/>
      <c r="SSA16" s="292"/>
      <c r="SSB16" s="292"/>
      <c r="SSC16" s="292"/>
      <c r="SSD16" s="292"/>
      <c r="SSE16" s="292"/>
      <c r="SSF16" s="292"/>
      <c r="SSG16" s="292"/>
      <c r="SSH16" s="292"/>
      <c r="SSI16" s="292"/>
      <c r="SSJ16" s="292"/>
      <c r="SSK16" s="292"/>
      <c r="SSL16" s="292"/>
      <c r="SSM16" s="292"/>
      <c r="SSN16" s="292"/>
      <c r="SSO16" s="292"/>
      <c r="SSP16" s="292"/>
      <c r="SSQ16" s="292"/>
      <c r="SSR16" s="292"/>
      <c r="SSS16" s="292"/>
      <c r="SST16" s="292"/>
      <c r="SSU16" s="292"/>
      <c r="SSV16" s="292"/>
      <c r="SSW16" s="292"/>
      <c r="SSX16" s="292"/>
      <c r="SSY16" s="292"/>
      <c r="SSZ16" s="292"/>
      <c r="STA16" s="292"/>
      <c r="STB16" s="292"/>
      <c r="STC16" s="292"/>
      <c r="STD16" s="292"/>
      <c r="STE16" s="292"/>
      <c r="STF16" s="292"/>
      <c r="STG16" s="292"/>
      <c r="STH16" s="292"/>
      <c r="STI16" s="292"/>
      <c r="STJ16" s="292"/>
      <c r="STK16" s="292"/>
      <c r="STL16" s="292"/>
      <c r="STM16" s="292"/>
      <c r="STN16" s="292"/>
      <c r="STO16" s="292"/>
      <c r="STP16" s="292"/>
      <c r="STQ16" s="292"/>
      <c r="STR16" s="292"/>
      <c r="STS16" s="292"/>
      <c r="STT16" s="292"/>
      <c r="STU16" s="292"/>
      <c r="STV16" s="292"/>
      <c r="STW16" s="292"/>
      <c r="STX16" s="292"/>
      <c r="STY16" s="292"/>
      <c r="STZ16" s="292"/>
      <c r="SUA16" s="292"/>
      <c r="SUB16" s="292"/>
      <c r="SUC16" s="292"/>
      <c r="SUD16" s="292"/>
      <c r="SUE16" s="292"/>
      <c r="SUF16" s="292"/>
      <c r="SUG16" s="292"/>
      <c r="SUH16" s="292"/>
      <c r="SUI16" s="292"/>
      <c r="SUJ16" s="292"/>
      <c r="SUK16" s="292"/>
      <c r="SUL16" s="292"/>
      <c r="SUM16" s="292"/>
      <c r="SUN16" s="292"/>
      <c r="SUO16" s="292"/>
      <c r="SUP16" s="292"/>
      <c r="SUQ16" s="292"/>
      <c r="SUR16" s="292"/>
      <c r="SUS16" s="292"/>
      <c r="SUT16" s="292"/>
      <c r="SUU16" s="292"/>
      <c r="SUV16" s="292"/>
      <c r="SUW16" s="292"/>
      <c r="SUX16" s="292"/>
      <c r="SUY16" s="292"/>
      <c r="SUZ16" s="292"/>
      <c r="SVA16" s="292"/>
      <c r="SVB16" s="292"/>
      <c r="SVC16" s="292"/>
      <c r="SVD16" s="292"/>
      <c r="SVE16" s="292"/>
      <c r="SVF16" s="292"/>
      <c r="SVG16" s="292"/>
      <c r="SVH16" s="292"/>
      <c r="SVI16" s="292"/>
      <c r="SVJ16" s="292"/>
      <c r="SVK16" s="292"/>
      <c r="SVL16" s="292"/>
      <c r="SVM16" s="292"/>
      <c r="SVN16" s="292"/>
      <c r="SVO16" s="292"/>
      <c r="SVP16" s="292"/>
      <c r="SVQ16" s="292"/>
      <c r="SVR16" s="292"/>
      <c r="SVS16" s="292"/>
      <c r="SVT16" s="292"/>
      <c r="SVU16" s="292"/>
      <c r="SVV16" s="292"/>
      <c r="SVW16" s="292"/>
      <c r="SVX16" s="292"/>
      <c r="SVY16" s="292"/>
      <c r="SVZ16" s="292"/>
      <c r="SWA16" s="292"/>
      <c r="SWB16" s="292"/>
      <c r="SWC16" s="292"/>
      <c r="SWD16" s="292"/>
      <c r="SWE16" s="292"/>
      <c r="SWF16" s="292"/>
      <c r="SWG16" s="292"/>
      <c r="SWH16" s="292"/>
      <c r="SWI16" s="292"/>
      <c r="SWJ16" s="292"/>
      <c r="SWK16" s="292"/>
      <c r="SWL16" s="292"/>
      <c r="SWM16" s="292"/>
      <c r="SWN16" s="292"/>
      <c r="SWO16" s="292"/>
      <c r="SWP16" s="292"/>
      <c r="SWQ16" s="292"/>
      <c r="SWR16" s="292"/>
      <c r="SWS16" s="292"/>
      <c r="SWT16" s="292"/>
      <c r="SWU16" s="292"/>
      <c r="SWV16" s="292"/>
      <c r="SWW16" s="292"/>
      <c r="SWX16" s="292"/>
      <c r="SWY16" s="292"/>
      <c r="SWZ16" s="292"/>
      <c r="SXA16" s="292"/>
      <c r="SXB16" s="292"/>
      <c r="SXC16" s="292"/>
      <c r="SXD16" s="292"/>
      <c r="SXE16" s="292"/>
      <c r="SXF16" s="292"/>
      <c r="SXG16" s="292"/>
      <c r="SXH16" s="292"/>
      <c r="SXI16" s="292"/>
      <c r="SXJ16" s="292"/>
      <c r="SXK16" s="292"/>
      <c r="SXL16" s="292"/>
      <c r="SXM16" s="292"/>
      <c r="SXN16" s="292"/>
      <c r="SXO16" s="292"/>
      <c r="SXP16" s="292"/>
      <c r="SXQ16" s="292"/>
      <c r="SXR16" s="292"/>
      <c r="SXS16" s="292"/>
      <c r="SXT16" s="292"/>
      <c r="SXU16" s="292"/>
      <c r="SXV16" s="292"/>
      <c r="SXW16" s="292"/>
      <c r="SXX16" s="292"/>
      <c r="SXY16" s="292"/>
      <c r="SXZ16" s="292"/>
      <c r="SYA16" s="292"/>
      <c r="SYB16" s="292"/>
      <c r="SYC16" s="292"/>
      <c r="SYD16" s="292"/>
      <c r="SYE16" s="292"/>
      <c r="SYF16" s="292"/>
      <c r="SYG16" s="292"/>
      <c r="SYH16" s="292"/>
      <c r="SYI16" s="292"/>
      <c r="SYJ16" s="292"/>
      <c r="SYK16" s="292"/>
      <c r="SYL16" s="292"/>
      <c r="SYM16" s="292"/>
      <c r="SYN16" s="292"/>
      <c r="SYO16" s="292"/>
      <c r="SYP16" s="292"/>
      <c r="SYQ16" s="292"/>
      <c r="SYR16" s="292"/>
      <c r="SYS16" s="292"/>
      <c r="SYT16" s="292"/>
      <c r="SYU16" s="292"/>
      <c r="SYV16" s="292"/>
      <c r="SYW16" s="292"/>
      <c r="SYX16" s="292"/>
      <c r="SYY16" s="292"/>
      <c r="SYZ16" s="292"/>
      <c r="SZA16" s="292"/>
      <c r="SZB16" s="292"/>
      <c r="SZC16" s="292"/>
      <c r="SZD16" s="292"/>
      <c r="SZE16" s="292"/>
      <c r="SZF16" s="292"/>
      <c r="SZG16" s="292"/>
      <c r="SZH16" s="292"/>
      <c r="SZI16" s="292"/>
      <c r="SZJ16" s="292"/>
      <c r="SZK16" s="292"/>
      <c r="SZL16" s="292"/>
      <c r="SZM16" s="292"/>
      <c r="SZN16" s="292"/>
      <c r="SZO16" s="292"/>
      <c r="SZP16" s="292"/>
      <c r="SZQ16" s="292"/>
      <c r="SZR16" s="292"/>
      <c r="SZS16" s="292"/>
      <c r="SZT16" s="292"/>
      <c r="SZU16" s="292"/>
      <c r="SZV16" s="292"/>
      <c r="SZW16" s="292"/>
      <c r="SZX16" s="292"/>
      <c r="SZY16" s="292"/>
      <c r="SZZ16" s="292"/>
      <c r="TAA16" s="292"/>
      <c r="TAB16" s="292"/>
      <c r="TAC16" s="292"/>
      <c r="TAD16" s="292"/>
      <c r="TAE16" s="292"/>
      <c r="TAF16" s="292"/>
      <c r="TAG16" s="292"/>
      <c r="TAH16" s="292"/>
      <c r="TAI16" s="292"/>
      <c r="TAJ16" s="292"/>
      <c r="TAK16" s="292"/>
      <c r="TAL16" s="292"/>
      <c r="TAM16" s="292"/>
      <c r="TAN16" s="292"/>
      <c r="TAO16" s="292"/>
      <c r="TAP16" s="292"/>
      <c r="TAQ16" s="292"/>
      <c r="TAR16" s="292"/>
      <c r="TAS16" s="292"/>
      <c r="TAT16" s="292"/>
      <c r="TAU16" s="292"/>
      <c r="TAV16" s="292"/>
      <c r="TAW16" s="292"/>
      <c r="TAX16" s="292"/>
      <c r="TAY16" s="292"/>
      <c r="TAZ16" s="292"/>
      <c r="TBA16" s="292"/>
      <c r="TBB16" s="292"/>
      <c r="TBC16" s="292"/>
      <c r="TBD16" s="292"/>
      <c r="TBE16" s="292"/>
      <c r="TBF16" s="292"/>
      <c r="TBG16" s="292"/>
      <c r="TBH16" s="292"/>
      <c r="TBI16" s="292"/>
      <c r="TBJ16" s="292"/>
      <c r="TBK16" s="292"/>
      <c r="TBL16" s="292"/>
      <c r="TBM16" s="292"/>
      <c r="TBN16" s="292"/>
      <c r="TBO16" s="292"/>
      <c r="TBP16" s="292"/>
      <c r="TBQ16" s="292"/>
      <c r="TBR16" s="292"/>
      <c r="TBS16" s="292"/>
      <c r="TBT16" s="292"/>
      <c r="TBU16" s="292"/>
      <c r="TBV16" s="292"/>
      <c r="TBW16" s="292"/>
      <c r="TBX16" s="292"/>
      <c r="TBY16" s="292"/>
      <c r="TBZ16" s="292"/>
      <c r="TCA16" s="292"/>
      <c r="TCB16" s="292"/>
      <c r="TCC16" s="292"/>
      <c r="TCD16" s="292"/>
      <c r="TCE16" s="292"/>
      <c r="TCF16" s="292"/>
      <c r="TCG16" s="292"/>
      <c r="TCH16" s="292"/>
      <c r="TCI16" s="292"/>
      <c r="TCJ16" s="292"/>
      <c r="TCK16" s="292"/>
      <c r="TCL16" s="292"/>
      <c r="TCM16" s="292"/>
      <c r="TCN16" s="292"/>
      <c r="TCO16" s="292"/>
      <c r="TCP16" s="292"/>
      <c r="TCQ16" s="292"/>
      <c r="TCR16" s="292"/>
      <c r="TCS16" s="292"/>
      <c r="TCT16" s="292"/>
      <c r="TCU16" s="292"/>
      <c r="TCV16" s="292"/>
      <c r="TCW16" s="292"/>
      <c r="TCX16" s="292"/>
      <c r="TCY16" s="292"/>
      <c r="TCZ16" s="292"/>
      <c r="TDA16" s="292"/>
      <c r="TDB16" s="292"/>
      <c r="TDC16" s="292"/>
      <c r="TDD16" s="292"/>
      <c r="TDE16" s="292"/>
      <c r="TDF16" s="292"/>
      <c r="TDG16" s="292"/>
      <c r="TDH16" s="292"/>
      <c r="TDI16" s="292"/>
      <c r="TDJ16" s="292"/>
      <c r="TDK16" s="292"/>
      <c r="TDL16" s="292"/>
      <c r="TDM16" s="292"/>
      <c r="TDN16" s="292"/>
      <c r="TDO16" s="292"/>
      <c r="TDP16" s="292"/>
      <c r="TDQ16" s="292"/>
      <c r="TDR16" s="292"/>
      <c r="TDS16" s="292"/>
      <c r="TDT16" s="292"/>
      <c r="TDU16" s="292"/>
      <c r="TDV16" s="292"/>
      <c r="TDW16" s="292"/>
      <c r="TDX16" s="292"/>
      <c r="TDY16" s="292"/>
      <c r="TDZ16" s="292"/>
      <c r="TEA16" s="292"/>
      <c r="TEB16" s="292"/>
      <c r="TEC16" s="292"/>
      <c r="TED16" s="292"/>
      <c r="TEE16" s="292"/>
      <c r="TEF16" s="292"/>
      <c r="TEG16" s="292"/>
      <c r="TEH16" s="292"/>
      <c r="TEI16" s="292"/>
      <c r="TEJ16" s="292"/>
      <c r="TEK16" s="292"/>
      <c r="TEL16" s="292"/>
      <c r="TEM16" s="292"/>
      <c r="TEN16" s="292"/>
      <c r="TEO16" s="292"/>
      <c r="TEP16" s="292"/>
      <c r="TEQ16" s="292"/>
      <c r="TER16" s="292"/>
      <c r="TES16" s="292"/>
      <c r="TET16" s="292"/>
      <c r="TEU16" s="292"/>
      <c r="TEV16" s="292"/>
      <c r="TEW16" s="292"/>
      <c r="TEX16" s="292"/>
      <c r="TEY16" s="292"/>
      <c r="TEZ16" s="292"/>
      <c r="TFA16" s="292"/>
      <c r="TFB16" s="292"/>
      <c r="TFC16" s="292"/>
      <c r="TFD16" s="292"/>
      <c r="TFE16" s="292"/>
      <c r="TFF16" s="292"/>
      <c r="TFG16" s="292"/>
      <c r="TFH16" s="292"/>
      <c r="TFI16" s="292"/>
      <c r="TFJ16" s="292"/>
      <c r="TFK16" s="292"/>
      <c r="TFL16" s="292"/>
      <c r="TFM16" s="292"/>
      <c r="TFN16" s="292"/>
      <c r="TFO16" s="292"/>
      <c r="TFP16" s="292"/>
      <c r="TFQ16" s="292"/>
      <c r="TFR16" s="292"/>
      <c r="TFS16" s="292"/>
      <c r="TFT16" s="292"/>
      <c r="TFU16" s="292"/>
      <c r="TFV16" s="292"/>
      <c r="TFW16" s="292"/>
      <c r="TFX16" s="292"/>
      <c r="TFY16" s="292"/>
      <c r="TFZ16" s="292"/>
      <c r="TGA16" s="292"/>
      <c r="TGB16" s="292"/>
      <c r="TGC16" s="292"/>
      <c r="TGD16" s="292"/>
      <c r="TGE16" s="292"/>
      <c r="TGF16" s="292"/>
      <c r="TGG16" s="292"/>
      <c r="TGH16" s="292"/>
      <c r="TGI16" s="292"/>
      <c r="TGJ16" s="292"/>
      <c r="TGK16" s="292"/>
      <c r="TGL16" s="292"/>
      <c r="TGM16" s="292"/>
      <c r="TGN16" s="292"/>
      <c r="TGO16" s="292"/>
      <c r="TGP16" s="292"/>
      <c r="TGQ16" s="292"/>
      <c r="TGR16" s="292"/>
      <c r="TGS16" s="292"/>
      <c r="TGT16" s="292"/>
      <c r="TGU16" s="292"/>
      <c r="TGV16" s="292"/>
      <c r="TGW16" s="292"/>
      <c r="TGX16" s="292"/>
      <c r="TGY16" s="292"/>
      <c r="TGZ16" s="292"/>
      <c r="THA16" s="292"/>
      <c r="THB16" s="292"/>
      <c r="THC16" s="292"/>
      <c r="THD16" s="292"/>
      <c r="THE16" s="292"/>
      <c r="THF16" s="292"/>
      <c r="THG16" s="292"/>
      <c r="THH16" s="292"/>
      <c r="THI16" s="292"/>
      <c r="THJ16" s="292"/>
      <c r="THK16" s="292"/>
      <c r="THL16" s="292"/>
      <c r="THM16" s="292"/>
      <c r="THN16" s="292"/>
      <c r="THO16" s="292"/>
      <c r="THP16" s="292"/>
      <c r="THQ16" s="292"/>
      <c r="THR16" s="292"/>
      <c r="THS16" s="292"/>
      <c r="THT16" s="292"/>
      <c r="THU16" s="292"/>
      <c r="THV16" s="292"/>
      <c r="THW16" s="292"/>
      <c r="THX16" s="292"/>
      <c r="THY16" s="292"/>
      <c r="THZ16" s="292"/>
      <c r="TIA16" s="292"/>
      <c r="TIB16" s="292"/>
      <c r="TIC16" s="292"/>
      <c r="TID16" s="292"/>
      <c r="TIE16" s="292"/>
      <c r="TIF16" s="292"/>
      <c r="TIG16" s="292"/>
      <c r="TIH16" s="292"/>
      <c r="TII16" s="292"/>
      <c r="TIJ16" s="292"/>
      <c r="TIK16" s="292"/>
      <c r="TIL16" s="292"/>
      <c r="TIM16" s="292"/>
      <c r="TIN16" s="292"/>
      <c r="TIO16" s="292"/>
      <c r="TIP16" s="292"/>
      <c r="TIQ16" s="292"/>
      <c r="TIR16" s="292"/>
      <c r="TIS16" s="292"/>
      <c r="TIT16" s="292"/>
      <c r="TIU16" s="292"/>
      <c r="TIV16" s="292"/>
      <c r="TIW16" s="292"/>
      <c r="TIX16" s="292"/>
      <c r="TIY16" s="292"/>
      <c r="TIZ16" s="292"/>
      <c r="TJA16" s="292"/>
      <c r="TJB16" s="292"/>
      <c r="TJC16" s="292"/>
      <c r="TJD16" s="292"/>
      <c r="TJE16" s="292"/>
      <c r="TJF16" s="292"/>
      <c r="TJG16" s="292"/>
      <c r="TJH16" s="292"/>
      <c r="TJI16" s="292"/>
      <c r="TJJ16" s="292"/>
      <c r="TJK16" s="292"/>
      <c r="TJL16" s="292"/>
      <c r="TJM16" s="292"/>
      <c r="TJN16" s="292"/>
      <c r="TJO16" s="292"/>
      <c r="TJP16" s="292"/>
      <c r="TJQ16" s="292"/>
      <c r="TJR16" s="292"/>
      <c r="TJS16" s="292"/>
      <c r="TJT16" s="292"/>
      <c r="TJU16" s="292"/>
      <c r="TJV16" s="292"/>
      <c r="TJW16" s="292"/>
      <c r="TJX16" s="292"/>
      <c r="TJY16" s="292"/>
      <c r="TJZ16" s="292"/>
      <c r="TKA16" s="292"/>
      <c r="TKB16" s="292"/>
      <c r="TKC16" s="292"/>
      <c r="TKD16" s="292"/>
      <c r="TKE16" s="292"/>
      <c r="TKF16" s="292"/>
      <c r="TKG16" s="292"/>
      <c r="TKH16" s="292"/>
      <c r="TKI16" s="292"/>
      <c r="TKJ16" s="292"/>
      <c r="TKK16" s="292"/>
      <c r="TKL16" s="292"/>
      <c r="TKM16" s="292"/>
      <c r="TKN16" s="292"/>
      <c r="TKO16" s="292"/>
      <c r="TKP16" s="292"/>
      <c r="TKQ16" s="292"/>
      <c r="TKR16" s="292"/>
      <c r="TKS16" s="292"/>
      <c r="TKT16" s="292"/>
      <c r="TKU16" s="292"/>
      <c r="TKV16" s="292"/>
      <c r="TKW16" s="292"/>
      <c r="TKX16" s="292"/>
      <c r="TKY16" s="292"/>
      <c r="TKZ16" s="292"/>
      <c r="TLA16" s="292"/>
      <c r="TLB16" s="292"/>
      <c r="TLC16" s="292"/>
      <c r="TLD16" s="292"/>
      <c r="TLE16" s="292"/>
      <c r="TLF16" s="292"/>
      <c r="TLG16" s="292"/>
      <c r="TLH16" s="292"/>
      <c r="TLI16" s="292"/>
      <c r="TLJ16" s="292"/>
      <c r="TLK16" s="292"/>
      <c r="TLL16" s="292"/>
      <c r="TLM16" s="292"/>
      <c r="TLN16" s="292"/>
      <c r="TLO16" s="292"/>
      <c r="TLP16" s="292"/>
      <c r="TLQ16" s="292"/>
      <c r="TLR16" s="292"/>
      <c r="TLS16" s="292"/>
      <c r="TLT16" s="292"/>
      <c r="TLU16" s="292"/>
      <c r="TLV16" s="292"/>
      <c r="TLW16" s="292"/>
      <c r="TLX16" s="292"/>
      <c r="TLY16" s="292"/>
      <c r="TLZ16" s="292"/>
      <c r="TMA16" s="292"/>
      <c r="TMB16" s="292"/>
      <c r="TMC16" s="292"/>
      <c r="TMD16" s="292"/>
      <c r="TME16" s="292"/>
      <c r="TMF16" s="292"/>
      <c r="TMG16" s="292"/>
      <c r="TMH16" s="292"/>
      <c r="TMI16" s="292"/>
      <c r="TMJ16" s="292"/>
      <c r="TMK16" s="292"/>
      <c r="TML16" s="292"/>
      <c r="TMM16" s="292"/>
      <c r="TMN16" s="292"/>
      <c r="TMO16" s="292"/>
      <c r="TMP16" s="292"/>
      <c r="TMQ16" s="292"/>
      <c r="TMR16" s="292"/>
      <c r="TMS16" s="292"/>
      <c r="TMT16" s="292"/>
      <c r="TMU16" s="292"/>
      <c r="TMV16" s="292"/>
      <c r="TMW16" s="292"/>
      <c r="TMX16" s="292"/>
      <c r="TMY16" s="292"/>
      <c r="TMZ16" s="292"/>
      <c r="TNA16" s="292"/>
      <c r="TNB16" s="292"/>
      <c r="TNC16" s="292"/>
      <c r="TND16" s="292"/>
      <c r="TNE16" s="292"/>
      <c r="TNF16" s="292"/>
      <c r="TNG16" s="292"/>
      <c r="TNH16" s="292"/>
      <c r="TNI16" s="292"/>
      <c r="TNJ16" s="292"/>
      <c r="TNK16" s="292"/>
      <c r="TNL16" s="292"/>
      <c r="TNM16" s="292"/>
      <c r="TNN16" s="292"/>
      <c r="TNO16" s="292"/>
      <c r="TNP16" s="292"/>
      <c r="TNQ16" s="292"/>
      <c r="TNR16" s="292"/>
      <c r="TNS16" s="292"/>
      <c r="TNT16" s="292"/>
      <c r="TNU16" s="292"/>
      <c r="TNV16" s="292"/>
      <c r="TNW16" s="292"/>
      <c r="TNX16" s="292"/>
      <c r="TNY16" s="292"/>
      <c r="TNZ16" s="292"/>
      <c r="TOA16" s="292"/>
      <c r="TOB16" s="292"/>
      <c r="TOC16" s="292"/>
      <c r="TOD16" s="292"/>
      <c r="TOE16" s="292"/>
      <c r="TOF16" s="292"/>
      <c r="TOG16" s="292"/>
      <c r="TOH16" s="292"/>
      <c r="TOI16" s="292"/>
      <c r="TOJ16" s="292"/>
      <c r="TOK16" s="292"/>
      <c r="TOL16" s="292"/>
      <c r="TOM16" s="292"/>
      <c r="TON16" s="292"/>
      <c r="TOO16" s="292"/>
      <c r="TOP16" s="292"/>
      <c r="TOQ16" s="292"/>
      <c r="TOR16" s="292"/>
      <c r="TOS16" s="292"/>
      <c r="TOT16" s="292"/>
      <c r="TOU16" s="292"/>
      <c r="TOV16" s="292"/>
      <c r="TOW16" s="292"/>
      <c r="TOX16" s="292"/>
      <c r="TOY16" s="292"/>
      <c r="TOZ16" s="292"/>
      <c r="TPA16" s="292"/>
      <c r="TPB16" s="292"/>
      <c r="TPC16" s="292"/>
      <c r="TPD16" s="292"/>
      <c r="TPE16" s="292"/>
      <c r="TPF16" s="292"/>
      <c r="TPG16" s="292"/>
      <c r="TPH16" s="292"/>
      <c r="TPI16" s="292"/>
      <c r="TPJ16" s="292"/>
      <c r="TPK16" s="292"/>
      <c r="TPL16" s="292"/>
      <c r="TPM16" s="292"/>
      <c r="TPN16" s="292"/>
      <c r="TPO16" s="292"/>
      <c r="TPP16" s="292"/>
      <c r="TPQ16" s="292"/>
      <c r="TPR16" s="292"/>
      <c r="TPS16" s="292"/>
      <c r="TPT16" s="292"/>
      <c r="TPU16" s="292"/>
      <c r="TPV16" s="292"/>
      <c r="TPW16" s="292"/>
      <c r="TPX16" s="292"/>
      <c r="TPY16" s="292"/>
      <c r="TPZ16" s="292"/>
      <c r="TQA16" s="292"/>
      <c r="TQB16" s="292"/>
      <c r="TQC16" s="292"/>
      <c r="TQD16" s="292"/>
      <c r="TQE16" s="292"/>
      <c r="TQF16" s="292"/>
      <c r="TQG16" s="292"/>
      <c r="TQH16" s="292"/>
      <c r="TQI16" s="292"/>
      <c r="TQJ16" s="292"/>
      <c r="TQK16" s="292"/>
      <c r="TQL16" s="292"/>
      <c r="TQM16" s="292"/>
      <c r="TQN16" s="292"/>
      <c r="TQO16" s="292"/>
      <c r="TQP16" s="292"/>
      <c r="TQQ16" s="292"/>
      <c r="TQR16" s="292"/>
      <c r="TQS16" s="292"/>
      <c r="TQT16" s="292"/>
      <c r="TQU16" s="292"/>
      <c r="TQV16" s="292"/>
      <c r="TQW16" s="292"/>
      <c r="TQX16" s="292"/>
      <c r="TQY16" s="292"/>
      <c r="TQZ16" s="292"/>
      <c r="TRA16" s="292"/>
      <c r="TRB16" s="292"/>
      <c r="TRC16" s="292"/>
      <c r="TRD16" s="292"/>
      <c r="TRE16" s="292"/>
      <c r="TRF16" s="292"/>
      <c r="TRG16" s="292"/>
      <c r="TRH16" s="292"/>
      <c r="TRI16" s="292"/>
      <c r="TRJ16" s="292"/>
      <c r="TRK16" s="292"/>
      <c r="TRL16" s="292"/>
      <c r="TRM16" s="292"/>
      <c r="TRN16" s="292"/>
      <c r="TRO16" s="292"/>
      <c r="TRP16" s="292"/>
      <c r="TRQ16" s="292"/>
      <c r="TRR16" s="292"/>
      <c r="TRS16" s="292"/>
      <c r="TRT16" s="292"/>
      <c r="TRU16" s="292"/>
      <c r="TRV16" s="292"/>
      <c r="TRW16" s="292"/>
      <c r="TRX16" s="292"/>
      <c r="TRY16" s="292"/>
      <c r="TRZ16" s="292"/>
      <c r="TSA16" s="292"/>
      <c r="TSB16" s="292"/>
      <c r="TSC16" s="292"/>
      <c r="TSD16" s="292"/>
      <c r="TSE16" s="292"/>
      <c r="TSF16" s="292"/>
      <c r="TSG16" s="292"/>
      <c r="TSH16" s="292"/>
      <c r="TSI16" s="292"/>
      <c r="TSJ16" s="292"/>
      <c r="TSK16" s="292"/>
      <c r="TSL16" s="292"/>
      <c r="TSM16" s="292"/>
      <c r="TSN16" s="292"/>
      <c r="TSO16" s="292"/>
      <c r="TSP16" s="292"/>
      <c r="TSQ16" s="292"/>
      <c r="TSR16" s="292"/>
      <c r="TSS16" s="292"/>
      <c r="TST16" s="292"/>
      <c r="TSU16" s="292"/>
      <c r="TSV16" s="292"/>
      <c r="TSW16" s="292"/>
      <c r="TSX16" s="292"/>
      <c r="TSY16" s="292"/>
      <c r="TSZ16" s="292"/>
      <c r="TTA16" s="292"/>
      <c r="TTB16" s="292"/>
      <c r="TTC16" s="292"/>
      <c r="TTD16" s="292"/>
      <c r="TTE16" s="292"/>
      <c r="TTF16" s="292"/>
      <c r="TTG16" s="292"/>
      <c r="TTH16" s="292"/>
      <c r="TTI16" s="292"/>
      <c r="TTJ16" s="292"/>
      <c r="TTK16" s="292"/>
      <c r="TTL16" s="292"/>
      <c r="TTM16" s="292"/>
      <c r="TTN16" s="292"/>
      <c r="TTO16" s="292"/>
      <c r="TTP16" s="292"/>
      <c r="TTQ16" s="292"/>
      <c r="TTR16" s="292"/>
      <c r="TTS16" s="292"/>
      <c r="TTT16" s="292"/>
      <c r="TTU16" s="292"/>
      <c r="TTV16" s="292"/>
      <c r="TTW16" s="292"/>
      <c r="TTX16" s="292"/>
      <c r="TTY16" s="292"/>
      <c r="TTZ16" s="292"/>
      <c r="TUA16" s="292"/>
      <c r="TUB16" s="292"/>
      <c r="TUC16" s="292"/>
      <c r="TUD16" s="292"/>
      <c r="TUE16" s="292"/>
      <c r="TUF16" s="292"/>
      <c r="TUG16" s="292"/>
      <c r="TUH16" s="292"/>
      <c r="TUI16" s="292"/>
      <c r="TUJ16" s="292"/>
      <c r="TUK16" s="292"/>
      <c r="TUL16" s="292"/>
      <c r="TUM16" s="292"/>
      <c r="TUN16" s="292"/>
      <c r="TUO16" s="292"/>
      <c r="TUP16" s="292"/>
      <c r="TUQ16" s="292"/>
      <c r="TUR16" s="292"/>
      <c r="TUS16" s="292"/>
      <c r="TUT16" s="292"/>
      <c r="TUU16" s="292"/>
      <c r="TUV16" s="292"/>
      <c r="TUW16" s="292"/>
      <c r="TUX16" s="292"/>
      <c r="TUY16" s="292"/>
      <c r="TUZ16" s="292"/>
      <c r="TVA16" s="292"/>
      <c r="TVB16" s="292"/>
      <c r="TVC16" s="292"/>
      <c r="TVD16" s="292"/>
      <c r="TVE16" s="292"/>
      <c r="TVF16" s="292"/>
      <c r="TVG16" s="292"/>
      <c r="TVH16" s="292"/>
      <c r="TVI16" s="292"/>
      <c r="TVJ16" s="292"/>
      <c r="TVK16" s="292"/>
      <c r="TVL16" s="292"/>
      <c r="TVM16" s="292"/>
      <c r="TVN16" s="292"/>
      <c r="TVO16" s="292"/>
      <c r="TVP16" s="292"/>
      <c r="TVQ16" s="292"/>
      <c r="TVR16" s="292"/>
      <c r="TVS16" s="292"/>
      <c r="TVT16" s="292"/>
      <c r="TVU16" s="292"/>
      <c r="TVV16" s="292"/>
      <c r="TVW16" s="292"/>
      <c r="TVX16" s="292"/>
      <c r="TVY16" s="292"/>
      <c r="TVZ16" s="292"/>
      <c r="TWA16" s="292"/>
      <c r="TWB16" s="292"/>
      <c r="TWC16" s="292"/>
      <c r="TWD16" s="292"/>
      <c r="TWE16" s="292"/>
      <c r="TWF16" s="292"/>
      <c r="TWG16" s="292"/>
      <c r="TWH16" s="292"/>
      <c r="TWI16" s="292"/>
      <c r="TWJ16" s="292"/>
      <c r="TWK16" s="292"/>
      <c r="TWL16" s="292"/>
      <c r="TWM16" s="292"/>
      <c r="TWN16" s="292"/>
      <c r="TWO16" s="292"/>
      <c r="TWP16" s="292"/>
      <c r="TWQ16" s="292"/>
      <c r="TWR16" s="292"/>
      <c r="TWS16" s="292"/>
      <c r="TWT16" s="292"/>
      <c r="TWU16" s="292"/>
      <c r="TWV16" s="292"/>
      <c r="TWW16" s="292"/>
      <c r="TWX16" s="292"/>
      <c r="TWY16" s="292"/>
      <c r="TWZ16" s="292"/>
      <c r="TXA16" s="292"/>
      <c r="TXB16" s="292"/>
      <c r="TXC16" s="292"/>
      <c r="TXD16" s="292"/>
      <c r="TXE16" s="292"/>
      <c r="TXF16" s="292"/>
      <c r="TXG16" s="292"/>
      <c r="TXH16" s="292"/>
      <c r="TXI16" s="292"/>
      <c r="TXJ16" s="292"/>
      <c r="TXK16" s="292"/>
      <c r="TXL16" s="292"/>
      <c r="TXM16" s="292"/>
      <c r="TXN16" s="292"/>
      <c r="TXO16" s="292"/>
      <c r="TXP16" s="292"/>
      <c r="TXQ16" s="292"/>
      <c r="TXR16" s="292"/>
      <c r="TXS16" s="292"/>
      <c r="TXT16" s="292"/>
      <c r="TXU16" s="292"/>
      <c r="TXV16" s="292"/>
      <c r="TXW16" s="292"/>
      <c r="TXX16" s="292"/>
      <c r="TXY16" s="292"/>
      <c r="TXZ16" s="292"/>
      <c r="TYA16" s="292"/>
      <c r="TYB16" s="292"/>
      <c r="TYC16" s="292"/>
      <c r="TYD16" s="292"/>
      <c r="TYE16" s="292"/>
      <c r="TYF16" s="292"/>
      <c r="TYG16" s="292"/>
      <c r="TYH16" s="292"/>
      <c r="TYI16" s="292"/>
      <c r="TYJ16" s="292"/>
      <c r="TYK16" s="292"/>
      <c r="TYL16" s="292"/>
      <c r="TYM16" s="292"/>
      <c r="TYN16" s="292"/>
      <c r="TYO16" s="292"/>
      <c r="TYP16" s="292"/>
      <c r="TYQ16" s="292"/>
      <c r="TYR16" s="292"/>
      <c r="TYS16" s="292"/>
      <c r="TYT16" s="292"/>
      <c r="TYU16" s="292"/>
      <c r="TYV16" s="292"/>
      <c r="TYW16" s="292"/>
      <c r="TYX16" s="292"/>
      <c r="TYY16" s="292"/>
      <c r="TYZ16" s="292"/>
      <c r="TZA16" s="292"/>
      <c r="TZB16" s="292"/>
      <c r="TZC16" s="292"/>
      <c r="TZD16" s="292"/>
      <c r="TZE16" s="292"/>
      <c r="TZF16" s="292"/>
      <c r="TZG16" s="292"/>
      <c r="TZH16" s="292"/>
      <c r="TZI16" s="292"/>
      <c r="TZJ16" s="292"/>
      <c r="TZK16" s="292"/>
      <c r="TZL16" s="292"/>
      <c r="TZM16" s="292"/>
      <c r="TZN16" s="292"/>
      <c r="TZO16" s="292"/>
      <c r="TZP16" s="292"/>
      <c r="TZQ16" s="292"/>
      <c r="TZR16" s="292"/>
      <c r="TZS16" s="292"/>
      <c r="TZT16" s="292"/>
      <c r="TZU16" s="292"/>
      <c r="TZV16" s="292"/>
      <c r="TZW16" s="292"/>
      <c r="TZX16" s="292"/>
      <c r="TZY16" s="292"/>
      <c r="TZZ16" s="292"/>
      <c r="UAA16" s="292"/>
      <c r="UAB16" s="292"/>
      <c r="UAC16" s="292"/>
      <c r="UAD16" s="292"/>
      <c r="UAE16" s="292"/>
      <c r="UAF16" s="292"/>
      <c r="UAG16" s="292"/>
      <c r="UAH16" s="292"/>
      <c r="UAI16" s="292"/>
      <c r="UAJ16" s="292"/>
      <c r="UAK16" s="292"/>
      <c r="UAL16" s="292"/>
      <c r="UAM16" s="292"/>
      <c r="UAN16" s="292"/>
      <c r="UAO16" s="292"/>
      <c r="UAP16" s="292"/>
      <c r="UAQ16" s="292"/>
      <c r="UAR16" s="292"/>
      <c r="UAS16" s="292"/>
      <c r="UAT16" s="292"/>
      <c r="UAU16" s="292"/>
      <c r="UAV16" s="292"/>
      <c r="UAW16" s="292"/>
      <c r="UAX16" s="292"/>
      <c r="UAY16" s="292"/>
      <c r="UAZ16" s="292"/>
      <c r="UBA16" s="292"/>
      <c r="UBB16" s="292"/>
      <c r="UBC16" s="292"/>
      <c r="UBD16" s="292"/>
      <c r="UBE16" s="292"/>
      <c r="UBF16" s="292"/>
      <c r="UBG16" s="292"/>
      <c r="UBH16" s="292"/>
      <c r="UBI16" s="292"/>
      <c r="UBJ16" s="292"/>
      <c r="UBK16" s="292"/>
      <c r="UBL16" s="292"/>
      <c r="UBM16" s="292"/>
      <c r="UBN16" s="292"/>
      <c r="UBO16" s="292"/>
      <c r="UBP16" s="292"/>
      <c r="UBQ16" s="292"/>
      <c r="UBR16" s="292"/>
      <c r="UBS16" s="292"/>
      <c r="UBT16" s="292"/>
      <c r="UBU16" s="292"/>
      <c r="UBV16" s="292"/>
      <c r="UBW16" s="292"/>
      <c r="UBX16" s="292"/>
      <c r="UBY16" s="292"/>
      <c r="UBZ16" s="292"/>
      <c r="UCA16" s="292"/>
      <c r="UCB16" s="292"/>
      <c r="UCC16" s="292"/>
      <c r="UCD16" s="292"/>
      <c r="UCE16" s="292"/>
      <c r="UCF16" s="292"/>
      <c r="UCG16" s="292"/>
      <c r="UCH16" s="292"/>
      <c r="UCI16" s="292"/>
      <c r="UCJ16" s="292"/>
      <c r="UCK16" s="292"/>
      <c r="UCL16" s="292"/>
      <c r="UCM16" s="292"/>
      <c r="UCN16" s="292"/>
      <c r="UCO16" s="292"/>
      <c r="UCP16" s="292"/>
      <c r="UCQ16" s="292"/>
      <c r="UCR16" s="292"/>
      <c r="UCS16" s="292"/>
      <c r="UCT16" s="292"/>
      <c r="UCU16" s="292"/>
      <c r="UCV16" s="292"/>
      <c r="UCW16" s="292"/>
      <c r="UCX16" s="292"/>
      <c r="UCY16" s="292"/>
      <c r="UCZ16" s="292"/>
      <c r="UDA16" s="292"/>
      <c r="UDB16" s="292"/>
      <c r="UDC16" s="292"/>
      <c r="UDD16" s="292"/>
      <c r="UDE16" s="292"/>
      <c r="UDF16" s="292"/>
      <c r="UDG16" s="292"/>
      <c r="UDH16" s="292"/>
      <c r="UDI16" s="292"/>
      <c r="UDJ16" s="292"/>
      <c r="UDK16" s="292"/>
      <c r="UDL16" s="292"/>
      <c r="UDM16" s="292"/>
      <c r="UDN16" s="292"/>
      <c r="UDO16" s="292"/>
      <c r="UDP16" s="292"/>
      <c r="UDQ16" s="292"/>
      <c r="UDR16" s="292"/>
      <c r="UDS16" s="292"/>
      <c r="UDT16" s="292"/>
      <c r="UDU16" s="292"/>
      <c r="UDV16" s="292"/>
      <c r="UDW16" s="292"/>
      <c r="UDX16" s="292"/>
      <c r="UDY16" s="292"/>
      <c r="UDZ16" s="292"/>
      <c r="UEA16" s="292"/>
      <c r="UEB16" s="292"/>
      <c r="UEC16" s="292"/>
      <c r="UED16" s="292"/>
      <c r="UEE16" s="292"/>
      <c r="UEF16" s="292"/>
      <c r="UEG16" s="292"/>
      <c r="UEH16" s="292"/>
      <c r="UEI16" s="292"/>
      <c r="UEJ16" s="292"/>
      <c r="UEK16" s="292"/>
      <c r="UEL16" s="292"/>
      <c r="UEM16" s="292"/>
      <c r="UEN16" s="292"/>
      <c r="UEO16" s="292"/>
      <c r="UEP16" s="292"/>
      <c r="UEQ16" s="292"/>
      <c r="UER16" s="292"/>
      <c r="UES16" s="292"/>
      <c r="UET16" s="292"/>
      <c r="UEU16" s="292"/>
      <c r="UEV16" s="292"/>
      <c r="UEW16" s="292"/>
      <c r="UEX16" s="292"/>
      <c r="UEY16" s="292"/>
      <c r="UEZ16" s="292"/>
      <c r="UFA16" s="292"/>
      <c r="UFB16" s="292"/>
      <c r="UFC16" s="292"/>
      <c r="UFD16" s="292"/>
      <c r="UFE16" s="292"/>
      <c r="UFF16" s="292"/>
      <c r="UFG16" s="292"/>
      <c r="UFH16" s="292"/>
      <c r="UFI16" s="292"/>
      <c r="UFJ16" s="292"/>
      <c r="UFK16" s="292"/>
      <c r="UFL16" s="292"/>
      <c r="UFM16" s="292"/>
      <c r="UFN16" s="292"/>
      <c r="UFO16" s="292"/>
      <c r="UFP16" s="292"/>
      <c r="UFQ16" s="292"/>
      <c r="UFR16" s="292"/>
      <c r="UFS16" s="292"/>
      <c r="UFT16" s="292"/>
      <c r="UFU16" s="292"/>
      <c r="UFV16" s="292"/>
      <c r="UFW16" s="292"/>
      <c r="UFX16" s="292"/>
      <c r="UFY16" s="292"/>
      <c r="UFZ16" s="292"/>
      <c r="UGA16" s="292"/>
      <c r="UGB16" s="292"/>
      <c r="UGC16" s="292"/>
      <c r="UGD16" s="292"/>
      <c r="UGE16" s="292"/>
      <c r="UGF16" s="292"/>
      <c r="UGG16" s="292"/>
      <c r="UGH16" s="292"/>
      <c r="UGI16" s="292"/>
      <c r="UGJ16" s="292"/>
      <c r="UGK16" s="292"/>
      <c r="UGL16" s="292"/>
      <c r="UGM16" s="292"/>
      <c r="UGN16" s="292"/>
      <c r="UGO16" s="292"/>
      <c r="UGP16" s="292"/>
      <c r="UGQ16" s="292"/>
      <c r="UGR16" s="292"/>
      <c r="UGS16" s="292"/>
      <c r="UGT16" s="292"/>
      <c r="UGU16" s="292"/>
      <c r="UGV16" s="292"/>
      <c r="UGW16" s="292"/>
      <c r="UGX16" s="292"/>
      <c r="UGY16" s="292"/>
      <c r="UGZ16" s="292"/>
      <c r="UHA16" s="292"/>
      <c r="UHB16" s="292"/>
      <c r="UHC16" s="292"/>
      <c r="UHD16" s="292"/>
      <c r="UHE16" s="292"/>
      <c r="UHF16" s="292"/>
      <c r="UHG16" s="292"/>
      <c r="UHH16" s="292"/>
      <c r="UHI16" s="292"/>
      <c r="UHJ16" s="292"/>
      <c r="UHK16" s="292"/>
      <c r="UHL16" s="292"/>
      <c r="UHM16" s="292"/>
      <c r="UHN16" s="292"/>
      <c r="UHO16" s="292"/>
      <c r="UHP16" s="292"/>
      <c r="UHQ16" s="292"/>
      <c r="UHR16" s="292"/>
      <c r="UHS16" s="292"/>
      <c r="UHT16" s="292"/>
      <c r="UHU16" s="292"/>
      <c r="UHV16" s="292"/>
      <c r="UHW16" s="292"/>
      <c r="UHX16" s="292"/>
      <c r="UHY16" s="292"/>
      <c r="UHZ16" s="292"/>
      <c r="UIA16" s="292"/>
      <c r="UIB16" s="292"/>
      <c r="UIC16" s="292"/>
      <c r="UID16" s="292"/>
      <c r="UIE16" s="292"/>
      <c r="UIF16" s="292"/>
      <c r="UIG16" s="292"/>
      <c r="UIH16" s="292"/>
      <c r="UII16" s="292"/>
      <c r="UIJ16" s="292"/>
      <c r="UIK16" s="292"/>
      <c r="UIL16" s="292"/>
      <c r="UIM16" s="292"/>
      <c r="UIN16" s="292"/>
      <c r="UIO16" s="292"/>
      <c r="UIP16" s="292"/>
      <c r="UIQ16" s="292"/>
      <c r="UIR16" s="292"/>
      <c r="UIS16" s="292"/>
      <c r="UIT16" s="292"/>
      <c r="UIU16" s="292"/>
      <c r="UIV16" s="292"/>
      <c r="UIW16" s="292"/>
      <c r="UIX16" s="292"/>
      <c r="UIY16" s="292"/>
      <c r="UIZ16" s="292"/>
      <c r="UJA16" s="292"/>
      <c r="UJB16" s="292"/>
      <c r="UJC16" s="292"/>
      <c r="UJD16" s="292"/>
      <c r="UJE16" s="292"/>
      <c r="UJF16" s="292"/>
      <c r="UJG16" s="292"/>
      <c r="UJH16" s="292"/>
      <c r="UJI16" s="292"/>
      <c r="UJJ16" s="292"/>
      <c r="UJK16" s="292"/>
      <c r="UJL16" s="292"/>
      <c r="UJM16" s="292"/>
      <c r="UJN16" s="292"/>
      <c r="UJO16" s="292"/>
      <c r="UJP16" s="292"/>
      <c r="UJQ16" s="292"/>
      <c r="UJR16" s="292"/>
      <c r="UJS16" s="292"/>
      <c r="UJT16" s="292"/>
      <c r="UJU16" s="292"/>
      <c r="UJV16" s="292"/>
      <c r="UJW16" s="292"/>
      <c r="UJX16" s="292"/>
      <c r="UJY16" s="292"/>
      <c r="UJZ16" s="292"/>
      <c r="UKA16" s="292"/>
      <c r="UKB16" s="292"/>
      <c r="UKC16" s="292"/>
      <c r="UKD16" s="292"/>
      <c r="UKE16" s="292"/>
      <c r="UKF16" s="292"/>
      <c r="UKG16" s="292"/>
      <c r="UKH16" s="292"/>
      <c r="UKI16" s="292"/>
      <c r="UKJ16" s="292"/>
      <c r="UKK16" s="292"/>
      <c r="UKL16" s="292"/>
      <c r="UKM16" s="292"/>
      <c r="UKN16" s="292"/>
      <c r="UKO16" s="292"/>
      <c r="UKP16" s="292"/>
      <c r="UKQ16" s="292"/>
      <c r="UKR16" s="292"/>
      <c r="UKS16" s="292"/>
      <c r="UKT16" s="292"/>
      <c r="UKU16" s="292"/>
      <c r="UKV16" s="292"/>
      <c r="UKW16" s="292"/>
      <c r="UKX16" s="292"/>
      <c r="UKY16" s="292"/>
      <c r="UKZ16" s="292"/>
      <c r="ULA16" s="292"/>
      <c r="ULB16" s="292"/>
      <c r="ULC16" s="292"/>
      <c r="ULD16" s="292"/>
      <c r="ULE16" s="292"/>
      <c r="ULF16" s="292"/>
      <c r="ULG16" s="292"/>
      <c r="ULH16" s="292"/>
      <c r="ULI16" s="292"/>
      <c r="ULJ16" s="292"/>
      <c r="ULK16" s="292"/>
      <c r="ULL16" s="292"/>
      <c r="ULM16" s="292"/>
      <c r="ULN16" s="292"/>
      <c r="ULO16" s="292"/>
      <c r="ULP16" s="292"/>
      <c r="ULQ16" s="292"/>
      <c r="ULR16" s="292"/>
      <c r="ULS16" s="292"/>
      <c r="ULT16" s="292"/>
      <c r="ULU16" s="292"/>
      <c r="ULV16" s="292"/>
      <c r="ULW16" s="292"/>
      <c r="ULX16" s="292"/>
      <c r="ULY16" s="292"/>
      <c r="ULZ16" s="292"/>
      <c r="UMA16" s="292"/>
      <c r="UMB16" s="292"/>
      <c r="UMC16" s="292"/>
      <c r="UMD16" s="292"/>
      <c r="UME16" s="292"/>
      <c r="UMF16" s="292"/>
      <c r="UMG16" s="292"/>
      <c r="UMH16" s="292"/>
      <c r="UMI16" s="292"/>
      <c r="UMJ16" s="292"/>
      <c r="UMK16" s="292"/>
      <c r="UML16" s="292"/>
      <c r="UMM16" s="292"/>
      <c r="UMN16" s="292"/>
      <c r="UMO16" s="292"/>
      <c r="UMP16" s="292"/>
      <c r="UMQ16" s="292"/>
      <c r="UMR16" s="292"/>
      <c r="UMS16" s="292"/>
      <c r="UMT16" s="292"/>
      <c r="UMU16" s="292"/>
      <c r="UMV16" s="292"/>
      <c r="UMW16" s="292"/>
      <c r="UMX16" s="292"/>
      <c r="UMY16" s="292"/>
      <c r="UMZ16" s="292"/>
      <c r="UNA16" s="292"/>
      <c r="UNB16" s="292"/>
      <c r="UNC16" s="292"/>
      <c r="UND16" s="292"/>
      <c r="UNE16" s="292"/>
      <c r="UNF16" s="292"/>
      <c r="UNG16" s="292"/>
      <c r="UNH16" s="292"/>
      <c r="UNI16" s="292"/>
      <c r="UNJ16" s="292"/>
      <c r="UNK16" s="292"/>
      <c r="UNL16" s="292"/>
      <c r="UNM16" s="292"/>
      <c r="UNN16" s="292"/>
      <c r="UNO16" s="292"/>
      <c r="UNP16" s="292"/>
      <c r="UNQ16" s="292"/>
      <c r="UNR16" s="292"/>
      <c r="UNS16" s="292"/>
      <c r="UNT16" s="292"/>
      <c r="UNU16" s="292"/>
      <c r="UNV16" s="292"/>
      <c r="UNW16" s="292"/>
      <c r="UNX16" s="292"/>
      <c r="UNY16" s="292"/>
      <c r="UNZ16" s="292"/>
      <c r="UOA16" s="292"/>
      <c r="UOB16" s="292"/>
      <c r="UOC16" s="292"/>
      <c r="UOD16" s="292"/>
      <c r="UOE16" s="292"/>
      <c r="UOF16" s="292"/>
      <c r="UOG16" s="292"/>
      <c r="UOH16" s="292"/>
      <c r="UOI16" s="292"/>
      <c r="UOJ16" s="292"/>
      <c r="UOK16" s="292"/>
      <c r="UOL16" s="292"/>
      <c r="UOM16" s="292"/>
      <c r="UON16" s="292"/>
      <c r="UOO16" s="292"/>
      <c r="UOP16" s="292"/>
      <c r="UOQ16" s="292"/>
      <c r="UOR16" s="292"/>
      <c r="UOS16" s="292"/>
      <c r="UOT16" s="292"/>
      <c r="UOU16" s="292"/>
      <c r="UOV16" s="292"/>
      <c r="UOW16" s="292"/>
      <c r="UOX16" s="292"/>
      <c r="UOY16" s="292"/>
      <c r="UOZ16" s="292"/>
      <c r="UPA16" s="292"/>
      <c r="UPB16" s="292"/>
      <c r="UPC16" s="292"/>
      <c r="UPD16" s="292"/>
      <c r="UPE16" s="292"/>
      <c r="UPF16" s="292"/>
      <c r="UPG16" s="292"/>
      <c r="UPH16" s="292"/>
      <c r="UPI16" s="292"/>
      <c r="UPJ16" s="292"/>
      <c r="UPK16" s="292"/>
      <c r="UPL16" s="292"/>
      <c r="UPM16" s="292"/>
      <c r="UPN16" s="292"/>
      <c r="UPO16" s="292"/>
      <c r="UPP16" s="292"/>
      <c r="UPQ16" s="292"/>
      <c r="UPR16" s="292"/>
      <c r="UPS16" s="292"/>
      <c r="UPT16" s="292"/>
      <c r="UPU16" s="292"/>
      <c r="UPV16" s="292"/>
      <c r="UPW16" s="292"/>
      <c r="UPX16" s="292"/>
      <c r="UPY16" s="292"/>
      <c r="UPZ16" s="292"/>
      <c r="UQA16" s="292"/>
      <c r="UQB16" s="292"/>
      <c r="UQC16" s="292"/>
      <c r="UQD16" s="292"/>
      <c r="UQE16" s="292"/>
      <c r="UQF16" s="292"/>
      <c r="UQG16" s="292"/>
      <c r="UQH16" s="292"/>
      <c r="UQI16" s="292"/>
      <c r="UQJ16" s="292"/>
      <c r="UQK16" s="292"/>
      <c r="UQL16" s="292"/>
      <c r="UQM16" s="292"/>
      <c r="UQN16" s="292"/>
      <c r="UQO16" s="292"/>
      <c r="UQP16" s="292"/>
      <c r="UQQ16" s="292"/>
      <c r="UQR16" s="292"/>
      <c r="UQS16" s="292"/>
      <c r="UQT16" s="292"/>
      <c r="UQU16" s="292"/>
      <c r="UQV16" s="292"/>
      <c r="UQW16" s="292"/>
      <c r="UQX16" s="292"/>
      <c r="UQY16" s="292"/>
      <c r="UQZ16" s="292"/>
      <c r="URA16" s="292"/>
      <c r="URB16" s="292"/>
      <c r="URC16" s="292"/>
      <c r="URD16" s="292"/>
      <c r="URE16" s="292"/>
      <c r="URF16" s="292"/>
      <c r="URG16" s="292"/>
      <c r="URH16" s="292"/>
      <c r="URI16" s="292"/>
      <c r="URJ16" s="292"/>
      <c r="URK16" s="292"/>
      <c r="URL16" s="292"/>
      <c r="URM16" s="292"/>
      <c r="URN16" s="292"/>
      <c r="URO16" s="292"/>
      <c r="URP16" s="292"/>
      <c r="URQ16" s="292"/>
      <c r="URR16" s="292"/>
      <c r="URS16" s="292"/>
      <c r="URT16" s="292"/>
      <c r="URU16" s="292"/>
      <c r="URV16" s="292"/>
      <c r="URW16" s="292"/>
      <c r="URX16" s="292"/>
      <c r="URY16" s="292"/>
      <c r="URZ16" s="292"/>
      <c r="USA16" s="292"/>
      <c r="USB16" s="292"/>
      <c r="USC16" s="292"/>
      <c r="USD16" s="292"/>
      <c r="USE16" s="292"/>
      <c r="USF16" s="292"/>
      <c r="USG16" s="292"/>
      <c r="USH16" s="292"/>
      <c r="USI16" s="292"/>
      <c r="USJ16" s="292"/>
      <c r="USK16" s="292"/>
      <c r="USL16" s="292"/>
      <c r="USM16" s="292"/>
      <c r="USN16" s="292"/>
      <c r="USO16" s="292"/>
      <c r="USP16" s="292"/>
      <c r="USQ16" s="292"/>
      <c r="USR16" s="292"/>
      <c r="USS16" s="292"/>
      <c r="UST16" s="292"/>
      <c r="USU16" s="292"/>
      <c r="USV16" s="292"/>
      <c r="USW16" s="292"/>
      <c r="USX16" s="292"/>
      <c r="USY16" s="292"/>
      <c r="USZ16" s="292"/>
      <c r="UTA16" s="292"/>
      <c r="UTB16" s="292"/>
      <c r="UTC16" s="292"/>
      <c r="UTD16" s="292"/>
      <c r="UTE16" s="292"/>
      <c r="UTF16" s="292"/>
      <c r="UTG16" s="292"/>
      <c r="UTH16" s="292"/>
      <c r="UTI16" s="292"/>
      <c r="UTJ16" s="292"/>
      <c r="UTK16" s="292"/>
      <c r="UTL16" s="292"/>
      <c r="UTM16" s="292"/>
      <c r="UTN16" s="292"/>
      <c r="UTO16" s="292"/>
      <c r="UTP16" s="292"/>
      <c r="UTQ16" s="292"/>
      <c r="UTR16" s="292"/>
      <c r="UTS16" s="292"/>
      <c r="UTT16" s="292"/>
      <c r="UTU16" s="292"/>
      <c r="UTV16" s="292"/>
      <c r="UTW16" s="292"/>
      <c r="UTX16" s="292"/>
      <c r="UTY16" s="292"/>
      <c r="UTZ16" s="292"/>
      <c r="UUA16" s="292"/>
      <c r="UUB16" s="292"/>
      <c r="UUC16" s="292"/>
      <c r="UUD16" s="292"/>
      <c r="UUE16" s="292"/>
      <c r="UUF16" s="292"/>
      <c r="UUG16" s="292"/>
      <c r="UUH16" s="292"/>
      <c r="UUI16" s="292"/>
      <c r="UUJ16" s="292"/>
      <c r="UUK16" s="292"/>
      <c r="UUL16" s="292"/>
      <c r="UUM16" s="292"/>
      <c r="UUN16" s="292"/>
      <c r="UUO16" s="292"/>
      <c r="UUP16" s="292"/>
      <c r="UUQ16" s="292"/>
      <c r="UUR16" s="292"/>
      <c r="UUS16" s="292"/>
      <c r="UUT16" s="292"/>
      <c r="UUU16" s="292"/>
      <c r="UUV16" s="292"/>
      <c r="UUW16" s="292"/>
      <c r="UUX16" s="292"/>
      <c r="UUY16" s="292"/>
      <c r="UUZ16" s="292"/>
      <c r="UVA16" s="292"/>
      <c r="UVB16" s="292"/>
      <c r="UVC16" s="292"/>
      <c r="UVD16" s="292"/>
      <c r="UVE16" s="292"/>
      <c r="UVF16" s="292"/>
      <c r="UVG16" s="292"/>
      <c r="UVH16" s="292"/>
      <c r="UVI16" s="292"/>
      <c r="UVJ16" s="292"/>
      <c r="UVK16" s="292"/>
      <c r="UVL16" s="292"/>
      <c r="UVM16" s="292"/>
      <c r="UVN16" s="292"/>
      <c r="UVO16" s="292"/>
      <c r="UVP16" s="292"/>
      <c r="UVQ16" s="292"/>
      <c r="UVR16" s="292"/>
      <c r="UVS16" s="292"/>
      <c r="UVT16" s="292"/>
      <c r="UVU16" s="292"/>
      <c r="UVV16" s="292"/>
      <c r="UVW16" s="292"/>
      <c r="UVX16" s="292"/>
      <c r="UVY16" s="292"/>
      <c r="UVZ16" s="292"/>
      <c r="UWA16" s="292"/>
      <c r="UWB16" s="292"/>
      <c r="UWC16" s="292"/>
      <c r="UWD16" s="292"/>
      <c r="UWE16" s="292"/>
      <c r="UWF16" s="292"/>
      <c r="UWG16" s="292"/>
      <c r="UWH16" s="292"/>
      <c r="UWI16" s="292"/>
      <c r="UWJ16" s="292"/>
      <c r="UWK16" s="292"/>
      <c r="UWL16" s="292"/>
      <c r="UWM16" s="292"/>
      <c r="UWN16" s="292"/>
      <c r="UWO16" s="292"/>
      <c r="UWP16" s="292"/>
      <c r="UWQ16" s="292"/>
      <c r="UWR16" s="292"/>
      <c r="UWS16" s="292"/>
      <c r="UWT16" s="292"/>
      <c r="UWU16" s="292"/>
      <c r="UWV16" s="292"/>
      <c r="UWW16" s="292"/>
      <c r="UWX16" s="292"/>
      <c r="UWY16" s="292"/>
      <c r="UWZ16" s="292"/>
      <c r="UXA16" s="292"/>
      <c r="UXB16" s="292"/>
      <c r="UXC16" s="292"/>
      <c r="UXD16" s="292"/>
      <c r="UXE16" s="292"/>
      <c r="UXF16" s="292"/>
      <c r="UXG16" s="292"/>
      <c r="UXH16" s="292"/>
      <c r="UXI16" s="292"/>
      <c r="UXJ16" s="292"/>
      <c r="UXK16" s="292"/>
      <c r="UXL16" s="292"/>
      <c r="UXM16" s="292"/>
      <c r="UXN16" s="292"/>
      <c r="UXO16" s="292"/>
      <c r="UXP16" s="292"/>
      <c r="UXQ16" s="292"/>
      <c r="UXR16" s="292"/>
      <c r="UXS16" s="292"/>
      <c r="UXT16" s="292"/>
      <c r="UXU16" s="292"/>
      <c r="UXV16" s="292"/>
      <c r="UXW16" s="292"/>
      <c r="UXX16" s="292"/>
      <c r="UXY16" s="292"/>
      <c r="UXZ16" s="292"/>
      <c r="UYA16" s="292"/>
      <c r="UYB16" s="292"/>
      <c r="UYC16" s="292"/>
      <c r="UYD16" s="292"/>
      <c r="UYE16" s="292"/>
      <c r="UYF16" s="292"/>
      <c r="UYG16" s="292"/>
      <c r="UYH16" s="292"/>
      <c r="UYI16" s="292"/>
      <c r="UYJ16" s="292"/>
      <c r="UYK16" s="292"/>
      <c r="UYL16" s="292"/>
      <c r="UYM16" s="292"/>
      <c r="UYN16" s="292"/>
      <c r="UYO16" s="292"/>
      <c r="UYP16" s="292"/>
      <c r="UYQ16" s="292"/>
      <c r="UYR16" s="292"/>
      <c r="UYS16" s="292"/>
      <c r="UYT16" s="292"/>
      <c r="UYU16" s="292"/>
      <c r="UYV16" s="292"/>
      <c r="UYW16" s="292"/>
      <c r="UYX16" s="292"/>
      <c r="UYY16" s="292"/>
      <c r="UYZ16" s="292"/>
      <c r="UZA16" s="292"/>
      <c r="UZB16" s="292"/>
      <c r="UZC16" s="292"/>
      <c r="UZD16" s="292"/>
      <c r="UZE16" s="292"/>
      <c r="UZF16" s="292"/>
      <c r="UZG16" s="292"/>
      <c r="UZH16" s="292"/>
      <c r="UZI16" s="292"/>
      <c r="UZJ16" s="292"/>
      <c r="UZK16" s="292"/>
      <c r="UZL16" s="292"/>
      <c r="UZM16" s="292"/>
      <c r="UZN16" s="292"/>
      <c r="UZO16" s="292"/>
      <c r="UZP16" s="292"/>
      <c r="UZQ16" s="292"/>
      <c r="UZR16" s="292"/>
      <c r="UZS16" s="292"/>
      <c r="UZT16" s="292"/>
      <c r="UZU16" s="292"/>
      <c r="UZV16" s="292"/>
      <c r="UZW16" s="292"/>
      <c r="UZX16" s="292"/>
      <c r="UZY16" s="292"/>
      <c r="UZZ16" s="292"/>
      <c r="VAA16" s="292"/>
      <c r="VAB16" s="292"/>
      <c r="VAC16" s="292"/>
      <c r="VAD16" s="292"/>
      <c r="VAE16" s="292"/>
      <c r="VAF16" s="292"/>
      <c r="VAG16" s="292"/>
      <c r="VAH16" s="292"/>
      <c r="VAI16" s="292"/>
      <c r="VAJ16" s="292"/>
      <c r="VAK16" s="292"/>
      <c r="VAL16" s="292"/>
      <c r="VAM16" s="292"/>
      <c r="VAN16" s="292"/>
      <c r="VAO16" s="292"/>
      <c r="VAP16" s="292"/>
      <c r="VAQ16" s="292"/>
      <c r="VAR16" s="292"/>
      <c r="VAS16" s="292"/>
      <c r="VAT16" s="292"/>
      <c r="VAU16" s="292"/>
      <c r="VAV16" s="292"/>
      <c r="VAW16" s="292"/>
      <c r="VAX16" s="292"/>
      <c r="VAY16" s="292"/>
      <c r="VAZ16" s="292"/>
      <c r="VBA16" s="292"/>
      <c r="VBB16" s="292"/>
      <c r="VBC16" s="292"/>
      <c r="VBD16" s="292"/>
      <c r="VBE16" s="292"/>
      <c r="VBF16" s="292"/>
      <c r="VBG16" s="292"/>
      <c r="VBH16" s="292"/>
      <c r="VBI16" s="292"/>
      <c r="VBJ16" s="292"/>
      <c r="VBK16" s="292"/>
      <c r="VBL16" s="292"/>
      <c r="VBM16" s="292"/>
      <c r="VBN16" s="292"/>
      <c r="VBO16" s="292"/>
      <c r="VBP16" s="292"/>
      <c r="VBQ16" s="292"/>
      <c r="VBR16" s="292"/>
      <c r="VBS16" s="292"/>
      <c r="VBT16" s="292"/>
      <c r="VBU16" s="292"/>
      <c r="VBV16" s="292"/>
      <c r="VBW16" s="292"/>
      <c r="VBX16" s="292"/>
      <c r="VBY16" s="292"/>
      <c r="VBZ16" s="292"/>
      <c r="VCA16" s="292"/>
      <c r="VCB16" s="292"/>
      <c r="VCC16" s="292"/>
      <c r="VCD16" s="292"/>
      <c r="VCE16" s="292"/>
      <c r="VCF16" s="292"/>
      <c r="VCG16" s="292"/>
      <c r="VCH16" s="292"/>
      <c r="VCI16" s="292"/>
      <c r="VCJ16" s="292"/>
      <c r="VCK16" s="292"/>
      <c r="VCL16" s="292"/>
      <c r="VCM16" s="292"/>
      <c r="VCN16" s="292"/>
      <c r="VCO16" s="292"/>
      <c r="VCP16" s="292"/>
      <c r="VCQ16" s="292"/>
      <c r="VCR16" s="292"/>
      <c r="VCS16" s="292"/>
      <c r="VCT16" s="292"/>
      <c r="VCU16" s="292"/>
      <c r="VCV16" s="292"/>
      <c r="VCW16" s="292"/>
      <c r="VCX16" s="292"/>
      <c r="VCY16" s="292"/>
      <c r="VCZ16" s="292"/>
      <c r="VDA16" s="292"/>
      <c r="VDB16" s="292"/>
      <c r="VDC16" s="292"/>
      <c r="VDD16" s="292"/>
      <c r="VDE16" s="292"/>
      <c r="VDF16" s="292"/>
      <c r="VDG16" s="292"/>
      <c r="VDH16" s="292"/>
      <c r="VDI16" s="292"/>
      <c r="VDJ16" s="292"/>
      <c r="VDK16" s="292"/>
      <c r="VDL16" s="292"/>
      <c r="VDM16" s="292"/>
      <c r="VDN16" s="292"/>
      <c r="VDO16" s="292"/>
      <c r="VDP16" s="292"/>
      <c r="VDQ16" s="292"/>
      <c r="VDR16" s="292"/>
      <c r="VDS16" s="292"/>
      <c r="VDT16" s="292"/>
      <c r="VDU16" s="292"/>
      <c r="VDV16" s="292"/>
      <c r="VDW16" s="292"/>
      <c r="VDX16" s="292"/>
      <c r="VDY16" s="292"/>
      <c r="VDZ16" s="292"/>
      <c r="VEA16" s="292"/>
      <c r="VEB16" s="292"/>
      <c r="VEC16" s="292"/>
      <c r="VED16" s="292"/>
      <c r="VEE16" s="292"/>
      <c r="VEF16" s="292"/>
      <c r="VEG16" s="292"/>
      <c r="VEH16" s="292"/>
      <c r="VEI16" s="292"/>
      <c r="VEJ16" s="292"/>
      <c r="VEK16" s="292"/>
      <c r="VEL16" s="292"/>
      <c r="VEM16" s="292"/>
      <c r="VEN16" s="292"/>
      <c r="VEO16" s="292"/>
      <c r="VEP16" s="292"/>
      <c r="VEQ16" s="292"/>
      <c r="VER16" s="292"/>
      <c r="VES16" s="292"/>
      <c r="VET16" s="292"/>
      <c r="VEU16" s="292"/>
      <c r="VEV16" s="292"/>
      <c r="VEW16" s="292"/>
      <c r="VEX16" s="292"/>
      <c r="VEY16" s="292"/>
      <c r="VEZ16" s="292"/>
      <c r="VFA16" s="292"/>
      <c r="VFB16" s="292"/>
      <c r="VFC16" s="292"/>
      <c r="VFD16" s="292"/>
      <c r="VFE16" s="292"/>
      <c r="VFF16" s="292"/>
      <c r="VFG16" s="292"/>
      <c r="VFH16" s="292"/>
      <c r="VFI16" s="292"/>
      <c r="VFJ16" s="292"/>
      <c r="VFK16" s="292"/>
      <c r="VFL16" s="292"/>
      <c r="VFM16" s="292"/>
      <c r="VFN16" s="292"/>
      <c r="VFO16" s="292"/>
      <c r="VFP16" s="292"/>
      <c r="VFQ16" s="292"/>
      <c r="VFR16" s="292"/>
      <c r="VFS16" s="292"/>
      <c r="VFT16" s="292"/>
      <c r="VFU16" s="292"/>
      <c r="VFV16" s="292"/>
      <c r="VFW16" s="292"/>
      <c r="VFX16" s="292"/>
      <c r="VFY16" s="292"/>
      <c r="VFZ16" s="292"/>
      <c r="VGA16" s="292"/>
      <c r="VGB16" s="292"/>
      <c r="VGC16" s="292"/>
      <c r="VGD16" s="292"/>
      <c r="VGE16" s="292"/>
      <c r="VGF16" s="292"/>
      <c r="VGG16" s="292"/>
      <c r="VGH16" s="292"/>
      <c r="VGI16" s="292"/>
      <c r="VGJ16" s="292"/>
      <c r="VGK16" s="292"/>
      <c r="VGL16" s="292"/>
      <c r="VGM16" s="292"/>
      <c r="VGN16" s="292"/>
      <c r="VGO16" s="292"/>
      <c r="VGP16" s="292"/>
      <c r="VGQ16" s="292"/>
      <c r="VGR16" s="292"/>
      <c r="VGS16" s="292"/>
      <c r="VGT16" s="292"/>
      <c r="VGU16" s="292"/>
      <c r="VGV16" s="292"/>
      <c r="VGW16" s="292"/>
      <c r="VGX16" s="292"/>
      <c r="VGY16" s="292"/>
      <c r="VGZ16" s="292"/>
      <c r="VHA16" s="292"/>
      <c r="VHB16" s="292"/>
      <c r="VHC16" s="292"/>
      <c r="VHD16" s="292"/>
      <c r="VHE16" s="292"/>
      <c r="VHF16" s="292"/>
      <c r="VHG16" s="292"/>
      <c r="VHH16" s="292"/>
      <c r="VHI16" s="292"/>
      <c r="VHJ16" s="292"/>
      <c r="VHK16" s="292"/>
      <c r="VHL16" s="292"/>
      <c r="VHM16" s="292"/>
      <c r="VHN16" s="292"/>
      <c r="VHO16" s="292"/>
      <c r="VHP16" s="292"/>
      <c r="VHQ16" s="292"/>
      <c r="VHR16" s="292"/>
      <c r="VHS16" s="292"/>
      <c r="VHT16" s="292"/>
      <c r="VHU16" s="292"/>
      <c r="VHV16" s="292"/>
      <c r="VHW16" s="292"/>
      <c r="VHX16" s="292"/>
      <c r="VHY16" s="292"/>
      <c r="VHZ16" s="292"/>
      <c r="VIA16" s="292"/>
      <c r="VIB16" s="292"/>
      <c r="VIC16" s="292"/>
      <c r="VID16" s="292"/>
      <c r="VIE16" s="292"/>
      <c r="VIF16" s="292"/>
      <c r="VIG16" s="292"/>
      <c r="VIH16" s="292"/>
      <c r="VII16" s="292"/>
      <c r="VIJ16" s="292"/>
      <c r="VIK16" s="292"/>
      <c r="VIL16" s="292"/>
      <c r="VIM16" s="292"/>
      <c r="VIN16" s="292"/>
      <c r="VIO16" s="292"/>
      <c r="VIP16" s="292"/>
      <c r="VIQ16" s="292"/>
      <c r="VIR16" s="292"/>
      <c r="VIS16" s="292"/>
      <c r="VIT16" s="292"/>
      <c r="VIU16" s="292"/>
      <c r="VIV16" s="292"/>
      <c r="VIW16" s="292"/>
      <c r="VIX16" s="292"/>
      <c r="VIY16" s="292"/>
      <c r="VIZ16" s="292"/>
      <c r="VJA16" s="292"/>
      <c r="VJB16" s="292"/>
      <c r="VJC16" s="292"/>
      <c r="VJD16" s="292"/>
      <c r="VJE16" s="292"/>
      <c r="VJF16" s="292"/>
      <c r="VJG16" s="292"/>
      <c r="VJH16" s="292"/>
      <c r="VJI16" s="292"/>
      <c r="VJJ16" s="292"/>
      <c r="VJK16" s="292"/>
      <c r="VJL16" s="292"/>
      <c r="VJM16" s="292"/>
      <c r="VJN16" s="292"/>
      <c r="VJO16" s="292"/>
      <c r="VJP16" s="292"/>
      <c r="VJQ16" s="292"/>
      <c r="VJR16" s="292"/>
      <c r="VJS16" s="292"/>
      <c r="VJT16" s="292"/>
      <c r="VJU16" s="292"/>
      <c r="VJV16" s="292"/>
      <c r="VJW16" s="292"/>
      <c r="VJX16" s="292"/>
      <c r="VJY16" s="292"/>
      <c r="VJZ16" s="292"/>
      <c r="VKA16" s="292"/>
      <c r="VKB16" s="292"/>
      <c r="VKC16" s="292"/>
      <c r="VKD16" s="292"/>
      <c r="VKE16" s="292"/>
      <c r="VKF16" s="292"/>
      <c r="VKG16" s="292"/>
      <c r="VKH16" s="292"/>
      <c r="VKI16" s="292"/>
      <c r="VKJ16" s="292"/>
      <c r="VKK16" s="292"/>
      <c r="VKL16" s="292"/>
      <c r="VKM16" s="292"/>
      <c r="VKN16" s="292"/>
      <c r="VKO16" s="292"/>
      <c r="VKP16" s="292"/>
      <c r="VKQ16" s="292"/>
      <c r="VKR16" s="292"/>
      <c r="VKS16" s="292"/>
      <c r="VKT16" s="292"/>
      <c r="VKU16" s="292"/>
      <c r="VKV16" s="292"/>
      <c r="VKW16" s="292"/>
      <c r="VKX16" s="292"/>
      <c r="VKY16" s="292"/>
      <c r="VKZ16" s="292"/>
      <c r="VLA16" s="292"/>
      <c r="VLB16" s="292"/>
      <c r="VLC16" s="292"/>
      <c r="VLD16" s="292"/>
      <c r="VLE16" s="292"/>
      <c r="VLF16" s="292"/>
      <c r="VLG16" s="292"/>
      <c r="VLH16" s="292"/>
      <c r="VLI16" s="292"/>
      <c r="VLJ16" s="292"/>
      <c r="VLK16" s="292"/>
      <c r="VLL16" s="292"/>
      <c r="VLM16" s="292"/>
      <c r="VLN16" s="292"/>
      <c r="VLO16" s="292"/>
      <c r="VLP16" s="292"/>
      <c r="VLQ16" s="292"/>
      <c r="VLR16" s="292"/>
      <c r="VLS16" s="292"/>
      <c r="VLT16" s="292"/>
      <c r="VLU16" s="292"/>
      <c r="VLV16" s="292"/>
      <c r="VLW16" s="292"/>
      <c r="VLX16" s="292"/>
      <c r="VLY16" s="292"/>
      <c r="VLZ16" s="292"/>
      <c r="VMA16" s="292"/>
      <c r="VMB16" s="292"/>
      <c r="VMC16" s="292"/>
      <c r="VMD16" s="292"/>
      <c r="VME16" s="292"/>
      <c r="VMF16" s="292"/>
      <c r="VMG16" s="292"/>
      <c r="VMH16" s="292"/>
      <c r="VMI16" s="292"/>
      <c r="VMJ16" s="292"/>
      <c r="VMK16" s="292"/>
      <c r="VML16" s="292"/>
      <c r="VMM16" s="292"/>
      <c r="VMN16" s="292"/>
      <c r="VMO16" s="292"/>
      <c r="VMP16" s="292"/>
      <c r="VMQ16" s="292"/>
      <c r="VMR16" s="292"/>
      <c r="VMS16" s="292"/>
      <c r="VMT16" s="292"/>
      <c r="VMU16" s="292"/>
      <c r="VMV16" s="292"/>
      <c r="VMW16" s="292"/>
      <c r="VMX16" s="292"/>
      <c r="VMY16" s="292"/>
      <c r="VMZ16" s="292"/>
      <c r="VNA16" s="292"/>
      <c r="VNB16" s="292"/>
      <c r="VNC16" s="292"/>
      <c r="VND16" s="292"/>
      <c r="VNE16" s="292"/>
      <c r="VNF16" s="292"/>
      <c r="VNG16" s="292"/>
      <c r="VNH16" s="292"/>
      <c r="VNI16" s="292"/>
      <c r="VNJ16" s="292"/>
      <c r="VNK16" s="292"/>
      <c r="VNL16" s="292"/>
      <c r="VNM16" s="292"/>
      <c r="VNN16" s="292"/>
      <c r="VNO16" s="292"/>
      <c r="VNP16" s="292"/>
      <c r="VNQ16" s="292"/>
      <c r="VNR16" s="292"/>
      <c r="VNS16" s="292"/>
      <c r="VNT16" s="292"/>
      <c r="VNU16" s="292"/>
      <c r="VNV16" s="292"/>
      <c r="VNW16" s="292"/>
      <c r="VNX16" s="292"/>
      <c r="VNY16" s="292"/>
      <c r="VNZ16" s="292"/>
      <c r="VOA16" s="292"/>
      <c r="VOB16" s="292"/>
      <c r="VOC16" s="292"/>
      <c r="VOD16" s="292"/>
      <c r="VOE16" s="292"/>
      <c r="VOF16" s="292"/>
      <c r="VOG16" s="292"/>
      <c r="VOH16" s="292"/>
      <c r="VOI16" s="292"/>
      <c r="VOJ16" s="292"/>
      <c r="VOK16" s="292"/>
      <c r="VOL16" s="292"/>
      <c r="VOM16" s="292"/>
      <c r="VON16" s="292"/>
      <c r="VOO16" s="292"/>
      <c r="VOP16" s="292"/>
      <c r="VOQ16" s="292"/>
      <c r="VOR16" s="292"/>
      <c r="VOS16" s="292"/>
      <c r="VOT16" s="292"/>
      <c r="VOU16" s="292"/>
      <c r="VOV16" s="292"/>
      <c r="VOW16" s="292"/>
      <c r="VOX16" s="292"/>
      <c r="VOY16" s="292"/>
      <c r="VOZ16" s="292"/>
      <c r="VPA16" s="292"/>
      <c r="VPB16" s="292"/>
      <c r="VPC16" s="292"/>
      <c r="VPD16" s="292"/>
      <c r="VPE16" s="292"/>
      <c r="VPF16" s="292"/>
      <c r="VPG16" s="292"/>
      <c r="VPH16" s="292"/>
      <c r="VPI16" s="292"/>
      <c r="VPJ16" s="292"/>
      <c r="VPK16" s="292"/>
      <c r="VPL16" s="292"/>
      <c r="VPM16" s="292"/>
      <c r="VPN16" s="292"/>
      <c r="VPO16" s="292"/>
      <c r="VPP16" s="292"/>
      <c r="VPQ16" s="292"/>
      <c r="VPR16" s="292"/>
      <c r="VPS16" s="292"/>
      <c r="VPT16" s="292"/>
      <c r="VPU16" s="292"/>
      <c r="VPV16" s="292"/>
      <c r="VPW16" s="292"/>
      <c r="VPX16" s="292"/>
      <c r="VPY16" s="292"/>
      <c r="VPZ16" s="292"/>
      <c r="VQA16" s="292"/>
      <c r="VQB16" s="292"/>
      <c r="VQC16" s="292"/>
      <c r="VQD16" s="292"/>
      <c r="VQE16" s="292"/>
      <c r="VQF16" s="292"/>
      <c r="VQG16" s="292"/>
      <c r="VQH16" s="292"/>
      <c r="VQI16" s="292"/>
      <c r="VQJ16" s="292"/>
      <c r="VQK16" s="292"/>
      <c r="VQL16" s="292"/>
      <c r="VQM16" s="292"/>
      <c r="VQN16" s="292"/>
      <c r="VQO16" s="292"/>
      <c r="VQP16" s="292"/>
      <c r="VQQ16" s="292"/>
      <c r="VQR16" s="292"/>
      <c r="VQS16" s="292"/>
      <c r="VQT16" s="292"/>
      <c r="VQU16" s="292"/>
      <c r="VQV16" s="292"/>
      <c r="VQW16" s="292"/>
      <c r="VQX16" s="292"/>
      <c r="VQY16" s="292"/>
      <c r="VQZ16" s="292"/>
      <c r="VRA16" s="292"/>
      <c r="VRB16" s="292"/>
      <c r="VRC16" s="292"/>
      <c r="VRD16" s="292"/>
      <c r="VRE16" s="292"/>
      <c r="VRF16" s="292"/>
      <c r="VRG16" s="292"/>
      <c r="VRH16" s="292"/>
      <c r="VRI16" s="292"/>
      <c r="VRJ16" s="292"/>
      <c r="VRK16" s="292"/>
      <c r="VRL16" s="292"/>
      <c r="VRM16" s="292"/>
      <c r="VRN16" s="292"/>
      <c r="VRO16" s="292"/>
      <c r="VRP16" s="292"/>
      <c r="VRQ16" s="292"/>
      <c r="VRR16" s="292"/>
      <c r="VRS16" s="292"/>
      <c r="VRT16" s="292"/>
      <c r="VRU16" s="292"/>
      <c r="VRV16" s="292"/>
      <c r="VRW16" s="292"/>
      <c r="VRX16" s="292"/>
      <c r="VRY16" s="292"/>
      <c r="VRZ16" s="292"/>
      <c r="VSA16" s="292"/>
      <c r="VSB16" s="292"/>
      <c r="VSC16" s="292"/>
      <c r="VSD16" s="292"/>
      <c r="VSE16" s="292"/>
      <c r="VSF16" s="292"/>
      <c r="VSG16" s="292"/>
      <c r="VSH16" s="292"/>
      <c r="VSI16" s="292"/>
      <c r="VSJ16" s="292"/>
      <c r="VSK16" s="292"/>
      <c r="VSL16" s="292"/>
      <c r="VSM16" s="292"/>
      <c r="VSN16" s="292"/>
      <c r="VSO16" s="292"/>
      <c r="VSP16" s="292"/>
      <c r="VSQ16" s="292"/>
      <c r="VSR16" s="292"/>
      <c r="VSS16" s="292"/>
      <c r="VST16" s="292"/>
      <c r="VSU16" s="292"/>
      <c r="VSV16" s="292"/>
      <c r="VSW16" s="292"/>
      <c r="VSX16" s="292"/>
      <c r="VSY16" s="292"/>
      <c r="VSZ16" s="292"/>
      <c r="VTA16" s="292"/>
      <c r="VTB16" s="292"/>
      <c r="VTC16" s="292"/>
      <c r="VTD16" s="292"/>
      <c r="VTE16" s="292"/>
      <c r="VTF16" s="292"/>
      <c r="VTG16" s="292"/>
      <c r="VTH16" s="292"/>
      <c r="VTI16" s="292"/>
      <c r="VTJ16" s="292"/>
      <c r="VTK16" s="292"/>
      <c r="VTL16" s="292"/>
      <c r="VTM16" s="292"/>
      <c r="VTN16" s="292"/>
      <c r="VTO16" s="292"/>
      <c r="VTP16" s="292"/>
      <c r="VTQ16" s="292"/>
      <c r="VTR16" s="292"/>
      <c r="VTS16" s="292"/>
      <c r="VTT16" s="292"/>
      <c r="VTU16" s="292"/>
      <c r="VTV16" s="292"/>
      <c r="VTW16" s="292"/>
      <c r="VTX16" s="292"/>
      <c r="VTY16" s="292"/>
      <c r="VTZ16" s="292"/>
      <c r="VUA16" s="292"/>
      <c r="VUB16" s="292"/>
      <c r="VUC16" s="292"/>
      <c r="VUD16" s="292"/>
      <c r="VUE16" s="292"/>
      <c r="VUF16" s="292"/>
      <c r="VUG16" s="292"/>
      <c r="VUH16" s="292"/>
      <c r="VUI16" s="292"/>
      <c r="VUJ16" s="292"/>
      <c r="VUK16" s="292"/>
      <c r="VUL16" s="292"/>
      <c r="VUM16" s="292"/>
      <c r="VUN16" s="292"/>
      <c r="VUO16" s="292"/>
      <c r="VUP16" s="292"/>
      <c r="VUQ16" s="292"/>
      <c r="VUR16" s="292"/>
      <c r="VUS16" s="292"/>
      <c r="VUT16" s="292"/>
      <c r="VUU16" s="292"/>
      <c r="VUV16" s="292"/>
      <c r="VUW16" s="292"/>
      <c r="VUX16" s="292"/>
      <c r="VUY16" s="292"/>
      <c r="VUZ16" s="292"/>
      <c r="VVA16" s="292"/>
      <c r="VVB16" s="292"/>
      <c r="VVC16" s="292"/>
      <c r="VVD16" s="292"/>
      <c r="VVE16" s="292"/>
      <c r="VVF16" s="292"/>
      <c r="VVG16" s="292"/>
      <c r="VVH16" s="292"/>
      <c r="VVI16" s="292"/>
      <c r="VVJ16" s="292"/>
      <c r="VVK16" s="292"/>
      <c r="VVL16" s="292"/>
      <c r="VVM16" s="292"/>
      <c r="VVN16" s="292"/>
      <c r="VVO16" s="292"/>
      <c r="VVP16" s="292"/>
      <c r="VVQ16" s="292"/>
      <c r="VVR16" s="292"/>
      <c r="VVS16" s="292"/>
      <c r="VVT16" s="292"/>
      <c r="VVU16" s="292"/>
      <c r="VVV16" s="292"/>
      <c r="VVW16" s="292"/>
      <c r="VVX16" s="292"/>
      <c r="VVY16" s="292"/>
      <c r="VVZ16" s="292"/>
      <c r="VWA16" s="292"/>
      <c r="VWB16" s="292"/>
      <c r="VWC16" s="292"/>
      <c r="VWD16" s="292"/>
      <c r="VWE16" s="292"/>
      <c r="VWF16" s="292"/>
      <c r="VWG16" s="292"/>
      <c r="VWH16" s="292"/>
      <c r="VWI16" s="292"/>
      <c r="VWJ16" s="292"/>
      <c r="VWK16" s="292"/>
      <c r="VWL16" s="292"/>
      <c r="VWM16" s="292"/>
      <c r="VWN16" s="292"/>
      <c r="VWO16" s="292"/>
      <c r="VWP16" s="292"/>
      <c r="VWQ16" s="292"/>
      <c r="VWR16" s="292"/>
      <c r="VWS16" s="292"/>
      <c r="VWT16" s="292"/>
      <c r="VWU16" s="292"/>
      <c r="VWV16" s="292"/>
      <c r="VWW16" s="292"/>
      <c r="VWX16" s="292"/>
      <c r="VWY16" s="292"/>
      <c r="VWZ16" s="292"/>
      <c r="VXA16" s="292"/>
      <c r="VXB16" s="292"/>
      <c r="VXC16" s="292"/>
      <c r="VXD16" s="292"/>
      <c r="VXE16" s="292"/>
      <c r="VXF16" s="292"/>
      <c r="VXG16" s="292"/>
      <c r="VXH16" s="292"/>
      <c r="VXI16" s="292"/>
      <c r="VXJ16" s="292"/>
      <c r="VXK16" s="292"/>
      <c r="VXL16" s="292"/>
      <c r="VXM16" s="292"/>
      <c r="VXN16" s="292"/>
      <c r="VXO16" s="292"/>
      <c r="VXP16" s="292"/>
      <c r="VXQ16" s="292"/>
      <c r="VXR16" s="292"/>
      <c r="VXS16" s="292"/>
      <c r="VXT16" s="292"/>
      <c r="VXU16" s="292"/>
      <c r="VXV16" s="292"/>
      <c r="VXW16" s="292"/>
      <c r="VXX16" s="292"/>
      <c r="VXY16" s="292"/>
      <c r="VXZ16" s="292"/>
      <c r="VYA16" s="292"/>
      <c r="VYB16" s="292"/>
      <c r="VYC16" s="292"/>
      <c r="VYD16" s="292"/>
      <c r="VYE16" s="292"/>
      <c r="VYF16" s="292"/>
      <c r="VYG16" s="292"/>
      <c r="VYH16" s="292"/>
      <c r="VYI16" s="292"/>
      <c r="VYJ16" s="292"/>
      <c r="VYK16" s="292"/>
      <c r="VYL16" s="292"/>
      <c r="VYM16" s="292"/>
      <c r="VYN16" s="292"/>
      <c r="VYO16" s="292"/>
      <c r="VYP16" s="292"/>
      <c r="VYQ16" s="292"/>
      <c r="VYR16" s="292"/>
      <c r="VYS16" s="292"/>
      <c r="VYT16" s="292"/>
      <c r="VYU16" s="292"/>
      <c r="VYV16" s="292"/>
      <c r="VYW16" s="292"/>
      <c r="VYX16" s="292"/>
      <c r="VYY16" s="292"/>
      <c r="VYZ16" s="292"/>
      <c r="VZA16" s="292"/>
      <c r="VZB16" s="292"/>
      <c r="VZC16" s="292"/>
      <c r="VZD16" s="292"/>
      <c r="VZE16" s="292"/>
      <c r="VZF16" s="292"/>
      <c r="VZG16" s="292"/>
      <c r="VZH16" s="292"/>
      <c r="VZI16" s="292"/>
      <c r="VZJ16" s="292"/>
      <c r="VZK16" s="292"/>
      <c r="VZL16" s="292"/>
      <c r="VZM16" s="292"/>
      <c r="VZN16" s="292"/>
      <c r="VZO16" s="292"/>
      <c r="VZP16" s="292"/>
      <c r="VZQ16" s="292"/>
      <c r="VZR16" s="292"/>
      <c r="VZS16" s="292"/>
      <c r="VZT16" s="292"/>
      <c r="VZU16" s="292"/>
      <c r="VZV16" s="292"/>
      <c r="VZW16" s="292"/>
      <c r="VZX16" s="292"/>
      <c r="VZY16" s="292"/>
      <c r="VZZ16" s="292"/>
      <c r="WAA16" s="292"/>
      <c r="WAB16" s="292"/>
      <c r="WAC16" s="292"/>
      <c r="WAD16" s="292"/>
      <c r="WAE16" s="292"/>
      <c r="WAF16" s="292"/>
      <c r="WAG16" s="292"/>
      <c r="WAH16" s="292"/>
      <c r="WAI16" s="292"/>
      <c r="WAJ16" s="292"/>
      <c r="WAK16" s="292"/>
      <c r="WAL16" s="292"/>
      <c r="WAM16" s="292"/>
      <c r="WAN16" s="292"/>
      <c r="WAO16" s="292"/>
      <c r="WAP16" s="292"/>
      <c r="WAQ16" s="292"/>
      <c r="WAR16" s="292"/>
      <c r="WAS16" s="292"/>
      <c r="WAT16" s="292"/>
      <c r="WAU16" s="292"/>
      <c r="WAV16" s="292"/>
      <c r="WAW16" s="292"/>
      <c r="WAX16" s="292"/>
      <c r="WAY16" s="292"/>
      <c r="WAZ16" s="292"/>
      <c r="WBA16" s="292"/>
      <c r="WBB16" s="292"/>
      <c r="WBC16" s="292"/>
      <c r="WBD16" s="292"/>
      <c r="WBE16" s="292"/>
      <c r="WBF16" s="292"/>
      <c r="WBG16" s="292"/>
      <c r="WBH16" s="292"/>
      <c r="WBI16" s="292"/>
      <c r="WBJ16" s="292"/>
      <c r="WBK16" s="292"/>
      <c r="WBL16" s="292"/>
      <c r="WBM16" s="292"/>
      <c r="WBN16" s="292"/>
      <c r="WBO16" s="292"/>
      <c r="WBP16" s="292"/>
      <c r="WBQ16" s="292"/>
      <c r="WBR16" s="292"/>
      <c r="WBS16" s="292"/>
      <c r="WBT16" s="292"/>
      <c r="WBU16" s="292"/>
      <c r="WBV16" s="292"/>
      <c r="WBW16" s="292"/>
      <c r="WBX16" s="292"/>
      <c r="WBY16" s="292"/>
      <c r="WBZ16" s="292"/>
      <c r="WCA16" s="292"/>
      <c r="WCB16" s="292"/>
      <c r="WCC16" s="292"/>
      <c r="WCD16" s="292"/>
      <c r="WCE16" s="292"/>
      <c r="WCF16" s="292"/>
      <c r="WCG16" s="292"/>
      <c r="WCH16" s="292"/>
      <c r="WCI16" s="292"/>
      <c r="WCJ16" s="292"/>
      <c r="WCK16" s="292"/>
      <c r="WCL16" s="292"/>
      <c r="WCM16" s="292"/>
      <c r="WCN16" s="292"/>
      <c r="WCO16" s="292"/>
      <c r="WCP16" s="292"/>
      <c r="WCQ16" s="292"/>
      <c r="WCR16" s="292"/>
      <c r="WCS16" s="292"/>
      <c r="WCT16" s="292"/>
      <c r="WCU16" s="292"/>
      <c r="WCV16" s="292"/>
      <c r="WCW16" s="292"/>
      <c r="WCX16" s="292"/>
      <c r="WCY16" s="292"/>
      <c r="WCZ16" s="292"/>
      <c r="WDA16" s="292"/>
      <c r="WDB16" s="292"/>
      <c r="WDC16" s="292"/>
      <c r="WDD16" s="292"/>
      <c r="WDE16" s="292"/>
      <c r="WDF16" s="292"/>
      <c r="WDG16" s="292"/>
      <c r="WDH16" s="292"/>
      <c r="WDI16" s="292"/>
      <c r="WDJ16" s="292"/>
      <c r="WDK16" s="292"/>
      <c r="WDL16" s="292"/>
      <c r="WDM16" s="292"/>
      <c r="WDN16" s="292"/>
      <c r="WDO16" s="292"/>
      <c r="WDP16" s="292"/>
      <c r="WDQ16" s="292"/>
      <c r="WDR16" s="292"/>
      <c r="WDS16" s="292"/>
      <c r="WDT16" s="292"/>
      <c r="WDU16" s="292"/>
      <c r="WDV16" s="292"/>
      <c r="WDW16" s="292"/>
      <c r="WDX16" s="292"/>
      <c r="WDY16" s="292"/>
      <c r="WDZ16" s="292"/>
      <c r="WEA16" s="292"/>
      <c r="WEB16" s="292"/>
      <c r="WEC16" s="292"/>
      <c r="WED16" s="292"/>
      <c r="WEE16" s="292"/>
      <c r="WEF16" s="292"/>
      <c r="WEG16" s="292"/>
      <c r="WEH16" s="292"/>
      <c r="WEI16" s="292"/>
      <c r="WEJ16" s="292"/>
      <c r="WEK16" s="292"/>
      <c r="WEL16" s="292"/>
      <c r="WEM16" s="292"/>
      <c r="WEN16" s="292"/>
      <c r="WEO16" s="292"/>
      <c r="WEP16" s="292"/>
      <c r="WEQ16" s="292"/>
      <c r="WER16" s="292"/>
      <c r="WES16" s="292"/>
      <c r="WET16" s="292"/>
      <c r="WEU16" s="292"/>
      <c r="WEV16" s="292"/>
      <c r="WEW16" s="292"/>
      <c r="WEX16" s="292"/>
      <c r="WEY16" s="292"/>
      <c r="WEZ16" s="292"/>
      <c r="WFA16" s="292"/>
      <c r="WFB16" s="292"/>
      <c r="WFC16" s="292"/>
      <c r="WFD16" s="292"/>
      <c r="WFE16" s="292"/>
      <c r="WFF16" s="292"/>
      <c r="WFG16" s="292"/>
      <c r="WFH16" s="292"/>
      <c r="WFI16" s="292"/>
      <c r="WFJ16" s="292"/>
      <c r="WFK16" s="292"/>
      <c r="WFL16" s="292"/>
      <c r="WFM16" s="292"/>
      <c r="WFN16" s="292"/>
      <c r="WFO16" s="292"/>
      <c r="WFP16" s="292"/>
      <c r="WFQ16" s="292"/>
      <c r="WFR16" s="292"/>
      <c r="WFS16" s="292"/>
      <c r="WFT16" s="292"/>
      <c r="WFU16" s="292"/>
      <c r="WFV16" s="292"/>
      <c r="WFW16" s="292"/>
      <c r="WFX16" s="292"/>
      <c r="WFY16" s="292"/>
      <c r="WFZ16" s="292"/>
      <c r="WGA16" s="292"/>
      <c r="WGB16" s="292"/>
      <c r="WGC16" s="292"/>
      <c r="WGD16" s="292"/>
      <c r="WGE16" s="292"/>
      <c r="WGF16" s="292"/>
      <c r="WGG16" s="292"/>
      <c r="WGH16" s="292"/>
      <c r="WGI16" s="292"/>
      <c r="WGJ16" s="292"/>
      <c r="WGK16" s="292"/>
      <c r="WGL16" s="292"/>
      <c r="WGM16" s="292"/>
      <c r="WGN16" s="292"/>
      <c r="WGO16" s="292"/>
      <c r="WGP16" s="292"/>
      <c r="WGQ16" s="292"/>
      <c r="WGR16" s="292"/>
      <c r="WGS16" s="292"/>
      <c r="WGT16" s="292"/>
      <c r="WGU16" s="292"/>
      <c r="WGV16" s="292"/>
      <c r="WGW16" s="292"/>
      <c r="WGX16" s="292"/>
      <c r="WGY16" s="292"/>
      <c r="WGZ16" s="292"/>
      <c r="WHA16" s="292"/>
      <c r="WHB16" s="292"/>
      <c r="WHC16" s="292"/>
      <c r="WHD16" s="292"/>
      <c r="WHE16" s="292"/>
      <c r="WHF16" s="292"/>
      <c r="WHG16" s="292"/>
      <c r="WHH16" s="292"/>
      <c r="WHI16" s="292"/>
      <c r="WHJ16" s="292"/>
      <c r="WHK16" s="292"/>
      <c r="WHL16" s="292"/>
      <c r="WHM16" s="292"/>
      <c r="WHN16" s="292"/>
      <c r="WHO16" s="292"/>
      <c r="WHP16" s="292"/>
      <c r="WHQ16" s="292"/>
      <c r="WHR16" s="292"/>
      <c r="WHS16" s="292"/>
      <c r="WHT16" s="292"/>
      <c r="WHU16" s="292"/>
      <c r="WHV16" s="292"/>
      <c r="WHW16" s="292"/>
      <c r="WHX16" s="292"/>
      <c r="WHY16" s="292"/>
      <c r="WHZ16" s="292"/>
      <c r="WIA16" s="292"/>
      <c r="WIB16" s="292"/>
      <c r="WIC16" s="292"/>
      <c r="WID16" s="292"/>
      <c r="WIE16" s="292"/>
      <c r="WIF16" s="292"/>
      <c r="WIG16" s="292"/>
      <c r="WIH16" s="292"/>
      <c r="WII16" s="292"/>
      <c r="WIJ16" s="292"/>
      <c r="WIK16" s="292"/>
      <c r="WIL16" s="292"/>
      <c r="WIM16" s="292"/>
      <c r="WIN16" s="292"/>
      <c r="WIO16" s="292"/>
      <c r="WIP16" s="292"/>
      <c r="WIQ16" s="292"/>
      <c r="WIR16" s="292"/>
      <c r="WIS16" s="292"/>
      <c r="WIT16" s="292"/>
      <c r="WIU16" s="292"/>
      <c r="WIV16" s="292"/>
      <c r="WIW16" s="292"/>
      <c r="WIX16" s="292"/>
      <c r="WIY16" s="292"/>
      <c r="WIZ16" s="292"/>
      <c r="WJA16" s="292"/>
      <c r="WJB16" s="292"/>
      <c r="WJC16" s="292"/>
      <c r="WJD16" s="292"/>
      <c r="WJE16" s="292"/>
      <c r="WJF16" s="292"/>
      <c r="WJG16" s="292"/>
      <c r="WJH16" s="292"/>
      <c r="WJI16" s="292"/>
      <c r="WJJ16" s="292"/>
      <c r="WJK16" s="292"/>
      <c r="WJL16" s="292"/>
      <c r="WJM16" s="292"/>
      <c r="WJN16" s="292"/>
      <c r="WJO16" s="292"/>
      <c r="WJP16" s="292"/>
      <c r="WJQ16" s="292"/>
      <c r="WJR16" s="292"/>
      <c r="WJS16" s="292"/>
      <c r="WJT16" s="292"/>
      <c r="WJU16" s="292"/>
      <c r="WJV16" s="292"/>
      <c r="WJW16" s="292"/>
      <c r="WJX16" s="292"/>
      <c r="WJY16" s="292"/>
      <c r="WJZ16" s="292"/>
      <c r="WKA16" s="292"/>
      <c r="WKB16" s="292"/>
      <c r="WKC16" s="292"/>
      <c r="WKD16" s="292"/>
      <c r="WKE16" s="292"/>
      <c r="WKF16" s="292"/>
      <c r="WKG16" s="292"/>
      <c r="WKH16" s="292"/>
      <c r="WKI16" s="292"/>
      <c r="WKJ16" s="292"/>
      <c r="WKK16" s="292"/>
      <c r="WKL16" s="292"/>
      <c r="WKM16" s="292"/>
      <c r="WKN16" s="292"/>
      <c r="WKO16" s="292"/>
      <c r="WKP16" s="292"/>
      <c r="WKQ16" s="292"/>
      <c r="WKR16" s="292"/>
      <c r="WKS16" s="292"/>
      <c r="WKT16" s="292"/>
      <c r="WKU16" s="292"/>
      <c r="WKV16" s="292"/>
      <c r="WKW16" s="292"/>
      <c r="WKX16" s="292"/>
      <c r="WKY16" s="292"/>
      <c r="WKZ16" s="292"/>
      <c r="WLA16" s="292"/>
      <c r="WLB16" s="292"/>
      <c r="WLC16" s="292"/>
      <c r="WLD16" s="292"/>
      <c r="WLE16" s="292"/>
      <c r="WLF16" s="292"/>
      <c r="WLG16" s="292"/>
      <c r="WLH16" s="292"/>
      <c r="WLI16" s="292"/>
      <c r="WLJ16" s="292"/>
      <c r="WLK16" s="292"/>
      <c r="WLL16" s="292"/>
      <c r="WLM16" s="292"/>
      <c r="WLN16" s="292"/>
      <c r="WLO16" s="292"/>
      <c r="WLP16" s="292"/>
      <c r="WLQ16" s="292"/>
      <c r="WLR16" s="292"/>
      <c r="WLS16" s="292"/>
      <c r="WLT16" s="292"/>
      <c r="WLU16" s="292"/>
      <c r="WLV16" s="292"/>
      <c r="WLW16" s="292"/>
      <c r="WLX16" s="292"/>
      <c r="WLY16" s="292"/>
      <c r="WLZ16" s="292"/>
      <c r="WMA16" s="292"/>
      <c r="WMB16" s="292"/>
      <c r="WMC16" s="292"/>
      <c r="WMD16" s="292"/>
      <c r="WME16" s="292"/>
      <c r="WMF16" s="292"/>
      <c r="WMG16" s="292"/>
      <c r="WMH16" s="292"/>
      <c r="WMI16" s="292"/>
      <c r="WMJ16" s="292"/>
      <c r="WMK16" s="292"/>
      <c r="WML16" s="292"/>
      <c r="WMM16" s="292"/>
      <c r="WMN16" s="292"/>
      <c r="WMO16" s="292"/>
      <c r="WMP16" s="292"/>
      <c r="WMQ16" s="292"/>
      <c r="WMR16" s="292"/>
      <c r="WMS16" s="292"/>
      <c r="WMT16" s="292"/>
      <c r="WMU16" s="292"/>
      <c r="WMV16" s="292"/>
      <c r="WMW16" s="292"/>
      <c r="WMX16" s="292"/>
      <c r="WMY16" s="292"/>
      <c r="WMZ16" s="292"/>
      <c r="WNA16" s="292"/>
      <c r="WNB16" s="292"/>
      <c r="WNC16" s="292"/>
      <c r="WND16" s="292"/>
      <c r="WNE16" s="292"/>
      <c r="WNF16" s="292"/>
      <c r="WNG16" s="292"/>
      <c r="WNH16" s="292"/>
      <c r="WNI16" s="292"/>
      <c r="WNJ16" s="292"/>
      <c r="WNK16" s="292"/>
      <c r="WNL16" s="292"/>
      <c r="WNM16" s="292"/>
      <c r="WNN16" s="292"/>
      <c r="WNO16" s="292"/>
      <c r="WNP16" s="292"/>
      <c r="WNQ16" s="292"/>
      <c r="WNR16" s="292"/>
      <c r="WNS16" s="292"/>
      <c r="WNT16" s="292"/>
      <c r="WNU16" s="292"/>
      <c r="WNV16" s="292"/>
      <c r="WNW16" s="292"/>
      <c r="WNX16" s="292"/>
      <c r="WNY16" s="292"/>
      <c r="WNZ16" s="292"/>
      <c r="WOA16" s="292"/>
      <c r="WOB16" s="292"/>
      <c r="WOC16" s="292"/>
      <c r="WOD16" s="292"/>
      <c r="WOE16" s="292"/>
      <c r="WOF16" s="292"/>
      <c r="WOG16" s="292"/>
      <c r="WOH16" s="292"/>
      <c r="WOI16" s="292"/>
      <c r="WOJ16" s="292"/>
      <c r="WOK16" s="292"/>
      <c r="WOL16" s="292"/>
      <c r="WOM16" s="292"/>
      <c r="WON16" s="292"/>
      <c r="WOO16" s="292"/>
      <c r="WOP16" s="292"/>
      <c r="WOQ16" s="292"/>
      <c r="WOR16" s="292"/>
      <c r="WOS16" s="292"/>
      <c r="WOT16" s="292"/>
      <c r="WOU16" s="292"/>
      <c r="WOV16" s="292"/>
      <c r="WOW16" s="292"/>
      <c r="WOX16" s="292"/>
      <c r="WOY16" s="292"/>
      <c r="WOZ16" s="292"/>
      <c r="WPA16" s="292"/>
      <c r="WPB16" s="292"/>
      <c r="WPC16" s="292"/>
      <c r="WPD16" s="292"/>
      <c r="WPE16" s="292"/>
      <c r="WPF16" s="292"/>
      <c r="WPG16" s="292"/>
      <c r="WPH16" s="292"/>
      <c r="WPI16" s="292"/>
      <c r="WPJ16" s="292"/>
      <c r="WPK16" s="292"/>
      <c r="WPL16" s="292"/>
      <c r="WPM16" s="292"/>
      <c r="WPN16" s="292"/>
      <c r="WPO16" s="292"/>
      <c r="WPP16" s="292"/>
      <c r="WPQ16" s="292"/>
      <c r="WPR16" s="292"/>
      <c r="WPS16" s="292"/>
      <c r="WPT16" s="292"/>
      <c r="WPU16" s="292"/>
      <c r="WPV16" s="292"/>
      <c r="WPW16" s="292"/>
      <c r="WPX16" s="292"/>
      <c r="WPY16" s="292"/>
      <c r="WPZ16" s="292"/>
      <c r="WQA16" s="292"/>
      <c r="WQB16" s="292"/>
      <c r="WQC16" s="292"/>
      <c r="WQD16" s="292"/>
      <c r="WQE16" s="292"/>
      <c r="WQF16" s="292"/>
      <c r="WQG16" s="292"/>
      <c r="WQH16" s="292"/>
      <c r="WQI16" s="292"/>
      <c r="WQJ16" s="292"/>
      <c r="WQK16" s="292"/>
      <c r="WQL16" s="292"/>
      <c r="WQM16" s="292"/>
      <c r="WQN16" s="292"/>
      <c r="WQO16" s="292"/>
      <c r="WQP16" s="292"/>
      <c r="WQQ16" s="292"/>
      <c r="WQR16" s="292"/>
      <c r="WQS16" s="292"/>
      <c r="WQT16" s="292"/>
      <c r="WQU16" s="292"/>
      <c r="WQV16" s="292"/>
      <c r="WQW16" s="292"/>
      <c r="WQX16" s="292"/>
      <c r="WQY16" s="292"/>
      <c r="WQZ16" s="292"/>
      <c r="WRA16" s="292"/>
      <c r="WRB16" s="292"/>
      <c r="WRC16" s="292"/>
      <c r="WRD16" s="292"/>
      <c r="WRE16" s="292"/>
      <c r="WRF16" s="292"/>
      <c r="WRG16" s="292"/>
      <c r="WRH16" s="292"/>
      <c r="WRI16" s="292"/>
      <c r="WRJ16" s="292"/>
      <c r="WRK16" s="292"/>
      <c r="WRL16" s="292"/>
      <c r="WRM16" s="292"/>
      <c r="WRN16" s="292"/>
      <c r="WRO16" s="292"/>
      <c r="WRP16" s="292"/>
      <c r="WRQ16" s="292"/>
      <c r="WRR16" s="292"/>
      <c r="WRS16" s="292"/>
      <c r="WRT16" s="292"/>
      <c r="WRU16" s="292"/>
      <c r="WRV16" s="292"/>
      <c r="WRW16" s="292"/>
      <c r="WRX16" s="292"/>
      <c r="WRY16" s="292"/>
      <c r="WRZ16" s="292"/>
      <c r="WSA16" s="292"/>
      <c r="WSB16" s="292"/>
      <c r="WSC16" s="292"/>
      <c r="WSD16" s="292"/>
      <c r="WSE16" s="292"/>
      <c r="WSF16" s="292"/>
      <c r="WSG16" s="292"/>
      <c r="WSH16" s="292"/>
      <c r="WSI16" s="292"/>
      <c r="WSJ16" s="292"/>
      <c r="WSK16" s="292"/>
      <c r="WSL16" s="292"/>
      <c r="WSM16" s="292"/>
      <c r="WSN16" s="292"/>
      <c r="WSO16" s="292"/>
      <c r="WSP16" s="292"/>
      <c r="WSQ16" s="292"/>
      <c r="WSR16" s="292"/>
      <c r="WSS16" s="292"/>
      <c r="WST16" s="292"/>
      <c r="WSU16" s="292"/>
      <c r="WSV16" s="292"/>
      <c r="WSW16" s="292"/>
      <c r="WSX16" s="292"/>
      <c r="WSY16" s="292"/>
      <c r="WSZ16" s="292"/>
      <c r="WTA16" s="292"/>
      <c r="WTB16" s="292"/>
      <c r="WTC16" s="292"/>
      <c r="WTD16" s="292"/>
      <c r="WTE16" s="292"/>
      <c r="WTF16" s="292"/>
      <c r="WTG16" s="292"/>
      <c r="WTH16" s="292"/>
      <c r="WTI16" s="292"/>
      <c r="WTJ16" s="292"/>
      <c r="WTK16" s="292"/>
      <c r="WTL16" s="292"/>
      <c r="WTM16" s="292"/>
      <c r="WTN16" s="292"/>
      <c r="WTO16" s="292"/>
      <c r="WTP16" s="292"/>
      <c r="WTQ16" s="292"/>
      <c r="WTR16" s="292"/>
      <c r="WTS16" s="292"/>
      <c r="WTT16" s="292"/>
      <c r="WTU16" s="292"/>
      <c r="WTV16" s="292"/>
      <c r="WTW16" s="292"/>
      <c r="WTX16" s="292"/>
      <c r="WTY16" s="292"/>
      <c r="WTZ16" s="292"/>
      <c r="WUA16" s="292"/>
      <c r="WUB16" s="292"/>
      <c r="WUC16" s="292"/>
      <c r="WUD16" s="292"/>
      <c r="WUE16" s="292"/>
      <c r="WUF16" s="292"/>
      <c r="WUG16" s="292"/>
      <c r="WUH16" s="292"/>
      <c r="WUI16" s="292"/>
      <c r="WUJ16" s="292"/>
      <c r="WUK16" s="292"/>
      <c r="WUL16" s="292"/>
      <c r="WUM16" s="292"/>
      <c r="WUN16" s="292"/>
      <c r="WUO16" s="292"/>
      <c r="WUP16" s="292"/>
      <c r="WUQ16" s="292"/>
      <c r="WUR16" s="292"/>
      <c r="WUS16" s="292"/>
      <c r="WUT16" s="292"/>
      <c r="WUU16" s="292"/>
      <c r="WUV16" s="292"/>
      <c r="WUW16" s="292"/>
      <c r="WUX16" s="292"/>
      <c r="WUY16" s="292"/>
      <c r="WUZ16" s="292"/>
      <c r="WVA16" s="292"/>
      <c r="WVB16" s="292"/>
      <c r="WVC16" s="292"/>
      <c r="WVD16" s="292"/>
      <c r="WVE16" s="292"/>
      <c r="WVF16" s="292"/>
      <c r="WVG16" s="292"/>
      <c r="WVH16" s="292"/>
      <c r="WVI16" s="292"/>
      <c r="WVJ16" s="292"/>
      <c r="WVK16" s="292"/>
      <c r="WVL16" s="292"/>
      <c r="WVM16" s="292"/>
      <c r="WVN16" s="292"/>
      <c r="WVO16" s="292"/>
      <c r="WVP16" s="292"/>
      <c r="WVQ16" s="292"/>
      <c r="WVR16" s="292"/>
      <c r="WVS16" s="292"/>
      <c r="WVT16" s="292"/>
      <c r="WVU16" s="292"/>
      <c r="WVV16" s="292"/>
      <c r="WVW16" s="292"/>
      <c r="WVX16" s="292"/>
      <c r="WVY16" s="292"/>
      <c r="WVZ16" s="292"/>
      <c r="WWA16" s="292"/>
      <c r="WWB16" s="292"/>
      <c r="WWC16" s="292"/>
      <c r="WWD16" s="292"/>
      <c r="WWE16" s="292"/>
      <c r="WWF16" s="292"/>
      <c r="WWG16" s="292"/>
      <c r="WWH16" s="292"/>
      <c r="WWI16" s="292"/>
      <c r="WWJ16" s="292"/>
      <c r="WWK16" s="292"/>
      <c r="WWL16" s="292"/>
      <c r="WWM16" s="292"/>
      <c r="WWN16" s="292"/>
      <c r="WWO16" s="292"/>
      <c r="WWP16" s="292"/>
      <c r="WWQ16" s="292"/>
      <c r="WWR16" s="292"/>
      <c r="WWS16" s="292"/>
      <c r="WWT16" s="292"/>
      <c r="WWU16" s="292"/>
      <c r="WWV16" s="292"/>
      <c r="WWW16" s="292"/>
      <c r="WWX16" s="292"/>
      <c r="WWY16" s="292"/>
      <c r="WWZ16" s="292"/>
      <c r="WXA16" s="292"/>
      <c r="WXB16" s="292"/>
      <c r="WXC16" s="292"/>
      <c r="WXD16" s="292"/>
      <c r="WXE16" s="292"/>
      <c r="WXF16" s="292"/>
      <c r="WXG16" s="292"/>
      <c r="WXH16" s="292"/>
      <c r="WXI16" s="292"/>
      <c r="WXJ16" s="292"/>
      <c r="WXK16" s="292"/>
      <c r="WXL16" s="292"/>
      <c r="WXM16" s="292"/>
      <c r="WXN16" s="292"/>
      <c r="WXO16" s="292"/>
      <c r="WXP16" s="292"/>
      <c r="WXQ16" s="292"/>
      <c r="WXR16" s="292"/>
      <c r="WXS16" s="292"/>
      <c r="WXT16" s="292"/>
      <c r="WXU16" s="292"/>
      <c r="WXV16" s="292"/>
      <c r="WXW16" s="292"/>
      <c r="WXX16" s="292"/>
      <c r="WXY16" s="292"/>
      <c r="WXZ16" s="292"/>
      <c r="WYA16" s="292"/>
      <c r="WYB16" s="292"/>
      <c r="WYC16" s="292"/>
      <c r="WYD16" s="292"/>
      <c r="WYE16" s="292"/>
      <c r="WYF16" s="292"/>
      <c r="WYG16" s="292"/>
      <c r="WYH16" s="292"/>
      <c r="WYI16" s="292"/>
      <c r="WYJ16" s="292"/>
      <c r="WYK16" s="292"/>
      <c r="WYL16" s="292"/>
      <c r="WYM16" s="292"/>
      <c r="WYN16" s="292"/>
      <c r="WYO16" s="292"/>
      <c r="WYP16" s="292"/>
      <c r="WYQ16" s="292"/>
      <c r="WYR16" s="292"/>
      <c r="WYS16" s="292"/>
      <c r="WYT16" s="292"/>
      <c r="WYU16" s="292"/>
      <c r="WYV16" s="292"/>
      <c r="WYW16" s="292"/>
      <c r="WYX16" s="292"/>
      <c r="WYY16" s="292"/>
      <c r="WYZ16" s="292"/>
      <c r="WZA16" s="292"/>
      <c r="WZB16" s="292"/>
      <c r="WZC16" s="292"/>
      <c r="WZD16" s="292"/>
      <c r="WZE16" s="292"/>
      <c r="WZF16" s="292"/>
      <c r="WZG16" s="292"/>
      <c r="WZH16" s="292"/>
      <c r="WZI16" s="292"/>
      <c r="WZJ16" s="292"/>
      <c r="WZK16" s="292"/>
      <c r="WZL16" s="292"/>
      <c r="WZM16" s="292"/>
      <c r="WZN16" s="292"/>
      <c r="WZO16" s="292"/>
      <c r="WZP16" s="292"/>
      <c r="WZQ16" s="292"/>
      <c r="WZR16" s="292"/>
      <c r="WZS16" s="292"/>
      <c r="WZT16" s="292"/>
      <c r="WZU16" s="292"/>
      <c r="WZV16" s="292"/>
      <c r="WZW16" s="292"/>
      <c r="WZX16" s="292"/>
      <c r="WZY16" s="292"/>
      <c r="WZZ16" s="292"/>
      <c r="XAA16" s="292"/>
      <c r="XAB16" s="292"/>
      <c r="XAC16" s="292"/>
      <c r="XAD16" s="292"/>
      <c r="XAE16" s="292"/>
      <c r="XAF16" s="292"/>
      <c r="XAG16" s="292"/>
      <c r="XAH16" s="292"/>
      <c r="XAI16" s="292"/>
      <c r="XAJ16" s="292"/>
      <c r="XAK16" s="292"/>
      <c r="XAL16" s="292"/>
      <c r="XAM16" s="292"/>
      <c r="XAN16" s="292"/>
      <c r="XAO16" s="292"/>
      <c r="XAP16" s="292"/>
      <c r="XAQ16" s="292"/>
      <c r="XAR16" s="292"/>
      <c r="XAS16" s="292"/>
      <c r="XAT16" s="292"/>
      <c r="XAU16" s="292"/>
      <c r="XAV16" s="292"/>
      <c r="XAW16" s="292"/>
      <c r="XAX16" s="292"/>
      <c r="XAY16" s="292"/>
      <c r="XAZ16" s="292"/>
      <c r="XBA16" s="292"/>
      <c r="XBB16" s="292"/>
      <c r="XBC16" s="292"/>
      <c r="XBD16" s="292"/>
      <c r="XBE16" s="292"/>
      <c r="XBF16" s="292"/>
      <c r="XBG16" s="292"/>
      <c r="XBH16" s="292"/>
      <c r="XBI16" s="292"/>
      <c r="XBJ16" s="292"/>
      <c r="XBK16" s="292"/>
      <c r="XBL16" s="292"/>
      <c r="XBM16" s="292"/>
      <c r="XBN16" s="292"/>
      <c r="XBO16" s="292"/>
      <c r="XBP16" s="292"/>
      <c r="XBQ16" s="292"/>
      <c r="XBR16" s="292"/>
      <c r="XBS16" s="292"/>
      <c r="XBT16" s="292"/>
      <c r="XBU16" s="292"/>
      <c r="XBV16" s="292"/>
      <c r="XBW16" s="292"/>
      <c r="XBX16" s="292"/>
      <c r="XBY16" s="292"/>
      <c r="XBZ16" s="292"/>
      <c r="XCA16" s="292"/>
      <c r="XCB16" s="292"/>
      <c r="XCC16" s="292"/>
      <c r="XCD16" s="292"/>
      <c r="XCE16" s="292"/>
      <c r="XCF16" s="292"/>
      <c r="XCG16" s="292"/>
      <c r="XCH16" s="292"/>
      <c r="XCI16" s="292"/>
      <c r="XCJ16" s="292"/>
      <c r="XCK16" s="292"/>
      <c r="XCL16" s="292"/>
      <c r="XCM16" s="292"/>
      <c r="XCN16" s="292"/>
      <c r="XCO16" s="292"/>
      <c r="XCP16" s="292"/>
      <c r="XCQ16" s="292"/>
      <c r="XCR16" s="292"/>
      <c r="XCS16" s="292"/>
      <c r="XCT16" s="292"/>
      <c r="XCU16" s="292"/>
      <c r="XCV16" s="292"/>
      <c r="XCW16" s="292"/>
      <c r="XCX16" s="292"/>
      <c r="XCY16" s="292"/>
      <c r="XCZ16" s="292"/>
      <c r="XDA16" s="292"/>
      <c r="XDB16" s="292"/>
      <c r="XDC16" s="292"/>
      <c r="XDD16" s="292"/>
      <c r="XDE16" s="292"/>
      <c r="XDF16" s="292"/>
      <c r="XDG16" s="292"/>
      <c r="XDH16" s="292"/>
      <c r="XDI16" s="292"/>
      <c r="XDJ16" s="292"/>
      <c r="XDK16" s="292"/>
      <c r="XDL16" s="292"/>
      <c r="XDM16" s="292"/>
      <c r="XDN16" s="292"/>
      <c r="XDO16" s="292"/>
      <c r="XDP16" s="292"/>
      <c r="XDQ16" s="292"/>
      <c r="XDR16" s="292"/>
      <c r="XDS16" s="292"/>
      <c r="XDT16" s="292"/>
      <c r="XDU16" s="292"/>
      <c r="XDV16" s="292"/>
      <c r="XDW16" s="292"/>
      <c r="XDX16" s="292"/>
      <c r="XDY16" s="292"/>
      <c r="XDZ16" s="292"/>
      <c r="XEA16" s="292"/>
      <c r="XEB16" s="292"/>
      <c r="XEC16" s="292"/>
      <c r="XED16" s="292"/>
      <c r="XEE16" s="292"/>
      <c r="XEF16" s="292"/>
      <c r="XEG16" s="292"/>
      <c r="XEH16" s="292"/>
      <c r="XEI16" s="292"/>
      <c r="XEJ16" s="292"/>
      <c r="XEK16" s="292"/>
      <c r="XEL16" s="292"/>
      <c r="XEM16" s="292"/>
      <c r="XEN16" s="292"/>
      <c r="XEO16" s="292"/>
      <c r="XEP16" s="292"/>
      <c r="XEQ16" s="292"/>
      <c r="XER16" s="292"/>
      <c r="XES16" s="292"/>
      <c r="XET16" s="292"/>
      <c r="XEU16" s="292"/>
      <c r="XEV16" s="292"/>
      <c r="XEW16" s="292"/>
      <c r="XEX16" s="292"/>
      <c r="XEY16" s="292"/>
      <c r="XEZ16" s="292"/>
      <c r="XFA16" s="292"/>
      <c r="XFB16" s="292"/>
      <c r="XFC16" s="292"/>
      <c r="XFD16" s="292"/>
    </row>
    <row r="17">
      <c r="A17" s="292"/>
      <c r="B17" s="292"/>
      <c r="C17" s="292"/>
      <c r="D17" s="292" t="s">
        <v>669</v>
      </c>
      <c r="E17" s="292"/>
      <c r="F17" s="292"/>
      <c r="G17" s="292"/>
      <c r="H17" s="292"/>
      <c r="I17" s="292"/>
      <c r="J17" s="292"/>
      <c r="K17" s="292"/>
      <c r="L17" s="292"/>
      <c r="M17" s="292"/>
      <c r="N17" s="292"/>
      <c r="O17" s="292"/>
      <c r="P17" s="929" t="s">
        <v>636</v>
      </c>
      <c r="Q17" s="930">
        <f t="shared" ref="Q17:U17" si="10">SUM(Q12:Q13)</f>
        <v>3500000</v>
      </c>
      <c r="R17" s="930">
        <f t="shared" si="10"/>
        <v>1000000</v>
      </c>
      <c r="S17" s="930">
        <f t="shared" si="10"/>
        <v>1000000</v>
      </c>
      <c r="T17" s="930">
        <f t="shared" si="10"/>
        <v>1000000</v>
      </c>
      <c r="U17" s="930">
        <f t="shared" si="10"/>
        <v>1000000</v>
      </c>
      <c r="V17" s="931">
        <f t="shared" si="11"/>
        <v>7500000</v>
      </c>
      <c r="W17" s="292"/>
      <c r="X17" s="292"/>
      <c r="Y17" s="292"/>
      <c r="Z17" s="292"/>
      <c r="AA17" s="292"/>
      <c r="AB17" s="292"/>
      <c r="AC17" s="292"/>
      <c r="AD17" s="292"/>
      <c r="AE17" s="292"/>
      <c r="AF17" s="292"/>
      <c r="AG17" s="292"/>
      <c r="AH17" s="292"/>
      <c r="AI17" s="292"/>
      <c r="AJ17" s="292"/>
      <c r="AK17" s="292"/>
      <c r="AL17" s="292"/>
      <c r="AM17" s="292"/>
      <c r="AN17" s="292"/>
      <c r="AO17" s="292"/>
      <c r="AP17" s="292"/>
      <c r="AQ17" s="292"/>
      <c r="AR17" s="292"/>
      <c r="AS17" s="292"/>
      <c r="AT17" s="292"/>
      <c r="AU17" s="292"/>
      <c r="AV17" s="292"/>
      <c r="AW17" s="292"/>
      <c r="AX17" s="292"/>
      <c r="AY17" s="292"/>
      <c r="AZ17" s="292"/>
      <c r="BA17" s="292"/>
      <c r="BB17" s="292"/>
      <c r="BC17" s="292"/>
      <c r="BD17" s="292"/>
      <c r="BE17" s="292"/>
      <c r="BF17" s="292"/>
      <c r="BG17" s="292"/>
      <c r="BH17" s="292"/>
      <c r="BI17" s="292"/>
      <c r="BJ17" s="292"/>
      <c r="BK17" s="292"/>
      <c r="BL17" s="292"/>
      <c r="BM17" s="292"/>
      <c r="BN17" s="292"/>
      <c r="BO17" s="292"/>
      <c r="BP17" s="292"/>
      <c r="BQ17" s="292"/>
      <c r="BR17" s="292"/>
      <c r="BS17" s="292"/>
      <c r="BT17" s="292"/>
      <c r="BU17" s="292"/>
      <c r="BV17" s="292"/>
      <c r="BW17" s="292"/>
      <c r="BX17" s="292"/>
      <c r="BY17" s="292"/>
      <c r="BZ17" s="292"/>
      <c r="CA17" s="292"/>
      <c r="CB17" s="292"/>
      <c r="CC17" s="292"/>
      <c r="CD17" s="292"/>
      <c r="CE17" s="292"/>
      <c r="CF17" s="292"/>
      <c r="CG17" s="292"/>
      <c r="CH17" s="292"/>
      <c r="CI17" s="292"/>
      <c r="CJ17" s="292"/>
      <c r="CK17" s="292"/>
      <c r="CL17" s="292"/>
      <c r="CM17" s="292"/>
      <c r="CN17" s="292"/>
      <c r="CO17" s="292"/>
      <c r="CP17" s="292"/>
      <c r="CQ17" s="292"/>
      <c r="CR17" s="292"/>
      <c r="CS17" s="292"/>
      <c r="CT17" s="292"/>
      <c r="CU17" s="292"/>
      <c r="CV17" s="292"/>
      <c r="CW17" s="292"/>
      <c r="CX17" s="292"/>
      <c r="CY17" s="292"/>
      <c r="CZ17" s="292"/>
      <c r="DA17" s="292"/>
      <c r="DB17" s="292"/>
      <c r="DC17" s="292"/>
      <c r="DD17" s="292"/>
      <c r="DE17" s="292"/>
      <c r="DF17" s="292"/>
      <c r="DG17" s="292"/>
      <c r="DH17" s="292"/>
      <c r="DI17" s="292"/>
      <c r="DJ17" s="292"/>
      <c r="DK17" s="292"/>
      <c r="DL17" s="292"/>
      <c r="DM17" s="292"/>
      <c r="DN17" s="292"/>
      <c r="DO17" s="292"/>
      <c r="DP17" s="292"/>
      <c r="DQ17" s="292"/>
      <c r="DR17" s="292"/>
      <c r="DS17" s="292"/>
      <c r="DT17" s="292"/>
      <c r="DU17" s="292"/>
      <c r="DV17" s="292"/>
      <c r="DW17" s="292"/>
      <c r="DX17" s="292"/>
      <c r="DY17" s="292"/>
      <c r="DZ17" s="292"/>
      <c r="EA17" s="292"/>
      <c r="EB17" s="292"/>
      <c r="EC17" s="292"/>
      <c r="ED17" s="292"/>
      <c r="EE17" s="292"/>
      <c r="EF17" s="292"/>
      <c r="EG17" s="292"/>
      <c r="EH17" s="292"/>
      <c r="EI17" s="292"/>
      <c r="EJ17" s="292"/>
      <c r="EK17" s="292"/>
      <c r="EL17" s="292"/>
      <c r="EM17" s="292"/>
      <c r="EN17" s="292"/>
      <c r="EO17" s="292"/>
      <c r="EP17" s="292"/>
      <c r="EQ17" s="292"/>
      <c r="ER17" s="292"/>
      <c r="ES17" s="292"/>
      <c r="ET17" s="292"/>
      <c r="EU17" s="292"/>
      <c r="EV17" s="292"/>
      <c r="EW17" s="292"/>
      <c r="EX17" s="292"/>
      <c r="EY17" s="292"/>
      <c r="EZ17" s="292"/>
      <c r="FA17" s="292"/>
      <c r="FB17" s="292"/>
      <c r="FC17" s="292"/>
      <c r="FD17" s="292"/>
      <c r="FE17" s="292"/>
      <c r="FF17" s="292"/>
      <c r="FG17" s="292"/>
      <c r="FH17" s="292"/>
      <c r="FI17" s="292"/>
      <c r="FJ17" s="292"/>
      <c r="FK17" s="292"/>
      <c r="FL17" s="292"/>
      <c r="FM17" s="292"/>
      <c r="FN17" s="292"/>
      <c r="FO17" s="292"/>
      <c r="FP17" s="292"/>
      <c r="FQ17" s="292"/>
      <c r="FR17" s="292"/>
      <c r="FS17" s="292"/>
      <c r="FT17" s="292"/>
      <c r="FU17" s="292"/>
      <c r="FV17" s="292"/>
      <c r="FW17" s="292"/>
      <c r="FX17" s="292"/>
      <c r="FY17" s="292"/>
      <c r="FZ17" s="292"/>
      <c r="GA17" s="292"/>
      <c r="GB17" s="292"/>
      <c r="GC17" s="292"/>
      <c r="GD17" s="292"/>
      <c r="GE17" s="292"/>
      <c r="GF17" s="292"/>
      <c r="GG17" s="292"/>
      <c r="GH17" s="292"/>
      <c r="GI17" s="292"/>
      <c r="GJ17" s="292"/>
      <c r="GK17" s="292"/>
      <c r="GL17" s="292"/>
      <c r="GM17" s="292"/>
      <c r="GN17" s="292"/>
      <c r="GO17" s="292"/>
      <c r="GP17" s="292"/>
      <c r="GQ17" s="292"/>
      <c r="GR17" s="292"/>
      <c r="GS17" s="292"/>
      <c r="GT17" s="292"/>
      <c r="GU17" s="292"/>
      <c r="GV17" s="292"/>
      <c r="GW17" s="292"/>
      <c r="GX17" s="292"/>
      <c r="GY17" s="292"/>
      <c r="GZ17" s="292"/>
      <c r="HA17" s="292"/>
      <c r="HB17" s="292"/>
      <c r="HC17" s="292"/>
      <c r="HD17" s="292"/>
      <c r="HE17" s="292"/>
      <c r="HF17" s="292"/>
      <c r="HG17" s="292"/>
      <c r="HH17" s="292"/>
      <c r="HI17" s="292"/>
      <c r="HJ17" s="292"/>
      <c r="HK17" s="292"/>
      <c r="HL17" s="292"/>
      <c r="HM17" s="292"/>
      <c r="HN17" s="292"/>
      <c r="HO17" s="292"/>
      <c r="HP17" s="292"/>
      <c r="HQ17" s="292"/>
      <c r="HR17" s="292"/>
      <c r="HS17" s="292"/>
      <c r="HT17" s="292"/>
      <c r="HU17" s="292"/>
      <c r="HV17" s="292"/>
      <c r="HW17" s="292"/>
      <c r="HX17" s="292"/>
      <c r="HY17" s="292"/>
      <c r="HZ17" s="292"/>
      <c r="IA17" s="292"/>
      <c r="IB17" s="292"/>
      <c r="IC17" s="292"/>
      <c r="ID17" s="292"/>
      <c r="IE17" s="292"/>
      <c r="IF17" s="292"/>
      <c r="IG17" s="292"/>
      <c r="IH17" s="292"/>
      <c r="II17" s="292"/>
      <c r="IJ17" s="292"/>
      <c r="IK17" s="292"/>
      <c r="IL17" s="292"/>
      <c r="IM17" s="292"/>
      <c r="IN17" s="292"/>
      <c r="IO17" s="292"/>
      <c r="IP17" s="292"/>
      <c r="IQ17" s="292"/>
      <c r="IR17" s="292"/>
      <c r="IS17" s="292"/>
      <c r="IT17" s="292"/>
      <c r="IU17" s="292"/>
      <c r="IV17" s="292"/>
      <c r="IW17" s="292"/>
      <c r="IX17" s="292"/>
      <c r="IY17" s="292"/>
      <c r="IZ17" s="292"/>
      <c r="JA17" s="292"/>
      <c r="JB17" s="292"/>
      <c r="JC17" s="292"/>
      <c r="JD17" s="292"/>
      <c r="JE17" s="292"/>
      <c r="JF17" s="292"/>
      <c r="JG17" s="292"/>
      <c r="JH17" s="292"/>
      <c r="JI17" s="292"/>
      <c r="JJ17" s="292"/>
      <c r="JK17" s="292"/>
      <c r="JL17" s="292"/>
      <c r="JM17" s="292"/>
      <c r="JN17" s="292"/>
      <c r="JO17" s="292"/>
      <c r="JP17" s="292"/>
      <c r="JQ17" s="292"/>
      <c r="JR17" s="292"/>
      <c r="JS17" s="292"/>
      <c r="JT17" s="292"/>
      <c r="JU17" s="292"/>
      <c r="JV17" s="292"/>
      <c r="JW17" s="292"/>
      <c r="JX17" s="292"/>
      <c r="JY17" s="292"/>
      <c r="JZ17" s="292"/>
      <c r="KA17" s="292"/>
      <c r="KB17" s="292"/>
      <c r="KC17" s="292"/>
      <c r="KD17" s="292"/>
      <c r="KE17" s="292"/>
      <c r="KF17" s="292"/>
      <c r="KG17" s="292"/>
      <c r="KH17" s="292"/>
      <c r="KI17" s="292"/>
      <c r="KJ17" s="292"/>
      <c r="KK17" s="292"/>
      <c r="KL17" s="292"/>
      <c r="KM17" s="292"/>
      <c r="KN17" s="292"/>
      <c r="KO17" s="292"/>
      <c r="KP17" s="292"/>
      <c r="KQ17" s="292"/>
      <c r="KR17" s="292"/>
      <c r="KS17" s="292"/>
      <c r="KT17" s="292"/>
      <c r="KU17" s="292"/>
      <c r="KV17" s="292"/>
      <c r="KW17" s="292"/>
      <c r="KX17" s="292"/>
      <c r="KY17" s="292"/>
      <c r="KZ17" s="292"/>
      <c r="LA17" s="292"/>
      <c r="LB17" s="292"/>
      <c r="LC17" s="292"/>
      <c r="LD17" s="292"/>
      <c r="LE17" s="292"/>
      <c r="LF17" s="292"/>
      <c r="LG17" s="292"/>
      <c r="LH17" s="292"/>
      <c r="LI17" s="292"/>
      <c r="LJ17" s="292"/>
      <c r="LK17" s="292"/>
      <c r="LL17" s="292"/>
      <c r="LM17" s="292"/>
      <c r="LN17" s="292"/>
      <c r="LO17" s="292"/>
      <c r="LP17" s="292"/>
      <c r="LQ17" s="292"/>
      <c r="LR17" s="292"/>
      <c r="LS17" s="292"/>
      <c r="LT17" s="292"/>
      <c r="LU17" s="292"/>
      <c r="LV17" s="292"/>
      <c r="LW17" s="292"/>
      <c r="LX17" s="292"/>
      <c r="LY17" s="292"/>
      <c r="LZ17" s="292"/>
      <c r="MA17" s="292"/>
      <c r="MB17" s="292"/>
      <c r="MC17" s="292"/>
      <c r="MD17" s="292"/>
      <c r="ME17" s="292"/>
      <c r="MF17" s="292"/>
      <c r="MG17" s="292"/>
      <c r="MH17" s="292"/>
      <c r="MI17" s="292"/>
      <c r="MJ17" s="292"/>
      <c r="MK17" s="292"/>
      <c r="ML17" s="292"/>
      <c r="MM17" s="292"/>
      <c r="MN17" s="292"/>
      <c r="MO17" s="292"/>
      <c r="MP17" s="292"/>
      <c r="MQ17" s="292"/>
      <c r="MR17" s="292"/>
      <c r="MS17" s="292"/>
      <c r="MT17" s="292"/>
      <c r="MU17" s="292"/>
      <c r="MV17" s="292"/>
      <c r="MW17" s="292"/>
      <c r="MX17" s="292"/>
      <c r="MY17" s="292"/>
      <c r="MZ17" s="292"/>
      <c r="NA17" s="292"/>
      <c r="NB17" s="292"/>
      <c r="NC17" s="292"/>
      <c r="ND17" s="292"/>
      <c r="NE17" s="292"/>
      <c r="NF17" s="292"/>
      <c r="NG17" s="292"/>
      <c r="NH17" s="292"/>
      <c r="NI17" s="292"/>
      <c r="NJ17" s="292"/>
      <c r="NK17" s="292"/>
      <c r="NL17" s="292"/>
      <c r="NM17" s="292"/>
      <c r="NN17" s="292"/>
      <c r="NO17" s="292"/>
      <c r="NP17" s="292"/>
      <c r="NQ17" s="292"/>
      <c r="NR17" s="292"/>
      <c r="NS17" s="292"/>
      <c r="NT17" s="292"/>
      <c r="NU17" s="292"/>
      <c r="NV17" s="292"/>
      <c r="NW17" s="292"/>
      <c r="NX17" s="292"/>
      <c r="NY17" s="292"/>
      <c r="NZ17" s="292"/>
      <c r="OA17" s="292"/>
      <c r="OB17" s="292"/>
      <c r="OC17" s="292"/>
      <c r="OD17" s="292"/>
      <c r="OE17" s="292"/>
      <c r="OF17" s="292"/>
      <c r="OG17" s="292"/>
      <c r="OH17" s="292"/>
      <c r="OI17" s="292"/>
      <c r="OJ17" s="292"/>
      <c r="OK17" s="292"/>
      <c r="OL17" s="292"/>
      <c r="OM17" s="292"/>
      <c r="ON17" s="292"/>
      <c r="OO17" s="292"/>
      <c r="OP17" s="292"/>
      <c r="OQ17" s="292"/>
      <c r="OR17" s="292"/>
      <c r="OS17" s="292"/>
      <c r="OT17" s="292"/>
      <c r="OU17" s="292"/>
      <c r="OV17" s="292"/>
      <c r="OW17" s="292"/>
      <c r="OX17" s="292"/>
      <c r="OY17" s="292"/>
      <c r="OZ17" s="292"/>
      <c r="PA17" s="292"/>
      <c r="PB17" s="292"/>
      <c r="PC17" s="292"/>
      <c r="PD17" s="292"/>
      <c r="PE17" s="292"/>
      <c r="PF17" s="292"/>
      <c r="PG17" s="292"/>
      <c r="PH17" s="292"/>
      <c r="PI17" s="292"/>
      <c r="PJ17" s="292"/>
      <c r="PK17" s="292"/>
      <c r="PL17" s="292"/>
      <c r="PM17" s="292"/>
      <c r="PN17" s="292"/>
      <c r="PO17" s="292"/>
      <c r="PP17" s="292"/>
      <c r="PQ17" s="292"/>
      <c r="PR17" s="292"/>
      <c r="PS17" s="292"/>
      <c r="PT17" s="292"/>
      <c r="PU17" s="292"/>
      <c r="PV17" s="292"/>
      <c r="PW17" s="292"/>
      <c r="PX17" s="292"/>
      <c r="PY17" s="292"/>
      <c r="PZ17" s="292"/>
      <c r="QA17" s="292"/>
      <c r="QB17" s="292"/>
      <c r="QC17" s="292"/>
      <c r="QD17" s="292"/>
      <c r="QE17" s="292"/>
      <c r="QF17" s="292"/>
      <c r="QG17" s="292"/>
      <c r="QH17" s="292"/>
      <c r="QI17" s="292"/>
      <c r="QJ17" s="292"/>
      <c r="QK17" s="292"/>
      <c r="QL17" s="292"/>
      <c r="QM17" s="292"/>
      <c r="QN17" s="292"/>
      <c r="QO17" s="292"/>
      <c r="QP17" s="292"/>
      <c r="QQ17" s="292"/>
      <c r="QR17" s="292"/>
      <c r="QS17" s="292"/>
      <c r="QT17" s="292"/>
      <c r="QU17" s="292"/>
      <c r="QV17" s="292"/>
      <c r="QW17" s="292"/>
      <c r="QX17" s="292"/>
      <c r="QY17" s="292"/>
      <c r="QZ17" s="292"/>
      <c r="RA17" s="292"/>
      <c r="RB17" s="292"/>
      <c r="RC17" s="292"/>
      <c r="RD17" s="292"/>
      <c r="RE17" s="292"/>
      <c r="RF17" s="292"/>
      <c r="RG17" s="292"/>
      <c r="RH17" s="292"/>
      <c r="RI17" s="292"/>
      <c r="RJ17" s="292"/>
      <c r="RK17" s="292"/>
      <c r="RL17" s="292"/>
      <c r="RM17" s="292"/>
      <c r="RN17" s="292"/>
      <c r="RO17" s="292"/>
      <c r="RP17" s="292"/>
      <c r="RQ17" s="292"/>
      <c r="RR17" s="292"/>
      <c r="RS17" s="292"/>
      <c r="RT17" s="292"/>
      <c r="RU17" s="292"/>
      <c r="RV17" s="292"/>
      <c r="RW17" s="292"/>
      <c r="RX17" s="292"/>
      <c r="RY17" s="292"/>
      <c r="RZ17" s="292"/>
      <c r="SA17" s="292"/>
      <c r="SB17" s="292"/>
      <c r="SC17" s="292"/>
      <c r="SD17" s="292"/>
      <c r="SE17" s="292"/>
      <c r="SF17" s="292"/>
      <c r="SG17" s="292"/>
      <c r="SH17" s="292"/>
      <c r="SI17" s="292"/>
      <c r="SJ17" s="292"/>
      <c r="SK17" s="292"/>
      <c r="SL17" s="292"/>
      <c r="SM17" s="292"/>
      <c r="SN17" s="292"/>
      <c r="SO17" s="292"/>
      <c r="SP17" s="292"/>
      <c r="SQ17" s="292"/>
      <c r="SR17" s="292"/>
      <c r="SS17" s="292"/>
      <c r="ST17" s="292"/>
      <c r="SU17" s="292"/>
      <c r="SV17" s="292"/>
      <c r="SW17" s="292"/>
      <c r="SX17" s="292"/>
      <c r="SY17" s="292"/>
      <c r="SZ17" s="292"/>
      <c r="TA17" s="292"/>
      <c r="TB17" s="292"/>
      <c r="TC17" s="292"/>
      <c r="TD17" s="292"/>
      <c r="TE17" s="292"/>
      <c r="TF17" s="292"/>
      <c r="TG17" s="292"/>
      <c r="TH17" s="292"/>
      <c r="TI17" s="292"/>
      <c r="TJ17" s="292"/>
      <c r="TK17" s="292"/>
      <c r="TL17" s="292"/>
      <c r="TM17" s="292"/>
      <c r="TN17" s="292"/>
      <c r="TO17" s="292"/>
      <c r="TP17" s="292"/>
      <c r="TQ17" s="292"/>
      <c r="TR17" s="292"/>
      <c r="TS17" s="292"/>
      <c r="TT17" s="292"/>
      <c r="TU17" s="292"/>
      <c r="TV17" s="292"/>
      <c r="TW17" s="292"/>
      <c r="TX17" s="292"/>
      <c r="TY17" s="292"/>
      <c r="TZ17" s="292"/>
      <c r="UA17" s="292"/>
      <c r="UB17" s="292"/>
      <c r="UC17" s="292"/>
      <c r="UD17" s="292"/>
      <c r="UE17" s="292"/>
      <c r="UF17" s="292"/>
      <c r="UG17" s="292"/>
      <c r="UH17" s="292"/>
      <c r="UI17" s="292"/>
      <c r="UJ17" s="292"/>
      <c r="UK17" s="292"/>
      <c r="UL17" s="292"/>
      <c r="UM17" s="292"/>
      <c r="UN17" s="292"/>
      <c r="UO17" s="292"/>
      <c r="UP17" s="292"/>
      <c r="UQ17" s="292"/>
      <c r="UR17" s="292"/>
      <c r="US17" s="292"/>
      <c r="UT17" s="292"/>
      <c r="UU17" s="292"/>
      <c r="UV17" s="292"/>
      <c r="UW17" s="292"/>
      <c r="UX17" s="292"/>
      <c r="UY17" s="292"/>
      <c r="UZ17" s="292"/>
      <c r="VA17" s="292"/>
      <c r="VB17" s="292"/>
      <c r="VC17" s="292"/>
      <c r="VD17" s="292"/>
      <c r="VE17" s="292"/>
      <c r="VF17" s="292"/>
      <c r="VG17" s="292"/>
      <c r="VH17" s="292"/>
      <c r="VI17" s="292"/>
      <c r="VJ17" s="292"/>
      <c r="VK17" s="292"/>
      <c r="VL17" s="292"/>
      <c r="VM17" s="292"/>
      <c r="VN17" s="292"/>
      <c r="VO17" s="292"/>
      <c r="VP17" s="292"/>
      <c r="VQ17" s="292"/>
      <c r="VR17" s="292"/>
      <c r="VS17" s="292"/>
      <c r="VT17" s="292"/>
      <c r="VU17" s="292"/>
      <c r="VV17" s="292"/>
      <c r="VW17" s="292"/>
      <c r="VX17" s="292"/>
      <c r="VY17" s="292"/>
      <c r="VZ17" s="292"/>
      <c r="WA17" s="292"/>
      <c r="WB17" s="292"/>
      <c r="WC17" s="292"/>
      <c r="WD17" s="292"/>
      <c r="WE17" s="292"/>
      <c r="WF17" s="292"/>
      <c r="WG17" s="292"/>
      <c r="WH17" s="292"/>
      <c r="WI17" s="292"/>
      <c r="WJ17" s="292"/>
      <c r="WK17" s="292"/>
      <c r="WL17" s="292"/>
      <c r="WM17" s="292"/>
      <c r="WN17" s="292"/>
      <c r="WO17" s="292"/>
      <c r="WP17" s="292"/>
      <c r="WQ17" s="292"/>
      <c r="WR17" s="292"/>
      <c r="WS17" s="292"/>
      <c r="WT17" s="292"/>
      <c r="WU17" s="292"/>
      <c r="WV17" s="292"/>
      <c r="WW17" s="292"/>
      <c r="WX17" s="292"/>
      <c r="WY17" s="292"/>
      <c r="WZ17" s="292"/>
      <c r="XA17" s="292"/>
      <c r="XB17" s="292"/>
      <c r="XC17" s="292"/>
      <c r="XD17" s="292"/>
      <c r="XE17" s="292"/>
      <c r="XF17" s="292"/>
      <c r="XG17" s="292"/>
      <c r="XH17" s="292"/>
      <c r="XI17" s="292"/>
      <c r="XJ17" s="292"/>
      <c r="XK17" s="292"/>
      <c r="XL17" s="292"/>
      <c r="XM17" s="292"/>
      <c r="XN17" s="292"/>
      <c r="XO17" s="292"/>
      <c r="XP17" s="292"/>
      <c r="XQ17" s="292"/>
      <c r="XR17" s="292"/>
      <c r="XS17" s="292"/>
      <c r="XT17" s="292"/>
      <c r="XU17" s="292"/>
      <c r="XV17" s="292"/>
      <c r="XW17" s="292"/>
      <c r="XX17" s="292"/>
      <c r="XY17" s="292"/>
      <c r="XZ17" s="292"/>
      <c r="YA17" s="292"/>
      <c r="YB17" s="292"/>
      <c r="YC17" s="292"/>
      <c r="YD17" s="292"/>
      <c r="YE17" s="292"/>
      <c r="YF17" s="292"/>
      <c r="YG17" s="292"/>
      <c r="YH17" s="292"/>
      <c r="YI17" s="292"/>
      <c r="YJ17" s="292"/>
      <c r="YK17" s="292"/>
      <c r="YL17" s="292"/>
      <c r="YM17" s="292"/>
      <c r="YN17" s="292"/>
      <c r="YO17" s="292"/>
      <c r="YP17" s="292"/>
      <c r="YQ17" s="292"/>
      <c r="YR17" s="292"/>
      <c r="YS17" s="292"/>
      <c r="YT17" s="292"/>
      <c r="YU17" s="292"/>
      <c r="YV17" s="292"/>
      <c r="YW17" s="292"/>
      <c r="YX17" s="292"/>
      <c r="YY17" s="292"/>
      <c r="YZ17" s="292"/>
      <c r="ZA17" s="292"/>
      <c r="ZB17" s="292"/>
      <c r="ZC17" s="292"/>
      <c r="ZD17" s="292"/>
      <c r="ZE17" s="292"/>
      <c r="ZF17" s="292"/>
      <c r="ZG17" s="292"/>
      <c r="ZH17" s="292"/>
      <c r="ZI17" s="292"/>
      <c r="ZJ17" s="292"/>
      <c r="ZK17" s="292"/>
      <c r="ZL17" s="292"/>
      <c r="ZM17" s="292"/>
      <c r="ZN17" s="292"/>
      <c r="ZO17" s="292"/>
      <c r="ZP17" s="292"/>
      <c r="ZQ17" s="292"/>
      <c r="ZR17" s="292"/>
      <c r="ZS17" s="292"/>
      <c r="ZT17" s="292"/>
      <c r="ZU17" s="292"/>
      <c r="ZV17" s="292"/>
      <c r="ZW17" s="292"/>
      <c r="ZX17" s="292"/>
      <c r="ZY17" s="292"/>
      <c r="ZZ17" s="292"/>
      <c r="AAA17" s="292"/>
      <c r="AAB17" s="292"/>
      <c r="AAC17" s="292"/>
      <c r="AAD17" s="292"/>
      <c r="AAE17" s="292"/>
      <c r="AAF17" s="292"/>
      <c r="AAG17" s="292"/>
      <c r="AAH17" s="292"/>
      <c r="AAI17" s="292"/>
      <c r="AAJ17" s="292"/>
      <c r="AAK17" s="292"/>
      <c r="AAL17" s="292"/>
      <c r="AAM17" s="292"/>
      <c r="AAN17" s="292"/>
      <c r="AAO17" s="292"/>
      <c r="AAP17" s="292"/>
      <c r="AAQ17" s="292"/>
      <c r="AAR17" s="292"/>
      <c r="AAS17" s="292"/>
      <c r="AAT17" s="292"/>
      <c r="AAU17" s="292"/>
      <c r="AAV17" s="292"/>
      <c r="AAW17" s="292"/>
      <c r="AAX17" s="292"/>
      <c r="AAY17" s="292"/>
      <c r="AAZ17" s="292"/>
      <c r="ABA17" s="292"/>
      <c r="ABB17" s="292"/>
      <c r="ABC17" s="292"/>
      <c r="ABD17" s="292"/>
      <c r="ABE17" s="292"/>
      <c r="ABF17" s="292"/>
      <c r="ABG17" s="292"/>
      <c r="ABH17" s="292"/>
      <c r="ABI17" s="292"/>
      <c r="ABJ17" s="292"/>
      <c r="ABK17" s="292"/>
      <c r="ABL17" s="292"/>
      <c r="ABM17" s="292"/>
      <c r="ABN17" s="292"/>
      <c r="ABO17" s="292"/>
      <c r="ABP17" s="292"/>
      <c r="ABQ17" s="292"/>
      <c r="ABR17" s="292"/>
      <c r="ABS17" s="292"/>
      <c r="ABT17" s="292"/>
      <c r="ABU17" s="292"/>
      <c r="ABV17" s="292"/>
      <c r="ABW17" s="292"/>
      <c r="ABX17" s="292"/>
      <c r="ABY17" s="292"/>
      <c r="ABZ17" s="292"/>
      <c r="ACA17" s="292"/>
      <c r="ACB17" s="292"/>
      <c r="ACC17" s="292"/>
      <c r="ACD17" s="292"/>
      <c r="ACE17" s="292"/>
      <c r="ACF17" s="292"/>
      <c r="ACG17" s="292"/>
      <c r="ACH17" s="292"/>
      <c r="ACI17" s="292"/>
      <c r="ACJ17" s="292"/>
      <c r="ACK17" s="292"/>
      <c r="ACL17" s="292"/>
      <c r="ACM17" s="292"/>
      <c r="ACN17" s="292"/>
      <c r="ACO17" s="292"/>
      <c r="ACP17" s="292"/>
      <c r="ACQ17" s="292"/>
      <c r="ACR17" s="292"/>
      <c r="ACS17" s="292"/>
      <c r="ACT17" s="292"/>
      <c r="ACU17" s="292"/>
      <c r="ACV17" s="292"/>
      <c r="ACW17" s="292"/>
      <c r="ACX17" s="292"/>
      <c r="ACY17" s="292"/>
      <c r="ACZ17" s="292"/>
      <c r="ADA17" s="292"/>
      <c r="ADB17" s="292"/>
      <c r="ADC17" s="292"/>
      <c r="ADD17" s="292"/>
      <c r="ADE17" s="292"/>
      <c r="ADF17" s="292"/>
      <c r="ADG17" s="292"/>
      <c r="ADH17" s="292"/>
      <c r="ADI17" s="292"/>
      <c r="ADJ17" s="292"/>
      <c r="ADK17" s="292"/>
      <c r="ADL17" s="292"/>
      <c r="ADM17" s="292"/>
      <c r="ADN17" s="292"/>
      <c r="ADO17" s="292"/>
      <c r="ADP17" s="292"/>
      <c r="ADQ17" s="292"/>
      <c r="ADR17" s="292"/>
      <c r="ADS17" s="292"/>
      <c r="ADT17" s="292"/>
      <c r="ADU17" s="292"/>
      <c r="ADV17" s="292"/>
      <c r="ADW17" s="292"/>
      <c r="ADX17" s="292"/>
      <c r="ADY17" s="292"/>
      <c r="ADZ17" s="292"/>
      <c r="AEA17" s="292"/>
      <c r="AEB17" s="292"/>
      <c r="AEC17" s="292"/>
      <c r="AED17" s="292"/>
      <c r="AEE17" s="292"/>
      <c r="AEF17" s="292"/>
      <c r="AEG17" s="292"/>
      <c r="AEH17" s="292"/>
      <c r="AEI17" s="292"/>
      <c r="AEJ17" s="292"/>
      <c r="AEK17" s="292"/>
      <c r="AEL17" s="292"/>
      <c r="AEM17" s="292"/>
      <c r="AEN17" s="292"/>
      <c r="AEO17" s="292"/>
      <c r="AEP17" s="292"/>
      <c r="AEQ17" s="292"/>
      <c r="AER17" s="292"/>
      <c r="AES17" s="292"/>
      <c r="AET17" s="292"/>
      <c r="AEU17" s="292"/>
      <c r="AEV17" s="292"/>
      <c r="AEW17" s="292"/>
      <c r="AEX17" s="292"/>
      <c r="AEY17" s="292"/>
      <c r="AEZ17" s="292"/>
      <c r="AFA17" s="292"/>
      <c r="AFB17" s="292"/>
      <c r="AFC17" s="292"/>
      <c r="AFD17" s="292"/>
      <c r="AFE17" s="292"/>
      <c r="AFF17" s="292"/>
      <c r="AFG17" s="292"/>
      <c r="AFH17" s="292"/>
      <c r="AFI17" s="292"/>
      <c r="AFJ17" s="292"/>
      <c r="AFK17" s="292"/>
      <c r="AFL17" s="292"/>
      <c r="AFM17" s="292"/>
      <c r="AFN17" s="292"/>
      <c r="AFO17" s="292"/>
      <c r="AFP17" s="292"/>
      <c r="AFQ17" s="292"/>
      <c r="AFR17" s="292"/>
      <c r="AFS17" s="292"/>
      <c r="AFT17" s="292"/>
      <c r="AFU17" s="292"/>
      <c r="AFV17" s="292"/>
      <c r="AFW17" s="292"/>
      <c r="AFX17" s="292"/>
      <c r="AFY17" s="292"/>
      <c r="AFZ17" s="292"/>
      <c r="AGA17" s="292"/>
      <c r="AGB17" s="292"/>
      <c r="AGC17" s="292"/>
      <c r="AGD17" s="292"/>
      <c r="AGE17" s="292"/>
      <c r="AGF17" s="292"/>
      <c r="AGG17" s="292"/>
      <c r="AGH17" s="292"/>
      <c r="AGI17" s="292"/>
      <c r="AGJ17" s="292"/>
      <c r="AGK17" s="292"/>
      <c r="AGL17" s="292"/>
      <c r="AGM17" s="292"/>
      <c r="AGN17" s="292"/>
      <c r="AGO17" s="292"/>
      <c r="AGP17" s="292"/>
      <c r="AGQ17" s="292"/>
      <c r="AGR17" s="292"/>
      <c r="AGS17" s="292"/>
      <c r="AGT17" s="292"/>
      <c r="AGU17" s="292"/>
      <c r="AGV17" s="292"/>
      <c r="AGW17" s="292"/>
      <c r="AGX17" s="292"/>
      <c r="AGY17" s="292"/>
      <c r="AGZ17" s="292"/>
      <c r="AHA17" s="292"/>
      <c r="AHB17" s="292"/>
      <c r="AHC17" s="292"/>
      <c r="AHD17" s="292"/>
      <c r="AHE17" s="292"/>
      <c r="AHF17" s="292"/>
      <c r="AHG17" s="292"/>
      <c r="AHH17" s="292"/>
      <c r="AHI17" s="292"/>
      <c r="AHJ17" s="292"/>
      <c r="AHK17" s="292"/>
      <c r="AHL17" s="292"/>
      <c r="AHM17" s="292"/>
      <c r="AHN17" s="292"/>
      <c r="AHO17" s="292"/>
      <c r="AHP17" s="292"/>
      <c r="AHQ17" s="292"/>
      <c r="AHR17" s="292"/>
      <c r="AHS17" s="292"/>
      <c r="AHT17" s="292"/>
      <c r="AHU17" s="292"/>
      <c r="AHV17" s="292"/>
      <c r="AHW17" s="292"/>
      <c r="AHX17" s="292"/>
      <c r="AHY17" s="292"/>
      <c r="AHZ17" s="292"/>
      <c r="AIA17" s="292"/>
      <c r="AIB17" s="292"/>
      <c r="AIC17" s="292"/>
      <c r="AID17" s="292"/>
      <c r="AIE17" s="292"/>
      <c r="AIF17" s="292"/>
      <c r="AIG17" s="292"/>
      <c r="AIH17" s="292"/>
      <c r="AII17" s="292"/>
      <c r="AIJ17" s="292"/>
      <c r="AIK17" s="292"/>
      <c r="AIL17" s="292"/>
      <c r="AIM17" s="292"/>
      <c r="AIN17" s="292"/>
      <c r="AIO17" s="292"/>
      <c r="AIP17" s="292"/>
      <c r="AIQ17" s="292"/>
      <c r="AIR17" s="292"/>
      <c r="AIS17" s="292"/>
      <c r="AIT17" s="292"/>
      <c r="AIU17" s="292"/>
      <c r="AIV17" s="292"/>
      <c r="AIW17" s="292"/>
      <c r="AIX17" s="292"/>
      <c r="AIY17" s="292"/>
      <c r="AIZ17" s="292"/>
      <c r="AJA17" s="292"/>
      <c r="AJB17" s="292"/>
      <c r="AJC17" s="292"/>
      <c r="AJD17" s="292"/>
      <c r="AJE17" s="292"/>
      <c r="AJF17" s="292"/>
      <c r="AJG17" s="292"/>
      <c r="AJH17" s="292"/>
      <c r="AJI17" s="292"/>
      <c r="AJJ17" s="292"/>
      <c r="AJK17" s="292"/>
      <c r="AJL17" s="292"/>
      <c r="AJM17" s="292"/>
      <c r="AJN17" s="292"/>
      <c r="AJO17" s="292"/>
      <c r="AJP17" s="292"/>
      <c r="AJQ17" s="292"/>
      <c r="AJR17" s="292"/>
      <c r="AJS17" s="292"/>
      <c r="AJT17" s="292"/>
      <c r="AJU17" s="292"/>
      <c r="AJV17" s="292"/>
      <c r="AJW17" s="292"/>
      <c r="AJX17" s="292"/>
      <c r="AJY17" s="292"/>
      <c r="AJZ17" s="292"/>
      <c r="AKA17" s="292"/>
      <c r="AKB17" s="292"/>
      <c r="AKC17" s="292"/>
      <c r="AKD17" s="292"/>
      <c r="AKE17" s="292"/>
      <c r="AKF17" s="292"/>
      <c r="AKG17" s="292"/>
      <c r="AKH17" s="292"/>
      <c r="AKI17" s="292"/>
      <c r="AKJ17" s="292"/>
      <c r="AKK17" s="292"/>
      <c r="AKL17" s="292"/>
      <c r="AKM17" s="292"/>
      <c r="AKN17" s="292"/>
      <c r="AKO17" s="292"/>
      <c r="AKP17" s="292"/>
      <c r="AKQ17" s="292"/>
      <c r="AKR17" s="292"/>
      <c r="AKS17" s="292"/>
      <c r="AKT17" s="292"/>
      <c r="AKU17" s="292"/>
      <c r="AKV17" s="292"/>
      <c r="AKW17" s="292"/>
      <c r="AKX17" s="292"/>
      <c r="AKY17" s="292"/>
      <c r="AKZ17" s="292"/>
      <c r="ALA17" s="292"/>
      <c r="ALB17" s="292"/>
      <c r="ALC17" s="292"/>
      <c r="ALD17" s="292"/>
      <c r="ALE17" s="292"/>
      <c r="ALF17" s="292"/>
      <c r="ALG17" s="292"/>
      <c r="ALH17" s="292"/>
      <c r="ALI17" s="292"/>
      <c r="ALJ17" s="292"/>
      <c r="ALK17" s="292"/>
      <c r="ALL17" s="292"/>
      <c r="ALM17" s="292"/>
      <c r="ALN17" s="292"/>
      <c r="ALO17" s="292"/>
      <c r="ALP17" s="292"/>
      <c r="ALQ17" s="292"/>
      <c r="ALR17" s="292"/>
      <c r="ALS17" s="292"/>
      <c r="ALT17" s="292"/>
      <c r="ALU17" s="292"/>
      <c r="ALV17" s="292"/>
      <c r="ALW17" s="292"/>
      <c r="ALX17" s="292"/>
      <c r="ALY17" s="292"/>
      <c r="ALZ17" s="292"/>
      <c r="AMA17" s="292"/>
      <c r="AMB17" s="292"/>
      <c r="AMC17" s="292"/>
      <c r="AMD17" s="292"/>
      <c r="AME17" s="292"/>
      <c r="AMF17" s="292"/>
      <c r="AMG17" s="292"/>
      <c r="AMH17" s="292"/>
      <c r="AMI17" s="292"/>
      <c r="AMJ17" s="292"/>
      <c r="AMK17" s="292"/>
      <c r="AML17" s="292"/>
      <c r="AMM17" s="292"/>
      <c r="AMN17" s="292"/>
      <c r="AMO17" s="292"/>
      <c r="AMP17" s="292"/>
      <c r="AMQ17" s="292"/>
      <c r="AMR17" s="292"/>
      <c r="AMS17" s="292"/>
      <c r="AMT17" s="292"/>
      <c r="AMU17" s="292"/>
      <c r="AMV17" s="292"/>
      <c r="AMW17" s="292"/>
      <c r="AMX17" s="292"/>
      <c r="AMY17" s="292"/>
      <c r="AMZ17" s="292"/>
      <c r="ANA17" s="292"/>
      <c r="ANB17" s="292"/>
      <c r="ANC17" s="292"/>
      <c r="AND17" s="292"/>
      <c r="ANE17" s="292"/>
      <c r="ANF17" s="292"/>
      <c r="ANG17" s="292"/>
      <c r="ANH17" s="292"/>
      <c r="ANI17" s="292"/>
      <c r="ANJ17" s="292"/>
      <c r="ANK17" s="292"/>
      <c r="ANL17" s="292"/>
      <c r="ANM17" s="292"/>
      <c r="ANN17" s="292"/>
      <c r="ANO17" s="292"/>
      <c r="ANP17" s="292"/>
      <c r="ANQ17" s="292"/>
      <c r="ANR17" s="292"/>
      <c r="ANS17" s="292"/>
      <c r="ANT17" s="292"/>
      <c r="ANU17" s="292"/>
      <c r="ANV17" s="292"/>
      <c r="ANW17" s="292"/>
      <c r="ANX17" s="292"/>
      <c r="ANY17" s="292"/>
      <c r="ANZ17" s="292"/>
      <c r="AOA17" s="292"/>
      <c r="AOB17" s="292"/>
      <c r="AOC17" s="292"/>
      <c r="AOD17" s="292"/>
      <c r="AOE17" s="292"/>
      <c r="AOF17" s="292"/>
      <c r="AOG17" s="292"/>
      <c r="AOH17" s="292"/>
      <c r="AOI17" s="292"/>
      <c r="AOJ17" s="292"/>
      <c r="AOK17" s="292"/>
      <c r="AOL17" s="292"/>
      <c r="AOM17" s="292"/>
      <c r="AON17" s="292"/>
      <c r="AOO17" s="292"/>
      <c r="AOP17" s="292"/>
      <c r="AOQ17" s="292"/>
      <c r="AOR17" s="292"/>
      <c r="AOS17" s="292"/>
      <c r="AOT17" s="292"/>
      <c r="AOU17" s="292"/>
      <c r="AOV17" s="292"/>
      <c r="AOW17" s="292"/>
      <c r="AOX17" s="292"/>
      <c r="AOY17" s="292"/>
      <c r="AOZ17" s="292"/>
      <c r="APA17" s="292"/>
      <c r="APB17" s="292"/>
      <c r="APC17" s="292"/>
      <c r="APD17" s="292"/>
      <c r="APE17" s="292"/>
      <c r="APF17" s="292"/>
      <c r="APG17" s="292"/>
      <c r="APH17" s="292"/>
      <c r="API17" s="292"/>
      <c r="APJ17" s="292"/>
      <c r="APK17" s="292"/>
      <c r="APL17" s="292"/>
      <c r="APM17" s="292"/>
      <c r="APN17" s="292"/>
      <c r="APO17" s="292"/>
      <c r="APP17" s="292"/>
      <c r="APQ17" s="292"/>
      <c r="APR17" s="292"/>
      <c r="APS17" s="292"/>
      <c r="APT17" s="292"/>
      <c r="APU17" s="292"/>
      <c r="APV17" s="292"/>
      <c r="APW17" s="292"/>
      <c r="APX17" s="292"/>
      <c r="APY17" s="292"/>
      <c r="APZ17" s="292"/>
      <c r="AQA17" s="292"/>
      <c r="AQB17" s="292"/>
      <c r="AQC17" s="292"/>
      <c r="AQD17" s="292"/>
      <c r="AQE17" s="292"/>
      <c r="AQF17" s="292"/>
      <c r="AQG17" s="292"/>
      <c r="AQH17" s="292"/>
      <c r="AQI17" s="292"/>
      <c r="AQJ17" s="292"/>
      <c r="AQK17" s="292"/>
      <c r="AQL17" s="292"/>
      <c r="AQM17" s="292"/>
      <c r="AQN17" s="292"/>
      <c r="AQO17" s="292"/>
      <c r="AQP17" s="292"/>
      <c r="AQQ17" s="292"/>
      <c r="AQR17" s="292"/>
      <c r="AQS17" s="292"/>
      <c r="AQT17" s="292"/>
      <c r="AQU17" s="292"/>
      <c r="AQV17" s="292"/>
      <c r="AQW17" s="292"/>
      <c r="AQX17" s="292"/>
      <c r="AQY17" s="292"/>
      <c r="AQZ17" s="292"/>
      <c r="ARA17" s="292"/>
      <c r="ARB17" s="292"/>
      <c r="ARC17" s="292"/>
      <c r="ARD17" s="292"/>
      <c r="ARE17" s="292"/>
      <c r="ARF17" s="292"/>
      <c r="ARG17" s="292"/>
      <c r="ARH17" s="292"/>
      <c r="ARI17" s="292"/>
      <c r="ARJ17" s="292"/>
      <c r="ARK17" s="292"/>
      <c r="ARL17" s="292"/>
      <c r="ARM17" s="292"/>
      <c r="ARN17" s="292"/>
      <c r="ARO17" s="292"/>
      <c r="ARP17" s="292"/>
      <c r="ARQ17" s="292"/>
      <c r="ARR17" s="292"/>
      <c r="ARS17" s="292"/>
      <c r="ART17" s="292"/>
      <c r="ARU17" s="292"/>
      <c r="ARV17" s="292"/>
      <c r="ARW17" s="292"/>
      <c r="ARX17" s="292"/>
      <c r="ARY17" s="292"/>
      <c r="ARZ17" s="292"/>
      <c r="ASA17" s="292"/>
      <c r="ASB17" s="292"/>
      <c r="ASC17" s="292"/>
      <c r="ASD17" s="292"/>
      <c r="ASE17" s="292"/>
      <c r="ASF17" s="292"/>
      <c r="ASG17" s="292"/>
      <c r="ASH17" s="292"/>
      <c r="ASI17" s="292"/>
      <c r="ASJ17" s="292"/>
      <c r="ASK17" s="292"/>
      <c r="ASL17" s="292"/>
      <c r="ASM17" s="292"/>
      <c r="ASN17" s="292"/>
      <c r="ASO17" s="292"/>
      <c r="ASP17" s="292"/>
      <c r="ASQ17" s="292"/>
      <c r="ASR17" s="292"/>
      <c r="ASS17" s="292"/>
      <c r="AST17" s="292"/>
      <c r="ASU17" s="292"/>
      <c r="ASV17" s="292"/>
      <c r="ASW17" s="292"/>
      <c r="ASX17" s="292"/>
      <c r="ASY17" s="292"/>
      <c r="ASZ17" s="292"/>
      <c r="ATA17" s="292"/>
      <c r="ATB17" s="292"/>
      <c r="ATC17" s="292"/>
      <c r="ATD17" s="292"/>
      <c r="ATE17" s="292"/>
      <c r="ATF17" s="292"/>
      <c r="ATG17" s="292"/>
      <c r="ATH17" s="292"/>
      <c r="ATI17" s="292"/>
      <c r="ATJ17" s="292"/>
      <c r="ATK17" s="292"/>
      <c r="ATL17" s="292"/>
      <c r="ATM17" s="292"/>
      <c r="ATN17" s="292"/>
      <c r="ATO17" s="292"/>
      <c r="ATP17" s="292"/>
      <c r="ATQ17" s="292"/>
      <c r="ATR17" s="292"/>
      <c r="ATS17" s="292"/>
      <c r="ATT17" s="292"/>
      <c r="ATU17" s="292"/>
      <c r="ATV17" s="292"/>
      <c r="ATW17" s="292"/>
      <c r="ATX17" s="292"/>
      <c r="ATY17" s="292"/>
      <c r="ATZ17" s="292"/>
      <c r="AUA17" s="292"/>
      <c r="AUB17" s="292"/>
      <c r="AUC17" s="292"/>
      <c r="AUD17" s="292"/>
      <c r="AUE17" s="292"/>
      <c r="AUF17" s="292"/>
      <c r="AUG17" s="292"/>
      <c r="AUH17" s="292"/>
      <c r="AUI17" s="292"/>
      <c r="AUJ17" s="292"/>
      <c r="AUK17" s="292"/>
      <c r="AUL17" s="292"/>
      <c r="AUM17" s="292"/>
      <c r="AUN17" s="292"/>
      <c r="AUO17" s="292"/>
      <c r="AUP17" s="292"/>
      <c r="AUQ17" s="292"/>
      <c r="AUR17" s="292"/>
      <c r="AUS17" s="292"/>
      <c r="AUT17" s="292"/>
      <c r="AUU17" s="292"/>
      <c r="AUV17" s="292"/>
      <c r="AUW17" s="292"/>
      <c r="AUX17" s="292"/>
      <c r="AUY17" s="292"/>
      <c r="AUZ17" s="292"/>
      <c r="AVA17" s="292"/>
      <c r="AVB17" s="292"/>
      <c r="AVC17" s="292"/>
      <c r="AVD17" s="292"/>
      <c r="AVE17" s="292"/>
      <c r="AVF17" s="292"/>
      <c r="AVG17" s="292"/>
      <c r="AVH17" s="292"/>
      <c r="AVI17" s="292"/>
      <c r="AVJ17" s="292"/>
      <c r="AVK17" s="292"/>
      <c r="AVL17" s="292"/>
      <c r="AVM17" s="292"/>
      <c r="AVN17" s="292"/>
      <c r="AVO17" s="292"/>
      <c r="AVP17" s="292"/>
      <c r="AVQ17" s="292"/>
      <c r="AVR17" s="292"/>
      <c r="AVS17" s="292"/>
      <c r="AVT17" s="292"/>
      <c r="AVU17" s="292"/>
      <c r="AVV17" s="292"/>
      <c r="AVW17" s="292"/>
      <c r="AVX17" s="292"/>
      <c r="AVY17" s="292"/>
      <c r="AVZ17" s="292"/>
      <c r="AWA17" s="292"/>
      <c r="AWB17" s="292"/>
      <c r="AWC17" s="292"/>
      <c r="AWD17" s="292"/>
      <c r="AWE17" s="292"/>
      <c r="AWF17" s="292"/>
      <c r="AWG17" s="292"/>
      <c r="AWH17" s="292"/>
      <c r="AWI17" s="292"/>
      <c r="AWJ17" s="292"/>
      <c r="AWK17" s="292"/>
      <c r="AWL17" s="292"/>
      <c r="AWM17" s="292"/>
      <c r="AWN17" s="292"/>
      <c r="AWO17" s="292"/>
      <c r="AWP17" s="292"/>
      <c r="AWQ17" s="292"/>
      <c r="AWR17" s="292"/>
      <c r="AWS17" s="292"/>
      <c r="AWT17" s="292"/>
      <c r="AWU17" s="292"/>
      <c r="AWV17" s="292"/>
      <c r="AWW17" s="292"/>
      <c r="AWX17" s="292"/>
      <c r="AWY17" s="292"/>
      <c r="AWZ17" s="292"/>
      <c r="AXA17" s="292"/>
      <c r="AXB17" s="292"/>
      <c r="AXC17" s="292"/>
      <c r="AXD17" s="292"/>
      <c r="AXE17" s="292"/>
      <c r="AXF17" s="292"/>
      <c r="AXG17" s="292"/>
      <c r="AXH17" s="292"/>
      <c r="AXI17" s="292"/>
      <c r="AXJ17" s="292"/>
      <c r="AXK17" s="292"/>
      <c r="AXL17" s="292"/>
      <c r="AXM17" s="292"/>
      <c r="AXN17" s="292"/>
      <c r="AXO17" s="292"/>
      <c r="AXP17" s="292"/>
      <c r="AXQ17" s="292"/>
      <c r="AXR17" s="292"/>
      <c r="AXS17" s="292"/>
      <c r="AXT17" s="292"/>
      <c r="AXU17" s="292"/>
      <c r="AXV17" s="292"/>
      <c r="AXW17" s="292"/>
      <c r="AXX17" s="292"/>
      <c r="AXY17" s="292"/>
      <c r="AXZ17" s="292"/>
      <c r="AYA17" s="292"/>
      <c r="AYB17" s="292"/>
      <c r="AYC17" s="292"/>
      <c r="AYD17" s="292"/>
      <c r="AYE17" s="292"/>
      <c r="AYF17" s="292"/>
      <c r="AYG17" s="292"/>
      <c r="AYH17" s="292"/>
      <c r="AYI17" s="292"/>
      <c r="AYJ17" s="292"/>
      <c r="AYK17" s="292"/>
      <c r="AYL17" s="292"/>
      <c r="AYM17" s="292"/>
      <c r="AYN17" s="292"/>
      <c r="AYO17" s="292"/>
      <c r="AYP17" s="292"/>
      <c r="AYQ17" s="292"/>
      <c r="AYR17" s="292"/>
      <c r="AYS17" s="292"/>
      <c r="AYT17" s="292"/>
      <c r="AYU17" s="292"/>
      <c r="AYV17" s="292"/>
      <c r="AYW17" s="292"/>
      <c r="AYX17" s="292"/>
      <c r="AYY17" s="292"/>
      <c r="AYZ17" s="292"/>
      <c r="AZA17" s="292"/>
      <c r="AZB17" s="292"/>
      <c r="AZC17" s="292"/>
      <c r="AZD17" s="292"/>
      <c r="AZE17" s="292"/>
      <c r="AZF17" s="292"/>
      <c r="AZG17" s="292"/>
      <c r="AZH17" s="292"/>
      <c r="AZI17" s="292"/>
      <c r="AZJ17" s="292"/>
      <c r="AZK17" s="292"/>
      <c r="AZL17" s="292"/>
      <c r="AZM17" s="292"/>
      <c r="AZN17" s="292"/>
      <c r="AZO17" s="292"/>
      <c r="AZP17" s="292"/>
      <c r="AZQ17" s="292"/>
      <c r="AZR17" s="292"/>
      <c r="AZS17" s="292"/>
      <c r="AZT17" s="292"/>
      <c r="AZU17" s="292"/>
      <c r="AZV17" s="292"/>
      <c r="AZW17" s="292"/>
      <c r="AZX17" s="292"/>
      <c r="AZY17" s="292"/>
      <c r="AZZ17" s="292"/>
      <c r="BAA17" s="292"/>
      <c r="BAB17" s="292"/>
      <c r="BAC17" s="292"/>
      <c r="BAD17" s="292"/>
      <c r="BAE17" s="292"/>
      <c r="BAF17" s="292"/>
      <c r="BAG17" s="292"/>
      <c r="BAH17" s="292"/>
      <c r="BAI17" s="292"/>
      <c r="BAJ17" s="292"/>
      <c r="BAK17" s="292"/>
      <c r="BAL17" s="292"/>
      <c r="BAM17" s="292"/>
      <c r="BAN17" s="292"/>
      <c r="BAO17" s="292"/>
      <c r="BAP17" s="292"/>
      <c r="BAQ17" s="292"/>
      <c r="BAR17" s="292"/>
      <c r="BAS17" s="292"/>
      <c r="BAT17" s="292"/>
      <c r="BAU17" s="292"/>
      <c r="BAV17" s="292"/>
      <c r="BAW17" s="292"/>
      <c r="BAX17" s="292"/>
      <c r="BAY17" s="292"/>
      <c r="BAZ17" s="292"/>
      <c r="BBA17" s="292"/>
      <c r="BBB17" s="292"/>
      <c r="BBC17" s="292"/>
      <c r="BBD17" s="292"/>
      <c r="BBE17" s="292"/>
      <c r="BBF17" s="292"/>
      <c r="BBG17" s="292"/>
      <c r="BBH17" s="292"/>
      <c r="BBI17" s="292"/>
      <c r="BBJ17" s="292"/>
      <c r="BBK17" s="292"/>
      <c r="BBL17" s="292"/>
      <c r="BBM17" s="292"/>
      <c r="BBN17" s="292"/>
      <c r="BBO17" s="292"/>
      <c r="BBP17" s="292"/>
      <c r="BBQ17" s="292"/>
      <c r="BBR17" s="292"/>
      <c r="BBS17" s="292"/>
      <c r="BBT17" s="292"/>
      <c r="BBU17" s="292"/>
      <c r="BBV17" s="292"/>
      <c r="BBW17" s="292"/>
      <c r="BBX17" s="292"/>
      <c r="BBY17" s="292"/>
      <c r="BBZ17" s="292"/>
      <c r="BCA17" s="292"/>
      <c r="BCB17" s="292"/>
      <c r="BCC17" s="292"/>
      <c r="BCD17" s="292"/>
      <c r="BCE17" s="292"/>
      <c r="BCF17" s="292"/>
      <c r="BCG17" s="292"/>
      <c r="BCH17" s="292"/>
      <c r="BCI17" s="292"/>
      <c r="BCJ17" s="292"/>
      <c r="BCK17" s="292"/>
      <c r="BCL17" s="292"/>
      <c r="BCM17" s="292"/>
      <c r="BCN17" s="292"/>
      <c r="BCO17" s="292"/>
      <c r="BCP17" s="292"/>
      <c r="BCQ17" s="292"/>
      <c r="BCR17" s="292"/>
      <c r="BCS17" s="292"/>
      <c r="BCT17" s="292"/>
      <c r="BCU17" s="292"/>
      <c r="BCV17" s="292"/>
      <c r="BCW17" s="292"/>
      <c r="BCX17" s="292"/>
      <c r="BCY17" s="292"/>
      <c r="BCZ17" s="292"/>
      <c r="BDA17" s="292"/>
      <c r="BDB17" s="292"/>
      <c r="BDC17" s="292"/>
      <c r="BDD17" s="292"/>
      <c r="BDE17" s="292"/>
      <c r="BDF17" s="292"/>
      <c r="BDG17" s="292"/>
      <c r="BDH17" s="292"/>
      <c r="BDI17" s="292"/>
      <c r="BDJ17" s="292"/>
      <c r="BDK17" s="292"/>
      <c r="BDL17" s="292"/>
      <c r="BDM17" s="292"/>
      <c r="BDN17" s="292"/>
      <c r="BDO17" s="292"/>
      <c r="BDP17" s="292"/>
      <c r="BDQ17" s="292"/>
      <c r="BDR17" s="292"/>
      <c r="BDS17" s="292"/>
      <c r="BDT17" s="292"/>
      <c r="BDU17" s="292"/>
      <c r="BDV17" s="292"/>
      <c r="BDW17" s="292"/>
      <c r="BDX17" s="292"/>
      <c r="BDY17" s="292"/>
      <c r="BDZ17" s="292"/>
      <c r="BEA17" s="292"/>
      <c r="BEB17" s="292"/>
      <c r="BEC17" s="292"/>
      <c r="BED17" s="292"/>
      <c r="BEE17" s="292"/>
      <c r="BEF17" s="292"/>
      <c r="BEG17" s="292"/>
      <c r="BEH17" s="292"/>
      <c r="BEI17" s="292"/>
      <c r="BEJ17" s="292"/>
      <c r="BEK17" s="292"/>
      <c r="BEL17" s="292"/>
      <c r="BEM17" s="292"/>
      <c r="BEN17" s="292"/>
      <c r="BEO17" s="292"/>
      <c r="BEP17" s="292"/>
      <c r="BEQ17" s="292"/>
      <c r="BER17" s="292"/>
      <c r="BES17" s="292"/>
      <c r="BET17" s="292"/>
      <c r="BEU17" s="292"/>
      <c r="BEV17" s="292"/>
      <c r="BEW17" s="292"/>
      <c r="BEX17" s="292"/>
      <c r="BEY17" s="292"/>
      <c r="BEZ17" s="292"/>
      <c r="BFA17" s="292"/>
      <c r="BFB17" s="292"/>
      <c r="BFC17" s="292"/>
      <c r="BFD17" s="292"/>
      <c r="BFE17" s="292"/>
      <c r="BFF17" s="292"/>
      <c r="BFG17" s="292"/>
      <c r="BFH17" s="292"/>
      <c r="BFI17" s="292"/>
      <c r="BFJ17" s="292"/>
      <c r="BFK17" s="292"/>
      <c r="BFL17" s="292"/>
      <c r="BFM17" s="292"/>
      <c r="BFN17" s="292"/>
      <c r="BFO17" s="292"/>
      <c r="BFP17" s="292"/>
      <c r="BFQ17" s="292"/>
      <c r="BFR17" s="292"/>
      <c r="BFS17" s="292"/>
      <c r="BFT17" s="292"/>
      <c r="BFU17" s="292"/>
      <c r="BFV17" s="292"/>
      <c r="BFW17" s="292"/>
      <c r="BFX17" s="292"/>
      <c r="BFY17" s="292"/>
      <c r="BFZ17" s="292"/>
      <c r="BGA17" s="292"/>
      <c r="BGB17" s="292"/>
      <c r="BGC17" s="292"/>
      <c r="BGD17" s="292"/>
      <c r="BGE17" s="292"/>
      <c r="BGF17" s="292"/>
      <c r="BGG17" s="292"/>
      <c r="BGH17" s="292"/>
      <c r="BGI17" s="292"/>
      <c r="BGJ17" s="292"/>
      <c r="BGK17" s="292"/>
      <c r="BGL17" s="292"/>
      <c r="BGM17" s="292"/>
      <c r="BGN17" s="292"/>
      <c r="BGO17" s="292"/>
      <c r="BGP17" s="292"/>
      <c r="BGQ17" s="292"/>
      <c r="BGR17" s="292"/>
      <c r="BGS17" s="292"/>
      <c r="BGT17" s="292"/>
      <c r="BGU17" s="292"/>
      <c r="BGV17" s="292"/>
      <c r="BGW17" s="292"/>
      <c r="BGX17" s="292"/>
      <c r="BGY17" s="292"/>
      <c r="BGZ17" s="292"/>
      <c r="BHA17" s="292"/>
      <c r="BHB17" s="292"/>
      <c r="BHC17" s="292"/>
      <c r="BHD17" s="292"/>
      <c r="BHE17" s="292"/>
      <c r="BHF17" s="292"/>
      <c r="BHG17" s="292"/>
      <c r="BHH17" s="292"/>
      <c r="BHI17" s="292"/>
      <c r="BHJ17" s="292"/>
      <c r="BHK17" s="292"/>
      <c r="BHL17" s="292"/>
      <c r="BHM17" s="292"/>
      <c r="BHN17" s="292"/>
      <c r="BHO17" s="292"/>
      <c r="BHP17" s="292"/>
      <c r="BHQ17" s="292"/>
      <c r="BHR17" s="292"/>
      <c r="BHS17" s="292"/>
      <c r="BHT17" s="292"/>
      <c r="BHU17" s="292"/>
      <c r="BHV17" s="292"/>
      <c r="BHW17" s="292"/>
      <c r="BHX17" s="292"/>
      <c r="BHY17" s="292"/>
      <c r="BHZ17" s="292"/>
      <c r="BIA17" s="292"/>
      <c r="BIB17" s="292"/>
      <c r="BIC17" s="292"/>
      <c r="BID17" s="292"/>
      <c r="BIE17" s="292"/>
      <c r="BIF17" s="292"/>
      <c r="BIG17" s="292"/>
      <c r="BIH17" s="292"/>
      <c r="BII17" s="292"/>
      <c r="BIJ17" s="292"/>
      <c r="BIK17" s="292"/>
      <c r="BIL17" s="292"/>
      <c r="BIM17" s="292"/>
      <c r="BIN17" s="292"/>
      <c r="BIO17" s="292"/>
      <c r="BIP17" s="292"/>
      <c r="BIQ17" s="292"/>
      <c r="BIR17" s="292"/>
      <c r="BIS17" s="292"/>
      <c r="BIT17" s="292"/>
      <c r="BIU17" s="292"/>
      <c r="BIV17" s="292"/>
      <c r="BIW17" s="292"/>
      <c r="BIX17" s="292"/>
      <c r="BIY17" s="292"/>
      <c r="BIZ17" s="292"/>
      <c r="BJA17" s="292"/>
      <c r="BJB17" s="292"/>
      <c r="BJC17" s="292"/>
      <c r="BJD17" s="292"/>
      <c r="BJE17" s="292"/>
      <c r="BJF17" s="292"/>
      <c r="BJG17" s="292"/>
      <c r="BJH17" s="292"/>
      <c r="BJI17" s="292"/>
      <c r="BJJ17" s="292"/>
      <c r="BJK17" s="292"/>
      <c r="BJL17" s="292"/>
      <c r="BJM17" s="292"/>
      <c r="BJN17" s="292"/>
      <c r="BJO17" s="292"/>
      <c r="BJP17" s="292"/>
      <c r="BJQ17" s="292"/>
      <c r="BJR17" s="292"/>
      <c r="BJS17" s="292"/>
      <c r="BJT17" s="292"/>
      <c r="BJU17" s="292"/>
      <c r="BJV17" s="292"/>
      <c r="BJW17" s="292"/>
      <c r="BJX17" s="292"/>
      <c r="BJY17" s="292"/>
      <c r="BJZ17" s="292"/>
      <c r="BKA17" s="292"/>
      <c r="BKB17" s="292"/>
      <c r="BKC17" s="292"/>
      <c r="BKD17" s="292"/>
      <c r="BKE17" s="292"/>
      <c r="BKF17" s="292"/>
      <c r="BKG17" s="292"/>
      <c r="BKH17" s="292"/>
      <c r="BKI17" s="292"/>
      <c r="BKJ17" s="292"/>
      <c r="BKK17" s="292"/>
      <c r="BKL17" s="292"/>
      <c r="BKM17" s="292"/>
      <c r="BKN17" s="292"/>
      <c r="BKO17" s="292"/>
      <c r="BKP17" s="292"/>
      <c r="BKQ17" s="292"/>
      <c r="BKR17" s="292"/>
      <c r="BKS17" s="292"/>
      <c r="BKT17" s="292"/>
      <c r="BKU17" s="292"/>
      <c r="BKV17" s="292"/>
      <c r="BKW17" s="292"/>
      <c r="BKX17" s="292"/>
      <c r="BKY17" s="292"/>
      <c r="BKZ17" s="292"/>
      <c r="BLA17" s="292"/>
      <c r="BLB17" s="292"/>
      <c r="BLC17" s="292"/>
      <c r="BLD17" s="292"/>
      <c r="BLE17" s="292"/>
      <c r="BLF17" s="292"/>
      <c r="BLG17" s="292"/>
      <c r="BLH17" s="292"/>
      <c r="BLI17" s="292"/>
      <c r="BLJ17" s="292"/>
      <c r="BLK17" s="292"/>
      <c r="BLL17" s="292"/>
      <c r="BLM17" s="292"/>
      <c r="BLN17" s="292"/>
      <c r="BLO17" s="292"/>
      <c r="BLP17" s="292"/>
      <c r="BLQ17" s="292"/>
      <c r="BLR17" s="292"/>
      <c r="BLS17" s="292"/>
      <c r="BLT17" s="292"/>
      <c r="BLU17" s="292"/>
      <c r="BLV17" s="292"/>
      <c r="BLW17" s="292"/>
      <c r="BLX17" s="292"/>
      <c r="BLY17" s="292"/>
      <c r="BLZ17" s="292"/>
      <c r="BMA17" s="292"/>
      <c r="BMB17" s="292"/>
      <c r="BMC17" s="292"/>
      <c r="BMD17" s="292"/>
      <c r="BME17" s="292"/>
      <c r="BMF17" s="292"/>
      <c r="BMG17" s="292"/>
      <c r="BMH17" s="292"/>
      <c r="BMI17" s="292"/>
      <c r="BMJ17" s="292"/>
      <c r="BMK17" s="292"/>
      <c r="BML17" s="292"/>
      <c r="BMM17" s="292"/>
      <c r="BMN17" s="292"/>
      <c r="BMO17" s="292"/>
      <c r="BMP17" s="292"/>
      <c r="BMQ17" s="292"/>
      <c r="BMR17" s="292"/>
      <c r="BMS17" s="292"/>
      <c r="BMT17" s="292"/>
      <c r="BMU17" s="292"/>
      <c r="BMV17" s="292"/>
      <c r="BMW17" s="292"/>
      <c r="BMX17" s="292"/>
      <c r="BMY17" s="292"/>
      <c r="BMZ17" s="292"/>
      <c r="BNA17" s="292"/>
      <c r="BNB17" s="292"/>
      <c r="BNC17" s="292"/>
      <c r="BND17" s="292"/>
      <c r="BNE17" s="292"/>
      <c r="BNF17" s="292"/>
      <c r="BNG17" s="292"/>
      <c r="BNH17" s="292"/>
      <c r="BNI17" s="292"/>
      <c r="BNJ17" s="292"/>
      <c r="BNK17" s="292"/>
      <c r="BNL17" s="292"/>
      <c r="BNM17" s="292"/>
      <c r="BNN17" s="292"/>
      <c r="BNO17" s="292"/>
      <c r="BNP17" s="292"/>
      <c r="BNQ17" s="292"/>
      <c r="BNR17" s="292"/>
      <c r="BNS17" s="292"/>
      <c r="BNT17" s="292"/>
      <c r="BNU17" s="292"/>
      <c r="BNV17" s="292"/>
      <c r="BNW17" s="292"/>
      <c r="BNX17" s="292"/>
      <c r="BNY17" s="292"/>
      <c r="BNZ17" s="292"/>
      <c r="BOA17" s="292"/>
      <c r="BOB17" s="292"/>
      <c r="BOC17" s="292"/>
      <c r="BOD17" s="292"/>
      <c r="BOE17" s="292"/>
      <c r="BOF17" s="292"/>
      <c r="BOG17" s="292"/>
      <c r="BOH17" s="292"/>
      <c r="BOI17" s="292"/>
      <c r="BOJ17" s="292"/>
      <c r="BOK17" s="292"/>
      <c r="BOL17" s="292"/>
      <c r="BOM17" s="292"/>
      <c r="BON17" s="292"/>
      <c r="BOO17" s="292"/>
      <c r="BOP17" s="292"/>
      <c r="BOQ17" s="292"/>
      <c r="BOR17" s="292"/>
      <c r="BOS17" s="292"/>
      <c r="BOT17" s="292"/>
      <c r="BOU17" s="292"/>
      <c r="BOV17" s="292"/>
      <c r="BOW17" s="292"/>
      <c r="BOX17" s="292"/>
      <c r="BOY17" s="292"/>
      <c r="BOZ17" s="292"/>
      <c r="BPA17" s="292"/>
      <c r="BPB17" s="292"/>
      <c r="BPC17" s="292"/>
      <c r="BPD17" s="292"/>
      <c r="BPE17" s="292"/>
      <c r="BPF17" s="292"/>
      <c r="BPG17" s="292"/>
      <c r="BPH17" s="292"/>
      <c r="BPI17" s="292"/>
      <c r="BPJ17" s="292"/>
      <c r="BPK17" s="292"/>
      <c r="BPL17" s="292"/>
      <c r="BPM17" s="292"/>
      <c r="BPN17" s="292"/>
      <c r="BPO17" s="292"/>
      <c r="BPP17" s="292"/>
      <c r="BPQ17" s="292"/>
      <c r="BPR17" s="292"/>
      <c r="BPS17" s="292"/>
      <c r="BPT17" s="292"/>
      <c r="BPU17" s="292"/>
      <c r="BPV17" s="292"/>
      <c r="BPW17" s="292"/>
      <c r="BPX17" s="292"/>
      <c r="BPY17" s="292"/>
      <c r="BPZ17" s="292"/>
      <c r="BQA17" s="292"/>
      <c r="BQB17" s="292"/>
      <c r="BQC17" s="292"/>
      <c r="BQD17" s="292"/>
      <c r="BQE17" s="292"/>
      <c r="BQF17" s="292"/>
      <c r="BQG17" s="292"/>
      <c r="BQH17" s="292"/>
      <c r="BQI17" s="292"/>
      <c r="BQJ17" s="292"/>
      <c r="BQK17" s="292"/>
      <c r="BQL17" s="292"/>
      <c r="BQM17" s="292"/>
      <c r="BQN17" s="292"/>
      <c r="BQO17" s="292"/>
      <c r="BQP17" s="292"/>
      <c r="BQQ17" s="292"/>
      <c r="BQR17" s="292"/>
      <c r="BQS17" s="292"/>
      <c r="BQT17" s="292"/>
      <c r="BQU17" s="292"/>
      <c r="BQV17" s="292"/>
      <c r="BQW17" s="292"/>
      <c r="BQX17" s="292"/>
      <c r="BQY17" s="292"/>
      <c r="BQZ17" s="292"/>
      <c r="BRA17" s="292"/>
      <c r="BRB17" s="292"/>
      <c r="BRC17" s="292"/>
      <c r="BRD17" s="292"/>
      <c r="BRE17" s="292"/>
      <c r="BRF17" s="292"/>
      <c r="BRG17" s="292"/>
      <c r="BRH17" s="292"/>
      <c r="BRI17" s="292"/>
      <c r="BRJ17" s="292"/>
      <c r="BRK17" s="292"/>
      <c r="BRL17" s="292"/>
      <c r="BRM17" s="292"/>
      <c r="BRN17" s="292"/>
      <c r="BRO17" s="292"/>
      <c r="BRP17" s="292"/>
      <c r="BRQ17" s="292"/>
      <c r="BRR17" s="292"/>
      <c r="BRS17" s="292"/>
      <c r="BRT17" s="292"/>
      <c r="BRU17" s="292"/>
      <c r="BRV17" s="292"/>
      <c r="BRW17" s="292"/>
      <c r="BRX17" s="292"/>
      <c r="BRY17" s="292"/>
      <c r="BRZ17" s="292"/>
      <c r="BSA17" s="292"/>
      <c r="BSB17" s="292"/>
      <c r="BSC17" s="292"/>
      <c r="BSD17" s="292"/>
      <c r="BSE17" s="292"/>
      <c r="BSF17" s="292"/>
      <c r="BSG17" s="292"/>
      <c r="BSH17" s="292"/>
      <c r="BSI17" s="292"/>
      <c r="BSJ17" s="292"/>
      <c r="BSK17" s="292"/>
      <c r="BSL17" s="292"/>
      <c r="BSM17" s="292"/>
      <c r="BSN17" s="292"/>
      <c r="BSO17" s="292"/>
      <c r="BSP17" s="292"/>
      <c r="BSQ17" s="292"/>
      <c r="BSR17" s="292"/>
      <c r="BSS17" s="292"/>
      <c r="BST17" s="292"/>
      <c r="BSU17" s="292"/>
      <c r="BSV17" s="292"/>
      <c r="BSW17" s="292"/>
      <c r="BSX17" s="292"/>
      <c r="BSY17" s="292"/>
      <c r="BSZ17" s="292"/>
      <c r="BTA17" s="292"/>
      <c r="BTB17" s="292"/>
      <c r="BTC17" s="292"/>
      <c r="BTD17" s="292"/>
      <c r="BTE17" s="292"/>
      <c r="BTF17" s="292"/>
      <c r="BTG17" s="292"/>
      <c r="BTH17" s="292"/>
      <c r="BTI17" s="292"/>
      <c r="BTJ17" s="292"/>
      <c r="BTK17" s="292"/>
      <c r="BTL17" s="292"/>
      <c r="BTM17" s="292"/>
      <c r="BTN17" s="292"/>
      <c r="BTO17" s="292"/>
      <c r="BTP17" s="292"/>
      <c r="BTQ17" s="292"/>
      <c r="BTR17" s="292"/>
      <c r="BTS17" s="292"/>
      <c r="BTT17" s="292"/>
      <c r="BTU17" s="292"/>
      <c r="BTV17" s="292"/>
      <c r="BTW17" s="292"/>
      <c r="BTX17" s="292"/>
      <c r="BTY17" s="292"/>
      <c r="BTZ17" s="292"/>
      <c r="BUA17" s="292"/>
      <c r="BUB17" s="292"/>
      <c r="BUC17" s="292"/>
      <c r="BUD17" s="292"/>
      <c r="BUE17" s="292"/>
      <c r="BUF17" s="292"/>
      <c r="BUG17" s="292"/>
      <c r="BUH17" s="292"/>
      <c r="BUI17" s="292"/>
      <c r="BUJ17" s="292"/>
      <c r="BUK17" s="292"/>
      <c r="BUL17" s="292"/>
      <c r="BUM17" s="292"/>
      <c r="BUN17" s="292"/>
      <c r="BUO17" s="292"/>
      <c r="BUP17" s="292"/>
      <c r="BUQ17" s="292"/>
      <c r="BUR17" s="292"/>
      <c r="BUS17" s="292"/>
      <c r="BUT17" s="292"/>
      <c r="BUU17" s="292"/>
      <c r="BUV17" s="292"/>
      <c r="BUW17" s="292"/>
      <c r="BUX17" s="292"/>
      <c r="BUY17" s="292"/>
      <c r="BUZ17" s="292"/>
      <c r="BVA17" s="292"/>
      <c r="BVB17" s="292"/>
      <c r="BVC17" s="292"/>
      <c r="BVD17" s="292"/>
      <c r="BVE17" s="292"/>
      <c r="BVF17" s="292"/>
      <c r="BVG17" s="292"/>
      <c r="BVH17" s="292"/>
      <c r="BVI17" s="292"/>
      <c r="BVJ17" s="292"/>
      <c r="BVK17" s="292"/>
      <c r="BVL17" s="292"/>
      <c r="BVM17" s="292"/>
      <c r="BVN17" s="292"/>
      <c r="BVO17" s="292"/>
      <c r="BVP17" s="292"/>
      <c r="BVQ17" s="292"/>
      <c r="BVR17" s="292"/>
      <c r="BVS17" s="292"/>
      <c r="BVT17" s="292"/>
      <c r="BVU17" s="292"/>
      <c r="BVV17" s="292"/>
      <c r="BVW17" s="292"/>
      <c r="BVX17" s="292"/>
      <c r="BVY17" s="292"/>
      <c r="BVZ17" s="292"/>
      <c r="BWA17" s="292"/>
      <c r="BWB17" s="292"/>
      <c r="BWC17" s="292"/>
      <c r="BWD17" s="292"/>
      <c r="BWE17" s="292"/>
      <c r="BWF17" s="292"/>
      <c r="BWG17" s="292"/>
      <c r="BWH17" s="292"/>
      <c r="BWI17" s="292"/>
      <c r="BWJ17" s="292"/>
      <c r="BWK17" s="292"/>
      <c r="BWL17" s="292"/>
      <c r="BWM17" s="292"/>
      <c r="BWN17" s="292"/>
      <c r="BWO17" s="292"/>
      <c r="BWP17" s="292"/>
      <c r="BWQ17" s="292"/>
      <c r="BWR17" s="292"/>
      <c r="BWS17" s="292"/>
      <c r="BWT17" s="292"/>
      <c r="BWU17" s="292"/>
      <c r="BWV17" s="292"/>
      <c r="BWW17" s="292"/>
      <c r="BWX17" s="292"/>
      <c r="BWY17" s="292"/>
      <c r="BWZ17" s="292"/>
      <c r="BXA17" s="292"/>
      <c r="BXB17" s="292"/>
      <c r="BXC17" s="292"/>
      <c r="BXD17" s="292"/>
      <c r="BXE17" s="292"/>
      <c r="BXF17" s="292"/>
      <c r="BXG17" s="292"/>
      <c r="BXH17" s="292"/>
      <c r="BXI17" s="292"/>
      <c r="BXJ17" s="292"/>
      <c r="BXK17" s="292"/>
      <c r="BXL17" s="292"/>
      <c r="BXM17" s="292"/>
      <c r="BXN17" s="292"/>
      <c r="BXO17" s="292"/>
      <c r="BXP17" s="292"/>
      <c r="BXQ17" s="292"/>
      <c r="BXR17" s="292"/>
      <c r="BXS17" s="292"/>
      <c r="BXT17" s="292"/>
      <c r="BXU17" s="292"/>
      <c r="BXV17" s="292"/>
      <c r="BXW17" s="292"/>
      <c r="BXX17" s="292"/>
      <c r="BXY17" s="292"/>
      <c r="BXZ17" s="292"/>
      <c r="BYA17" s="292"/>
      <c r="BYB17" s="292"/>
      <c r="BYC17" s="292"/>
      <c r="BYD17" s="292"/>
      <c r="BYE17" s="292"/>
      <c r="BYF17" s="292"/>
      <c r="BYG17" s="292"/>
      <c r="BYH17" s="292"/>
      <c r="BYI17" s="292"/>
      <c r="BYJ17" s="292"/>
      <c r="BYK17" s="292"/>
      <c r="BYL17" s="292"/>
      <c r="BYM17" s="292"/>
      <c r="BYN17" s="292"/>
      <c r="BYO17" s="292"/>
      <c r="BYP17" s="292"/>
      <c r="BYQ17" s="292"/>
      <c r="BYR17" s="292"/>
      <c r="BYS17" s="292"/>
      <c r="BYT17" s="292"/>
      <c r="BYU17" s="292"/>
      <c r="BYV17" s="292"/>
      <c r="BYW17" s="292"/>
      <c r="BYX17" s="292"/>
      <c r="BYY17" s="292"/>
      <c r="BYZ17" s="292"/>
      <c r="BZA17" s="292"/>
      <c r="BZB17" s="292"/>
      <c r="BZC17" s="292"/>
      <c r="BZD17" s="292"/>
      <c r="BZE17" s="292"/>
      <c r="BZF17" s="292"/>
      <c r="BZG17" s="292"/>
      <c r="BZH17" s="292"/>
      <c r="BZI17" s="292"/>
      <c r="BZJ17" s="292"/>
      <c r="BZK17" s="292"/>
      <c r="BZL17" s="292"/>
      <c r="BZM17" s="292"/>
      <c r="BZN17" s="292"/>
      <c r="BZO17" s="292"/>
      <c r="BZP17" s="292"/>
      <c r="BZQ17" s="292"/>
      <c r="BZR17" s="292"/>
      <c r="BZS17" s="292"/>
      <c r="BZT17" s="292"/>
      <c r="BZU17" s="292"/>
      <c r="BZV17" s="292"/>
      <c r="BZW17" s="292"/>
      <c r="BZX17" s="292"/>
      <c r="BZY17" s="292"/>
      <c r="BZZ17" s="292"/>
      <c r="CAA17" s="292"/>
      <c r="CAB17" s="292"/>
      <c r="CAC17" s="292"/>
      <c r="CAD17" s="292"/>
      <c r="CAE17" s="292"/>
      <c r="CAF17" s="292"/>
      <c r="CAG17" s="292"/>
      <c r="CAH17" s="292"/>
      <c r="CAI17" s="292"/>
      <c r="CAJ17" s="292"/>
      <c r="CAK17" s="292"/>
      <c r="CAL17" s="292"/>
      <c r="CAM17" s="292"/>
      <c r="CAN17" s="292"/>
      <c r="CAO17" s="292"/>
      <c r="CAP17" s="292"/>
      <c r="CAQ17" s="292"/>
      <c r="CAR17" s="292"/>
      <c r="CAS17" s="292"/>
      <c r="CAT17" s="292"/>
      <c r="CAU17" s="292"/>
      <c r="CAV17" s="292"/>
      <c r="CAW17" s="292"/>
      <c r="CAX17" s="292"/>
      <c r="CAY17" s="292"/>
      <c r="CAZ17" s="292"/>
      <c r="CBA17" s="292"/>
      <c r="CBB17" s="292"/>
      <c r="CBC17" s="292"/>
      <c r="CBD17" s="292"/>
      <c r="CBE17" s="292"/>
      <c r="CBF17" s="292"/>
      <c r="CBG17" s="292"/>
      <c r="CBH17" s="292"/>
      <c r="CBI17" s="292"/>
      <c r="CBJ17" s="292"/>
      <c r="CBK17" s="292"/>
      <c r="CBL17" s="292"/>
      <c r="CBM17" s="292"/>
      <c r="CBN17" s="292"/>
      <c r="CBO17" s="292"/>
      <c r="CBP17" s="292"/>
      <c r="CBQ17" s="292"/>
      <c r="CBR17" s="292"/>
      <c r="CBS17" s="292"/>
      <c r="CBT17" s="292"/>
      <c r="CBU17" s="292"/>
      <c r="CBV17" s="292"/>
      <c r="CBW17" s="292"/>
      <c r="CBX17" s="292"/>
      <c r="CBY17" s="292"/>
      <c r="CBZ17" s="292"/>
      <c r="CCA17" s="292"/>
      <c r="CCB17" s="292"/>
      <c r="CCC17" s="292"/>
      <c r="CCD17" s="292"/>
      <c r="CCE17" s="292"/>
      <c r="CCF17" s="292"/>
      <c r="CCG17" s="292"/>
      <c r="CCH17" s="292"/>
      <c r="CCI17" s="292"/>
      <c r="CCJ17" s="292"/>
      <c r="CCK17" s="292"/>
      <c r="CCL17" s="292"/>
      <c r="CCM17" s="292"/>
      <c r="CCN17" s="292"/>
      <c r="CCO17" s="292"/>
      <c r="CCP17" s="292"/>
      <c r="CCQ17" s="292"/>
      <c r="CCR17" s="292"/>
      <c r="CCS17" s="292"/>
      <c r="CCT17" s="292"/>
      <c r="CCU17" s="292"/>
      <c r="CCV17" s="292"/>
      <c r="CCW17" s="292"/>
      <c r="CCX17" s="292"/>
      <c r="CCY17" s="292"/>
      <c r="CCZ17" s="292"/>
      <c r="CDA17" s="292"/>
      <c r="CDB17" s="292"/>
      <c r="CDC17" s="292"/>
      <c r="CDD17" s="292"/>
      <c r="CDE17" s="292"/>
      <c r="CDF17" s="292"/>
      <c r="CDG17" s="292"/>
      <c r="CDH17" s="292"/>
      <c r="CDI17" s="292"/>
      <c r="CDJ17" s="292"/>
      <c r="CDK17" s="292"/>
      <c r="CDL17" s="292"/>
      <c r="CDM17" s="292"/>
      <c r="CDN17" s="292"/>
      <c r="CDO17" s="292"/>
      <c r="CDP17" s="292"/>
      <c r="CDQ17" s="292"/>
      <c r="CDR17" s="292"/>
      <c r="CDS17" s="292"/>
      <c r="CDT17" s="292"/>
      <c r="CDU17" s="292"/>
      <c r="CDV17" s="292"/>
      <c r="CDW17" s="292"/>
      <c r="CDX17" s="292"/>
      <c r="CDY17" s="292"/>
      <c r="CDZ17" s="292"/>
      <c r="CEA17" s="292"/>
      <c r="CEB17" s="292"/>
      <c r="CEC17" s="292"/>
      <c r="CED17" s="292"/>
      <c r="CEE17" s="292"/>
      <c r="CEF17" s="292"/>
      <c r="CEG17" s="292"/>
      <c r="CEH17" s="292"/>
      <c r="CEI17" s="292"/>
      <c r="CEJ17" s="292"/>
      <c r="CEK17" s="292"/>
      <c r="CEL17" s="292"/>
      <c r="CEM17" s="292"/>
      <c r="CEN17" s="292"/>
      <c r="CEO17" s="292"/>
      <c r="CEP17" s="292"/>
      <c r="CEQ17" s="292"/>
      <c r="CER17" s="292"/>
      <c r="CES17" s="292"/>
      <c r="CET17" s="292"/>
      <c r="CEU17" s="292"/>
      <c r="CEV17" s="292"/>
      <c r="CEW17" s="292"/>
      <c r="CEX17" s="292"/>
      <c r="CEY17" s="292"/>
      <c r="CEZ17" s="292"/>
      <c r="CFA17" s="292"/>
      <c r="CFB17" s="292"/>
      <c r="CFC17" s="292"/>
      <c r="CFD17" s="292"/>
      <c r="CFE17" s="292"/>
      <c r="CFF17" s="292"/>
      <c r="CFG17" s="292"/>
      <c r="CFH17" s="292"/>
      <c r="CFI17" s="292"/>
      <c r="CFJ17" s="292"/>
      <c r="CFK17" s="292"/>
      <c r="CFL17" s="292"/>
      <c r="CFM17" s="292"/>
      <c r="CFN17" s="292"/>
      <c r="CFO17" s="292"/>
      <c r="CFP17" s="292"/>
      <c r="CFQ17" s="292"/>
      <c r="CFR17" s="292"/>
      <c r="CFS17" s="292"/>
      <c r="CFT17" s="292"/>
      <c r="CFU17" s="292"/>
      <c r="CFV17" s="292"/>
      <c r="CFW17" s="292"/>
      <c r="CFX17" s="292"/>
      <c r="CFY17" s="292"/>
      <c r="CFZ17" s="292"/>
      <c r="CGA17" s="292"/>
      <c r="CGB17" s="292"/>
      <c r="CGC17" s="292"/>
      <c r="CGD17" s="292"/>
      <c r="CGE17" s="292"/>
      <c r="CGF17" s="292"/>
      <c r="CGG17" s="292"/>
      <c r="CGH17" s="292"/>
      <c r="CGI17" s="292"/>
      <c r="CGJ17" s="292"/>
      <c r="CGK17" s="292"/>
      <c r="CGL17" s="292"/>
      <c r="CGM17" s="292"/>
      <c r="CGN17" s="292"/>
      <c r="CGO17" s="292"/>
      <c r="CGP17" s="292"/>
      <c r="CGQ17" s="292"/>
      <c r="CGR17" s="292"/>
      <c r="CGS17" s="292"/>
      <c r="CGT17" s="292"/>
      <c r="CGU17" s="292"/>
      <c r="CGV17" s="292"/>
      <c r="CGW17" s="292"/>
      <c r="CGX17" s="292"/>
      <c r="CGY17" s="292"/>
      <c r="CGZ17" s="292"/>
      <c r="CHA17" s="292"/>
      <c r="CHB17" s="292"/>
      <c r="CHC17" s="292"/>
      <c r="CHD17" s="292"/>
      <c r="CHE17" s="292"/>
      <c r="CHF17" s="292"/>
      <c r="CHG17" s="292"/>
      <c r="CHH17" s="292"/>
      <c r="CHI17" s="292"/>
      <c r="CHJ17" s="292"/>
      <c r="CHK17" s="292"/>
      <c r="CHL17" s="292"/>
      <c r="CHM17" s="292"/>
      <c r="CHN17" s="292"/>
      <c r="CHO17" s="292"/>
      <c r="CHP17" s="292"/>
      <c r="CHQ17" s="292"/>
      <c r="CHR17" s="292"/>
      <c r="CHS17" s="292"/>
      <c r="CHT17" s="292"/>
      <c r="CHU17" s="292"/>
      <c r="CHV17" s="292"/>
      <c r="CHW17" s="292"/>
      <c r="CHX17" s="292"/>
      <c r="CHY17" s="292"/>
      <c r="CHZ17" s="292"/>
      <c r="CIA17" s="292"/>
      <c r="CIB17" s="292"/>
      <c r="CIC17" s="292"/>
      <c r="CID17" s="292"/>
      <c r="CIE17" s="292"/>
      <c r="CIF17" s="292"/>
      <c r="CIG17" s="292"/>
      <c r="CIH17" s="292"/>
      <c r="CII17" s="292"/>
      <c r="CIJ17" s="292"/>
      <c r="CIK17" s="292"/>
      <c r="CIL17" s="292"/>
      <c r="CIM17" s="292"/>
      <c r="CIN17" s="292"/>
      <c r="CIO17" s="292"/>
      <c r="CIP17" s="292"/>
      <c r="CIQ17" s="292"/>
      <c r="CIR17" s="292"/>
      <c r="CIS17" s="292"/>
      <c r="CIT17" s="292"/>
      <c r="CIU17" s="292"/>
      <c r="CIV17" s="292"/>
      <c r="CIW17" s="292"/>
      <c r="CIX17" s="292"/>
      <c r="CIY17" s="292"/>
      <c r="CIZ17" s="292"/>
      <c r="CJA17" s="292"/>
      <c r="CJB17" s="292"/>
      <c r="CJC17" s="292"/>
      <c r="CJD17" s="292"/>
      <c r="CJE17" s="292"/>
      <c r="CJF17" s="292"/>
      <c r="CJG17" s="292"/>
      <c r="CJH17" s="292"/>
      <c r="CJI17" s="292"/>
      <c r="CJJ17" s="292"/>
      <c r="CJK17" s="292"/>
      <c r="CJL17" s="292"/>
      <c r="CJM17" s="292"/>
      <c r="CJN17" s="292"/>
      <c r="CJO17" s="292"/>
      <c r="CJP17" s="292"/>
      <c r="CJQ17" s="292"/>
      <c r="CJR17" s="292"/>
      <c r="CJS17" s="292"/>
      <c r="CJT17" s="292"/>
      <c r="CJU17" s="292"/>
      <c r="CJV17" s="292"/>
      <c r="CJW17" s="292"/>
      <c r="CJX17" s="292"/>
      <c r="CJY17" s="292"/>
      <c r="CJZ17" s="292"/>
      <c r="CKA17" s="292"/>
      <c r="CKB17" s="292"/>
      <c r="CKC17" s="292"/>
      <c r="CKD17" s="292"/>
      <c r="CKE17" s="292"/>
      <c r="CKF17" s="292"/>
      <c r="CKG17" s="292"/>
      <c r="CKH17" s="292"/>
      <c r="CKI17" s="292"/>
      <c r="CKJ17" s="292"/>
      <c r="CKK17" s="292"/>
      <c r="CKL17" s="292"/>
      <c r="CKM17" s="292"/>
      <c r="CKN17" s="292"/>
      <c r="CKO17" s="292"/>
      <c r="CKP17" s="292"/>
      <c r="CKQ17" s="292"/>
      <c r="CKR17" s="292"/>
      <c r="CKS17" s="292"/>
      <c r="CKT17" s="292"/>
      <c r="CKU17" s="292"/>
      <c r="CKV17" s="292"/>
      <c r="CKW17" s="292"/>
      <c r="CKX17" s="292"/>
      <c r="CKY17" s="292"/>
      <c r="CKZ17" s="292"/>
      <c r="CLA17" s="292"/>
      <c r="CLB17" s="292"/>
      <c r="CLC17" s="292"/>
      <c r="CLD17" s="292"/>
      <c r="CLE17" s="292"/>
      <c r="CLF17" s="292"/>
      <c r="CLG17" s="292"/>
      <c r="CLH17" s="292"/>
      <c r="CLI17" s="292"/>
      <c r="CLJ17" s="292"/>
      <c r="CLK17" s="292"/>
      <c r="CLL17" s="292"/>
      <c r="CLM17" s="292"/>
      <c r="CLN17" s="292"/>
      <c r="CLO17" s="292"/>
      <c r="CLP17" s="292"/>
      <c r="CLQ17" s="292"/>
      <c r="CLR17" s="292"/>
      <c r="CLS17" s="292"/>
      <c r="CLT17" s="292"/>
      <c r="CLU17" s="292"/>
      <c r="CLV17" s="292"/>
      <c r="CLW17" s="292"/>
      <c r="CLX17" s="292"/>
      <c r="CLY17" s="292"/>
      <c r="CLZ17" s="292"/>
      <c r="CMA17" s="292"/>
      <c r="CMB17" s="292"/>
      <c r="CMC17" s="292"/>
      <c r="CMD17" s="292"/>
      <c r="CME17" s="292"/>
      <c r="CMF17" s="292"/>
      <c r="CMG17" s="292"/>
      <c r="CMH17" s="292"/>
      <c r="CMI17" s="292"/>
      <c r="CMJ17" s="292"/>
      <c r="CMK17" s="292"/>
      <c r="CML17" s="292"/>
      <c r="CMM17" s="292"/>
      <c r="CMN17" s="292"/>
      <c r="CMO17" s="292"/>
      <c r="CMP17" s="292"/>
      <c r="CMQ17" s="292"/>
      <c r="CMR17" s="292"/>
      <c r="CMS17" s="292"/>
      <c r="CMT17" s="292"/>
      <c r="CMU17" s="292"/>
      <c r="CMV17" s="292"/>
      <c r="CMW17" s="292"/>
      <c r="CMX17" s="292"/>
      <c r="CMY17" s="292"/>
      <c r="CMZ17" s="292"/>
      <c r="CNA17" s="292"/>
      <c r="CNB17" s="292"/>
      <c r="CNC17" s="292"/>
      <c r="CND17" s="292"/>
      <c r="CNE17" s="292"/>
      <c r="CNF17" s="292"/>
      <c r="CNG17" s="292"/>
      <c r="CNH17" s="292"/>
      <c r="CNI17" s="292"/>
      <c r="CNJ17" s="292"/>
      <c r="CNK17" s="292"/>
      <c r="CNL17" s="292"/>
      <c r="CNM17" s="292"/>
      <c r="CNN17" s="292"/>
      <c r="CNO17" s="292"/>
      <c r="CNP17" s="292"/>
      <c r="CNQ17" s="292"/>
      <c r="CNR17" s="292"/>
      <c r="CNS17" s="292"/>
      <c r="CNT17" s="292"/>
      <c r="CNU17" s="292"/>
      <c r="CNV17" s="292"/>
      <c r="CNW17" s="292"/>
      <c r="CNX17" s="292"/>
      <c r="CNY17" s="292"/>
      <c r="CNZ17" s="292"/>
      <c r="COA17" s="292"/>
      <c r="COB17" s="292"/>
      <c r="COC17" s="292"/>
      <c r="COD17" s="292"/>
      <c r="COE17" s="292"/>
      <c r="COF17" s="292"/>
      <c r="COG17" s="292"/>
      <c r="COH17" s="292"/>
      <c r="COI17" s="292"/>
      <c r="COJ17" s="292"/>
      <c r="COK17" s="292"/>
      <c r="COL17" s="292"/>
      <c r="COM17" s="292"/>
      <c r="CON17" s="292"/>
      <c r="COO17" s="292"/>
      <c r="COP17" s="292"/>
      <c r="COQ17" s="292"/>
      <c r="COR17" s="292"/>
      <c r="COS17" s="292"/>
      <c r="COT17" s="292"/>
      <c r="COU17" s="292"/>
      <c r="COV17" s="292"/>
      <c r="COW17" s="292"/>
      <c r="COX17" s="292"/>
      <c r="COY17" s="292"/>
      <c r="COZ17" s="292"/>
      <c r="CPA17" s="292"/>
      <c r="CPB17" s="292"/>
      <c r="CPC17" s="292"/>
      <c r="CPD17" s="292"/>
      <c r="CPE17" s="292"/>
      <c r="CPF17" s="292"/>
      <c r="CPG17" s="292"/>
      <c r="CPH17" s="292"/>
      <c r="CPI17" s="292"/>
      <c r="CPJ17" s="292"/>
      <c r="CPK17" s="292"/>
      <c r="CPL17" s="292"/>
      <c r="CPM17" s="292"/>
      <c r="CPN17" s="292"/>
      <c r="CPO17" s="292"/>
      <c r="CPP17" s="292"/>
      <c r="CPQ17" s="292"/>
      <c r="CPR17" s="292"/>
      <c r="CPS17" s="292"/>
      <c r="CPT17" s="292"/>
      <c r="CPU17" s="292"/>
      <c r="CPV17" s="292"/>
      <c r="CPW17" s="292"/>
      <c r="CPX17" s="292"/>
      <c r="CPY17" s="292"/>
      <c r="CPZ17" s="292"/>
      <c r="CQA17" s="292"/>
      <c r="CQB17" s="292"/>
      <c r="CQC17" s="292"/>
      <c r="CQD17" s="292"/>
      <c r="CQE17" s="292"/>
      <c r="CQF17" s="292"/>
      <c r="CQG17" s="292"/>
      <c r="CQH17" s="292"/>
      <c r="CQI17" s="292"/>
      <c r="CQJ17" s="292"/>
      <c r="CQK17" s="292"/>
      <c r="CQL17" s="292"/>
      <c r="CQM17" s="292"/>
      <c r="CQN17" s="292"/>
      <c r="CQO17" s="292"/>
      <c r="CQP17" s="292"/>
      <c r="CQQ17" s="292"/>
      <c r="CQR17" s="292"/>
      <c r="CQS17" s="292"/>
      <c r="CQT17" s="292"/>
      <c r="CQU17" s="292"/>
      <c r="CQV17" s="292"/>
      <c r="CQW17" s="292"/>
      <c r="CQX17" s="292"/>
      <c r="CQY17" s="292"/>
      <c r="CQZ17" s="292"/>
      <c r="CRA17" s="292"/>
      <c r="CRB17" s="292"/>
      <c r="CRC17" s="292"/>
      <c r="CRD17" s="292"/>
      <c r="CRE17" s="292"/>
      <c r="CRF17" s="292"/>
      <c r="CRG17" s="292"/>
      <c r="CRH17" s="292"/>
      <c r="CRI17" s="292"/>
      <c r="CRJ17" s="292"/>
      <c r="CRK17" s="292"/>
      <c r="CRL17" s="292"/>
      <c r="CRM17" s="292"/>
      <c r="CRN17" s="292"/>
      <c r="CRO17" s="292"/>
      <c r="CRP17" s="292"/>
      <c r="CRQ17" s="292"/>
      <c r="CRR17" s="292"/>
      <c r="CRS17" s="292"/>
      <c r="CRT17" s="292"/>
      <c r="CRU17" s="292"/>
      <c r="CRV17" s="292"/>
      <c r="CRW17" s="292"/>
      <c r="CRX17" s="292"/>
      <c r="CRY17" s="292"/>
      <c r="CRZ17" s="292"/>
      <c r="CSA17" s="292"/>
      <c r="CSB17" s="292"/>
      <c r="CSC17" s="292"/>
      <c r="CSD17" s="292"/>
      <c r="CSE17" s="292"/>
      <c r="CSF17" s="292"/>
      <c r="CSG17" s="292"/>
      <c r="CSH17" s="292"/>
      <c r="CSI17" s="292"/>
      <c r="CSJ17" s="292"/>
      <c r="CSK17" s="292"/>
      <c r="CSL17" s="292"/>
      <c r="CSM17" s="292"/>
      <c r="CSN17" s="292"/>
      <c r="CSO17" s="292"/>
      <c r="CSP17" s="292"/>
      <c r="CSQ17" s="292"/>
      <c r="CSR17" s="292"/>
      <c r="CSS17" s="292"/>
      <c r="CST17" s="292"/>
      <c r="CSU17" s="292"/>
      <c r="CSV17" s="292"/>
      <c r="CSW17" s="292"/>
      <c r="CSX17" s="292"/>
      <c r="CSY17" s="292"/>
      <c r="CSZ17" s="292"/>
      <c r="CTA17" s="292"/>
      <c r="CTB17" s="292"/>
      <c r="CTC17" s="292"/>
      <c r="CTD17" s="292"/>
      <c r="CTE17" s="292"/>
      <c r="CTF17" s="292"/>
      <c r="CTG17" s="292"/>
      <c r="CTH17" s="292"/>
      <c r="CTI17" s="292"/>
      <c r="CTJ17" s="292"/>
      <c r="CTK17" s="292"/>
      <c r="CTL17" s="292"/>
      <c r="CTM17" s="292"/>
      <c r="CTN17" s="292"/>
      <c r="CTO17" s="292"/>
      <c r="CTP17" s="292"/>
      <c r="CTQ17" s="292"/>
      <c r="CTR17" s="292"/>
      <c r="CTS17" s="292"/>
      <c r="CTT17" s="292"/>
      <c r="CTU17" s="292"/>
      <c r="CTV17" s="292"/>
      <c r="CTW17" s="292"/>
      <c r="CTX17" s="292"/>
      <c r="CTY17" s="292"/>
      <c r="CTZ17" s="292"/>
      <c r="CUA17" s="292"/>
      <c r="CUB17" s="292"/>
      <c r="CUC17" s="292"/>
      <c r="CUD17" s="292"/>
      <c r="CUE17" s="292"/>
      <c r="CUF17" s="292"/>
      <c r="CUG17" s="292"/>
      <c r="CUH17" s="292"/>
      <c r="CUI17" s="292"/>
      <c r="CUJ17" s="292"/>
      <c r="CUK17" s="292"/>
      <c r="CUL17" s="292"/>
      <c r="CUM17" s="292"/>
      <c r="CUN17" s="292"/>
      <c r="CUO17" s="292"/>
      <c r="CUP17" s="292"/>
      <c r="CUQ17" s="292"/>
      <c r="CUR17" s="292"/>
      <c r="CUS17" s="292"/>
      <c r="CUT17" s="292"/>
      <c r="CUU17" s="292"/>
      <c r="CUV17" s="292"/>
      <c r="CUW17" s="292"/>
      <c r="CUX17" s="292"/>
      <c r="CUY17" s="292"/>
      <c r="CUZ17" s="292"/>
      <c r="CVA17" s="292"/>
      <c r="CVB17" s="292"/>
      <c r="CVC17" s="292"/>
      <c r="CVD17" s="292"/>
      <c r="CVE17" s="292"/>
      <c r="CVF17" s="292"/>
      <c r="CVG17" s="292"/>
      <c r="CVH17" s="292"/>
      <c r="CVI17" s="292"/>
      <c r="CVJ17" s="292"/>
      <c r="CVK17" s="292"/>
      <c r="CVL17" s="292"/>
      <c r="CVM17" s="292"/>
      <c r="CVN17" s="292"/>
      <c r="CVO17" s="292"/>
      <c r="CVP17" s="292"/>
      <c r="CVQ17" s="292"/>
      <c r="CVR17" s="292"/>
      <c r="CVS17" s="292"/>
      <c r="CVT17" s="292"/>
      <c r="CVU17" s="292"/>
      <c r="CVV17" s="292"/>
      <c r="CVW17" s="292"/>
      <c r="CVX17" s="292"/>
      <c r="CVY17" s="292"/>
      <c r="CVZ17" s="292"/>
      <c r="CWA17" s="292"/>
      <c r="CWB17" s="292"/>
      <c r="CWC17" s="292"/>
      <c r="CWD17" s="292"/>
      <c r="CWE17" s="292"/>
      <c r="CWF17" s="292"/>
      <c r="CWG17" s="292"/>
      <c r="CWH17" s="292"/>
      <c r="CWI17" s="292"/>
      <c r="CWJ17" s="292"/>
      <c r="CWK17" s="292"/>
      <c r="CWL17" s="292"/>
      <c r="CWM17" s="292"/>
      <c r="CWN17" s="292"/>
      <c r="CWO17" s="292"/>
      <c r="CWP17" s="292"/>
      <c r="CWQ17" s="292"/>
      <c r="CWR17" s="292"/>
      <c r="CWS17" s="292"/>
      <c r="CWT17" s="292"/>
      <c r="CWU17" s="292"/>
      <c r="CWV17" s="292"/>
      <c r="CWW17" s="292"/>
      <c r="CWX17" s="292"/>
      <c r="CWY17" s="292"/>
      <c r="CWZ17" s="292"/>
      <c r="CXA17" s="292"/>
      <c r="CXB17" s="292"/>
      <c r="CXC17" s="292"/>
      <c r="CXD17" s="292"/>
      <c r="CXE17" s="292"/>
      <c r="CXF17" s="292"/>
      <c r="CXG17" s="292"/>
      <c r="CXH17" s="292"/>
      <c r="CXI17" s="292"/>
      <c r="CXJ17" s="292"/>
      <c r="CXK17" s="292"/>
      <c r="CXL17" s="292"/>
      <c r="CXM17" s="292"/>
      <c r="CXN17" s="292"/>
      <c r="CXO17" s="292"/>
      <c r="CXP17" s="292"/>
      <c r="CXQ17" s="292"/>
      <c r="CXR17" s="292"/>
      <c r="CXS17" s="292"/>
      <c r="CXT17" s="292"/>
      <c r="CXU17" s="292"/>
      <c r="CXV17" s="292"/>
      <c r="CXW17" s="292"/>
      <c r="CXX17" s="292"/>
      <c r="CXY17" s="292"/>
      <c r="CXZ17" s="292"/>
      <c r="CYA17" s="292"/>
      <c r="CYB17" s="292"/>
      <c r="CYC17" s="292"/>
      <c r="CYD17" s="292"/>
      <c r="CYE17" s="292"/>
      <c r="CYF17" s="292"/>
      <c r="CYG17" s="292"/>
      <c r="CYH17" s="292"/>
      <c r="CYI17" s="292"/>
      <c r="CYJ17" s="292"/>
      <c r="CYK17" s="292"/>
      <c r="CYL17" s="292"/>
      <c r="CYM17" s="292"/>
      <c r="CYN17" s="292"/>
      <c r="CYO17" s="292"/>
      <c r="CYP17" s="292"/>
      <c r="CYQ17" s="292"/>
      <c r="CYR17" s="292"/>
      <c r="CYS17" s="292"/>
      <c r="CYT17" s="292"/>
      <c r="CYU17" s="292"/>
      <c r="CYV17" s="292"/>
      <c r="CYW17" s="292"/>
      <c r="CYX17" s="292"/>
      <c r="CYY17" s="292"/>
      <c r="CYZ17" s="292"/>
      <c r="CZA17" s="292"/>
      <c r="CZB17" s="292"/>
      <c r="CZC17" s="292"/>
      <c r="CZD17" s="292"/>
      <c r="CZE17" s="292"/>
      <c r="CZF17" s="292"/>
      <c r="CZG17" s="292"/>
      <c r="CZH17" s="292"/>
      <c r="CZI17" s="292"/>
      <c r="CZJ17" s="292"/>
      <c r="CZK17" s="292"/>
      <c r="CZL17" s="292"/>
      <c r="CZM17" s="292"/>
      <c r="CZN17" s="292"/>
      <c r="CZO17" s="292"/>
      <c r="CZP17" s="292"/>
      <c r="CZQ17" s="292"/>
      <c r="CZR17" s="292"/>
      <c r="CZS17" s="292"/>
      <c r="CZT17" s="292"/>
      <c r="CZU17" s="292"/>
      <c r="CZV17" s="292"/>
      <c r="CZW17" s="292"/>
      <c r="CZX17" s="292"/>
      <c r="CZY17" s="292"/>
      <c r="CZZ17" s="292"/>
      <c r="DAA17" s="292"/>
      <c r="DAB17" s="292"/>
      <c r="DAC17" s="292"/>
      <c r="DAD17" s="292"/>
      <c r="DAE17" s="292"/>
      <c r="DAF17" s="292"/>
      <c r="DAG17" s="292"/>
      <c r="DAH17" s="292"/>
      <c r="DAI17" s="292"/>
      <c r="DAJ17" s="292"/>
      <c r="DAK17" s="292"/>
      <c r="DAL17" s="292"/>
      <c r="DAM17" s="292"/>
      <c r="DAN17" s="292"/>
      <c r="DAO17" s="292"/>
      <c r="DAP17" s="292"/>
      <c r="DAQ17" s="292"/>
      <c r="DAR17" s="292"/>
      <c r="DAS17" s="292"/>
      <c r="DAT17" s="292"/>
      <c r="DAU17" s="292"/>
      <c r="DAV17" s="292"/>
      <c r="DAW17" s="292"/>
      <c r="DAX17" s="292"/>
      <c r="DAY17" s="292"/>
      <c r="DAZ17" s="292"/>
      <c r="DBA17" s="292"/>
      <c r="DBB17" s="292"/>
      <c r="DBC17" s="292"/>
      <c r="DBD17" s="292"/>
      <c r="DBE17" s="292"/>
      <c r="DBF17" s="292"/>
      <c r="DBG17" s="292"/>
      <c r="DBH17" s="292"/>
      <c r="DBI17" s="292"/>
      <c r="DBJ17" s="292"/>
      <c r="DBK17" s="292"/>
      <c r="DBL17" s="292"/>
      <c r="DBM17" s="292"/>
      <c r="DBN17" s="292"/>
      <c r="DBO17" s="292"/>
      <c r="DBP17" s="292"/>
      <c r="DBQ17" s="292"/>
      <c r="DBR17" s="292"/>
      <c r="DBS17" s="292"/>
      <c r="DBT17" s="292"/>
      <c r="DBU17" s="292"/>
      <c r="DBV17" s="292"/>
      <c r="DBW17" s="292"/>
      <c r="DBX17" s="292"/>
      <c r="DBY17" s="292"/>
      <c r="DBZ17" s="292"/>
      <c r="DCA17" s="292"/>
      <c r="DCB17" s="292"/>
      <c r="DCC17" s="292"/>
      <c r="DCD17" s="292"/>
      <c r="DCE17" s="292"/>
      <c r="DCF17" s="292"/>
      <c r="DCG17" s="292"/>
      <c r="DCH17" s="292"/>
      <c r="DCI17" s="292"/>
      <c r="DCJ17" s="292"/>
      <c r="DCK17" s="292"/>
      <c r="DCL17" s="292"/>
      <c r="DCM17" s="292"/>
      <c r="DCN17" s="292"/>
      <c r="DCO17" s="292"/>
      <c r="DCP17" s="292"/>
      <c r="DCQ17" s="292"/>
      <c r="DCR17" s="292"/>
      <c r="DCS17" s="292"/>
      <c r="DCT17" s="292"/>
      <c r="DCU17" s="292"/>
      <c r="DCV17" s="292"/>
      <c r="DCW17" s="292"/>
      <c r="DCX17" s="292"/>
      <c r="DCY17" s="292"/>
      <c r="DCZ17" s="292"/>
      <c r="DDA17" s="292"/>
      <c r="DDB17" s="292"/>
      <c r="DDC17" s="292"/>
      <c r="DDD17" s="292"/>
      <c r="DDE17" s="292"/>
      <c r="DDF17" s="292"/>
      <c r="DDG17" s="292"/>
      <c r="DDH17" s="292"/>
      <c r="DDI17" s="292"/>
      <c r="DDJ17" s="292"/>
      <c r="DDK17" s="292"/>
      <c r="DDL17" s="292"/>
      <c r="DDM17" s="292"/>
      <c r="DDN17" s="292"/>
      <c r="DDO17" s="292"/>
      <c r="DDP17" s="292"/>
      <c r="DDQ17" s="292"/>
      <c r="DDR17" s="292"/>
      <c r="DDS17" s="292"/>
      <c r="DDT17" s="292"/>
      <c r="DDU17" s="292"/>
      <c r="DDV17" s="292"/>
      <c r="DDW17" s="292"/>
      <c r="DDX17" s="292"/>
      <c r="DDY17" s="292"/>
      <c r="DDZ17" s="292"/>
      <c r="DEA17" s="292"/>
      <c r="DEB17" s="292"/>
      <c r="DEC17" s="292"/>
      <c r="DED17" s="292"/>
      <c r="DEE17" s="292"/>
      <c r="DEF17" s="292"/>
      <c r="DEG17" s="292"/>
      <c r="DEH17" s="292"/>
      <c r="DEI17" s="292"/>
      <c r="DEJ17" s="292"/>
      <c r="DEK17" s="292"/>
      <c r="DEL17" s="292"/>
      <c r="DEM17" s="292"/>
      <c r="DEN17" s="292"/>
      <c r="DEO17" s="292"/>
      <c r="DEP17" s="292"/>
      <c r="DEQ17" s="292"/>
      <c r="DER17" s="292"/>
      <c r="DES17" s="292"/>
      <c r="DET17" s="292"/>
      <c r="DEU17" s="292"/>
      <c r="DEV17" s="292"/>
      <c r="DEW17" s="292"/>
      <c r="DEX17" s="292"/>
      <c r="DEY17" s="292"/>
      <c r="DEZ17" s="292"/>
      <c r="DFA17" s="292"/>
      <c r="DFB17" s="292"/>
      <c r="DFC17" s="292"/>
      <c r="DFD17" s="292"/>
      <c r="DFE17" s="292"/>
      <c r="DFF17" s="292"/>
      <c r="DFG17" s="292"/>
      <c r="DFH17" s="292"/>
      <c r="DFI17" s="292"/>
      <c r="DFJ17" s="292"/>
      <c r="DFK17" s="292"/>
      <c r="DFL17" s="292"/>
      <c r="DFM17" s="292"/>
      <c r="DFN17" s="292"/>
      <c r="DFO17" s="292"/>
      <c r="DFP17" s="292"/>
      <c r="DFQ17" s="292"/>
      <c r="DFR17" s="292"/>
      <c r="DFS17" s="292"/>
      <c r="DFT17" s="292"/>
      <c r="DFU17" s="292"/>
      <c r="DFV17" s="292"/>
      <c r="DFW17" s="292"/>
      <c r="DFX17" s="292"/>
      <c r="DFY17" s="292"/>
      <c r="DFZ17" s="292"/>
      <c r="DGA17" s="292"/>
      <c r="DGB17" s="292"/>
      <c r="DGC17" s="292"/>
      <c r="DGD17" s="292"/>
      <c r="DGE17" s="292"/>
      <c r="DGF17" s="292"/>
      <c r="DGG17" s="292"/>
      <c r="DGH17" s="292"/>
      <c r="DGI17" s="292"/>
      <c r="DGJ17" s="292"/>
      <c r="DGK17" s="292"/>
      <c r="DGL17" s="292"/>
      <c r="DGM17" s="292"/>
      <c r="DGN17" s="292"/>
      <c r="DGO17" s="292"/>
      <c r="DGP17" s="292"/>
      <c r="DGQ17" s="292"/>
      <c r="DGR17" s="292"/>
      <c r="DGS17" s="292"/>
      <c r="DGT17" s="292"/>
      <c r="DGU17" s="292"/>
      <c r="DGV17" s="292"/>
      <c r="DGW17" s="292"/>
      <c r="DGX17" s="292"/>
      <c r="DGY17" s="292"/>
      <c r="DGZ17" s="292"/>
      <c r="DHA17" s="292"/>
      <c r="DHB17" s="292"/>
      <c r="DHC17" s="292"/>
      <c r="DHD17" s="292"/>
      <c r="DHE17" s="292"/>
      <c r="DHF17" s="292"/>
      <c r="DHG17" s="292"/>
      <c r="DHH17" s="292"/>
      <c r="DHI17" s="292"/>
      <c r="DHJ17" s="292"/>
      <c r="DHK17" s="292"/>
      <c r="DHL17" s="292"/>
      <c r="DHM17" s="292"/>
      <c r="DHN17" s="292"/>
      <c r="DHO17" s="292"/>
      <c r="DHP17" s="292"/>
      <c r="DHQ17" s="292"/>
      <c r="DHR17" s="292"/>
      <c r="DHS17" s="292"/>
      <c r="DHT17" s="292"/>
      <c r="DHU17" s="292"/>
      <c r="DHV17" s="292"/>
      <c r="DHW17" s="292"/>
      <c r="DHX17" s="292"/>
      <c r="DHY17" s="292"/>
      <c r="DHZ17" s="292"/>
      <c r="DIA17" s="292"/>
      <c r="DIB17" s="292"/>
      <c r="DIC17" s="292"/>
      <c r="DID17" s="292"/>
      <c r="DIE17" s="292"/>
      <c r="DIF17" s="292"/>
      <c r="DIG17" s="292"/>
      <c r="DIH17" s="292"/>
      <c r="DII17" s="292"/>
      <c r="DIJ17" s="292"/>
      <c r="DIK17" s="292"/>
      <c r="DIL17" s="292"/>
      <c r="DIM17" s="292"/>
      <c r="DIN17" s="292"/>
      <c r="DIO17" s="292"/>
      <c r="DIP17" s="292"/>
      <c r="DIQ17" s="292"/>
      <c r="DIR17" s="292"/>
      <c r="DIS17" s="292"/>
      <c r="DIT17" s="292"/>
      <c r="DIU17" s="292"/>
      <c r="DIV17" s="292"/>
      <c r="DIW17" s="292"/>
      <c r="DIX17" s="292"/>
      <c r="DIY17" s="292"/>
      <c r="DIZ17" s="292"/>
      <c r="DJA17" s="292"/>
      <c r="DJB17" s="292"/>
      <c r="DJC17" s="292"/>
      <c r="DJD17" s="292"/>
      <c r="DJE17" s="292"/>
      <c r="DJF17" s="292"/>
      <c r="DJG17" s="292"/>
      <c r="DJH17" s="292"/>
      <c r="DJI17" s="292"/>
      <c r="DJJ17" s="292"/>
      <c r="DJK17" s="292"/>
      <c r="DJL17" s="292"/>
      <c r="DJM17" s="292"/>
      <c r="DJN17" s="292"/>
      <c r="DJO17" s="292"/>
      <c r="DJP17" s="292"/>
      <c r="DJQ17" s="292"/>
      <c r="DJR17" s="292"/>
      <c r="DJS17" s="292"/>
      <c r="DJT17" s="292"/>
      <c r="DJU17" s="292"/>
      <c r="DJV17" s="292"/>
      <c r="DJW17" s="292"/>
      <c r="DJX17" s="292"/>
      <c r="DJY17" s="292"/>
      <c r="DJZ17" s="292"/>
      <c r="DKA17" s="292"/>
      <c r="DKB17" s="292"/>
      <c r="DKC17" s="292"/>
      <c r="DKD17" s="292"/>
      <c r="DKE17" s="292"/>
      <c r="DKF17" s="292"/>
      <c r="DKG17" s="292"/>
      <c r="DKH17" s="292"/>
      <c r="DKI17" s="292"/>
      <c r="DKJ17" s="292"/>
      <c r="DKK17" s="292"/>
      <c r="DKL17" s="292"/>
      <c r="DKM17" s="292"/>
      <c r="DKN17" s="292"/>
      <c r="DKO17" s="292"/>
      <c r="DKP17" s="292"/>
      <c r="DKQ17" s="292"/>
      <c r="DKR17" s="292"/>
      <c r="DKS17" s="292"/>
      <c r="DKT17" s="292"/>
      <c r="DKU17" s="292"/>
      <c r="DKV17" s="292"/>
      <c r="DKW17" s="292"/>
      <c r="DKX17" s="292"/>
      <c r="DKY17" s="292"/>
      <c r="DKZ17" s="292"/>
      <c r="DLA17" s="292"/>
      <c r="DLB17" s="292"/>
      <c r="DLC17" s="292"/>
      <c r="DLD17" s="292"/>
      <c r="DLE17" s="292"/>
      <c r="DLF17" s="292"/>
      <c r="DLG17" s="292"/>
      <c r="DLH17" s="292"/>
      <c r="DLI17" s="292"/>
      <c r="DLJ17" s="292"/>
      <c r="DLK17" s="292"/>
      <c r="DLL17" s="292"/>
      <c r="DLM17" s="292"/>
      <c r="DLN17" s="292"/>
      <c r="DLO17" s="292"/>
      <c r="DLP17" s="292"/>
      <c r="DLQ17" s="292"/>
      <c r="DLR17" s="292"/>
      <c r="DLS17" s="292"/>
      <c r="DLT17" s="292"/>
      <c r="DLU17" s="292"/>
      <c r="DLV17" s="292"/>
      <c r="DLW17" s="292"/>
      <c r="DLX17" s="292"/>
      <c r="DLY17" s="292"/>
      <c r="DLZ17" s="292"/>
      <c r="DMA17" s="292"/>
      <c r="DMB17" s="292"/>
      <c r="DMC17" s="292"/>
      <c r="DMD17" s="292"/>
      <c r="DME17" s="292"/>
      <c r="DMF17" s="292"/>
      <c r="DMG17" s="292"/>
      <c r="DMH17" s="292"/>
      <c r="DMI17" s="292"/>
      <c r="DMJ17" s="292"/>
      <c r="DMK17" s="292"/>
      <c r="DML17" s="292"/>
      <c r="DMM17" s="292"/>
      <c r="DMN17" s="292"/>
      <c r="DMO17" s="292"/>
      <c r="DMP17" s="292"/>
      <c r="DMQ17" s="292"/>
      <c r="DMR17" s="292"/>
      <c r="DMS17" s="292"/>
      <c r="DMT17" s="292"/>
      <c r="DMU17" s="292"/>
      <c r="DMV17" s="292"/>
      <c r="DMW17" s="292"/>
      <c r="DMX17" s="292"/>
      <c r="DMY17" s="292"/>
      <c r="DMZ17" s="292"/>
      <c r="DNA17" s="292"/>
      <c r="DNB17" s="292"/>
      <c r="DNC17" s="292"/>
      <c r="DND17" s="292"/>
      <c r="DNE17" s="292"/>
      <c r="DNF17" s="292"/>
      <c r="DNG17" s="292"/>
      <c r="DNH17" s="292"/>
      <c r="DNI17" s="292"/>
      <c r="DNJ17" s="292"/>
      <c r="DNK17" s="292"/>
      <c r="DNL17" s="292"/>
      <c r="DNM17" s="292"/>
      <c r="DNN17" s="292"/>
      <c r="DNO17" s="292"/>
      <c r="DNP17" s="292"/>
      <c r="DNQ17" s="292"/>
      <c r="DNR17" s="292"/>
      <c r="DNS17" s="292"/>
      <c r="DNT17" s="292"/>
      <c r="DNU17" s="292"/>
      <c r="DNV17" s="292"/>
      <c r="DNW17" s="292"/>
      <c r="DNX17" s="292"/>
      <c r="DNY17" s="292"/>
      <c r="DNZ17" s="292"/>
      <c r="DOA17" s="292"/>
      <c r="DOB17" s="292"/>
      <c r="DOC17" s="292"/>
      <c r="DOD17" s="292"/>
      <c r="DOE17" s="292"/>
      <c r="DOF17" s="292"/>
      <c r="DOG17" s="292"/>
      <c r="DOH17" s="292"/>
      <c r="DOI17" s="292"/>
      <c r="DOJ17" s="292"/>
      <c r="DOK17" s="292"/>
      <c r="DOL17" s="292"/>
      <c r="DOM17" s="292"/>
      <c r="DON17" s="292"/>
      <c r="DOO17" s="292"/>
      <c r="DOP17" s="292"/>
      <c r="DOQ17" s="292"/>
      <c r="DOR17" s="292"/>
      <c r="DOS17" s="292"/>
      <c r="DOT17" s="292"/>
      <c r="DOU17" s="292"/>
      <c r="DOV17" s="292"/>
      <c r="DOW17" s="292"/>
      <c r="DOX17" s="292"/>
      <c r="DOY17" s="292"/>
      <c r="DOZ17" s="292"/>
      <c r="DPA17" s="292"/>
      <c r="DPB17" s="292"/>
      <c r="DPC17" s="292"/>
      <c r="DPD17" s="292"/>
      <c r="DPE17" s="292"/>
      <c r="DPF17" s="292"/>
      <c r="DPG17" s="292"/>
      <c r="DPH17" s="292"/>
      <c r="DPI17" s="292"/>
      <c r="DPJ17" s="292"/>
      <c r="DPK17" s="292"/>
      <c r="DPL17" s="292"/>
      <c r="DPM17" s="292"/>
      <c r="DPN17" s="292"/>
      <c r="DPO17" s="292"/>
      <c r="DPP17" s="292"/>
      <c r="DPQ17" s="292"/>
      <c r="DPR17" s="292"/>
      <c r="DPS17" s="292"/>
      <c r="DPT17" s="292"/>
      <c r="DPU17" s="292"/>
      <c r="DPV17" s="292"/>
      <c r="DPW17" s="292"/>
      <c r="DPX17" s="292"/>
      <c r="DPY17" s="292"/>
      <c r="DPZ17" s="292"/>
      <c r="DQA17" s="292"/>
      <c r="DQB17" s="292"/>
      <c r="DQC17" s="292"/>
      <c r="DQD17" s="292"/>
      <c r="DQE17" s="292"/>
      <c r="DQF17" s="292"/>
      <c r="DQG17" s="292"/>
      <c r="DQH17" s="292"/>
      <c r="DQI17" s="292"/>
      <c r="DQJ17" s="292"/>
      <c r="DQK17" s="292"/>
      <c r="DQL17" s="292"/>
      <c r="DQM17" s="292"/>
      <c r="DQN17" s="292"/>
      <c r="DQO17" s="292"/>
      <c r="DQP17" s="292"/>
      <c r="DQQ17" s="292"/>
      <c r="DQR17" s="292"/>
      <c r="DQS17" s="292"/>
      <c r="DQT17" s="292"/>
      <c r="DQU17" s="292"/>
      <c r="DQV17" s="292"/>
      <c r="DQW17" s="292"/>
      <c r="DQX17" s="292"/>
      <c r="DQY17" s="292"/>
      <c r="DQZ17" s="292"/>
      <c r="DRA17" s="292"/>
      <c r="DRB17" s="292"/>
      <c r="DRC17" s="292"/>
      <c r="DRD17" s="292"/>
      <c r="DRE17" s="292"/>
      <c r="DRF17" s="292"/>
      <c r="DRG17" s="292"/>
      <c r="DRH17" s="292"/>
      <c r="DRI17" s="292"/>
      <c r="DRJ17" s="292"/>
      <c r="DRK17" s="292"/>
      <c r="DRL17" s="292"/>
      <c r="DRM17" s="292"/>
      <c r="DRN17" s="292"/>
      <c r="DRO17" s="292"/>
      <c r="DRP17" s="292"/>
      <c r="DRQ17" s="292"/>
      <c r="DRR17" s="292"/>
      <c r="DRS17" s="292"/>
      <c r="DRT17" s="292"/>
      <c r="DRU17" s="292"/>
      <c r="DRV17" s="292"/>
      <c r="DRW17" s="292"/>
      <c r="DRX17" s="292"/>
      <c r="DRY17" s="292"/>
      <c r="DRZ17" s="292"/>
      <c r="DSA17" s="292"/>
      <c r="DSB17" s="292"/>
      <c r="DSC17" s="292"/>
      <c r="DSD17" s="292"/>
      <c r="DSE17" s="292"/>
      <c r="DSF17" s="292"/>
      <c r="DSG17" s="292"/>
      <c r="DSH17" s="292"/>
      <c r="DSI17" s="292"/>
      <c r="DSJ17" s="292"/>
      <c r="DSK17" s="292"/>
      <c r="DSL17" s="292"/>
      <c r="DSM17" s="292"/>
      <c r="DSN17" s="292"/>
      <c r="DSO17" s="292"/>
      <c r="DSP17" s="292"/>
      <c r="DSQ17" s="292"/>
      <c r="DSR17" s="292"/>
      <c r="DSS17" s="292"/>
      <c r="DST17" s="292"/>
      <c r="DSU17" s="292"/>
      <c r="DSV17" s="292"/>
      <c r="DSW17" s="292"/>
      <c r="DSX17" s="292"/>
      <c r="DSY17" s="292"/>
      <c r="DSZ17" s="292"/>
      <c r="DTA17" s="292"/>
      <c r="DTB17" s="292"/>
      <c r="DTC17" s="292"/>
      <c r="DTD17" s="292"/>
      <c r="DTE17" s="292"/>
      <c r="DTF17" s="292"/>
      <c r="DTG17" s="292"/>
      <c r="DTH17" s="292"/>
      <c r="DTI17" s="292"/>
      <c r="DTJ17" s="292"/>
      <c r="DTK17" s="292"/>
      <c r="DTL17" s="292"/>
      <c r="DTM17" s="292"/>
      <c r="DTN17" s="292"/>
      <c r="DTO17" s="292"/>
      <c r="DTP17" s="292"/>
      <c r="DTQ17" s="292"/>
      <c r="DTR17" s="292"/>
      <c r="DTS17" s="292"/>
      <c r="DTT17" s="292"/>
      <c r="DTU17" s="292"/>
      <c r="DTV17" s="292"/>
      <c r="DTW17" s="292"/>
      <c r="DTX17" s="292"/>
      <c r="DTY17" s="292"/>
      <c r="DTZ17" s="292"/>
      <c r="DUA17" s="292"/>
      <c r="DUB17" s="292"/>
      <c r="DUC17" s="292"/>
      <c r="DUD17" s="292"/>
      <c r="DUE17" s="292"/>
      <c r="DUF17" s="292"/>
      <c r="DUG17" s="292"/>
      <c r="DUH17" s="292"/>
      <c r="DUI17" s="292"/>
      <c r="DUJ17" s="292"/>
      <c r="DUK17" s="292"/>
      <c r="DUL17" s="292"/>
      <c r="DUM17" s="292"/>
      <c r="DUN17" s="292"/>
      <c r="DUO17" s="292"/>
      <c r="DUP17" s="292"/>
      <c r="DUQ17" s="292"/>
      <c r="DUR17" s="292"/>
      <c r="DUS17" s="292"/>
      <c r="DUT17" s="292"/>
      <c r="DUU17" s="292"/>
      <c r="DUV17" s="292"/>
      <c r="DUW17" s="292"/>
      <c r="DUX17" s="292"/>
      <c r="DUY17" s="292"/>
      <c r="DUZ17" s="292"/>
      <c r="DVA17" s="292"/>
      <c r="DVB17" s="292"/>
      <c r="DVC17" s="292"/>
      <c r="DVD17" s="292"/>
      <c r="DVE17" s="292"/>
      <c r="DVF17" s="292"/>
      <c r="DVG17" s="292"/>
      <c r="DVH17" s="292"/>
      <c r="DVI17" s="292"/>
      <c r="DVJ17" s="292"/>
      <c r="DVK17" s="292"/>
      <c r="DVL17" s="292"/>
      <c r="DVM17" s="292"/>
      <c r="DVN17" s="292"/>
      <c r="DVO17" s="292"/>
      <c r="DVP17" s="292"/>
      <c r="DVQ17" s="292"/>
      <c r="DVR17" s="292"/>
      <c r="DVS17" s="292"/>
      <c r="DVT17" s="292"/>
      <c r="DVU17" s="292"/>
      <c r="DVV17" s="292"/>
      <c r="DVW17" s="292"/>
      <c r="DVX17" s="292"/>
      <c r="DVY17" s="292"/>
      <c r="DVZ17" s="292"/>
      <c r="DWA17" s="292"/>
      <c r="DWB17" s="292"/>
      <c r="DWC17" s="292"/>
      <c r="DWD17" s="292"/>
      <c r="DWE17" s="292"/>
      <c r="DWF17" s="292"/>
      <c r="DWG17" s="292"/>
      <c r="DWH17" s="292"/>
      <c r="DWI17" s="292"/>
      <c r="DWJ17" s="292"/>
      <c r="DWK17" s="292"/>
      <c r="DWL17" s="292"/>
      <c r="DWM17" s="292"/>
      <c r="DWN17" s="292"/>
      <c r="DWO17" s="292"/>
      <c r="DWP17" s="292"/>
      <c r="DWQ17" s="292"/>
      <c r="DWR17" s="292"/>
      <c r="DWS17" s="292"/>
      <c r="DWT17" s="292"/>
      <c r="DWU17" s="292"/>
      <c r="DWV17" s="292"/>
      <c r="DWW17" s="292"/>
      <c r="DWX17" s="292"/>
      <c r="DWY17" s="292"/>
      <c r="DWZ17" s="292"/>
      <c r="DXA17" s="292"/>
      <c r="DXB17" s="292"/>
      <c r="DXC17" s="292"/>
      <c r="DXD17" s="292"/>
      <c r="DXE17" s="292"/>
      <c r="DXF17" s="292"/>
      <c r="DXG17" s="292"/>
      <c r="DXH17" s="292"/>
      <c r="DXI17" s="292"/>
      <c r="DXJ17" s="292"/>
      <c r="DXK17" s="292"/>
      <c r="DXL17" s="292"/>
      <c r="DXM17" s="292"/>
      <c r="DXN17" s="292"/>
      <c r="DXO17" s="292"/>
      <c r="DXP17" s="292"/>
      <c r="DXQ17" s="292"/>
      <c r="DXR17" s="292"/>
      <c r="DXS17" s="292"/>
      <c r="DXT17" s="292"/>
      <c r="DXU17" s="292"/>
      <c r="DXV17" s="292"/>
      <c r="DXW17" s="292"/>
      <c r="DXX17" s="292"/>
      <c r="DXY17" s="292"/>
      <c r="DXZ17" s="292"/>
      <c r="DYA17" s="292"/>
      <c r="DYB17" s="292"/>
      <c r="DYC17" s="292"/>
      <c r="DYD17" s="292"/>
      <c r="DYE17" s="292"/>
      <c r="DYF17" s="292"/>
      <c r="DYG17" s="292"/>
      <c r="DYH17" s="292"/>
      <c r="DYI17" s="292"/>
      <c r="DYJ17" s="292"/>
      <c r="DYK17" s="292"/>
      <c r="DYL17" s="292"/>
      <c r="DYM17" s="292"/>
      <c r="DYN17" s="292"/>
      <c r="DYO17" s="292"/>
      <c r="DYP17" s="292"/>
      <c r="DYQ17" s="292"/>
      <c r="DYR17" s="292"/>
      <c r="DYS17" s="292"/>
      <c r="DYT17" s="292"/>
      <c r="DYU17" s="292"/>
      <c r="DYV17" s="292"/>
      <c r="DYW17" s="292"/>
      <c r="DYX17" s="292"/>
      <c r="DYY17" s="292"/>
      <c r="DYZ17" s="292"/>
      <c r="DZA17" s="292"/>
      <c r="DZB17" s="292"/>
      <c r="DZC17" s="292"/>
      <c r="DZD17" s="292"/>
      <c r="DZE17" s="292"/>
      <c r="DZF17" s="292"/>
      <c r="DZG17" s="292"/>
      <c r="DZH17" s="292"/>
      <c r="DZI17" s="292"/>
      <c r="DZJ17" s="292"/>
      <c r="DZK17" s="292"/>
      <c r="DZL17" s="292"/>
      <c r="DZM17" s="292"/>
      <c r="DZN17" s="292"/>
      <c r="DZO17" s="292"/>
      <c r="DZP17" s="292"/>
      <c r="DZQ17" s="292"/>
      <c r="DZR17" s="292"/>
      <c r="DZS17" s="292"/>
      <c r="DZT17" s="292"/>
      <c r="DZU17" s="292"/>
      <c r="DZV17" s="292"/>
      <c r="DZW17" s="292"/>
      <c r="DZX17" s="292"/>
      <c r="DZY17" s="292"/>
      <c r="DZZ17" s="292"/>
      <c r="EAA17" s="292"/>
      <c r="EAB17" s="292"/>
      <c r="EAC17" s="292"/>
      <c r="EAD17" s="292"/>
      <c r="EAE17" s="292"/>
      <c r="EAF17" s="292"/>
      <c r="EAG17" s="292"/>
      <c r="EAH17" s="292"/>
      <c r="EAI17" s="292"/>
      <c r="EAJ17" s="292"/>
      <c r="EAK17" s="292"/>
      <c r="EAL17" s="292"/>
      <c r="EAM17" s="292"/>
      <c r="EAN17" s="292"/>
      <c r="EAO17" s="292"/>
      <c r="EAP17" s="292"/>
      <c r="EAQ17" s="292"/>
      <c r="EAR17" s="292"/>
      <c r="EAS17" s="292"/>
      <c r="EAT17" s="292"/>
      <c r="EAU17" s="292"/>
      <c r="EAV17" s="292"/>
      <c r="EAW17" s="292"/>
      <c r="EAX17" s="292"/>
      <c r="EAY17" s="292"/>
      <c r="EAZ17" s="292"/>
      <c r="EBA17" s="292"/>
      <c r="EBB17" s="292"/>
      <c r="EBC17" s="292"/>
      <c r="EBD17" s="292"/>
      <c r="EBE17" s="292"/>
      <c r="EBF17" s="292"/>
      <c r="EBG17" s="292"/>
      <c r="EBH17" s="292"/>
      <c r="EBI17" s="292"/>
      <c r="EBJ17" s="292"/>
      <c r="EBK17" s="292"/>
      <c r="EBL17" s="292"/>
      <c r="EBM17" s="292"/>
      <c r="EBN17" s="292"/>
      <c r="EBO17" s="292"/>
      <c r="EBP17" s="292"/>
      <c r="EBQ17" s="292"/>
      <c r="EBR17" s="292"/>
      <c r="EBS17" s="292"/>
      <c r="EBT17" s="292"/>
      <c r="EBU17" s="292"/>
      <c r="EBV17" s="292"/>
      <c r="EBW17" s="292"/>
      <c r="EBX17" s="292"/>
      <c r="EBY17" s="292"/>
      <c r="EBZ17" s="292"/>
      <c r="ECA17" s="292"/>
      <c r="ECB17" s="292"/>
      <c r="ECC17" s="292"/>
      <c r="ECD17" s="292"/>
      <c r="ECE17" s="292"/>
      <c r="ECF17" s="292"/>
      <c r="ECG17" s="292"/>
      <c r="ECH17" s="292"/>
      <c r="ECI17" s="292"/>
      <c r="ECJ17" s="292"/>
      <c r="ECK17" s="292"/>
      <c r="ECL17" s="292"/>
      <c r="ECM17" s="292"/>
      <c r="ECN17" s="292"/>
      <c r="ECO17" s="292"/>
      <c r="ECP17" s="292"/>
      <c r="ECQ17" s="292"/>
      <c r="ECR17" s="292"/>
      <c r="ECS17" s="292"/>
      <c r="ECT17" s="292"/>
      <c r="ECU17" s="292"/>
      <c r="ECV17" s="292"/>
      <c r="ECW17" s="292"/>
      <c r="ECX17" s="292"/>
      <c r="ECY17" s="292"/>
      <c r="ECZ17" s="292"/>
      <c r="EDA17" s="292"/>
      <c r="EDB17" s="292"/>
      <c r="EDC17" s="292"/>
      <c r="EDD17" s="292"/>
      <c r="EDE17" s="292"/>
      <c r="EDF17" s="292"/>
      <c r="EDG17" s="292"/>
      <c r="EDH17" s="292"/>
      <c r="EDI17" s="292"/>
      <c r="EDJ17" s="292"/>
      <c r="EDK17" s="292"/>
      <c r="EDL17" s="292"/>
      <c r="EDM17" s="292"/>
      <c r="EDN17" s="292"/>
      <c r="EDO17" s="292"/>
      <c r="EDP17" s="292"/>
      <c r="EDQ17" s="292"/>
      <c r="EDR17" s="292"/>
      <c r="EDS17" s="292"/>
      <c r="EDT17" s="292"/>
      <c r="EDU17" s="292"/>
      <c r="EDV17" s="292"/>
      <c r="EDW17" s="292"/>
      <c r="EDX17" s="292"/>
      <c r="EDY17" s="292"/>
      <c r="EDZ17" s="292"/>
      <c r="EEA17" s="292"/>
      <c r="EEB17" s="292"/>
      <c r="EEC17" s="292"/>
      <c r="EED17" s="292"/>
      <c r="EEE17" s="292"/>
      <c r="EEF17" s="292"/>
      <c r="EEG17" s="292"/>
      <c r="EEH17" s="292"/>
      <c r="EEI17" s="292"/>
      <c r="EEJ17" s="292"/>
      <c r="EEK17" s="292"/>
      <c r="EEL17" s="292"/>
      <c r="EEM17" s="292"/>
      <c r="EEN17" s="292"/>
      <c r="EEO17" s="292"/>
      <c r="EEP17" s="292"/>
      <c r="EEQ17" s="292"/>
      <c r="EER17" s="292"/>
      <c r="EES17" s="292"/>
      <c r="EET17" s="292"/>
      <c r="EEU17" s="292"/>
      <c r="EEV17" s="292"/>
      <c r="EEW17" s="292"/>
      <c r="EEX17" s="292"/>
      <c r="EEY17" s="292"/>
      <c r="EEZ17" s="292"/>
      <c r="EFA17" s="292"/>
      <c r="EFB17" s="292"/>
      <c r="EFC17" s="292"/>
      <c r="EFD17" s="292"/>
      <c r="EFE17" s="292"/>
      <c r="EFF17" s="292"/>
      <c r="EFG17" s="292"/>
      <c r="EFH17" s="292"/>
      <c r="EFI17" s="292"/>
      <c r="EFJ17" s="292"/>
      <c r="EFK17" s="292"/>
      <c r="EFL17" s="292"/>
      <c r="EFM17" s="292"/>
      <c r="EFN17" s="292"/>
      <c r="EFO17" s="292"/>
      <c r="EFP17" s="292"/>
      <c r="EFQ17" s="292"/>
      <c r="EFR17" s="292"/>
      <c r="EFS17" s="292"/>
      <c r="EFT17" s="292"/>
      <c r="EFU17" s="292"/>
      <c r="EFV17" s="292"/>
      <c r="EFW17" s="292"/>
      <c r="EFX17" s="292"/>
      <c r="EFY17" s="292"/>
      <c r="EFZ17" s="292"/>
      <c r="EGA17" s="292"/>
      <c r="EGB17" s="292"/>
      <c r="EGC17" s="292"/>
      <c r="EGD17" s="292"/>
      <c r="EGE17" s="292"/>
      <c r="EGF17" s="292"/>
      <c r="EGG17" s="292"/>
      <c r="EGH17" s="292"/>
      <c r="EGI17" s="292"/>
      <c r="EGJ17" s="292"/>
      <c r="EGK17" s="292"/>
      <c r="EGL17" s="292"/>
      <c r="EGM17" s="292"/>
      <c r="EGN17" s="292"/>
      <c r="EGO17" s="292"/>
      <c r="EGP17" s="292"/>
      <c r="EGQ17" s="292"/>
      <c r="EGR17" s="292"/>
      <c r="EGS17" s="292"/>
      <c r="EGT17" s="292"/>
      <c r="EGU17" s="292"/>
      <c r="EGV17" s="292"/>
      <c r="EGW17" s="292"/>
      <c r="EGX17" s="292"/>
      <c r="EGY17" s="292"/>
      <c r="EGZ17" s="292"/>
      <c r="EHA17" s="292"/>
      <c r="EHB17" s="292"/>
      <c r="EHC17" s="292"/>
      <c r="EHD17" s="292"/>
      <c r="EHE17" s="292"/>
      <c r="EHF17" s="292"/>
      <c r="EHG17" s="292"/>
      <c r="EHH17" s="292"/>
      <c r="EHI17" s="292"/>
      <c r="EHJ17" s="292"/>
      <c r="EHK17" s="292"/>
      <c r="EHL17" s="292"/>
      <c r="EHM17" s="292"/>
      <c r="EHN17" s="292"/>
      <c r="EHO17" s="292"/>
      <c r="EHP17" s="292"/>
      <c r="EHQ17" s="292"/>
      <c r="EHR17" s="292"/>
      <c r="EHS17" s="292"/>
      <c r="EHT17" s="292"/>
      <c r="EHU17" s="292"/>
      <c r="EHV17" s="292"/>
      <c r="EHW17" s="292"/>
      <c r="EHX17" s="292"/>
      <c r="EHY17" s="292"/>
      <c r="EHZ17" s="292"/>
      <c r="EIA17" s="292"/>
      <c r="EIB17" s="292"/>
      <c r="EIC17" s="292"/>
      <c r="EID17" s="292"/>
      <c r="EIE17" s="292"/>
      <c r="EIF17" s="292"/>
      <c r="EIG17" s="292"/>
      <c r="EIH17" s="292"/>
      <c r="EII17" s="292"/>
      <c r="EIJ17" s="292"/>
      <c r="EIK17" s="292"/>
      <c r="EIL17" s="292"/>
      <c r="EIM17" s="292"/>
      <c r="EIN17" s="292"/>
      <c r="EIO17" s="292"/>
      <c r="EIP17" s="292"/>
      <c r="EIQ17" s="292"/>
      <c r="EIR17" s="292"/>
      <c r="EIS17" s="292"/>
      <c r="EIT17" s="292"/>
      <c r="EIU17" s="292"/>
      <c r="EIV17" s="292"/>
      <c r="EIW17" s="292"/>
      <c r="EIX17" s="292"/>
      <c r="EIY17" s="292"/>
      <c r="EIZ17" s="292"/>
      <c r="EJA17" s="292"/>
      <c r="EJB17" s="292"/>
      <c r="EJC17" s="292"/>
      <c r="EJD17" s="292"/>
      <c r="EJE17" s="292"/>
      <c r="EJF17" s="292"/>
      <c r="EJG17" s="292"/>
      <c r="EJH17" s="292"/>
      <c r="EJI17" s="292"/>
      <c r="EJJ17" s="292"/>
      <c r="EJK17" s="292"/>
      <c r="EJL17" s="292"/>
      <c r="EJM17" s="292"/>
      <c r="EJN17" s="292"/>
      <c r="EJO17" s="292"/>
      <c r="EJP17" s="292"/>
      <c r="EJQ17" s="292"/>
      <c r="EJR17" s="292"/>
      <c r="EJS17" s="292"/>
      <c r="EJT17" s="292"/>
      <c r="EJU17" s="292"/>
      <c r="EJV17" s="292"/>
      <c r="EJW17" s="292"/>
      <c r="EJX17" s="292"/>
      <c r="EJY17" s="292"/>
      <c r="EJZ17" s="292"/>
      <c r="EKA17" s="292"/>
      <c r="EKB17" s="292"/>
      <c r="EKC17" s="292"/>
      <c r="EKD17" s="292"/>
      <c r="EKE17" s="292"/>
      <c r="EKF17" s="292"/>
      <c r="EKG17" s="292"/>
      <c r="EKH17" s="292"/>
      <c r="EKI17" s="292"/>
      <c r="EKJ17" s="292"/>
      <c r="EKK17" s="292"/>
      <c r="EKL17" s="292"/>
      <c r="EKM17" s="292"/>
      <c r="EKN17" s="292"/>
      <c r="EKO17" s="292"/>
      <c r="EKP17" s="292"/>
      <c r="EKQ17" s="292"/>
      <c r="EKR17" s="292"/>
      <c r="EKS17" s="292"/>
      <c r="EKT17" s="292"/>
      <c r="EKU17" s="292"/>
      <c r="EKV17" s="292"/>
      <c r="EKW17" s="292"/>
      <c r="EKX17" s="292"/>
      <c r="EKY17" s="292"/>
      <c r="EKZ17" s="292"/>
      <c r="ELA17" s="292"/>
      <c r="ELB17" s="292"/>
      <c r="ELC17" s="292"/>
      <c r="ELD17" s="292"/>
      <c r="ELE17" s="292"/>
      <c r="ELF17" s="292"/>
      <c r="ELG17" s="292"/>
      <c r="ELH17" s="292"/>
      <c r="ELI17" s="292"/>
      <c r="ELJ17" s="292"/>
      <c r="ELK17" s="292"/>
      <c r="ELL17" s="292"/>
      <c r="ELM17" s="292"/>
      <c r="ELN17" s="292"/>
      <c r="ELO17" s="292"/>
      <c r="ELP17" s="292"/>
      <c r="ELQ17" s="292"/>
      <c r="ELR17" s="292"/>
      <c r="ELS17" s="292"/>
      <c r="ELT17" s="292"/>
      <c r="ELU17" s="292"/>
      <c r="ELV17" s="292"/>
      <c r="ELW17" s="292"/>
      <c r="ELX17" s="292"/>
      <c r="ELY17" s="292"/>
      <c r="ELZ17" s="292"/>
      <c r="EMA17" s="292"/>
      <c r="EMB17" s="292"/>
      <c r="EMC17" s="292"/>
      <c r="EMD17" s="292"/>
      <c r="EME17" s="292"/>
      <c r="EMF17" s="292"/>
      <c r="EMG17" s="292"/>
      <c r="EMH17" s="292"/>
      <c r="EMI17" s="292"/>
      <c r="EMJ17" s="292"/>
      <c r="EMK17" s="292"/>
      <c r="EML17" s="292"/>
      <c r="EMM17" s="292"/>
      <c r="EMN17" s="292"/>
      <c r="EMO17" s="292"/>
      <c r="EMP17" s="292"/>
      <c r="EMQ17" s="292"/>
      <c r="EMR17" s="292"/>
      <c r="EMS17" s="292"/>
      <c r="EMT17" s="292"/>
      <c r="EMU17" s="292"/>
      <c r="EMV17" s="292"/>
      <c r="EMW17" s="292"/>
      <c r="EMX17" s="292"/>
      <c r="EMY17" s="292"/>
      <c r="EMZ17" s="292"/>
      <c r="ENA17" s="292"/>
      <c r="ENB17" s="292"/>
      <c r="ENC17" s="292"/>
      <c r="END17" s="292"/>
      <c r="ENE17" s="292"/>
      <c r="ENF17" s="292"/>
      <c r="ENG17" s="292"/>
      <c r="ENH17" s="292"/>
      <c r="ENI17" s="292"/>
      <c r="ENJ17" s="292"/>
      <c r="ENK17" s="292"/>
      <c r="ENL17" s="292"/>
      <c r="ENM17" s="292"/>
      <c r="ENN17" s="292"/>
      <c r="ENO17" s="292"/>
      <c r="ENP17" s="292"/>
      <c r="ENQ17" s="292"/>
      <c r="ENR17" s="292"/>
      <c r="ENS17" s="292"/>
      <c r="ENT17" s="292"/>
      <c r="ENU17" s="292"/>
      <c r="ENV17" s="292"/>
      <c r="ENW17" s="292"/>
      <c r="ENX17" s="292"/>
      <c r="ENY17" s="292"/>
      <c r="ENZ17" s="292"/>
      <c r="EOA17" s="292"/>
      <c r="EOB17" s="292"/>
      <c r="EOC17" s="292"/>
      <c r="EOD17" s="292"/>
      <c r="EOE17" s="292"/>
      <c r="EOF17" s="292"/>
      <c r="EOG17" s="292"/>
      <c r="EOH17" s="292"/>
      <c r="EOI17" s="292"/>
      <c r="EOJ17" s="292"/>
      <c r="EOK17" s="292"/>
      <c r="EOL17" s="292"/>
      <c r="EOM17" s="292"/>
      <c r="EON17" s="292"/>
      <c r="EOO17" s="292"/>
      <c r="EOP17" s="292"/>
      <c r="EOQ17" s="292"/>
      <c r="EOR17" s="292"/>
      <c r="EOS17" s="292"/>
      <c r="EOT17" s="292"/>
      <c r="EOU17" s="292"/>
      <c r="EOV17" s="292"/>
      <c r="EOW17" s="292"/>
      <c r="EOX17" s="292"/>
      <c r="EOY17" s="292"/>
      <c r="EOZ17" s="292"/>
      <c r="EPA17" s="292"/>
      <c r="EPB17" s="292"/>
      <c r="EPC17" s="292"/>
      <c r="EPD17" s="292"/>
      <c r="EPE17" s="292"/>
      <c r="EPF17" s="292"/>
      <c r="EPG17" s="292"/>
      <c r="EPH17" s="292"/>
      <c r="EPI17" s="292"/>
      <c r="EPJ17" s="292"/>
      <c r="EPK17" s="292"/>
      <c r="EPL17" s="292"/>
      <c r="EPM17" s="292"/>
      <c r="EPN17" s="292"/>
      <c r="EPO17" s="292"/>
      <c r="EPP17" s="292"/>
      <c r="EPQ17" s="292"/>
      <c r="EPR17" s="292"/>
      <c r="EPS17" s="292"/>
      <c r="EPT17" s="292"/>
      <c r="EPU17" s="292"/>
      <c r="EPV17" s="292"/>
      <c r="EPW17" s="292"/>
      <c r="EPX17" s="292"/>
      <c r="EPY17" s="292"/>
      <c r="EPZ17" s="292"/>
      <c r="EQA17" s="292"/>
      <c r="EQB17" s="292"/>
      <c r="EQC17" s="292"/>
      <c r="EQD17" s="292"/>
      <c r="EQE17" s="292"/>
      <c r="EQF17" s="292"/>
      <c r="EQG17" s="292"/>
      <c r="EQH17" s="292"/>
      <c r="EQI17" s="292"/>
      <c r="EQJ17" s="292"/>
      <c r="EQK17" s="292"/>
      <c r="EQL17" s="292"/>
      <c r="EQM17" s="292"/>
      <c r="EQN17" s="292"/>
      <c r="EQO17" s="292"/>
      <c r="EQP17" s="292"/>
      <c r="EQQ17" s="292"/>
      <c r="EQR17" s="292"/>
      <c r="EQS17" s="292"/>
      <c r="EQT17" s="292"/>
      <c r="EQU17" s="292"/>
      <c r="EQV17" s="292"/>
      <c r="EQW17" s="292"/>
      <c r="EQX17" s="292"/>
      <c r="EQY17" s="292"/>
      <c r="EQZ17" s="292"/>
      <c r="ERA17" s="292"/>
      <c r="ERB17" s="292"/>
      <c r="ERC17" s="292"/>
      <c r="ERD17" s="292"/>
      <c r="ERE17" s="292"/>
      <c r="ERF17" s="292"/>
      <c r="ERG17" s="292"/>
      <c r="ERH17" s="292"/>
      <c r="ERI17" s="292"/>
      <c r="ERJ17" s="292"/>
      <c r="ERK17" s="292"/>
      <c r="ERL17" s="292"/>
      <c r="ERM17" s="292"/>
      <c r="ERN17" s="292"/>
      <c r="ERO17" s="292"/>
      <c r="ERP17" s="292"/>
      <c r="ERQ17" s="292"/>
      <c r="ERR17" s="292"/>
      <c r="ERS17" s="292"/>
      <c r="ERT17" s="292"/>
      <c r="ERU17" s="292"/>
      <c r="ERV17" s="292"/>
      <c r="ERW17" s="292"/>
      <c r="ERX17" s="292"/>
      <c r="ERY17" s="292"/>
      <c r="ERZ17" s="292"/>
      <c r="ESA17" s="292"/>
      <c r="ESB17" s="292"/>
      <c r="ESC17" s="292"/>
      <c r="ESD17" s="292"/>
      <c r="ESE17" s="292"/>
      <c r="ESF17" s="292"/>
      <c r="ESG17" s="292"/>
      <c r="ESH17" s="292"/>
      <c r="ESI17" s="292"/>
      <c r="ESJ17" s="292"/>
      <c r="ESK17" s="292"/>
      <c r="ESL17" s="292"/>
      <c r="ESM17" s="292"/>
      <c r="ESN17" s="292"/>
      <c r="ESO17" s="292"/>
      <c r="ESP17" s="292"/>
      <c r="ESQ17" s="292"/>
      <c r="ESR17" s="292"/>
      <c r="ESS17" s="292"/>
      <c r="EST17" s="292"/>
      <c r="ESU17" s="292"/>
      <c r="ESV17" s="292"/>
      <c r="ESW17" s="292"/>
      <c r="ESX17" s="292"/>
      <c r="ESY17" s="292"/>
      <c r="ESZ17" s="292"/>
      <c r="ETA17" s="292"/>
      <c r="ETB17" s="292"/>
      <c r="ETC17" s="292"/>
      <c r="ETD17" s="292"/>
      <c r="ETE17" s="292"/>
      <c r="ETF17" s="292"/>
      <c r="ETG17" s="292"/>
      <c r="ETH17" s="292"/>
      <c r="ETI17" s="292"/>
      <c r="ETJ17" s="292"/>
      <c r="ETK17" s="292"/>
      <c r="ETL17" s="292"/>
      <c r="ETM17" s="292"/>
      <c r="ETN17" s="292"/>
      <c r="ETO17" s="292"/>
      <c r="ETP17" s="292"/>
      <c r="ETQ17" s="292"/>
      <c r="ETR17" s="292"/>
      <c r="ETS17" s="292"/>
      <c r="ETT17" s="292"/>
      <c r="ETU17" s="292"/>
      <c r="ETV17" s="292"/>
      <c r="ETW17" s="292"/>
      <c r="ETX17" s="292"/>
      <c r="ETY17" s="292"/>
      <c r="ETZ17" s="292"/>
      <c r="EUA17" s="292"/>
      <c r="EUB17" s="292"/>
      <c r="EUC17" s="292"/>
      <c r="EUD17" s="292"/>
      <c r="EUE17" s="292"/>
      <c r="EUF17" s="292"/>
      <c r="EUG17" s="292"/>
      <c r="EUH17" s="292"/>
      <c r="EUI17" s="292"/>
      <c r="EUJ17" s="292"/>
      <c r="EUK17" s="292"/>
      <c r="EUL17" s="292"/>
      <c r="EUM17" s="292"/>
      <c r="EUN17" s="292"/>
      <c r="EUO17" s="292"/>
      <c r="EUP17" s="292"/>
      <c r="EUQ17" s="292"/>
      <c r="EUR17" s="292"/>
      <c r="EUS17" s="292"/>
      <c r="EUT17" s="292"/>
      <c r="EUU17" s="292"/>
      <c r="EUV17" s="292"/>
      <c r="EUW17" s="292"/>
      <c r="EUX17" s="292"/>
      <c r="EUY17" s="292"/>
      <c r="EUZ17" s="292"/>
      <c r="EVA17" s="292"/>
      <c r="EVB17" s="292"/>
      <c r="EVC17" s="292"/>
      <c r="EVD17" s="292"/>
      <c r="EVE17" s="292"/>
      <c r="EVF17" s="292"/>
      <c r="EVG17" s="292"/>
      <c r="EVH17" s="292"/>
      <c r="EVI17" s="292"/>
      <c r="EVJ17" s="292"/>
      <c r="EVK17" s="292"/>
      <c r="EVL17" s="292"/>
      <c r="EVM17" s="292"/>
      <c r="EVN17" s="292"/>
      <c r="EVO17" s="292"/>
      <c r="EVP17" s="292"/>
      <c r="EVQ17" s="292"/>
      <c r="EVR17" s="292"/>
      <c r="EVS17" s="292"/>
      <c r="EVT17" s="292"/>
      <c r="EVU17" s="292"/>
      <c r="EVV17" s="292"/>
      <c r="EVW17" s="292"/>
      <c r="EVX17" s="292"/>
      <c r="EVY17" s="292"/>
      <c r="EVZ17" s="292"/>
      <c r="EWA17" s="292"/>
      <c r="EWB17" s="292"/>
      <c r="EWC17" s="292"/>
      <c r="EWD17" s="292"/>
      <c r="EWE17" s="292"/>
      <c r="EWF17" s="292"/>
      <c r="EWG17" s="292"/>
      <c r="EWH17" s="292"/>
      <c r="EWI17" s="292"/>
      <c r="EWJ17" s="292"/>
      <c r="EWK17" s="292"/>
      <c r="EWL17" s="292"/>
      <c r="EWM17" s="292"/>
      <c r="EWN17" s="292"/>
      <c r="EWO17" s="292"/>
      <c r="EWP17" s="292"/>
      <c r="EWQ17" s="292"/>
      <c r="EWR17" s="292"/>
      <c r="EWS17" s="292"/>
      <c r="EWT17" s="292"/>
      <c r="EWU17" s="292"/>
      <c r="EWV17" s="292"/>
      <c r="EWW17" s="292"/>
      <c r="EWX17" s="292"/>
      <c r="EWY17" s="292"/>
      <c r="EWZ17" s="292"/>
      <c r="EXA17" s="292"/>
      <c r="EXB17" s="292"/>
      <c r="EXC17" s="292"/>
      <c r="EXD17" s="292"/>
      <c r="EXE17" s="292"/>
      <c r="EXF17" s="292"/>
      <c r="EXG17" s="292"/>
      <c r="EXH17" s="292"/>
      <c r="EXI17" s="292"/>
      <c r="EXJ17" s="292"/>
      <c r="EXK17" s="292"/>
      <c r="EXL17" s="292"/>
      <c r="EXM17" s="292"/>
      <c r="EXN17" s="292"/>
      <c r="EXO17" s="292"/>
      <c r="EXP17" s="292"/>
      <c r="EXQ17" s="292"/>
      <c r="EXR17" s="292"/>
      <c r="EXS17" s="292"/>
      <c r="EXT17" s="292"/>
      <c r="EXU17" s="292"/>
      <c r="EXV17" s="292"/>
      <c r="EXW17" s="292"/>
      <c r="EXX17" s="292"/>
      <c r="EXY17" s="292"/>
      <c r="EXZ17" s="292"/>
      <c r="EYA17" s="292"/>
      <c r="EYB17" s="292"/>
      <c r="EYC17" s="292"/>
      <c r="EYD17" s="292"/>
      <c r="EYE17" s="292"/>
      <c r="EYF17" s="292"/>
      <c r="EYG17" s="292"/>
      <c r="EYH17" s="292"/>
      <c r="EYI17" s="292"/>
      <c r="EYJ17" s="292"/>
      <c r="EYK17" s="292"/>
      <c r="EYL17" s="292"/>
      <c r="EYM17" s="292"/>
      <c r="EYN17" s="292"/>
      <c r="EYO17" s="292"/>
      <c r="EYP17" s="292"/>
      <c r="EYQ17" s="292"/>
      <c r="EYR17" s="292"/>
      <c r="EYS17" s="292"/>
      <c r="EYT17" s="292"/>
      <c r="EYU17" s="292"/>
      <c r="EYV17" s="292"/>
      <c r="EYW17" s="292"/>
      <c r="EYX17" s="292"/>
      <c r="EYY17" s="292"/>
      <c r="EYZ17" s="292"/>
      <c r="EZA17" s="292"/>
      <c r="EZB17" s="292"/>
      <c r="EZC17" s="292"/>
      <c r="EZD17" s="292"/>
      <c r="EZE17" s="292"/>
      <c r="EZF17" s="292"/>
      <c r="EZG17" s="292"/>
      <c r="EZH17" s="292"/>
      <c r="EZI17" s="292"/>
      <c r="EZJ17" s="292"/>
      <c r="EZK17" s="292"/>
      <c r="EZL17" s="292"/>
      <c r="EZM17" s="292"/>
      <c r="EZN17" s="292"/>
      <c r="EZO17" s="292"/>
      <c r="EZP17" s="292"/>
      <c r="EZQ17" s="292"/>
      <c r="EZR17" s="292"/>
      <c r="EZS17" s="292"/>
      <c r="EZT17" s="292"/>
      <c r="EZU17" s="292"/>
      <c r="EZV17" s="292"/>
      <c r="EZW17" s="292"/>
      <c r="EZX17" s="292"/>
      <c r="EZY17" s="292"/>
      <c r="EZZ17" s="292"/>
      <c r="FAA17" s="292"/>
      <c r="FAB17" s="292"/>
      <c r="FAC17" s="292"/>
      <c r="FAD17" s="292"/>
      <c r="FAE17" s="292"/>
      <c r="FAF17" s="292"/>
      <c r="FAG17" s="292"/>
      <c r="FAH17" s="292"/>
      <c r="FAI17" s="292"/>
      <c r="FAJ17" s="292"/>
      <c r="FAK17" s="292"/>
      <c r="FAL17" s="292"/>
      <c r="FAM17" s="292"/>
      <c r="FAN17" s="292"/>
      <c r="FAO17" s="292"/>
      <c r="FAP17" s="292"/>
      <c r="FAQ17" s="292"/>
      <c r="FAR17" s="292"/>
      <c r="FAS17" s="292"/>
      <c r="FAT17" s="292"/>
      <c r="FAU17" s="292"/>
      <c r="FAV17" s="292"/>
      <c r="FAW17" s="292"/>
      <c r="FAX17" s="292"/>
      <c r="FAY17" s="292"/>
      <c r="FAZ17" s="292"/>
      <c r="FBA17" s="292"/>
      <c r="FBB17" s="292"/>
      <c r="FBC17" s="292"/>
      <c r="FBD17" s="292"/>
      <c r="FBE17" s="292"/>
      <c r="FBF17" s="292"/>
      <c r="FBG17" s="292"/>
      <c r="FBH17" s="292"/>
      <c r="FBI17" s="292"/>
      <c r="FBJ17" s="292"/>
      <c r="FBK17" s="292"/>
      <c r="FBL17" s="292"/>
      <c r="FBM17" s="292"/>
      <c r="FBN17" s="292"/>
      <c r="FBO17" s="292"/>
      <c r="FBP17" s="292"/>
      <c r="FBQ17" s="292"/>
      <c r="FBR17" s="292"/>
      <c r="FBS17" s="292"/>
      <c r="FBT17" s="292"/>
      <c r="FBU17" s="292"/>
      <c r="FBV17" s="292"/>
      <c r="FBW17" s="292"/>
      <c r="FBX17" s="292"/>
      <c r="FBY17" s="292"/>
      <c r="FBZ17" s="292"/>
      <c r="FCA17" s="292"/>
      <c r="FCB17" s="292"/>
      <c r="FCC17" s="292"/>
      <c r="FCD17" s="292"/>
      <c r="FCE17" s="292"/>
      <c r="FCF17" s="292"/>
      <c r="FCG17" s="292"/>
      <c r="FCH17" s="292"/>
      <c r="FCI17" s="292"/>
      <c r="FCJ17" s="292"/>
      <c r="FCK17" s="292"/>
      <c r="FCL17" s="292"/>
      <c r="FCM17" s="292"/>
      <c r="FCN17" s="292"/>
      <c r="FCO17" s="292"/>
      <c r="FCP17" s="292"/>
      <c r="FCQ17" s="292"/>
      <c r="FCR17" s="292"/>
      <c r="FCS17" s="292"/>
      <c r="FCT17" s="292"/>
      <c r="FCU17" s="292"/>
      <c r="FCV17" s="292"/>
      <c r="FCW17" s="292"/>
      <c r="FCX17" s="292"/>
      <c r="FCY17" s="292"/>
      <c r="FCZ17" s="292"/>
      <c r="FDA17" s="292"/>
      <c r="FDB17" s="292"/>
      <c r="FDC17" s="292"/>
      <c r="FDD17" s="292"/>
      <c r="FDE17" s="292"/>
      <c r="FDF17" s="292"/>
      <c r="FDG17" s="292"/>
      <c r="FDH17" s="292"/>
      <c r="FDI17" s="292"/>
      <c r="FDJ17" s="292"/>
      <c r="FDK17" s="292"/>
      <c r="FDL17" s="292"/>
      <c r="FDM17" s="292"/>
      <c r="FDN17" s="292"/>
      <c r="FDO17" s="292"/>
      <c r="FDP17" s="292"/>
      <c r="FDQ17" s="292"/>
      <c r="FDR17" s="292"/>
      <c r="FDS17" s="292"/>
      <c r="FDT17" s="292"/>
      <c r="FDU17" s="292"/>
      <c r="FDV17" s="292"/>
      <c r="FDW17" s="292"/>
      <c r="FDX17" s="292"/>
      <c r="FDY17" s="292"/>
      <c r="FDZ17" s="292"/>
      <c r="FEA17" s="292"/>
      <c r="FEB17" s="292"/>
      <c r="FEC17" s="292"/>
      <c r="FED17" s="292"/>
      <c r="FEE17" s="292"/>
      <c r="FEF17" s="292"/>
      <c r="FEG17" s="292"/>
      <c r="FEH17" s="292"/>
      <c r="FEI17" s="292"/>
      <c r="FEJ17" s="292"/>
      <c r="FEK17" s="292"/>
      <c r="FEL17" s="292"/>
      <c r="FEM17" s="292"/>
      <c r="FEN17" s="292"/>
      <c r="FEO17" s="292"/>
      <c r="FEP17" s="292"/>
      <c r="FEQ17" s="292"/>
      <c r="FER17" s="292"/>
      <c r="FES17" s="292"/>
      <c r="FET17" s="292"/>
      <c r="FEU17" s="292"/>
      <c r="FEV17" s="292"/>
      <c r="FEW17" s="292"/>
      <c r="FEX17" s="292"/>
      <c r="FEY17" s="292"/>
      <c r="FEZ17" s="292"/>
      <c r="FFA17" s="292"/>
      <c r="FFB17" s="292"/>
      <c r="FFC17" s="292"/>
      <c r="FFD17" s="292"/>
      <c r="FFE17" s="292"/>
      <c r="FFF17" s="292"/>
      <c r="FFG17" s="292"/>
      <c r="FFH17" s="292"/>
      <c r="FFI17" s="292"/>
      <c r="FFJ17" s="292"/>
      <c r="FFK17" s="292"/>
      <c r="FFL17" s="292"/>
      <c r="FFM17" s="292"/>
      <c r="FFN17" s="292"/>
      <c r="FFO17" s="292"/>
      <c r="FFP17" s="292"/>
      <c r="FFQ17" s="292"/>
      <c r="FFR17" s="292"/>
      <c r="FFS17" s="292"/>
      <c r="FFT17" s="292"/>
      <c r="FFU17" s="292"/>
      <c r="FFV17" s="292"/>
      <c r="FFW17" s="292"/>
      <c r="FFX17" s="292"/>
      <c r="FFY17" s="292"/>
      <c r="FFZ17" s="292"/>
      <c r="FGA17" s="292"/>
      <c r="FGB17" s="292"/>
      <c r="FGC17" s="292"/>
      <c r="FGD17" s="292"/>
      <c r="FGE17" s="292"/>
      <c r="FGF17" s="292"/>
      <c r="FGG17" s="292"/>
      <c r="FGH17" s="292"/>
      <c r="FGI17" s="292"/>
      <c r="FGJ17" s="292"/>
      <c r="FGK17" s="292"/>
      <c r="FGL17" s="292"/>
      <c r="FGM17" s="292"/>
      <c r="FGN17" s="292"/>
      <c r="FGO17" s="292"/>
      <c r="FGP17" s="292"/>
      <c r="FGQ17" s="292"/>
      <c r="FGR17" s="292"/>
      <c r="FGS17" s="292"/>
      <c r="FGT17" s="292"/>
      <c r="FGU17" s="292"/>
      <c r="FGV17" s="292"/>
      <c r="FGW17" s="292"/>
      <c r="FGX17" s="292"/>
      <c r="FGY17" s="292"/>
      <c r="FGZ17" s="292"/>
      <c r="FHA17" s="292"/>
      <c r="FHB17" s="292"/>
      <c r="FHC17" s="292"/>
      <c r="FHD17" s="292"/>
      <c r="FHE17" s="292"/>
      <c r="FHF17" s="292"/>
      <c r="FHG17" s="292"/>
      <c r="FHH17" s="292"/>
      <c r="FHI17" s="292"/>
      <c r="FHJ17" s="292"/>
      <c r="FHK17" s="292"/>
      <c r="FHL17" s="292"/>
      <c r="FHM17" s="292"/>
      <c r="FHN17" s="292"/>
      <c r="FHO17" s="292"/>
      <c r="FHP17" s="292"/>
      <c r="FHQ17" s="292"/>
      <c r="FHR17" s="292"/>
      <c r="FHS17" s="292"/>
      <c r="FHT17" s="292"/>
      <c r="FHU17" s="292"/>
      <c r="FHV17" s="292"/>
      <c r="FHW17" s="292"/>
      <c r="FHX17" s="292"/>
      <c r="FHY17" s="292"/>
      <c r="FHZ17" s="292"/>
      <c r="FIA17" s="292"/>
      <c r="FIB17" s="292"/>
      <c r="FIC17" s="292"/>
      <c r="FID17" s="292"/>
      <c r="FIE17" s="292"/>
      <c r="FIF17" s="292"/>
      <c r="FIG17" s="292"/>
      <c r="FIH17" s="292"/>
      <c r="FII17" s="292"/>
      <c r="FIJ17" s="292"/>
      <c r="FIK17" s="292"/>
      <c r="FIL17" s="292"/>
      <c r="FIM17" s="292"/>
      <c r="FIN17" s="292"/>
      <c r="FIO17" s="292"/>
      <c r="FIP17" s="292"/>
      <c r="FIQ17" s="292"/>
      <c r="FIR17" s="292"/>
      <c r="FIS17" s="292"/>
      <c r="FIT17" s="292"/>
      <c r="FIU17" s="292"/>
      <c r="FIV17" s="292"/>
      <c r="FIW17" s="292"/>
      <c r="FIX17" s="292"/>
      <c r="FIY17" s="292"/>
      <c r="FIZ17" s="292"/>
      <c r="FJA17" s="292"/>
      <c r="FJB17" s="292"/>
      <c r="FJC17" s="292"/>
      <c r="FJD17" s="292"/>
      <c r="FJE17" s="292"/>
      <c r="FJF17" s="292"/>
      <c r="FJG17" s="292"/>
      <c r="FJH17" s="292"/>
      <c r="FJI17" s="292"/>
      <c r="FJJ17" s="292"/>
      <c r="FJK17" s="292"/>
      <c r="FJL17" s="292"/>
      <c r="FJM17" s="292"/>
      <c r="FJN17" s="292"/>
      <c r="FJO17" s="292"/>
      <c r="FJP17" s="292"/>
      <c r="FJQ17" s="292"/>
      <c r="FJR17" s="292"/>
      <c r="FJS17" s="292"/>
      <c r="FJT17" s="292"/>
      <c r="FJU17" s="292"/>
      <c r="FJV17" s="292"/>
      <c r="FJW17" s="292"/>
      <c r="FJX17" s="292"/>
      <c r="FJY17" s="292"/>
      <c r="FJZ17" s="292"/>
      <c r="FKA17" s="292"/>
      <c r="FKB17" s="292"/>
      <c r="FKC17" s="292"/>
      <c r="FKD17" s="292"/>
      <c r="FKE17" s="292"/>
      <c r="FKF17" s="292"/>
      <c r="FKG17" s="292"/>
      <c r="FKH17" s="292"/>
      <c r="FKI17" s="292"/>
      <c r="FKJ17" s="292"/>
      <c r="FKK17" s="292"/>
      <c r="FKL17" s="292"/>
      <c r="FKM17" s="292"/>
      <c r="FKN17" s="292"/>
      <c r="FKO17" s="292"/>
      <c r="FKP17" s="292"/>
      <c r="FKQ17" s="292"/>
      <c r="FKR17" s="292"/>
      <c r="FKS17" s="292"/>
      <c r="FKT17" s="292"/>
      <c r="FKU17" s="292"/>
      <c r="FKV17" s="292"/>
      <c r="FKW17" s="292"/>
      <c r="FKX17" s="292"/>
      <c r="FKY17" s="292"/>
      <c r="FKZ17" s="292"/>
      <c r="FLA17" s="292"/>
      <c r="FLB17" s="292"/>
      <c r="FLC17" s="292"/>
      <c r="FLD17" s="292"/>
      <c r="FLE17" s="292"/>
      <c r="FLF17" s="292"/>
      <c r="FLG17" s="292"/>
      <c r="FLH17" s="292"/>
      <c r="FLI17" s="292"/>
      <c r="FLJ17" s="292"/>
      <c r="FLK17" s="292"/>
      <c r="FLL17" s="292"/>
      <c r="FLM17" s="292"/>
      <c r="FLN17" s="292"/>
      <c r="FLO17" s="292"/>
      <c r="FLP17" s="292"/>
      <c r="FLQ17" s="292"/>
      <c r="FLR17" s="292"/>
      <c r="FLS17" s="292"/>
      <c r="FLT17" s="292"/>
      <c r="FLU17" s="292"/>
      <c r="FLV17" s="292"/>
      <c r="FLW17" s="292"/>
      <c r="FLX17" s="292"/>
      <c r="FLY17" s="292"/>
      <c r="FLZ17" s="292"/>
      <c r="FMA17" s="292"/>
      <c r="FMB17" s="292"/>
      <c r="FMC17" s="292"/>
      <c r="FMD17" s="292"/>
      <c r="FME17" s="292"/>
      <c r="FMF17" s="292"/>
      <c r="FMG17" s="292"/>
      <c r="FMH17" s="292"/>
      <c r="FMI17" s="292"/>
      <c r="FMJ17" s="292"/>
      <c r="FMK17" s="292"/>
      <c r="FML17" s="292"/>
      <c r="FMM17" s="292"/>
      <c r="FMN17" s="292"/>
      <c r="FMO17" s="292"/>
      <c r="FMP17" s="292"/>
      <c r="FMQ17" s="292"/>
      <c r="FMR17" s="292"/>
      <c r="FMS17" s="292"/>
      <c r="FMT17" s="292"/>
      <c r="FMU17" s="292"/>
      <c r="FMV17" s="292"/>
      <c r="FMW17" s="292"/>
      <c r="FMX17" s="292"/>
      <c r="FMY17" s="292"/>
      <c r="FMZ17" s="292"/>
      <c r="FNA17" s="292"/>
      <c r="FNB17" s="292"/>
      <c r="FNC17" s="292"/>
      <c r="FND17" s="292"/>
      <c r="FNE17" s="292"/>
      <c r="FNF17" s="292"/>
      <c r="FNG17" s="292"/>
      <c r="FNH17" s="292"/>
      <c r="FNI17" s="292"/>
      <c r="FNJ17" s="292"/>
      <c r="FNK17" s="292"/>
      <c r="FNL17" s="292"/>
      <c r="FNM17" s="292"/>
      <c r="FNN17" s="292"/>
      <c r="FNO17" s="292"/>
      <c r="FNP17" s="292"/>
      <c r="FNQ17" s="292"/>
      <c r="FNR17" s="292"/>
      <c r="FNS17" s="292"/>
      <c r="FNT17" s="292"/>
      <c r="FNU17" s="292"/>
      <c r="FNV17" s="292"/>
      <c r="FNW17" s="292"/>
      <c r="FNX17" s="292"/>
      <c r="FNY17" s="292"/>
      <c r="FNZ17" s="292"/>
      <c r="FOA17" s="292"/>
      <c r="FOB17" s="292"/>
      <c r="FOC17" s="292"/>
      <c r="FOD17" s="292"/>
      <c r="FOE17" s="292"/>
      <c r="FOF17" s="292"/>
      <c r="FOG17" s="292"/>
      <c r="FOH17" s="292"/>
      <c r="FOI17" s="292"/>
      <c r="FOJ17" s="292"/>
      <c r="FOK17" s="292"/>
      <c r="FOL17" s="292"/>
      <c r="FOM17" s="292"/>
      <c r="FON17" s="292"/>
      <c r="FOO17" s="292"/>
      <c r="FOP17" s="292"/>
      <c r="FOQ17" s="292"/>
      <c r="FOR17" s="292"/>
      <c r="FOS17" s="292"/>
      <c r="FOT17" s="292"/>
      <c r="FOU17" s="292"/>
      <c r="FOV17" s="292"/>
      <c r="FOW17" s="292"/>
      <c r="FOX17" s="292"/>
      <c r="FOY17" s="292"/>
      <c r="FOZ17" s="292"/>
      <c r="FPA17" s="292"/>
      <c r="FPB17" s="292"/>
      <c r="FPC17" s="292"/>
      <c r="FPD17" s="292"/>
      <c r="FPE17" s="292"/>
      <c r="FPF17" s="292"/>
      <c r="FPG17" s="292"/>
      <c r="FPH17" s="292"/>
      <c r="FPI17" s="292"/>
      <c r="FPJ17" s="292"/>
      <c r="FPK17" s="292"/>
      <c r="FPL17" s="292"/>
      <c r="FPM17" s="292"/>
      <c r="FPN17" s="292"/>
      <c r="FPO17" s="292"/>
      <c r="FPP17" s="292"/>
      <c r="FPQ17" s="292"/>
      <c r="FPR17" s="292"/>
      <c r="FPS17" s="292"/>
      <c r="FPT17" s="292"/>
      <c r="FPU17" s="292"/>
      <c r="FPV17" s="292"/>
      <c r="FPW17" s="292"/>
      <c r="FPX17" s="292"/>
      <c r="FPY17" s="292"/>
      <c r="FPZ17" s="292"/>
      <c r="FQA17" s="292"/>
      <c r="FQB17" s="292"/>
      <c r="FQC17" s="292"/>
      <c r="FQD17" s="292"/>
      <c r="FQE17" s="292"/>
      <c r="FQF17" s="292"/>
      <c r="FQG17" s="292"/>
      <c r="FQH17" s="292"/>
      <c r="FQI17" s="292"/>
      <c r="FQJ17" s="292"/>
      <c r="FQK17" s="292"/>
      <c r="FQL17" s="292"/>
      <c r="FQM17" s="292"/>
      <c r="FQN17" s="292"/>
      <c r="FQO17" s="292"/>
      <c r="FQP17" s="292"/>
      <c r="FQQ17" s="292"/>
      <c r="FQR17" s="292"/>
      <c r="FQS17" s="292"/>
      <c r="FQT17" s="292"/>
      <c r="FQU17" s="292"/>
      <c r="FQV17" s="292"/>
      <c r="FQW17" s="292"/>
      <c r="FQX17" s="292"/>
      <c r="FQY17" s="292"/>
      <c r="FQZ17" s="292"/>
      <c r="FRA17" s="292"/>
      <c r="FRB17" s="292"/>
      <c r="FRC17" s="292"/>
      <c r="FRD17" s="292"/>
      <c r="FRE17" s="292"/>
      <c r="FRF17" s="292"/>
      <c r="FRG17" s="292"/>
      <c r="FRH17" s="292"/>
      <c r="FRI17" s="292"/>
      <c r="FRJ17" s="292"/>
      <c r="FRK17" s="292"/>
      <c r="FRL17" s="292"/>
      <c r="FRM17" s="292"/>
      <c r="FRN17" s="292"/>
      <c r="FRO17" s="292"/>
      <c r="FRP17" s="292"/>
      <c r="FRQ17" s="292"/>
      <c r="FRR17" s="292"/>
      <c r="FRS17" s="292"/>
      <c r="FRT17" s="292"/>
      <c r="FRU17" s="292"/>
      <c r="FRV17" s="292"/>
      <c r="FRW17" s="292"/>
      <c r="FRX17" s="292"/>
      <c r="FRY17" s="292"/>
      <c r="FRZ17" s="292"/>
      <c r="FSA17" s="292"/>
      <c r="FSB17" s="292"/>
      <c r="FSC17" s="292"/>
      <c r="FSD17" s="292"/>
      <c r="FSE17" s="292"/>
      <c r="FSF17" s="292"/>
      <c r="FSG17" s="292"/>
      <c r="FSH17" s="292"/>
      <c r="FSI17" s="292"/>
      <c r="FSJ17" s="292"/>
      <c r="FSK17" s="292"/>
      <c r="FSL17" s="292"/>
      <c r="FSM17" s="292"/>
      <c r="FSN17" s="292"/>
      <c r="FSO17" s="292"/>
      <c r="FSP17" s="292"/>
      <c r="FSQ17" s="292"/>
      <c r="FSR17" s="292"/>
      <c r="FSS17" s="292"/>
      <c r="FST17" s="292"/>
      <c r="FSU17" s="292"/>
      <c r="FSV17" s="292"/>
      <c r="FSW17" s="292"/>
      <c r="FSX17" s="292"/>
      <c r="FSY17" s="292"/>
      <c r="FSZ17" s="292"/>
      <c r="FTA17" s="292"/>
      <c r="FTB17" s="292"/>
      <c r="FTC17" s="292"/>
      <c r="FTD17" s="292"/>
      <c r="FTE17" s="292"/>
      <c r="FTF17" s="292"/>
      <c r="FTG17" s="292"/>
      <c r="FTH17" s="292"/>
      <c r="FTI17" s="292"/>
      <c r="FTJ17" s="292"/>
      <c r="FTK17" s="292"/>
      <c r="FTL17" s="292"/>
      <c r="FTM17" s="292"/>
      <c r="FTN17" s="292"/>
      <c r="FTO17" s="292"/>
      <c r="FTP17" s="292"/>
      <c r="FTQ17" s="292"/>
      <c r="FTR17" s="292"/>
      <c r="FTS17" s="292"/>
      <c r="FTT17" s="292"/>
      <c r="FTU17" s="292"/>
      <c r="FTV17" s="292"/>
      <c r="FTW17" s="292"/>
      <c r="FTX17" s="292"/>
      <c r="FTY17" s="292"/>
      <c r="FTZ17" s="292"/>
      <c r="FUA17" s="292"/>
      <c r="FUB17" s="292"/>
      <c r="FUC17" s="292"/>
      <c r="FUD17" s="292"/>
      <c r="FUE17" s="292"/>
      <c r="FUF17" s="292"/>
      <c r="FUG17" s="292"/>
      <c r="FUH17" s="292"/>
      <c r="FUI17" s="292"/>
      <c r="FUJ17" s="292"/>
      <c r="FUK17" s="292"/>
      <c r="FUL17" s="292"/>
      <c r="FUM17" s="292"/>
      <c r="FUN17" s="292"/>
      <c r="FUO17" s="292"/>
      <c r="FUP17" s="292"/>
      <c r="FUQ17" s="292"/>
      <c r="FUR17" s="292"/>
      <c r="FUS17" s="292"/>
      <c r="FUT17" s="292"/>
      <c r="FUU17" s="292"/>
      <c r="FUV17" s="292"/>
      <c r="FUW17" s="292"/>
      <c r="FUX17" s="292"/>
      <c r="FUY17" s="292"/>
      <c r="FUZ17" s="292"/>
      <c r="FVA17" s="292"/>
      <c r="FVB17" s="292"/>
      <c r="FVC17" s="292"/>
      <c r="FVD17" s="292"/>
      <c r="FVE17" s="292"/>
      <c r="FVF17" s="292"/>
      <c r="FVG17" s="292"/>
      <c r="FVH17" s="292"/>
      <c r="FVI17" s="292"/>
      <c r="FVJ17" s="292"/>
      <c r="FVK17" s="292"/>
      <c r="FVL17" s="292"/>
      <c r="FVM17" s="292"/>
      <c r="FVN17" s="292"/>
      <c r="FVO17" s="292"/>
      <c r="FVP17" s="292"/>
      <c r="FVQ17" s="292"/>
      <c r="FVR17" s="292"/>
      <c r="FVS17" s="292"/>
      <c r="FVT17" s="292"/>
      <c r="FVU17" s="292"/>
      <c r="FVV17" s="292"/>
      <c r="FVW17" s="292"/>
      <c r="FVX17" s="292"/>
      <c r="FVY17" s="292"/>
      <c r="FVZ17" s="292"/>
      <c r="FWA17" s="292"/>
      <c r="FWB17" s="292"/>
      <c r="FWC17" s="292"/>
      <c r="FWD17" s="292"/>
      <c r="FWE17" s="292"/>
      <c r="FWF17" s="292"/>
      <c r="FWG17" s="292"/>
      <c r="FWH17" s="292"/>
      <c r="FWI17" s="292"/>
      <c r="FWJ17" s="292"/>
      <c r="FWK17" s="292"/>
      <c r="FWL17" s="292"/>
      <c r="FWM17" s="292"/>
      <c r="FWN17" s="292"/>
      <c r="FWO17" s="292"/>
      <c r="FWP17" s="292"/>
      <c r="FWQ17" s="292"/>
      <c r="FWR17" s="292"/>
      <c r="FWS17" s="292"/>
      <c r="FWT17" s="292"/>
      <c r="FWU17" s="292"/>
      <c r="FWV17" s="292"/>
      <c r="FWW17" s="292"/>
      <c r="FWX17" s="292"/>
      <c r="FWY17" s="292"/>
      <c r="FWZ17" s="292"/>
      <c r="FXA17" s="292"/>
      <c r="FXB17" s="292"/>
      <c r="FXC17" s="292"/>
      <c r="FXD17" s="292"/>
      <c r="FXE17" s="292"/>
      <c r="FXF17" s="292"/>
      <c r="FXG17" s="292"/>
      <c r="FXH17" s="292"/>
      <c r="FXI17" s="292"/>
      <c r="FXJ17" s="292"/>
      <c r="FXK17" s="292"/>
      <c r="FXL17" s="292"/>
      <c r="FXM17" s="292"/>
      <c r="FXN17" s="292"/>
      <c r="FXO17" s="292"/>
      <c r="FXP17" s="292"/>
      <c r="FXQ17" s="292"/>
      <c r="FXR17" s="292"/>
      <c r="FXS17" s="292"/>
      <c r="FXT17" s="292"/>
      <c r="FXU17" s="292"/>
      <c r="FXV17" s="292"/>
      <c r="FXW17" s="292"/>
      <c r="FXX17" s="292"/>
      <c r="FXY17" s="292"/>
      <c r="FXZ17" s="292"/>
      <c r="FYA17" s="292"/>
      <c r="FYB17" s="292"/>
      <c r="FYC17" s="292"/>
      <c r="FYD17" s="292"/>
      <c r="FYE17" s="292"/>
      <c r="FYF17" s="292"/>
      <c r="FYG17" s="292"/>
      <c r="FYH17" s="292"/>
      <c r="FYI17" s="292"/>
      <c r="FYJ17" s="292"/>
      <c r="FYK17" s="292"/>
      <c r="FYL17" s="292"/>
      <c r="FYM17" s="292"/>
      <c r="FYN17" s="292"/>
      <c r="FYO17" s="292"/>
      <c r="FYP17" s="292"/>
      <c r="FYQ17" s="292"/>
      <c r="FYR17" s="292"/>
      <c r="FYS17" s="292"/>
      <c r="FYT17" s="292"/>
      <c r="FYU17" s="292"/>
      <c r="FYV17" s="292"/>
      <c r="FYW17" s="292"/>
      <c r="FYX17" s="292"/>
      <c r="FYY17" s="292"/>
      <c r="FYZ17" s="292"/>
      <c r="FZA17" s="292"/>
      <c r="FZB17" s="292"/>
      <c r="FZC17" s="292"/>
      <c r="FZD17" s="292"/>
      <c r="FZE17" s="292"/>
      <c r="FZF17" s="292"/>
      <c r="FZG17" s="292"/>
      <c r="FZH17" s="292"/>
      <c r="FZI17" s="292"/>
      <c r="FZJ17" s="292"/>
      <c r="FZK17" s="292"/>
      <c r="FZL17" s="292"/>
      <c r="FZM17" s="292"/>
      <c r="FZN17" s="292"/>
      <c r="FZO17" s="292"/>
      <c r="FZP17" s="292"/>
      <c r="FZQ17" s="292"/>
      <c r="FZR17" s="292"/>
      <c r="FZS17" s="292"/>
      <c r="FZT17" s="292"/>
      <c r="FZU17" s="292"/>
      <c r="FZV17" s="292"/>
      <c r="FZW17" s="292"/>
      <c r="FZX17" s="292"/>
      <c r="FZY17" s="292"/>
      <c r="FZZ17" s="292"/>
      <c r="GAA17" s="292"/>
      <c r="GAB17" s="292"/>
      <c r="GAC17" s="292"/>
      <c r="GAD17" s="292"/>
      <c r="GAE17" s="292"/>
      <c r="GAF17" s="292"/>
      <c r="GAG17" s="292"/>
      <c r="GAH17" s="292"/>
      <c r="GAI17" s="292"/>
      <c r="GAJ17" s="292"/>
      <c r="GAK17" s="292"/>
      <c r="GAL17" s="292"/>
      <c r="GAM17" s="292"/>
      <c r="GAN17" s="292"/>
      <c r="GAO17" s="292"/>
      <c r="GAP17" s="292"/>
      <c r="GAQ17" s="292"/>
      <c r="GAR17" s="292"/>
      <c r="GAS17" s="292"/>
      <c r="GAT17" s="292"/>
      <c r="GAU17" s="292"/>
      <c r="GAV17" s="292"/>
      <c r="GAW17" s="292"/>
      <c r="GAX17" s="292"/>
      <c r="GAY17" s="292"/>
      <c r="GAZ17" s="292"/>
      <c r="GBA17" s="292"/>
      <c r="GBB17" s="292"/>
      <c r="GBC17" s="292"/>
      <c r="GBD17" s="292"/>
      <c r="GBE17" s="292"/>
      <c r="GBF17" s="292"/>
      <c r="GBG17" s="292"/>
      <c r="GBH17" s="292"/>
      <c r="GBI17" s="292"/>
      <c r="GBJ17" s="292"/>
      <c r="GBK17" s="292"/>
      <c r="GBL17" s="292"/>
      <c r="GBM17" s="292"/>
      <c r="GBN17" s="292"/>
      <c r="GBO17" s="292"/>
      <c r="GBP17" s="292"/>
      <c r="GBQ17" s="292"/>
      <c r="GBR17" s="292"/>
      <c r="GBS17" s="292"/>
      <c r="GBT17" s="292"/>
      <c r="GBU17" s="292"/>
      <c r="GBV17" s="292"/>
      <c r="GBW17" s="292"/>
      <c r="GBX17" s="292"/>
      <c r="GBY17" s="292"/>
      <c r="GBZ17" s="292"/>
      <c r="GCA17" s="292"/>
      <c r="GCB17" s="292"/>
      <c r="GCC17" s="292"/>
      <c r="GCD17" s="292"/>
      <c r="GCE17" s="292"/>
      <c r="GCF17" s="292"/>
      <c r="GCG17" s="292"/>
      <c r="GCH17" s="292"/>
      <c r="GCI17" s="292"/>
      <c r="GCJ17" s="292"/>
      <c r="GCK17" s="292"/>
      <c r="GCL17" s="292"/>
      <c r="GCM17" s="292"/>
      <c r="GCN17" s="292"/>
      <c r="GCO17" s="292"/>
      <c r="GCP17" s="292"/>
      <c r="GCQ17" s="292"/>
      <c r="GCR17" s="292"/>
      <c r="GCS17" s="292"/>
      <c r="GCT17" s="292"/>
      <c r="GCU17" s="292"/>
      <c r="GCV17" s="292"/>
      <c r="GCW17" s="292"/>
      <c r="GCX17" s="292"/>
      <c r="GCY17" s="292"/>
      <c r="GCZ17" s="292"/>
      <c r="GDA17" s="292"/>
      <c r="GDB17" s="292"/>
      <c r="GDC17" s="292"/>
      <c r="GDD17" s="292"/>
      <c r="GDE17" s="292"/>
      <c r="GDF17" s="292"/>
      <c r="GDG17" s="292"/>
      <c r="GDH17" s="292"/>
      <c r="GDI17" s="292"/>
      <c r="GDJ17" s="292"/>
      <c r="GDK17" s="292"/>
      <c r="GDL17" s="292"/>
      <c r="GDM17" s="292"/>
      <c r="GDN17" s="292"/>
      <c r="GDO17" s="292"/>
      <c r="GDP17" s="292"/>
      <c r="GDQ17" s="292"/>
      <c r="GDR17" s="292"/>
      <c r="GDS17" s="292"/>
      <c r="GDT17" s="292"/>
      <c r="GDU17" s="292"/>
      <c r="GDV17" s="292"/>
      <c r="GDW17" s="292"/>
      <c r="GDX17" s="292"/>
      <c r="GDY17" s="292"/>
      <c r="GDZ17" s="292"/>
      <c r="GEA17" s="292"/>
      <c r="GEB17" s="292"/>
      <c r="GEC17" s="292"/>
      <c r="GED17" s="292"/>
      <c r="GEE17" s="292"/>
      <c r="GEF17" s="292"/>
      <c r="GEG17" s="292"/>
      <c r="GEH17" s="292"/>
      <c r="GEI17" s="292"/>
      <c r="GEJ17" s="292"/>
      <c r="GEK17" s="292"/>
      <c r="GEL17" s="292"/>
      <c r="GEM17" s="292"/>
      <c r="GEN17" s="292"/>
      <c r="GEO17" s="292"/>
      <c r="GEP17" s="292"/>
      <c r="GEQ17" s="292"/>
      <c r="GER17" s="292"/>
      <c r="GES17" s="292"/>
      <c r="GET17" s="292"/>
      <c r="GEU17" s="292"/>
      <c r="GEV17" s="292"/>
      <c r="GEW17" s="292"/>
      <c r="GEX17" s="292"/>
      <c r="GEY17" s="292"/>
      <c r="GEZ17" s="292"/>
      <c r="GFA17" s="292"/>
      <c r="GFB17" s="292"/>
      <c r="GFC17" s="292"/>
      <c r="GFD17" s="292"/>
      <c r="GFE17" s="292"/>
      <c r="GFF17" s="292"/>
      <c r="GFG17" s="292"/>
      <c r="GFH17" s="292"/>
      <c r="GFI17" s="292"/>
      <c r="GFJ17" s="292"/>
      <c r="GFK17" s="292"/>
      <c r="GFL17" s="292"/>
      <c r="GFM17" s="292"/>
      <c r="GFN17" s="292"/>
      <c r="GFO17" s="292"/>
      <c r="GFP17" s="292"/>
      <c r="GFQ17" s="292"/>
      <c r="GFR17" s="292"/>
      <c r="GFS17" s="292"/>
      <c r="GFT17" s="292"/>
      <c r="GFU17" s="292"/>
      <c r="GFV17" s="292"/>
      <c r="GFW17" s="292"/>
      <c r="GFX17" s="292"/>
      <c r="GFY17" s="292"/>
      <c r="GFZ17" s="292"/>
      <c r="GGA17" s="292"/>
      <c r="GGB17" s="292"/>
      <c r="GGC17" s="292"/>
      <c r="GGD17" s="292"/>
      <c r="GGE17" s="292"/>
      <c r="GGF17" s="292"/>
      <c r="GGG17" s="292"/>
      <c r="GGH17" s="292"/>
      <c r="GGI17" s="292"/>
      <c r="GGJ17" s="292"/>
      <c r="GGK17" s="292"/>
      <c r="GGL17" s="292"/>
      <c r="GGM17" s="292"/>
      <c r="GGN17" s="292"/>
      <c r="GGO17" s="292"/>
      <c r="GGP17" s="292"/>
      <c r="GGQ17" s="292"/>
      <c r="GGR17" s="292"/>
      <c r="GGS17" s="292"/>
      <c r="GGT17" s="292"/>
      <c r="GGU17" s="292"/>
      <c r="GGV17" s="292"/>
      <c r="GGW17" s="292"/>
      <c r="GGX17" s="292"/>
      <c r="GGY17" s="292"/>
      <c r="GGZ17" s="292"/>
      <c r="GHA17" s="292"/>
      <c r="GHB17" s="292"/>
      <c r="GHC17" s="292"/>
      <c r="GHD17" s="292"/>
      <c r="GHE17" s="292"/>
      <c r="GHF17" s="292"/>
      <c r="GHG17" s="292"/>
      <c r="GHH17" s="292"/>
      <c r="GHI17" s="292"/>
      <c r="GHJ17" s="292"/>
      <c r="GHK17" s="292"/>
      <c r="GHL17" s="292"/>
      <c r="GHM17" s="292"/>
      <c r="GHN17" s="292"/>
      <c r="GHO17" s="292"/>
      <c r="GHP17" s="292"/>
      <c r="GHQ17" s="292"/>
      <c r="GHR17" s="292"/>
      <c r="GHS17" s="292"/>
      <c r="GHT17" s="292"/>
      <c r="GHU17" s="292"/>
      <c r="GHV17" s="292"/>
      <c r="GHW17" s="292"/>
      <c r="GHX17" s="292"/>
      <c r="GHY17" s="292"/>
      <c r="GHZ17" s="292"/>
      <c r="GIA17" s="292"/>
      <c r="GIB17" s="292"/>
      <c r="GIC17" s="292"/>
      <c r="GID17" s="292"/>
      <c r="GIE17" s="292"/>
      <c r="GIF17" s="292"/>
      <c r="GIG17" s="292"/>
      <c r="GIH17" s="292"/>
      <c r="GII17" s="292"/>
      <c r="GIJ17" s="292"/>
      <c r="GIK17" s="292"/>
      <c r="GIL17" s="292"/>
      <c r="GIM17" s="292"/>
      <c r="GIN17" s="292"/>
      <c r="GIO17" s="292"/>
      <c r="GIP17" s="292"/>
      <c r="GIQ17" s="292"/>
      <c r="GIR17" s="292"/>
      <c r="GIS17" s="292"/>
      <c r="GIT17" s="292"/>
      <c r="GIU17" s="292"/>
      <c r="GIV17" s="292"/>
      <c r="GIW17" s="292"/>
      <c r="GIX17" s="292"/>
      <c r="GIY17" s="292"/>
      <c r="GIZ17" s="292"/>
      <c r="GJA17" s="292"/>
      <c r="GJB17" s="292"/>
      <c r="GJC17" s="292"/>
      <c r="GJD17" s="292"/>
      <c r="GJE17" s="292"/>
      <c r="GJF17" s="292"/>
      <c r="GJG17" s="292"/>
      <c r="GJH17" s="292"/>
      <c r="GJI17" s="292"/>
      <c r="GJJ17" s="292"/>
      <c r="GJK17" s="292"/>
      <c r="GJL17" s="292"/>
      <c r="GJM17" s="292"/>
      <c r="GJN17" s="292"/>
      <c r="GJO17" s="292"/>
      <c r="GJP17" s="292"/>
      <c r="GJQ17" s="292"/>
      <c r="GJR17" s="292"/>
      <c r="GJS17" s="292"/>
      <c r="GJT17" s="292"/>
      <c r="GJU17" s="292"/>
      <c r="GJV17" s="292"/>
      <c r="GJW17" s="292"/>
      <c r="GJX17" s="292"/>
      <c r="GJY17" s="292"/>
      <c r="GJZ17" s="292"/>
      <c r="GKA17" s="292"/>
      <c r="GKB17" s="292"/>
      <c r="GKC17" s="292"/>
      <c r="GKD17" s="292"/>
      <c r="GKE17" s="292"/>
      <c r="GKF17" s="292"/>
      <c r="GKG17" s="292"/>
      <c r="GKH17" s="292"/>
      <c r="GKI17" s="292"/>
      <c r="GKJ17" s="292"/>
      <c r="GKK17" s="292"/>
      <c r="GKL17" s="292"/>
      <c r="GKM17" s="292"/>
      <c r="GKN17" s="292"/>
      <c r="GKO17" s="292"/>
      <c r="GKP17" s="292"/>
      <c r="GKQ17" s="292"/>
      <c r="GKR17" s="292"/>
      <c r="GKS17" s="292"/>
      <c r="GKT17" s="292"/>
      <c r="GKU17" s="292"/>
      <c r="GKV17" s="292"/>
      <c r="GKW17" s="292"/>
      <c r="GKX17" s="292"/>
      <c r="GKY17" s="292"/>
      <c r="GKZ17" s="292"/>
      <c r="GLA17" s="292"/>
      <c r="GLB17" s="292"/>
      <c r="GLC17" s="292"/>
      <c r="GLD17" s="292"/>
      <c r="GLE17" s="292"/>
      <c r="GLF17" s="292"/>
      <c r="GLG17" s="292"/>
      <c r="GLH17" s="292"/>
      <c r="GLI17" s="292"/>
      <c r="GLJ17" s="292"/>
      <c r="GLK17" s="292"/>
      <c r="GLL17" s="292"/>
      <c r="GLM17" s="292"/>
      <c r="GLN17" s="292"/>
      <c r="GLO17" s="292"/>
      <c r="GLP17" s="292"/>
      <c r="GLQ17" s="292"/>
      <c r="GLR17" s="292"/>
      <c r="GLS17" s="292"/>
      <c r="GLT17" s="292"/>
      <c r="GLU17" s="292"/>
      <c r="GLV17" s="292"/>
      <c r="GLW17" s="292"/>
      <c r="GLX17" s="292"/>
      <c r="GLY17" s="292"/>
      <c r="GLZ17" s="292"/>
      <c r="GMA17" s="292"/>
      <c r="GMB17" s="292"/>
      <c r="GMC17" s="292"/>
      <c r="GMD17" s="292"/>
      <c r="GME17" s="292"/>
      <c r="GMF17" s="292"/>
      <c r="GMG17" s="292"/>
      <c r="GMH17" s="292"/>
      <c r="GMI17" s="292"/>
      <c r="GMJ17" s="292"/>
      <c r="GMK17" s="292"/>
      <c r="GML17" s="292"/>
      <c r="GMM17" s="292"/>
      <c r="GMN17" s="292"/>
      <c r="GMO17" s="292"/>
      <c r="GMP17" s="292"/>
      <c r="GMQ17" s="292"/>
      <c r="GMR17" s="292"/>
      <c r="GMS17" s="292"/>
      <c r="GMT17" s="292"/>
      <c r="GMU17" s="292"/>
      <c r="GMV17" s="292"/>
      <c r="GMW17" s="292"/>
      <c r="GMX17" s="292"/>
      <c r="GMY17" s="292"/>
      <c r="GMZ17" s="292"/>
      <c r="GNA17" s="292"/>
      <c r="GNB17" s="292"/>
      <c r="GNC17" s="292"/>
      <c r="GND17" s="292"/>
      <c r="GNE17" s="292"/>
      <c r="GNF17" s="292"/>
      <c r="GNG17" s="292"/>
      <c r="GNH17" s="292"/>
      <c r="GNI17" s="292"/>
      <c r="GNJ17" s="292"/>
      <c r="GNK17" s="292"/>
      <c r="GNL17" s="292"/>
      <c r="GNM17" s="292"/>
      <c r="GNN17" s="292"/>
      <c r="GNO17" s="292"/>
      <c r="GNP17" s="292"/>
      <c r="GNQ17" s="292"/>
      <c r="GNR17" s="292"/>
      <c r="GNS17" s="292"/>
      <c r="GNT17" s="292"/>
      <c r="GNU17" s="292"/>
      <c r="GNV17" s="292"/>
      <c r="GNW17" s="292"/>
      <c r="GNX17" s="292"/>
      <c r="GNY17" s="292"/>
      <c r="GNZ17" s="292"/>
      <c r="GOA17" s="292"/>
      <c r="GOB17" s="292"/>
      <c r="GOC17" s="292"/>
      <c r="GOD17" s="292"/>
      <c r="GOE17" s="292"/>
      <c r="GOF17" s="292"/>
      <c r="GOG17" s="292"/>
      <c r="GOH17" s="292"/>
      <c r="GOI17" s="292"/>
      <c r="GOJ17" s="292"/>
      <c r="GOK17" s="292"/>
      <c r="GOL17" s="292"/>
      <c r="GOM17" s="292"/>
      <c r="GON17" s="292"/>
      <c r="GOO17" s="292"/>
      <c r="GOP17" s="292"/>
      <c r="GOQ17" s="292"/>
      <c r="GOR17" s="292"/>
      <c r="GOS17" s="292"/>
      <c r="GOT17" s="292"/>
      <c r="GOU17" s="292"/>
      <c r="GOV17" s="292"/>
      <c r="GOW17" s="292"/>
      <c r="GOX17" s="292"/>
      <c r="GOY17" s="292"/>
      <c r="GOZ17" s="292"/>
      <c r="GPA17" s="292"/>
      <c r="GPB17" s="292"/>
      <c r="GPC17" s="292"/>
      <c r="GPD17" s="292"/>
      <c r="GPE17" s="292"/>
      <c r="GPF17" s="292"/>
      <c r="GPG17" s="292"/>
      <c r="GPH17" s="292"/>
      <c r="GPI17" s="292"/>
      <c r="GPJ17" s="292"/>
      <c r="GPK17" s="292"/>
      <c r="GPL17" s="292"/>
      <c r="GPM17" s="292"/>
      <c r="GPN17" s="292"/>
      <c r="GPO17" s="292"/>
      <c r="GPP17" s="292"/>
      <c r="GPQ17" s="292"/>
      <c r="GPR17" s="292"/>
      <c r="GPS17" s="292"/>
      <c r="GPT17" s="292"/>
      <c r="GPU17" s="292"/>
      <c r="GPV17" s="292"/>
      <c r="GPW17" s="292"/>
      <c r="GPX17" s="292"/>
      <c r="GPY17" s="292"/>
      <c r="GPZ17" s="292"/>
      <c r="GQA17" s="292"/>
      <c r="GQB17" s="292"/>
      <c r="GQC17" s="292"/>
      <c r="GQD17" s="292"/>
      <c r="GQE17" s="292"/>
      <c r="GQF17" s="292"/>
      <c r="GQG17" s="292"/>
      <c r="GQH17" s="292"/>
      <c r="GQI17" s="292"/>
      <c r="GQJ17" s="292"/>
      <c r="GQK17" s="292"/>
      <c r="GQL17" s="292"/>
      <c r="GQM17" s="292"/>
      <c r="GQN17" s="292"/>
      <c r="GQO17" s="292"/>
      <c r="GQP17" s="292"/>
      <c r="GQQ17" s="292"/>
      <c r="GQR17" s="292"/>
      <c r="GQS17" s="292"/>
      <c r="GQT17" s="292"/>
      <c r="GQU17" s="292"/>
      <c r="GQV17" s="292"/>
      <c r="GQW17" s="292"/>
      <c r="GQX17" s="292"/>
      <c r="GQY17" s="292"/>
      <c r="GQZ17" s="292"/>
      <c r="GRA17" s="292"/>
      <c r="GRB17" s="292"/>
      <c r="GRC17" s="292"/>
      <c r="GRD17" s="292"/>
      <c r="GRE17" s="292"/>
      <c r="GRF17" s="292"/>
      <c r="GRG17" s="292"/>
      <c r="GRH17" s="292"/>
      <c r="GRI17" s="292"/>
      <c r="GRJ17" s="292"/>
      <c r="GRK17" s="292"/>
      <c r="GRL17" s="292"/>
      <c r="GRM17" s="292"/>
      <c r="GRN17" s="292"/>
      <c r="GRO17" s="292"/>
      <c r="GRP17" s="292"/>
      <c r="GRQ17" s="292"/>
      <c r="GRR17" s="292"/>
      <c r="GRS17" s="292"/>
      <c r="GRT17" s="292"/>
      <c r="GRU17" s="292"/>
      <c r="GRV17" s="292"/>
      <c r="GRW17" s="292"/>
      <c r="GRX17" s="292"/>
      <c r="GRY17" s="292"/>
      <c r="GRZ17" s="292"/>
      <c r="GSA17" s="292"/>
      <c r="GSB17" s="292"/>
      <c r="GSC17" s="292"/>
      <c r="GSD17" s="292"/>
      <c r="GSE17" s="292"/>
      <c r="GSF17" s="292"/>
      <c r="GSG17" s="292"/>
      <c r="GSH17" s="292"/>
      <c r="GSI17" s="292"/>
      <c r="GSJ17" s="292"/>
      <c r="GSK17" s="292"/>
      <c r="GSL17" s="292"/>
      <c r="GSM17" s="292"/>
      <c r="GSN17" s="292"/>
      <c r="GSO17" s="292"/>
      <c r="GSP17" s="292"/>
      <c r="GSQ17" s="292"/>
      <c r="GSR17" s="292"/>
      <c r="GSS17" s="292"/>
      <c r="GST17" s="292"/>
      <c r="GSU17" s="292"/>
      <c r="GSV17" s="292"/>
      <c r="GSW17" s="292"/>
      <c r="GSX17" s="292"/>
      <c r="GSY17" s="292"/>
      <c r="GSZ17" s="292"/>
      <c r="GTA17" s="292"/>
      <c r="GTB17" s="292"/>
      <c r="GTC17" s="292"/>
      <c r="GTD17" s="292"/>
      <c r="GTE17" s="292"/>
      <c r="GTF17" s="292"/>
      <c r="GTG17" s="292"/>
      <c r="GTH17" s="292"/>
      <c r="GTI17" s="292"/>
      <c r="GTJ17" s="292"/>
      <c r="GTK17" s="292"/>
      <c r="GTL17" s="292"/>
      <c r="GTM17" s="292"/>
      <c r="GTN17" s="292"/>
      <c r="GTO17" s="292"/>
      <c r="GTP17" s="292"/>
      <c r="GTQ17" s="292"/>
      <c r="GTR17" s="292"/>
      <c r="GTS17" s="292"/>
      <c r="GTT17" s="292"/>
      <c r="GTU17" s="292"/>
      <c r="GTV17" s="292"/>
      <c r="GTW17" s="292"/>
      <c r="GTX17" s="292"/>
      <c r="GTY17" s="292"/>
      <c r="GTZ17" s="292"/>
      <c r="GUA17" s="292"/>
      <c r="GUB17" s="292"/>
      <c r="GUC17" s="292"/>
      <c r="GUD17" s="292"/>
      <c r="GUE17" s="292"/>
      <c r="GUF17" s="292"/>
      <c r="GUG17" s="292"/>
      <c r="GUH17" s="292"/>
      <c r="GUI17" s="292"/>
      <c r="GUJ17" s="292"/>
      <c r="GUK17" s="292"/>
      <c r="GUL17" s="292"/>
      <c r="GUM17" s="292"/>
      <c r="GUN17" s="292"/>
      <c r="GUO17" s="292"/>
      <c r="GUP17" s="292"/>
      <c r="GUQ17" s="292"/>
      <c r="GUR17" s="292"/>
      <c r="GUS17" s="292"/>
      <c r="GUT17" s="292"/>
      <c r="GUU17" s="292"/>
      <c r="GUV17" s="292"/>
      <c r="GUW17" s="292"/>
      <c r="GUX17" s="292"/>
      <c r="GUY17" s="292"/>
      <c r="GUZ17" s="292"/>
      <c r="GVA17" s="292"/>
      <c r="GVB17" s="292"/>
      <c r="GVC17" s="292"/>
      <c r="GVD17" s="292"/>
      <c r="GVE17" s="292"/>
      <c r="GVF17" s="292"/>
      <c r="GVG17" s="292"/>
      <c r="GVH17" s="292"/>
      <c r="GVI17" s="292"/>
      <c r="GVJ17" s="292"/>
      <c r="GVK17" s="292"/>
      <c r="GVL17" s="292"/>
      <c r="GVM17" s="292"/>
      <c r="GVN17" s="292"/>
      <c r="GVO17" s="292"/>
      <c r="GVP17" s="292"/>
      <c r="GVQ17" s="292"/>
      <c r="GVR17" s="292"/>
      <c r="GVS17" s="292"/>
      <c r="GVT17" s="292"/>
      <c r="GVU17" s="292"/>
      <c r="GVV17" s="292"/>
      <c r="GVW17" s="292"/>
      <c r="GVX17" s="292"/>
      <c r="GVY17" s="292"/>
      <c r="GVZ17" s="292"/>
      <c r="GWA17" s="292"/>
      <c r="GWB17" s="292"/>
      <c r="GWC17" s="292"/>
      <c r="GWD17" s="292"/>
      <c r="GWE17" s="292"/>
      <c r="GWF17" s="292"/>
      <c r="GWG17" s="292"/>
      <c r="GWH17" s="292"/>
      <c r="GWI17" s="292"/>
      <c r="GWJ17" s="292"/>
      <c r="GWK17" s="292"/>
      <c r="GWL17" s="292"/>
      <c r="GWM17" s="292"/>
      <c r="GWN17" s="292"/>
      <c r="GWO17" s="292"/>
      <c r="GWP17" s="292"/>
      <c r="GWQ17" s="292"/>
      <c r="GWR17" s="292"/>
      <c r="GWS17" s="292"/>
      <c r="GWT17" s="292"/>
      <c r="GWU17" s="292"/>
      <c r="GWV17" s="292"/>
      <c r="GWW17" s="292"/>
      <c r="GWX17" s="292"/>
      <c r="GWY17" s="292"/>
      <c r="GWZ17" s="292"/>
      <c r="GXA17" s="292"/>
      <c r="GXB17" s="292"/>
      <c r="GXC17" s="292"/>
      <c r="GXD17" s="292"/>
      <c r="GXE17" s="292"/>
      <c r="GXF17" s="292"/>
      <c r="GXG17" s="292"/>
      <c r="GXH17" s="292"/>
      <c r="GXI17" s="292"/>
      <c r="GXJ17" s="292"/>
      <c r="GXK17" s="292"/>
      <c r="GXL17" s="292"/>
      <c r="GXM17" s="292"/>
      <c r="GXN17" s="292"/>
      <c r="GXO17" s="292"/>
      <c r="GXP17" s="292"/>
      <c r="GXQ17" s="292"/>
      <c r="GXR17" s="292"/>
      <c r="GXS17" s="292"/>
      <c r="GXT17" s="292"/>
      <c r="GXU17" s="292"/>
      <c r="GXV17" s="292"/>
      <c r="GXW17" s="292"/>
      <c r="GXX17" s="292"/>
      <c r="GXY17" s="292"/>
      <c r="GXZ17" s="292"/>
      <c r="GYA17" s="292"/>
      <c r="GYB17" s="292"/>
      <c r="GYC17" s="292"/>
      <c r="GYD17" s="292"/>
      <c r="GYE17" s="292"/>
      <c r="GYF17" s="292"/>
      <c r="GYG17" s="292"/>
      <c r="GYH17" s="292"/>
      <c r="GYI17" s="292"/>
      <c r="GYJ17" s="292"/>
      <c r="GYK17" s="292"/>
      <c r="GYL17" s="292"/>
      <c r="GYM17" s="292"/>
      <c r="GYN17" s="292"/>
      <c r="GYO17" s="292"/>
      <c r="GYP17" s="292"/>
      <c r="GYQ17" s="292"/>
      <c r="GYR17" s="292"/>
      <c r="GYS17" s="292"/>
      <c r="GYT17" s="292"/>
      <c r="GYU17" s="292"/>
      <c r="GYV17" s="292"/>
      <c r="GYW17" s="292"/>
      <c r="GYX17" s="292"/>
      <c r="GYY17" s="292"/>
      <c r="GYZ17" s="292"/>
      <c r="GZA17" s="292"/>
      <c r="GZB17" s="292"/>
      <c r="GZC17" s="292"/>
      <c r="GZD17" s="292"/>
      <c r="GZE17" s="292"/>
      <c r="GZF17" s="292"/>
      <c r="GZG17" s="292"/>
      <c r="GZH17" s="292"/>
      <c r="GZI17" s="292"/>
      <c r="GZJ17" s="292"/>
      <c r="GZK17" s="292"/>
      <c r="GZL17" s="292"/>
      <c r="GZM17" s="292"/>
      <c r="GZN17" s="292"/>
      <c r="GZO17" s="292"/>
      <c r="GZP17" s="292"/>
      <c r="GZQ17" s="292"/>
      <c r="GZR17" s="292"/>
      <c r="GZS17" s="292"/>
      <c r="GZT17" s="292"/>
      <c r="GZU17" s="292"/>
      <c r="GZV17" s="292"/>
      <c r="GZW17" s="292"/>
      <c r="GZX17" s="292"/>
      <c r="GZY17" s="292"/>
      <c r="GZZ17" s="292"/>
      <c r="HAA17" s="292"/>
      <c r="HAB17" s="292"/>
      <c r="HAC17" s="292"/>
      <c r="HAD17" s="292"/>
      <c r="HAE17" s="292"/>
      <c r="HAF17" s="292"/>
      <c r="HAG17" s="292"/>
      <c r="HAH17" s="292"/>
      <c r="HAI17" s="292"/>
      <c r="HAJ17" s="292"/>
      <c r="HAK17" s="292"/>
      <c r="HAL17" s="292"/>
      <c r="HAM17" s="292"/>
      <c r="HAN17" s="292"/>
      <c r="HAO17" s="292"/>
      <c r="HAP17" s="292"/>
      <c r="HAQ17" s="292"/>
      <c r="HAR17" s="292"/>
      <c r="HAS17" s="292"/>
      <c r="HAT17" s="292"/>
      <c r="HAU17" s="292"/>
      <c r="HAV17" s="292"/>
      <c r="HAW17" s="292"/>
      <c r="HAX17" s="292"/>
      <c r="HAY17" s="292"/>
      <c r="HAZ17" s="292"/>
      <c r="HBA17" s="292"/>
      <c r="HBB17" s="292"/>
      <c r="HBC17" s="292"/>
      <c r="HBD17" s="292"/>
      <c r="HBE17" s="292"/>
      <c r="HBF17" s="292"/>
      <c r="HBG17" s="292"/>
      <c r="HBH17" s="292"/>
      <c r="HBI17" s="292"/>
      <c r="HBJ17" s="292"/>
      <c r="HBK17" s="292"/>
      <c r="HBL17" s="292"/>
      <c r="HBM17" s="292"/>
      <c r="HBN17" s="292"/>
      <c r="HBO17" s="292"/>
      <c r="HBP17" s="292"/>
      <c r="HBQ17" s="292"/>
      <c r="HBR17" s="292"/>
      <c r="HBS17" s="292"/>
      <c r="HBT17" s="292"/>
      <c r="HBU17" s="292"/>
      <c r="HBV17" s="292"/>
      <c r="HBW17" s="292"/>
      <c r="HBX17" s="292"/>
      <c r="HBY17" s="292"/>
      <c r="HBZ17" s="292"/>
      <c r="HCA17" s="292"/>
      <c r="HCB17" s="292"/>
      <c r="HCC17" s="292"/>
      <c r="HCD17" s="292"/>
      <c r="HCE17" s="292"/>
      <c r="HCF17" s="292"/>
      <c r="HCG17" s="292"/>
      <c r="HCH17" s="292"/>
      <c r="HCI17" s="292"/>
      <c r="HCJ17" s="292"/>
      <c r="HCK17" s="292"/>
      <c r="HCL17" s="292"/>
      <c r="HCM17" s="292"/>
      <c r="HCN17" s="292"/>
      <c r="HCO17" s="292"/>
      <c r="HCP17" s="292"/>
      <c r="HCQ17" s="292"/>
      <c r="HCR17" s="292"/>
      <c r="HCS17" s="292"/>
      <c r="HCT17" s="292"/>
      <c r="HCU17" s="292"/>
      <c r="HCV17" s="292"/>
      <c r="HCW17" s="292"/>
      <c r="HCX17" s="292"/>
      <c r="HCY17" s="292"/>
      <c r="HCZ17" s="292"/>
      <c r="HDA17" s="292"/>
      <c r="HDB17" s="292"/>
      <c r="HDC17" s="292"/>
      <c r="HDD17" s="292"/>
      <c r="HDE17" s="292"/>
      <c r="HDF17" s="292"/>
      <c r="HDG17" s="292"/>
      <c r="HDH17" s="292"/>
      <c r="HDI17" s="292"/>
      <c r="HDJ17" s="292"/>
      <c r="HDK17" s="292"/>
      <c r="HDL17" s="292"/>
      <c r="HDM17" s="292"/>
      <c r="HDN17" s="292"/>
      <c r="HDO17" s="292"/>
      <c r="HDP17" s="292"/>
      <c r="HDQ17" s="292"/>
      <c r="HDR17" s="292"/>
      <c r="HDS17" s="292"/>
      <c r="HDT17" s="292"/>
      <c r="HDU17" s="292"/>
      <c r="HDV17" s="292"/>
      <c r="HDW17" s="292"/>
      <c r="HDX17" s="292"/>
      <c r="HDY17" s="292"/>
      <c r="HDZ17" s="292"/>
      <c r="HEA17" s="292"/>
      <c r="HEB17" s="292"/>
      <c r="HEC17" s="292"/>
      <c r="HED17" s="292"/>
      <c r="HEE17" s="292"/>
      <c r="HEF17" s="292"/>
      <c r="HEG17" s="292"/>
      <c r="HEH17" s="292"/>
      <c r="HEI17" s="292"/>
      <c r="HEJ17" s="292"/>
      <c r="HEK17" s="292"/>
      <c r="HEL17" s="292"/>
      <c r="HEM17" s="292"/>
      <c r="HEN17" s="292"/>
      <c r="HEO17" s="292"/>
      <c r="HEP17" s="292"/>
      <c r="HEQ17" s="292"/>
      <c r="HER17" s="292"/>
      <c r="HES17" s="292"/>
      <c r="HET17" s="292"/>
      <c r="HEU17" s="292"/>
      <c r="HEV17" s="292"/>
      <c r="HEW17" s="292"/>
      <c r="HEX17" s="292"/>
      <c r="HEY17" s="292"/>
      <c r="HEZ17" s="292"/>
      <c r="HFA17" s="292"/>
      <c r="HFB17" s="292"/>
      <c r="HFC17" s="292"/>
      <c r="HFD17" s="292"/>
      <c r="HFE17" s="292"/>
      <c r="HFF17" s="292"/>
      <c r="HFG17" s="292"/>
      <c r="HFH17" s="292"/>
      <c r="HFI17" s="292"/>
      <c r="HFJ17" s="292"/>
      <c r="HFK17" s="292"/>
      <c r="HFL17" s="292"/>
      <c r="HFM17" s="292"/>
      <c r="HFN17" s="292"/>
      <c r="HFO17" s="292"/>
      <c r="HFP17" s="292"/>
      <c r="HFQ17" s="292"/>
      <c r="HFR17" s="292"/>
      <c r="HFS17" s="292"/>
      <c r="HFT17" s="292"/>
      <c r="HFU17" s="292"/>
      <c r="HFV17" s="292"/>
      <c r="HFW17" s="292"/>
      <c r="HFX17" s="292"/>
      <c r="HFY17" s="292"/>
      <c r="HFZ17" s="292"/>
      <c r="HGA17" s="292"/>
      <c r="HGB17" s="292"/>
      <c r="HGC17" s="292"/>
      <c r="HGD17" s="292"/>
      <c r="HGE17" s="292"/>
      <c r="HGF17" s="292"/>
      <c r="HGG17" s="292"/>
      <c r="HGH17" s="292"/>
      <c r="HGI17" s="292"/>
      <c r="HGJ17" s="292"/>
      <c r="HGK17" s="292"/>
      <c r="HGL17" s="292"/>
      <c r="HGM17" s="292"/>
      <c r="HGN17" s="292"/>
      <c r="HGO17" s="292"/>
      <c r="HGP17" s="292"/>
      <c r="HGQ17" s="292"/>
      <c r="HGR17" s="292"/>
      <c r="HGS17" s="292"/>
      <c r="HGT17" s="292"/>
      <c r="HGU17" s="292"/>
      <c r="HGV17" s="292"/>
      <c r="HGW17" s="292"/>
      <c r="HGX17" s="292"/>
      <c r="HGY17" s="292"/>
      <c r="HGZ17" s="292"/>
      <c r="HHA17" s="292"/>
      <c r="HHB17" s="292"/>
      <c r="HHC17" s="292"/>
      <c r="HHD17" s="292"/>
      <c r="HHE17" s="292"/>
      <c r="HHF17" s="292"/>
      <c r="HHG17" s="292"/>
      <c r="HHH17" s="292"/>
      <c r="HHI17" s="292"/>
      <c r="HHJ17" s="292"/>
      <c r="HHK17" s="292"/>
      <c r="HHL17" s="292"/>
      <c r="HHM17" s="292"/>
      <c r="HHN17" s="292"/>
      <c r="HHO17" s="292"/>
      <c r="HHP17" s="292"/>
      <c r="HHQ17" s="292"/>
      <c r="HHR17" s="292"/>
      <c r="HHS17" s="292"/>
      <c r="HHT17" s="292"/>
      <c r="HHU17" s="292"/>
      <c r="HHV17" s="292"/>
      <c r="HHW17" s="292"/>
      <c r="HHX17" s="292"/>
      <c r="HHY17" s="292"/>
      <c r="HHZ17" s="292"/>
      <c r="HIA17" s="292"/>
      <c r="HIB17" s="292"/>
      <c r="HIC17" s="292"/>
      <c r="HID17" s="292"/>
      <c r="HIE17" s="292"/>
      <c r="HIF17" s="292"/>
      <c r="HIG17" s="292"/>
      <c r="HIH17" s="292"/>
      <c r="HII17" s="292"/>
      <c r="HIJ17" s="292"/>
      <c r="HIK17" s="292"/>
      <c r="HIL17" s="292"/>
      <c r="HIM17" s="292"/>
      <c r="HIN17" s="292"/>
      <c r="HIO17" s="292"/>
      <c r="HIP17" s="292"/>
      <c r="HIQ17" s="292"/>
      <c r="HIR17" s="292"/>
      <c r="HIS17" s="292"/>
      <c r="HIT17" s="292"/>
      <c r="HIU17" s="292"/>
      <c r="HIV17" s="292"/>
      <c r="HIW17" s="292"/>
      <c r="HIX17" s="292"/>
      <c r="HIY17" s="292"/>
      <c r="HIZ17" s="292"/>
      <c r="HJA17" s="292"/>
      <c r="HJB17" s="292"/>
      <c r="HJC17" s="292"/>
      <c r="HJD17" s="292"/>
      <c r="HJE17" s="292"/>
      <c r="HJF17" s="292"/>
      <c r="HJG17" s="292"/>
      <c r="HJH17" s="292"/>
      <c r="HJI17" s="292"/>
      <c r="HJJ17" s="292"/>
      <c r="HJK17" s="292"/>
      <c r="HJL17" s="292"/>
      <c r="HJM17" s="292"/>
      <c r="HJN17" s="292"/>
      <c r="HJO17" s="292"/>
      <c r="HJP17" s="292"/>
      <c r="HJQ17" s="292"/>
      <c r="HJR17" s="292"/>
      <c r="HJS17" s="292"/>
      <c r="HJT17" s="292"/>
      <c r="HJU17" s="292"/>
      <c r="HJV17" s="292"/>
      <c r="HJW17" s="292"/>
      <c r="HJX17" s="292"/>
      <c r="HJY17" s="292"/>
      <c r="HJZ17" s="292"/>
      <c r="HKA17" s="292"/>
      <c r="HKB17" s="292"/>
      <c r="HKC17" s="292"/>
      <c r="HKD17" s="292"/>
      <c r="HKE17" s="292"/>
      <c r="HKF17" s="292"/>
      <c r="HKG17" s="292"/>
      <c r="HKH17" s="292"/>
      <c r="HKI17" s="292"/>
      <c r="HKJ17" s="292"/>
      <c r="HKK17" s="292"/>
      <c r="HKL17" s="292"/>
      <c r="HKM17" s="292"/>
      <c r="HKN17" s="292"/>
      <c r="HKO17" s="292"/>
      <c r="HKP17" s="292"/>
      <c r="HKQ17" s="292"/>
      <c r="HKR17" s="292"/>
      <c r="HKS17" s="292"/>
      <c r="HKT17" s="292"/>
      <c r="HKU17" s="292"/>
      <c r="HKV17" s="292"/>
      <c r="HKW17" s="292"/>
      <c r="HKX17" s="292"/>
      <c r="HKY17" s="292"/>
      <c r="HKZ17" s="292"/>
      <c r="HLA17" s="292"/>
      <c r="HLB17" s="292"/>
      <c r="HLC17" s="292"/>
      <c r="HLD17" s="292"/>
      <c r="HLE17" s="292"/>
      <c r="HLF17" s="292"/>
      <c r="HLG17" s="292"/>
      <c r="HLH17" s="292"/>
      <c r="HLI17" s="292"/>
      <c r="HLJ17" s="292"/>
      <c r="HLK17" s="292"/>
      <c r="HLL17" s="292"/>
      <c r="HLM17" s="292"/>
      <c r="HLN17" s="292"/>
      <c r="HLO17" s="292"/>
      <c r="HLP17" s="292"/>
      <c r="HLQ17" s="292"/>
      <c r="HLR17" s="292"/>
      <c r="HLS17" s="292"/>
      <c r="HLT17" s="292"/>
      <c r="HLU17" s="292"/>
      <c r="HLV17" s="292"/>
      <c r="HLW17" s="292"/>
      <c r="HLX17" s="292"/>
      <c r="HLY17" s="292"/>
      <c r="HLZ17" s="292"/>
      <c r="HMA17" s="292"/>
      <c r="HMB17" s="292"/>
      <c r="HMC17" s="292"/>
      <c r="HMD17" s="292"/>
      <c r="HME17" s="292"/>
      <c r="HMF17" s="292"/>
      <c r="HMG17" s="292"/>
      <c r="HMH17" s="292"/>
      <c r="HMI17" s="292"/>
      <c r="HMJ17" s="292"/>
      <c r="HMK17" s="292"/>
      <c r="HML17" s="292"/>
      <c r="HMM17" s="292"/>
      <c r="HMN17" s="292"/>
      <c r="HMO17" s="292"/>
      <c r="HMP17" s="292"/>
      <c r="HMQ17" s="292"/>
      <c r="HMR17" s="292"/>
      <c r="HMS17" s="292"/>
      <c r="HMT17" s="292"/>
      <c r="HMU17" s="292"/>
      <c r="HMV17" s="292"/>
      <c r="HMW17" s="292"/>
      <c r="HMX17" s="292"/>
      <c r="HMY17" s="292"/>
      <c r="HMZ17" s="292"/>
      <c r="HNA17" s="292"/>
      <c r="HNB17" s="292"/>
      <c r="HNC17" s="292"/>
      <c r="HND17" s="292"/>
      <c r="HNE17" s="292"/>
      <c r="HNF17" s="292"/>
      <c r="HNG17" s="292"/>
      <c r="HNH17" s="292"/>
      <c r="HNI17" s="292"/>
      <c r="HNJ17" s="292"/>
      <c r="HNK17" s="292"/>
      <c r="HNL17" s="292"/>
      <c r="HNM17" s="292"/>
      <c r="HNN17" s="292"/>
      <c r="HNO17" s="292"/>
      <c r="HNP17" s="292"/>
      <c r="HNQ17" s="292"/>
      <c r="HNR17" s="292"/>
      <c r="HNS17" s="292"/>
      <c r="HNT17" s="292"/>
      <c r="HNU17" s="292"/>
      <c r="HNV17" s="292"/>
      <c r="HNW17" s="292"/>
      <c r="HNX17" s="292"/>
      <c r="HNY17" s="292"/>
      <c r="HNZ17" s="292"/>
      <c r="HOA17" s="292"/>
      <c r="HOB17" s="292"/>
      <c r="HOC17" s="292"/>
      <c r="HOD17" s="292"/>
      <c r="HOE17" s="292"/>
      <c r="HOF17" s="292"/>
      <c r="HOG17" s="292"/>
      <c r="HOH17" s="292"/>
      <c r="HOI17" s="292"/>
      <c r="HOJ17" s="292"/>
      <c r="HOK17" s="292"/>
      <c r="HOL17" s="292"/>
      <c r="HOM17" s="292"/>
      <c r="HON17" s="292"/>
      <c r="HOO17" s="292"/>
      <c r="HOP17" s="292"/>
      <c r="HOQ17" s="292"/>
      <c r="HOR17" s="292"/>
      <c r="HOS17" s="292"/>
      <c r="HOT17" s="292"/>
      <c r="HOU17" s="292"/>
      <c r="HOV17" s="292"/>
      <c r="HOW17" s="292"/>
      <c r="HOX17" s="292"/>
      <c r="HOY17" s="292"/>
      <c r="HOZ17" s="292"/>
      <c r="HPA17" s="292"/>
      <c r="HPB17" s="292"/>
      <c r="HPC17" s="292"/>
      <c r="HPD17" s="292"/>
      <c r="HPE17" s="292"/>
      <c r="HPF17" s="292"/>
      <c r="HPG17" s="292"/>
      <c r="HPH17" s="292"/>
      <c r="HPI17" s="292"/>
      <c r="HPJ17" s="292"/>
      <c r="HPK17" s="292"/>
      <c r="HPL17" s="292"/>
      <c r="HPM17" s="292"/>
      <c r="HPN17" s="292"/>
      <c r="HPO17" s="292"/>
      <c r="HPP17" s="292"/>
      <c r="HPQ17" s="292"/>
      <c r="HPR17" s="292"/>
      <c r="HPS17" s="292"/>
      <c r="HPT17" s="292"/>
      <c r="HPU17" s="292"/>
      <c r="HPV17" s="292"/>
      <c r="HPW17" s="292"/>
      <c r="HPX17" s="292"/>
      <c r="HPY17" s="292"/>
      <c r="HPZ17" s="292"/>
      <c r="HQA17" s="292"/>
      <c r="HQB17" s="292"/>
      <c r="HQC17" s="292"/>
      <c r="HQD17" s="292"/>
      <c r="HQE17" s="292"/>
      <c r="HQF17" s="292"/>
      <c r="HQG17" s="292"/>
      <c r="HQH17" s="292"/>
      <c r="HQI17" s="292"/>
      <c r="HQJ17" s="292"/>
      <c r="HQK17" s="292"/>
      <c r="HQL17" s="292"/>
      <c r="HQM17" s="292"/>
      <c r="HQN17" s="292"/>
      <c r="HQO17" s="292"/>
      <c r="HQP17" s="292"/>
      <c r="HQQ17" s="292"/>
      <c r="HQR17" s="292"/>
      <c r="HQS17" s="292"/>
      <c r="HQT17" s="292"/>
      <c r="HQU17" s="292"/>
      <c r="HQV17" s="292"/>
      <c r="HQW17" s="292"/>
      <c r="HQX17" s="292"/>
      <c r="HQY17" s="292"/>
      <c r="HQZ17" s="292"/>
      <c r="HRA17" s="292"/>
      <c r="HRB17" s="292"/>
      <c r="HRC17" s="292"/>
      <c r="HRD17" s="292"/>
      <c r="HRE17" s="292"/>
      <c r="HRF17" s="292"/>
      <c r="HRG17" s="292"/>
      <c r="HRH17" s="292"/>
      <c r="HRI17" s="292"/>
      <c r="HRJ17" s="292"/>
      <c r="HRK17" s="292"/>
      <c r="HRL17" s="292"/>
      <c r="HRM17" s="292"/>
      <c r="HRN17" s="292"/>
      <c r="HRO17" s="292"/>
      <c r="HRP17" s="292"/>
      <c r="HRQ17" s="292"/>
      <c r="HRR17" s="292"/>
      <c r="HRS17" s="292"/>
      <c r="HRT17" s="292"/>
      <c r="HRU17" s="292"/>
      <c r="HRV17" s="292"/>
      <c r="HRW17" s="292"/>
      <c r="HRX17" s="292"/>
      <c r="HRY17" s="292"/>
      <c r="HRZ17" s="292"/>
      <c r="HSA17" s="292"/>
      <c r="HSB17" s="292"/>
      <c r="HSC17" s="292"/>
      <c r="HSD17" s="292"/>
      <c r="HSE17" s="292"/>
      <c r="HSF17" s="292"/>
      <c r="HSG17" s="292"/>
      <c r="HSH17" s="292"/>
      <c r="HSI17" s="292"/>
      <c r="HSJ17" s="292"/>
      <c r="HSK17" s="292"/>
      <c r="HSL17" s="292"/>
      <c r="HSM17" s="292"/>
      <c r="HSN17" s="292"/>
      <c r="HSO17" s="292"/>
      <c r="HSP17" s="292"/>
      <c r="HSQ17" s="292"/>
      <c r="HSR17" s="292"/>
      <c r="HSS17" s="292"/>
      <c r="HST17" s="292"/>
      <c r="HSU17" s="292"/>
      <c r="HSV17" s="292"/>
      <c r="HSW17" s="292"/>
      <c r="HSX17" s="292"/>
      <c r="HSY17" s="292"/>
      <c r="HSZ17" s="292"/>
      <c r="HTA17" s="292"/>
      <c r="HTB17" s="292"/>
      <c r="HTC17" s="292"/>
      <c r="HTD17" s="292"/>
      <c r="HTE17" s="292"/>
      <c r="HTF17" s="292"/>
      <c r="HTG17" s="292"/>
      <c r="HTH17" s="292"/>
      <c r="HTI17" s="292"/>
      <c r="HTJ17" s="292"/>
      <c r="HTK17" s="292"/>
      <c r="HTL17" s="292"/>
      <c r="HTM17" s="292"/>
      <c r="HTN17" s="292"/>
      <c r="HTO17" s="292"/>
      <c r="HTP17" s="292"/>
      <c r="HTQ17" s="292"/>
      <c r="HTR17" s="292"/>
      <c r="HTS17" s="292"/>
      <c r="HTT17" s="292"/>
      <c r="HTU17" s="292"/>
      <c r="HTV17" s="292"/>
      <c r="HTW17" s="292"/>
      <c r="HTX17" s="292"/>
      <c r="HTY17" s="292"/>
      <c r="HTZ17" s="292"/>
      <c r="HUA17" s="292"/>
      <c r="HUB17" s="292"/>
      <c r="HUC17" s="292"/>
      <c r="HUD17" s="292"/>
      <c r="HUE17" s="292"/>
      <c r="HUF17" s="292"/>
      <c r="HUG17" s="292"/>
      <c r="HUH17" s="292"/>
      <c r="HUI17" s="292"/>
      <c r="HUJ17" s="292"/>
      <c r="HUK17" s="292"/>
      <c r="HUL17" s="292"/>
      <c r="HUM17" s="292"/>
      <c r="HUN17" s="292"/>
      <c r="HUO17" s="292"/>
      <c r="HUP17" s="292"/>
      <c r="HUQ17" s="292"/>
      <c r="HUR17" s="292"/>
      <c r="HUS17" s="292"/>
      <c r="HUT17" s="292"/>
      <c r="HUU17" s="292"/>
      <c r="HUV17" s="292"/>
      <c r="HUW17" s="292"/>
      <c r="HUX17" s="292"/>
      <c r="HUY17" s="292"/>
      <c r="HUZ17" s="292"/>
      <c r="HVA17" s="292"/>
      <c r="HVB17" s="292"/>
      <c r="HVC17" s="292"/>
      <c r="HVD17" s="292"/>
      <c r="HVE17" s="292"/>
      <c r="HVF17" s="292"/>
      <c r="HVG17" s="292"/>
      <c r="HVH17" s="292"/>
      <c r="HVI17" s="292"/>
      <c r="HVJ17" s="292"/>
      <c r="HVK17" s="292"/>
      <c r="HVL17" s="292"/>
      <c r="HVM17" s="292"/>
      <c r="HVN17" s="292"/>
      <c r="HVO17" s="292"/>
      <c r="HVP17" s="292"/>
      <c r="HVQ17" s="292"/>
      <c r="HVR17" s="292"/>
      <c r="HVS17" s="292"/>
      <c r="HVT17" s="292"/>
      <c r="HVU17" s="292"/>
      <c r="HVV17" s="292"/>
      <c r="HVW17" s="292"/>
      <c r="HVX17" s="292"/>
      <c r="HVY17" s="292"/>
      <c r="HVZ17" s="292"/>
      <c r="HWA17" s="292"/>
      <c r="HWB17" s="292"/>
      <c r="HWC17" s="292"/>
      <c r="HWD17" s="292"/>
      <c r="HWE17" s="292"/>
      <c r="HWF17" s="292"/>
      <c r="HWG17" s="292"/>
      <c r="HWH17" s="292"/>
      <c r="HWI17" s="292"/>
      <c r="HWJ17" s="292"/>
      <c r="HWK17" s="292"/>
      <c r="HWL17" s="292"/>
      <c r="HWM17" s="292"/>
      <c r="HWN17" s="292"/>
      <c r="HWO17" s="292"/>
      <c r="HWP17" s="292"/>
      <c r="HWQ17" s="292"/>
      <c r="HWR17" s="292"/>
      <c r="HWS17" s="292"/>
      <c r="HWT17" s="292"/>
      <c r="HWU17" s="292"/>
      <c r="HWV17" s="292"/>
      <c r="HWW17" s="292"/>
      <c r="HWX17" s="292"/>
      <c r="HWY17" s="292"/>
      <c r="HWZ17" s="292"/>
      <c r="HXA17" s="292"/>
      <c r="HXB17" s="292"/>
      <c r="HXC17" s="292"/>
      <c r="HXD17" s="292"/>
      <c r="HXE17" s="292"/>
      <c r="HXF17" s="292"/>
      <c r="HXG17" s="292"/>
      <c r="HXH17" s="292"/>
      <c r="HXI17" s="292"/>
      <c r="HXJ17" s="292"/>
      <c r="HXK17" s="292"/>
      <c r="HXL17" s="292"/>
      <c r="HXM17" s="292"/>
      <c r="HXN17" s="292"/>
      <c r="HXO17" s="292"/>
      <c r="HXP17" s="292"/>
      <c r="HXQ17" s="292"/>
      <c r="HXR17" s="292"/>
      <c r="HXS17" s="292"/>
      <c r="HXT17" s="292"/>
      <c r="HXU17" s="292"/>
      <c r="HXV17" s="292"/>
      <c r="HXW17" s="292"/>
      <c r="HXX17" s="292"/>
      <c r="HXY17" s="292"/>
      <c r="HXZ17" s="292"/>
      <c r="HYA17" s="292"/>
      <c r="HYB17" s="292"/>
      <c r="HYC17" s="292"/>
      <c r="HYD17" s="292"/>
      <c r="HYE17" s="292"/>
      <c r="HYF17" s="292"/>
      <c r="HYG17" s="292"/>
      <c r="HYH17" s="292"/>
      <c r="HYI17" s="292"/>
      <c r="HYJ17" s="292"/>
      <c r="HYK17" s="292"/>
      <c r="HYL17" s="292"/>
      <c r="HYM17" s="292"/>
      <c r="HYN17" s="292"/>
      <c r="HYO17" s="292"/>
      <c r="HYP17" s="292"/>
      <c r="HYQ17" s="292"/>
      <c r="HYR17" s="292"/>
      <c r="HYS17" s="292"/>
      <c r="HYT17" s="292"/>
      <c r="HYU17" s="292"/>
      <c r="HYV17" s="292"/>
      <c r="HYW17" s="292"/>
      <c r="HYX17" s="292"/>
      <c r="HYY17" s="292"/>
      <c r="HYZ17" s="292"/>
      <c r="HZA17" s="292"/>
      <c r="HZB17" s="292"/>
      <c r="HZC17" s="292"/>
      <c r="HZD17" s="292"/>
      <c r="HZE17" s="292"/>
      <c r="HZF17" s="292"/>
      <c r="HZG17" s="292"/>
      <c r="HZH17" s="292"/>
      <c r="HZI17" s="292"/>
      <c r="HZJ17" s="292"/>
      <c r="HZK17" s="292"/>
      <c r="HZL17" s="292"/>
      <c r="HZM17" s="292"/>
      <c r="HZN17" s="292"/>
      <c r="HZO17" s="292"/>
      <c r="HZP17" s="292"/>
      <c r="HZQ17" s="292"/>
      <c r="HZR17" s="292"/>
      <c r="HZS17" s="292"/>
      <c r="HZT17" s="292"/>
      <c r="HZU17" s="292"/>
      <c r="HZV17" s="292"/>
      <c r="HZW17" s="292"/>
      <c r="HZX17" s="292"/>
      <c r="HZY17" s="292"/>
      <c r="HZZ17" s="292"/>
      <c r="IAA17" s="292"/>
      <c r="IAB17" s="292"/>
      <c r="IAC17" s="292"/>
      <c r="IAD17" s="292"/>
      <c r="IAE17" s="292"/>
      <c r="IAF17" s="292"/>
      <c r="IAG17" s="292"/>
      <c r="IAH17" s="292"/>
      <c r="IAI17" s="292"/>
      <c r="IAJ17" s="292"/>
      <c r="IAK17" s="292"/>
      <c r="IAL17" s="292"/>
      <c r="IAM17" s="292"/>
      <c r="IAN17" s="292"/>
      <c r="IAO17" s="292"/>
      <c r="IAP17" s="292"/>
      <c r="IAQ17" s="292"/>
      <c r="IAR17" s="292"/>
      <c r="IAS17" s="292"/>
      <c r="IAT17" s="292"/>
      <c r="IAU17" s="292"/>
      <c r="IAV17" s="292"/>
      <c r="IAW17" s="292"/>
      <c r="IAX17" s="292"/>
      <c r="IAY17" s="292"/>
      <c r="IAZ17" s="292"/>
      <c r="IBA17" s="292"/>
      <c r="IBB17" s="292"/>
      <c r="IBC17" s="292"/>
      <c r="IBD17" s="292"/>
      <c r="IBE17" s="292"/>
      <c r="IBF17" s="292"/>
      <c r="IBG17" s="292"/>
      <c r="IBH17" s="292"/>
      <c r="IBI17" s="292"/>
      <c r="IBJ17" s="292"/>
      <c r="IBK17" s="292"/>
      <c r="IBL17" s="292"/>
      <c r="IBM17" s="292"/>
      <c r="IBN17" s="292"/>
      <c r="IBO17" s="292"/>
      <c r="IBP17" s="292"/>
      <c r="IBQ17" s="292"/>
      <c r="IBR17" s="292"/>
      <c r="IBS17" s="292"/>
      <c r="IBT17" s="292"/>
      <c r="IBU17" s="292"/>
      <c r="IBV17" s="292"/>
      <c r="IBW17" s="292"/>
      <c r="IBX17" s="292"/>
      <c r="IBY17" s="292"/>
      <c r="IBZ17" s="292"/>
      <c r="ICA17" s="292"/>
      <c r="ICB17" s="292"/>
      <c r="ICC17" s="292"/>
      <c r="ICD17" s="292"/>
      <c r="ICE17" s="292"/>
      <c r="ICF17" s="292"/>
      <c r="ICG17" s="292"/>
      <c r="ICH17" s="292"/>
      <c r="ICI17" s="292"/>
      <c r="ICJ17" s="292"/>
      <c r="ICK17" s="292"/>
      <c r="ICL17" s="292"/>
      <c r="ICM17" s="292"/>
      <c r="ICN17" s="292"/>
      <c r="ICO17" s="292"/>
      <c r="ICP17" s="292"/>
      <c r="ICQ17" s="292"/>
      <c r="ICR17" s="292"/>
      <c r="ICS17" s="292"/>
      <c r="ICT17" s="292"/>
      <c r="ICU17" s="292"/>
      <c r="ICV17" s="292"/>
      <c r="ICW17" s="292"/>
      <c r="ICX17" s="292"/>
      <c r="ICY17" s="292"/>
      <c r="ICZ17" s="292"/>
      <c r="IDA17" s="292"/>
      <c r="IDB17" s="292"/>
      <c r="IDC17" s="292"/>
      <c r="IDD17" s="292"/>
      <c r="IDE17" s="292"/>
      <c r="IDF17" s="292"/>
      <c r="IDG17" s="292"/>
      <c r="IDH17" s="292"/>
      <c r="IDI17" s="292"/>
      <c r="IDJ17" s="292"/>
      <c r="IDK17" s="292"/>
      <c r="IDL17" s="292"/>
      <c r="IDM17" s="292"/>
      <c r="IDN17" s="292"/>
      <c r="IDO17" s="292"/>
      <c r="IDP17" s="292"/>
      <c r="IDQ17" s="292"/>
      <c r="IDR17" s="292"/>
      <c r="IDS17" s="292"/>
      <c r="IDT17" s="292"/>
      <c r="IDU17" s="292"/>
      <c r="IDV17" s="292"/>
      <c r="IDW17" s="292"/>
      <c r="IDX17" s="292"/>
      <c r="IDY17" s="292"/>
      <c r="IDZ17" s="292"/>
      <c r="IEA17" s="292"/>
      <c r="IEB17" s="292"/>
      <c r="IEC17" s="292"/>
      <c r="IED17" s="292"/>
      <c r="IEE17" s="292"/>
      <c r="IEF17" s="292"/>
      <c r="IEG17" s="292"/>
      <c r="IEH17" s="292"/>
      <c r="IEI17" s="292"/>
      <c r="IEJ17" s="292"/>
      <c r="IEK17" s="292"/>
      <c r="IEL17" s="292"/>
      <c r="IEM17" s="292"/>
      <c r="IEN17" s="292"/>
      <c r="IEO17" s="292"/>
      <c r="IEP17" s="292"/>
      <c r="IEQ17" s="292"/>
      <c r="IER17" s="292"/>
      <c r="IES17" s="292"/>
      <c r="IET17" s="292"/>
      <c r="IEU17" s="292"/>
      <c r="IEV17" s="292"/>
      <c r="IEW17" s="292"/>
      <c r="IEX17" s="292"/>
      <c r="IEY17" s="292"/>
      <c r="IEZ17" s="292"/>
      <c r="IFA17" s="292"/>
      <c r="IFB17" s="292"/>
      <c r="IFC17" s="292"/>
      <c r="IFD17" s="292"/>
      <c r="IFE17" s="292"/>
      <c r="IFF17" s="292"/>
      <c r="IFG17" s="292"/>
      <c r="IFH17" s="292"/>
      <c r="IFI17" s="292"/>
      <c r="IFJ17" s="292"/>
      <c r="IFK17" s="292"/>
      <c r="IFL17" s="292"/>
      <c r="IFM17" s="292"/>
      <c r="IFN17" s="292"/>
      <c r="IFO17" s="292"/>
      <c r="IFP17" s="292"/>
      <c r="IFQ17" s="292"/>
      <c r="IFR17" s="292"/>
      <c r="IFS17" s="292"/>
      <c r="IFT17" s="292"/>
      <c r="IFU17" s="292"/>
      <c r="IFV17" s="292"/>
      <c r="IFW17" s="292"/>
      <c r="IFX17" s="292"/>
      <c r="IFY17" s="292"/>
      <c r="IFZ17" s="292"/>
      <c r="IGA17" s="292"/>
      <c r="IGB17" s="292"/>
      <c r="IGC17" s="292"/>
      <c r="IGD17" s="292"/>
      <c r="IGE17" s="292"/>
      <c r="IGF17" s="292"/>
      <c r="IGG17" s="292"/>
      <c r="IGH17" s="292"/>
      <c r="IGI17" s="292"/>
      <c r="IGJ17" s="292"/>
      <c r="IGK17" s="292"/>
      <c r="IGL17" s="292"/>
      <c r="IGM17" s="292"/>
      <c r="IGN17" s="292"/>
      <c r="IGO17" s="292"/>
      <c r="IGP17" s="292"/>
      <c r="IGQ17" s="292"/>
      <c r="IGR17" s="292"/>
      <c r="IGS17" s="292"/>
      <c r="IGT17" s="292"/>
      <c r="IGU17" s="292"/>
      <c r="IGV17" s="292"/>
      <c r="IGW17" s="292"/>
      <c r="IGX17" s="292"/>
      <c r="IGY17" s="292"/>
      <c r="IGZ17" s="292"/>
      <c r="IHA17" s="292"/>
      <c r="IHB17" s="292"/>
      <c r="IHC17" s="292"/>
      <c r="IHD17" s="292"/>
      <c r="IHE17" s="292"/>
      <c r="IHF17" s="292"/>
      <c r="IHG17" s="292"/>
      <c r="IHH17" s="292"/>
      <c r="IHI17" s="292"/>
      <c r="IHJ17" s="292"/>
      <c r="IHK17" s="292"/>
      <c r="IHL17" s="292"/>
      <c r="IHM17" s="292"/>
      <c r="IHN17" s="292"/>
      <c r="IHO17" s="292"/>
      <c r="IHP17" s="292"/>
      <c r="IHQ17" s="292"/>
      <c r="IHR17" s="292"/>
      <c r="IHS17" s="292"/>
      <c r="IHT17" s="292"/>
      <c r="IHU17" s="292"/>
      <c r="IHV17" s="292"/>
      <c r="IHW17" s="292"/>
      <c r="IHX17" s="292"/>
      <c r="IHY17" s="292"/>
      <c r="IHZ17" s="292"/>
      <c r="IIA17" s="292"/>
      <c r="IIB17" s="292"/>
      <c r="IIC17" s="292"/>
      <c r="IID17" s="292"/>
      <c r="IIE17" s="292"/>
      <c r="IIF17" s="292"/>
      <c r="IIG17" s="292"/>
      <c r="IIH17" s="292"/>
      <c r="III17" s="292"/>
      <c r="IIJ17" s="292"/>
      <c r="IIK17" s="292"/>
      <c r="IIL17" s="292"/>
      <c r="IIM17" s="292"/>
      <c r="IIN17" s="292"/>
      <c r="IIO17" s="292"/>
      <c r="IIP17" s="292"/>
      <c r="IIQ17" s="292"/>
      <c r="IIR17" s="292"/>
      <c r="IIS17" s="292"/>
      <c r="IIT17" s="292"/>
      <c r="IIU17" s="292"/>
      <c r="IIV17" s="292"/>
      <c r="IIW17" s="292"/>
      <c r="IIX17" s="292"/>
      <c r="IIY17" s="292"/>
      <c r="IIZ17" s="292"/>
      <c r="IJA17" s="292"/>
      <c r="IJB17" s="292"/>
      <c r="IJC17" s="292"/>
      <c r="IJD17" s="292"/>
      <c r="IJE17" s="292"/>
      <c r="IJF17" s="292"/>
      <c r="IJG17" s="292"/>
      <c r="IJH17" s="292"/>
      <c r="IJI17" s="292"/>
      <c r="IJJ17" s="292"/>
      <c r="IJK17" s="292"/>
      <c r="IJL17" s="292"/>
      <c r="IJM17" s="292"/>
      <c r="IJN17" s="292"/>
      <c r="IJO17" s="292"/>
      <c r="IJP17" s="292"/>
      <c r="IJQ17" s="292"/>
      <c r="IJR17" s="292"/>
      <c r="IJS17" s="292"/>
      <c r="IJT17" s="292"/>
      <c r="IJU17" s="292"/>
      <c r="IJV17" s="292"/>
      <c r="IJW17" s="292"/>
      <c r="IJX17" s="292"/>
      <c r="IJY17" s="292"/>
      <c r="IJZ17" s="292"/>
      <c r="IKA17" s="292"/>
      <c r="IKB17" s="292"/>
      <c r="IKC17" s="292"/>
      <c r="IKD17" s="292"/>
      <c r="IKE17" s="292"/>
      <c r="IKF17" s="292"/>
      <c r="IKG17" s="292"/>
      <c r="IKH17" s="292"/>
      <c r="IKI17" s="292"/>
      <c r="IKJ17" s="292"/>
      <c r="IKK17" s="292"/>
      <c r="IKL17" s="292"/>
      <c r="IKM17" s="292"/>
      <c r="IKN17" s="292"/>
      <c r="IKO17" s="292"/>
      <c r="IKP17" s="292"/>
      <c r="IKQ17" s="292"/>
      <c r="IKR17" s="292"/>
      <c r="IKS17" s="292"/>
      <c r="IKT17" s="292"/>
      <c r="IKU17" s="292"/>
      <c r="IKV17" s="292"/>
      <c r="IKW17" s="292"/>
      <c r="IKX17" s="292"/>
      <c r="IKY17" s="292"/>
      <c r="IKZ17" s="292"/>
      <c r="ILA17" s="292"/>
      <c r="ILB17" s="292"/>
      <c r="ILC17" s="292"/>
      <c r="ILD17" s="292"/>
      <c r="ILE17" s="292"/>
      <c r="ILF17" s="292"/>
      <c r="ILG17" s="292"/>
      <c r="ILH17" s="292"/>
      <c r="ILI17" s="292"/>
      <c r="ILJ17" s="292"/>
      <c r="ILK17" s="292"/>
      <c r="ILL17" s="292"/>
      <c r="ILM17" s="292"/>
      <c r="ILN17" s="292"/>
      <c r="ILO17" s="292"/>
      <c r="ILP17" s="292"/>
      <c r="ILQ17" s="292"/>
      <c r="ILR17" s="292"/>
      <c r="ILS17" s="292"/>
      <c r="ILT17" s="292"/>
      <c r="ILU17" s="292"/>
      <c r="ILV17" s="292"/>
      <c r="ILW17" s="292"/>
      <c r="ILX17" s="292"/>
      <c r="ILY17" s="292"/>
      <c r="ILZ17" s="292"/>
      <c r="IMA17" s="292"/>
      <c r="IMB17" s="292"/>
      <c r="IMC17" s="292"/>
      <c r="IMD17" s="292"/>
      <c r="IME17" s="292"/>
      <c r="IMF17" s="292"/>
      <c r="IMG17" s="292"/>
      <c r="IMH17" s="292"/>
      <c r="IMI17" s="292"/>
      <c r="IMJ17" s="292"/>
      <c r="IMK17" s="292"/>
      <c r="IML17" s="292"/>
      <c r="IMM17" s="292"/>
      <c r="IMN17" s="292"/>
      <c r="IMO17" s="292"/>
      <c r="IMP17" s="292"/>
      <c r="IMQ17" s="292"/>
      <c r="IMR17" s="292"/>
      <c r="IMS17" s="292"/>
      <c r="IMT17" s="292"/>
      <c r="IMU17" s="292"/>
      <c r="IMV17" s="292"/>
      <c r="IMW17" s="292"/>
      <c r="IMX17" s="292"/>
      <c r="IMY17" s="292"/>
      <c r="IMZ17" s="292"/>
      <c r="INA17" s="292"/>
      <c r="INB17" s="292"/>
      <c r="INC17" s="292"/>
      <c r="IND17" s="292"/>
      <c r="INE17" s="292"/>
      <c r="INF17" s="292"/>
      <c r="ING17" s="292"/>
      <c r="INH17" s="292"/>
      <c r="INI17" s="292"/>
      <c r="INJ17" s="292"/>
      <c r="INK17" s="292"/>
      <c r="INL17" s="292"/>
      <c r="INM17" s="292"/>
      <c r="INN17" s="292"/>
      <c r="INO17" s="292"/>
      <c r="INP17" s="292"/>
      <c r="INQ17" s="292"/>
      <c r="INR17" s="292"/>
      <c r="INS17" s="292"/>
      <c r="INT17" s="292"/>
      <c r="INU17" s="292"/>
      <c r="INV17" s="292"/>
      <c r="INW17" s="292"/>
      <c r="INX17" s="292"/>
      <c r="INY17" s="292"/>
      <c r="INZ17" s="292"/>
      <c r="IOA17" s="292"/>
      <c r="IOB17" s="292"/>
      <c r="IOC17" s="292"/>
      <c r="IOD17" s="292"/>
      <c r="IOE17" s="292"/>
      <c r="IOF17" s="292"/>
      <c r="IOG17" s="292"/>
      <c r="IOH17" s="292"/>
      <c r="IOI17" s="292"/>
      <c r="IOJ17" s="292"/>
      <c r="IOK17" s="292"/>
      <c r="IOL17" s="292"/>
      <c r="IOM17" s="292"/>
      <c r="ION17" s="292"/>
      <c r="IOO17" s="292"/>
      <c r="IOP17" s="292"/>
      <c r="IOQ17" s="292"/>
      <c r="IOR17" s="292"/>
      <c r="IOS17" s="292"/>
      <c r="IOT17" s="292"/>
      <c r="IOU17" s="292"/>
      <c r="IOV17" s="292"/>
      <c r="IOW17" s="292"/>
      <c r="IOX17" s="292"/>
      <c r="IOY17" s="292"/>
      <c r="IOZ17" s="292"/>
      <c r="IPA17" s="292"/>
      <c r="IPB17" s="292"/>
      <c r="IPC17" s="292"/>
      <c r="IPD17" s="292"/>
      <c r="IPE17" s="292"/>
      <c r="IPF17" s="292"/>
      <c r="IPG17" s="292"/>
      <c r="IPH17" s="292"/>
      <c r="IPI17" s="292"/>
      <c r="IPJ17" s="292"/>
      <c r="IPK17" s="292"/>
      <c r="IPL17" s="292"/>
      <c r="IPM17" s="292"/>
      <c r="IPN17" s="292"/>
      <c r="IPO17" s="292"/>
      <c r="IPP17" s="292"/>
      <c r="IPQ17" s="292"/>
      <c r="IPR17" s="292"/>
      <c r="IPS17" s="292"/>
      <c r="IPT17" s="292"/>
      <c r="IPU17" s="292"/>
      <c r="IPV17" s="292"/>
      <c r="IPW17" s="292"/>
      <c r="IPX17" s="292"/>
      <c r="IPY17" s="292"/>
      <c r="IPZ17" s="292"/>
      <c r="IQA17" s="292"/>
      <c r="IQB17" s="292"/>
      <c r="IQC17" s="292"/>
      <c r="IQD17" s="292"/>
      <c r="IQE17" s="292"/>
      <c r="IQF17" s="292"/>
      <c r="IQG17" s="292"/>
      <c r="IQH17" s="292"/>
      <c r="IQI17" s="292"/>
      <c r="IQJ17" s="292"/>
      <c r="IQK17" s="292"/>
      <c r="IQL17" s="292"/>
      <c r="IQM17" s="292"/>
      <c r="IQN17" s="292"/>
      <c r="IQO17" s="292"/>
      <c r="IQP17" s="292"/>
      <c r="IQQ17" s="292"/>
      <c r="IQR17" s="292"/>
      <c r="IQS17" s="292"/>
      <c r="IQT17" s="292"/>
      <c r="IQU17" s="292"/>
      <c r="IQV17" s="292"/>
      <c r="IQW17" s="292"/>
      <c r="IQX17" s="292"/>
      <c r="IQY17" s="292"/>
      <c r="IQZ17" s="292"/>
      <c r="IRA17" s="292"/>
      <c r="IRB17" s="292"/>
      <c r="IRC17" s="292"/>
      <c r="IRD17" s="292"/>
      <c r="IRE17" s="292"/>
      <c r="IRF17" s="292"/>
      <c r="IRG17" s="292"/>
      <c r="IRH17" s="292"/>
      <c r="IRI17" s="292"/>
      <c r="IRJ17" s="292"/>
      <c r="IRK17" s="292"/>
      <c r="IRL17" s="292"/>
      <c r="IRM17" s="292"/>
      <c r="IRN17" s="292"/>
      <c r="IRO17" s="292"/>
      <c r="IRP17" s="292"/>
      <c r="IRQ17" s="292"/>
      <c r="IRR17" s="292"/>
      <c r="IRS17" s="292"/>
      <c r="IRT17" s="292"/>
      <c r="IRU17" s="292"/>
      <c r="IRV17" s="292"/>
      <c r="IRW17" s="292"/>
      <c r="IRX17" s="292"/>
      <c r="IRY17" s="292"/>
      <c r="IRZ17" s="292"/>
      <c r="ISA17" s="292"/>
      <c r="ISB17" s="292"/>
      <c r="ISC17" s="292"/>
      <c r="ISD17" s="292"/>
      <c r="ISE17" s="292"/>
      <c r="ISF17" s="292"/>
      <c r="ISG17" s="292"/>
      <c r="ISH17" s="292"/>
      <c r="ISI17" s="292"/>
      <c r="ISJ17" s="292"/>
      <c r="ISK17" s="292"/>
      <c r="ISL17" s="292"/>
      <c r="ISM17" s="292"/>
      <c r="ISN17" s="292"/>
      <c r="ISO17" s="292"/>
      <c r="ISP17" s="292"/>
      <c r="ISQ17" s="292"/>
      <c r="ISR17" s="292"/>
      <c r="ISS17" s="292"/>
      <c r="IST17" s="292"/>
      <c r="ISU17" s="292"/>
      <c r="ISV17" s="292"/>
      <c r="ISW17" s="292"/>
      <c r="ISX17" s="292"/>
      <c r="ISY17" s="292"/>
      <c r="ISZ17" s="292"/>
      <c r="ITA17" s="292"/>
      <c r="ITB17" s="292"/>
      <c r="ITC17" s="292"/>
      <c r="ITD17" s="292"/>
      <c r="ITE17" s="292"/>
      <c r="ITF17" s="292"/>
      <c r="ITG17" s="292"/>
      <c r="ITH17" s="292"/>
      <c r="ITI17" s="292"/>
      <c r="ITJ17" s="292"/>
      <c r="ITK17" s="292"/>
      <c r="ITL17" s="292"/>
      <c r="ITM17" s="292"/>
      <c r="ITN17" s="292"/>
      <c r="ITO17" s="292"/>
      <c r="ITP17" s="292"/>
      <c r="ITQ17" s="292"/>
      <c r="ITR17" s="292"/>
      <c r="ITS17" s="292"/>
      <c r="ITT17" s="292"/>
      <c r="ITU17" s="292"/>
      <c r="ITV17" s="292"/>
      <c r="ITW17" s="292"/>
      <c r="ITX17" s="292"/>
      <c r="ITY17" s="292"/>
      <c r="ITZ17" s="292"/>
      <c r="IUA17" s="292"/>
      <c r="IUB17" s="292"/>
      <c r="IUC17" s="292"/>
      <c r="IUD17" s="292"/>
      <c r="IUE17" s="292"/>
      <c r="IUF17" s="292"/>
      <c r="IUG17" s="292"/>
      <c r="IUH17" s="292"/>
      <c r="IUI17" s="292"/>
      <c r="IUJ17" s="292"/>
      <c r="IUK17" s="292"/>
      <c r="IUL17" s="292"/>
      <c r="IUM17" s="292"/>
      <c r="IUN17" s="292"/>
      <c r="IUO17" s="292"/>
      <c r="IUP17" s="292"/>
      <c r="IUQ17" s="292"/>
      <c r="IUR17" s="292"/>
      <c r="IUS17" s="292"/>
      <c r="IUT17" s="292"/>
      <c r="IUU17" s="292"/>
      <c r="IUV17" s="292"/>
      <c r="IUW17" s="292"/>
      <c r="IUX17" s="292"/>
      <c r="IUY17" s="292"/>
      <c r="IUZ17" s="292"/>
      <c r="IVA17" s="292"/>
      <c r="IVB17" s="292"/>
      <c r="IVC17" s="292"/>
      <c r="IVD17" s="292"/>
      <c r="IVE17" s="292"/>
      <c r="IVF17" s="292"/>
      <c r="IVG17" s="292"/>
      <c r="IVH17" s="292"/>
      <c r="IVI17" s="292"/>
      <c r="IVJ17" s="292"/>
      <c r="IVK17" s="292"/>
      <c r="IVL17" s="292"/>
      <c r="IVM17" s="292"/>
      <c r="IVN17" s="292"/>
      <c r="IVO17" s="292"/>
      <c r="IVP17" s="292"/>
      <c r="IVQ17" s="292"/>
      <c r="IVR17" s="292"/>
      <c r="IVS17" s="292"/>
      <c r="IVT17" s="292"/>
      <c r="IVU17" s="292"/>
      <c r="IVV17" s="292"/>
      <c r="IVW17" s="292"/>
      <c r="IVX17" s="292"/>
      <c r="IVY17" s="292"/>
      <c r="IVZ17" s="292"/>
      <c r="IWA17" s="292"/>
      <c r="IWB17" s="292"/>
      <c r="IWC17" s="292"/>
      <c r="IWD17" s="292"/>
      <c r="IWE17" s="292"/>
      <c r="IWF17" s="292"/>
      <c r="IWG17" s="292"/>
      <c r="IWH17" s="292"/>
      <c r="IWI17" s="292"/>
      <c r="IWJ17" s="292"/>
      <c r="IWK17" s="292"/>
      <c r="IWL17" s="292"/>
      <c r="IWM17" s="292"/>
      <c r="IWN17" s="292"/>
      <c r="IWO17" s="292"/>
      <c r="IWP17" s="292"/>
      <c r="IWQ17" s="292"/>
      <c r="IWR17" s="292"/>
      <c r="IWS17" s="292"/>
      <c r="IWT17" s="292"/>
      <c r="IWU17" s="292"/>
      <c r="IWV17" s="292"/>
      <c r="IWW17" s="292"/>
      <c r="IWX17" s="292"/>
      <c r="IWY17" s="292"/>
      <c r="IWZ17" s="292"/>
      <c r="IXA17" s="292"/>
      <c r="IXB17" s="292"/>
      <c r="IXC17" s="292"/>
      <c r="IXD17" s="292"/>
      <c r="IXE17" s="292"/>
      <c r="IXF17" s="292"/>
      <c r="IXG17" s="292"/>
      <c r="IXH17" s="292"/>
      <c r="IXI17" s="292"/>
      <c r="IXJ17" s="292"/>
      <c r="IXK17" s="292"/>
      <c r="IXL17" s="292"/>
      <c r="IXM17" s="292"/>
      <c r="IXN17" s="292"/>
      <c r="IXO17" s="292"/>
      <c r="IXP17" s="292"/>
      <c r="IXQ17" s="292"/>
      <c r="IXR17" s="292"/>
      <c r="IXS17" s="292"/>
      <c r="IXT17" s="292"/>
      <c r="IXU17" s="292"/>
      <c r="IXV17" s="292"/>
      <c r="IXW17" s="292"/>
      <c r="IXX17" s="292"/>
      <c r="IXY17" s="292"/>
      <c r="IXZ17" s="292"/>
      <c r="IYA17" s="292"/>
      <c r="IYB17" s="292"/>
      <c r="IYC17" s="292"/>
      <c r="IYD17" s="292"/>
      <c r="IYE17" s="292"/>
      <c r="IYF17" s="292"/>
      <c r="IYG17" s="292"/>
      <c r="IYH17" s="292"/>
      <c r="IYI17" s="292"/>
      <c r="IYJ17" s="292"/>
      <c r="IYK17" s="292"/>
      <c r="IYL17" s="292"/>
      <c r="IYM17" s="292"/>
      <c r="IYN17" s="292"/>
      <c r="IYO17" s="292"/>
      <c r="IYP17" s="292"/>
      <c r="IYQ17" s="292"/>
      <c r="IYR17" s="292"/>
      <c r="IYS17" s="292"/>
      <c r="IYT17" s="292"/>
      <c r="IYU17" s="292"/>
      <c r="IYV17" s="292"/>
      <c r="IYW17" s="292"/>
      <c r="IYX17" s="292"/>
      <c r="IYY17" s="292"/>
      <c r="IYZ17" s="292"/>
      <c r="IZA17" s="292"/>
      <c r="IZB17" s="292"/>
      <c r="IZC17" s="292"/>
      <c r="IZD17" s="292"/>
      <c r="IZE17" s="292"/>
      <c r="IZF17" s="292"/>
      <c r="IZG17" s="292"/>
      <c r="IZH17" s="292"/>
      <c r="IZI17" s="292"/>
      <c r="IZJ17" s="292"/>
      <c r="IZK17" s="292"/>
      <c r="IZL17" s="292"/>
      <c r="IZM17" s="292"/>
      <c r="IZN17" s="292"/>
      <c r="IZO17" s="292"/>
      <c r="IZP17" s="292"/>
      <c r="IZQ17" s="292"/>
      <c r="IZR17" s="292"/>
      <c r="IZS17" s="292"/>
      <c r="IZT17" s="292"/>
      <c r="IZU17" s="292"/>
      <c r="IZV17" s="292"/>
      <c r="IZW17" s="292"/>
      <c r="IZX17" s="292"/>
      <c r="IZY17" s="292"/>
      <c r="IZZ17" s="292"/>
      <c r="JAA17" s="292"/>
      <c r="JAB17" s="292"/>
      <c r="JAC17" s="292"/>
      <c r="JAD17" s="292"/>
      <c r="JAE17" s="292"/>
      <c r="JAF17" s="292"/>
      <c r="JAG17" s="292"/>
      <c r="JAH17" s="292"/>
      <c r="JAI17" s="292"/>
      <c r="JAJ17" s="292"/>
      <c r="JAK17" s="292"/>
      <c r="JAL17" s="292"/>
      <c r="JAM17" s="292"/>
      <c r="JAN17" s="292"/>
      <c r="JAO17" s="292"/>
      <c r="JAP17" s="292"/>
      <c r="JAQ17" s="292"/>
      <c r="JAR17" s="292"/>
      <c r="JAS17" s="292"/>
      <c r="JAT17" s="292"/>
      <c r="JAU17" s="292"/>
      <c r="JAV17" s="292"/>
      <c r="JAW17" s="292"/>
      <c r="JAX17" s="292"/>
      <c r="JAY17" s="292"/>
      <c r="JAZ17" s="292"/>
      <c r="JBA17" s="292"/>
      <c r="JBB17" s="292"/>
      <c r="JBC17" s="292"/>
      <c r="JBD17" s="292"/>
      <c r="JBE17" s="292"/>
      <c r="JBF17" s="292"/>
      <c r="JBG17" s="292"/>
      <c r="JBH17" s="292"/>
      <c r="JBI17" s="292"/>
      <c r="JBJ17" s="292"/>
      <c r="JBK17" s="292"/>
      <c r="JBL17" s="292"/>
      <c r="JBM17" s="292"/>
      <c r="JBN17" s="292"/>
      <c r="JBO17" s="292"/>
      <c r="JBP17" s="292"/>
      <c r="JBQ17" s="292"/>
      <c r="JBR17" s="292"/>
      <c r="JBS17" s="292"/>
      <c r="JBT17" s="292"/>
      <c r="JBU17" s="292"/>
      <c r="JBV17" s="292"/>
      <c r="JBW17" s="292"/>
      <c r="JBX17" s="292"/>
      <c r="JBY17" s="292"/>
      <c r="JBZ17" s="292"/>
      <c r="JCA17" s="292"/>
      <c r="JCB17" s="292"/>
      <c r="JCC17" s="292"/>
      <c r="JCD17" s="292"/>
      <c r="JCE17" s="292"/>
      <c r="JCF17" s="292"/>
      <c r="JCG17" s="292"/>
      <c r="JCH17" s="292"/>
      <c r="JCI17" s="292"/>
      <c r="JCJ17" s="292"/>
      <c r="JCK17" s="292"/>
      <c r="JCL17" s="292"/>
      <c r="JCM17" s="292"/>
      <c r="JCN17" s="292"/>
      <c r="JCO17" s="292"/>
      <c r="JCP17" s="292"/>
      <c r="JCQ17" s="292"/>
      <c r="JCR17" s="292"/>
      <c r="JCS17" s="292"/>
      <c r="JCT17" s="292"/>
      <c r="JCU17" s="292"/>
      <c r="JCV17" s="292"/>
      <c r="JCW17" s="292"/>
      <c r="JCX17" s="292"/>
      <c r="JCY17" s="292"/>
      <c r="JCZ17" s="292"/>
      <c r="JDA17" s="292"/>
      <c r="JDB17" s="292"/>
      <c r="JDC17" s="292"/>
      <c r="JDD17" s="292"/>
      <c r="JDE17" s="292"/>
      <c r="JDF17" s="292"/>
      <c r="JDG17" s="292"/>
      <c r="JDH17" s="292"/>
      <c r="JDI17" s="292"/>
      <c r="JDJ17" s="292"/>
      <c r="JDK17" s="292"/>
      <c r="JDL17" s="292"/>
      <c r="JDM17" s="292"/>
      <c r="JDN17" s="292"/>
      <c r="JDO17" s="292"/>
      <c r="JDP17" s="292"/>
      <c r="JDQ17" s="292"/>
      <c r="JDR17" s="292"/>
      <c r="JDS17" s="292"/>
      <c r="JDT17" s="292"/>
      <c r="JDU17" s="292"/>
      <c r="JDV17" s="292"/>
      <c r="JDW17" s="292"/>
      <c r="JDX17" s="292"/>
      <c r="JDY17" s="292"/>
      <c r="JDZ17" s="292"/>
      <c r="JEA17" s="292"/>
      <c r="JEB17" s="292"/>
      <c r="JEC17" s="292"/>
      <c r="JED17" s="292"/>
      <c r="JEE17" s="292"/>
      <c r="JEF17" s="292"/>
      <c r="JEG17" s="292"/>
      <c r="JEH17" s="292"/>
      <c r="JEI17" s="292"/>
      <c r="JEJ17" s="292"/>
      <c r="JEK17" s="292"/>
      <c r="JEL17" s="292"/>
      <c r="JEM17" s="292"/>
      <c r="JEN17" s="292"/>
      <c r="JEO17" s="292"/>
      <c r="JEP17" s="292"/>
      <c r="JEQ17" s="292"/>
      <c r="JER17" s="292"/>
      <c r="JES17" s="292"/>
      <c r="JET17" s="292"/>
      <c r="JEU17" s="292"/>
      <c r="JEV17" s="292"/>
      <c r="JEW17" s="292"/>
      <c r="JEX17" s="292"/>
      <c r="JEY17" s="292"/>
      <c r="JEZ17" s="292"/>
      <c r="JFA17" s="292"/>
      <c r="JFB17" s="292"/>
      <c r="JFC17" s="292"/>
      <c r="JFD17" s="292"/>
      <c r="JFE17" s="292"/>
      <c r="JFF17" s="292"/>
      <c r="JFG17" s="292"/>
      <c r="JFH17" s="292"/>
      <c r="JFI17" s="292"/>
      <c r="JFJ17" s="292"/>
      <c r="JFK17" s="292"/>
      <c r="JFL17" s="292"/>
      <c r="JFM17" s="292"/>
      <c r="JFN17" s="292"/>
      <c r="JFO17" s="292"/>
      <c r="JFP17" s="292"/>
      <c r="JFQ17" s="292"/>
      <c r="JFR17" s="292"/>
      <c r="JFS17" s="292"/>
      <c r="JFT17" s="292"/>
      <c r="JFU17" s="292"/>
      <c r="JFV17" s="292"/>
      <c r="JFW17" s="292"/>
      <c r="JFX17" s="292"/>
      <c r="JFY17" s="292"/>
      <c r="JFZ17" s="292"/>
      <c r="JGA17" s="292"/>
      <c r="JGB17" s="292"/>
      <c r="JGC17" s="292"/>
      <c r="JGD17" s="292"/>
      <c r="JGE17" s="292"/>
      <c r="JGF17" s="292"/>
      <c r="JGG17" s="292"/>
      <c r="JGH17" s="292"/>
      <c r="JGI17" s="292"/>
      <c r="JGJ17" s="292"/>
      <c r="JGK17" s="292"/>
      <c r="JGL17" s="292"/>
      <c r="JGM17" s="292"/>
      <c r="JGN17" s="292"/>
      <c r="JGO17" s="292"/>
      <c r="JGP17" s="292"/>
      <c r="JGQ17" s="292"/>
      <c r="JGR17" s="292"/>
      <c r="JGS17" s="292"/>
      <c r="JGT17" s="292"/>
      <c r="JGU17" s="292"/>
      <c r="JGV17" s="292"/>
      <c r="JGW17" s="292"/>
      <c r="JGX17" s="292"/>
      <c r="JGY17" s="292"/>
      <c r="JGZ17" s="292"/>
      <c r="JHA17" s="292"/>
      <c r="JHB17" s="292"/>
      <c r="JHC17" s="292"/>
      <c r="JHD17" s="292"/>
      <c r="JHE17" s="292"/>
      <c r="JHF17" s="292"/>
      <c r="JHG17" s="292"/>
      <c r="JHH17" s="292"/>
      <c r="JHI17" s="292"/>
      <c r="JHJ17" s="292"/>
      <c r="JHK17" s="292"/>
      <c r="JHL17" s="292"/>
      <c r="JHM17" s="292"/>
      <c r="JHN17" s="292"/>
      <c r="JHO17" s="292"/>
      <c r="JHP17" s="292"/>
      <c r="JHQ17" s="292"/>
      <c r="JHR17" s="292"/>
      <c r="JHS17" s="292"/>
      <c r="JHT17" s="292"/>
      <c r="JHU17" s="292"/>
      <c r="JHV17" s="292"/>
      <c r="JHW17" s="292"/>
      <c r="JHX17" s="292"/>
      <c r="JHY17" s="292"/>
      <c r="JHZ17" s="292"/>
      <c r="JIA17" s="292"/>
      <c r="JIB17" s="292"/>
      <c r="JIC17" s="292"/>
      <c r="JID17" s="292"/>
      <c r="JIE17" s="292"/>
      <c r="JIF17" s="292"/>
      <c r="JIG17" s="292"/>
      <c r="JIH17" s="292"/>
      <c r="JII17" s="292"/>
      <c r="JIJ17" s="292"/>
      <c r="JIK17" s="292"/>
      <c r="JIL17" s="292"/>
      <c r="JIM17" s="292"/>
      <c r="JIN17" s="292"/>
      <c r="JIO17" s="292"/>
      <c r="JIP17" s="292"/>
      <c r="JIQ17" s="292"/>
      <c r="JIR17" s="292"/>
      <c r="JIS17" s="292"/>
      <c r="JIT17" s="292"/>
      <c r="JIU17" s="292"/>
      <c r="JIV17" s="292"/>
      <c r="JIW17" s="292"/>
      <c r="JIX17" s="292"/>
      <c r="JIY17" s="292"/>
      <c r="JIZ17" s="292"/>
      <c r="JJA17" s="292"/>
      <c r="JJB17" s="292"/>
      <c r="JJC17" s="292"/>
      <c r="JJD17" s="292"/>
      <c r="JJE17" s="292"/>
      <c r="JJF17" s="292"/>
      <c r="JJG17" s="292"/>
      <c r="JJH17" s="292"/>
      <c r="JJI17" s="292"/>
      <c r="JJJ17" s="292"/>
      <c r="JJK17" s="292"/>
      <c r="JJL17" s="292"/>
      <c r="JJM17" s="292"/>
      <c r="JJN17" s="292"/>
      <c r="JJO17" s="292"/>
      <c r="JJP17" s="292"/>
      <c r="JJQ17" s="292"/>
      <c r="JJR17" s="292"/>
      <c r="JJS17" s="292"/>
      <c r="JJT17" s="292"/>
      <c r="JJU17" s="292"/>
      <c r="JJV17" s="292"/>
      <c r="JJW17" s="292"/>
      <c r="JJX17" s="292"/>
      <c r="JJY17" s="292"/>
      <c r="JJZ17" s="292"/>
      <c r="JKA17" s="292"/>
      <c r="JKB17" s="292"/>
      <c r="JKC17" s="292"/>
      <c r="JKD17" s="292"/>
      <c r="JKE17" s="292"/>
      <c r="JKF17" s="292"/>
      <c r="JKG17" s="292"/>
      <c r="JKH17" s="292"/>
      <c r="JKI17" s="292"/>
      <c r="JKJ17" s="292"/>
      <c r="JKK17" s="292"/>
      <c r="JKL17" s="292"/>
      <c r="JKM17" s="292"/>
      <c r="JKN17" s="292"/>
      <c r="JKO17" s="292"/>
      <c r="JKP17" s="292"/>
      <c r="JKQ17" s="292"/>
      <c r="JKR17" s="292"/>
      <c r="JKS17" s="292"/>
      <c r="JKT17" s="292"/>
      <c r="JKU17" s="292"/>
      <c r="JKV17" s="292"/>
      <c r="JKW17" s="292"/>
      <c r="JKX17" s="292"/>
      <c r="JKY17" s="292"/>
      <c r="JKZ17" s="292"/>
      <c r="JLA17" s="292"/>
      <c r="JLB17" s="292"/>
      <c r="JLC17" s="292"/>
      <c r="JLD17" s="292"/>
      <c r="JLE17" s="292"/>
      <c r="JLF17" s="292"/>
      <c r="JLG17" s="292"/>
      <c r="JLH17" s="292"/>
      <c r="JLI17" s="292"/>
      <c r="JLJ17" s="292"/>
      <c r="JLK17" s="292"/>
      <c r="JLL17" s="292"/>
      <c r="JLM17" s="292"/>
      <c r="JLN17" s="292"/>
      <c r="JLO17" s="292"/>
      <c r="JLP17" s="292"/>
      <c r="JLQ17" s="292"/>
      <c r="JLR17" s="292"/>
      <c r="JLS17" s="292"/>
      <c r="JLT17" s="292"/>
      <c r="JLU17" s="292"/>
      <c r="JLV17" s="292"/>
      <c r="JLW17" s="292"/>
      <c r="JLX17" s="292"/>
      <c r="JLY17" s="292"/>
      <c r="JLZ17" s="292"/>
      <c r="JMA17" s="292"/>
      <c r="JMB17" s="292"/>
      <c r="JMC17" s="292"/>
      <c r="JMD17" s="292"/>
      <c r="JME17" s="292"/>
      <c r="JMF17" s="292"/>
      <c r="JMG17" s="292"/>
      <c r="JMH17" s="292"/>
      <c r="JMI17" s="292"/>
      <c r="JMJ17" s="292"/>
      <c r="JMK17" s="292"/>
      <c r="JML17" s="292"/>
      <c r="JMM17" s="292"/>
      <c r="JMN17" s="292"/>
      <c r="JMO17" s="292"/>
      <c r="JMP17" s="292"/>
      <c r="JMQ17" s="292"/>
      <c r="JMR17" s="292"/>
      <c r="JMS17" s="292"/>
      <c r="JMT17" s="292"/>
      <c r="JMU17" s="292"/>
      <c r="JMV17" s="292"/>
      <c r="JMW17" s="292"/>
      <c r="JMX17" s="292"/>
      <c r="JMY17" s="292"/>
      <c r="JMZ17" s="292"/>
      <c r="JNA17" s="292"/>
      <c r="JNB17" s="292"/>
      <c r="JNC17" s="292"/>
      <c r="JND17" s="292"/>
      <c r="JNE17" s="292"/>
      <c r="JNF17" s="292"/>
      <c r="JNG17" s="292"/>
      <c r="JNH17" s="292"/>
      <c r="JNI17" s="292"/>
      <c r="JNJ17" s="292"/>
      <c r="JNK17" s="292"/>
      <c r="JNL17" s="292"/>
      <c r="JNM17" s="292"/>
      <c r="JNN17" s="292"/>
      <c r="JNO17" s="292"/>
      <c r="JNP17" s="292"/>
      <c r="JNQ17" s="292"/>
      <c r="JNR17" s="292"/>
      <c r="JNS17" s="292"/>
      <c r="JNT17" s="292"/>
      <c r="JNU17" s="292"/>
      <c r="JNV17" s="292"/>
      <c r="JNW17" s="292"/>
      <c r="JNX17" s="292"/>
      <c r="JNY17" s="292"/>
      <c r="JNZ17" s="292"/>
      <c r="JOA17" s="292"/>
      <c r="JOB17" s="292"/>
      <c r="JOC17" s="292"/>
      <c r="JOD17" s="292"/>
      <c r="JOE17" s="292"/>
      <c r="JOF17" s="292"/>
      <c r="JOG17" s="292"/>
      <c r="JOH17" s="292"/>
      <c r="JOI17" s="292"/>
      <c r="JOJ17" s="292"/>
      <c r="JOK17" s="292"/>
      <c r="JOL17" s="292"/>
      <c r="JOM17" s="292"/>
      <c r="JON17" s="292"/>
      <c r="JOO17" s="292"/>
      <c r="JOP17" s="292"/>
      <c r="JOQ17" s="292"/>
      <c r="JOR17" s="292"/>
      <c r="JOS17" s="292"/>
      <c r="JOT17" s="292"/>
      <c r="JOU17" s="292"/>
      <c r="JOV17" s="292"/>
      <c r="JOW17" s="292"/>
      <c r="JOX17" s="292"/>
      <c r="JOY17" s="292"/>
      <c r="JOZ17" s="292"/>
      <c r="JPA17" s="292"/>
      <c r="JPB17" s="292"/>
      <c r="JPC17" s="292"/>
      <c r="JPD17" s="292"/>
      <c r="JPE17" s="292"/>
      <c r="JPF17" s="292"/>
      <c r="JPG17" s="292"/>
      <c r="JPH17" s="292"/>
      <c r="JPI17" s="292"/>
      <c r="JPJ17" s="292"/>
      <c r="JPK17" s="292"/>
      <c r="JPL17" s="292"/>
      <c r="JPM17" s="292"/>
      <c r="JPN17" s="292"/>
      <c r="JPO17" s="292"/>
      <c r="JPP17" s="292"/>
      <c r="JPQ17" s="292"/>
      <c r="JPR17" s="292"/>
      <c r="JPS17" s="292"/>
      <c r="JPT17" s="292"/>
      <c r="JPU17" s="292"/>
      <c r="JPV17" s="292"/>
      <c r="JPW17" s="292"/>
      <c r="JPX17" s="292"/>
      <c r="JPY17" s="292"/>
      <c r="JPZ17" s="292"/>
      <c r="JQA17" s="292"/>
      <c r="JQB17" s="292"/>
      <c r="JQC17" s="292"/>
      <c r="JQD17" s="292"/>
      <c r="JQE17" s="292"/>
      <c r="JQF17" s="292"/>
      <c r="JQG17" s="292"/>
      <c r="JQH17" s="292"/>
      <c r="JQI17" s="292"/>
      <c r="JQJ17" s="292"/>
      <c r="JQK17" s="292"/>
      <c r="JQL17" s="292"/>
      <c r="JQM17" s="292"/>
      <c r="JQN17" s="292"/>
      <c r="JQO17" s="292"/>
      <c r="JQP17" s="292"/>
      <c r="JQQ17" s="292"/>
      <c r="JQR17" s="292"/>
      <c r="JQS17" s="292"/>
      <c r="JQT17" s="292"/>
      <c r="JQU17" s="292"/>
      <c r="JQV17" s="292"/>
      <c r="JQW17" s="292"/>
      <c r="JQX17" s="292"/>
      <c r="JQY17" s="292"/>
      <c r="JQZ17" s="292"/>
      <c r="JRA17" s="292"/>
      <c r="JRB17" s="292"/>
      <c r="JRC17" s="292"/>
      <c r="JRD17" s="292"/>
      <c r="JRE17" s="292"/>
      <c r="JRF17" s="292"/>
      <c r="JRG17" s="292"/>
      <c r="JRH17" s="292"/>
      <c r="JRI17" s="292"/>
      <c r="JRJ17" s="292"/>
      <c r="JRK17" s="292"/>
      <c r="JRL17" s="292"/>
      <c r="JRM17" s="292"/>
      <c r="JRN17" s="292"/>
      <c r="JRO17" s="292"/>
      <c r="JRP17" s="292"/>
      <c r="JRQ17" s="292"/>
      <c r="JRR17" s="292"/>
      <c r="JRS17" s="292"/>
      <c r="JRT17" s="292"/>
      <c r="JRU17" s="292"/>
      <c r="JRV17" s="292"/>
      <c r="JRW17" s="292"/>
      <c r="JRX17" s="292"/>
      <c r="JRY17" s="292"/>
      <c r="JRZ17" s="292"/>
      <c r="JSA17" s="292"/>
      <c r="JSB17" s="292"/>
      <c r="JSC17" s="292"/>
      <c r="JSD17" s="292"/>
      <c r="JSE17" s="292"/>
      <c r="JSF17" s="292"/>
      <c r="JSG17" s="292"/>
      <c r="JSH17" s="292"/>
      <c r="JSI17" s="292"/>
      <c r="JSJ17" s="292"/>
      <c r="JSK17" s="292"/>
      <c r="JSL17" s="292"/>
      <c r="JSM17" s="292"/>
      <c r="JSN17" s="292"/>
      <c r="JSO17" s="292"/>
      <c r="JSP17" s="292"/>
      <c r="JSQ17" s="292"/>
      <c r="JSR17" s="292"/>
      <c r="JSS17" s="292"/>
      <c r="JST17" s="292"/>
      <c r="JSU17" s="292"/>
      <c r="JSV17" s="292"/>
      <c r="JSW17" s="292"/>
      <c r="JSX17" s="292"/>
      <c r="JSY17" s="292"/>
      <c r="JSZ17" s="292"/>
      <c r="JTA17" s="292"/>
      <c r="JTB17" s="292"/>
      <c r="JTC17" s="292"/>
      <c r="JTD17" s="292"/>
      <c r="JTE17" s="292"/>
      <c r="JTF17" s="292"/>
      <c r="JTG17" s="292"/>
      <c r="JTH17" s="292"/>
      <c r="JTI17" s="292"/>
      <c r="JTJ17" s="292"/>
      <c r="JTK17" s="292"/>
      <c r="JTL17" s="292"/>
      <c r="JTM17" s="292"/>
      <c r="JTN17" s="292"/>
      <c r="JTO17" s="292"/>
      <c r="JTP17" s="292"/>
      <c r="JTQ17" s="292"/>
      <c r="JTR17" s="292"/>
      <c r="JTS17" s="292"/>
      <c r="JTT17" s="292"/>
      <c r="JTU17" s="292"/>
      <c r="JTV17" s="292"/>
      <c r="JTW17" s="292"/>
      <c r="JTX17" s="292"/>
      <c r="JTY17" s="292"/>
      <c r="JTZ17" s="292"/>
      <c r="JUA17" s="292"/>
      <c r="JUB17" s="292"/>
      <c r="JUC17" s="292"/>
      <c r="JUD17" s="292"/>
      <c r="JUE17" s="292"/>
      <c r="JUF17" s="292"/>
      <c r="JUG17" s="292"/>
      <c r="JUH17" s="292"/>
      <c r="JUI17" s="292"/>
      <c r="JUJ17" s="292"/>
      <c r="JUK17" s="292"/>
      <c r="JUL17" s="292"/>
      <c r="JUM17" s="292"/>
      <c r="JUN17" s="292"/>
      <c r="JUO17" s="292"/>
      <c r="JUP17" s="292"/>
      <c r="JUQ17" s="292"/>
      <c r="JUR17" s="292"/>
      <c r="JUS17" s="292"/>
      <c r="JUT17" s="292"/>
      <c r="JUU17" s="292"/>
      <c r="JUV17" s="292"/>
      <c r="JUW17" s="292"/>
      <c r="JUX17" s="292"/>
      <c r="JUY17" s="292"/>
      <c r="JUZ17" s="292"/>
      <c r="JVA17" s="292"/>
      <c r="JVB17" s="292"/>
      <c r="JVC17" s="292"/>
      <c r="JVD17" s="292"/>
      <c r="JVE17" s="292"/>
      <c r="JVF17" s="292"/>
      <c r="JVG17" s="292"/>
      <c r="JVH17" s="292"/>
      <c r="JVI17" s="292"/>
      <c r="JVJ17" s="292"/>
      <c r="JVK17" s="292"/>
      <c r="JVL17" s="292"/>
      <c r="JVM17" s="292"/>
      <c r="JVN17" s="292"/>
      <c r="JVO17" s="292"/>
      <c r="JVP17" s="292"/>
      <c r="JVQ17" s="292"/>
      <c r="JVR17" s="292"/>
      <c r="JVS17" s="292"/>
      <c r="JVT17" s="292"/>
      <c r="JVU17" s="292"/>
      <c r="JVV17" s="292"/>
      <c r="JVW17" s="292"/>
      <c r="JVX17" s="292"/>
      <c r="JVY17" s="292"/>
      <c r="JVZ17" s="292"/>
      <c r="JWA17" s="292"/>
      <c r="JWB17" s="292"/>
      <c r="JWC17" s="292"/>
      <c r="JWD17" s="292"/>
      <c r="JWE17" s="292"/>
      <c r="JWF17" s="292"/>
      <c r="JWG17" s="292"/>
      <c r="JWH17" s="292"/>
      <c r="JWI17" s="292"/>
      <c r="JWJ17" s="292"/>
      <c r="JWK17" s="292"/>
      <c r="JWL17" s="292"/>
      <c r="JWM17" s="292"/>
      <c r="JWN17" s="292"/>
      <c r="JWO17" s="292"/>
      <c r="JWP17" s="292"/>
      <c r="JWQ17" s="292"/>
      <c r="JWR17" s="292"/>
      <c r="JWS17" s="292"/>
      <c r="JWT17" s="292"/>
      <c r="JWU17" s="292"/>
      <c r="JWV17" s="292"/>
      <c r="JWW17" s="292"/>
      <c r="JWX17" s="292"/>
      <c r="JWY17" s="292"/>
      <c r="JWZ17" s="292"/>
      <c r="JXA17" s="292"/>
      <c r="JXB17" s="292"/>
      <c r="JXC17" s="292"/>
      <c r="JXD17" s="292"/>
      <c r="JXE17" s="292"/>
      <c r="JXF17" s="292"/>
      <c r="JXG17" s="292"/>
      <c r="JXH17" s="292"/>
      <c r="JXI17" s="292"/>
      <c r="JXJ17" s="292"/>
      <c r="JXK17" s="292"/>
      <c r="JXL17" s="292"/>
      <c r="JXM17" s="292"/>
      <c r="JXN17" s="292"/>
      <c r="JXO17" s="292"/>
      <c r="JXP17" s="292"/>
      <c r="JXQ17" s="292"/>
      <c r="JXR17" s="292"/>
      <c r="JXS17" s="292"/>
      <c r="JXT17" s="292"/>
      <c r="JXU17" s="292"/>
      <c r="JXV17" s="292"/>
      <c r="JXW17" s="292"/>
      <c r="JXX17" s="292"/>
      <c r="JXY17" s="292"/>
      <c r="JXZ17" s="292"/>
      <c r="JYA17" s="292"/>
      <c r="JYB17" s="292"/>
      <c r="JYC17" s="292"/>
      <c r="JYD17" s="292"/>
      <c r="JYE17" s="292"/>
      <c r="JYF17" s="292"/>
      <c r="JYG17" s="292"/>
      <c r="JYH17" s="292"/>
      <c r="JYI17" s="292"/>
      <c r="JYJ17" s="292"/>
      <c r="JYK17" s="292"/>
      <c r="JYL17" s="292"/>
      <c r="JYM17" s="292"/>
      <c r="JYN17" s="292"/>
      <c r="JYO17" s="292"/>
      <c r="JYP17" s="292"/>
      <c r="JYQ17" s="292"/>
      <c r="JYR17" s="292"/>
      <c r="JYS17" s="292"/>
      <c r="JYT17" s="292"/>
      <c r="JYU17" s="292"/>
      <c r="JYV17" s="292"/>
      <c r="JYW17" s="292"/>
      <c r="JYX17" s="292"/>
      <c r="JYY17" s="292"/>
      <c r="JYZ17" s="292"/>
      <c r="JZA17" s="292"/>
      <c r="JZB17" s="292"/>
      <c r="JZC17" s="292"/>
      <c r="JZD17" s="292"/>
      <c r="JZE17" s="292"/>
      <c r="JZF17" s="292"/>
      <c r="JZG17" s="292"/>
      <c r="JZH17" s="292"/>
      <c r="JZI17" s="292"/>
      <c r="JZJ17" s="292"/>
      <c r="JZK17" s="292"/>
      <c r="JZL17" s="292"/>
      <c r="JZM17" s="292"/>
      <c r="JZN17" s="292"/>
      <c r="JZO17" s="292"/>
      <c r="JZP17" s="292"/>
      <c r="JZQ17" s="292"/>
      <c r="JZR17" s="292"/>
      <c r="JZS17" s="292"/>
      <c r="JZT17" s="292"/>
      <c r="JZU17" s="292"/>
      <c r="JZV17" s="292"/>
      <c r="JZW17" s="292"/>
      <c r="JZX17" s="292"/>
      <c r="JZY17" s="292"/>
      <c r="JZZ17" s="292"/>
      <c r="KAA17" s="292"/>
      <c r="KAB17" s="292"/>
      <c r="KAC17" s="292"/>
      <c r="KAD17" s="292"/>
      <c r="KAE17" s="292"/>
      <c r="KAF17" s="292"/>
      <c r="KAG17" s="292"/>
      <c r="KAH17" s="292"/>
      <c r="KAI17" s="292"/>
      <c r="KAJ17" s="292"/>
      <c r="KAK17" s="292"/>
      <c r="KAL17" s="292"/>
      <c r="KAM17" s="292"/>
      <c r="KAN17" s="292"/>
      <c r="KAO17" s="292"/>
      <c r="KAP17" s="292"/>
      <c r="KAQ17" s="292"/>
      <c r="KAR17" s="292"/>
      <c r="KAS17" s="292"/>
      <c r="KAT17" s="292"/>
      <c r="KAU17" s="292"/>
      <c r="KAV17" s="292"/>
      <c r="KAW17" s="292"/>
      <c r="KAX17" s="292"/>
      <c r="KAY17" s="292"/>
      <c r="KAZ17" s="292"/>
      <c r="KBA17" s="292"/>
      <c r="KBB17" s="292"/>
      <c r="KBC17" s="292"/>
      <c r="KBD17" s="292"/>
      <c r="KBE17" s="292"/>
      <c r="KBF17" s="292"/>
      <c r="KBG17" s="292"/>
      <c r="KBH17" s="292"/>
      <c r="KBI17" s="292"/>
      <c r="KBJ17" s="292"/>
      <c r="KBK17" s="292"/>
      <c r="KBL17" s="292"/>
      <c r="KBM17" s="292"/>
      <c r="KBN17" s="292"/>
      <c r="KBO17" s="292"/>
      <c r="KBP17" s="292"/>
      <c r="KBQ17" s="292"/>
      <c r="KBR17" s="292"/>
      <c r="KBS17" s="292"/>
      <c r="KBT17" s="292"/>
      <c r="KBU17" s="292"/>
      <c r="KBV17" s="292"/>
      <c r="KBW17" s="292"/>
      <c r="KBX17" s="292"/>
      <c r="KBY17" s="292"/>
      <c r="KBZ17" s="292"/>
      <c r="KCA17" s="292"/>
      <c r="KCB17" s="292"/>
      <c r="KCC17" s="292"/>
      <c r="KCD17" s="292"/>
      <c r="KCE17" s="292"/>
      <c r="KCF17" s="292"/>
      <c r="KCG17" s="292"/>
      <c r="KCH17" s="292"/>
      <c r="KCI17" s="292"/>
      <c r="KCJ17" s="292"/>
      <c r="KCK17" s="292"/>
      <c r="KCL17" s="292"/>
      <c r="KCM17" s="292"/>
      <c r="KCN17" s="292"/>
      <c r="KCO17" s="292"/>
      <c r="KCP17" s="292"/>
      <c r="KCQ17" s="292"/>
      <c r="KCR17" s="292"/>
      <c r="KCS17" s="292"/>
      <c r="KCT17" s="292"/>
      <c r="KCU17" s="292"/>
      <c r="KCV17" s="292"/>
      <c r="KCW17" s="292"/>
      <c r="KCX17" s="292"/>
      <c r="KCY17" s="292"/>
      <c r="KCZ17" s="292"/>
      <c r="KDA17" s="292"/>
      <c r="KDB17" s="292"/>
      <c r="KDC17" s="292"/>
      <c r="KDD17" s="292"/>
      <c r="KDE17" s="292"/>
      <c r="KDF17" s="292"/>
      <c r="KDG17" s="292"/>
      <c r="KDH17" s="292"/>
      <c r="KDI17" s="292"/>
      <c r="KDJ17" s="292"/>
      <c r="KDK17" s="292"/>
      <c r="KDL17" s="292"/>
      <c r="KDM17" s="292"/>
      <c r="KDN17" s="292"/>
      <c r="KDO17" s="292"/>
      <c r="KDP17" s="292"/>
      <c r="KDQ17" s="292"/>
      <c r="KDR17" s="292"/>
      <c r="KDS17" s="292"/>
      <c r="KDT17" s="292"/>
      <c r="KDU17" s="292"/>
      <c r="KDV17" s="292"/>
      <c r="KDW17" s="292"/>
      <c r="KDX17" s="292"/>
      <c r="KDY17" s="292"/>
      <c r="KDZ17" s="292"/>
      <c r="KEA17" s="292"/>
      <c r="KEB17" s="292"/>
      <c r="KEC17" s="292"/>
      <c r="KED17" s="292"/>
      <c r="KEE17" s="292"/>
      <c r="KEF17" s="292"/>
      <c r="KEG17" s="292"/>
      <c r="KEH17" s="292"/>
      <c r="KEI17" s="292"/>
      <c r="KEJ17" s="292"/>
      <c r="KEK17" s="292"/>
      <c r="KEL17" s="292"/>
      <c r="KEM17" s="292"/>
      <c r="KEN17" s="292"/>
      <c r="KEO17" s="292"/>
      <c r="KEP17" s="292"/>
      <c r="KEQ17" s="292"/>
      <c r="KER17" s="292"/>
      <c r="KES17" s="292"/>
      <c r="KET17" s="292"/>
      <c r="KEU17" s="292"/>
      <c r="KEV17" s="292"/>
      <c r="KEW17" s="292"/>
      <c r="KEX17" s="292"/>
      <c r="KEY17" s="292"/>
      <c r="KEZ17" s="292"/>
      <c r="KFA17" s="292"/>
      <c r="KFB17" s="292"/>
      <c r="KFC17" s="292"/>
      <c r="KFD17" s="292"/>
      <c r="KFE17" s="292"/>
      <c r="KFF17" s="292"/>
      <c r="KFG17" s="292"/>
      <c r="KFH17" s="292"/>
      <c r="KFI17" s="292"/>
      <c r="KFJ17" s="292"/>
      <c r="KFK17" s="292"/>
      <c r="KFL17" s="292"/>
      <c r="KFM17" s="292"/>
      <c r="KFN17" s="292"/>
      <c r="KFO17" s="292"/>
      <c r="KFP17" s="292"/>
      <c r="KFQ17" s="292"/>
      <c r="KFR17" s="292"/>
      <c r="KFS17" s="292"/>
      <c r="KFT17" s="292"/>
      <c r="KFU17" s="292"/>
      <c r="KFV17" s="292"/>
      <c r="KFW17" s="292"/>
      <c r="KFX17" s="292"/>
      <c r="KFY17" s="292"/>
      <c r="KFZ17" s="292"/>
      <c r="KGA17" s="292"/>
      <c r="KGB17" s="292"/>
      <c r="KGC17" s="292"/>
      <c r="KGD17" s="292"/>
      <c r="KGE17" s="292"/>
      <c r="KGF17" s="292"/>
      <c r="KGG17" s="292"/>
      <c r="KGH17" s="292"/>
      <c r="KGI17" s="292"/>
      <c r="KGJ17" s="292"/>
      <c r="KGK17" s="292"/>
      <c r="KGL17" s="292"/>
      <c r="KGM17" s="292"/>
      <c r="KGN17" s="292"/>
      <c r="KGO17" s="292"/>
      <c r="KGP17" s="292"/>
      <c r="KGQ17" s="292"/>
      <c r="KGR17" s="292"/>
      <c r="KGS17" s="292"/>
      <c r="KGT17" s="292"/>
      <c r="KGU17" s="292"/>
      <c r="KGV17" s="292"/>
      <c r="KGW17" s="292"/>
      <c r="KGX17" s="292"/>
      <c r="KGY17" s="292"/>
      <c r="KGZ17" s="292"/>
      <c r="KHA17" s="292"/>
      <c r="KHB17" s="292"/>
      <c r="KHC17" s="292"/>
      <c r="KHD17" s="292"/>
      <c r="KHE17" s="292"/>
      <c r="KHF17" s="292"/>
      <c r="KHG17" s="292"/>
      <c r="KHH17" s="292"/>
      <c r="KHI17" s="292"/>
      <c r="KHJ17" s="292"/>
      <c r="KHK17" s="292"/>
      <c r="KHL17" s="292"/>
      <c r="KHM17" s="292"/>
      <c r="KHN17" s="292"/>
      <c r="KHO17" s="292"/>
      <c r="KHP17" s="292"/>
      <c r="KHQ17" s="292"/>
      <c r="KHR17" s="292"/>
      <c r="KHS17" s="292"/>
      <c r="KHT17" s="292"/>
      <c r="KHU17" s="292"/>
      <c r="KHV17" s="292"/>
      <c r="KHW17" s="292"/>
      <c r="KHX17" s="292"/>
      <c r="KHY17" s="292"/>
      <c r="KHZ17" s="292"/>
      <c r="KIA17" s="292"/>
      <c r="KIB17" s="292"/>
      <c r="KIC17" s="292"/>
      <c r="KID17" s="292"/>
      <c r="KIE17" s="292"/>
      <c r="KIF17" s="292"/>
      <c r="KIG17" s="292"/>
      <c r="KIH17" s="292"/>
      <c r="KII17" s="292"/>
      <c r="KIJ17" s="292"/>
      <c r="KIK17" s="292"/>
      <c r="KIL17" s="292"/>
      <c r="KIM17" s="292"/>
      <c r="KIN17" s="292"/>
      <c r="KIO17" s="292"/>
      <c r="KIP17" s="292"/>
      <c r="KIQ17" s="292"/>
      <c r="KIR17" s="292"/>
      <c r="KIS17" s="292"/>
      <c r="KIT17" s="292"/>
      <c r="KIU17" s="292"/>
      <c r="KIV17" s="292"/>
      <c r="KIW17" s="292"/>
      <c r="KIX17" s="292"/>
      <c r="KIY17" s="292"/>
      <c r="KIZ17" s="292"/>
      <c r="KJA17" s="292"/>
      <c r="KJB17" s="292"/>
      <c r="KJC17" s="292"/>
      <c r="KJD17" s="292"/>
      <c r="KJE17" s="292"/>
      <c r="KJF17" s="292"/>
      <c r="KJG17" s="292"/>
      <c r="KJH17" s="292"/>
      <c r="KJI17" s="292"/>
      <c r="KJJ17" s="292"/>
      <c r="KJK17" s="292"/>
      <c r="KJL17" s="292"/>
      <c r="KJM17" s="292"/>
      <c r="KJN17" s="292"/>
      <c r="KJO17" s="292"/>
      <c r="KJP17" s="292"/>
      <c r="KJQ17" s="292"/>
      <c r="KJR17" s="292"/>
      <c r="KJS17" s="292"/>
      <c r="KJT17" s="292"/>
      <c r="KJU17" s="292"/>
      <c r="KJV17" s="292"/>
      <c r="KJW17" s="292"/>
      <c r="KJX17" s="292"/>
      <c r="KJY17" s="292"/>
      <c r="KJZ17" s="292"/>
      <c r="KKA17" s="292"/>
      <c r="KKB17" s="292"/>
      <c r="KKC17" s="292"/>
      <c r="KKD17" s="292"/>
      <c r="KKE17" s="292"/>
      <c r="KKF17" s="292"/>
      <c r="KKG17" s="292"/>
      <c r="KKH17" s="292"/>
      <c r="KKI17" s="292"/>
      <c r="KKJ17" s="292"/>
      <c r="KKK17" s="292"/>
      <c r="KKL17" s="292"/>
      <c r="KKM17" s="292"/>
      <c r="KKN17" s="292"/>
      <c r="KKO17" s="292"/>
      <c r="KKP17" s="292"/>
      <c r="KKQ17" s="292"/>
      <c r="KKR17" s="292"/>
      <c r="KKS17" s="292"/>
      <c r="KKT17" s="292"/>
      <c r="KKU17" s="292"/>
      <c r="KKV17" s="292"/>
      <c r="KKW17" s="292"/>
      <c r="KKX17" s="292"/>
      <c r="KKY17" s="292"/>
      <c r="KKZ17" s="292"/>
      <c r="KLA17" s="292"/>
      <c r="KLB17" s="292"/>
      <c r="KLC17" s="292"/>
      <c r="KLD17" s="292"/>
      <c r="KLE17" s="292"/>
      <c r="KLF17" s="292"/>
      <c r="KLG17" s="292"/>
      <c r="KLH17" s="292"/>
      <c r="KLI17" s="292"/>
      <c r="KLJ17" s="292"/>
      <c r="KLK17" s="292"/>
      <c r="KLL17" s="292"/>
      <c r="KLM17" s="292"/>
      <c r="KLN17" s="292"/>
      <c r="KLO17" s="292"/>
      <c r="KLP17" s="292"/>
      <c r="KLQ17" s="292"/>
      <c r="KLR17" s="292"/>
      <c r="KLS17" s="292"/>
      <c r="KLT17" s="292"/>
      <c r="KLU17" s="292"/>
      <c r="KLV17" s="292"/>
      <c r="KLW17" s="292"/>
      <c r="KLX17" s="292"/>
      <c r="KLY17" s="292"/>
      <c r="KLZ17" s="292"/>
      <c r="KMA17" s="292"/>
      <c r="KMB17" s="292"/>
      <c r="KMC17" s="292"/>
      <c r="KMD17" s="292"/>
      <c r="KME17" s="292"/>
      <c r="KMF17" s="292"/>
      <c r="KMG17" s="292"/>
      <c r="KMH17" s="292"/>
      <c r="KMI17" s="292"/>
      <c r="KMJ17" s="292"/>
      <c r="KMK17" s="292"/>
      <c r="KML17" s="292"/>
      <c r="KMM17" s="292"/>
      <c r="KMN17" s="292"/>
      <c r="KMO17" s="292"/>
      <c r="KMP17" s="292"/>
      <c r="KMQ17" s="292"/>
      <c r="KMR17" s="292"/>
      <c r="KMS17" s="292"/>
      <c r="KMT17" s="292"/>
      <c r="KMU17" s="292"/>
      <c r="KMV17" s="292"/>
      <c r="KMW17" s="292"/>
      <c r="KMX17" s="292"/>
      <c r="KMY17" s="292"/>
      <c r="KMZ17" s="292"/>
      <c r="KNA17" s="292"/>
      <c r="KNB17" s="292"/>
      <c r="KNC17" s="292"/>
      <c r="KND17" s="292"/>
      <c r="KNE17" s="292"/>
      <c r="KNF17" s="292"/>
      <c r="KNG17" s="292"/>
      <c r="KNH17" s="292"/>
      <c r="KNI17" s="292"/>
      <c r="KNJ17" s="292"/>
      <c r="KNK17" s="292"/>
      <c r="KNL17" s="292"/>
      <c r="KNM17" s="292"/>
      <c r="KNN17" s="292"/>
      <c r="KNO17" s="292"/>
      <c r="KNP17" s="292"/>
      <c r="KNQ17" s="292"/>
      <c r="KNR17" s="292"/>
      <c r="KNS17" s="292"/>
      <c r="KNT17" s="292"/>
      <c r="KNU17" s="292"/>
      <c r="KNV17" s="292"/>
      <c r="KNW17" s="292"/>
      <c r="KNX17" s="292"/>
      <c r="KNY17" s="292"/>
      <c r="KNZ17" s="292"/>
      <c r="KOA17" s="292"/>
      <c r="KOB17" s="292"/>
      <c r="KOC17" s="292"/>
      <c r="KOD17" s="292"/>
      <c r="KOE17" s="292"/>
      <c r="KOF17" s="292"/>
      <c r="KOG17" s="292"/>
      <c r="KOH17" s="292"/>
      <c r="KOI17" s="292"/>
      <c r="KOJ17" s="292"/>
      <c r="KOK17" s="292"/>
      <c r="KOL17" s="292"/>
      <c r="KOM17" s="292"/>
      <c r="KON17" s="292"/>
      <c r="KOO17" s="292"/>
      <c r="KOP17" s="292"/>
      <c r="KOQ17" s="292"/>
      <c r="KOR17" s="292"/>
      <c r="KOS17" s="292"/>
      <c r="KOT17" s="292"/>
      <c r="KOU17" s="292"/>
      <c r="KOV17" s="292"/>
      <c r="KOW17" s="292"/>
      <c r="KOX17" s="292"/>
      <c r="KOY17" s="292"/>
      <c r="KOZ17" s="292"/>
      <c r="KPA17" s="292"/>
      <c r="KPB17" s="292"/>
      <c r="KPC17" s="292"/>
      <c r="KPD17" s="292"/>
      <c r="KPE17" s="292"/>
      <c r="KPF17" s="292"/>
      <c r="KPG17" s="292"/>
      <c r="KPH17" s="292"/>
      <c r="KPI17" s="292"/>
      <c r="KPJ17" s="292"/>
      <c r="KPK17" s="292"/>
      <c r="KPL17" s="292"/>
      <c r="KPM17" s="292"/>
      <c r="KPN17" s="292"/>
      <c r="KPO17" s="292"/>
      <c r="KPP17" s="292"/>
      <c r="KPQ17" s="292"/>
      <c r="KPR17" s="292"/>
      <c r="KPS17" s="292"/>
      <c r="KPT17" s="292"/>
      <c r="KPU17" s="292"/>
      <c r="KPV17" s="292"/>
      <c r="KPW17" s="292"/>
      <c r="KPX17" s="292"/>
      <c r="KPY17" s="292"/>
      <c r="KPZ17" s="292"/>
      <c r="KQA17" s="292"/>
      <c r="KQB17" s="292"/>
      <c r="KQC17" s="292"/>
      <c r="KQD17" s="292"/>
      <c r="KQE17" s="292"/>
      <c r="KQF17" s="292"/>
      <c r="KQG17" s="292"/>
      <c r="KQH17" s="292"/>
      <c r="KQI17" s="292"/>
      <c r="KQJ17" s="292"/>
      <c r="KQK17" s="292"/>
      <c r="KQL17" s="292"/>
      <c r="KQM17" s="292"/>
      <c r="KQN17" s="292"/>
      <c r="KQO17" s="292"/>
      <c r="KQP17" s="292"/>
      <c r="KQQ17" s="292"/>
      <c r="KQR17" s="292"/>
      <c r="KQS17" s="292"/>
      <c r="KQT17" s="292"/>
      <c r="KQU17" s="292"/>
      <c r="KQV17" s="292"/>
      <c r="KQW17" s="292"/>
      <c r="KQX17" s="292"/>
      <c r="KQY17" s="292"/>
      <c r="KQZ17" s="292"/>
      <c r="KRA17" s="292"/>
      <c r="KRB17" s="292"/>
      <c r="KRC17" s="292"/>
      <c r="KRD17" s="292"/>
      <c r="KRE17" s="292"/>
      <c r="KRF17" s="292"/>
      <c r="KRG17" s="292"/>
      <c r="KRH17" s="292"/>
      <c r="KRI17" s="292"/>
      <c r="KRJ17" s="292"/>
      <c r="KRK17" s="292"/>
      <c r="KRL17" s="292"/>
      <c r="KRM17" s="292"/>
      <c r="KRN17" s="292"/>
      <c r="KRO17" s="292"/>
      <c r="KRP17" s="292"/>
      <c r="KRQ17" s="292"/>
      <c r="KRR17" s="292"/>
      <c r="KRS17" s="292"/>
      <c r="KRT17" s="292"/>
      <c r="KRU17" s="292"/>
      <c r="KRV17" s="292"/>
      <c r="KRW17" s="292"/>
      <c r="KRX17" s="292"/>
      <c r="KRY17" s="292"/>
      <c r="KRZ17" s="292"/>
      <c r="KSA17" s="292"/>
      <c r="KSB17" s="292"/>
      <c r="KSC17" s="292"/>
      <c r="KSD17" s="292"/>
      <c r="KSE17" s="292"/>
      <c r="KSF17" s="292"/>
      <c r="KSG17" s="292"/>
      <c r="KSH17" s="292"/>
      <c r="KSI17" s="292"/>
      <c r="KSJ17" s="292"/>
      <c r="KSK17" s="292"/>
      <c r="KSL17" s="292"/>
      <c r="KSM17" s="292"/>
      <c r="KSN17" s="292"/>
      <c r="KSO17" s="292"/>
      <c r="KSP17" s="292"/>
      <c r="KSQ17" s="292"/>
      <c r="KSR17" s="292"/>
      <c r="KSS17" s="292"/>
      <c r="KST17" s="292"/>
      <c r="KSU17" s="292"/>
      <c r="KSV17" s="292"/>
      <c r="KSW17" s="292"/>
      <c r="KSX17" s="292"/>
      <c r="KSY17" s="292"/>
      <c r="KSZ17" s="292"/>
      <c r="KTA17" s="292"/>
      <c r="KTB17" s="292"/>
      <c r="KTC17" s="292"/>
      <c r="KTD17" s="292"/>
      <c r="KTE17" s="292"/>
      <c r="KTF17" s="292"/>
      <c r="KTG17" s="292"/>
      <c r="KTH17" s="292"/>
      <c r="KTI17" s="292"/>
      <c r="KTJ17" s="292"/>
      <c r="KTK17" s="292"/>
      <c r="KTL17" s="292"/>
      <c r="KTM17" s="292"/>
      <c r="KTN17" s="292"/>
      <c r="KTO17" s="292"/>
      <c r="KTP17" s="292"/>
      <c r="KTQ17" s="292"/>
      <c r="KTR17" s="292"/>
      <c r="KTS17" s="292"/>
      <c r="KTT17" s="292"/>
      <c r="KTU17" s="292"/>
      <c r="KTV17" s="292"/>
      <c r="KTW17" s="292"/>
      <c r="KTX17" s="292"/>
      <c r="KTY17" s="292"/>
      <c r="KTZ17" s="292"/>
      <c r="KUA17" s="292"/>
      <c r="KUB17" s="292"/>
      <c r="KUC17" s="292"/>
      <c r="KUD17" s="292"/>
      <c r="KUE17" s="292"/>
      <c r="KUF17" s="292"/>
      <c r="KUG17" s="292"/>
      <c r="KUH17" s="292"/>
      <c r="KUI17" s="292"/>
      <c r="KUJ17" s="292"/>
      <c r="KUK17" s="292"/>
      <c r="KUL17" s="292"/>
      <c r="KUM17" s="292"/>
      <c r="KUN17" s="292"/>
      <c r="KUO17" s="292"/>
      <c r="KUP17" s="292"/>
      <c r="KUQ17" s="292"/>
      <c r="KUR17" s="292"/>
      <c r="KUS17" s="292"/>
      <c r="KUT17" s="292"/>
      <c r="KUU17" s="292"/>
      <c r="KUV17" s="292"/>
      <c r="KUW17" s="292"/>
      <c r="KUX17" s="292"/>
      <c r="KUY17" s="292"/>
      <c r="KUZ17" s="292"/>
      <c r="KVA17" s="292"/>
      <c r="KVB17" s="292"/>
      <c r="KVC17" s="292"/>
      <c r="KVD17" s="292"/>
      <c r="KVE17" s="292"/>
      <c r="KVF17" s="292"/>
      <c r="KVG17" s="292"/>
      <c r="KVH17" s="292"/>
      <c r="KVI17" s="292"/>
      <c r="KVJ17" s="292"/>
      <c r="KVK17" s="292"/>
      <c r="KVL17" s="292"/>
      <c r="KVM17" s="292"/>
      <c r="KVN17" s="292"/>
      <c r="KVO17" s="292"/>
      <c r="KVP17" s="292"/>
      <c r="KVQ17" s="292"/>
      <c r="KVR17" s="292"/>
      <c r="KVS17" s="292"/>
      <c r="KVT17" s="292"/>
      <c r="KVU17" s="292"/>
      <c r="KVV17" s="292"/>
      <c r="KVW17" s="292"/>
      <c r="KVX17" s="292"/>
      <c r="KVY17" s="292"/>
      <c r="KVZ17" s="292"/>
      <c r="KWA17" s="292"/>
      <c r="KWB17" s="292"/>
      <c r="KWC17" s="292"/>
      <c r="KWD17" s="292"/>
      <c r="KWE17" s="292"/>
      <c r="KWF17" s="292"/>
      <c r="KWG17" s="292"/>
      <c r="KWH17" s="292"/>
      <c r="KWI17" s="292"/>
      <c r="KWJ17" s="292"/>
      <c r="KWK17" s="292"/>
      <c r="KWL17" s="292"/>
      <c r="KWM17" s="292"/>
      <c r="KWN17" s="292"/>
      <c r="KWO17" s="292"/>
      <c r="KWP17" s="292"/>
      <c r="KWQ17" s="292"/>
      <c r="KWR17" s="292"/>
      <c r="KWS17" s="292"/>
      <c r="KWT17" s="292"/>
      <c r="KWU17" s="292"/>
      <c r="KWV17" s="292"/>
      <c r="KWW17" s="292"/>
      <c r="KWX17" s="292"/>
      <c r="KWY17" s="292"/>
      <c r="KWZ17" s="292"/>
      <c r="KXA17" s="292"/>
      <c r="KXB17" s="292"/>
      <c r="KXC17" s="292"/>
      <c r="KXD17" s="292"/>
      <c r="KXE17" s="292"/>
      <c r="KXF17" s="292"/>
      <c r="KXG17" s="292"/>
      <c r="KXH17" s="292"/>
      <c r="KXI17" s="292"/>
      <c r="KXJ17" s="292"/>
      <c r="KXK17" s="292"/>
      <c r="KXL17" s="292"/>
      <c r="KXM17" s="292"/>
      <c r="KXN17" s="292"/>
      <c r="KXO17" s="292"/>
      <c r="KXP17" s="292"/>
      <c r="KXQ17" s="292"/>
      <c r="KXR17" s="292"/>
      <c r="KXS17" s="292"/>
      <c r="KXT17" s="292"/>
      <c r="KXU17" s="292"/>
      <c r="KXV17" s="292"/>
      <c r="KXW17" s="292"/>
      <c r="KXX17" s="292"/>
      <c r="KXY17" s="292"/>
      <c r="KXZ17" s="292"/>
      <c r="KYA17" s="292"/>
      <c r="KYB17" s="292"/>
      <c r="KYC17" s="292"/>
      <c r="KYD17" s="292"/>
      <c r="KYE17" s="292"/>
      <c r="KYF17" s="292"/>
      <c r="KYG17" s="292"/>
      <c r="KYH17" s="292"/>
      <c r="KYI17" s="292"/>
      <c r="KYJ17" s="292"/>
      <c r="KYK17" s="292"/>
      <c r="KYL17" s="292"/>
      <c r="KYM17" s="292"/>
      <c r="KYN17" s="292"/>
      <c r="KYO17" s="292"/>
      <c r="KYP17" s="292"/>
      <c r="KYQ17" s="292"/>
      <c r="KYR17" s="292"/>
      <c r="KYS17" s="292"/>
      <c r="KYT17" s="292"/>
      <c r="KYU17" s="292"/>
      <c r="KYV17" s="292"/>
      <c r="KYW17" s="292"/>
      <c r="KYX17" s="292"/>
      <c r="KYY17" s="292"/>
      <c r="KYZ17" s="292"/>
      <c r="KZA17" s="292"/>
      <c r="KZB17" s="292"/>
      <c r="KZC17" s="292"/>
      <c r="KZD17" s="292"/>
      <c r="KZE17" s="292"/>
      <c r="KZF17" s="292"/>
      <c r="KZG17" s="292"/>
      <c r="KZH17" s="292"/>
      <c r="KZI17" s="292"/>
      <c r="KZJ17" s="292"/>
      <c r="KZK17" s="292"/>
      <c r="KZL17" s="292"/>
      <c r="KZM17" s="292"/>
      <c r="KZN17" s="292"/>
      <c r="KZO17" s="292"/>
      <c r="KZP17" s="292"/>
      <c r="KZQ17" s="292"/>
      <c r="KZR17" s="292"/>
      <c r="KZS17" s="292"/>
      <c r="KZT17" s="292"/>
      <c r="KZU17" s="292"/>
      <c r="KZV17" s="292"/>
      <c r="KZW17" s="292"/>
      <c r="KZX17" s="292"/>
      <c r="KZY17" s="292"/>
      <c r="KZZ17" s="292"/>
      <c r="LAA17" s="292"/>
      <c r="LAB17" s="292"/>
      <c r="LAC17" s="292"/>
      <c r="LAD17" s="292"/>
      <c r="LAE17" s="292"/>
      <c r="LAF17" s="292"/>
      <c r="LAG17" s="292"/>
      <c r="LAH17" s="292"/>
      <c r="LAI17" s="292"/>
      <c r="LAJ17" s="292"/>
      <c r="LAK17" s="292"/>
      <c r="LAL17" s="292"/>
      <c r="LAM17" s="292"/>
      <c r="LAN17" s="292"/>
      <c r="LAO17" s="292"/>
      <c r="LAP17" s="292"/>
      <c r="LAQ17" s="292"/>
      <c r="LAR17" s="292"/>
      <c r="LAS17" s="292"/>
      <c r="LAT17" s="292"/>
      <c r="LAU17" s="292"/>
      <c r="LAV17" s="292"/>
      <c r="LAW17" s="292"/>
      <c r="LAX17" s="292"/>
      <c r="LAY17" s="292"/>
      <c r="LAZ17" s="292"/>
      <c r="LBA17" s="292"/>
      <c r="LBB17" s="292"/>
      <c r="LBC17" s="292"/>
      <c r="LBD17" s="292"/>
      <c r="LBE17" s="292"/>
      <c r="LBF17" s="292"/>
      <c r="LBG17" s="292"/>
      <c r="LBH17" s="292"/>
      <c r="LBI17" s="292"/>
      <c r="LBJ17" s="292"/>
      <c r="LBK17" s="292"/>
      <c r="LBL17" s="292"/>
      <c r="LBM17" s="292"/>
      <c r="LBN17" s="292"/>
      <c r="LBO17" s="292"/>
      <c r="LBP17" s="292"/>
      <c r="LBQ17" s="292"/>
      <c r="LBR17" s="292"/>
      <c r="LBS17" s="292"/>
      <c r="LBT17" s="292"/>
      <c r="LBU17" s="292"/>
      <c r="LBV17" s="292"/>
      <c r="LBW17" s="292"/>
      <c r="LBX17" s="292"/>
      <c r="LBY17" s="292"/>
      <c r="LBZ17" s="292"/>
      <c r="LCA17" s="292"/>
      <c r="LCB17" s="292"/>
      <c r="LCC17" s="292"/>
      <c r="LCD17" s="292"/>
      <c r="LCE17" s="292"/>
      <c r="LCF17" s="292"/>
      <c r="LCG17" s="292"/>
      <c r="LCH17" s="292"/>
      <c r="LCI17" s="292"/>
      <c r="LCJ17" s="292"/>
      <c r="LCK17" s="292"/>
      <c r="LCL17" s="292"/>
      <c r="LCM17" s="292"/>
      <c r="LCN17" s="292"/>
      <c r="LCO17" s="292"/>
      <c r="LCP17" s="292"/>
      <c r="LCQ17" s="292"/>
      <c r="LCR17" s="292"/>
      <c r="LCS17" s="292"/>
      <c r="LCT17" s="292"/>
      <c r="LCU17" s="292"/>
      <c r="LCV17" s="292"/>
      <c r="LCW17" s="292"/>
      <c r="LCX17" s="292"/>
      <c r="LCY17" s="292"/>
      <c r="LCZ17" s="292"/>
      <c r="LDA17" s="292"/>
      <c r="LDB17" s="292"/>
      <c r="LDC17" s="292"/>
      <c r="LDD17" s="292"/>
      <c r="LDE17" s="292"/>
      <c r="LDF17" s="292"/>
      <c r="LDG17" s="292"/>
      <c r="LDH17" s="292"/>
      <c r="LDI17" s="292"/>
      <c r="LDJ17" s="292"/>
      <c r="LDK17" s="292"/>
      <c r="LDL17" s="292"/>
      <c r="LDM17" s="292"/>
      <c r="LDN17" s="292"/>
      <c r="LDO17" s="292"/>
      <c r="LDP17" s="292"/>
      <c r="LDQ17" s="292"/>
      <c r="LDR17" s="292"/>
      <c r="LDS17" s="292"/>
      <c r="LDT17" s="292"/>
      <c r="LDU17" s="292"/>
      <c r="LDV17" s="292"/>
      <c r="LDW17" s="292"/>
      <c r="LDX17" s="292"/>
      <c r="LDY17" s="292"/>
      <c r="LDZ17" s="292"/>
      <c r="LEA17" s="292"/>
      <c r="LEB17" s="292"/>
      <c r="LEC17" s="292"/>
      <c r="LED17" s="292"/>
      <c r="LEE17" s="292"/>
      <c r="LEF17" s="292"/>
      <c r="LEG17" s="292"/>
      <c r="LEH17" s="292"/>
      <c r="LEI17" s="292"/>
      <c r="LEJ17" s="292"/>
      <c r="LEK17" s="292"/>
      <c r="LEL17" s="292"/>
      <c r="LEM17" s="292"/>
      <c r="LEN17" s="292"/>
      <c r="LEO17" s="292"/>
      <c r="LEP17" s="292"/>
      <c r="LEQ17" s="292"/>
      <c r="LER17" s="292"/>
      <c r="LES17" s="292"/>
      <c r="LET17" s="292"/>
      <c r="LEU17" s="292"/>
      <c r="LEV17" s="292"/>
      <c r="LEW17" s="292"/>
      <c r="LEX17" s="292"/>
      <c r="LEY17" s="292"/>
      <c r="LEZ17" s="292"/>
      <c r="LFA17" s="292"/>
      <c r="LFB17" s="292"/>
      <c r="LFC17" s="292"/>
      <c r="LFD17" s="292"/>
      <c r="LFE17" s="292"/>
      <c r="LFF17" s="292"/>
      <c r="LFG17" s="292"/>
      <c r="LFH17" s="292"/>
      <c r="LFI17" s="292"/>
      <c r="LFJ17" s="292"/>
      <c r="LFK17" s="292"/>
      <c r="LFL17" s="292"/>
      <c r="LFM17" s="292"/>
      <c r="LFN17" s="292"/>
      <c r="LFO17" s="292"/>
      <c r="LFP17" s="292"/>
      <c r="LFQ17" s="292"/>
      <c r="LFR17" s="292"/>
      <c r="LFS17" s="292"/>
      <c r="LFT17" s="292"/>
      <c r="LFU17" s="292"/>
      <c r="LFV17" s="292"/>
      <c r="LFW17" s="292"/>
      <c r="LFX17" s="292"/>
      <c r="LFY17" s="292"/>
      <c r="LFZ17" s="292"/>
      <c r="LGA17" s="292"/>
      <c r="LGB17" s="292"/>
      <c r="LGC17" s="292"/>
      <c r="LGD17" s="292"/>
      <c r="LGE17" s="292"/>
      <c r="LGF17" s="292"/>
      <c r="LGG17" s="292"/>
      <c r="LGH17" s="292"/>
      <c r="LGI17" s="292"/>
      <c r="LGJ17" s="292"/>
      <c r="LGK17" s="292"/>
      <c r="LGL17" s="292"/>
      <c r="LGM17" s="292"/>
      <c r="LGN17" s="292"/>
      <c r="LGO17" s="292"/>
      <c r="LGP17" s="292"/>
      <c r="LGQ17" s="292"/>
      <c r="LGR17" s="292"/>
      <c r="LGS17" s="292"/>
      <c r="LGT17" s="292"/>
      <c r="LGU17" s="292"/>
      <c r="LGV17" s="292"/>
      <c r="LGW17" s="292"/>
      <c r="LGX17" s="292"/>
      <c r="LGY17" s="292"/>
      <c r="LGZ17" s="292"/>
      <c r="LHA17" s="292"/>
      <c r="LHB17" s="292"/>
      <c r="LHC17" s="292"/>
      <c r="LHD17" s="292"/>
      <c r="LHE17" s="292"/>
      <c r="LHF17" s="292"/>
      <c r="LHG17" s="292"/>
      <c r="LHH17" s="292"/>
      <c r="LHI17" s="292"/>
      <c r="LHJ17" s="292"/>
      <c r="LHK17" s="292"/>
      <c r="LHL17" s="292"/>
      <c r="LHM17" s="292"/>
      <c r="LHN17" s="292"/>
      <c r="LHO17" s="292"/>
      <c r="LHP17" s="292"/>
      <c r="LHQ17" s="292"/>
      <c r="LHR17" s="292"/>
      <c r="LHS17" s="292"/>
      <c r="LHT17" s="292"/>
      <c r="LHU17" s="292"/>
      <c r="LHV17" s="292"/>
      <c r="LHW17" s="292"/>
      <c r="LHX17" s="292"/>
      <c r="LHY17" s="292"/>
      <c r="LHZ17" s="292"/>
      <c r="LIA17" s="292"/>
      <c r="LIB17" s="292"/>
      <c r="LIC17" s="292"/>
      <c r="LID17" s="292"/>
      <c r="LIE17" s="292"/>
      <c r="LIF17" s="292"/>
      <c r="LIG17" s="292"/>
      <c r="LIH17" s="292"/>
      <c r="LII17" s="292"/>
      <c r="LIJ17" s="292"/>
      <c r="LIK17" s="292"/>
      <c r="LIL17" s="292"/>
      <c r="LIM17" s="292"/>
      <c r="LIN17" s="292"/>
      <c r="LIO17" s="292"/>
      <c r="LIP17" s="292"/>
      <c r="LIQ17" s="292"/>
      <c r="LIR17" s="292"/>
      <c r="LIS17" s="292"/>
      <c r="LIT17" s="292"/>
      <c r="LIU17" s="292"/>
      <c r="LIV17" s="292"/>
      <c r="LIW17" s="292"/>
      <c r="LIX17" s="292"/>
      <c r="LIY17" s="292"/>
      <c r="LIZ17" s="292"/>
      <c r="LJA17" s="292"/>
      <c r="LJB17" s="292"/>
      <c r="LJC17" s="292"/>
      <c r="LJD17" s="292"/>
      <c r="LJE17" s="292"/>
      <c r="LJF17" s="292"/>
      <c r="LJG17" s="292"/>
      <c r="LJH17" s="292"/>
      <c r="LJI17" s="292"/>
      <c r="LJJ17" s="292"/>
      <c r="LJK17" s="292"/>
      <c r="LJL17" s="292"/>
      <c r="LJM17" s="292"/>
      <c r="LJN17" s="292"/>
      <c r="LJO17" s="292"/>
      <c r="LJP17" s="292"/>
      <c r="LJQ17" s="292"/>
      <c r="LJR17" s="292"/>
      <c r="LJS17" s="292"/>
      <c r="LJT17" s="292"/>
      <c r="LJU17" s="292"/>
      <c r="LJV17" s="292"/>
      <c r="LJW17" s="292"/>
      <c r="LJX17" s="292"/>
      <c r="LJY17" s="292"/>
      <c r="LJZ17" s="292"/>
      <c r="LKA17" s="292"/>
      <c r="LKB17" s="292"/>
      <c r="LKC17" s="292"/>
      <c r="LKD17" s="292"/>
      <c r="LKE17" s="292"/>
      <c r="LKF17" s="292"/>
      <c r="LKG17" s="292"/>
      <c r="LKH17" s="292"/>
      <c r="LKI17" s="292"/>
      <c r="LKJ17" s="292"/>
      <c r="LKK17" s="292"/>
      <c r="LKL17" s="292"/>
      <c r="LKM17" s="292"/>
      <c r="LKN17" s="292"/>
      <c r="LKO17" s="292"/>
      <c r="LKP17" s="292"/>
      <c r="LKQ17" s="292"/>
      <c r="LKR17" s="292"/>
      <c r="LKS17" s="292"/>
      <c r="LKT17" s="292"/>
      <c r="LKU17" s="292"/>
      <c r="LKV17" s="292"/>
      <c r="LKW17" s="292"/>
      <c r="LKX17" s="292"/>
      <c r="LKY17" s="292"/>
      <c r="LKZ17" s="292"/>
      <c r="LLA17" s="292"/>
      <c r="LLB17" s="292"/>
      <c r="LLC17" s="292"/>
      <c r="LLD17" s="292"/>
      <c r="LLE17" s="292"/>
      <c r="LLF17" s="292"/>
      <c r="LLG17" s="292"/>
      <c r="LLH17" s="292"/>
      <c r="LLI17" s="292"/>
      <c r="LLJ17" s="292"/>
      <c r="LLK17" s="292"/>
      <c r="LLL17" s="292"/>
      <c r="LLM17" s="292"/>
      <c r="LLN17" s="292"/>
      <c r="LLO17" s="292"/>
      <c r="LLP17" s="292"/>
      <c r="LLQ17" s="292"/>
      <c r="LLR17" s="292"/>
      <c r="LLS17" s="292"/>
      <c r="LLT17" s="292"/>
      <c r="LLU17" s="292"/>
      <c r="LLV17" s="292"/>
      <c r="LLW17" s="292"/>
      <c r="LLX17" s="292"/>
      <c r="LLY17" s="292"/>
      <c r="LLZ17" s="292"/>
      <c r="LMA17" s="292"/>
      <c r="LMB17" s="292"/>
      <c r="LMC17" s="292"/>
      <c r="LMD17" s="292"/>
      <c r="LME17" s="292"/>
      <c r="LMF17" s="292"/>
      <c r="LMG17" s="292"/>
      <c r="LMH17" s="292"/>
      <c r="LMI17" s="292"/>
      <c r="LMJ17" s="292"/>
      <c r="LMK17" s="292"/>
      <c r="LML17" s="292"/>
      <c r="LMM17" s="292"/>
      <c r="LMN17" s="292"/>
      <c r="LMO17" s="292"/>
      <c r="LMP17" s="292"/>
      <c r="LMQ17" s="292"/>
      <c r="LMR17" s="292"/>
      <c r="LMS17" s="292"/>
      <c r="LMT17" s="292"/>
      <c r="LMU17" s="292"/>
      <c r="LMV17" s="292"/>
      <c r="LMW17" s="292"/>
      <c r="LMX17" s="292"/>
      <c r="LMY17" s="292"/>
      <c r="LMZ17" s="292"/>
      <c r="LNA17" s="292"/>
      <c r="LNB17" s="292"/>
      <c r="LNC17" s="292"/>
      <c r="LND17" s="292"/>
      <c r="LNE17" s="292"/>
      <c r="LNF17" s="292"/>
      <c r="LNG17" s="292"/>
      <c r="LNH17" s="292"/>
      <c r="LNI17" s="292"/>
      <c r="LNJ17" s="292"/>
      <c r="LNK17" s="292"/>
      <c r="LNL17" s="292"/>
      <c r="LNM17" s="292"/>
      <c r="LNN17" s="292"/>
      <c r="LNO17" s="292"/>
      <c r="LNP17" s="292"/>
      <c r="LNQ17" s="292"/>
      <c r="LNR17" s="292"/>
      <c r="LNS17" s="292"/>
      <c r="LNT17" s="292"/>
      <c r="LNU17" s="292"/>
      <c r="LNV17" s="292"/>
      <c r="LNW17" s="292"/>
      <c r="LNX17" s="292"/>
      <c r="LNY17" s="292"/>
      <c r="LNZ17" s="292"/>
      <c r="LOA17" s="292"/>
      <c r="LOB17" s="292"/>
      <c r="LOC17" s="292"/>
      <c r="LOD17" s="292"/>
      <c r="LOE17" s="292"/>
      <c r="LOF17" s="292"/>
      <c r="LOG17" s="292"/>
      <c r="LOH17" s="292"/>
      <c r="LOI17" s="292"/>
      <c r="LOJ17" s="292"/>
      <c r="LOK17" s="292"/>
      <c r="LOL17" s="292"/>
      <c r="LOM17" s="292"/>
      <c r="LON17" s="292"/>
      <c r="LOO17" s="292"/>
      <c r="LOP17" s="292"/>
      <c r="LOQ17" s="292"/>
      <c r="LOR17" s="292"/>
      <c r="LOS17" s="292"/>
      <c r="LOT17" s="292"/>
      <c r="LOU17" s="292"/>
      <c r="LOV17" s="292"/>
      <c r="LOW17" s="292"/>
      <c r="LOX17" s="292"/>
      <c r="LOY17" s="292"/>
      <c r="LOZ17" s="292"/>
      <c r="LPA17" s="292"/>
      <c r="LPB17" s="292"/>
      <c r="LPC17" s="292"/>
      <c r="LPD17" s="292"/>
      <c r="LPE17" s="292"/>
      <c r="LPF17" s="292"/>
      <c r="LPG17" s="292"/>
      <c r="LPH17" s="292"/>
      <c r="LPI17" s="292"/>
      <c r="LPJ17" s="292"/>
      <c r="LPK17" s="292"/>
      <c r="LPL17" s="292"/>
      <c r="LPM17" s="292"/>
      <c r="LPN17" s="292"/>
      <c r="LPO17" s="292"/>
      <c r="LPP17" s="292"/>
      <c r="LPQ17" s="292"/>
      <c r="LPR17" s="292"/>
      <c r="LPS17" s="292"/>
      <c r="LPT17" s="292"/>
      <c r="LPU17" s="292"/>
      <c r="LPV17" s="292"/>
      <c r="LPW17" s="292"/>
      <c r="LPX17" s="292"/>
      <c r="LPY17" s="292"/>
      <c r="LPZ17" s="292"/>
      <c r="LQA17" s="292"/>
      <c r="LQB17" s="292"/>
      <c r="LQC17" s="292"/>
      <c r="LQD17" s="292"/>
      <c r="LQE17" s="292"/>
      <c r="LQF17" s="292"/>
      <c r="LQG17" s="292"/>
      <c r="LQH17" s="292"/>
      <c r="LQI17" s="292"/>
      <c r="LQJ17" s="292"/>
      <c r="LQK17" s="292"/>
      <c r="LQL17" s="292"/>
      <c r="LQM17" s="292"/>
      <c r="LQN17" s="292"/>
      <c r="LQO17" s="292"/>
      <c r="LQP17" s="292"/>
      <c r="LQQ17" s="292"/>
      <c r="LQR17" s="292"/>
      <c r="LQS17" s="292"/>
      <c r="LQT17" s="292"/>
      <c r="LQU17" s="292"/>
      <c r="LQV17" s="292"/>
      <c r="LQW17" s="292"/>
      <c r="LQX17" s="292"/>
      <c r="LQY17" s="292"/>
      <c r="LQZ17" s="292"/>
      <c r="LRA17" s="292"/>
      <c r="LRB17" s="292"/>
      <c r="LRC17" s="292"/>
      <c r="LRD17" s="292"/>
      <c r="LRE17" s="292"/>
      <c r="LRF17" s="292"/>
      <c r="LRG17" s="292"/>
      <c r="LRH17" s="292"/>
      <c r="LRI17" s="292"/>
      <c r="LRJ17" s="292"/>
      <c r="LRK17" s="292"/>
      <c r="LRL17" s="292"/>
      <c r="LRM17" s="292"/>
      <c r="LRN17" s="292"/>
      <c r="LRO17" s="292"/>
      <c r="LRP17" s="292"/>
      <c r="LRQ17" s="292"/>
      <c r="LRR17" s="292"/>
      <c r="LRS17" s="292"/>
      <c r="LRT17" s="292"/>
      <c r="LRU17" s="292"/>
      <c r="LRV17" s="292"/>
      <c r="LRW17" s="292"/>
      <c r="LRX17" s="292"/>
      <c r="LRY17" s="292"/>
      <c r="LRZ17" s="292"/>
      <c r="LSA17" s="292"/>
      <c r="LSB17" s="292"/>
      <c r="LSC17" s="292"/>
      <c r="LSD17" s="292"/>
      <c r="LSE17" s="292"/>
      <c r="LSF17" s="292"/>
      <c r="LSG17" s="292"/>
      <c r="LSH17" s="292"/>
      <c r="LSI17" s="292"/>
      <c r="LSJ17" s="292"/>
      <c r="LSK17" s="292"/>
      <c r="LSL17" s="292"/>
      <c r="LSM17" s="292"/>
      <c r="LSN17" s="292"/>
      <c r="LSO17" s="292"/>
      <c r="LSP17" s="292"/>
      <c r="LSQ17" s="292"/>
      <c r="LSR17" s="292"/>
      <c r="LSS17" s="292"/>
      <c r="LST17" s="292"/>
      <c r="LSU17" s="292"/>
      <c r="LSV17" s="292"/>
      <c r="LSW17" s="292"/>
      <c r="LSX17" s="292"/>
      <c r="LSY17" s="292"/>
      <c r="LSZ17" s="292"/>
      <c r="LTA17" s="292"/>
      <c r="LTB17" s="292"/>
      <c r="LTC17" s="292"/>
      <c r="LTD17" s="292"/>
      <c r="LTE17" s="292"/>
      <c r="LTF17" s="292"/>
      <c r="LTG17" s="292"/>
      <c r="LTH17" s="292"/>
      <c r="LTI17" s="292"/>
      <c r="LTJ17" s="292"/>
      <c r="LTK17" s="292"/>
      <c r="LTL17" s="292"/>
      <c r="LTM17" s="292"/>
      <c r="LTN17" s="292"/>
      <c r="LTO17" s="292"/>
      <c r="LTP17" s="292"/>
      <c r="LTQ17" s="292"/>
      <c r="LTR17" s="292"/>
      <c r="LTS17" s="292"/>
      <c r="LTT17" s="292"/>
      <c r="LTU17" s="292"/>
      <c r="LTV17" s="292"/>
      <c r="LTW17" s="292"/>
      <c r="LTX17" s="292"/>
      <c r="LTY17" s="292"/>
      <c r="LTZ17" s="292"/>
      <c r="LUA17" s="292"/>
      <c r="LUB17" s="292"/>
      <c r="LUC17" s="292"/>
      <c r="LUD17" s="292"/>
      <c r="LUE17" s="292"/>
      <c r="LUF17" s="292"/>
      <c r="LUG17" s="292"/>
      <c r="LUH17" s="292"/>
      <c r="LUI17" s="292"/>
      <c r="LUJ17" s="292"/>
      <c r="LUK17" s="292"/>
      <c r="LUL17" s="292"/>
      <c r="LUM17" s="292"/>
      <c r="LUN17" s="292"/>
      <c r="LUO17" s="292"/>
      <c r="LUP17" s="292"/>
      <c r="LUQ17" s="292"/>
      <c r="LUR17" s="292"/>
      <c r="LUS17" s="292"/>
      <c r="LUT17" s="292"/>
      <c r="LUU17" s="292"/>
      <c r="LUV17" s="292"/>
      <c r="LUW17" s="292"/>
      <c r="LUX17" s="292"/>
      <c r="LUY17" s="292"/>
      <c r="LUZ17" s="292"/>
      <c r="LVA17" s="292"/>
      <c r="LVB17" s="292"/>
      <c r="LVC17" s="292"/>
      <c r="LVD17" s="292"/>
      <c r="LVE17" s="292"/>
      <c r="LVF17" s="292"/>
      <c r="LVG17" s="292"/>
      <c r="LVH17" s="292"/>
      <c r="LVI17" s="292"/>
      <c r="LVJ17" s="292"/>
      <c r="LVK17" s="292"/>
      <c r="LVL17" s="292"/>
      <c r="LVM17" s="292"/>
      <c r="LVN17" s="292"/>
      <c r="LVO17" s="292"/>
      <c r="LVP17" s="292"/>
      <c r="LVQ17" s="292"/>
      <c r="LVR17" s="292"/>
      <c r="LVS17" s="292"/>
      <c r="LVT17" s="292"/>
      <c r="LVU17" s="292"/>
      <c r="LVV17" s="292"/>
      <c r="LVW17" s="292"/>
      <c r="LVX17" s="292"/>
      <c r="LVY17" s="292"/>
      <c r="LVZ17" s="292"/>
      <c r="LWA17" s="292"/>
      <c r="LWB17" s="292"/>
      <c r="LWC17" s="292"/>
      <c r="LWD17" s="292"/>
      <c r="LWE17" s="292"/>
      <c r="LWF17" s="292"/>
      <c r="LWG17" s="292"/>
      <c r="LWH17" s="292"/>
      <c r="LWI17" s="292"/>
      <c r="LWJ17" s="292"/>
      <c r="LWK17" s="292"/>
      <c r="LWL17" s="292"/>
      <c r="LWM17" s="292"/>
      <c r="LWN17" s="292"/>
      <c r="LWO17" s="292"/>
      <c r="LWP17" s="292"/>
      <c r="LWQ17" s="292"/>
      <c r="LWR17" s="292"/>
      <c r="LWS17" s="292"/>
      <c r="LWT17" s="292"/>
      <c r="LWU17" s="292"/>
      <c r="LWV17" s="292"/>
      <c r="LWW17" s="292"/>
      <c r="LWX17" s="292"/>
      <c r="LWY17" s="292"/>
      <c r="LWZ17" s="292"/>
      <c r="LXA17" s="292"/>
      <c r="LXB17" s="292"/>
      <c r="LXC17" s="292"/>
      <c r="LXD17" s="292"/>
      <c r="LXE17" s="292"/>
      <c r="LXF17" s="292"/>
      <c r="LXG17" s="292"/>
      <c r="LXH17" s="292"/>
      <c r="LXI17" s="292"/>
      <c r="LXJ17" s="292"/>
      <c r="LXK17" s="292"/>
      <c r="LXL17" s="292"/>
      <c r="LXM17" s="292"/>
      <c r="LXN17" s="292"/>
      <c r="LXO17" s="292"/>
      <c r="LXP17" s="292"/>
      <c r="LXQ17" s="292"/>
      <c r="LXR17" s="292"/>
      <c r="LXS17" s="292"/>
      <c r="LXT17" s="292"/>
      <c r="LXU17" s="292"/>
      <c r="LXV17" s="292"/>
      <c r="LXW17" s="292"/>
      <c r="LXX17" s="292"/>
      <c r="LXY17" s="292"/>
      <c r="LXZ17" s="292"/>
      <c r="LYA17" s="292"/>
      <c r="LYB17" s="292"/>
      <c r="LYC17" s="292"/>
      <c r="LYD17" s="292"/>
      <c r="LYE17" s="292"/>
      <c r="LYF17" s="292"/>
      <c r="LYG17" s="292"/>
      <c r="LYH17" s="292"/>
      <c r="LYI17" s="292"/>
      <c r="LYJ17" s="292"/>
      <c r="LYK17" s="292"/>
      <c r="LYL17" s="292"/>
      <c r="LYM17" s="292"/>
      <c r="LYN17" s="292"/>
      <c r="LYO17" s="292"/>
      <c r="LYP17" s="292"/>
      <c r="LYQ17" s="292"/>
      <c r="LYR17" s="292"/>
      <c r="LYS17" s="292"/>
      <c r="LYT17" s="292"/>
      <c r="LYU17" s="292"/>
      <c r="LYV17" s="292"/>
      <c r="LYW17" s="292"/>
      <c r="LYX17" s="292"/>
      <c r="LYY17" s="292"/>
      <c r="LYZ17" s="292"/>
      <c r="LZA17" s="292"/>
      <c r="LZB17" s="292"/>
      <c r="LZC17" s="292"/>
      <c r="LZD17" s="292"/>
      <c r="LZE17" s="292"/>
      <c r="LZF17" s="292"/>
      <c r="LZG17" s="292"/>
      <c r="LZH17" s="292"/>
      <c r="LZI17" s="292"/>
      <c r="LZJ17" s="292"/>
      <c r="LZK17" s="292"/>
      <c r="LZL17" s="292"/>
      <c r="LZM17" s="292"/>
      <c r="LZN17" s="292"/>
      <c r="LZO17" s="292"/>
      <c r="LZP17" s="292"/>
      <c r="LZQ17" s="292"/>
      <c r="LZR17" s="292"/>
      <c r="LZS17" s="292"/>
      <c r="LZT17" s="292"/>
      <c r="LZU17" s="292"/>
      <c r="LZV17" s="292"/>
      <c r="LZW17" s="292"/>
      <c r="LZX17" s="292"/>
      <c r="LZY17" s="292"/>
      <c r="LZZ17" s="292"/>
      <c r="MAA17" s="292"/>
      <c r="MAB17" s="292"/>
      <c r="MAC17" s="292"/>
      <c r="MAD17" s="292"/>
      <c r="MAE17" s="292"/>
      <c r="MAF17" s="292"/>
      <c r="MAG17" s="292"/>
      <c r="MAH17" s="292"/>
      <c r="MAI17" s="292"/>
      <c r="MAJ17" s="292"/>
      <c r="MAK17" s="292"/>
      <c r="MAL17" s="292"/>
      <c r="MAM17" s="292"/>
      <c r="MAN17" s="292"/>
      <c r="MAO17" s="292"/>
      <c r="MAP17" s="292"/>
      <c r="MAQ17" s="292"/>
      <c r="MAR17" s="292"/>
      <c r="MAS17" s="292"/>
      <c r="MAT17" s="292"/>
      <c r="MAU17" s="292"/>
      <c r="MAV17" s="292"/>
      <c r="MAW17" s="292"/>
      <c r="MAX17" s="292"/>
      <c r="MAY17" s="292"/>
      <c r="MAZ17" s="292"/>
      <c r="MBA17" s="292"/>
      <c r="MBB17" s="292"/>
      <c r="MBC17" s="292"/>
      <c r="MBD17" s="292"/>
      <c r="MBE17" s="292"/>
      <c r="MBF17" s="292"/>
      <c r="MBG17" s="292"/>
      <c r="MBH17" s="292"/>
      <c r="MBI17" s="292"/>
      <c r="MBJ17" s="292"/>
      <c r="MBK17" s="292"/>
      <c r="MBL17" s="292"/>
      <c r="MBM17" s="292"/>
      <c r="MBN17" s="292"/>
      <c r="MBO17" s="292"/>
      <c r="MBP17" s="292"/>
      <c r="MBQ17" s="292"/>
      <c r="MBR17" s="292"/>
      <c r="MBS17" s="292"/>
      <c r="MBT17" s="292"/>
      <c r="MBU17" s="292"/>
      <c r="MBV17" s="292"/>
      <c r="MBW17" s="292"/>
      <c r="MBX17" s="292"/>
      <c r="MBY17" s="292"/>
      <c r="MBZ17" s="292"/>
      <c r="MCA17" s="292"/>
      <c r="MCB17" s="292"/>
      <c r="MCC17" s="292"/>
      <c r="MCD17" s="292"/>
      <c r="MCE17" s="292"/>
      <c r="MCF17" s="292"/>
      <c r="MCG17" s="292"/>
      <c r="MCH17" s="292"/>
      <c r="MCI17" s="292"/>
      <c r="MCJ17" s="292"/>
      <c r="MCK17" s="292"/>
      <c r="MCL17" s="292"/>
      <c r="MCM17" s="292"/>
      <c r="MCN17" s="292"/>
      <c r="MCO17" s="292"/>
      <c r="MCP17" s="292"/>
      <c r="MCQ17" s="292"/>
      <c r="MCR17" s="292"/>
      <c r="MCS17" s="292"/>
      <c r="MCT17" s="292"/>
      <c r="MCU17" s="292"/>
      <c r="MCV17" s="292"/>
      <c r="MCW17" s="292"/>
      <c r="MCX17" s="292"/>
      <c r="MCY17" s="292"/>
      <c r="MCZ17" s="292"/>
      <c r="MDA17" s="292"/>
      <c r="MDB17" s="292"/>
      <c r="MDC17" s="292"/>
      <c r="MDD17" s="292"/>
      <c r="MDE17" s="292"/>
      <c r="MDF17" s="292"/>
      <c r="MDG17" s="292"/>
      <c r="MDH17" s="292"/>
      <c r="MDI17" s="292"/>
      <c r="MDJ17" s="292"/>
      <c r="MDK17" s="292"/>
      <c r="MDL17" s="292"/>
      <c r="MDM17" s="292"/>
      <c r="MDN17" s="292"/>
      <c r="MDO17" s="292"/>
      <c r="MDP17" s="292"/>
      <c r="MDQ17" s="292"/>
      <c r="MDR17" s="292"/>
      <c r="MDS17" s="292"/>
      <c r="MDT17" s="292"/>
      <c r="MDU17" s="292"/>
      <c r="MDV17" s="292"/>
      <c r="MDW17" s="292"/>
      <c r="MDX17" s="292"/>
      <c r="MDY17" s="292"/>
      <c r="MDZ17" s="292"/>
      <c r="MEA17" s="292"/>
      <c r="MEB17" s="292"/>
      <c r="MEC17" s="292"/>
      <c r="MED17" s="292"/>
      <c r="MEE17" s="292"/>
      <c r="MEF17" s="292"/>
      <c r="MEG17" s="292"/>
      <c r="MEH17" s="292"/>
      <c r="MEI17" s="292"/>
      <c r="MEJ17" s="292"/>
      <c r="MEK17" s="292"/>
      <c r="MEL17" s="292"/>
      <c r="MEM17" s="292"/>
      <c r="MEN17" s="292"/>
      <c r="MEO17" s="292"/>
      <c r="MEP17" s="292"/>
      <c r="MEQ17" s="292"/>
      <c r="MER17" s="292"/>
      <c r="MES17" s="292"/>
      <c r="MET17" s="292"/>
      <c r="MEU17" s="292"/>
      <c r="MEV17" s="292"/>
      <c r="MEW17" s="292"/>
      <c r="MEX17" s="292"/>
      <c r="MEY17" s="292"/>
      <c r="MEZ17" s="292"/>
      <c r="MFA17" s="292"/>
      <c r="MFB17" s="292"/>
      <c r="MFC17" s="292"/>
      <c r="MFD17" s="292"/>
      <c r="MFE17" s="292"/>
      <c r="MFF17" s="292"/>
      <c r="MFG17" s="292"/>
      <c r="MFH17" s="292"/>
      <c r="MFI17" s="292"/>
      <c r="MFJ17" s="292"/>
      <c r="MFK17" s="292"/>
      <c r="MFL17" s="292"/>
      <c r="MFM17" s="292"/>
      <c r="MFN17" s="292"/>
      <c r="MFO17" s="292"/>
      <c r="MFP17" s="292"/>
      <c r="MFQ17" s="292"/>
      <c r="MFR17" s="292"/>
      <c r="MFS17" s="292"/>
      <c r="MFT17" s="292"/>
      <c r="MFU17" s="292"/>
      <c r="MFV17" s="292"/>
      <c r="MFW17" s="292"/>
      <c r="MFX17" s="292"/>
      <c r="MFY17" s="292"/>
      <c r="MFZ17" s="292"/>
      <c r="MGA17" s="292"/>
      <c r="MGB17" s="292"/>
      <c r="MGC17" s="292"/>
      <c r="MGD17" s="292"/>
      <c r="MGE17" s="292"/>
      <c r="MGF17" s="292"/>
      <c r="MGG17" s="292"/>
      <c r="MGH17" s="292"/>
      <c r="MGI17" s="292"/>
      <c r="MGJ17" s="292"/>
      <c r="MGK17" s="292"/>
      <c r="MGL17" s="292"/>
      <c r="MGM17" s="292"/>
      <c r="MGN17" s="292"/>
      <c r="MGO17" s="292"/>
      <c r="MGP17" s="292"/>
      <c r="MGQ17" s="292"/>
      <c r="MGR17" s="292"/>
      <c r="MGS17" s="292"/>
      <c r="MGT17" s="292"/>
      <c r="MGU17" s="292"/>
      <c r="MGV17" s="292"/>
      <c r="MGW17" s="292"/>
      <c r="MGX17" s="292"/>
      <c r="MGY17" s="292"/>
      <c r="MGZ17" s="292"/>
      <c r="MHA17" s="292"/>
      <c r="MHB17" s="292"/>
      <c r="MHC17" s="292"/>
      <c r="MHD17" s="292"/>
      <c r="MHE17" s="292"/>
      <c r="MHF17" s="292"/>
      <c r="MHG17" s="292"/>
      <c r="MHH17" s="292"/>
      <c r="MHI17" s="292"/>
      <c r="MHJ17" s="292"/>
      <c r="MHK17" s="292"/>
      <c r="MHL17" s="292"/>
      <c r="MHM17" s="292"/>
      <c r="MHN17" s="292"/>
      <c r="MHO17" s="292"/>
      <c r="MHP17" s="292"/>
      <c r="MHQ17" s="292"/>
      <c r="MHR17" s="292"/>
      <c r="MHS17" s="292"/>
      <c r="MHT17" s="292"/>
      <c r="MHU17" s="292"/>
      <c r="MHV17" s="292"/>
      <c r="MHW17" s="292"/>
      <c r="MHX17" s="292"/>
      <c r="MHY17" s="292"/>
      <c r="MHZ17" s="292"/>
      <c r="MIA17" s="292"/>
      <c r="MIB17" s="292"/>
      <c r="MIC17" s="292"/>
      <c r="MID17" s="292"/>
      <c r="MIE17" s="292"/>
      <c r="MIF17" s="292"/>
      <c r="MIG17" s="292"/>
      <c r="MIH17" s="292"/>
      <c r="MII17" s="292"/>
      <c r="MIJ17" s="292"/>
      <c r="MIK17" s="292"/>
      <c r="MIL17" s="292"/>
      <c r="MIM17" s="292"/>
      <c r="MIN17" s="292"/>
      <c r="MIO17" s="292"/>
      <c r="MIP17" s="292"/>
      <c r="MIQ17" s="292"/>
      <c r="MIR17" s="292"/>
      <c r="MIS17" s="292"/>
      <c r="MIT17" s="292"/>
      <c r="MIU17" s="292"/>
      <c r="MIV17" s="292"/>
      <c r="MIW17" s="292"/>
      <c r="MIX17" s="292"/>
      <c r="MIY17" s="292"/>
      <c r="MIZ17" s="292"/>
      <c r="MJA17" s="292"/>
      <c r="MJB17" s="292"/>
      <c r="MJC17" s="292"/>
      <c r="MJD17" s="292"/>
      <c r="MJE17" s="292"/>
      <c r="MJF17" s="292"/>
      <c r="MJG17" s="292"/>
      <c r="MJH17" s="292"/>
      <c r="MJI17" s="292"/>
      <c r="MJJ17" s="292"/>
      <c r="MJK17" s="292"/>
      <c r="MJL17" s="292"/>
      <c r="MJM17" s="292"/>
      <c r="MJN17" s="292"/>
      <c r="MJO17" s="292"/>
      <c r="MJP17" s="292"/>
      <c r="MJQ17" s="292"/>
      <c r="MJR17" s="292"/>
      <c r="MJS17" s="292"/>
      <c r="MJT17" s="292"/>
      <c r="MJU17" s="292"/>
      <c r="MJV17" s="292"/>
      <c r="MJW17" s="292"/>
      <c r="MJX17" s="292"/>
      <c r="MJY17" s="292"/>
      <c r="MJZ17" s="292"/>
      <c r="MKA17" s="292"/>
      <c r="MKB17" s="292"/>
      <c r="MKC17" s="292"/>
      <c r="MKD17" s="292"/>
      <c r="MKE17" s="292"/>
      <c r="MKF17" s="292"/>
      <c r="MKG17" s="292"/>
      <c r="MKH17" s="292"/>
      <c r="MKI17" s="292"/>
      <c r="MKJ17" s="292"/>
      <c r="MKK17" s="292"/>
      <c r="MKL17" s="292"/>
      <c r="MKM17" s="292"/>
      <c r="MKN17" s="292"/>
      <c r="MKO17" s="292"/>
      <c r="MKP17" s="292"/>
      <c r="MKQ17" s="292"/>
      <c r="MKR17" s="292"/>
      <c r="MKS17" s="292"/>
      <c r="MKT17" s="292"/>
      <c r="MKU17" s="292"/>
      <c r="MKV17" s="292"/>
      <c r="MKW17" s="292"/>
      <c r="MKX17" s="292"/>
      <c r="MKY17" s="292"/>
      <c r="MKZ17" s="292"/>
      <c r="MLA17" s="292"/>
      <c r="MLB17" s="292"/>
      <c r="MLC17" s="292"/>
      <c r="MLD17" s="292"/>
      <c r="MLE17" s="292"/>
      <c r="MLF17" s="292"/>
      <c r="MLG17" s="292"/>
      <c r="MLH17" s="292"/>
      <c r="MLI17" s="292"/>
      <c r="MLJ17" s="292"/>
      <c r="MLK17" s="292"/>
      <c r="MLL17" s="292"/>
      <c r="MLM17" s="292"/>
      <c r="MLN17" s="292"/>
      <c r="MLO17" s="292"/>
      <c r="MLP17" s="292"/>
      <c r="MLQ17" s="292"/>
      <c r="MLR17" s="292"/>
      <c r="MLS17" s="292"/>
      <c r="MLT17" s="292"/>
      <c r="MLU17" s="292"/>
      <c r="MLV17" s="292"/>
      <c r="MLW17" s="292"/>
      <c r="MLX17" s="292"/>
      <c r="MLY17" s="292"/>
      <c r="MLZ17" s="292"/>
      <c r="MMA17" s="292"/>
      <c r="MMB17" s="292"/>
      <c r="MMC17" s="292"/>
      <c r="MMD17" s="292"/>
      <c r="MME17" s="292"/>
      <c r="MMF17" s="292"/>
      <c r="MMG17" s="292"/>
      <c r="MMH17" s="292"/>
      <c r="MMI17" s="292"/>
      <c r="MMJ17" s="292"/>
      <c r="MMK17" s="292"/>
      <c r="MML17" s="292"/>
      <c r="MMM17" s="292"/>
      <c r="MMN17" s="292"/>
      <c r="MMO17" s="292"/>
      <c r="MMP17" s="292"/>
      <c r="MMQ17" s="292"/>
      <c r="MMR17" s="292"/>
      <c r="MMS17" s="292"/>
      <c r="MMT17" s="292"/>
      <c r="MMU17" s="292"/>
      <c r="MMV17" s="292"/>
      <c r="MMW17" s="292"/>
      <c r="MMX17" s="292"/>
      <c r="MMY17" s="292"/>
      <c r="MMZ17" s="292"/>
      <c r="MNA17" s="292"/>
      <c r="MNB17" s="292"/>
      <c r="MNC17" s="292"/>
      <c r="MND17" s="292"/>
      <c r="MNE17" s="292"/>
      <c r="MNF17" s="292"/>
      <c r="MNG17" s="292"/>
      <c r="MNH17" s="292"/>
      <c r="MNI17" s="292"/>
      <c r="MNJ17" s="292"/>
      <c r="MNK17" s="292"/>
      <c r="MNL17" s="292"/>
      <c r="MNM17" s="292"/>
      <c r="MNN17" s="292"/>
      <c r="MNO17" s="292"/>
      <c r="MNP17" s="292"/>
      <c r="MNQ17" s="292"/>
      <c r="MNR17" s="292"/>
      <c r="MNS17" s="292"/>
      <c r="MNT17" s="292"/>
      <c r="MNU17" s="292"/>
      <c r="MNV17" s="292"/>
      <c r="MNW17" s="292"/>
      <c r="MNX17" s="292"/>
      <c r="MNY17" s="292"/>
      <c r="MNZ17" s="292"/>
      <c r="MOA17" s="292"/>
      <c r="MOB17" s="292"/>
      <c r="MOC17" s="292"/>
      <c r="MOD17" s="292"/>
      <c r="MOE17" s="292"/>
      <c r="MOF17" s="292"/>
      <c r="MOG17" s="292"/>
      <c r="MOH17" s="292"/>
      <c r="MOI17" s="292"/>
      <c r="MOJ17" s="292"/>
      <c r="MOK17" s="292"/>
      <c r="MOL17" s="292"/>
      <c r="MOM17" s="292"/>
      <c r="MON17" s="292"/>
      <c r="MOO17" s="292"/>
      <c r="MOP17" s="292"/>
      <c r="MOQ17" s="292"/>
      <c r="MOR17" s="292"/>
      <c r="MOS17" s="292"/>
      <c r="MOT17" s="292"/>
      <c r="MOU17" s="292"/>
      <c r="MOV17" s="292"/>
      <c r="MOW17" s="292"/>
      <c r="MOX17" s="292"/>
      <c r="MOY17" s="292"/>
      <c r="MOZ17" s="292"/>
      <c r="MPA17" s="292"/>
      <c r="MPB17" s="292"/>
      <c r="MPC17" s="292"/>
      <c r="MPD17" s="292"/>
      <c r="MPE17" s="292"/>
      <c r="MPF17" s="292"/>
      <c r="MPG17" s="292"/>
      <c r="MPH17" s="292"/>
      <c r="MPI17" s="292"/>
      <c r="MPJ17" s="292"/>
      <c r="MPK17" s="292"/>
      <c r="MPL17" s="292"/>
      <c r="MPM17" s="292"/>
      <c r="MPN17" s="292"/>
      <c r="MPO17" s="292"/>
      <c r="MPP17" s="292"/>
      <c r="MPQ17" s="292"/>
      <c r="MPR17" s="292"/>
      <c r="MPS17" s="292"/>
      <c r="MPT17" s="292"/>
      <c r="MPU17" s="292"/>
      <c r="MPV17" s="292"/>
      <c r="MPW17" s="292"/>
      <c r="MPX17" s="292"/>
      <c r="MPY17" s="292"/>
      <c r="MPZ17" s="292"/>
      <c r="MQA17" s="292"/>
      <c r="MQB17" s="292"/>
      <c r="MQC17" s="292"/>
      <c r="MQD17" s="292"/>
      <c r="MQE17" s="292"/>
      <c r="MQF17" s="292"/>
      <c r="MQG17" s="292"/>
      <c r="MQH17" s="292"/>
      <c r="MQI17" s="292"/>
      <c r="MQJ17" s="292"/>
      <c r="MQK17" s="292"/>
      <c r="MQL17" s="292"/>
      <c r="MQM17" s="292"/>
      <c r="MQN17" s="292"/>
      <c r="MQO17" s="292"/>
      <c r="MQP17" s="292"/>
      <c r="MQQ17" s="292"/>
      <c r="MQR17" s="292"/>
      <c r="MQS17" s="292"/>
      <c r="MQT17" s="292"/>
      <c r="MQU17" s="292"/>
      <c r="MQV17" s="292"/>
      <c r="MQW17" s="292"/>
      <c r="MQX17" s="292"/>
      <c r="MQY17" s="292"/>
      <c r="MQZ17" s="292"/>
      <c r="MRA17" s="292"/>
      <c r="MRB17" s="292"/>
      <c r="MRC17" s="292"/>
      <c r="MRD17" s="292"/>
      <c r="MRE17" s="292"/>
      <c r="MRF17" s="292"/>
      <c r="MRG17" s="292"/>
      <c r="MRH17" s="292"/>
      <c r="MRI17" s="292"/>
      <c r="MRJ17" s="292"/>
      <c r="MRK17" s="292"/>
      <c r="MRL17" s="292"/>
      <c r="MRM17" s="292"/>
      <c r="MRN17" s="292"/>
      <c r="MRO17" s="292"/>
      <c r="MRP17" s="292"/>
      <c r="MRQ17" s="292"/>
      <c r="MRR17" s="292"/>
      <c r="MRS17" s="292"/>
      <c r="MRT17" s="292"/>
      <c r="MRU17" s="292"/>
      <c r="MRV17" s="292"/>
      <c r="MRW17" s="292"/>
      <c r="MRX17" s="292"/>
      <c r="MRY17" s="292"/>
      <c r="MRZ17" s="292"/>
      <c r="MSA17" s="292"/>
      <c r="MSB17" s="292"/>
      <c r="MSC17" s="292"/>
      <c r="MSD17" s="292"/>
      <c r="MSE17" s="292"/>
      <c r="MSF17" s="292"/>
      <c r="MSG17" s="292"/>
      <c r="MSH17" s="292"/>
      <c r="MSI17" s="292"/>
      <c r="MSJ17" s="292"/>
      <c r="MSK17" s="292"/>
      <c r="MSL17" s="292"/>
      <c r="MSM17" s="292"/>
      <c r="MSN17" s="292"/>
      <c r="MSO17" s="292"/>
      <c r="MSP17" s="292"/>
      <c r="MSQ17" s="292"/>
      <c r="MSR17" s="292"/>
      <c r="MSS17" s="292"/>
      <c r="MST17" s="292"/>
      <c r="MSU17" s="292"/>
      <c r="MSV17" s="292"/>
      <c r="MSW17" s="292"/>
      <c r="MSX17" s="292"/>
      <c r="MSY17" s="292"/>
      <c r="MSZ17" s="292"/>
      <c r="MTA17" s="292"/>
      <c r="MTB17" s="292"/>
      <c r="MTC17" s="292"/>
      <c r="MTD17" s="292"/>
      <c r="MTE17" s="292"/>
      <c r="MTF17" s="292"/>
      <c r="MTG17" s="292"/>
      <c r="MTH17" s="292"/>
      <c r="MTI17" s="292"/>
      <c r="MTJ17" s="292"/>
      <c r="MTK17" s="292"/>
      <c r="MTL17" s="292"/>
      <c r="MTM17" s="292"/>
      <c r="MTN17" s="292"/>
      <c r="MTO17" s="292"/>
      <c r="MTP17" s="292"/>
      <c r="MTQ17" s="292"/>
      <c r="MTR17" s="292"/>
      <c r="MTS17" s="292"/>
      <c r="MTT17" s="292"/>
      <c r="MTU17" s="292"/>
      <c r="MTV17" s="292"/>
      <c r="MTW17" s="292"/>
      <c r="MTX17" s="292"/>
      <c r="MTY17" s="292"/>
      <c r="MTZ17" s="292"/>
      <c r="MUA17" s="292"/>
      <c r="MUB17" s="292"/>
      <c r="MUC17" s="292"/>
      <c r="MUD17" s="292"/>
      <c r="MUE17" s="292"/>
      <c r="MUF17" s="292"/>
      <c r="MUG17" s="292"/>
      <c r="MUH17" s="292"/>
      <c r="MUI17" s="292"/>
      <c r="MUJ17" s="292"/>
      <c r="MUK17" s="292"/>
      <c r="MUL17" s="292"/>
      <c r="MUM17" s="292"/>
      <c r="MUN17" s="292"/>
      <c r="MUO17" s="292"/>
      <c r="MUP17" s="292"/>
      <c r="MUQ17" s="292"/>
      <c r="MUR17" s="292"/>
      <c r="MUS17" s="292"/>
      <c r="MUT17" s="292"/>
      <c r="MUU17" s="292"/>
      <c r="MUV17" s="292"/>
      <c r="MUW17" s="292"/>
      <c r="MUX17" s="292"/>
      <c r="MUY17" s="292"/>
      <c r="MUZ17" s="292"/>
      <c r="MVA17" s="292"/>
      <c r="MVB17" s="292"/>
      <c r="MVC17" s="292"/>
      <c r="MVD17" s="292"/>
      <c r="MVE17" s="292"/>
      <c r="MVF17" s="292"/>
      <c r="MVG17" s="292"/>
      <c r="MVH17" s="292"/>
      <c r="MVI17" s="292"/>
      <c r="MVJ17" s="292"/>
      <c r="MVK17" s="292"/>
      <c r="MVL17" s="292"/>
      <c r="MVM17" s="292"/>
      <c r="MVN17" s="292"/>
      <c r="MVO17" s="292"/>
      <c r="MVP17" s="292"/>
      <c r="MVQ17" s="292"/>
      <c r="MVR17" s="292"/>
      <c r="MVS17" s="292"/>
      <c r="MVT17" s="292"/>
      <c r="MVU17" s="292"/>
      <c r="MVV17" s="292"/>
      <c r="MVW17" s="292"/>
      <c r="MVX17" s="292"/>
      <c r="MVY17" s="292"/>
      <c r="MVZ17" s="292"/>
      <c r="MWA17" s="292"/>
      <c r="MWB17" s="292"/>
      <c r="MWC17" s="292"/>
      <c r="MWD17" s="292"/>
      <c r="MWE17" s="292"/>
      <c r="MWF17" s="292"/>
      <c r="MWG17" s="292"/>
      <c r="MWH17" s="292"/>
      <c r="MWI17" s="292"/>
      <c r="MWJ17" s="292"/>
      <c r="MWK17" s="292"/>
      <c r="MWL17" s="292"/>
      <c r="MWM17" s="292"/>
      <c r="MWN17" s="292"/>
      <c r="MWO17" s="292"/>
      <c r="MWP17" s="292"/>
      <c r="MWQ17" s="292"/>
      <c r="MWR17" s="292"/>
      <c r="MWS17" s="292"/>
      <c r="MWT17" s="292"/>
      <c r="MWU17" s="292"/>
      <c r="MWV17" s="292"/>
      <c r="MWW17" s="292"/>
      <c r="MWX17" s="292"/>
      <c r="MWY17" s="292"/>
      <c r="MWZ17" s="292"/>
      <c r="MXA17" s="292"/>
      <c r="MXB17" s="292"/>
      <c r="MXC17" s="292"/>
      <c r="MXD17" s="292"/>
      <c r="MXE17" s="292"/>
      <c r="MXF17" s="292"/>
      <c r="MXG17" s="292"/>
      <c r="MXH17" s="292"/>
      <c r="MXI17" s="292"/>
      <c r="MXJ17" s="292"/>
      <c r="MXK17" s="292"/>
      <c r="MXL17" s="292"/>
      <c r="MXM17" s="292"/>
      <c r="MXN17" s="292"/>
      <c r="MXO17" s="292"/>
      <c r="MXP17" s="292"/>
      <c r="MXQ17" s="292"/>
      <c r="MXR17" s="292"/>
      <c r="MXS17" s="292"/>
      <c r="MXT17" s="292"/>
      <c r="MXU17" s="292"/>
      <c r="MXV17" s="292"/>
      <c r="MXW17" s="292"/>
      <c r="MXX17" s="292"/>
      <c r="MXY17" s="292"/>
      <c r="MXZ17" s="292"/>
      <c r="MYA17" s="292"/>
      <c r="MYB17" s="292"/>
      <c r="MYC17" s="292"/>
      <c r="MYD17" s="292"/>
      <c r="MYE17" s="292"/>
      <c r="MYF17" s="292"/>
      <c r="MYG17" s="292"/>
      <c r="MYH17" s="292"/>
      <c r="MYI17" s="292"/>
      <c r="MYJ17" s="292"/>
      <c r="MYK17" s="292"/>
      <c r="MYL17" s="292"/>
      <c r="MYM17" s="292"/>
      <c r="MYN17" s="292"/>
      <c r="MYO17" s="292"/>
      <c r="MYP17" s="292"/>
      <c r="MYQ17" s="292"/>
      <c r="MYR17" s="292"/>
      <c r="MYS17" s="292"/>
      <c r="MYT17" s="292"/>
      <c r="MYU17" s="292"/>
      <c r="MYV17" s="292"/>
      <c r="MYW17" s="292"/>
      <c r="MYX17" s="292"/>
      <c r="MYY17" s="292"/>
      <c r="MYZ17" s="292"/>
      <c r="MZA17" s="292"/>
      <c r="MZB17" s="292"/>
      <c r="MZC17" s="292"/>
      <c r="MZD17" s="292"/>
      <c r="MZE17" s="292"/>
      <c r="MZF17" s="292"/>
      <c r="MZG17" s="292"/>
      <c r="MZH17" s="292"/>
      <c r="MZI17" s="292"/>
      <c r="MZJ17" s="292"/>
      <c r="MZK17" s="292"/>
      <c r="MZL17" s="292"/>
      <c r="MZM17" s="292"/>
      <c r="MZN17" s="292"/>
      <c r="MZO17" s="292"/>
      <c r="MZP17" s="292"/>
      <c r="MZQ17" s="292"/>
      <c r="MZR17" s="292"/>
      <c r="MZS17" s="292"/>
      <c r="MZT17" s="292"/>
      <c r="MZU17" s="292"/>
      <c r="MZV17" s="292"/>
      <c r="MZW17" s="292"/>
      <c r="MZX17" s="292"/>
      <c r="MZY17" s="292"/>
      <c r="MZZ17" s="292"/>
      <c r="NAA17" s="292"/>
      <c r="NAB17" s="292"/>
      <c r="NAC17" s="292"/>
      <c r="NAD17" s="292"/>
      <c r="NAE17" s="292"/>
      <c r="NAF17" s="292"/>
      <c r="NAG17" s="292"/>
      <c r="NAH17" s="292"/>
      <c r="NAI17" s="292"/>
      <c r="NAJ17" s="292"/>
      <c r="NAK17" s="292"/>
      <c r="NAL17" s="292"/>
      <c r="NAM17" s="292"/>
      <c r="NAN17" s="292"/>
      <c r="NAO17" s="292"/>
      <c r="NAP17" s="292"/>
      <c r="NAQ17" s="292"/>
      <c r="NAR17" s="292"/>
      <c r="NAS17" s="292"/>
      <c r="NAT17" s="292"/>
      <c r="NAU17" s="292"/>
      <c r="NAV17" s="292"/>
      <c r="NAW17" s="292"/>
      <c r="NAX17" s="292"/>
      <c r="NAY17" s="292"/>
      <c r="NAZ17" s="292"/>
      <c r="NBA17" s="292"/>
      <c r="NBB17" s="292"/>
      <c r="NBC17" s="292"/>
      <c r="NBD17" s="292"/>
      <c r="NBE17" s="292"/>
      <c r="NBF17" s="292"/>
      <c r="NBG17" s="292"/>
      <c r="NBH17" s="292"/>
      <c r="NBI17" s="292"/>
      <c r="NBJ17" s="292"/>
      <c r="NBK17" s="292"/>
      <c r="NBL17" s="292"/>
      <c r="NBM17" s="292"/>
      <c r="NBN17" s="292"/>
      <c r="NBO17" s="292"/>
      <c r="NBP17" s="292"/>
      <c r="NBQ17" s="292"/>
      <c r="NBR17" s="292"/>
      <c r="NBS17" s="292"/>
      <c r="NBT17" s="292"/>
      <c r="NBU17" s="292"/>
      <c r="NBV17" s="292"/>
      <c r="NBW17" s="292"/>
      <c r="NBX17" s="292"/>
      <c r="NBY17" s="292"/>
      <c r="NBZ17" s="292"/>
      <c r="NCA17" s="292"/>
      <c r="NCB17" s="292"/>
      <c r="NCC17" s="292"/>
      <c r="NCD17" s="292"/>
      <c r="NCE17" s="292"/>
      <c r="NCF17" s="292"/>
      <c r="NCG17" s="292"/>
      <c r="NCH17" s="292"/>
      <c r="NCI17" s="292"/>
      <c r="NCJ17" s="292"/>
      <c r="NCK17" s="292"/>
      <c r="NCL17" s="292"/>
      <c r="NCM17" s="292"/>
      <c r="NCN17" s="292"/>
      <c r="NCO17" s="292"/>
      <c r="NCP17" s="292"/>
      <c r="NCQ17" s="292"/>
      <c r="NCR17" s="292"/>
      <c r="NCS17" s="292"/>
      <c r="NCT17" s="292"/>
      <c r="NCU17" s="292"/>
      <c r="NCV17" s="292"/>
      <c r="NCW17" s="292"/>
      <c r="NCX17" s="292"/>
      <c r="NCY17" s="292"/>
      <c r="NCZ17" s="292"/>
      <c r="NDA17" s="292"/>
      <c r="NDB17" s="292"/>
      <c r="NDC17" s="292"/>
      <c r="NDD17" s="292"/>
      <c r="NDE17" s="292"/>
      <c r="NDF17" s="292"/>
      <c r="NDG17" s="292"/>
      <c r="NDH17" s="292"/>
      <c r="NDI17" s="292"/>
      <c r="NDJ17" s="292"/>
      <c r="NDK17" s="292"/>
      <c r="NDL17" s="292"/>
      <c r="NDM17" s="292"/>
      <c r="NDN17" s="292"/>
      <c r="NDO17" s="292"/>
      <c r="NDP17" s="292"/>
      <c r="NDQ17" s="292"/>
      <c r="NDR17" s="292"/>
      <c r="NDS17" s="292"/>
      <c r="NDT17" s="292"/>
      <c r="NDU17" s="292"/>
      <c r="NDV17" s="292"/>
      <c r="NDW17" s="292"/>
      <c r="NDX17" s="292"/>
      <c r="NDY17" s="292"/>
      <c r="NDZ17" s="292"/>
      <c r="NEA17" s="292"/>
      <c r="NEB17" s="292"/>
      <c r="NEC17" s="292"/>
      <c r="NED17" s="292"/>
      <c r="NEE17" s="292"/>
      <c r="NEF17" s="292"/>
      <c r="NEG17" s="292"/>
      <c r="NEH17" s="292"/>
      <c r="NEI17" s="292"/>
      <c r="NEJ17" s="292"/>
      <c r="NEK17" s="292"/>
      <c r="NEL17" s="292"/>
      <c r="NEM17" s="292"/>
      <c r="NEN17" s="292"/>
      <c r="NEO17" s="292"/>
      <c r="NEP17" s="292"/>
      <c r="NEQ17" s="292"/>
      <c r="NER17" s="292"/>
      <c r="NES17" s="292"/>
      <c r="NET17" s="292"/>
      <c r="NEU17" s="292"/>
      <c r="NEV17" s="292"/>
      <c r="NEW17" s="292"/>
      <c r="NEX17" s="292"/>
      <c r="NEY17" s="292"/>
      <c r="NEZ17" s="292"/>
      <c r="NFA17" s="292"/>
      <c r="NFB17" s="292"/>
      <c r="NFC17" s="292"/>
      <c r="NFD17" s="292"/>
      <c r="NFE17" s="292"/>
      <c r="NFF17" s="292"/>
      <c r="NFG17" s="292"/>
      <c r="NFH17" s="292"/>
      <c r="NFI17" s="292"/>
      <c r="NFJ17" s="292"/>
      <c r="NFK17" s="292"/>
      <c r="NFL17" s="292"/>
      <c r="NFM17" s="292"/>
      <c r="NFN17" s="292"/>
      <c r="NFO17" s="292"/>
      <c r="NFP17" s="292"/>
      <c r="NFQ17" s="292"/>
      <c r="NFR17" s="292"/>
      <c r="NFS17" s="292"/>
      <c r="NFT17" s="292"/>
      <c r="NFU17" s="292"/>
      <c r="NFV17" s="292"/>
      <c r="NFW17" s="292"/>
      <c r="NFX17" s="292"/>
      <c r="NFY17" s="292"/>
      <c r="NFZ17" s="292"/>
      <c r="NGA17" s="292"/>
      <c r="NGB17" s="292"/>
      <c r="NGC17" s="292"/>
      <c r="NGD17" s="292"/>
      <c r="NGE17" s="292"/>
      <c r="NGF17" s="292"/>
      <c r="NGG17" s="292"/>
      <c r="NGH17" s="292"/>
      <c r="NGI17" s="292"/>
      <c r="NGJ17" s="292"/>
      <c r="NGK17" s="292"/>
      <c r="NGL17" s="292"/>
      <c r="NGM17" s="292"/>
      <c r="NGN17" s="292"/>
      <c r="NGO17" s="292"/>
      <c r="NGP17" s="292"/>
      <c r="NGQ17" s="292"/>
      <c r="NGR17" s="292"/>
      <c r="NGS17" s="292"/>
      <c r="NGT17" s="292"/>
      <c r="NGU17" s="292"/>
      <c r="NGV17" s="292"/>
      <c r="NGW17" s="292"/>
      <c r="NGX17" s="292"/>
      <c r="NGY17" s="292"/>
      <c r="NGZ17" s="292"/>
      <c r="NHA17" s="292"/>
      <c r="NHB17" s="292"/>
      <c r="NHC17" s="292"/>
      <c r="NHD17" s="292"/>
      <c r="NHE17" s="292"/>
      <c r="NHF17" s="292"/>
      <c r="NHG17" s="292"/>
      <c r="NHH17" s="292"/>
      <c r="NHI17" s="292"/>
      <c r="NHJ17" s="292"/>
      <c r="NHK17" s="292"/>
      <c r="NHL17" s="292"/>
      <c r="NHM17" s="292"/>
      <c r="NHN17" s="292"/>
      <c r="NHO17" s="292"/>
      <c r="NHP17" s="292"/>
      <c r="NHQ17" s="292"/>
      <c r="NHR17" s="292"/>
      <c r="NHS17" s="292"/>
      <c r="NHT17" s="292"/>
      <c r="NHU17" s="292"/>
      <c r="NHV17" s="292"/>
      <c r="NHW17" s="292"/>
      <c r="NHX17" s="292"/>
      <c r="NHY17" s="292"/>
      <c r="NHZ17" s="292"/>
      <c r="NIA17" s="292"/>
      <c r="NIB17" s="292"/>
      <c r="NIC17" s="292"/>
      <c r="NID17" s="292"/>
      <c r="NIE17" s="292"/>
      <c r="NIF17" s="292"/>
      <c r="NIG17" s="292"/>
      <c r="NIH17" s="292"/>
      <c r="NII17" s="292"/>
      <c r="NIJ17" s="292"/>
      <c r="NIK17" s="292"/>
      <c r="NIL17" s="292"/>
      <c r="NIM17" s="292"/>
      <c r="NIN17" s="292"/>
      <c r="NIO17" s="292"/>
      <c r="NIP17" s="292"/>
      <c r="NIQ17" s="292"/>
      <c r="NIR17" s="292"/>
      <c r="NIS17" s="292"/>
      <c r="NIT17" s="292"/>
      <c r="NIU17" s="292"/>
      <c r="NIV17" s="292"/>
      <c r="NIW17" s="292"/>
      <c r="NIX17" s="292"/>
      <c r="NIY17" s="292"/>
      <c r="NIZ17" s="292"/>
      <c r="NJA17" s="292"/>
      <c r="NJB17" s="292"/>
      <c r="NJC17" s="292"/>
      <c r="NJD17" s="292"/>
      <c r="NJE17" s="292"/>
      <c r="NJF17" s="292"/>
      <c r="NJG17" s="292"/>
      <c r="NJH17" s="292"/>
      <c r="NJI17" s="292"/>
      <c r="NJJ17" s="292"/>
      <c r="NJK17" s="292"/>
      <c r="NJL17" s="292"/>
      <c r="NJM17" s="292"/>
      <c r="NJN17" s="292"/>
      <c r="NJO17" s="292"/>
      <c r="NJP17" s="292"/>
      <c r="NJQ17" s="292"/>
      <c r="NJR17" s="292"/>
      <c r="NJS17" s="292"/>
      <c r="NJT17" s="292"/>
      <c r="NJU17" s="292"/>
      <c r="NJV17" s="292"/>
      <c r="NJW17" s="292"/>
      <c r="NJX17" s="292"/>
      <c r="NJY17" s="292"/>
      <c r="NJZ17" s="292"/>
      <c r="NKA17" s="292"/>
      <c r="NKB17" s="292"/>
      <c r="NKC17" s="292"/>
      <c r="NKD17" s="292"/>
      <c r="NKE17" s="292"/>
      <c r="NKF17" s="292"/>
      <c r="NKG17" s="292"/>
      <c r="NKH17" s="292"/>
      <c r="NKI17" s="292"/>
      <c r="NKJ17" s="292"/>
      <c r="NKK17" s="292"/>
      <c r="NKL17" s="292"/>
      <c r="NKM17" s="292"/>
      <c r="NKN17" s="292"/>
      <c r="NKO17" s="292"/>
      <c r="NKP17" s="292"/>
      <c r="NKQ17" s="292"/>
      <c r="NKR17" s="292"/>
      <c r="NKS17" s="292"/>
      <c r="NKT17" s="292"/>
      <c r="NKU17" s="292"/>
      <c r="NKV17" s="292"/>
      <c r="NKW17" s="292"/>
      <c r="NKX17" s="292"/>
      <c r="NKY17" s="292"/>
      <c r="NKZ17" s="292"/>
      <c r="NLA17" s="292"/>
      <c r="NLB17" s="292"/>
      <c r="NLC17" s="292"/>
      <c r="NLD17" s="292"/>
      <c r="NLE17" s="292"/>
      <c r="NLF17" s="292"/>
      <c r="NLG17" s="292"/>
      <c r="NLH17" s="292"/>
      <c r="NLI17" s="292"/>
      <c r="NLJ17" s="292"/>
      <c r="NLK17" s="292"/>
      <c r="NLL17" s="292"/>
      <c r="NLM17" s="292"/>
      <c r="NLN17" s="292"/>
      <c r="NLO17" s="292"/>
      <c r="NLP17" s="292"/>
      <c r="NLQ17" s="292"/>
      <c r="NLR17" s="292"/>
      <c r="NLS17" s="292"/>
      <c r="NLT17" s="292"/>
      <c r="NLU17" s="292"/>
      <c r="NLV17" s="292"/>
      <c r="NLW17" s="292"/>
      <c r="NLX17" s="292"/>
      <c r="NLY17" s="292"/>
      <c r="NLZ17" s="292"/>
      <c r="NMA17" s="292"/>
      <c r="NMB17" s="292"/>
      <c r="NMC17" s="292"/>
      <c r="NMD17" s="292"/>
      <c r="NME17" s="292"/>
      <c r="NMF17" s="292"/>
      <c r="NMG17" s="292"/>
      <c r="NMH17" s="292"/>
      <c r="NMI17" s="292"/>
      <c r="NMJ17" s="292"/>
      <c r="NMK17" s="292"/>
      <c r="NML17" s="292"/>
      <c r="NMM17" s="292"/>
      <c r="NMN17" s="292"/>
      <c r="NMO17" s="292"/>
      <c r="NMP17" s="292"/>
      <c r="NMQ17" s="292"/>
      <c r="NMR17" s="292"/>
      <c r="NMS17" s="292"/>
      <c r="NMT17" s="292"/>
      <c r="NMU17" s="292"/>
      <c r="NMV17" s="292"/>
      <c r="NMW17" s="292"/>
      <c r="NMX17" s="292"/>
      <c r="NMY17" s="292"/>
      <c r="NMZ17" s="292"/>
      <c r="NNA17" s="292"/>
      <c r="NNB17" s="292"/>
      <c r="NNC17" s="292"/>
      <c r="NND17" s="292"/>
      <c r="NNE17" s="292"/>
      <c r="NNF17" s="292"/>
      <c r="NNG17" s="292"/>
      <c r="NNH17" s="292"/>
      <c r="NNI17" s="292"/>
      <c r="NNJ17" s="292"/>
      <c r="NNK17" s="292"/>
      <c r="NNL17" s="292"/>
      <c r="NNM17" s="292"/>
      <c r="NNN17" s="292"/>
      <c r="NNO17" s="292"/>
      <c r="NNP17" s="292"/>
      <c r="NNQ17" s="292"/>
      <c r="NNR17" s="292"/>
      <c r="NNS17" s="292"/>
      <c r="NNT17" s="292"/>
      <c r="NNU17" s="292"/>
      <c r="NNV17" s="292"/>
      <c r="NNW17" s="292"/>
      <c r="NNX17" s="292"/>
      <c r="NNY17" s="292"/>
      <c r="NNZ17" s="292"/>
      <c r="NOA17" s="292"/>
      <c r="NOB17" s="292"/>
      <c r="NOC17" s="292"/>
      <c r="NOD17" s="292"/>
      <c r="NOE17" s="292"/>
      <c r="NOF17" s="292"/>
      <c r="NOG17" s="292"/>
      <c r="NOH17" s="292"/>
      <c r="NOI17" s="292"/>
      <c r="NOJ17" s="292"/>
      <c r="NOK17" s="292"/>
      <c r="NOL17" s="292"/>
      <c r="NOM17" s="292"/>
      <c r="NON17" s="292"/>
      <c r="NOO17" s="292"/>
      <c r="NOP17" s="292"/>
      <c r="NOQ17" s="292"/>
      <c r="NOR17" s="292"/>
      <c r="NOS17" s="292"/>
      <c r="NOT17" s="292"/>
      <c r="NOU17" s="292"/>
      <c r="NOV17" s="292"/>
      <c r="NOW17" s="292"/>
      <c r="NOX17" s="292"/>
      <c r="NOY17" s="292"/>
      <c r="NOZ17" s="292"/>
      <c r="NPA17" s="292"/>
      <c r="NPB17" s="292"/>
      <c r="NPC17" s="292"/>
      <c r="NPD17" s="292"/>
      <c r="NPE17" s="292"/>
      <c r="NPF17" s="292"/>
      <c r="NPG17" s="292"/>
      <c r="NPH17" s="292"/>
      <c r="NPI17" s="292"/>
      <c r="NPJ17" s="292"/>
      <c r="NPK17" s="292"/>
      <c r="NPL17" s="292"/>
      <c r="NPM17" s="292"/>
      <c r="NPN17" s="292"/>
      <c r="NPO17" s="292"/>
      <c r="NPP17" s="292"/>
      <c r="NPQ17" s="292"/>
      <c r="NPR17" s="292"/>
      <c r="NPS17" s="292"/>
      <c r="NPT17" s="292"/>
      <c r="NPU17" s="292"/>
      <c r="NPV17" s="292"/>
      <c r="NPW17" s="292"/>
      <c r="NPX17" s="292"/>
      <c r="NPY17" s="292"/>
      <c r="NPZ17" s="292"/>
      <c r="NQA17" s="292"/>
      <c r="NQB17" s="292"/>
      <c r="NQC17" s="292"/>
      <c r="NQD17" s="292"/>
      <c r="NQE17" s="292"/>
      <c r="NQF17" s="292"/>
      <c r="NQG17" s="292"/>
      <c r="NQH17" s="292"/>
      <c r="NQI17" s="292"/>
      <c r="NQJ17" s="292"/>
      <c r="NQK17" s="292"/>
      <c r="NQL17" s="292"/>
      <c r="NQM17" s="292"/>
      <c r="NQN17" s="292"/>
      <c r="NQO17" s="292"/>
      <c r="NQP17" s="292"/>
      <c r="NQQ17" s="292"/>
      <c r="NQR17" s="292"/>
      <c r="NQS17" s="292"/>
      <c r="NQT17" s="292"/>
      <c r="NQU17" s="292"/>
      <c r="NQV17" s="292"/>
      <c r="NQW17" s="292"/>
      <c r="NQX17" s="292"/>
      <c r="NQY17" s="292"/>
      <c r="NQZ17" s="292"/>
      <c r="NRA17" s="292"/>
      <c r="NRB17" s="292"/>
      <c r="NRC17" s="292"/>
      <c r="NRD17" s="292"/>
      <c r="NRE17" s="292"/>
      <c r="NRF17" s="292"/>
      <c r="NRG17" s="292"/>
      <c r="NRH17" s="292"/>
      <c r="NRI17" s="292"/>
      <c r="NRJ17" s="292"/>
      <c r="NRK17" s="292"/>
      <c r="NRL17" s="292"/>
      <c r="NRM17" s="292"/>
      <c r="NRN17" s="292"/>
      <c r="NRO17" s="292"/>
      <c r="NRP17" s="292"/>
      <c r="NRQ17" s="292"/>
      <c r="NRR17" s="292"/>
      <c r="NRS17" s="292"/>
      <c r="NRT17" s="292"/>
      <c r="NRU17" s="292"/>
      <c r="NRV17" s="292"/>
      <c r="NRW17" s="292"/>
      <c r="NRX17" s="292"/>
      <c r="NRY17" s="292"/>
      <c r="NRZ17" s="292"/>
      <c r="NSA17" s="292"/>
      <c r="NSB17" s="292"/>
      <c r="NSC17" s="292"/>
      <c r="NSD17" s="292"/>
      <c r="NSE17" s="292"/>
      <c r="NSF17" s="292"/>
      <c r="NSG17" s="292"/>
      <c r="NSH17" s="292"/>
      <c r="NSI17" s="292"/>
      <c r="NSJ17" s="292"/>
      <c r="NSK17" s="292"/>
      <c r="NSL17" s="292"/>
      <c r="NSM17" s="292"/>
      <c r="NSN17" s="292"/>
      <c r="NSO17" s="292"/>
      <c r="NSP17" s="292"/>
      <c r="NSQ17" s="292"/>
      <c r="NSR17" s="292"/>
      <c r="NSS17" s="292"/>
      <c r="NST17" s="292"/>
      <c r="NSU17" s="292"/>
      <c r="NSV17" s="292"/>
      <c r="NSW17" s="292"/>
      <c r="NSX17" s="292"/>
      <c r="NSY17" s="292"/>
      <c r="NSZ17" s="292"/>
      <c r="NTA17" s="292"/>
      <c r="NTB17" s="292"/>
      <c r="NTC17" s="292"/>
      <c r="NTD17" s="292"/>
      <c r="NTE17" s="292"/>
      <c r="NTF17" s="292"/>
      <c r="NTG17" s="292"/>
      <c r="NTH17" s="292"/>
      <c r="NTI17" s="292"/>
      <c r="NTJ17" s="292"/>
      <c r="NTK17" s="292"/>
      <c r="NTL17" s="292"/>
      <c r="NTM17" s="292"/>
      <c r="NTN17" s="292"/>
      <c r="NTO17" s="292"/>
      <c r="NTP17" s="292"/>
      <c r="NTQ17" s="292"/>
      <c r="NTR17" s="292"/>
      <c r="NTS17" s="292"/>
      <c r="NTT17" s="292"/>
      <c r="NTU17" s="292"/>
      <c r="NTV17" s="292"/>
      <c r="NTW17" s="292"/>
      <c r="NTX17" s="292"/>
      <c r="NTY17" s="292"/>
      <c r="NTZ17" s="292"/>
      <c r="NUA17" s="292"/>
      <c r="NUB17" s="292"/>
      <c r="NUC17" s="292"/>
      <c r="NUD17" s="292"/>
      <c r="NUE17" s="292"/>
      <c r="NUF17" s="292"/>
      <c r="NUG17" s="292"/>
      <c r="NUH17" s="292"/>
      <c r="NUI17" s="292"/>
      <c r="NUJ17" s="292"/>
      <c r="NUK17" s="292"/>
      <c r="NUL17" s="292"/>
      <c r="NUM17" s="292"/>
      <c r="NUN17" s="292"/>
      <c r="NUO17" s="292"/>
      <c r="NUP17" s="292"/>
      <c r="NUQ17" s="292"/>
      <c r="NUR17" s="292"/>
      <c r="NUS17" s="292"/>
      <c r="NUT17" s="292"/>
      <c r="NUU17" s="292"/>
      <c r="NUV17" s="292"/>
      <c r="NUW17" s="292"/>
      <c r="NUX17" s="292"/>
      <c r="NUY17" s="292"/>
      <c r="NUZ17" s="292"/>
      <c r="NVA17" s="292"/>
      <c r="NVB17" s="292"/>
      <c r="NVC17" s="292"/>
      <c r="NVD17" s="292"/>
      <c r="NVE17" s="292"/>
      <c r="NVF17" s="292"/>
      <c r="NVG17" s="292"/>
      <c r="NVH17" s="292"/>
      <c r="NVI17" s="292"/>
      <c r="NVJ17" s="292"/>
      <c r="NVK17" s="292"/>
      <c r="NVL17" s="292"/>
      <c r="NVM17" s="292"/>
      <c r="NVN17" s="292"/>
      <c r="NVO17" s="292"/>
      <c r="NVP17" s="292"/>
      <c r="NVQ17" s="292"/>
      <c r="NVR17" s="292"/>
      <c r="NVS17" s="292"/>
      <c r="NVT17" s="292"/>
      <c r="NVU17" s="292"/>
      <c r="NVV17" s="292"/>
      <c r="NVW17" s="292"/>
      <c r="NVX17" s="292"/>
      <c r="NVY17" s="292"/>
      <c r="NVZ17" s="292"/>
      <c r="NWA17" s="292"/>
      <c r="NWB17" s="292"/>
      <c r="NWC17" s="292"/>
      <c r="NWD17" s="292"/>
      <c r="NWE17" s="292"/>
      <c r="NWF17" s="292"/>
      <c r="NWG17" s="292"/>
      <c r="NWH17" s="292"/>
      <c r="NWI17" s="292"/>
      <c r="NWJ17" s="292"/>
      <c r="NWK17" s="292"/>
      <c r="NWL17" s="292"/>
      <c r="NWM17" s="292"/>
      <c r="NWN17" s="292"/>
      <c r="NWO17" s="292"/>
      <c r="NWP17" s="292"/>
      <c r="NWQ17" s="292"/>
      <c r="NWR17" s="292"/>
      <c r="NWS17" s="292"/>
      <c r="NWT17" s="292"/>
      <c r="NWU17" s="292"/>
      <c r="NWV17" s="292"/>
      <c r="NWW17" s="292"/>
      <c r="NWX17" s="292"/>
      <c r="NWY17" s="292"/>
      <c r="NWZ17" s="292"/>
      <c r="NXA17" s="292"/>
      <c r="NXB17" s="292"/>
      <c r="NXC17" s="292"/>
      <c r="NXD17" s="292"/>
      <c r="NXE17" s="292"/>
      <c r="NXF17" s="292"/>
      <c r="NXG17" s="292"/>
      <c r="NXH17" s="292"/>
      <c r="NXI17" s="292"/>
      <c r="NXJ17" s="292"/>
      <c r="NXK17" s="292"/>
      <c r="NXL17" s="292"/>
      <c r="NXM17" s="292"/>
      <c r="NXN17" s="292"/>
      <c r="NXO17" s="292"/>
      <c r="NXP17" s="292"/>
      <c r="NXQ17" s="292"/>
      <c r="NXR17" s="292"/>
      <c r="NXS17" s="292"/>
      <c r="NXT17" s="292"/>
      <c r="NXU17" s="292"/>
      <c r="NXV17" s="292"/>
      <c r="NXW17" s="292"/>
      <c r="NXX17" s="292"/>
      <c r="NXY17" s="292"/>
      <c r="NXZ17" s="292"/>
      <c r="NYA17" s="292"/>
      <c r="NYB17" s="292"/>
      <c r="NYC17" s="292"/>
      <c r="NYD17" s="292"/>
      <c r="NYE17" s="292"/>
      <c r="NYF17" s="292"/>
      <c r="NYG17" s="292"/>
      <c r="NYH17" s="292"/>
      <c r="NYI17" s="292"/>
      <c r="NYJ17" s="292"/>
      <c r="NYK17" s="292"/>
      <c r="NYL17" s="292"/>
      <c r="NYM17" s="292"/>
      <c r="NYN17" s="292"/>
      <c r="NYO17" s="292"/>
      <c r="NYP17" s="292"/>
      <c r="NYQ17" s="292"/>
      <c r="NYR17" s="292"/>
      <c r="NYS17" s="292"/>
      <c r="NYT17" s="292"/>
      <c r="NYU17" s="292"/>
      <c r="NYV17" s="292"/>
      <c r="NYW17" s="292"/>
      <c r="NYX17" s="292"/>
      <c r="NYY17" s="292"/>
      <c r="NYZ17" s="292"/>
      <c r="NZA17" s="292"/>
      <c r="NZB17" s="292"/>
      <c r="NZC17" s="292"/>
      <c r="NZD17" s="292"/>
      <c r="NZE17" s="292"/>
      <c r="NZF17" s="292"/>
      <c r="NZG17" s="292"/>
      <c r="NZH17" s="292"/>
      <c r="NZI17" s="292"/>
      <c r="NZJ17" s="292"/>
      <c r="NZK17" s="292"/>
      <c r="NZL17" s="292"/>
      <c r="NZM17" s="292"/>
      <c r="NZN17" s="292"/>
      <c r="NZO17" s="292"/>
      <c r="NZP17" s="292"/>
      <c r="NZQ17" s="292"/>
      <c r="NZR17" s="292"/>
      <c r="NZS17" s="292"/>
      <c r="NZT17" s="292"/>
      <c r="NZU17" s="292"/>
      <c r="NZV17" s="292"/>
      <c r="NZW17" s="292"/>
      <c r="NZX17" s="292"/>
      <c r="NZY17" s="292"/>
      <c r="NZZ17" s="292"/>
      <c r="OAA17" s="292"/>
      <c r="OAB17" s="292"/>
      <c r="OAC17" s="292"/>
      <c r="OAD17" s="292"/>
      <c r="OAE17" s="292"/>
      <c r="OAF17" s="292"/>
      <c r="OAG17" s="292"/>
      <c r="OAH17" s="292"/>
      <c r="OAI17" s="292"/>
      <c r="OAJ17" s="292"/>
      <c r="OAK17" s="292"/>
      <c r="OAL17" s="292"/>
      <c r="OAM17" s="292"/>
      <c r="OAN17" s="292"/>
      <c r="OAO17" s="292"/>
      <c r="OAP17" s="292"/>
      <c r="OAQ17" s="292"/>
      <c r="OAR17" s="292"/>
      <c r="OAS17" s="292"/>
      <c r="OAT17" s="292"/>
      <c r="OAU17" s="292"/>
      <c r="OAV17" s="292"/>
      <c r="OAW17" s="292"/>
      <c r="OAX17" s="292"/>
      <c r="OAY17" s="292"/>
      <c r="OAZ17" s="292"/>
      <c r="OBA17" s="292"/>
      <c r="OBB17" s="292"/>
      <c r="OBC17" s="292"/>
      <c r="OBD17" s="292"/>
      <c r="OBE17" s="292"/>
      <c r="OBF17" s="292"/>
      <c r="OBG17" s="292"/>
      <c r="OBH17" s="292"/>
      <c r="OBI17" s="292"/>
      <c r="OBJ17" s="292"/>
      <c r="OBK17" s="292"/>
      <c r="OBL17" s="292"/>
      <c r="OBM17" s="292"/>
      <c r="OBN17" s="292"/>
      <c r="OBO17" s="292"/>
      <c r="OBP17" s="292"/>
      <c r="OBQ17" s="292"/>
      <c r="OBR17" s="292"/>
      <c r="OBS17" s="292"/>
      <c r="OBT17" s="292"/>
      <c r="OBU17" s="292"/>
      <c r="OBV17" s="292"/>
      <c r="OBW17" s="292"/>
      <c r="OBX17" s="292"/>
      <c r="OBY17" s="292"/>
      <c r="OBZ17" s="292"/>
      <c r="OCA17" s="292"/>
      <c r="OCB17" s="292"/>
      <c r="OCC17" s="292"/>
      <c r="OCD17" s="292"/>
      <c r="OCE17" s="292"/>
      <c r="OCF17" s="292"/>
      <c r="OCG17" s="292"/>
      <c r="OCH17" s="292"/>
      <c r="OCI17" s="292"/>
      <c r="OCJ17" s="292"/>
      <c r="OCK17" s="292"/>
      <c r="OCL17" s="292"/>
      <c r="OCM17" s="292"/>
      <c r="OCN17" s="292"/>
      <c r="OCO17" s="292"/>
      <c r="OCP17" s="292"/>
      <c r="OCQ17" s="292"/>
      <c r="OCR17" s="292"/>
      <c r="OCS17" s="292"/>
      <c r="OCT17" s="292"/>
      <c r="OCU17" s="292"/>
      <c r="OCV17" s="292"/>
      <c r="OCW17" s="292"/>
      <c r="OCX17" s="292"/>
      <c r="OCY17" s="292"/>
      <c r="OCZ17" s="292"/>
      <c r="ODA17" s="292"/>
      <c r="ODB17" s="292"/>
      <c r="ODC17" s="292"/>
      <c r="ODD17" s="292"/>
      <c r="ODE17" s="292"/>
      <c r="ODF17" s="292"/>
      <c r="ODG17" s="292"/>
      <c r="ODH17" s="292"/>
      <c r="ODI17" s="292"/>
      <c r="ODJ17" s="292"/>
      <c r="ODK17" s="292"/>
      <c r="ODL17" s="292"/>
      <c r="ODM17" s="292"/>
      <c r="ODN17" s="292"/>
      <c r="ODO17" s="292"/>
      <c r="ODP17" s="292"/>
      <c r="ODQ17" s="292"/>
      <c r="ODR17" s="292"/>
      <c r="ODS17" s="292"/>
      <c r="ODT17" s="292"/>
      <c r="ODU17" s="292"/>
      <c r="ODV17" s="292"/>
      <c r="ODW17" s="292"/>
      <c r="ODX17" s="292"/>
      <c r="ODY17" s="292"/>
      <c r="ODZ17" s="292"/>
      <c r="OEA17" s="292"/>
      <c r="OEB17" s="292"/>
      <c r="OEC17" s="292"/>
      <c r="OED17" s="292"/>
      <c r="OEE17" s="292"/>
      <c r="OEF17" s="292"/>
      <c r="OEG17" s="292"/>
      <c r="OEH17" s="292"/>
      <c r="OEI17" s="292"/>
      <c r="OEJ17" s="292"/>
      <c r="OEK17" s="292"/>
      <c r="OEL17" s="292"/>
      <c r="OEM17" s="292"/>
      <c r="OEN17" s="292"/>
      <c r="OEO17" s="292"/>
      <c r="OEP17" s="292"/>
      <c r="OEQ17" s="292"/>
      <c r="OER17" s="292"/>
      <c r="OES17" s="292"/>
      <c r="OET17" s="292"/>
      <c r="OEU17" s="292"/>
      <c r="OEV17" s="292"/>
      <c r="OEW17" s="292"/>
      <c r="OEX17" s="292"/>
      <c r="OEY17" s="292"/>
      <c r="OEZ17" s="292"/>
      <c r="OFA17" s="292"/>
      <c r="OFB17" s="292"/>
      <c r="OFC17" s="292"/>
      <c r="OFD17" s="292"/>
      <c r="OFE17" s="292"/>
      <c r="OFF17" s="292"/>
      <c r="OFG17" s="292"/>
      <c r="OFH17" s="292"/>
      <c r="OFI17" s="292"/>
      <c r="OFJ17" s="292"/>
      <c r="OFK17" s="292"/>
      <c r="OFL17" s="292"/>
      <c r="OFM17" s="292"/>
      <c r="OFN17" s="292"/>
      <c r="OFO17" s="292"/>
      <c r="OFP17" s="292"/>
      <c r="OFQ17" s="292"/>
      <c r="OFR17" s="292"/>
      <c r="OFS17" s="292"/>
      <c r="OFT17" s="292"/>
      <c r="OFU17" s="292"/>
      <c r="OFV17" s="292"/>
      <c r="OFW17" s="292"/>
      <c r="OFX17" s="292"/>
      <c r="OFY17" s="292"/>
      <c r="OFZ17" s="292"/>
      <c r="OGA17" s="292"/>
      <c r="OGB17" s="292"/>
      <c r="OGC17" s="292"/>
      <c r="OGD17" s="292"/>
      <c r="OGE17" s="292"/>
      <c r="OGF17" s="292"/>
      <c r="OGG17" s="292"/>
      <c r="OGH17" s="292"/>
      <c r="OGI17" s="292"/>
      <c r="OGJ17" s="292"/>
      <c r="OGK17" s="292"/>
      <c r="OGL17" s="292"/>
      <c r="OGM17" s="292"/>
      <c r="OGN17" s="292"/>
      <c r="OGO17" s="292"/>
      <c r="OGP17" s="292"/>
      <c r="OGQ17" s="292"/>
      <c r="OGR17" s="292"/>
      <c r="OGS17" s="292"/>
      <c r="OGT17" s="292"/>
      <c r="OGU17" s="292"/>
      <c r="OGV17" s="292"/>
      <c r="OGW17" s="292"/>
      <c r="OGX17" s="292"/>
      <c r="OGY17" s="292"/>
      <c r="OGZ17" s="292"/>
      <c r="OHA17" s="292"/>
      <c r="OHB17" s="292"/>
      <c r="OHC17" s="292"/>
      <c r="OHD17" s="292"/>
      <c r="OHE17" s="292"/>
      <c r="OHF17" s="292"/>
      <c r="OHG17" s="292"/>
      <c r="OHH17" s="292"/>
      <c r="OHI17" s="292"/>
      <c r="OHJ17" s="292"/>
      <c r="OHK17" s="292"/>
      <c r="OHL17" s="292"/>
      <c r="OHM17" s="292"/>
      <c r="OHN17" s="292"/>
      <c r="OHO17" s="292"/>
      <c r="OHP17" s="292"/>
      <c r="OHQ17" s="292"/>
      <c r="OHR17" s="292"/>
      <c r="OHS17" s="292"/>
      <c r="OHT17" s="292"/>
      <c r="OHU17" s="292"/>
      <c r="OHV17" s="292"/>
      <c r="OHW17" s="292"/>
      <c r="OHX17" s="292"/>
      <c r="OHY17" s="292"/>
      <c r="OHZ17" s="292"/>
      <c r="OIA17" s="292"/>
      <c r="OIB17" s="292"/>
      <c r="OIC17" s="292"/>
      <c r="OID17" s="292"/>
      <c r="OIE17" s="292"/>
      <c r="OIF17" s="292"/>
      <c r="OIG17" s="292"/>
      <c r="OIH17" s="292"/>
      <c r="OII17" s="292"/>
      <c r="OIJ17" s="292"/>
      <c r="OIK17" s="292"/>
      <c r="OIL17" s="292"/>
      <c r="OIM17" s="292"/>
      <c r="OIN17" s="292"/>
      <c r="OIO17" s="292"/>
      <c r="OIP17" s="292"/>
      <c r="OIQ17" s="292"/>
      <c r="OIR17" s="292"/>
      <c r="OIS17" s="292"/>
      <c r="OIT17" s="292"/>
      <c r="OIU17" s="292"/>
      <c r="OIV17" s="292"/>
      <c r="OIW17" s="292"/>
      <c r="OIX17" s="292"/>
      <c r="OIY17" s="292"/>
      <c r="OIZ17" s="292"/>
      <c r="OJA17" s="292"/>
      <c r="OJB17" s="292"/>
      <c r="OJC17" s="292"/>
      <c r="OJD17" s="292"/>
      <c r="OJE17" s="292"/>
      <c r="OJF17" s="292"/>
      <c r="OJG17" s="292"/>
      <c r="OJH17" s="292"/>
      <c r="OJI17" s="292"/>
      <c r="OJJ17" s="292"/>
      <c r="OJK17" s="292"/>
      <c r="OJL17" s="292"/>
      <c r="OJM17" s="292"/>
      <c r="OJN17" s="292"/>
      <c r="OJO17" s="292"/>
      <c r="OJP17" s="292"/>
      <c r="OJQ17" s="292"/>
      <c r="OJR17" s="292"/>
      <c r="OJS17" s="292"/>
      <c r="OJT17" s="292"/>
      <c r="OJU17" s="292"/>
      <c r="OJV17" s="292"/>
      <c r="OJW17" s="292"/>
      <c r="OJX17" s="292"/>
      <c r="OJY17" s="292"/>
      <c r="OJZ17" s="292"/>
      <c r="OKA17" s="292"/>
      <c r="OKB17" s="292"/>
      <c r="OKC17" s="292"/>
      <c r="OKD17" s="292"/>
      <c r="OKE17" s="292"/>
      <c r="OKF17" s="292"/>
      <c r="OKG17" s="292"/>
      <c r="OKH17" s="292"/>
      <c r="OKI17" s="292"/>
      <c r="OKJ17" s="292"/>
      <c r="OKK17" s="292"/>
      <c r="OKL17" s="292"/>
      <c r="OKM17" s="292"/>
      <c r="OKN17" s="292"/>
      <c r="OKO17" s="292"/>
      <c r="OKP17" s="292"/>
      <c r="OKQ17" s="292"/>
      <c r="OKR17" s="292"/>
      <c r="OKS17" s="292"/>
      <c r="OKT17" s="292"/>
      <c r="OKU17" s="292"/>
      <c r="OKV17" s="292"/>
      <c r="OKW17" s="292"/>
      <c r="OKX17" s="292"/>
      <c r="OKY17" s="292"/>
      <c r="OKZ17" s="292"/>
      <c r="OLA17" s="292"/>
      <c r="OLB17" s="292"/>
      <c r="OLC17" s="292"/>
      <c r="OLD17" s="292"/>
      <c r="OLE17" s="292"/>
      <c r="OLF17" s="292"/>
      <c r="OLG17" s="292"/>
      <c r="OLH17" s="292"/>
      <c r="OLI17" s="292"/>
      <c r="OLJ17" s="292"/>
      <c r="OLK17" s="292"/>
      <c r="OLL17" s="292"/>
      <c r="OLM17" s="292"/>
      <c r="OLN17" s="292"/>
      <c r="OLO17" s="292"/>
      <c r="OLP17" s="292"/>
      <c r="OLQ17" s="292"/>
      <c r="OLR17" s="292"/>
      <c r="OLS17" s="292"/>
      <c r="OLT17" s="292"/>
      <c r="OLU17" s="292"/>
      <c r="OLV17" s="292"/>
      <c r="OLW17" s="292"/>
      <c r="OLX17" s="292"/>
      <c r="OLY17" s="292"/>
      <c r="OLZ17" s="292"/>
      <c r="OMA17" s="292"/>
      <c r="OMB17" s="292"/>
      <c r="OMC17" s="292"/>
      <c r="OMD17" s="292"/>
      <c r="OME17" s="292"/>
      <c r="OMF17" s="292"/>
      <c r="OMG17" s="292"/>
      <c r="OMH17" s="292"/>
      <c r="OMI17" s="292"/>
      <c r="OMJ17" s="292"/>
      <c r="OMK17" s="292"/>
      <c r="OML17" s="292"/>
      <c r="OMM17" s="292"/>
      <c r="OMN17" s="292"/>
      <c r="OMO17" s="292"/>
      <c r="OMP17" s="292"/>
      <c r="OMQ17" s="292"/>
      <c r="OMR17" s="292"/>
      <c r="OMS17" s="292"/>
      <c r="OMT17" s="292"/>
      <c r="OMU17" s="292"/>
      <c r="OMV17" s="292"/>
      <c r="OMW17" s="292"/>
      <c r="OMX17" s="292"/>
      <c r="OMY17" s="292"/>
      <c r="OMZ17" s="292"/>
      <c r="ONA17" s="292"/>
      <c r="ONB17" s="292"/>
      <c r="ONC17" s="292"/>
      <c r="OND17" s="292"/>
      <c r="ONE17" s="292"/>
      <c r="ONF17" s="292"/>
      <c r="ONG17" s="292"/>
      <c r="ONH17" s="292"/>
      <c r="ONI17" s="292"/>
      <c r="ONJ17" s="292"/>
      <c r="ONK17" s="292"/>
      <c r="ONL17" s="292"/>
      <c r="ONM17" s="292"/>
      <c r="ONN17" s="292"/>
      <c r="ONO17" s="292"/>
      <c r="ONP17" s="292"/>
      <c r="ONQ17" s="292"/>
      <c r="ONR17" s="292"/>
      <c r="ONS17" s="292"/>
      <c r="ONT17" s="292"/>
      <c r="ONU17" s="292"/>
      <c r="ONV17" s="292"/>
      <c r="ONW17" s="292"/>
      <c r="ONX17" s="292"/>
      <c r="ONY17" s="292"/>
      <c r="ONZ17" s="292"/>
      <c r="OOA17" s="292"/>
      <c r="OOB17" s="292"/>
      <c r="OOC17" s="292"/>
      <c r="OOD17" s="292"/>
      <c r="OOE17" s="292"/>
      <c r="OOF17" s="292"/>
      <c r="OOG17" s="292"/>
      <c r="OOH17" s="292"/>
      <c r="OOI17" s="292"/>
      <c r="OOJ17" s="292"/>
      <c r="OOK17" s="292"/>
      <c r="OOL17" s="292"/>
      <c r="OOM17" s="292"/>
      <c r="OON17" s="292"/>
      <c r="OOO17" s="292"/>
      <c r="OOP17" s="292"/>
      <c r="OOQ17" s="292"/>
      <c r="OOR17" s="292"/>
      <c r="OOS17" s="292"/>
      <c r="OOT17" s="292"/>
      <c r="OOU17" s="292"/>
      <c r="OOV17" s="292"/>
      <c r="OOW17" s="292"/>
      <c r="OOX17" s="292"/>
      <c r="OOY17" s="292"/>
      <c r="OOZ17" s="292"/>
      <c r="OPA17" s="292"/>
      <c r="OPB17" s="292"/>
      <c r="OPC17" s="292"/>
      <c r="OPD17" s="292"/>
      <c r="OPE17" s="292"/>
      <c r="OPF17" s="292"/>
      <c r="OPG17" s="292"/>
      <c r="OPH17" s="292"/>
      <c r="OPI17" s="292"/>
      <c r="OPJ17" s="292"/>
      <c r="OPK17" s="292"/>
      <c r="OPL17" s="292"/>
      <c r="OPM17" s="292"/>
      <c r="OPN17" s="292"/>
      <c r="OPO17" s="292"/>
      <c r="OPP17" s="292"/>
      <c r="OPQ17" s="292"/>
      <c r="OPR17" s="292"/>
      <c r="OPS17" s="292"/>
      <c r="OPT17" s="292"/>
      <c r="OPU17" s="292"/>
      <c r="OPV17" s="292"/>
      <c r="OPW17" s="292"/>
      <c r="OPX17" s="292"/>
      <c r="OPY17" s="292"/>
      <c r="OPZ17" s="292"/>
      <c r="OQA17" s="292"/>
      <c r="OQB17" s="292"/>
      <c r="OQC17" s="292"/>
      <c r="OQD17" s="292"/>
      <c r="OQE17" s="292"/>
      <c r="OQF17" s="292"/>
      <c r="OQG17" s="292"/>
      <c r="OQH17" s="292"/>
      <c r="OQI17" s="292"/>
      <c r="OQJ17" s="292"/>
      <c r="OQK17" s="292"/>
      <c r="OQL17" s="292"/>
      <c r="OQM17" s="292"/>
      <c r="OQN17" s="292"/>
      <c r="OQO17" s="292"/>
      <c r="OQP17" s="292"/>
      <c r="OQQ17" s="292"/>
      <c r="OQR17" s="292"/>
      <c r="OQS17" s="292"/>
      <c r="OQT17" s="292"/>
      <c r="OQU17" s="292"/>
      <c r="OQV17" s="292"/>
      <c r="OQW17" s="292"/>
      <c r="OQX17" s="292"/>
      <c r="OQY17" s="292"/>
      <c r="OQZ17" s="292"/>
      <c r="ORA17" s="292"/>
      <c r="ORB17" s="292"/>
      <c r="ORC17" s="292"/>
      <c r="ORD17" s="292"/>
      <c r="ORE17" s="292"/>
      <c r="ORF17" s="292"/>
      <c r="ORG17" s="292"/>
      <c r="ORH17" s="292"/>
      <c r="ORI17" s="292"/>
      <c r="ORJ17" s="292"/>
      <c r="ORK17" s="292"/>
      <c r="ORL17" s="292"/>
      <c r="ORM17" s="292"/>
      <c r="ORN17" s="292"/>
      <c r="ORO17" s="292"/>
      <c r="ORP17" s="292"/>
      <c r="ORQ17" s="292"/>
      <c r="ORR17" s="292"/>
      <c r="ORS17" s="292"/>
      <c r="ORT17" s="292"/>
      <c r="ORU17" s="292"/>
      <c r="ORV17" s="292"/>
      <c r="ORW17" s="292"/>
      <c r="ORX17" s="292"/>
      <c r="ORY17" s="292"/>
      <c r="ORZ17" s="292"/>
      <c r="OSA17" s="292"/>
      <c r="OSB17" s="292"/>
      <c r="OSC17" s="292"/>
      <c r="OSD17" s="292"/>
      <c r="OSE17" s="292"/>
      <c r="OSF17" s="292"/>
      <c r="OSG17" s="292"/>
      <c r="OSH17" s="292"/>
      <c r="OSI17" s="292"/>
      <c r="OSJ17" s="292"/>
      <c r="OSK17" s="292"/>
      <c r="OSL17" s="292"/>
      <c r="OSM17" s="292"/>
      <c r="OSN17" s="292"/>
      <c r="OSO17" s="292"/>
      <c r="OSP17" s="292"/>
      <c r="OSQ17" s="292"/>
      <c r="OSR17" s="292"/>
      <c r="OSS17" s="292"/>
      <c r="OST17" s="292"/>
      <c r="OSU17" s="292"/>
      <c r="OSV17" s="292"/>
      <c r="OSW17" s="292"/>
      <c r="OSX17" s="292"/>
      <c r="OSY17" s="292"/>
      <c r="OSZ17" s="292"/>
      <c r="OTA17" s="292"/>
      <c r="OTB17" s="292"/>
      <c r="OTC17" s="292"/>
      <c r="OTD17" s="292"/>
      <c r="OTE17" s="292"/>
      <c r="OTF17" s="292"/>
      <c r="OTG17" s="292"/>
      <c r="OTH17" s="292"/>
      <c r="OTI17" s="292"/>
      <c r="OTJ17" s="292"/>
      <c r="OTK17" s="292"/>
      <c r="OTL17" s="292"/>
      <c r="OTM17" s="292"/>
      <c r="OTN17" s="292"/>
      <c r="OTO17" s="292"/>
      <c r="OTP17" s="292"/>
      <c r="OTQ17" s="292"/>
      <c r="OTR17" s="292"/>
      <c r="OTS17" s="292"/>
      <c r="OTT17" s="292"/>
      <c r="OTU17" s="292"/>
      <c r="OTV17" s="292"/>
      <c r="OTW17" s="292"/>
      <c r="OTX17" s="292"/>
      <c r="OTY17" s="292"/>
      <c r="OTZ17" s="292"/>
      <c r="OUA17" s="292"/>
      <c r="OUB17" s="292"/>
      <c r="OUC17" s="292"/>
      <c r="OUD17" s="292"/>
      <c r="OUE17" s="292"/>
      <c r="OUF17" s="292"/>
      <c r="OUG17" s="292"/>
      <c r="OUH17" s="292"/>
      <c r="OUI17" s="292"/>
      <c r="OUJ17" s="292"/>
      <c r="OUK17" s="292"/>
      <c r="OUL17" s="292"/>
      <c r="OUM17" s="292"/>
      <c r="OUN17" s="292"/>
      <c r="OUO17" s="292"/>
      <c r="OUP17" s="292"/>
      <c r="OUQ17" s="292"/>
      <c r="OUR17" s="292"/>
      <c r="OUS17" s="292"/>
      <c r="OUT17" s="292"/>
      <c r="OUU17" s="292"/>
      <c r="OUV17" s="292"/>
      <c r="OUW17" s="292"/>
      <c r="OUX17" s="292"/>
      <c r="OUY17" s="292"/>
      <c r="OUZ17" s="292"/>
      <c r="OVA17" s="292"/>
      <c r="OVB17" s="292"/>
      <c r="OVC17" s="292"/>
      <c r="OVD17" s="292"/>
      <c r="OVE17" s="292"/>
      <c r="OVF17" s="292"/>
      <c r="OVG17" s="292"/>
      <c r="OVH17" s="292"/>
      <c r="OVI17" s="292"/>
      <c r="OVJ17" s="292"/>
      <c r="OVK17" s="292"/>
      <c r="OVL17" s="292"/>
      <c r="OVM17" s="292"/>
      <c r="OVN17" s="292"/>
      <c r="OVO17" s="292"/>
      <c r="OVP17" s="292"/>
      <c r="OVQ17" s="292"/>
      <c r="OVR17" s="292"/>
      <c r="OVS17" s="292"/>
      <c r="OVT17" s="292"/>
      <c r="OVU17" s="292"/>
      <c r="OVV17" s="292"/>
      <c r="OVW17" s="292"/>
      <c r="OVX17" s="292"/>
      <c r="OVY17" s="292"/>
      <c r="OVZ17" s="292"/>
      <c r="OWA17" s="292"/>
      <c r="OWB17" s="292"/>
      <c r="OWC17" s="292"/>
      <c r="OWD17" s="292"/>
      <c r="OWE17" s="292"/>
      <c r="OWF17" s="292"/>
      <c r="OWG17" s="292"/>
      <c r="OWH17" s="292"/>
      <c r="OWI17" s="292"/>
      <c r="OWJ17" s="292"/>
      <c r="OWK17" s="292"/>
      <c r="OWL17" s="292"/>
      <c r="OWM17" s="292"/>
      <c r="OWN17" s="292"/>
      <c r="OWO17" s="292"/>
      <c r="OWP17" s="292"/>
      <c r="OWQ17" s="292"/>
      <c r="OWR17" s="292"/>
      <c r="OWS17" s="292"/>
      <c r="OWT17" s="292"/>
      <c r="OWU17" s="292"/>
      <c r="OWV17" s="292"/>
      <c r="OWW17" s="292"/>
      <c r="OWX17" s="292"/>
      <c r="OWY17" s="292"/>
      <c r="OWZ17" s="292"/>
      <c r="OXA17" s="292"/>
      <c r="OXB17" s="292"/>
      <c r="OXC17" s="292"/>
      <c r="OXD17" s="292"/>
      <c r="OXE17" s="292"/>
      <c r="OXF17" s="292"/>
      <c r="OXG17" s="292"/>
      <c r="OXH17" s="292"/>
      <c r="OXI17" s="292"/>
      <c r="OXJ17" s="292"/>
      <c r="OXK17" s="292"/>
      <c r="OXL17" s="292"/>
      <c r="OXM17" s="292"/>
      <c r="OXN17" s="292"/>
      <c r="OXO17" s="292"/>
      <c r="OXP17" s="292"/>
      <c r="OXQ17" s="292"/>
      <c r="OXR17" s="292"/>
      <c r="OXS17" s="292"/>
      <c r="OXT17" s="292"/>
      <c r="OXU17" s="292"/>
      <c r="OXV17" s="292"/>
      <c r="OXW17" s="292"/>
      <c r="OXX17" s="292"/>
      <c r="OXY17" s="292"/>
      <c r="OXZ17" s="292"/>
      <c r="OYA17" s="292"/>
      <c r="OYB17" s="292"/>
      <c r="OYC17" s="292"/>
      <c r="OYD17" s="292"/>
      <c r="OYE17" s="292"/>
      <c r="OYF17" s="292"/>
      <c r="OYG17" s="292"/>
      <c r="OYH17" s="292"/>
      <c r="OYI17" s="292"/>
      <c r="OYJ17" s="292"/>
      <c r="OYK17" s="292"/>
      <c r="OYL17" s="292"/>
      <c r="OYM17" s="292"/>
      <c r="OYN17" s="292"/>
      <c r="OYO17" s="292"/>
      <c r="OYP17" s="292"/>
      <c r="OYQ17" s="292"/>
      <c r="OYR17" s="292"/>
      <c r="OYS17" s="292"/>
      <c r="OYT17" s="292"/>
      <c r="OYU17" s="292"/>
      <c r="OYV17" s="292"/>
      <c r="OYW17" s="292"/>
      <c r="OYX17" s="292"/>
      <c r="OYY17" s="292"/>
      <c r="OYZ17" s="292"/>
      <c r="OZA17" s="292"/>
      <c r="OZB17" s="292"/>
      <c r="OZC17" s="292"/>
      <c r="OZD17" s="292"/>
      <c r="OZE17" s="292"/>
      <c r="OZF17" s="292"/>
      <c r="OZG17" s="292"/>
      <c r="OZH17" s="292"/>
      <c r="OZI17" s="292"/>
      <c r="OZJ17" s="292"/>
      <c r="OZK17" s="292"/>
      <c r="OZL17" s="292"/>
      <c r="OZM17" s="292"/>
      <c r="OZN17" s="292"/>
      <c r="OZO17" s="292"/>
      <c r="OZP17" s="292"/>
      <c r="OZQ17" s="292"/>
      <c r="OZR17" s="292"/>
      <c r="OZS17" s="292"/>
      <c r="OZT17" s="292"/>
      <c r="OZU17" s="292"/>
      <c r="OZV17" s="292"/>
      <c r="OZW17" s="292"/>
      <c r="OZX17" s="292"/>
      <c r="OZY17" s="292"/>
      <c r="OZZ17" s="292"/>
      <c r="PAA17" s="292"/>
      <c r="PAB17" s="292"/>
      <c r="PAC17" s="292"/>
      <c r="PAD17" s="292"/>
      <c r="PAE17" s="292"/>
      <c r="PAF17" s="292"/>
      <c r="PAG17" s="292"/>
      <c r="PAH17" s="292"/>
      <c r="PAI17" s="292"/>
      <c r="PAJ17" s="292"/>
      <c r="PAK17" s="292"/>
      <c r="PAL17" s="292"/>
      <c r="PAM17" s="292"/>
      <c r="PAN17" s="292"/>
      <c r="PAO17" s="292"/>
      <c r="PAP17" s="292"/>
      <c r="PAQ17" s="292"/>
      <c r="PAR17" s="292"/>
      <c r="PAS17" s="292"/>
      <c r="PAT17" s="292"/>
      <c r="PAU17" s="292"/>
      <c r="PAV17" s="292"/>
      <c r="PAW17" s="292"/>
      <c r="PAX17" s="292"/>
      <c r="PAY17" s="292"/>
      <c r="PAZ17" s="292"/>
      <c r="PBA17" s="292"/>
      <c r="PBB17" s="292"/>
      <c r="PBC17" s="292"/>
      <c r="PBD17" s="292"/>
      <c r="PBE17" s="292"/>
      <c r="PBF17" s="292"/>
      <c r="PBG17" s="292"/>
      <c r="PBH17" s="292"/>
      <c r="PBI17" s="292"/>
      <c r="PBJ17" s="292"/>
      <c r="PBK17" s="292"/>
      <c r="PBL17" s="292"/>
      <c r="PBM17" s="292"/>
      <c r="PBN17" s="292"/>
      <c r="PBO17" s="292"/>
      <c r="PBP17" s="292"/>
      <c r="PBQ17" s="292"/>
      <c r="PBR17" s="292"/>
      <c r="PBS17" s="292"/>
      <c r="PBT17" s="292"/>
      <c r="PBU17" s="292"/>
      <c r="PBV17" s="292"/>
      <c r="PBW17" s="292"/>
      <c r="PBX17" s="292"/>
      <c r="PBY17" s="292"/>
      <c r="PBZ17" s="292"/>
      <c r="PCA17" s="292"/>
      <c r="PCB17" s="292"/>
      <c r="PCC17" s="292"/>
      <c r="PCD17" s="292"/>
      <c r="PCE17" s="292"/>
      <c r="PCF17" s="292"/>
      <c r="PCG17" s="292"/>
      <c r="PCH17" s="292"/>
      <c r="PCI17" s="292"/>
      <c r="PCJ17" s="292"/>
      <c r="PCK17" s="292"/>
      <c r="PCL17" s="292"/>
      <c r="PCM17" s="292"/>
      <c r="PCN17" s="292"/>
      <c r="PCO17" s="292"/>
      <c r="PCP17" s="292"/>
      <c r="PCQ17" s="292"/>
      <c r="PCR17" s="292"/>
      <c r="PCS17" s="292"/>
      <c r="PCT17" s="292"/>
      <c r="PCU17" s="292"/>
      <c r="PCV17" s="292"/>
      <c r="PCW17" s="292"/>
      <c r="PCX17" s="292"/>
      <c r="PCY17" s="292"/>
      <c r="PCZ17" s="292"/>
      <c r="PDA17" s="292"/>
      <c r="PDB17" s="292"/>
      <c r="PDC17" s="292"/>
      <c r="PDD17" s="292"/>
      <c r="PDE17" s="292"/>
      <c r="PDF17" s="292"/>
      <c r="PDG17" s="292"/>
      <c r="PDH17" s="292"/>
      <c r="PDI17" s="292"/>
      <c r="PDJ17" s="292"/>
      <c r="PDK17" s="292"/>
      <c r="PDL17" s="292"/>
      <c r="PDM17" s="292"/>
      <c r="PDN17" s="292"/>
      <c r="PDO17" s="292"/>
      <c r="PDP17" s="292"/>
      <c r="PDQ17" s="292"/>
      <c r="PDR17" s="292"/>
      <c r="PDS17" s="292"/>
      <c r="PDT17" s="292"/>
      <c r="PDU17" s="292"/>
      <c r="PDV17" s="292"/>
      <c r="PDW17" s="292"/>
      <c r="PDX17" s="292"/>
      <c r="PDY17" s="292"/>
      <c r="PDZ17" s="292"/>
      <c r="PEA17" s="292"/>
      <c r="PEB17" s="292"/>
      <c r="PEC17" s="292"/>
      <c r="PED17" s="292"/>
      <c r="PEE17" s="292"/>
      <c r="PEF17" s="292"/>
      <c r="PEG17" s="292"/>
      <c r="PEH17" s="292"/>
      <c r="PEI17" s="292"/>
      <c r="PEJ17" s="292"/>
      <c r="PEK17" s="292"/>
      <c r="PEL17" s="292"/>
      <c r="PEM17" s="292"/>
      <c r="PEN17" s="292"/>
      <c r="PEO17" s="292"/>
      <c r="PEP17" s="292"/>
      <c r="PEQ17" s="292"/>
      <c r="PER17" s="292"/>
      <c r="PES17" s="292"/>
      <c r="PET17" s="292"/>
      <c r="PEU17" s="292"/>
      <c r="PEV17" s="292"/>
      <c r="PEW17" s="292"/>
      <c r="PEX17" s="292"/>
      <c r="PEY17" s="292"/>
      <c r="PEZ17" s="292"/>
      <c r="PFA17" s="292"/>
      <c r="PFB17" s="292"/>
      <c r="PFC17" s="292"/>
      <c r="PFD17" s="292"/>
      <c r="PFE17" s="292"/>
      <c r="PFF17" s="292"/>
      <c r="PFG17" s="292"/>
      <c r="PFH17" s="292"/>
      <c r="PFI17" s="292"/>
      <c r="PFJ17" s="292"/>
      <c r="PFK17" s="292"/>
      <c r="PFL17" s="292"/>
      <c r="PFM17" s="292"/>
      <c r="PFN17" s="292"/>
      <c r="PFO17" s="292"/>
      <c r="PFP17" s="292"/>
      <c r="PFQ17" s="292"/>
      <c r="PFR17" s="292"/>
      <c r="PFS17" s="292"/>
      <c r="PFT17" s="292"/>
      <c r="PFU17" s="292"/>
      <c r="PFV17" s="292"/>
      <c r="PFW17" s="292"/>
      <c r="PFX17" s="292"/>
      <c r="PFY17" s="292"/>
      <c r="PFZ17" s="292"/>
      <c r="PGA17" s="292"/>
      <c r="PGB17" s="292"/>
      <c r="PGC17" s="292"/>
      <c r="PGD17" s="292"/>
      <c r="PGE17" s="292"/>
      <c r="PGF17" s="292"/>
      <c r="PGG17" s="292"/>
      <c r="PGH17" s="292"/>
      <c r="PGI17" s="292"/>
      <c r="PGJ17" s="292"/>
      <c r="PGK17" s="292"/>
      <c r="PGL17" s="292"/>
      <c r="PGM17" s="292"/>
      <c r="PGN17" s="292"/>
      <c r="PGO17" s="292"/>
      <c r="PGP17" s="292"/>
      <c r="PGQ17" s="292"/>
      <c r="PGR17" s="292"/>
      <c r="PGS17" s="292"/>
      <c r="PGT17" s="292"/>
      <c r="PGU17" s="292"/>
      <c r="PGV17" s="292"/>
      <c r="PGW17" s="292"/>
      <c r="PGX17" s="292"/>
      <c r="PGY17" s="292"/>
      <c r="PGZ17" s="292"/>
      <c r="PHA17" s="292"/>
      <c r="PHB17" s="292"/>
      <c r="PHC17" s="292"/>
      <c r="PHD17" s="292"/>
      <c r="PHE17" s="292"/>
      <c r="PHF17" s="292"/>
      <c r="PHG17" s="292"/>
      <c r="PHH17" s="292"/>
      <c r="PHI17" s="292"/>
      <c r="PHJ17" s="292"/>
      <c r="PHK17" s="292"/>
      <c r="PHL17" s="292"/>
      <c r="PHM17" s="292"/>
      <c r="PHN17" s="292"/>
      <c r="PHO17" s="292"/>
      <c r="PHP17" s="292"/>
      <c r="PHQ17" s="292"/>
      <c r="PHR17" s="292"/>
      <c r="PHS17" s="292"/>
      <c r="PHT17" s="292"/>
      <c r="PHU17" s="292"/>
      <c r="PHV17" s="292"/>
      <c r="PHW17" s="292"/>
      <c r="PHX17" s="292"/>
      <c r="PHY17" s="292"/>
      <c r="PHZ17" s="292"/>
      <c r="PIA17" s="292"/>
      <c r="PIB17" s="292"/>
      <c r="PIC17" s="292"/>
      <c r="PID17" s="292"/>
      <c r="PIE17" s="292"/>
      <c r="PIF17" s="292"/>
      <c r="PIG17" s="292"/>
      <c r="PIH17" s="292"/>
      <c r="PII17" s="292"/>
      <c r="PIJ17" s="292"/>
      <c r="PIK17" s="292"/>
      <c r="PIL17" s="292"/>
      <c r="PIM17" s="292"/>
      <c r="PIN17" s="292"/>
      <c r="PIO17" s="292"/>
      <c r="PIP17" s="292"/>
      <c r="PIQ17" s="292"/>
      <c r="PIR17" s="292"/>
      <c r="PIS17" s="292"/>
      <c r="PIT17" s="292"/>
      <c r="PIU17" s="292"/>
      <c r="PIV17" s="292"/>
      <c r="PIW17" s="292"/>
      <c r="PIX17" s="292"/>
      <c r="PIY17" s="292"/>
      <c r="PIZ17" s="292"/>
      <c r="PJA17" s="292"/>
      <c r="PJB17" s="292"/>
      <c r="PJC17" s="292"/>
      <c r="PJD17" s="292"/>
      <c r="PJE17" s="292"/>
      <c r="PJF17" s="292"/>
      <c r="PJG17" s="292"/>
      <c r="PJH17" s="292"/>
      <c r="PJI17" s="292"/>
      <c r="PJJ17" s="292"/>
      <c r="PJK17" s="292"/>
      <c r="PJL17" s="292"/>
      <c r="PJM17" s="292"/>
      <c r="PJN17" s="292"/>
      <c r="PJO17" s="292"/>
      <c r="PJP17" s="292"/>
      <c r="PJQ17" s="292"/>
      <c r="PJR17" s="292"/>
      <c r="PJS17" s="292"/>
      <c r="PJT17" s="292"/>
      <c r="PJU17" s="292"/>
      <c r="PJV17" s="292"/>
      <c r="PJW17" s="292"/>
      <c r="PJX17" s="292"/>
      <c r="PJY17" s="292"/>
      <c r="PJZ17" s="292"/>
      <c r="PKA17" s="292"/>
      <c r="PKB17" s="292"/>
      <c r="PKC17" s="292"/>
      <c r="PKD17" s="292"/>
      <c r="PKE17" s="292"/>
      <c r="PKF17" s="292"/>
      <c r="PKG17" s="292"/>
      <c r="PKH17" s="292"/>
      <c r="PKI17" s="292"/>
      <c r="PKJ17" s="292"/>
      <c r="PKK17" s="292"/>
      <c r="PKL17" s="292"/>
      <c r="PKM17" s="292"/>
      <c r="PKN17" s="292"/>
      <c r="PKO17" s="292"/>
      <c r="PKP17" s="292"/>
      <c r="PKQ17" s="292"/>
      <c r="PKR17" s="292"/>
      <c r="PKS17" s="292"/>
      <c r="PKT17" s="292"/>
      <c r="PKU17" s="292"/>
      <c r="PKV17" s="292"/>
      <c r="PKW17" s="292"/>
      <c r="PKX17" s="292"/>
      <c r="PKY17" s="292"/>
      <c r="PKZ17" s="292"/>
      <c r="PLA17" s="292"/>
      <c r="PLB17" s="292"/>
      <c r="PLC17" s="292"/>
      <c r="PLD17" s="292"/>
      <c r="PLE17" s="292"/>
      <c r="PLF17" s="292"/>
      <c r="PLG17" s="292"/>
      <c r="PLH17" s="292"/>
      <c r="PLI17" s="292"/>
      <c r="PLJ17" s="292"/>
      <c r="PLK17" s="292"/>
      <c r="PLL17" s="292"/>
      <c r="PLM17" s="292"/>
      <c r="PLN17" s="292"/>
      <c r="PLO17" s="292"/>
      <c r="PLP17" s="292"/>
      <c r="PLQ17" s="292"/>
      <c r="PLR17" s="292"/>
      <c r="PLS17" s="292"/>
      <c r="PLT17" s="292"/>
      <c r="PLU17" s="292"/>
      <c r="PLV17" s="292"/>
      <c r="PLW17" s="292"/>
      <c r="PLX17" s="292"/>
      <c r="PLY17" s="292"/>
      <c r="PLZ17" s="292"/>
      <c r="PMA17" s="292"/>
      <c r="PMB17" s="292"/>
      <c r="PMC17" s="292"/>
      <c r="PMD17" s="292"/>
      <c r="PME17" s="292"/>
      <c r="PMF17" s="292"/>
      <c r="PMG17" s="292"/>
      <c r="PMH17" s="292"/>
      <c r="PMI17" s="292"/>
      <c r="PMJ17" s="292"/>
      <c r="PMK17" s="292"/>
      <c r="PML17" s="292"/>
      <c r="PMM17" s="292"/>
      <c r="PMN17" s="292"/>
      <c r="PMO17" s="292"/>
      <c r="PMP17" s="292"/>
      <c r="PMQ17" s="292"/>
      <c r="PMR17" s="292"/>
      <c r="PMS17" s="292"/>
      <c r="PMT17" s="292"/>
      <c r="PMU17" s="292"/>
      <c r="PMV17" s="292"/>
      <c r="PMW17" s="292"/>
      <c r="PMX17" s="292"/>
      <c r="PMY17" s="292"/>
      <c r="PMZ17" s="292"/>
      <c r="PNA17" s="292"/>
      <c r="PNB17" s="292"/>
      <c r="PNC17" s="292"/>
      <c r="PND17" s="292"/>
      <c r="PNE17" s="292"/>
      <c r="PNF17" s="292"/>
      <c r="PNG17" s="292"/>
      <c r="PNH17" s="292"/>
      <c r="PNI17" s="292"/>
      <c r="PNJ17" s="292"/>
      <c r="PNK17" s="292"/>
      <c r="PNL17" s="292"/>
      <c r="PNM17" s="292"/>
      <c r="PNN17" s="292"/>
      <c r="PNO17" s="292"/>
      <c r="PNP17" s="292"/>
      <c r="PNQ17" s="292"/>
      <c r="PNR17" s="292"/>
      <c r="PNS17" s="292"/>
      <c r="PNT17" s="292"/>
      <c r="PNU17" s="292"/>
      <c r="PNV17" s="292"/>
      <c r="PNW17" s="292"/>
      <c r="PNX17" s="292"/>
      <c r="PNY17" s="292"/>
      <c r="PNZ17" s="292"/>
      <c r="POA17" s="292"/>
      <c r="POB17" s="292"/>
      <c r="POC17" s="292"/>
      <c r="POD17" s="292"/>
      <c r="POE17" s="292"/>
      <c r="POF17" s="292"/>
      <c r="POG17" s="292"/>
      <c r="POH17" s="292"/>
      <c r="POI17" s="292"/>
      <c r="POJ17" s="292"/>
      <c r="POK17" s="292"/>
      <c r="POL17" s="292"/>
      <c r="POM17" s="292"/>
      <c r="PON17" s="292"/>
      <c r="POO17" s="292"/>
      <c r="POP17" s="292"/>
      <c r="POQ17" s="292"/>
      <c r="POR17" s="292"/>
      <c r="POS17" s="292"/>
      <c r="POT17" s="292"/>
      <c r="POU17" s="292"/>
      <c r="POV17" s="292"/>
      <c r="POW17" s="292"/>
      <c r="POX17" s="292"/>
      <c r="POY17" s="292"/>
      <c r="POZ17" s="292"/>
      <c r="PPA17" s="292"/>
      <c r="PPB17" s="292"/>
      <c r="PPC17" s="292"/>
      <c r="PPD17" s="292"/>
      <c r="PPE17" s="292"/>
      <c r="PPF17" s="292"/>
      <c r="PPG17" s="292"/>
      <c r="PPH17" s="292"/>
      <c r="PPI17" s="292"/>
      <c r="PPJ17" s="292"/>
      <c r="PPK17" s="292"/>
      <c r="PPL17" s="292"/>
      <c r="PPM17" s="292"/>
      <c r="PPN17" s="292"/>
      <c r="PPO17" s="292"/>
      <c r="PPP17" s="292"/>
      <c r="PPQ17" s="292"/>
      <c r="PPR17" s="292"/>
      <c r="PPS17" s="292"/>
      <c r="PPT17" s="292"/>
      <c r="PPU17" s="292"/>
      <c r="PPV17" s="292"/>
      <c r="PPW17" s="292"/>
      <c r="PPX17" s="292"/>
      <c r="PPY17" s="292"/>
      <c r="PPZ17" s="292"/>
      <c r="PQA17" s="292"/>
      <c r="PQB17" s="292"/>
      <c r="PQC17" s="292"/>
      <c r="PQD17" s="292"/>
      <c r="PQE17" s="292"/>
      <c r="PQF17" s="292"/>
      <c r="PQG17" s="292"/>
      <c r="PQH17" s="292"/>
      <c r="PQI17" s="292"/>
      <c r="PQJ17" s="292"/>
      <c r="PQK17" s="292"/>
      <c r="PQL17" s="292"/>
      <c r="PQM17" s="292"/>
      <c r="PQN17" s="292"/>
      <c r="PQO17" s="292"/>
      <c r="PQP17" s="292"/>
      <c r="PQQ17" s="292"/>
      <c r="PQR17" s="292"/>
      <c r="PQS17" s="292"/>
      <c r="PQT17" s="292"/>
      <c r="PQU17" s="292"/>
      <c r="PQV17" s="292"/>
      <c r="PQW17" s="292"/>
      <c r="PQX17" s="292"/>
      <c r="PQY17" s="292"/>
      <c r="PQZ17" s="292"/>
      <c r="PRA17" s="292"/>
      <c r="PRB17" s="292"/>
      <c r="PRC17" s="292"/>
      <c r="PRD17" s="292"/>
      <c r="PRE17" s="292"/>
      <c r="PRF17" s="292"/>
      <c r="PRG17" s="292"/>
      <c r="PRH17" s="292"/>
      <c r="PRI17" s="292"/>
      <c r="PRJ17" s="292"/>
      <c r="PRK17" s="292"/>
      <c r="PRL17" s="292"/>
      <c r="PRM17" s="292"/>
      <c r="PRN17" s="292"/>
      <c r="PRO17" s="292"/>
      <c r="PRP17" s="292"/>
      <c r="PRQ17" s="292"/>
      <c r="PRR17" s="292"/>
      <c r="PRS17" s="292"/>
      <c r="PRT17" s="292"/>
      <c r="PRU17" s="292"/>
      <c r="PRV17" s="292"/>
      <c r="PRW17" s="292"/>
      <c r="PRX17" s="292"/>
      <c r="PRY17" s="292"/>
      <c r="PRZ17" s="292"/>
      <c r="PSA17" s="292"/>
      <c r="PSB17" s="292"/>
      <c r="PSC17" s="292"/>
      <c r="PSD17" s="292"/>
      <c r="PSE17" s="292"/>
      <c r="PSF17" s="292"/>
      <c r="PSG17" s="292"/>
      <c r="PSH17" s="292"/>
      <c r="PSI17" s="292"/>
      <c r="PSJ17" s="292"/>
      <c r="PSK17" s="292"/>
      <c r="PSL17" s="292"/>
      <c r="PSM17" s="292"/>
      <c r="PSN17" s="292"/>
      <c r="PSO17" s="292"/>
      <c r="PSP17" s="292"/>
      <c r="PSQ17" s="292"/>
      <c r="PSR17" s="292"/>
      <c r="PSS17" s="292"/>
      <c r="PST17" s="292"/>
      <c r="PSU17" s="292"/>
      <c r="PSV17" s="292"/>
      <c r="PSW17" s="292"/>
      <c r="PSX17" s="292"/>
      <c r="PSY17" s="292"/>
      <c r="PSZ17" s="292"/>
      <c r="PTA17" s="292"/>
      <c r="PTB17" s="292"/>
      <c r="PTC17" s="292"/>
      <c r="PTD17" s="292"/>
      <c r="PTE17" s="292"/>
      <c r="PTF17" s="292"/>
      <c r="PTG17" s="292"/>
      <c r="PTH17" s="292"/>
      <c r="PTI17" s="292"/>
      <c r="PTJ17" s="292"/>
      <c r="PTK17" s="292"/>
      <c r="PTL17" s="292"/>
      <c r="PTM17" s="292"/>
      <c r="PTN17" s="292"/>
      <c r="PTO17" s="292"/>
      <c r="PTP17" s="292"/>
      <c r="PTQ17" s="292"/>
      <c r="PTR17" s="292"/>
      <c r="PTS17" s="292"/>
      <c r="PTT17" s="292"/>
      <c r="PTU17" s="292"/>
      <c r="PTV17" s="292"/>
      <c r="PTW17" s="292"/>
      <c r="PTX17" s="292"/>
      <c r="PTY17" s="292"/>
      <c r="PTZ17" s="292"/>
      <c r="PUA17" s="292"/>
      <c r="PUB17" s="292"/>
      <c r="PUC17" s="292"/>
      <c r="PUD17" s="292"/>
      <c r="PUE17" s="292"/>
      <c r="PUF17" s="292"/>
      <c r="PUG17" s="292"/>
      <c r="PUH17" s="292"/>
      <c r="PUI17" s="292"/>
      <c r="PUJ17" s="292"/>
      <c r="PUK17" s="292"/>
      <c r="PUL17" s="292"/>
      <c r="PUM17" s="292"/>
      <c r="PUN17" s="292"/>
      <c r="PUO17" s="292"/>
      <c r="PUP17" s="292"/>
      <c r="PUQ17" s="292"/>
      <c r="PUR17" s="292"/>
      <c r="PUS17" s="292"/>
      <c r="PUT17" s="292"/>
      <c r="PUU17" s="292"/>
      <c r="PUV17" s="292"/>
      <c r="PUW17" s="292"/>
      <c r="PUX17" s="292"/>
      <c r="PUY17" s="292"/>
      <c r="PUZ17" s="292"/>
      <c r="PVA17" s="292"/>
      <c r="PVB17" s="292"/>
      <c r="PVC17" s="292"/>
      <c r="PVD17" s="292"/>
      <c r="PVE17" s="292"/>
      <c r="PVF17" s="292"/>
      <c r="PVG17" s="292"/>
      <c r="PVH17" s="292"/>
      <c r="PVI17" s="292"/>
      <c r="PVJ17" s="292"/>
      <c r="PVK17" s="292"/>
      <c r="PVL17" s="292"/>
      <c r="PVM17" s="292"/>
      <c r="PVN17" s="292"/>
      <c r="PVO17" s="292"/>
      <c r="PVP17" s="292"/>
      <c r="PVQ17" s="292"/>
      <c r="PVR17" s="292"/>
      <c r="PVS17" s="292"/>
      <c r="PVT17" s="292"/>
      <c r="PVU17" s="292"/>
      <c r="PVV17" s="292"/>
      <c r="PVW17" s="292"/>
      <c r="PVX17" s="292"/>
      <c r="PVY17" s="292"/>
      <c r="PVZ17" s="292"/>
      <c r="PWA17" s="292"/>
      <c r="PWB17" s="292"/>
      <c r="PWC17" s="292"/>
      <c r="PWD17" s="292"/>
      <c r="PWE17" s="292"/>
      <c r="PWF17" s="292"/>
      <c r="PWG17" s="292"/>
      <c r="PWH17" s="292"/>
      <c r="PWI17" s="292"/>
      <c r="PWJ17" s="292"/>
      <c r="PWK17" s="292"/>
      <c r="PWL17" s="292"/>
      <c r="PWM17" s="292"/>
      <c r="PWN17" s="292"/>
      <c r="PWO17" s="292"/>
      <c r="PWP17" s="292"/>
      <c r="PWQ17" s="292"/>
      <c r="PWR17" s="292"/>
      <c r="PWS17" s="292"/>
      <c r="PWT17" s="292"/>
      <c r="PWU17" s="292"/>
      <c r="PWV17" s="292"/>
      <c r="PWW17" s="292"/>
      <c r="PWX17" s="292"/>
      <c r="PWY17" s="292"/>
      <c r="PWZ17" s="292"/>
      <c r="PXA17" s="292"/>
      <c r="PXB17" s="292"/>
      <c r="PXC17" s="292"/>
      <c r="PXD17" s="292"/>
      <c r="PXE17" s="292"/>
      <c r="PXF17" s="292"/>
      <c r="PXG17" s="292"/>
      <c r="PXH17" s="292"/>
      <c r="PXI17" s="292"/>
      <c r="PXJ17" s="292"/>
      <c r="PXK17" s="292"/>
      <c r="PXL17" s="292"/>
      <c r="PXM17" s="292"/>
      <c r="PXN17" s="292"/>
      <c r="PXO17" s="292"/>
      <c r="PXP17" s="292"/>
      <c r="PXQ17" s="292"/>
      <c r="PXR17" s="292"/>
      <c r="PXS17" s="292"/>
      <c r="PXT17" s="292"/>
      <c r="PXU17" s="292"/>
      <c r="PXV17" s="292"/>
      <c r="PXW17" s="292"/>
      <c r="PXX17" s="292"/>
      <c r="PXY17" s="292"/>
      <c r="PXZ17" s="292"/>
      <c r="PYA17" s="292"/>
      <c r="PYB17" s="292"/>
      <c r="PYC17" s="292"/>
      <c r="PYD17" s="292"/>
      <c r="PYE17" s="292"/>
      <c r="PYF17" s="292"/>
      <c r="PYG17" s="292"/>
      <c r="PYH17" s="292"/>
      <c r="PYI17" s="292"/>
      <c r="PYJ17" s="292"/>
      <c r="PYK17" s="292"/>
      <c r="PYL17" s="292"/>
      <c r="PYM17" s="292"/>
      <c r="PYN17" s="292"/>
      <c r="PYO17" s="292"/>
      <c r="PYP17" s="292"/>
      <c r="PYQ17" s="292"/>
      <c r="PYR17" s="292"/>
      <c r="PYS17" s="292"/>
      <c r="PYT17" s="292"/>
      <c r="PYU17" s="292"/>
      <c r="PYV17" s="292"/>
      <c r="PYW17" s="292"/>
      <c r="PYX17" s="292"/>
      <c r="PYY17" s="292"/>
      <c r="PYZ17" s="292"/>
      <c r="PZA17" s="292"/>
      <c r="PZB17" s="292"/>
      <c r="PZC17" s="292"/>
      <c r="PZD17" s="292"/>
      <c r="PZE17" s="292"/>
      <c r="PZF17" s="292"/>
      <c r="PZG17" s="292"/>
      <c r="PZH17" s="292"/>
      <c r="PZI17" s="292"/>
      <c r="PZJ17" s="292"/>
      <c r="PZK17" s="292"/>
      <c r="PZL17" s="292"/>
      <c r="PZM17" s="292"/>
      <c r="PZN17" s="292"/>
      <c r="PZO17" s="292"/>
      <c r="PZP17" s="292"/>
      <c r="PZQ17" s="292"/>
      <c r="PZR17" s="292"/>
      <c r="PZS17" s="292"/>
      <c r="PZT17" s="292"/>
      <c r="PZU17" s="292"/>
      <c r="PZV17" s="292"/>
      <c r="PZW17" s="292"/>
      <c r="PZX17" s="292"/>
      <c r="PZY17" s="292"/>
      <c r="PZZ17" s="292"/>
      <c r="QAA17" s="292"/>
      <c r="QAB17" s="292"/>
      <c r="QAC17" s="292"/>
      <c r="QAD17" s="292"/>
      <c r="QAE17" s="292"/>
      <c r="QAF17" s="292"/>
      <c r="QAG17" s="292"/>
      <c r="QAH17" s="292"/>
      <c r="QAI17" s="292"/>
      <c r="QAJ17" s="292"/>
      <c r="QAK17" s="292"/>
      <c r="QAL17" s="292"/>
      <c r="QAM17" s="292"/>
      <c r="QAN17" s="292"/>
      <c r="QAO17" s="292"/>
      <c r="QAP17" s="292"/>
      <c r="QAQ17" s="292"/>
      <c r="QAR17" s="292"/>
      <c r="QAS17" s="292"/>
      <c r="QAT17" s="292"/>
      <c r="QAU17" s="292"/>
      <c r="QAV17" s="292"/>
      <c r="QAW17" s="292"/>
      <c r="QAX17" s="292"/>
      <c r="QAY17" s="292"/>
      <c r="QAZ17" s="292"/>
      <c r="QBA17" s="292"/>
      <c r="QBB17" s="292"/>
      <c r="QBC17" s="292"/>
      <c r="QBD17" s="292"/>
      <c r="QBE17" s="292"/>
      <c r="QBF17" s="292"/>
      <c r="QBG17" s="292"/>
      <c r="QBH17" s="292"/>
      <c r="QBI17" s="292"/>
      <c r="QBJ17" s="292"/>
      <c r="QBK17" s="292"/>
      <c r="QBL17" s="292"/>
      <c r="QBM17" s="292"/>
      <c r="QBN17" s="292"/>
      <c r="QBO17" s="292"/>
      <c r="QBP17" s="292"/>
      <c r="QBQ17" s="292"/>
      <c r="QBR17" s="292"/>
      <c r="QBS17" s="292"/>
      <c r="QBT17" s="292"/>
      <c r="QBU17" s="292"/>
      <c r="QBV17" s="292"/>
      <c r="QBW17" s="292"/>
      <c r="QBX17" s="292"/>
      <c r="QBY17" s="292"/>
      <c r="QBZ17" s="292"/>
      <c r="QCA17" s="292"/>
      <c r="QCB17" s="292"/>
      <c r="QCC17" s="292"/>
      <c r="QCD17" s="292"/>
      <c r="QCE17" s="292"/>
      <c r="QCF17" s="292"/>
      <c r="QCG17" s="292"/>
      <c r="QCH17" s="292"/>
      <c r="QCI17" s="292"/>
      <c r="QCJ17" s="292"/>
      <c r="QCK17" s="292"/>
      <c r="QCL17" s="292"/>
      <c r="QCM17" s="292"/>
      <c r="QCN17" s="292"/>
      <c r="QCO17" s="292"/>
      <c r="QCP17" s="292"/>
      <c r="QCQ17" s="292"/>
      <c r="QCR17" s="292"/>
      <c r="QCS17" s="292"/>
      <c r="QCT17" s="292"/>
      <c r="QCU17" s="292"/>
      <c r="QCV17" s="292"/>
      <c r="QCW17" s="292"/>
      <c r="QCX17" s="292"/>
      <c r="QCY17" s="292"/>
      <c r="QCZ17" s="292"/>
      <c r="QDA17" s="292"/>
      <c r="QDB17" s="292"/>
      <c r="QDC17" s="292"/>
      <c r="QDD17" s="292"/>
      <c r="QDE17" s="292"/>
      <c r="QDF17" s="292"/>
      <c r="QDG17" s="292"/>
      <c r="QDH17" s="292"/>
      <c r="QDI17" s="292"/>
      <c r="QDJ17" s="292"/>
      <c r="QDK17" s="292"/>
      <c r="QDL17" s="292"/>
      <c r="QDM17" s="292"/>
      <c r="QDN17" s="292"/>
      <c r="QDO17" s="292"/>
      <c r="QDP17" s="292"/>
      <c r="QDQ17" s="292"/>
      <c r="QDR17" s="292"/>
      <c r="QDS17" s="292"/>
      <c r="QDT17" s="292"/>
      <c r="QDU17" s="292"/>
      <c r="QDV17" s="292"/>
      <c r="QDW17" s="292"/>
      <c r="QDX17" s="292"/>
      <c r="QDY17" s="292"/>
      <c r="QDZ17" s="292"/>
      <c r="QEA17" s="292"/>
      <c r="QEB17" s="292"/>
      <c r="QEC17" s="292"/>
      <c r="QED17" s="292"/>
      <c r="QEE17" s="292"/>
      <c r="QEF17" s="292"/>
      <c r="QEG17" s="292"/>
      <c r="QEH17" s="292"/>
      <c r="QEI17" s="292"/>
      <c r="QEJ17" s="292"/>
      <c r="QEK17" s="292"/>
      <c r="QEL17" s="292"/>
      <c r="QEM17" s="292"/>
      <c r="QEN17" s="292"/>
      <c r="QEO17" s="292"/>
      <c r="QEP17" s="292"/>
      <c r="QEQ17" s="292"/>
      <c r="QER17" s="292"/>
      <c r="QES17" s="292"/>
      <c r="QET17" s="292"/>
      <c r="QEU17" s="292"/>
      <c r="QEV17" s="292"/>
      <c r="QEW17" s="292"/>
      <c r="QEX17" s="292"/>
      <c r="QEY17" s="292"/>
      <c r="QEZ17" s="292"/>
      <c r="QFA17" s="292"/>
      <c r="QFB17" s="292"/>
      <c r="QFC17" s="292"/>
      <c r="QFD17" s="292"/>
      <c r="QFE17" s="292"/>
      <c r="QFF17" s="292"/>
      <c r="QFG17" s="292"/>
      <c r="QFH17" s="292"/>
      <c r="QFI17" s="292"/>
      <c r="QFJ17" s="292"/>
      <c r="QFK17" s="292"/>
      <c r="QFL17" s="292"/>
      <c r="QFM17" s="292"/>
      <c r="QFN17" s="292"/>
      <c r="QFO17" s="292"/>
      <c r="QFP17" s="292"/>
      <c r="QFQ17" s="292"/>
      <c r="QFR17" s="292"/>
      <c r="QFS17" s="292"/>
      <c r="QFT17" s="292"/>
      <c r="QFU17" s="292"/>
      <c r="QFV17" s="292"/>
      <c r="QFW17" s="292"/>
      <c r="QFX17" s="292"/>
      <c r="QFY17" s="292"/>
      <c r="QFZ17" s="292"/>
      <c r="QGA17" s="292"/>
      <c r="QGB17" s="292"/>
      <c r="QGC17" s="292"/>
      <c r="QGD17" s="292"/>
      <c r="QGE17" s="292"/>
      <c r="QGF17" s="292"/>
      <c r="QGG17" s="292"/>
      <c r="QGH17" s="292"/>
      <c r="QGI17" s="292"/>
      <c r="QGJ17" s="292"/>
      <c r="QGK17" s="292"/>
      <c r="QGL17" s="292"/>
      <c r="QGM17" s="292"/>
      <c r="QGN17" s="292"/>
      <c r="QGO17" s="292"/>
      <c r="QGP17" s="292"/>
      <c r="QGQ17" s="292"/>
      <c r="QGR17" s="292"/>
      <c r="QGS17" s="292"/>
      <c r="QGT17" s="292"/>
      <c r="QGU17" s="292"/>
      <c r="QGV17" s="292"/>
      <c r="QGW17" s="292"/>
      <c r="QGX17" s="292"/>
      <c r="QGY17" s="292"/>
      <c r="QGZ17" s="292"/>
      <c r="QHA17" s="292"/>
      <c r="QHB17" s="292"/>
      <c r="QHC17" s="292"/>
      <c r="QHD17" s="292"/>
      <c r="QHE17" s="292"/>
      <c r="QHF17" s="292"/>
      <c r="QHG17" s="292"/>
      <c r="QHH17" s="292"/>
      <c r="QHI17" s="292"/>
      <c r="QHJ17" s="292"/>
      <c r="QHK17" s="292"/>
      <c r="QHL17" s="292"/>
      <c r="QHM17" s="292"/>
      <c r="QHN17" s="292"/>
      <c r="QHO17" s="292"/>
      <c r="QHP17" s="292"/>
      <c r="QHQ17" s="292"/>
      <c r="QHR17" s="292"/>
      <c r="QHS17" s="292"/>
      <c r="QHT17" s="292"/>
      <c r="QHU17" s="292"/>
      <c r="QHV17" s="292"/>
      <c r="QHW17" s="292"/>
      <c r="QHX17" s="292"/>
      <c r="QHY17" s="292"/>
      <c r="QHZ17" s="292"/>
      <c r="QIA17" s="292"/>
      <c r="QIB17" s="292"/>
      <c r="QIC17" s="292"/>
      <c r="QID17" s="292"/>
      <c r="QIE17" s="292"/>
      <c r="QIF17" s="292"/>
      <c r="QIG17" s="292"/>
      <c r="QIH17" s="292"/>
      <c r="QII17" s="292"/>
      <c r="QIJ17" s="292"/>
      <c r="QIK17" s="292"/>
      <c r="QIL17" s="292"/>
      <c r="QIM17" s="292"/>
      <c r="QIN17" s="292"/>
      <c r="QIO17" s="292"/>
      <c r="QIP17" s="292"/>
      <c r="QIQ17" s="292"/>
      <c r="QIR17" s="292"/>
      <c r="QIS17" s="292"/>
      <c r="QIT17" s="292"/>
      <c r="QIU17" s="292"/>
      <c r="QIV17" s="292"/>
      <c r="QIW17" s="292"/>
      <c r="QIX17" s="292"/>
      <c r="QIY17" s="292"/>
      <c r="QIZ17" s="292"/>
      <c r="QJA17" s="292"/>
      <c r="QJB17" s="292"/>
      <c r="QJC17" s="292"/>
      <c r="QJD17" s="292"/>
      <c r="QJE17" s="292"/>
      <c r="QJF17" s="292"/>
      <c r="QJG17" s="292"/>
      <c r="QJH17" s="292"/>
      <c r="QJI17" s="292"/>
      <c r="QJJ17" s="292"/>
      <c r="QJK17" s="292"/>
      <c r="QJL17" s="292"/>
      <c r="QJM17" s="292"/>
      <c r="QJN17" s="292"/>
      <c r="QJO17" s="292"/>
      <c r="QJP17" s="292"/>
      <c r="QJQ17" s="292"/>
      <c r="QJR17" s="292"/>
      <c r="QJS17" s="292"/>
      <c r="QJT17" s="292"/>
      <c r="QJU17" s="292"/>
      <c r="QJV17" s="292"/>
      <c r="QJW17" s="292"/>
      <c r="QJX17" s="292"/>
      <c r="QJY17" s="292"/>
      <c r="QJZ17" s="292"/>
      <c r="QKA17" s="292"/>
      <c r="QKB17" s="292"/>
      <c r="QKC17" s="292"/>
      <c r="QKD17" s="292"/>
      <c r="QKE17" s="292"/>
      <c r="QKF17" s="292"/>
      <c r="QKG17" s="292"/>
      <c r="QKH17" s="292"/>
      <c r="QKI17" s="292"/>
      <c r="QKJ17" s="292"/>
      <c r="QKK17" s="292"/>
      <c r="QKL17" s="292"/>
      <c r="QKM17" s="292"/>
      <c r="QKN17" s="292"/>
      <c r="QKO17" s="292"/>
      <c r="QKP17" s="292"/>
      <c r="QKQ17" s="292"/>
      <c r="QKR17" s="292"/>
      <c r="QKS17" s="292"/>
      <c r="QKT17" s="292"/>
      <c r="QKU17" s="292"/>
      <c r="QKV17" s="292"/>
      <c r="QKW17" s="292"/>
      <c r="QKX17" s="292"/>
      <c r="QKY17" s="292"/>
      <c r="QKZ17" s="292"/>
      <c r="QLA17" s="292"/>
      <c r="QLB17" s="292"/>
      <c r="QLC17" s="292"/>
      <c r="QLD17" s="292"/>
      <c r="QLE17" s="292"/>
      <c r="QLF17" s="292"/>
      <c r="QLG17" s="292"/>
      <c r="QLH17" s="292"/>
      <c r="QLI17" s="292"/>
      <c r="QLJ17" s="292"/>
      <c r="QLK17" s="292"/>
      <c r="QLL17" s="292"/>
      <c r="QLM17" s="292"/>
      <c r="QLN17" s="292"/>
      <c r="QLO17" s="292"/>
      <c r="QLP17" s="292"/>
      <c r="QLQ17" s="292"/>
      <c r="QLR17" s="292"/>
      <c r="QLS17" s="292"/>
      <c r="QLT17" s="292"/>
      <c r="QLU17" s="292"/>
      <c r="QLV17" s="292"/>
      <c r="QLW17" s="292"/>
      <c r="QLX17" s="292"/>
      <c r="QLY17" s="292"/>
      <c r="QLZ17" s="292"/>
      <c r="QMA17" s="292"/>
      <c r="QMB17" s="292"/>
      <c r="QMC17" s="292"/>
      <c r="QMD17" s="292"/>
      <c r="QME17" s="292"/>
      <c r="QMF17" s="292"/>
      <c r="QMG17" s="292"/>
      <c r="QMH17" s="292"/>
      <c r="QMI17" s="292"/>
      <c r="QMJ17" s="292"/>
      <c r="QMK17" s="292"/>
      <c r="QML17" s="292"/>
      <c r="QMM17" s="292"/>
      <c r="QMN17" s="292"/>
      <c r="QMO17" s="292"/>
      <c r="QMP17" s="292"/>
      <c r="QMQ17" s="292"/>
      <c r="QMR17" s="292"/>
      <c r="QMS17" s="292"/>
      <c r="QMT17" s="292"/>
      <c r="QMU17" s="292"/>
      <c r="QMV17" s="292"/>
      <c r="QMW17" s="292"/>
      <c r="QMX17" s="292"/>
      <c r="QMY17" s="292"/>
      <c r="QMZ17" s="292"/>
      <c r="QNA17" s="292"/>
      <c r="QNB17" s="292"/>
      <c r="QNC17" s="292"/>
      <c r="QND17" s="292"/>
      <c r="QNE17" s="292"/>
      <c r="QNF17" s="292"/>
      <c r="QNG17" s="292"/>
      <c r="QNH17" s="292"/>
      <c r="QNI17" s="292"/>
      <c r="QNJ17" s="292"/>
      <c r="QNK17" s="292"/>
      <c r="QNL17" s="292"/>
      <c r="QNM17" s="292"/>
      <c r="QNN17" s="292"/>
      <c r="QNO17" s="292"/>
      <c r="QNP17" s="292"/>
      <c r="QNQ17" s="292"/>
      <c r="QNR17" s="292"/>
      <c r="QNS17" s="292"/>
      <c r="QNT17" s="292"/>
      <c r="QNU17" s="292"/>
      <c r="QNV17" s="292"/>
      <c r="QNW17" s="292"/>
      <c r="QNX17" s="292"/>
      <c r="QNY17" s="292"/>
      <c r="QNZ17" s="292"/>
      <c r="QOA17" s="292"/>
      <c r="QOB17" s="292"/>
      <c r="QOC17" s="292"/>
      <c r="QOD17" s="292"/>
      <c r="QOE17" s="292"/>
      <c r="QOF17" s="292"/>
      <c r="QOG17" s="292"/>
      <c r="QOH17" s="292"/>
      <c r="QOI17" s="292"/>
      <c r="QOJ17" s="292"/>
      <c r="QOK17" s="292"/>
      <c r="QOL17" s="292"/>
      <c r="QOM17" s="292"/>
      <c r="QON17" s="292"/>
      <c r="QOO17" s="292"/>
      <c r="QOP17" s="292"/>
      <c r="QOQ17" s="292"/>
      <c r="QOR17" s="292"/>
      <c r="QOS17" s="292"/>
      <c r="QOT17" s="292"/>
      <c r="QOU17" s="292"/>
      <c r="QOV17" s="292"/>
      <c r="QOW17" s="292"/>
      <c r="QOX17" s="292"/>
      <c r="QOY17" s="292"/>
      <c r="QOZ17" s="292"/>
      <c r="QPA17" s="292"/>
      <c r="QPB17" s="292"/>
      <c r="QPC17" s="292"/>
      <c r="QPD17" s="292"/>
      <c r="QPE17" s="292"/>
      <c r="QPF17" s="292"/>
      <c r="QPG17" s="292"/>
      <c r="QPH17" s="292"/>
      <c r="QPI17" s="292"/>
      <c r="QPJ17" s="292"/>
      <c r="QPK17" s="292"/>
      <c r="QPL17" s="292"/>
      <c r="QPM17" s="292"/>
      <c r="QPN17" s="292"/>
      <c r="QPO17" s="292"/>
      <c r="QPP17" s="292"/>
      <c r="QPQ17" s="292"/>
      <c r="QPR17" s="292"/>
      <c r="QPS17" s="292"/>
      <c r="QPT17" s="292"/>
      <c r="QPU17" s="292"/>
      <c r="QPV17" s="292"/>
      <c r="QPW17" s="292"/>
      <c r="QPX17" s="292"/>
      <c r="QPY17" s="292"/>
      <c r="QPZ17" s="292"/>
      <c r="QQA17" s="292"/>
      <c r="QQB17" s="292"/>
      <c r="QQC17" s="292"/>
      <c r="QQD17" s="292"/>
      <c r="QQE17" s="292"/>
      <c r="QQF17" s="292"/>
      <c r="QQG17" s="292"/>
      <c r="QQH17" s="292"/>
      <c r="QQI17" s="292"/>
      <c r="QQJ17" s="292"/>
      <c r="QQK17" s="292"/>
      <c r="QQL17" s="292"/>
      <c r="QQM17" s="292"/>
      <c r="QQN17" s="292"/>
      <c r="QQO17" s="292"/>
      <c r="QQP17" s="292"/>
      <c r="QQQ17" s="292"/>
      <c r="QQR17" s="292"/>
      <c r="QQS17" s="292"/>
      <c r="QQT17" s="292"/>
      <c r="QQU17" s="292"/>
      <c r="QQV17" s="292"/>
      <c r="QQW17" s="292"/>
      <c r="QQX17" s="292"/>
      <c r="QQY17" s="292"/>
      <c r="QQZ17" s="292"/>
      <c r="QRA17" s="292"/>
      <c r="QRB17" s="292"/>
      <c r="QRC17" s="292"/>
      <c r="QRD17" s="292"/>
      <c r="QRE17" s="292"/>
      <c r="QRF17" s="292"/>
      <c r="QRG17" s="292"/>
      <c r="QRH17" s="292"/>
      <c r="QRI17" s="292"/>
      <c r="QRJ17" s="292"/>
      <c r="QRK17" s="292"/>
      <c r="QRL17" s="292"/>
      <c r="QRM17" s="292"/>
      <c r="QRN17" s="292"/>
      <c r="QRO17" s="292"/>
      <c r="QRP17" s="292"/>
      <c r="QRQ17" s="292"/>
      <c r="QRR17" s="292"/>
      <c r="QRS17" s="292"/>
      <c r="QRT17" s="292"/>
      <c r="QRU17" s="292"/>
      <c r="QRV17" s="292"/>
      <c r="QRW17" s="292"/>
      <c r="QRX17" s="292"/>
      <c r="QRY17" s="292"/>
      <c r="QRZ17" s="292"/>
      <c r="QSA17" s="292"/>
      <c r="QSB17" s="292"/>
      <c r="QSC17" s="292"/>
      <c r="QSD17" s="292"/>
      <c r="QSE17" s="292"/>
      <c r="QSF17" s="292"/>
      <c r="QSG17" s="292"/>
      <c r="QSH17" s="292"/>
      <c r="QSI17" s="292"/>
      <c r="QSJ17" s="292"/>
      <c r="QSK17" s="292"/>
      <c r="QSL17" s="292"/>
      <c r="QSM17" s="292"/>
      <c r="QSN17" s="292"/>
      <c r="QSO17" s="292"/>
      <c r="QSP17" s="292"/>
      <c r="QSQ17" s="292"/>
      <c r="QSR17" s="292"/>
      <c r="QSS17" s="292"/>
      <c r="QST17" s="292"/>
      <c r="QSU17" s="292"/>
      <c r="QSV17" s="292"/>
      <c r="QSW17" s="292"/>
      <c r="QSX17" s="292"/>
      <c r="QSY17" s="292"/>
      <c r="QSZ17" s="292"/>
      <c r="QTA17" s="292"/>
      <c r="QTB17" s="292"/>
      <c r="QTC17" s="292"/>
      <c r="QTD17" s="292"/>
      <c r="QTE17" s="292"/>
      <c r="QTF17" s="292"/>
      <c r="QTG17" s="292"/>
      <c r="QTH17" s="292"/>
      <c r="QTI17" s="292"/>
      <c r="QTJ17" s="292"/>
      <c r="QTK17" s="292"/>
      <c r="QTL17" s="292"/>
      <c r="QTM17" s="292"/>
      <c r="QTN17" s="292"/>
      <c r="QTO17" s="292"/>
      <c r="QTP17" s="292"/>
      <c r="QTQ17" s="292"/>
      <c r="QTR17" s="292"/>
      <c r="QTS17" s="292"/>
      <c r="QTT17" s="292"/>
      <c r="QTU17" s="292"/>
      <c r="QTV17" s="292"/>
      <c r="QTW17" s="292"/>
      <c r="QTX17" s="292"/>
      <c r="QTY17" s="292"/>
      <c r="QTZ17" s="292"/>
      <c r="QUA17" s="292"/>
      <c r="QUB17" s="292"/>
      <c r="QUC17" s="292"/>
      <c r="QUD17" s="292"/>
      <c r="QUE17" s="292"/>
      <c r="QUF17" s="292"/>
      <c r="QUG17" s="292"/>
      <c r="QUH17" s="292"/>
      <c r="QUI17" s="292"/>
      <c r="QUJ17" s="292"/>
      <c r="QUK17" s="292"/>
      <c r="QUL17" s="292"/>
      <c r="QUM17" s="292"/>
      <c r="QUN17" s="292"/>
      <c r="QUO17" s="292"/>
      <c r="QUP17" s="292"/>
      <c r="QUQ17" s="292"/>
      <c r="QUR17" s="292"/>
      <c r="QUS17" s="292"/>
      <c r="QUT17" s="292"/>
      <c r="QUU17" s="292"/>
      <c r="QUV17" s="292"/>
      <c r="QUW17" s="292"/>
      <c r="QUX17" s="292"/>
      <c r="QUY17" s="292"/>
      <c r="QUZ17" s="292"/>
      <c r="QVA17" s="292"/>
      <c r="QVB17" s="292"/>
      <c r="QVC17" s="292"/>
      <c r="QVD17" s="292"/>
      <c r="QVE17" s="292"/>
      <c r="QVF17" s="292"/>
      <c r="QVG17" s="292"/>
      <c r="QVH17" s="292"/>
      <c r="QVI17" s="292"/>
      <c r="QVJ17" s="292"/>
      <c r="QVK17" s="292"/>
      <c r="QVL17" s="292"/>
      <c r="QVM17" s="292"/>
      <c r="QVN17" s="292"/>
      <c r="QVO17" s="292"/>
      <c r="QVP17" s="292"/>
      <c r="QVQ17" s="292"/>
      <c r="QVR17" s="292"/>
      <c r="QVS17" s="292"/>
      <c r="QVT17" s="292"/>
      <c r="QVU17" s="292"/>
      <c r="QVV17" s="292"/>
      <c r="QVW17" s="292"/>
      <c r="QVX17" s="292"/>
      <c r="QVY17" s="292"/>
      <c r="QVZ17" s="292"/>
      <c r="QWA17" s="292"/>
      <c r="QWB17" s="292"/>
      <c r="QWC17" s="292"/>
      <c r="QWD17" s="292"/>
      <c r="QWE17" s="292"/>
      <c r="QWF17" s="292"/>
      <c r="QWG17" s="292"/>
      <c r="QWH17" s="292"/>
      <c r="QWI17" s="292"/>
      <c r="QWJ17" s="292"/>
      <c r="QWK17" s="292"/>
      <c r="QWL17" s="292"/>
      <c r="QWM17" s="292"/>
      <c r="QWN17" s="292"/>
      <c r="QWO17" s="292"/>
      <c r="QWP17" s="292"/>
      <c r="QWQ17" s="292"/>
      <c r="QWR17" s="292"/>
      <c r="QWS17" s="292"/>
      <c r="QWT17" s="292"/>
      <c r="QWU17" s="292"/>
      <c r="QWV17" s="292"/>
      <c r="QWW17" s="292"/>
      <c r="QWX17" s="292"/>
      <c r="QWY17" s="292"/>
      <c r="QWZ17" s="292"/>
      <c r="QXA17" s="292"/>
      <c r="QXB17" s="292"/>
      <c r="QXC17" s="292"/>
      <c r="QXD17" s="292"/>
      <c r="QXE17" s="292"/>
      <c r="QXF17" s="292"/>
      <c r="QXG17" s="292"/>
      <c r="QXH17" s="292"/>
      <c r="QXI17" s="292"/>
      <c r="QXJ17" s="292"/>
      <c r="QXK17" s="292"/>
      <c r="QXL17" s="292"/>
      <c r="QXM17" s="292"/>
      <c r="QXN17" s="292"/>
      <c r="QXO17" s="292"/>
      <c r="QXP17" s="292"/>
      <c r="QXQ17" s="292"/>
      <c r="QXR17" s="292"/>
      <c r="QXS17" s="292"/>
      <c r="QXT17" s="292"/>
      <c r="QXU17" s="292"/>
      <c r="QXV17" s="292"/>
      <c r="QXW17" s="292"/>
      <c r="QXX17" s="292"/>
      <c r="QXY17" s="292"/>
      <c r="QXZ17" s="292"/>
      <c r="QYA17" s="292"/>
      <c r="QYB17" s="292"/>
      <c r="QYC17" s="292"/>
      <c r="QYD17" s="292"/>
      <c r="QYE17" s="292"/>
      <c r="QYF17" s="292"/>
      <c r="QYG17" s="292"/>
      <c r="QYH17" s="292"/>
      <c r="QYI17" s="292"/>
      <c r="QYJ17" s="292"/>
      <c r="QYK17" s="292"/>
      <c r="QYL17" s="292"/>
      <c r="QYM17" s="292"/>
      <c r="QYN17" s="292"/>
      <c r="QYO17" s="292"/>
      <c r="QYP17" s="292"/>
      <c r="QYQ17" s="292"/>
      <c r="QYR17" s="292"/>
      <c r="QYS17" s="292"/>
      <c r="QYT17" s="292"/>
      <c r="QYU17" s="292"/>
      <c r="QYV17" s="292"/>
      <c r="QYW17" s="292"/>
      <c r="QYX17" s="292"/>
      <c r="QYY17" s="292"/>
      <c r="QYZ17" s="292"/>
      <c r="QZA17" s="292"/>
      <c r="QZB17" s="292"/>
      <c r="QZC17" s="292"/>
      <c r="QZD17" s="292"/>
      <c r="QZE17" s="292"/>
      <c r="QZF17" s="292"/>
      <c r="QZG17" s="292"/>
      <c r="QZH17" s="292"/>
      <c r="QZI17" s="292"/>
      <c r="QZJ17" s="292"/>
      <c r="QZK17" s="292"/>
      <c r="QZL17" s="292"/>
      <c r="QZM17" s="292"/>
      <c r="QZN17" s="292"/>
      <c r="QZO17" s="292"/>
      <c r="QZP17" s="292"/>
      <c r="QZQ17" s="292"/>
      <c r="QZR17" s="292"/>
      <c r="QZS17" s="292"/>
      <c r="QZT17" s="292"/>
      <c r="QZU17" s="292"/>
      <c r="QZV17" s="292"/>
      <c r="QZW17" s="292"/>
      <c r="QZX17" s="292"/>
      <c r="QZY17" s="292"/>
      <c r="QZZ17" s="292"/>
      <c r="RAA17" s="292"/>
      <c r="RAB17" s="292"/>
      <c r="RAC17" s="292"/>
      <c r="RAD17" s="292"/>
      <c r="RAE17" s="292"/>
      <c r="RAF17" s="292"/>
      <c r="RAG17" s="292"/>
      <c r="RAH17" s="292"/>
      <c r="RAI17" s="292"/>
      <c r="RAJ17" s="292"/>
      <c r="RAK17" s="292"/>
      <c r="RAL17" s="292"/>
      <c r="RAM17" s="292"/>
      <c r="RAN17" s="292"/>
      <c r="RAO17" s="292"/>
      <c r="RAP17" s="292"/>
      <c r="RAQ17" s="292"/>
      <c r="RAR17" s="292"/>
      <c r="RAS17" s="292"/>
      <c r="RAT17" s="292"/>
      <c r="RAU17" s="292"/>
      <c r="RAV17" s="292"/>
      <c r="RAW17" s="292"/>
      <c r="RAX17" s="292"/>
      <c r="RAY17" s="292"/>
      <c r="RAZ17" s="292"/>
      <c r="RBA17" s="292"/>
      <c r="RBB17" s="292"/>
      <c r="RBC17" s="292"/>
      <c r="RBD17" s="292"/>
      <c r="RBE17" s="292"/>
      <c r="RBF17" s="292"/>
      <c r="RBG17" s="292"/>
      <c r="RBH17" s="292"/>
      <c r="RBI17" s="292"/>
      <c r="RBJ17" s="292"/>
      <c r="RBK17" s="292"/>
      <c r="RBL17" s="292"/>
      <c r="RBM17" s="292"/>
      <c r="RBN17" s="292"/>
      <c r="RBO17" s="292"/>
      <c r="RBP17" s="292"/>
      <c r="RBQ17" s="292"/>
      <c r="RBR17" s="292"/>
      <c r="RBS17" s="292"/>
      <c r="RBT17" s="292"/>
      <c r="RBU17" s="292"/>
      <c r="RBV17" s="292"/>
      <c r="RBW17" s="292"/>
      <c r="RBX17" s="292"/>
      <c r="RBY17" s="292"/>
      <c r="RBZ17" s="292"/>
      <c r="RCA17" s="292"/>
      <c r="RCB17" s="292"/>
      <c r="RCC17" s="292"/>
      <c r="RCD17" s="292"/>
      <c r="RCE17" s="292"/>
      <c r="RCF17" s="292"/>
      <c r="RCG17" s="292"/>
      <c r="RCH17" s="292"/>
      <c r="RCI17" s="292"/>
      <c r="RCJ17" s="292"/>
      <c r="RCK17" s="292"/>
      <c r="RCL17" s="292"/>
      <c r="RCM17" s="292"/>
      <c r="RCN17" s="292"/>
      <c r="RCO17" s="292"/>
      <c r="RCP17" s="292"/>
      <c r="RCQ17" s="292"/>
      <c r="RCR17" s="292"/>
      <c r="RCS17" s="292"/>
      <c r="RCT17" s="292"/>
      <c r="RCU17" s="292"/>
      <c r="RCV17" s="292"/>
      <c r="RCW17" s="292"/>
      <c r="RCX17" s="292"/>
      <c r="RCY17" s="292"/>
      <c r="RCZ17" s="292"/>
      <c r="RDA17" s="292"/>
      <c r="RDB17" s="292"/>
      <c r="RDC17" s="292"/>
      <c r="RDD17" s="292"/>
      <c r="RDE17" s="292"/>
      <c r="RDF17" s="292"/>
      <c r="RDG17" s="292"/>
      <c r="RDH17" s="292"/>
      <c r="RDI17" s="292"/>
      <c r="RDJ17" s="292"/>
      <c r="RDK17" s="292"/>
      <c r="RDL17" s="292"/>
      <c r="RDM17" s="292"/>
      <c r="RDN17" s="292"/>
      <c r="RDO17" s="292"/>
      <c r="RDP17" s="292"/>
      <c r="RDQ17" s="292"/>
      <c r="RDR17" s="292"/>
      <c r="RDS17" s="292"/>
      <c r="RDT17" s="292"/>
      <c r="RDU17" s="292"/>
      <c r="RDV17" s="292"/>
      <c r="RDW17" s="292"/>
      <c r="RDX17" s="292"/>
      <c r="RDY17" s="292"/>
      <c r="RDZ17" s="292"/>
      <c r="REA17" s="292"/>
      <c r="REB17" s="292"/>
      <c r="REC17" s="292"/>
      <c r="RED17" s="292"/>
      <c r="REE17" s="292"/>
      <c r="REF17" s="292"/>
      <c r="REG17" s="292"/>
      <c r="REH17" s="292"/>
      <c r="REI17" s="292"/>
      <c r="REJ17" s="292"/>
      <c r="REK17" s="292"/>
      <c r="REL17" s="292"/>
      <c r="REM17" s="292"/>
      <c r="REN17" s="292"/>
      <c r="REO17" s="292"/>
      <c r="REP17" s="292"/>
      <c r="REQ17" s="292"/>
      <c r="RER17" s="292"/>
      <c r="RES17" s="292"/>
      <c r="RET17" s="292"/>
      <c r="REU17" s="292"/>
      <c r="REV17" s="292"/>
      <c r="REW17" s="292"/>
      <c r="REX17" s="292"/>
      <c r="REY17" s="292"/>
      <c r="REZ17" s="292"/>
      <c r="RFA17" s="292"/>
      <c r="RFB17" s="292"/>
      <c r="RFC17" s="292"/>
      <c r="RFD17" s="292"/>
      <c r="RFE17" s="292"/>
      <c r="RFF17" s="292"/>
      <c r="RFG17" s="292"/>
      <c r="RFH17" s="292"/>
      <c r="RFI17" s="292"/>
      <c r="RFJ17" s="292"/>
      <c r="RFK17" s="292"/>
      <c r="RFL17" s="292"/>
      <c r="RFM17" s="292"/>
      <c r="RFN17" s="292"/>
      <c r="RFO17" s="292"/>
      <c r="RFP17" s="292"/>
      <c r="RFQ17" s="292"/>
      <c r="RFR17" s="292"/>
      <c r="RFS17" s="292"/>
      <c r="RFT17" s="292"/>
      <c r="RFU17" s="292"/>
      <c r="RFV17" s="292"/>
      <c r="RFW17" s="292"/>
      <c r="RFX17" s="292"/>
      <c r="RFY17" s="292"/>
      <c r="RFZ17" s="292"/>
      <c r="RGA17" s="292"/>
      <c r="RGB17" s="292"/>
      <c r="RGC17" s="292"/>
      <c r="RGD17" s="292"/>
      <c r="RGE17" s="292"/>
      <c r="RGF17" s="292"/>
      <c r="RGG17" s="292"/>
      <c r="RGH17" s="292"/>
      <c r="RGI17" s="292"/>
      <c r="RGJ17" s="292"/>
      <c r="RGK17" s="292"/>
      <c r="RGL17" s="292"/>
      <c r="RGM17" s="292"/>
      <c r="RGN17" s="292"/>
      <c r="RGO17" s="292"/>
      <c r="RGP17" s="292"/>
      <c r="RGQ17" s="292"/>
      <c r="RGR17" s="292"/>
      <c r="RGS17" s="292"/>
      <c r="RGT17" s="292"/>
      <c r="RGU17" s="292"/>
      <c r="RGV17" s="292"/>
      <c r="RGW17" s="292"/>
      <c r="RGX17" s="292"/>
      <c r="RGY17" s="292"/>
      <c r="RGZ17" s="292"/>
      <c r="RHA17" s="292"/>
      <c r="RHB17" s="292"/>
      <c r="RHC17" s="292"/>
      <c r="RHD17" s="292"/>
      <c r="RHE17" s="292"/>
      <c r="RHF17" s="292"/>
      <c r="RHG17" s="292"/>
      <c r="RHH17" s="292"/>
      <c r="RHI17" s="292"/>
      <c r="RHJ17" s="292"/>
      <c r="RHK17" s="292"/>
      <c r="RHL17" s="292"/>
      <c r="RHM17" s="292"/>
      <c r="RHN17" s="292"/>
      <c r="RHO17" s="292"/>
      <c r="RHP17" s="292"/>
      <c r="RHQ17" s="292"/>
      <c r="RHR17" s="292"/>
      <c r="RHS17" s="292"/>
      <c r="RHT17" s="292"/>
      <c r="RHU17" s="292"/>
      <c r="RHV17" s="292"/>
      <c r="RHW17" s="292"/>
      <c r="RHX17" s="292"/>
      <c r="RHY17" s="292"/>
      <c r="RHZ17" s="292"/>
      <c r="RIA17" s="292"/>
      <c r="RIB17" s="292"/>
      <c r="RIC17" s="292"/>
      <c r="RID17" s="292"/>
      <c r="RIE17" s="292"/>
      <c r="RIF17" s="292"/>
      <c r="RIG17" s="292"/>
      <c r="RIH17" s="292"/>
      <c r="RII17" s="292"/>
      <c r="RIJ17" s="292"/>
      <c r="RIK17" s="292"/>
      <c r="RIL17" s="292"/>
      <c r="RIM17" s="292"/>
      <c r="RIN17" s="292"/>
      <c r="RIO17" s="292"/>
      <c r="RIP17" s="292"/>
      <c r="RIQ17" s="292"/>
      <c r="RIR17" s="292"/>
      <c r="RIS17" s="292"/>
      <c r="RIT17" s="292"/>
      <c r="RIU17" s="292"/>
      <c r="RIV17" s="292"/>
      <c r="RIW17" s="292"/>
      <c r="RIX17" s="292"/>
      <c r="RIY17" s="292"/>
      <c r="RIZ17" s="292"/>
      <c r="RJA17" s="292"/>
      <c r="RJB17" s="292"/>
      <c r="RJC17" s="292"/>
      <c r="RJD17" s="292"/>
      <c r="RJE17" s="292"/>
      <c r="RJF17" s="292"/>
      <c r="RJG17" s="292"/>
      <c r="RJH17" s="292"/>
      <c r="RJI17" s="292"/>
      <c r="RJJ17" s="292"/>
      <c r="RJK17" s="292"/>
      <c r="RJL17" s="292"/>
      <c r="RJM17" s="292"/>
      <c r="RJN17" s="292"/>
      <c r="RJO17" s="292"/>
      <c r="RJP17" s="292"/>
      <c r="RJQ17" s="292"/>
      <c r="RJR17" s="292"/>
      <c r="RJS17" s="292"/>
      <c r="RJT17" s="292"/>
      <c r="RJU17" s="292"/>
      <c r="RJV17" s="292"/>
      <c r="RJW17" s="292"/>
      <c r="RJX17" s="292"/>
      <c r="RJY17" s="292"/>
      <c r="RJZ17" s="292"/>
      <c r="RKA17" s="292"/>
      <c r="RKB17" s="292"/>
      <c r="RKC17" s="292"/>
      <c r="RKD17" s="292"/>
      <c r="RKE17" s="292"/>
      <c r="RKF17" s="292"/>
      <c r="RKG17" s="292"/>
      <c r="RKH17" s="292"/>
      <c r="RKI17" s="292"/>
      <c r="RKJ17" s="292"/>
      <c r="RKK17" s="292"/>
      <c r="RKL17" s="292"/>
      <c r="RKM17" s="292"/>
      <c r="RKN17" s="292"/>
      <c r="RKO17" s="292"/>
      <c r="RKP17" s="292"/>
      <c r="RKQ17" s="292"/>
      <c r="RKR17" s="292"/>
      <c r="RKS17" s="292"/>
      <c r="RKT17" s="292"/>
      <c r="RKU17" s="292"/>
      <c r="RKV17" s="292"/>
      <c r="RKW17" s="292"/>
      <c r="RKX17" s="292"/>
      <c r="RKY17" s="292"/>
      <c r="RKZ17" s="292"/>
      <c r="RLA17" s="292"/>
      <c r="RLB17" s="292"/>
      <c r="RLC17" s="292"/>
      <c r="RLD17" s="292"/>
      <c r="RLE17" s="292"/>
      <c r="RLF17" s="292"/>
      <c r="RLG17" s="292"/>
      <c r="RLH17" s="292"/>
      <c r="RLI17" s="292"/>
      <c r="RLJ17" s="292"/>
      <c r="RLK17" s="292"/>
      <c r="RLL17" s="292"/>
      <c r="RLM17" s="292"/>
      <c r="RLN17" s="292"/>
      <c r="RLO17" s="292"/>
      <c r="RLP17" s="292"/>
      <c r="RLQ17" s="292"/>
      <c r="RLR17" s="292"/>
      <c r="RLS17" s="292"/>
      <c r="RLT17" s="292"/>
      <c r="RLU17" s="292"/>
      <c r="RLV17" s="292"/>
      <c r="RLW17" s="292"/>
      <c r="RLX17" s="292"/>
      <c r="RLY17" s="292"/>
      <c r="RLZ17" s="292"/>
      <c r="RMA17" s="292"/>
      <c r="RMB17" s="292"/>
      <c r="RMC17" s="292"/>
      <c r="RMD17" s="292"/>
      <c r="RME17" s="292"/>
      <c r="RMF17" s="292"/>
      <c r="RMG17" s="292"/>
      <c r="RMH17" s="292"/>
      <c r="RMI17" s="292"/>
      <c r="RMJ17" s="292"/>
      <c r="RMK17" s="292"/>
      <c r="RML17" s="292"/>
      <c r="RMM17" s="292"/>
      <c r="RMN17" s="292"/>
      <c r="RMO17" s="292"/>
      <c r="RMP17" s="292"/>
      <c r="RMQ17" s="292"/>
      <c r="RMR17" s="292"/>
      <c r="RMS17" s="292"/>
      <c r="RMT17" s="292"/>
      <c r="RMU17" s="292"/>
      <c r="RMV17" s="292"/>
      <c r="RMW17" s="292"/>
      <c r="RMX17" s="292"/>
      <c r="RMY17" s="292"/>
      <c r="RMZ17" s="292"/>
      <c r="RNA17" s="292"/>
      <c r="RNB17" s="292"/>
      <c r="RNC17" s="292"/>
      <c r="RND17" s="292"/>
      <c r="RNE17" s="292"/>
      <c r="RNF17" s="292"/>
      <c r="RNG17" s="292"/>
      <c r="RNH17" s="292"/>
      <c r="RNI17" s="292"/>
      <c r="RNJ17" s="292"/>
      <c r="RNK17" s="292"/>
      <c r="RNL17" s="292"/>
      <c r="RNM17" s="292"/>
      <c r="RNN17" s="292"/>
      <c r="RNO17" s="292"/>
      <c r="RNP17" s="292"/>
      <c r="RNQ17" s="292"/>
      <c r="RNR17" s="292"/>
      <c r="RNS17" s="292"/>
      <c r="RNT17" s="292"/>
      <c r="RNU17" s="292"/>
      <c r="RNV17" s="292"/>
      <c r="RNW17" s="292"/>
      <c r="RNX17" s="292"/>
      <c r="RNY17" s="292"/>
      <c r="RNZ17" s="292"/>
      <c r="ROA17" s="292"/>
      <c r="ROB17" s="292"/>
      <c r="ROC17" s="292"/>
      <c r="ROD17" s="292"/>
      <c r="ROE17" s="292"/>
      <c r="ROF17" s="292"/>
      <c r="ROG17" s="292"/>
      <c r="ROH17" s="292"/>
      <c r="ROI17" s="292"/>
      <c r="ROJ17" s="292"/>
      <c r="ROK17" s="292"/>
      <c r="ROL17" s="292"/>
      <c r="ROM17" s="292"/>
      <c r="RON17" s="292"/>
      <c r="ROO17" s="292"/>
      <c r="ROP17" s="292"/>
      <c r="ROQ17" s="292"/>
      <c r="ROR17" s="292"/>
      <c r="ROS17" s="292"/>
      <c r="ROT17" s="292"/>
      <c r="ROU17" s="292"/>
      <c r="ROV17" s="292"/>
      <c r="ROW17" s="292"/>
      <c r="ROX17" s="292"/>
      <c r="ROY17" s="292"/>
      <c r="ROZ17" s="292"/>
      <c r="RPA17" s="292"/>
      <c r="RPB17" s="292"/>
      <c r="RPC17" s="292"/>
      <c r="RPD17" s="292"/>
      <c r="RPE17" s="292"/>
      <c r="RPF17" s="292"/>
      <c r="RPG17" s="292"/>
      <c r="RPH17" s="292"/>
      <c r="RPI17" s="292"/>
      <c r="RPJ17" s="292"/>
      <c r="RPK17" s="292"/>
      <c r="RPL17" s="292"/>
      <c r="RPM17" s="292"/>
      <c r="RPN17" s="292"/>
      <c r="RPO17" s="292"/>
      <c r="RPP17" s="292"/>
      <c r="RPQ17" s="292"/>
      <c r="RPR17" s="292"/>
      <c r="RPS17" s="292"/>
      <c r="RPT17" s="292"/>
      <c r="RPU17" s="292"/>
      <c r="RPV17" s="292"/>
      <c r="RPW17" s="292"/>
      <c r="RPX17" s="292"/>
      <c r="RPY17" s="292"/>
      <c r="RPZ17" s="292"/>
      <c r="RQA17" s="292"/>
      <c r="RQB17" s="292"/>
      <c r="RQC17" s="292"/>
      <c r="RQD17" s="292"/>
      <c r="RQE17" s="292"/>
      <c r="RQF17" s="292"/>
      <c r="RQG17" s="292"/>
      <c r="RQH17" s="292"/>
      <c r="RQI17" s="292"/>
      <c r="RQJ17" s="292"/>
      <c r="RQK17" s="292"/>
      <c r="RQL17" s="292"/>
      <c r="RQM17" s="292"/>
      <c r="RQN17" s="292"/>
      <c r="RQO17" s="292"/>
      <c r="RQP17" s="292"/>
      <c r="RQQ17" s="292"/>
      <c r="RQR17" s="292"/>
      <c r="RQS17" s="292"/>
      <c r="RQT17" s="292"/>
      <c r="RQU17" s="292"/>
      <c r="RQV17" s="292"/>
      <c r="RQW17" s="292"/>
      <c r="RQX17" s="292"/>
      <c r="RQY17" s="292"/>
      <c r="RQZ17" s="292"/>
      <c r="RRA17" s="292"/>
      <c r="RRB17" s="292"/>
      <c r="RRC17" s="292"/>
      <c r="RRD17" s="292"/>
      <c r="RRE17" s="292"/>
      <c r="RRF17" s="292"/>
      <c r="RRG17" s="292"/>
      <c r="RRH17" s="292"/>
      <c r="RRI17" s="292"/>
      <c r="RRJ17" s="292"/>
      <c r="RRK17" s="292"/>
      <c r="RRL17" s="292"/>
      <c r="RRM17" s="292"/>
      <c r="RRN17" s="292"/>
      <c r="RRO17" s="292"/>
      <c r="RRP17" s="292"/>
      <c r="RRQ17" s="292"/>
      <c r="RRR17" s="292"/>
      <c r="RRS17" s="292"/>
      <c r="RRT17" s="292"/>
      <c r="RRU17" s="292"/>
      <c r="RRV17" s="292"/>
      <c r="RRW17" s="292"/>
      <c r="RRX17" s="292"/>
      <c r="RRY17" s="292"/>
      <c r="RRZ17" s="292"/>
      <c r="RSA17" s="292"/>
      <c r="RSB17" s="292"/>
      <c r="RSC17" s="292"/>
      <c r="RSD17" s="292"/>
      <c r="RSE17" s="292"/>
      <c r="RSF17" s="292"/>
      <c r="RSG17" s="292"/>
      <c r="RSH17" s="292"/>
      <c r="RSI17" s="292"/>
      <c r="RSJ17" s="292"/>
      <c r="RSK17" s="292"/>
      <c r="RSL17" s="292"/>
      <c r="RSM17" s="292"/>
      <c r="RSN17" s="292"/>
      <c r="RSO17" s="292"/>
      <c r="RSP17" s="292"/>
      <c r="RSQ17" s="292"/>
      <c r="RSR17" s="292"/>
      <c r="RSS17" s="292"/>
      <c r="RST17" s="292"/>
      <c r="RSU17" s="292"/>
      <c r="RSV17" s="292"/>
      <c r="RSW17" s="292"/>
      <c r="RSX17" s="292"/>
      <c r="RSY17" s="292"/>
      <c r="RSZ17" s="292"/>
      <c r="RTA17" s="292"/>
      <c r="RTB17" s="292"/>
      <c r="RTC17" s="292"/>
      <c r="RTD17" s="292"/>
      <c r="RTE17" s="292"/>
      <c r="RTF17" s="292"/>
      <c r="RTG17" s="292"/>
      <c r="RTH17" s="292"/>
      <c r="RTI17" s="292"/>
      <c r="RTJ17" s="292"/>
      <c r="RTK17" s="292"/>
      <c r="RTL17" s="292"/>
      <c r="RTM17" s="292"/>
      <c r="RTN17" s="292"/>
      <c r="RTO17" s="292"/>
      <c r="RTP17" s="292"/>
      <c r="RTQ17" s="292"/>
      <c r="RTR17" s="292"/>
      <c r="RTS17" s="292"/>
      <c r="RTT17" s="292"/>
      <c r="RTU17" s="292"/>
      <c r="RTV17" s="292"/>
      <c r="RTW17" s="292"/>
      <c r="RTX17" s="292"/>
      <c r="RTY17" s="292"/>
      <c r="RTZ17" s="292"/>
      <c r="RUA17" s="292"/>
      <c r="RUB17" s="292"/>
      <c r="RUC17" s="292"/>
      <c r="RUD17" s="292"/>
      <c r="RUE17" s="292"/>
      <c r="RUF17" s="292"/>
      <c r="RUG17" s="292"/>
      <c r="RUH17" s="292"/>
      <c r="RUI17" s="292"/>
      <c r="RUJ17" s="292"/>
      <c r="RUK17" s="292"/>
      <c r="RUL17" s="292"/>
      <c r="RUM17" s="292"/>
      <c r="RUN17" s="292"/>
      <c r="RUO17" s="292"/>
      <c r="RUP17" s="292"/>
      <c r="RUQ17" s="292"/>
      <c r="RUR17" s="292"/>
      <c r="RUS17" s="292"/>
      <c r="RUT17" s="292"/>
      <c r="RUU17" s="292"/>
      <c r="RUV17" s="292"/>
      <c r="RUW17" s="292"/>
      <c r="RUX17" s="292"/>
      <c r="RUY17" s="292"/>
      <c r="RUZ17" s="292"/>
      <c r="RVA17" s="292"/>
      <c r="RVB17" s="292"/>
      <c r="RVC17" s="292"/>
      <c r="RVD17" s="292"/>
      <c r="RVE17" s="292"/>
      <c r="RVF17" s="292"/>
      <c r="RVG17" s="292"/>
      <c r="RVH17" s="292"/>
      <c r="RVI17" s="292"/>
      <c r="RVJ17" s="292"/>
      <c r="RVK17" s="292"/>
      <c r="RVL17" s="292"/>
      <c r="RVM17" s="292"/>
      <c r="RVN17" s="292"/>
      <c r="RVO17" s="292"/>
      <c r="RVP17" s="292"/>
      <c r="RVQ17" s="292"/>
      <c r="RVR17" s="292"/>
      <c r="RVS17" s="292"/>
      <c r="RVT17" s="292"/>
      <c r="RVU17" s="292"/>
      <c r="RVV17" s="292"/>
      <c r="RVW17" s="292"/>
      <c r="RVX17" s="292"/>
      <c r="RVY17" s="292"/>
      <c r="RVZ17" s="292"/>
      <c r="RWA17" s="292"/>
      <c r="RWB17" s="292"/>
      <c r="RWC17" s="292"/>
      <c r="RWD17" s="292"/>
      <c r="RWE17" s="292"/>
      <c r="RWF17" s="292"/>
      <c r="RWG17" s="292"/>
      <c r="RWH17" s="292"/>
      <c r="RWI17" s="292"/>
      <c r="RWJ17" s="292"/>
      <c r="RWK17" s="292"/>
      <c r="RWL17" s="292"/>
      <c r="RWM17" s="292"/>
      <c r="RWN17" s="292"/>
      <c r="RWO17" s="292"/>
      <c r="RWP17" s="292"/>
      <c r="RWQ17" s="292"/>
      <c r="RWR17" s="292"/>
      <c r="RWS17" s="292"/>
      <c r="RWT17" s="292"/>
      <c r="RWU17" s="292"/>
      <c r="RWV17" s="292"/>
      <c r="RWW17" s="292"/>
      <c r="RWX17" s="292"/>
      <c r="RWY17" s="292"/>
      <c r="RWZ17" s="292"/>
      <c r="RXA17" s="292"/>
      <c r="RXB17" s="292"/>
      <c r="RXC17" s="292"/>
      <c r="RXD17" s="292"/>
      <c r="RXE17" s="292"/>
      <c r="RXF17" s="292"/>
      <c r="RXG17" s="292"/>
      <c r="RXH17" s="292"/>
      <c r="RXI17" s="292"/>
      <c r="RXJ17" s="292"/>
      <c r="RXK17" s="292"/>
      <c r="RXL17" s="292"/>
      <c r="RXM17" s="292"/>
      <c r="RXN17" s="292"/>
      <c r="RXO17" s="292"/>
      <c r="RXP17" s="292"/>
      <c r="RXQ17" s="292"/>
      <c r="RXR17" s="292"/>
      <c r="RXS17" s="292"/>
      <c r="RXT17" s="292"/>
      <c r="RXU17" s="292"/>
      <c r="RXV17" s="292"/>
      <c r="RXW17" s="292"/>
      <c r="RXX17" s="292"/>
      <c r="RXY17" s="292"/>
      <c r="RXZ17" s="292"/>
      <c r="RYA17" s="292"/>
      <c r="RYB17" s="292"/>
      <c r="RYC17" s="292"/>
      <c r="RYD17" s="292"/>
      <c r="RYE17" s="292"/>
      <c r="RYF17" s="292"/>
      <c r="RYG17" s="292"/>
      <c r="RYH17" s="292"/>
      <c r="RYI17" s="292"/>
      <c r="RYJ17" s="292"/>
      <c r="RYK17" s="292"/>
      <c r="RYL17" s="292"/>
      <c r="RYM17" s="292"/>
      <c r="RYN17" s="292"/>
      <c r="RYO17" s="292"/>
      <c r="RYP17" s="292"/>
      <c r="RYQ17" s="292"/>
      <c r="RYR17" s="292"/>
      <c r="RYS17" s="292"/>
      <c r="RYT17" s="292"/>
      <c r="RYU17" s="292"/>
      <c r="RYV17" s="292"/>
      <c r="RYW17" s="292"/>
      <c r="RYX17" s="292"/>
      <c r="RYY17" s="292"/>
      <c r="RYZ17" s="292"/>
      <c r="RZA17" s="292"/>
      <c r="RZB17" s="292"/>
      <c r="RZC17" s="292"/>
      <c r="RZD17" s="292"/>
      <c r="RZE17" s="292"/>
      <c r="RZF17" s="292"/>
      <c r="RZG17" s="292"/>
      <c r="RZH17" s="292"/>
      <c r="RZI17" s="292"/>
      <c r="RZJ17" s="292"/>
      <c r="RZK17" s="292"/>
      <c r="RZL17" s="292"/>
      <c r="RZM17" s="292"/>
      <c r="RZN17" s="292"/>
      <c r="RZO17" s="292"/>
      <c r="RZP17" s="292"/>
      <c r="RZQ17" s="292"/>
      <c r="RZR17" s="292"/>
      <c r="RZS17" s="292"/>
      <c r="RZT17" s="292"/>
      <c r="RZU17" s="292"/>
      <c r="RZV17" s="292"/>
      <c r="RZW17" s="292"/>
      <c r="RZX17" s="292"/>
      <c r="RZY17" s="292"/>
      <c r="RZZ17" s="292"/>
      <c r="SAA17" s="292"/>
      <c r="SAB17" s="292"/>
      <c r="SAC17" s="292"/>
      <c r="SAD17" s="292"/>
      <c r="SAE17" s="292"/>
      <c r="SAF17" s="292"/>
      <c r="SAG17" s="292"/>
      <c r="SAH17" s="292"/>
      <c r="SAI17" s="292"/>
      <c r="SAJ17" s="292"/>
      <c r="SAK17" s="292"/>
      <c r="SAL17" s="292"/>
      <c r="SAM17" s="292"/>
      <c r="SAN17" s="292"/>
      <c r="SAO17" s="292"/>
      <c r="SAP17" s="292"/>
      <c r="SAQ17" s="292"/>
      <c r="SAR17" s="292"/>
      <c r="SAS17" s="292"/>
      <c r="SAT17" s="292"/>
      <c r="SAU17" s="292"/>
      <c r="SAV17" s="292"/>
      <c r="SAW17" s="292"/>
      <c r="SAX17" s="292"/>
      <c r="SAY17" s="292"/>
      <c r="SAZ17" s="292"/>
      <c r="SBA17" s="292"/>
      <c r="SBB17" s="292"/>
      <c r="SBC17" s="292"/>
      <c r="SBD17" s="292"/>
      <c r="SBE17" s="292"/>
      <c r="SBF17" s="292"/>
      <c r="SBG17" s="292"/>
      <c r="SBH17" s="292"/>
      <c r="SBI17" s="292"/>
      <c r="SBJ17" s="292"/>
      <c r="SBK17" s="292"/>
      <c r="SBL17" s="292"/>
      <c r="SBM17" s="292"/>
      <c r="SBN17" s="292"/>
      <c r="SBO17" s="292"/>
      <c r="SBP17" s="292"/>
      <c r="SBQ17" s="292"/>
      <c r="SBR17" s="292"/>
      <c r="SBS17" s="292"/>
      <c r="SBT17" s="292"/>
      <c r="SBU17" s="292"/>
      <c r="SBV17" s="292"/>
      <c r="SBW17" s="292"/>
      <c r="SBX17" s="292"/>
      <c r="SBY17" s="292"/>
      <c r="SBZ17" s="292"/>
      <c r="SCA17" s="292"/>
      <c r="SCB17" s="292"/>
      <c r="SCC17" s="292"/>
      <c r="SCD17" s="292"/>
      <c r="SCE17" s="292"/>
      <c r="SCF17" s="292"/>
      <c r="SCG17" s="292"/>
      <c r="SCH17" s="292"/>
      <c r="SCI17" s="292"/>
      <c r="SCJ17" s="292"/>
      <c r="SCK17" s="292"/>
      <c r="SCL17" s="292"/>
      <c r="SCM17" s="292"/>
      <c r="SCN17" s="292"/>
      <c r="SCO17" s="292"/>
      <c r="SCP17" s="292"/>
      <c r="SCQ17" s="292"/>
      <c r="SCR17" s="292"/>
      <c r="SCS17" s="292"/>
      <c r="SCT17" s="292"/>
      <c r="SCU17" s="292"/>
      <c r="SCV17" s="292"/>
      <c r="SCW17" s="292"/>
      <c r="SCX17" s="292"/>
      <c r="SCY17" s="292"/>
      <c r="SCZ17" s="292"/>
      <c r="SDA17" s="292"/>
      <c r="SDB17" s="292"/>
      <c r="SDC17" s="292"/>
      <c r="SDD17" s="292"/>
      <c r="SDE17" s="292"/>
      <c r="SDF17" s="292"/>
      <c r="SDG17" s="292"/>
      <c r="SDH17" s="292"/>
      <c r="SDI17" s="292"/>
      <c r="SDJ17" s="292"/>
      <c r="SDK17" s="292"/>
      <c r="SDL17" s="292"/>
      <c r="SDM17" s="292"/>
      <c r="SDN17" s="292"/>
      <c r="SDO17" s="292"/>
      <c r="SDP17" s="292"/>
      <c r="SDQ17" s="292"/>
      <c r="SDR17" s="292"/>
      <c r="SDS17" s="292"/>
      <c r="SDT17" s="292"/>
      <c r="SDU17" s="292"/>
      <c r="SDV17" s="292"/>
      <c r="SDW17" s="292"/>
      <c r="SDX17" s="292"/>
      <c r="SDY17" s="292"/>
      <c r="SDZ17" s="292"/>
      <c r="SEA17" s="292"/>
      <c r="SEB17" s="292"/>
      <c r="SEC17" s="292"/>
      <c r="SED17" s="292"/>
      <c r="SEE17" s="292"/>
      <c r="SEF17" s="292"/>
      <c r="SEG17" s="292"/>
      <c r="SEH17" s="292"/>
      <c r="SEI17" s="292"/>
      <c r="SEJ17" s="292"/>
      <c r="SEK17" s="292"/>
      <c r="SEL17" s="292"/>
      <c r="SEM17" s="292"/>
      <c r="SEN17" s="292"/>
      <c r="SEO17" s="292"/>
      <c r="SEP17" s="292"/>
      <c r="SEQ17" s="292"/>
      <c r="SER17" s="292"/>
      <c r="SES17" s="292"/>
      <c r="SET17" s="292"/>
      <c r="SEU17" s="292"/>
      <c r="SEV17" s="292"/>
      <c r="SEW17" s="292"/>
      <c r="SEX17" s="292"/>
      <c r="SEY17" s="292"/>
      <c r="SEZ17" s="292"/>
      <c r="SFA17" s="292"/>
      <c r="SFB17" s="292"/>
      <c r="SFC17" s="292"/>
      <c r="SFD17" s="292"/>
      <c r="SFE17" s="292"/>
      <c r="SFF17" s="292"/>
      <c r="SFG17" s="292"/>
      <c r="SFH17" s="292"/>
      <c r="SFI17" s="292"/>
      <c r="SFJ17" s="292"/>
      <c r="SFK17" s="292"/>
      <c r="SFL17" s="292"/>
      <c r="SFM17" s="292"/>
      <c r="SFN17" s="292"/>
      <c r="SFO17" s="292"/>
      <c r="SFP17" s="292"/>
      <c r="SFQ17" s="292"/>
      <c r="SFR17" s="292"/>
      <c r="SFS17" s="292"/>
      <c r="SFT17" s="292"/>
      <c r="SFU17" s="292"/>
      <c r="SFV17" s="292"/>
      <c r="SFW17" s="292"/>
      <c r="SFX17" s="292"/>
      <c r="SFY17" s="292"/>
      <c r="SFZ17" s="292"/>
      <c r="SGA17" s="292"/>
      <c r="SGB17" s="292"/>
      <c r="SGC17" s="292"/>
      <c r="SGD17" s="292"/>
      <c r="SGE17" s="292"/>
      <c r="SGF17" s="292"/>
      <c r="SGG17" s="292"/>
      <c r="SGH17" s="292"/>
      <c r="SGI17" s="292"/>
      <c r="SGJ17" s="292"/>
      <c r="SGK17" s="292"/>
      <c r="SGL17" s="292"/>
      <c r="SGM17" s="292"/>
      <c r="SGN17" s="292"/>
      <c r="SGO17" s="292"/>
      <c r="SGP17" s="292"/>
      <c r="SGQ17" s="292"/>
      <c r="SGR17" s="292"/>
      <c r="SGS17" s="292"/>
      <c r="SGT17" s="292"/>
      <c r="SGU17" s="292"/>
      <c r="SGV17" s="292"/>
      <c r="SGW17" s="292"/>
      <c r="SGX17" s="292"/>
      <c r="SGY17" s="292"/>
      <c r="SGZ17" s="292"/>
      <c r="SHA17" s="292"/>
      <c r="SHB17" s="292"/>
      <c r="SHC17" s="292"/>
      <c r="SHD17" s="292"/>
      <c r="SHE17" s="292"/>
      <c r="SHF17" s="292"/>
      <c r="SHG17" s="292"/>
      <c r="SHH17" s="292"/>
      <c r="SHI17" s="292"/>
      <c r="SHJ17" s="292"/>
      <c r="SHK17" s="292"/>
      <c r="SHL17" s="292"/>
      <c r="SHM17" s="292"/>
      <c r="SHN17" s="292"/>
      <c r="SHO17" s="292"/>
      <c r="SHP17" s="292"/>
      <c r="SHQ17" s="292"/>
      <c r="SHR17" s="292"/>
      <c r="SHS17" s="292"/>
      <c r="SHT17" s="292"/>
      <c r="SHU17" s="292"/>
      <c r="SHV17" s="292"/>
      <c r="SHW17" s="292"/>
      <c r="SHX17" s="292"/>
      <c r="SHY17" s="292"/>
      <c r="SHZ17" s="292"/>
      <c r="SIA17" s="292"/>
      <c r="SIB17" s="292"/>
      <c r="SIC17" s="292"/>
      <c r="SID17" s="292"/>
      <c r="SIE17" s="292"/>
      <c r="SIF17" s="292"/>
      <c r="SIG17" s="292"/>
      <c r="SIH17" s="292"/>
      <c r="SII17" s="292"/>
      <c r="SIJ17" s="292"/>
      <c r="SIK17" s="292"/>
      <c r="SIL17" s="292"/>
      <c r="SIM17" s="292"/>
      <c r="SIN17" s="292"/>
      <c r="SIO17" s="292"/>
      <c r="SIP17" s="292"/>
      <c r="SIQ17" s="292"/>
      <c r="SIR17" s="292"/>
      <c r="SIS17" s="292"/>
      <c r="SIT17" s="292"/>
      <c r="SIU17" s="292"/>
      <c r="SIV17" s="292"/>
      <c r="SIW17" s="292"/>
      <c r="SIX17" s="292"/>
      <c r="SIY17" s="292"/>
      <c r="SIZ17" s="292"/>
      <c r="SJA17" s="292"/>
      <c r="SJB17" s="292"/>
      <c r="SJC17" s="292"/>
      <c r="SJD17" s="292"/>
      <c r="SJE17" s="292"/>
      <c r="SJF17" s="292"/>
      <c r="SJG17" s="292"/>
      <c r="SJH17" s="292"/>
      <c r="SJI17" s="292"/>
      <c r="SJJ17" s="292"/>
      <c r="SJK17" s="292"/>
      <c r="SJL17" s="292"/>
      <c r="SJM17" s="292"/>
      <c r="SJN17" s="292"/>
      <c r="SJO17" s="292"/>
      <c r="SJP17" s="292"/>
      <c r="SJQ17" s="292"/>
      <c r="SJR17" s="292"/>
      <c r="SJS17" s="292"/>
      <c r="SJT17" s="292"/>
      <c r="SJU17" s="292"/>
      <c r="SJV17" s="292"/>
      <c r="SJW17" s="292"/>
      <c r="SJX17" s="292"/>
      <c r="SJY17" s="292"/>
      <c r="SJZ17" s="292"/>
      <c r="SKA17" s="292"/>
      <c r="SKB17" s="292"/>
      <c r="SKC17" s="292"/>
      <c r="SKD17" s="292"/>
      <c r="SKE17" s="292"/>
      <c r="SKF17" s="292"/>
      <c r="SKG17" s="292"/>
      <c r="SKH17" s="292"/>
      <c r="SKI17" s="292"/>
      <c r="SKJ17" s="292"/>
      <c r="SKK17" s="292"/>
      <c r="SKL17" s="292"/>
      <c r="SKM17" s="292"/>
      <c r="SKN17" s="292"/>
      <c r="SKO17" s="292"/>
      <c r="SKP17" s="292"/>
      <c r="SKQ17" s="292"/>
      <c r="SKR17" s="292"/>
      <c r="SKS17" s="292"/>
      <c r="SKT17" s="292"/>
      <c r="SKU17" s="292"/>
      <c r="SKV17" s="292"/>
      <c r="SKW17" s="292"/>
      <c r="SKX17" s="292"/>
      <c r="SKY17" s="292"/>
      <c r="SKZ17" s="292"/>
      <c r="SLA17" s="292"/>
      <c r="SLB17" s="292"/>
      <c r="SLC17" s="292"/>
      <c r="SLD17" s="292"/>
      <c r="SLE17" s="292"/>
      <c r="SLF17" s="292"/>
      <c r="SLG17" s="292"/>
      <c r="SLH17" s="292"/>
      <c r="SLI17" s="292"/>
      <c r="SLJ17" s="292"/>
      <c r="SLK17" s="292"/>
      <c r="SLL17" s="292"/>
      <c r="SLM17" s="292"/>
      <c r="SLN17" s="292"/>
      <c r="SLO17" s="292"/>
      <c r="SLP17" s="292"/>
      <c r="SLQ17" s="292"/>
      <c r="SLR17" s="292"/>
      <c r="SLS17" s="292"/>
      <c r="SLT17" s="292"/>
      <c r="SLU17" s="292"/>
      <c r="SLV17" s="292"/>
      <c r="SLW17" s="292"/>
      <c r="SLX17" s="292"/>
      <c r="SLY17" s="292"/>
      <c r="SLZ17" s="292"/>
      <c r="SMA17" s="292"/>
      <c r="SMB17" s="292"/>
      <c r="SMC17" s="292"/>
      <c r="SMD17" s="292"/>
      <c r="SME17" s="292"/>
      <c r="SMF17" s="292"/>
      <c r="SMG17" s="292"/>
      <c r="SMH17" s="292"/>
      <c r="SMI17" s="292"/>
      <c r="SMJ17" s="292"/>
      <c r="SMK17" s="292"/>
      <c r="SML17" s="292"/>
      <c r="SMM17" s="292"/>
      <c r="SMN17" s="292"/>
      <c r="SMO17" s="292"/>
      <c r="SMP17" s="292"/>
      <c r="SMQ17" s="292"/>
      <c r="SMR17" s="292"/>
      <c r="SMS17" s="292"/>
      <c r="SMT17" s="292"/>
      <c r="SMU17" s="292"/>
      <c r="SMV17" s="292"/>
      <c r="SMW17" s="292"/>
      <c r="SMX17" s="292"/>
      <c r="SMY17" s="292"/>
      <c r="SMZ17" s="292"/>
      <c r="SNA17" s="292"/>
      <c r="SNB17" s="292"/>
      <c r="SNC17" s="292"/>
      <c r="SND17" s="292"/>
      <c r="SNE17" s="292"/>
      <c r="SNF17" s="292"/>
      <c r="SNG17" s="292"/>
      <c r="SNH17" s="292"/>
      <c r="SNI17" s="292"/>
      <c r="SNJ17" s="292"/>
      <c r="SNK17" s="292"/>
      <c r="SNL17" s="292"/>
      <c r="SNM17" s="292"/>
      <c r="SNN17" s="292"/>
      <c r="SNO17" s="292"/>
      <c r="SNP17" s="292"/>
      <c r="SNQ17" s="292"/>
      <c r="SNR17" s="292"/>
      <c r="SNS17" s="292"/>
      <c r="SNT17" s="292"/>
      <c r="SNU17" s="292"/>
      <c r="SNV17" s="292"/>
      <c r="SNW17" s="292"/>
      <c r="SNX17" s="292"/>
      <c r="SNY17" s="292"/>
      <c r="SNZ17" s="292"/>
      <c r="SOA17" s="292"/>
      <c r="SOB17" s="292"/>
      <c r="SOC17" s="292"/>
      <c r="SOD17" s="292"/>
      <c r="SOE17" s="292"/>
      <c r="SOF17" s="292"/>
      <c r="SOG17" s="292"/>
      <c r="SOH17" s="292"/>
      <c r="SOI17" s="292"/>
      <c r="SOJ17" s="292"/>
      <c r="SOK17" s="292"/>
      <c r="SOL17" s="292"/>
      <c r="SOM17" s="292"/>
      <c r="SON17" s="292"/>
      <c r="SOO17" s="292"/>
      <c r="SOP17" s="292"/>
      <c r="SOQ17" s="292"/>
      <c r="SOR17" s="292"/>
      <c r="SOS17" s="292"/>
      <c r="SOT17" s="292"/>
      <c r="SOU17" s="292"/>
      <c r="SOV17" s="292"/>
      <c r="SOW17" s="292"/>
      <c r="SOX17" s="292"/>
      <c r="SOY17" s="292"/>
      <c r="SOZ17" s="292"/>
      <c r="SPA17" s="292"/>
      <c r="SPB17" s="292"/>
      <c r="SPC17" s="292"/>
      <c r="SPD17" s="292"/>
      <c r="SPE17" s="292"/>
      <c r="SPF17" s="292"/>
      <c r="SPG17" s="292"/>
      <c r="SPH17" s="292"/>
      <c r="SPI17" s="292"/>
      <c r="SPJ17" s="292"/>
      <c r="SPK17" s="292"/>
      <c r="SPL17" s="292"/>
      <c r="SPM17" s="292"/>
      <c r="SPN17" s="292"/>
      <c r="SPO17" s="292"/>
      <c r="SPP17" s="292"/>
      <c r="SPQ17" s="292"/>
      <c r="SPR17" s="292"/>
      <c r="SPS17" s="292"/>
      <c r="SPT17" s="292"/>
      <c r="SPU17" s="292"/>
      <c r="SPV17" s="292"/>
      <c r="SPW17" s="292"/>
      <c r="SPX17" s="292"/>
      <c r="SPY17" s="292"/>
      <c r="SPZ17" s="292"/>
      <c r="SQA17" s="292"/>
      <c r="SQB17" s="292"/>
      <c r="SQC17" s="292"/>
      <c r="SQD17" s="292"/>
      <c r="SQE17" s="292"/>
      <c r="SQF17" s="292"/>
      <c r="SQG17" s="292"/>
      <c r="SQH17" s="292"/>
      <c r="SQI17" s="292"/>
      <c r="SQJ17" s="292"/>
      <c r="SQK17" s="292"/>
      <c r="SQL17" s="292"/>
      <c r="SQM17" s="292"/>
      <c r="SQN17" s="292"/>
      <c r="SQO17" s="292"/>
      <c r="SQP17" s="292"/>
      <c r="SQQ17" s="292"/>
      <c r="SQR17" s="292"/>
      <c r="SQS17" s="292"/>
      <c r="SQT17" s="292"/>
      <c r="SQU17" s="292"/>
      <c r="SQV17" s="292"/>
      <c r="SQW17" s="292"/>
      <c r="SQX17" s="292"/>
      <c r="SQY17" s="292"/>
      <c r="SQZ17" s="292"/>
      <c r="SRA17" s="292"/>
      <c r="SRB17" s="292"/>
      <c r="SRC17" s="292"/>
      <c r="SRD17" s="292"/>
      <c r="SRE17" s="292"/>
      <c r="SRF17" s="292"/>
      <c r="SRG17" s="292"/>
      <c r="SRH17" s="292"/>
      <c r="SRI17" s="292"/>
      <c r="SRJ17" s="292"/>
      <c r="SRK17" s="292"/>
      <c r="SRL17" s="292"/>
      <c r="SRM17" s="292"/>
      <c r="SRN17" s="292"/>
      <c r="SRO17" s="292"/>
      <c r="SRP17" s="292"/>
      <c r="SRQ17" s="292"/>
      <c r="SRR17" s="292"/>
      <c r="SRS17" s="292"/>
      <c r="SRT17" s="292"/>
      <c r="SRU17" s="292"/>
      <c r="SRV17" s="292"/>
      <c r="SRW17" s="292"/>
      <c r="SRX17" s="292"/>
      <c r="SRY17" s="292"/>
      <c r="SRZ17" s="292"/>
      <c r="SSA17" s="292"/>
      <c r="SSB17" s="292"/>
      <c r="SSC17" s="292"/>
      <c r="SSD17" s="292"/>
      <c r="SSE17" s="292"/>
      <c r="SSF17" s="292"/>
      <c r="SSG17" s="292"/>
      <c r="SSH17" s="292"/>
      <c r="SSI17" s="292"/>
      <c r="SSJ17" s="292"/>
      <c r="SSK17" s="292"/>
      <c r="SSL17" s="292"/>
      <c r="SSM17" s="292"/>
      <c r="SSN17" s="292"/>
      <c r="SSO17" s="292"/>
      <c r="SSP17" s="292"/>
      <c r="SSQ17" s="292"/>
      <c r="SSR17" s="292"/>
      <c r="SSS17" s="292"/>
      <c r="SST17" s="292"/>
      <c r="SSU17" s="292"/>
      <c r="SSV17" s="292"/>
      <c r="SSW17" s="292"/>
      <c r="SSX17" s="292"/>
      <c r="SSY17" s="292"/>
      <c r="SSZ17" s="292"/>
      <c r="STA17" s="292"/>
      <c r="STB17" s="292"/>
      <c r="STC17" s="292"/>
      <c r="STD17" s="292"/>
      <c r="STE17" s="292"/>
      <c r="STF17" s="292"/>
      <c r="STG17" s="292"/>
      <c r="STH17" s="292"/>
      <c r="STI17" s="292"/>
      <c r="STJ17" s="292"/>
      <c r="STK17" s="292"/>
      <c r="STL17" s="292"/>
      <c r="STM17" s="292"/>
      <c r="STN17" s="292"/>
      <c r="STO17" s="292"/>
      <c r="STP17" s="292"/>
      <c r="STQ17" s="292"/>
      <c r="STR17" s="292"/>
      <c r="STS17" s="292"/>
      <c r="STT17" s="292"/>
      <c r="STU17" s="292"/>
      <c r="STV17" s="292"/>
      <c r="STW17" s="292"/>
      <c r="STX17" s="292"/>
      <c r="STY17" s="292"/>
      <c r="STZ17" s="292"/>
      <c r="SUA17" s="292"/>
      <c r="SUB17" s="292"/>
      <c r="SUC17" s="292"/>
      <c r="SUD17" s="292"/>
      <c r="SUE17" s="292"/>
      <c r="SUF17" s="292"/>
      <c r="SUG17" s="292"/>
      <c r="SUH17" s="292"/>
      <c r="SUI17" s="292"/>
      <c r="SUJ17" s="292"/>
      <c r="SUK17" s="292"/>
      <c r="SUL17" s="292"/>
      <c r="SUM17" s="292"/>
      <c r="SUN17" s="292"/>
      <c r="SUO17" s="292"/>
      <c r="SUP17" s="292"/>
      <c r="SUQ17" s="292"/>
      <c r="SUR17" s="292"/>
      <c r="SUS17" s="292"/>
      <c r="SUT17" s="292"/>
      <c r="SUU17" s="292"/>
      <c r="SUV17" s="292"/>
      <c r="SUW17" s="292"/>
      <c r="SUX17" s="292"/>
      <c r="SUY17" s="292"/>
      <c r="SUZ17" s="292"/>
      <c r="SVA17" s="292"/>
      <c r="SVB17" s="292"/>
      <c r="SVC17" s="292"/>
      <c r="SVD17" s="292"/>
      <c r="SVE17" s="292"/>
      <c r="SVF17" s="292"/>
      <c r="SVG17" s="292"/>
      <c r="SVH17" s="292"/>
      <c r="SVI17" s="292"/>
      <c r="SVJ17" s="292"/>
      <c r="SVK17" s="292"/>
      <c r="SVL17" s="292"/>
      <c r="SVM17" s="292"/>
      <c r="SVN17" s="292"/>
      <c r="SVO17" s="292"/>
      <c r="SVP17" s="292"/>
      <c r="SVQ17" s="292"/>
      <c r="SVR17" s="292"/>
      <c r="SVS17" s="292"/>
      <c r="SVT17" s="292"/>
      <c r="SVU17" s="292"/>
      <c r="SVV17" s="292"/>
      <c r="SVW17" s="292"/>
      <c r="SVX17" s="292"/>
      <c r="SVY17" s="292"/>
      <c r="SVZ17" s="292"/>
      <c r="SWA17" s="292"/>
      <c r="SWB17" s="292"/>
      <c r="SWC17" s="292"/>
      <c r="SWD17" s="292"/>
      <c r="SWE17" s="292"/>
      <c r="SWF17" s="292"/>
      <c r="SWG17" s="292"/>
      <c r="SWH17" s="292"/>
      <c r="SWI17" s="292"/>
      <c r="SWJ17" s="292"/>
      <c r="SWK17" s="292"/>
      <c r="SWL17" s="292"/>
      <c r="SWM17" s="292"/>
      <c r="SWN17" s="292"/>
      <c r="SWO17" s="292"/>
      <c r="SWP17" s="292"/>
      <c r="SWQ17" s="292"/>
      <c r="SWR17" s="292"/>
      <c r="SWS17" s="292"/>
      <c r="SWT17" s="292"/>
      <c r="SWU17" s="292"/>
      <c r="SWV17" s="292"/>
      <c r="SWW17" s="292"/>
      <c r="SWX17" s="292"/>
      <c r="SWY17" s="292"/>
      <c r="SWZ17" s="292"/>
      <c r="SXA17" s="292"/>
      <c r="SXB17" s="292"/>
      <c r="SXC17" s="292"/>
      <c r="SXD17" s="292"/>
      <c r="SXE17" s="292"/>
      <c r="SXF17" s="292"/>
      <c r="SXG17" s="292"/>
      <c r="SXH17" s="292"/>
      <c r="SXI17" s="292"/>
      <c r="SXJ17" s="292"/>
      <c r="SXK17" s="292"/>
      <c r="SXL17" s="292"/>
      <c r="SXM17" s="292"/>
      <c r="SXN17" s="292"/>
      <c r="SXO17" s="292"/>
      <c r="SXP17" s="292"/>
      <c r="SXQ17" s="292"/>
      <c r="SXR17" s="292"/>
      <c r="SXS17" s="292"/>
      <c r="SXT17" s="292"/>
      <c r="SXU17" s="292"/>
      <c r="SXV17" s="292"/>
      <c r="SXW17" s="292"/>
      <c r="SXX17" s="292"/>
      <c r="SXY17" s="292"/>
      <c r="SXZ17" s="292"/>
      <c r="SYA17" s="292"/>
      <c r="SYB17" s="292"/>
      <c r="SYC17" s="292"/>
      <c r="SYD17" s="292"/>
      <c r="SYE17" s="292"/>
      <c r="SYF17" s="292"/>
      <c r="SYG17" s="292"/>
      <c r="SYH17" s="292"/>
      <c r="SYI17" s="292"/>
      <c r="SYJ17" s="292"/>
      <c r="SYK17" s="292"/>
      <c r="SYL17" s="292"/>
      <c r="SYM17" s="292"/>
      <c r="SYN17" s="292"/>
      <c r="SYO17" s="292"/>
      <c r="SYP17" s="292"/>
      <c r="SYQ17" s="292"/>
      <c r="SYR17" s="292"/>
      <c r="SYS17" s="292"/>
      <c r="SYT17" s="292"/>
      <c r="SYU17" s="292"/>
      <c r="SYV17" s="292"/>
      <c r="SYW17" s="292"/>
      <c r="SYX17" s="292"/>
      <c r="SYY17" s="292"/>
      <c r="SYZ17" s="292"/>
      <c r="SZA17" s="292"/>
      <c r="SZB17" s="292"/>
      <c r="SZC17" s="292"/>
      <c r="SZD17" s="292"/>
      <c r="SZE17" s="292"/>
      <c r="SZF17" s="292"/>
      <c r="SZG17" s="292"/>
      <c r="SZH17" s="292"/>
      <c r="SZI17" s="292"/>
      <c r="SZJ17" s="292"/>
      <c r="SZK17" s="292"/>
      <c r="SZL17" s="292"/>
      <c r="SZM17" s="292"/>
      <c r="SZN17" s="292"/>
      <c r="SZO17" s="292"/>
      <c r="SZP17" s="292"/>
      <c r="SZQ17" s="292"/>
      <c r="SZR17" s="292"/>
      <c r="SZS17" s="292"/>
      <c r="SZT17" s="292"/>
      <c r="SZU17" s="292"/>
      <c r="SZV17" s="292"/>
      <c r="SZW17" s="292"/>
      <c r="SZX17" s="292"/>
      <c r="SZY17" s="292"/>
      <c r="SZZ17" s="292"/>
      <c r="TAA17" s="292"/>
      <c r="TAB17" s="292"/>
      <c r="TAC17" s="292"/>
      <c r="TAD17" s="292"/>
      <c r="TAE17" s="292"/>
      <c r="TAF17" s="292"/>
      <c r="TAG17" s="292"/>
      <c r="TAH17" s="292"/>
      <c r="TAI17" s="292"/>
      <c r="TAJ17" s="292"/>
      <c r="TAK17" s="292"/>
      <c r="TAL17" s="292"/>
      <c r="TAM17" s="292"/>
      <c r="TAN17" s="292"/>
      <c r="TAO17" s="292"/>
      <c r="TAP17" s="292"/>
      <c r="TAQ17" s="292"/>
      <c r="TAR17" s="292"/>
      <c r="TAS17" s="292"/>
      <c r="TAT17" s="292"/>
      <c r="TAU17" s="292"/>
      <c r="TAV17" s="292"/>
      <c r="TAW17" s="292"/>
      <c r="TAX17" s="292"/>
      <c r="TAY17" s="292"/>
      <c r="TAZ17" s="292"/>
      <c r="TBA17" s="292"/>
      <c r="TBB17" s="292"/>
      <c r="TBC17" s="292"/>
      <c r="TBD17" s="292"/>
      <c r="TBE17" s="292"/>
      <c r="TBF17" s="292"/>
      <c r="TBG17" s="292"/>
      <c r="TBH17" s="292"/>
      <c r="TBI17" s="292"/>
      <c r="TBJ17" s="292"/>
      <c r="TBK17" s="292"/>
      <c r="TBL17" s="292"/>
      <c r="TBM17" s="292"/>
      <c r="TBN17" s="292"/>
      <c r="TBO17" s="292"/>
      <c r="TBP17" s="292"/>
      <c r="TBQ17" s="292"/>
      <c r="TBR17" s="292"/>
      <c r="TBS17" s="292"/>
      <c r="TBT17" s="292"/>
      <c r="TBU17" s="292"/>
      <c r="TBV17" s="292"/>
      <c r="TBW17" s="292"/>
      <c r="TBX17" s="292"/>
      <c r="TBY17" s="292"/>
      <c r="TBZ17" s="292"/>
      <c r="TCA17" s="292"/>
      <c r="TCB17" s="292"/>
      <c r="TCC17" s="292"/>
      <c r="TCD17" s="292"/>
      <c r="TCE17" s="292"/>
      <c r="TCF17" s="292"/>
      <c r="TCG17" s="292"/>
      <c r="TCH17" s="292"/>
      <c r="TCI17" s="292"/>
      <c r="TCJ17" s="292"/>
      <c r="TCK17" s="292"/>
      <c r="TCL17" s="292"/>
      <c r="TCM17" s="292"/>
      <c r="TCN17" s="292"/>
      <c r="TCO17" s="292"/>
      <c r="TCP17" s="292"/>
      <c r="TCQ17" s="292"/>
      <c r="TCR17" s="292"/>
      <c r="TCS17" s="292"/>
      <c r="TCT17" s="292"/>
      <c r="TCU17" s="292"/>
      <c r="TCV17" s="292"/>
      <c r="TCW17" s="292"/>
      <c r="TCX17" s="292"/>
      <c r="TCY17" s="292"/>
      <c r="TCZ17" s="292"/>
      <c r="TDA17" s="292"/>
      <c r="TDB17" s="292"/>
      <c r="TDC17" s="292"/>
      <c r="TDD17" s="292"/>
      <c r="TDE17" s="292"/>
      <c r="TDF17" s="292"/>
      <c r="TDG17" s="292"/>
      <c r="TDH17" s="292"/>
      <c r="TDI17" s="292"/>
      <c r="TDJ17" s="292"/>
      <c r="TDK17" s="292"/>
      <c r="TDL17" s="292"/>
      <c r="TDM17" s="292"/>
      <c r="TDN17" s="292"/>
      <c r="TDO17" s="292"/>
      <c r="TDP17" s="292"/>
      <c r="TDQ17" s="292"/>
      <c r="TDR17" s="292"/>
      <c r="TDS17" s="292"/>
      <c r="TDT17" s="292"/>
      <c r="TDU17" s="292"/>
      <c r="TDV17" s="292"/>
      <c r="TDW17" s="292"/>
      <c r="TDX17" s="292"/>
      <c r="TDY17" s="292"/>
      <c r="TDZ17" s="292"/>
      <c r="TEA17" s="292"/>
      <c r="TEB17" s="292"/>
      <c r="TEC17" s="292"/>
      <c r="TED17" s="292"/>
      <c r="TEE17" s="292"/>
      <c r="TEF17" s="292"/>
      <c r="TEG17" s="292"/>
      <c r="TEH17" s="292"/>
      <c r="TEI17" s="292"/>
      <c r="TEJ17" s="292"/>
      <c r="TEK17" s="292"/>
      <c r="TEL17" s="292"/>
      <c r="TEM17" s="292"/>
      <c r="TEN17" s="292"/>
      <c r="TEO17" s="292"/>
      <c r="TEP17" s="292"/>
      <c r="TEQ17" s="292"/>
      <c r="TER17" s="292"/>
      <c r="TES17" s="292"/>
      <c r="TET17" s="292"/>
      <c r="TEU17" s="292"/>
      <c r="TEV17" s="292"/>
      <c r="TEW17" s="292"/>
      <c r="TEX17" s="292"/>
      <c r="TEY17" s="292"/>
      <c r="TEZ17" s="292"/>
      <c r="TFA17" s="292"/>
      <c r="TFB17" s="292"/>
      <c r="TFC17" s="292"/>
      <c r="TFD17" s="292"/>
      <c r="TFE17" s="292"/>
      <c r="TFF17" s="292"/>
      <c r="TFG17" s="292"/>
      <c r="TFH17" s="292"/>
      <c r="TFI17" s="292"/>
      <c r="TFJ17" s="292"/>
      <c r="TFK17" s="292"/>
      <c r="TFL17" s="292"/>
      <c r="TFM17" s="292"/>
      <c r="TFN17" s="292"/>
      <c r="TFO17" s="292"/>
      <c r="TFP17" s="292"/>
      <c r="TFQ17" s="292"/>
      <c r="TFR17" s="292"/>
      <c r="TFS17" s="292"/>
      <c r="TFT17" s="292"/>
      <c r="TFU17" s="292"/>
      <c r="TFV17" s="292"/>
      <c r="TFW17" s="292"/>
      <c r="TFX17" s="292"/>
      <c r="TFY17" s="292"/>
      <c r="TFZ17" s="292"/>
      <c r="TGA17" s="292"/>
      <c r="TGB17" s="292"/>
      <c r="TGC17" s="292"/>
      <c r="TGD17" s="292"/>
      <c r="TGE17" s="292"/>
      <c r="TGF17" s="292"/>
      <c r="TGG17" s="292"/>
      <c r="TGH17" s="292"/>
      <c r="TGI17" s="292"/>
      <c r="TGJ17" s="292"/>
      <c r="TGK17" s="292"/>
      <c r="TGL17" s="292"/>
      <c r="TGM17" s="292"/>
      <c r="TGN17" s="292"/>
      <c r="TGO17" s="292"/>
      <c r="TGP17" s="292"/>
      <c r="TGQ17" s="292"/>
      <c r="TGR17" s="292"/>
      <c r="TGS17" s="292"/>
      <c r="TGT17" s="292"/>
      <c r="TGU17" s="292"/>
      <c r="TGV17" s="292"/>
      <c r="TGW17" s="292"/>
      <c r="TGX17" s="292"/>
      <c r="TGY17" s="292"/>
      <c r="TGZ17" s="292"/>
      <c r="THA17" s="292"/>
      <c r="THB17" s="292"/>
      <c r="THC17" s="292"/>
      <c r="THD17" s="292"/>
      <c r="THE17" s="292"/>
      <c r="THF17" s="292"/>
      <c r="THG17" s="292"/>
      <c r="THH17" s="292"/>
      <c r="THI17" s="292"/>
      <c r="THJ17" s="292"/>
      <c r="THK17" s="292"/>
      <c r="THL17" s="292"/>
      <c r="THM17" s="292"/>
      <c r="THN17" s="292"/>
      <c r="THO17" s="292"/>
      <c r="THP17" s="292"/>
      <c r="THQ17" s="292"/>
      <c r="THR17" s="292"/>
      <c r="THS17" s="292"/>
      <c r="THT17" s="292"/>
      <c r="THU17" s="292"/>
      <c r="THV17" s="292"/>
      <c r="THW17" s="292"/>
      <c r="THX17" s="292"/>
      <c r="THY17" s="292"/>
      <c r="THZ17" s="292"/>
      <c r="TIA17" s="292"/>
      <c r="TIB17" s="292"/>
      <c r="TIC17" s="292"/>
      <c r="TID17" s="292"/>
      <c r="TIE17" s="292"/>
      <c r="TIF17" s="292"/>
      <c r="TIG17" s="292"/>
      <c r="TIH17" s="292"/>
      <c r="TII17" s="292"/>
      <c r="TIJ17" s="292"/>
      <c r="TIK17" s="292"/>
      <c r="TIL17" s="292"/>
      <c r="TIM17" s="292"/>
      <c r="TIN17" s="292"/>
      <c r="TIO17" s="292"/>
      <c r="TIP17" s="292"/>
      <c r="TIQ17" s="292"/>
      <c r="TIR17" s="292"/>
      <c r="TIS17" s="292"/>
      <c r="TIT17" s="292"/>
      <c r="TIU17" s="292"/>
      <c r="TIV17" s="292"/>
      <c r="TIW17" s="292"/>
      <c r="TIX17" s="292"/>
      <c r="TIY17" s="292"/>
      <c r="TIZ17" s="292"/>
      <c r="TJA17" s="292"/>
      <c r="TJB17" s="292"/>
      <c r="TJC17" s="292"/>
      <c r="TJD17" s="292"/>
      <c r="TJE17" s="292"/>
      <c r="TJF17" s="292"/>
      <c r="TJG17" s="292"/>
      <c r="TJH17" s="292"/>
      <c r="TJI17" s="292"/>
      <c r="TJJ17" s="292"/>
      <c r="TJK17" s="292"/>
      <c r="TJL17" s="292"/>
      <c r="TJM17" s="292"/>
      <c r="TJN17" s="292"/>
      <c r="TJO17" s="292"/>
      <c r="TJP17" s="292"/>
      <c r="TJQ17" s="292"/>
      <c r="TJR17" s="292"/>
      <c r="TJS17" s="292"/>
      <c r="TJT17" s="292"/>
      <c r="TJU17" s="292"/>
      <c r="TJV17" s="292"/>
      <c r="TJW17" s="292"/>
      <c r="TJX17" s="292"/>
      <c r="TJY17" s="292"/>
      <c r="TJZ17" s="292"/>
      <c r="TKA17" s="292"/>
      <c r="TKB17" s="292"/>
      <c r="TKC17" s="292"/>
      <c r="TKD17" s="292"/>
      <c r="TKE17" s="292"/>
      <c r="TKF17" s="292"/>
      <c r="TKG17" s="292"/>
      <c r="TKH17" s="292"/>
      <c r="TKI17" s="292"/>
      <c r="TKJ17" s="292"/>
      <c r="TKK17" s="292"/>
      <c r="TKL17" s="292"/>
      <c r="TKM17" s="292"/>
      <c r="TKN17" s="292"/>
      <c r="TKO17" s="292"/>
      <c r="TKP17" s="292"/>
      <c r="TKQ17" s="292"/>
      <c r="TKR17" s="292"/>
      <c r="TKS17" s="292"/>
      <c r="TKT17" s="292"/>
      <c r="TKU17" s="292"/>
      <c r="TKV17" s="292"/>
      <c r="TKW17" s="292"/>
      <c r="TKX17" s="292"/>
      <c r="TKY17" s="292"/>
      <c r="TKZ17" s="292"/>
      <c r="TLA17" s="292"/>
      <c r="TLB17" s="292"/>
      <c r="TLC17" s="292"/>
      <c r="TLD17" s="292"/>
      <c r="TLE17" s="292"/>
      <c r="TLF17" s="292"/>
      <c r="TLG17" s="292"/>
      <c r="TLH17" s="292"/>
      <c r="TLI17" s="292"/>
      <c r="TLJ17" s="292"/>
      <c r="TLK17" s="292"/>
      <c r="TLL17" s="292"/>
      <c r="TLM17" s="292"/>
      <c r="TLN17" s="292"/>
      <c r="TLO17" s="292"/>
      <c r="TLP17" s="292"/>
      <c r="TLQ17" s="292"/>
      <c r="TLR17" s="292"/>
      <c r="TLS17" s="292"/>
      <c r="TLT17" s="292"/>
      <c r="TLU17" s="292"/>
      <c r="TLV17" s="292"/>
      <c r="TLW17" s="292"/>
      <c r="TLX17" s="292"/>
      <c r="TLY17" s="292"/>
      <c r="TLZ17" s="292"/>
      <c r="TMA17" s="292"/>
      <c r="TMB17" s="292"/>
      <c r="TMC17" s="292"/>
      <c r="TMD17" s="292"/>
      <c r="TME17" s="292"/>
      <c r="TMF17" s="292"/>
      <c r="TMG17" s="292"/>
      <c r="TMH17" s="292"/>
      <c r="TMI17" s="292"/>
      <c r="TMJ17" s="292"/>
      <c r="TMK17" s="292"/>
      <c r="TML17" s="292"/>
      <c r="TMM17" s="292"/>
      <c r="TMN17" s="292"/>
      <c r="TMO17" s="292"/>
      <c r="TMP17" s="292"/>
      <c r="TMQ17" s="292"/>
      <c r="TMR17" s="292"/>
      <c r="TMS17" s="292"/>
      <c r="TMT17" s="292"/>
      <c r="TMU17" s="292"/>
      <c r="TMV17" s="292"/>
      <c r="TMW17" s="292"/>
      <c r="TMX17" s="292"/>
      <c r="TMY17" s="292"/>
      <c r="TMZ17" s="292"/>
      <c r="TNA17" s="292"/>
      <c r="TNB17" s="292"/>
      <c r="TNC17" s="292"/>
      <c r="TND17" s="292"/>
      <c r="TNE17" s="292"/>
      <c r="TNF17" s="292"/>
      <c r="TNG17" s="292"/>
      <c r="TNH17" s="292"/>
      <c r="TNI17" s="292"/>
      <c r="TNJ17" s="292"/>
      <c r="TNK17" s="292"/>
      <c r="TNL17" s="292"/>
      <c r="TNM17" s="292"/>
      <c r="TNN17" s="292"/>
      <c r="TNO17" s="292"/>
      <c r="TNP17" s="292"/>
      <c r="TNQ17" s="292"/>
      <c r="TNR17" s="292"/>
      <c r="TNS17" s="292"/>
      <c r="TNT17" s="292"/>
      <c r="TNU17" s="292"/>
      <c r="TNV17" s="292"/>
      <c r="TNW17" s="292"/>
      <c r="TNX17" s="292"/>
      <c r="TNY17" s="292"/>
      <c r="TNZ17" s="292"/>
      <c r="TOA17" s="292"/>
      <c r="TOB17" s="292"/>
      <c r="TOC17" s="292"/>
      <c r="TOD17" s="292"/>
      <c r="TOE17" s="292"/>
      <c r="TOF17" s="292"/>
      <c r="TOG17" s="292"/>
      <c r="TOH17" s="292"/>
      <c r="TOI17" s="292"/>
      <c r="TOJ17" s="292"/>
      <c r="TOK17" s="292"/>
      <c r="TOL17" s="292"/>
      <c r="TOM17" s="292"/>
      <c r="TON17" s="292"/>
      <c r="TOO17" s="292"/>
      <c r="TOP17" s="292"/>
      <c r="TOQ17" s="292"/>
      <c r="TOR17" s="292"/>
      <c r="TOS17" s="292"/>
      <c r="TOT17" s="292"/>
      <c r="TOU17" s="292"/>
      <c r="TOV17" s="292"/>
      <c r="TOW17" s="292"/>
      <c r="TOX17" s="292"/>
      <c r="TOY17" s="292"/>
      <c r="TOZ17" s="292"/>
      <c r="TPA17" s="292"/>
      <c r="TPB17" s="292"/>
      <c r="TPC17" s="292"/>
      <c r="TPD17" s="292"/>
      <c r="TPE17" s="292"/>
      <c r="TPF17" s="292"/>
      <c r="TPG17" s="292"/>
      <c r="TPH17" s="292"/>
      <c r="TPI17" s="292"/>
      <c r="TPJ17" s="292"/>
      <c r="TPK17" s="292"/>
      <c r="TPL17" s="292"/>
      <c r="TPM17" s="292"/>
      <c r="TPN17" s="292"/>
      <c r="TPO17" s="292"/>
      <c r="TPP17" s="292"/>
      <c r="TPQ17" s="292"/>
      <c r="TPR17" s="292"/>
      <c r="TPS17" s="292"/>
      <c r="TPT17" s="292"/>
      <c r="TPU17" s="292"/>
      <c r="TPV17" s="292"/>
      <c r="TPW17" s="292"/>
      <c r="TPX17" s="292"/>
      <c r="TPY17" s="292"/>
      <c r="TPZ17" s="292"/>
      <c r="TQA17" s="292"/>
      <c r="TQB17" s="292"/>
      <c r="TQC17" s="292"/>
      <c r="TQD17" s="292"/>
      <c r="TQE17" s="292"/>
      <c r="TQF17" s="292"/>
      <c r="TQG17" s="292"/>
      <c r="TQH17" s="292"/>
      <c r="TQI17" s="292"/>
      <c r="TQJ17" s="292"/>
      <c r="TQK17" s="292"/>
      <c r="TQL17" s="292"/>
      <c r="TQM17" s="292"/>
      <c r="TQN17" s="292"/>
      <c r="TQO17" s="292"/>
      <c r="TQP17" s="292"/>
      <c r="TQQ17" s="292"/>
      <c r="TQR17" s="292"/>
      <c r="TQS17" s="292"/>
      <c r="TQT17" s="292"/>
      <c r="TQU17" s="292"/>
      <c r="TQV17" s="292"/>
      <c r="TQW17" s="292"/>
      <c r="TQX17" s="292"/>
      <c r="TQY17" s="292"/>
      <c r="TQZ17" s="292"/>
      <c r="TRA17" s="292"/>
      <c r="TRB17" s="292"/>
      <c r="TRC17" s="292"/>
      <c r="TRD17" s="292"/>
      <c r="TRE17" s="292"/>
      <c r="TRF17" s="292"/>
      <c r="TRG17" s="292"/>
      <c r="TRH17" s="292"/>
      <c r="TRI17" s="292"/>
      <c r="TRJ17" s="292"/>
      <c r="TRK17" s="292"/>
      <c r="TRL17" s="292"/>
      <c r="TRM17" s="292"/>
      <c r="TRN17" s="292"/>
      <c r="TRO17" s="292"/>
      <c r="TRP17" s="292"/>
      <c r="TRQ17" s="292"/>
      <c r="TRR17" s="292"/>
      <c r="TRS17" s="292"/>
      <c r="TRT17" s="292"/>
      <c r="TRU17" s="292"/>
      <c r="TRV17" s="292"/>
      <c r="TRW17" s="292"/>
      <c r="TRX17" s="292"/>
      <c r="TRY17" s="292"/>
      <c r="TRZ17" s="292"/>
      <c r="TSA17" s="292"/>
      <c r="TSB17" s="292"/>
      <c r="TSC17" s="292"/>
      <c r="TSD17" s="292"/>
      <c r="TSE17" s="292"/>
      <c r="TSF17" s="292"/>
      <c r="TSG17" s="292"/>
      <c r="TSH17" s="292"/>
      <c r="TSI17" s="292"/>
      <c r="TSJ17" s="292"/>
      <c r="TSK17" s="292"/>
      <c r="TSL17" s="292"/>
      <c r="TSM17" s="292"/>
      <c r="TSN17" s="292"/>
      <c r="TSO17" s="292"/>
      <c r="TSP17" s="292"/>
      <c r="TSQ17" s="292"/>
      <c r="TSR17" s="292"/>
      <c r="TSS17" s="292"/>
      <c r="TST17" s="292"/>
      <c r="TSU17" s="292"/>
      <c r="TSV17" s="292"/>
      <c r="TSW17" s="292"/>
      <c r="TSX17" s="292"/>
      <c r="TSY17" s="292"/>
      <c r="TSZ17" s="292"/>
      <c r="TTA17" s="292"/>
      <c r="TTB17" s="292"/>
      <c r="TTC17" s="292"/>
      <c r="TTD17" s="292"/>
      <c r="TTE17" s="292"/>
      <c r="TTF17" s="292"/>
      <c r="TTG17" s="292"/>
      <c r="TTH17" s="292"/>
      <c r="TTI17" s="292"/>
      <c r="TTJ17" s="292"/>
      <c r="TTK17" s="292"/>
      <c r="TTL17" s="292"/>
      <c r="TTM17" s="292"/>
      <c r="TTN17" s="292"/>
      <c r="TTO17" s="292"/>
      <c r="TTP17" s="292"/>
      <c r="TTQ17" s="292"/>
      <c r="TTR17" s="292"/>
      <c r="TTS17" s="292"/>
      <c r="TTT17" s="292"/>
      <c r="TTU17" s="292"/>
      <c r="TTV17" s="292"/>
      <c r="TTW17" s="292"/>
      <c r="TTX17" s="292"/>
      <c r="TTY17" s="292"/>
      <c r="TTZ17" s="292"/>
      <c r="TUA17" s="292"/>
      <c r="TUB17" s="292"/>
      <c r="TUC17" s="292"/>
      <c r="TUD17" s="292"/>
      <c r="TUE17" s="292"/>
      <c r="TUF17" s="292"/>
      <c r="TUG17" s="292"/>
      <c r="TUH17" s="292"/>
      <c r="TUI17" s="292"/>
      <c r="TUJ17" s="292"/>
      <c r="TUK17" s="292"/>
      <c r="TUL17" s="292"/>
      <c r="TUM17" s="292"/>
      <c r="TUN17" s="292"/>
      <c r="TUO17" s="292"/>
      <c r="TUP17" s="292"/>
      <c r="TUQ17" s="292"/>
      <c r="TUR17" s="292"/>
      <c r="TUS17" s="292"/>
      <c r="TUT17" s="292"/>
      <c r="TUU17" s="292"/>
      <c r="TUV17" s="292"/>
      <c r="TUW17" s="292"/>
      <c r="TUX17" s="292"/>
      <c r="TUY17" s="292"/>
      <c r="TUZ17" s="292"/>
      <c r="TVA17" s="292"/>
      <c r="TVB17" s="292"/>
      <c r="TVC17" s="292"/>
      <c r="TVD17" s="292"/>
      <c r="TVE17" s="292"/>
      <c r="TVF17" s="292"/>
      <c r="TVG17" s="292"/>
      <c r="TVH17" s="292"/>
      <c r="TVI17" s="292"/>
      <c r="TVJ17" s="292"/>
      <c r="TVK17" s="292"/>
      <c r="TVL17" s="292"/>
      <c r="TVM17" s="292"/>
      <c r="TVN17" s="292"/>
      <c r="TVO17" s="292"/>
      <c r="TVP17" s="292"/>
      <c r="TVQ17" s="292"/>
      <c r="TVR17" s="292"/>
      <c r="TVS17" s="292"/>
      <c r="TVT17" s="292"/>
      <c r="TVU17" s="292"/>
      <c r="TVV17" s="292"/>
      <c r="TVW17" s="292"/>
      <c r="TVX17" s="292"/>
      <c r="TVY17" s="292"/>
      <c r="TVZ17" s="292"/>
      <c r="TWA17" s="292"/>
      <c r="TWB17" s="292"/>
      <c r="TWC17" s="292"/>
      <c r="TWD17" s="292"/>
      <c r="TWE17" s="292"/>
      <c r="TWF17" s="292"/>
      <c r="TWG17" s="292"/>
      <c r="TWH17" s="292"/>
      <c r="TWI17" s="292"/>
      <c r="TWJ17" s="292"/>
      <c r="TWK17" s="292"/>
      <c r="TWL17" s="292"/>
      <c r="TWM17" s="292"/>
      <c r="TWN17" s="292"/>
      <c r="TWO17" s="292"/>
      <c r="TWP17" s="292"/>
      <c r="TWQ17" s="292"/>
      <c r="TWR17" s="292"/>
      <c r="TWS17" s="292"/>
      <c r="TWT17" s="292"/>
      <c r="TWU17" s="292"/>
      <c r="TWV17" s="292"/>
      <c r="TWW17" s="292"/>
      <c r="TWX17" s="292"/>
      <c r="TWY17" s="292"/>
      <c r="TWZ17" s="292"/>
      <c r="TXA17" s="292"/>
      <c r="TXB17" s="292"/>
      <c r="TXC17" s="292"/>
      <c r="TXD17" s="292"/>
      <c r="TXE17" s="292"/>
      <c r="TXF17" s="292"/>
      <c r="TXG17" s="292"/>
      <c r="TXH17" s="292"/>
      <c r="TXI17" s="292"/>
      <c r="TXJ17" s="292"/>
      <c r="TXK17" s="292"/>
      <c r="TXL17" s="292"/>
      <c r="TXM17" s="292"/>
      <c r="TXN17" s="292"/>
      <c r="TXO17" s="292"/>
      <c r="TXP17" s="292"/>
      <c r="TXQ17" s="292"/>
      <c r="TXR17" s="292"/>
      <c r="TXS17" s="292"/>
      <c r="TXT17" s="292"/>
      <c r="TXU17" s="292"/>
      <c r="TXV17" s="292"/>
      <c r="TXW17" s="292"/>
      <c r="TXX17" s="292"/>
      <c r="TXY17" s="292"/>
      <c r="TXZ17" s="292"/>
      <c r="TYA17" s="292"/>
      <c r="TYB17" s="292"/>
      <c r="TYC17" s="292"/>
      <c r="TYD17" s="292"/>
      <c r="TYE17" s="292"/>
      <c r="TYF17" s="292"/>
      <c r="TYG17" s="292"/>
      <c r="TYH17" s="292"/>
      <c r="TYI17" s="292"/>
      <c r="TYJ17" s="292"/>
      <c r="TYK17" s="292"/>
      <c r="TYL17" s="292"/>
      <c r="TYM17" s="292"/>
      <c r="TYN17" s="292"/>
      <c r="TYO17" s="292"/>
      <c r="TYP17" s="292"/>
      <c r="TYQ17" s="292"/>
      <c r="TYR17" s="292"/>
      <c r="TYS17" s="292"/>
      <c r="TYT17" s="292"/>
      <c r="TYU17" s="292"/>
      <c r="TYV17" s="292"/>
      <c r="TYW17" s="292"/>
      <c r="TYX17" s="292"/>
      <c r="TYY17" s="292"/>
      <c r="TYZ17" s="292"/>
      <c r="TZA17" s="292"/>
      <c r="TZB17" s="292"/>
      <c r="TZC17" s="292"/>
      <c r="TZD17" s="292"/>
      <c r="TZE17" s="292"/>
      <c r="TZF17" s="292"/>
      <c r="TZG17" s="292"/>
      <c r="TZH17" s="292"/>
      <c r="TZI17" s="292"/>
      <c r="TZJ17" s="292"/>
      <c r="TZK17" s="292"/>
      <c r="TZL17" s="292"/>
      <c r="TZM17" s="292"/>
      <c r="TZN17" s="292"/>
      <c r="TZO17" s="292"/>
      <c r="TZP17" s="292"/>
      <c r="TZQ17" s="292"/>
      <c r="TZR17" s="292"/>
      <c r="TZS17" s="292"/>
      <c r="TZT17" s="292"/>
      <c r="TZU17" s="292"/>
      <c r="TZV17" s="292"/>
      <c r="TZW17" s="292"/>
      <c r="TZX17" s="292"/>
      <c r="TZY17" s="292"/>
      <c r="TZZ17" s="292"/>
      <c r="UAA17" s="292"/>
      <c r="UAB17" s="292"/>
      <c r="UAC17" s="292"/>
      <c r="UAD17" s="292"/>
      <c r="UAE17" s="292"/>
      <c r="UAF17" s="292"/>
      <c r="UAG17" s="292"/>
      <c r="UAH17" s="292"/>
      <c r="UAI17" s="292"/>
      <c r="UAJ17" s="292"/>
      <c r="UAK17" s="292"/>
      <c r="UAL17" s="292"/>
      <c r="UAM17" s="292"/>
      <c r="UAN17" s="292"/>
      <c r="UAO17" s="292"/>
      <c r="UAP17" s="292"/>
      <c r="UAQ17" s="292"/>
      <c r="UAR17" s="292"/>
      <c r="UAS17" s="292"/>
      <c r="UAT17" s="292"/>
      <c r="UAU17" s="292"/>
      <c r="UAV17" s="292"/>
      <c r="UAW17" s="292"/>
      <c r="UAX17" s="292"/>
      <c r="UAY17" s="292"/>
      <c r="UAZ17" s="292"/>
      <c r="UBA17" s="292"/>
      <c r="UBB17" s="292"/>
      <c r="UBC17" s="292"/>
      <c r="UBD17" s="292"/>
      <c r="UBE17" s="292"/>
      <c r="UBF17" s="292"/>
      <c r="UBG17" s="292"/>
      <c r="UBH17" s="292"/>
      <c r="UBI17" s="292"/>
      <c r="UBJ17" s="292"/>
      <c r="UBK17" s="292"/>
      <c r="UBL17" s="292"/>
      <c r="UBM17" s="292"/>
      <c r="UBN17" s="292"/>
      <c r="UBO17" s="292"/>
      <c r="UBP17" s="292"/>
      <c r="UBQ17" s="292"/>
      <c r="UBR17" s="292"/>
      <c r="UBS17" s="292"/>
      <c r="UBT17" s="292"/>
      <c r="UBU17" s="292"/>
      <c r="UBV17" s="292"/>
      <c r="UBW17" s="292"/>
      <c r="UBX17" s="292"/>
      <c r="UBY17" s="292"/>
      <c r="UBZ17" s="292"/>
      <c r="UCA17" s="292"/>
      <c r="UCB17" s="292"/>
      <c r="UCC17" s="292"/>
      <c r="UCD17" s="292"/>
      <c r="UCE17" s="292"/>
      <c r="UCF17" s="292"/>
      <c r="UCG17" s="292"/>
      <c r="UCH17" s="292"/>
      <c r="UCI17" s="292"/>
      <c r="UCJ17" s="292"/>
      <c r="UCK17" s="292"/>
      <c r="UCL17" s="292"/>
      <c r="UCM17" s="292"/>
      <c r="UCN17" s="292"/>
      <c r="UCO17" s="292"/>
      <c r="UCP17" s="292"/>
      <c r="UCQ17" s="292"/>
      <c r="UCR17" s="292"/>
      <c r="UCS17" s="292"/>
      <c r="UCT17" s="292"/>
      <c r="UCU17" s="292"/>
      <c r="UCV17" s="292"/>
      <c r="UCW17" s="292"/>
      <c r="UCX17" s="292"/>
      <c r="UCY17" s="292"/>
      <c r="UCZ17" s="292"/>
      <c r="UDA17" s="292"/>
      <c r="UDB17" s="292"/>
      <c r="UDC17" s="292"/>
      <c r="UDD17" s="292"/>
      <c r="UDE17" s="292"/>
      <c r="UDF17" s="292"/>
      <c r="UDG17" s="292"/>
      <c r="UDH17" s="292"/>
      <c r="UDI17" s="292"/>
      <c r="UDJ17" s="292"/>
      <c r="UDK17" s="292"/>
      <c r="UDL17" s="292"/>
      <c r="UDM17" s="292"/>
      <c r="UDN17" s="292"/>
      <c r="UDO17" s="292"/>
      <c r="UDP17" s="292"/>
      <c r="UDQ17" s="292"/>
      <c r="UDR17" s="292"/>
      <c r="UDS17" s="292"/>
      <c r="UDT17" s="292"/>
      <c r="UDU17" s="292"/>
      <c r="UDV17" s="292"/>
      <c r="UDW17" s="292"/>
      <c r="UDX17" s="292"/>
      <c r="UDY17" s="292"/>
      <c r="UDZ17" s="292"/>
      <c r="UEA17" s="292"/>
      <c r="UEB17" s="292"/>
      <c r="UEC17" s="292"/>
      <c r="UED17" s="292"/>
      <c r="UEE17" s="292"/>
      <c r="UEF17" s="292"/>
      <c r="UEG17" s="292"/>
      <c r="UEH17" s="292"/>
      <c r="UEI17" s="292"/>
      <c r="UEJ17" s="292"/>
      <c r="UEK17" s="292"/>
      <c r="UEL17" s="292"/>
      <c r="UEM17" s="292"/>
      <c r="UEN17" s="292"/>
      <c r="UEO17" s="292"/>
      <c r="UEP17" s="292"/>
      <c r="UEQ17" s="292"/>
      <c r="UER17" s="292"/>
      <c r="UES17" s="292"/>
      <c r="UET17" s="292"/>
      <c r="UEU17" s="292"/>
      <c r="UEV17" s="292"/>
      <c r="UEW17" s="292"/>
      <c r="UEX17" s="292"/>
      <c r="UEY17" s="292"/>
      <c r="UEZ17" s="292"/>
      <c r="UFA17" s="292"/>
      <c r="UFB17" s="292"/>
      <c r="UFC17" s="292"/>
      <c r="UFD17" s="292"/>
      <c r="UFE17" s="292"/>
      <c r="UFF17" s="292"/>
      <c r="UFG17" s="292"/>
      <c r="UFH17" s="292"/>
      <c r="UFI17" s="292"/>
      <c r="UFJ17" s="292"/>
      <c r="UFK17" s="292"/>
      <c r="UFL17" s="292"/>
      <c r="UFM17" s="292"/>
      <c r="UFN17" s="292"/>
      <c r="UFO17" s="292"/>
      <c r="UFP17" s="292"/>
      <c r="UFQ17" s="292"/>
      <c r="UFR17" s="292"/>
      <c r="UFS17" s="292"/>
      <c r="UFT17" s="292"/>
      <c r="UFU17" s="292"/>
      <c r="UFV17" s="292"/>
      <c r="UFW17" s="292"/>
      <c r="UFX17" s="292"/>
      <c r="UFY17" s="292"/>
      <c r="UFZ17" s="292"/>
      <c r="UGA17" s="292"/>
      <c r="UGB17" s="292"/>
      <c r="UGC17" s="292"/>
      <c r="UGD17" s="292"/>
      <c r="UGE17" s="292"/>
      <c r="UGF17" s="292"/>
      <c r="UGG17" s="292"/>
      <c r="UGH17" s="292"/>
      <c r="UGI17" s="292"/>
      <c r="UGJ17" s="292"/>
      <c r="UGK17" s="292"/>
      <c r="UGL17" s="292"/>
      <c r="UGM17" s="292"/>
      <c r="UGN17" s="292"/>
      <c r="UGO17" s="292"/>
      <c r="UGP17" s="292"/>
      <c r="UGQ17" s="292"/>
      <c r="UGR17" s="292"/>
      <c r="UGS17" s="292"/>
      <c r="UGT17" s="292"/>
      <c r="UGU17" s="292"/>
      <c r="UGV17" s="292"/>
      <c r="UGW17" s="292"/>
      <c r="UGX17" s="292"/>
      <c r="UGY17" s="292"/>
      <c r="UGZ17" s="292"/>
      <c r="UHA17" s="292"/>
      <c r="UHB17" s="292"/>
      <c r="UHC17" s="292"/>
      <c r="UHD17" s="292"/>
      <c r="UHE17" s="292"/>
      <c r="UHF17" s="292"/>
      <c r="UHG17" s="292"/>
      <c r="UHH17" s="292"/>
      <c r="UHI17" s="292"/>
      <c r="UHJ17" s="292"/>
      <c r="UHK17" s="292"/>
      <c r="UHL17" s="292"/>
      <c r="UHM17" s="292"/>
      <c r="UHN17" s="292"/>
      <c r="UHO17" s="292"/>
      <c r="UHP17" s="292"/>
      <c r="UHQ17" s="292"/>
      <c r="UHR17" s="292"/>
      <c r="UHS17" s="292"/>
      <c r="UHT17" s="292"/>
      <c r="UHU17" s="292"/>
      <c r="UHV17" s="292"/>
      <c r="UHW17" s="292"/>
      <c r="UHX17" s="292"/>
      <c r="UHY17" s="292"/>
      <c r="UHZ17" s="292"/>
      <c r="UIA17" s="292"/>
      <c r="UIB17" s="292"/>
      <c r="UIC17" s="292"/>
      <c r="UID17" s="292"/>
      <c r="UIE17" s="292"/>
      <c r="UIF17" s="292"/>
      <c r="UIG17" s="292"/>
      <c r="UIH17" s="292"/>
      <c r="UII17" s="292"/>
      <c r="UIJ17" s="292"/>
      <c r="UIK17" s="292"/>
      <c r="UIL17" s="292"/>
      <c r="UIM17" s="292"/>
      <c r="UIN17" s="292"/>
      <c r="UIO17" s="292"/>
      <c r="UIP17" s="292"/>
      <c r="UIQ17" s="292"/>
      <c r="UIR17" s="292"/>
      <c r="UIS17" s="292"/>
      <c r="UIT17" s="292"/>
      <c r="UIU17" s="292"/>
      <c r="UIV17" s="292"/>
      <c r="UIW17" s="292"/>
      <c r="UIX17" s="292"/>
      <c r="UIY17" s="292"/>
      <c r="UIZ17" s="292"/>
      <c r="UJA17" s="292"/>
      <c r="UJB17" s="292"/>
      <c r="UJC17" s="292"/>
      <c r="UJD17" s="292"/>
      <c r="UJE17" s="292"/>
      <c r="UJF17" s="292"/>
      <c r="UJG17" s="292"/>
      <c r="UJH17" s="292"/>
      <c r="UJI17" s="292"/>
      <c r="UJJ17" s="292"/>
      <c r="UJK17" s="292"/>
      <c r="UJL17" s="292"/>
      <c r="UJM17" s="292"/>
      <c r="UJN17" s="292"/>
      <c r="UJO17" s="292"/>
      <c r="UJP17" s="292"/>
      <c r="UJQ17" s="292"/>
      <c r="UJR17" s="292"/>
      <c r="UJS17" s="292"/>
      <c r="UJT17" s="292"/>
      <c r="UJU17" s="292"/>
      <c r="UJV17" s="292"/>
      <c r="UJW17" s="292"/>
      <c r="UJX17" s="292"/>
      <c r="UJY17" s="292"/>
      <c r="UJZ17" s="292"/>
      <c r="UKA17" s="292"/>
      <c r="UKB17" s="292"/>
      <c r="UKC17" s="292"/>
      <c r="UKD17" s="292"/>
      <c r="UKE17" s="292"/>
      <c r="UKF17" s="292"/>
      <c r="UKG17" s="292"/>
      <c r="UKH17" s="292"/>
      <c r="UKI17" s="292"/>
      <c r="UKJ17" s="292"/>
      <c r="UKK17" s="292"/>
      <c r="UKL17" s="292"/>
      <c r="UKM17" s="292"/>
      <c r="UKN17" s="292"/>
      <c r="UKO17" s="292"/>
      <c r="UKP17" s="292"/>
      <c r="UKQ17" s="292"/>
      <c r="UKR17" s="292"/>
      <c r="UKS17" s="292"/>
      <c r="UKT17" s="292"/>
      <c r="UKU17" s="292"/>
      <c r="UKV17" s="292"/>
      <c r="UKW17" s="292"/>
      <c r="UKX17" s="292"/>
      <c r="UKY17" s="292"/>
      <c r="UKZ17" s="292"/>
      <c r="ULA17" s="292"/>
      <c r="ULB17" s="292"/>
      <c r="ULC17" s="292"/>
      <c r="ULD17" s="292"/>
      <c r="ULE17" s="292"/>
      <c r="ULF17" s="292"/>
      <c r="ULG17" s="292"/>
      <c r="ULH17" s="292"/>
      <c r="ULI17" s="292"/>
      <c r="ULJ17" s="292"/>
      <c r="ULK17" s="292"/>
      <c r="ULL17" s="292"/>
      <c r="ULM17" s="292"/>
      <c r="ULN17" s="292"/>
      <c r="ULO17" s="292"/>
      <c r="ULP17" s="292"/>
      <c r="ULQ17" s="292"/>
      <c r="ULR17" s="292"/>
      <c r="ULS17" s="292"/>
      <c r="ULT17" s="292"/>
      <c r="ULU17" s="292"/>
      <c r="ULV17" s="292"/>
      <c r="ULW17" s="292"/>
      <c r="ULX17" s="292"/>
      <c r="ULY17" s="292"/>
      <c r="ULZ17" s="292"/>
      <c r="UMA17" s="292"/>
      <c r="UMB17" s="292"/>
      <c r="UMC17" s="292"/>
      <c r="UMD17" s="292"/>
      <c r="UME17" s="292"/>
      <c r="UMF17" s="292"/>
      <c r="UMG17" s="292"/>
      <c r="UMH17" s="292"/>
      <c r="UMI17" s="292"/>
      <c r="UMJ17" s="292"/>
      <c r="UMK17" s="292"/>
      <c r="UML17" s="292"/>
      <c r="UMM17" s="292"/>
      <c r="UMN17" s="292"/>
      <c r="UMO17" s="292"/>
      <c r="UMP17" s="292"/>
      <c r="UMQ17" s="292"/>
      <c r="UMR17" s="292"/>
      <c r="UMS17" s="292"/>
      <c r="UMT17" s="292"/>
      <c r="UMU17" s="292"/>
      <c r="UMV17" s="292"/>
      <c r="UMW17" s="292"/>
      <c r="UMX17" s="292"/>
      <c r="UMY17" s="292"/>
      <c r="UMZ17" s="292"/>
      <c r="UNA17" s="292"/>
      <c r="UNB17" s="292"/>
      <c r="UNC17" s="292"/>
      <c r="UND17" s="292"/>
      <c r="UNE17" s="292"/>
      <c r="UNF17" s="292"/>
      <c r="UNG17" s="292"/>
      <c r="UNH17" s="292"/>
      <c r="UNI17" s="292"/>
      <c r="UNJ17" s="292"/>
      <c r="UNK17" s="292"/>
      <c r="UNL17" s="292"/>
      <c r="UNM17" s="292"/>
      <c r="UNN17" s="292"/>
      <c r="UNO17" s="292"/>
      <c r="UNP17" s="292"/>
      <c r="UNQ17" s="292"/>
      <c r="UNR17" s="292"/>
      <c r="UNS17" s="292"/>
      <c r="UNT17" s="292"/>
      <c r="UNU17" s="292"/>
      <c r="UNV17" s="292"/>
      <c r="UNW17" s="292"/>
      <c r="UNX17" s="292"/>
      <c r="UNY17" s="292"/>
      <c r="UNZ17" s="292"/>
      <c r="UOA17" s="292"/>
      <c r="UOB17" s="292"/>
      <c r="UOC17" s="292"/>
      <c r="UOD17" s="292"/>
      <c r="UOE17" s="292"/>
      <c r="UOF17" s="292"/>
      <c r="UOG17" s="292"/>
      <c r="UOH17" s="292"/>
      <c r="UOI17" s="292"/>
      <c r="UOJ17" s="292"/>
      <c r="UOK17" s="292"/>
      <c r="UOL17" s="292"/>
      <c r="UOM17" s="292"/>
      <c r="UON17" s="292"/>
      <c r="UOO17" s="292"/>
      <c r="UOP17" s="292"/>
      <c r="UOQ17" s="292"/>
      <c r="UOR17" s="292"/>
      <c r="UOS17" s="292"/>
      <c r="UOT17" s="292"/>
      <c r="UOU17" s="292"/>
      <c r="UOV17" s="292"/>
      <c r="UOW17" s="292"/>
      <c r="UOX17" s="292"/>
      <c r="UOY17" s="292"/>
      <c r="UOZ17" s="292"/>
      <c r="UPA17" s="292"/>
      <c r="UPB17" s="292"/>
      <c r="UPC17" s="292"/>
      <c r="UPD17" s="292"/>
      <c r="UPE17" s="292"/>
      <c r="UPF17" s="292"/>
      <c r="UPG17" s="292"/>
      <c r="UPH17" s="292"/>
      <c r="UPI17" s="292"/>
      <c r="UPJ17" s="292"/>
      <c r="UPK17" s="292"/>
      <c r="UPL17" s="292"/>
      <c r="UPM17" s="292"/>
      <c r="UPN17" s="292"/>
      <c r="UPO17" s="292"/>
      <c r="UPP17" s="292"/>
      <c r="UPQ17" s="292"/>
      <c r="UPR17" s="292"/>
      <c r="UPS17" s="292"/>
      <c r="UPT17" s="292"/>
      <c r="UPU17" s="292"/>
      <c r="UPV17" s="292"/>
      <c r="UPW17" s="292"/>
      <c r="UPX17" s="292"/>
      <c r="UPY17" s="292"/>
      <c r="UPZ17" s="292"/>
      <c r="UQA17" s="292"/>
      <c r="UQB17" s="292"/>
      <c r="UQC17" s="292"/>
      <c r="UQD17" s="292"/>
      <c r="UQE17" s="292"/>
      <c r="UQF17" s="292"/>
      <c r="UQG17" s="292"/>
      <c r="UQH17" s="292"/>
      <c r="UQI17" s="292"/>
      <c r="UQJ17" s="292"/>
      <c r="UQK17" s="292"/>
      <c r="UQL17" s="292"/>
      <c r="UQM17" s="292"/>
      <c r="UQN17" s="292"/>
      <c r="UQO17" s="292"/>
      <c r="UQP17" s="292"/>
      <c r="UQQ17" s="292"/>
      <c r="UQR17" s="292"/>
      <c r="UQS17" s="292"/>
      <c r="UQT17" s="292"/>
      <c r="UQU17" s="292"/>
      <c r="UQV17" s="292"/>
      <c r="UQW17" s="292"/>
      <c r="UQX17" s="292"/>
      <c r="UQY17" s="292"/>
      <c r="UQZ17" s="292"/>
      <c r="URA17" s="292"/>
      <c r="URB17" s="292"/>
      <c r="URC17" s="292"/>
      <c r="URD17" s="292"/>
      <c r="URE17" s="292"/>
      <c r="URF17" s="292"/>
      <c r="URG17" s="292"/>
      <c r="URH17" s="292"/>
      <c r="URI17" s="292"/>
      <c r="URJ17" s="292"/>
      <c r="URK17" s="292"/>
      <c r="URL17" s="292"/>
      <c r="URM17" s="292"/>
      <c r="URN17" s="292"/>
      <c r="URO17" s="292"/>
      <c r="URP17" s="292"/>
      <c r="URQ17" s="292"/>
      <c r="URR17" s="292"/>
      <c r="URS17" s="292"/>
      <c r="URT17" s="292"/>
      <c r="URU17" s="292"/>
      <c r="URV17" s="292"/>
      <c r="URW17" s="292"/>
      <c r="URX17" s="292"/>
      <c r="URY17" s="292"/>
      <c r="URZ17" s="292"/>
      <c r="USA17" s="292"/>
      <c r="USB17" s="292"/>
      <c r="USC17" s="292"/>
      <c r="USD17" s="292"/>
      <c r="USE17" s="292"/>
      <c r="USF17" s="292"/>
      <c r="USG17" s="292"/>
      <c r="USH17" s="292"/>
      <c r="USI17" s="292"/>
      <c r="USJ17" s="292"/>
      <c r="USK17" s="292"/>
      <c r="USL17" s="292"/>
      <c r="USM17" s="292"/>
      <c r="USN17" s="292"/>
      <c r="USO17" s="292"/>
      <c r="USP17" s="292"/>
      <c r="USQ17" s="292"/>
      <c r="USR17" s="292"/>
      <c r="USS17" s="292"/>
      <c r="UST17" s="292"/>
      <c r="USU17" s="292"/>
      <c r="USV17" s="292"/>
      <c r="USW17" s="292"/>
      <c r="USX17" s="292"/>
      <c r="USY17" s="292"/>
      <c r="USZ17" s="292"/>
      <c r="UTA17" s="292"/>
      <c r="UTB17" s="292"/>
      <c r="UTC17" s="292"/>
      <c r="UTD17" s="292"/>
      <c r="UTE17" s="292"/>
      <c r="UTF17" s="292"/>
      <c r="UTG17" s="292"/>
      <c r="UTH17" s="292"/>
      <c r="UTI17" s="292"/>
      <c r="UTJ17" s="292"/>
      <c r="UTK17" s="292"/>
      <c r="UTL17" s="292"/>
      <c r="UTM17" s="292"/>
      <c r="UTN17" s="292"/>
      <c r="UTO17" s="292"/>
      <c r="UTP17" s="292"/>
      <c r="UTQ17" s="292"/>
      <c r="UTR17" s="292"/>
      <c r="UTS17" s="292"/>
      <c r="UTT17" s="292"/>
      <c r="UTU17" s="292"/>
      <c r="UTV17" s="292"/>
      <c r="UTW17" s="292"/>
      <c r="UTX17" s="292"/>
      <c r="UTY17" s="292"/>
      <c r="UTZ17" s="292"/>
      <c r="UUA17" s="292"/>
      <c r="UUB17" s="292"/>
      <c r="UUC17" s="292"/>
      <c r="UUD17" s="292"/>
      <c r="UUE17" s="292"/>
      <c r="UUF17" s="292"/>
      <c r="UUG17" s="292"/>
      <c r="UUH17" s="292"/>
      <c r="UUI17" s="292"/>
      <c r="UUJ17" s="292"/>
      <c r="UUK17" s="292"/>
      <c r="UUL17" s="292"/>
      <c r="UUM17" s="292"/>
      <c r="UUN17" s="292"/>
      <c r="UUO17" s="292"/>
      <c r="UUP17" s="292"/>
      <c r="UUQ17" s="292"/>
      <c r="UUR17" s="292"/>
      <c r="UUS17" s="292"/>
      <c r="UUT17" s="292"/>
      <c r="UUU17" s="292"/>
      <c r="UUV17" s="292"/>
      <c r="UUW17" s="292"/>
      <c r="UUX17" s="292"/>
      <c r="UUY17" s="292"/>
      <c r="UUZ17" s="292"/>
      <c r="UVA17" s="292"/>
      <c r="UVB17" s="292"/>
      <c r="UVC17" s="292"/>
      <c r="UVD17" s="292"/>
      <c r="UVE17" s="292"/>
      <c r="UVF17" s="292"/>
      <c r="UVG17" s="292"/>
      <c r="UVH17" s="292"/>
      <c r="UVI17" s="292"/>
      <c r="UVJ17" s="292"/>
      <c r="UVK17" s="292"/>
      <c r="UVL17" s="292"/>
      <c r="UVM17" s="292"/>
      <c r="UVN17" s="292"/>
      <c r="UVO17" s="292"/>
      <c r="UVP17" s="292"/>
      <c r="UVQ17" s="292"/>
      <c r="UVR17" s="292"/>
      <c r="UVS17" s="292"/>
      <c r="UVT17" s="292"/>
      <c r="UVU17" s="292"/>
      <c r="UVV17" s="292"/>
      <c r="UVW17" s="292"/>
      <c r="UVX17" s="292"/>
      <c r="UVY17" s="292"/>
      <c r="UVZ17" s="292"/>
      <c r="UWA17" s="292"/>
      <c r="UWB17" s="292"/>
      <c r="UWC17" s="292"/>
      <c r="UWD17" s="292"/>
      <c r="UWE17" s="292"/>
      <c r="UWF17" s="292"/>
      <c r="UWG17" s="292"/>
      <c r="UWH17" s="292"/>
      <c r="UWI17" s="292"/>
      <c r="UWJ17" s="292"/>
      <c r="UWK17" s="292"/>
      <c r="UWL17" s="292"/>
      <c r="UWM17" s="292"/>
      <c r="UWN17" s="292"/>
      <c r="UWO17" s="292"/>
      <c r="UWP17" s="292"/>
      <c r="UWQ17" s="292"/>
      <c r="UWR17" s="292"/>
      <c r="UWS17" s="292"/>
      <c r="UWT17" s="292"/>
      <c r="UWU17" s="292"/>
      <c r="UWV17" s="292"/>
      <c r="UWW17" s="292"/>
      <c r="UWX17" s="292"/>
      <c r="UWY17" s="292"/>
      <c r="UWZ17" s="292"/>
      <c r="UXA17" s="292"/>
      <c r="UXB17" s="292"/>
      <c r="UXC17" s="292"/>
      <c r="UXD17" s="292"/>
      <c r="UXE17" s="292"/>
      <c r="UXF17" s="292"/>
      <c r="UXG17" s="292"/>
      <c r="UXH17" s="292"/>
      <c r="UXI17" s="292"/>
      <c r="UXJ17" s="292"/>
      <c r="UXK17" s="292"/>
      <c r="UXL17" s="292"/>
      <c r="UXM17" s="292"/>
      <c r="UXN17" s="292"/>
      <c r="UXO17" s="292"/>
      <c r="UXP17" s="292"/>
      <c r="UXQ17" s="292"/>
      <c r="UXR17" s="292"/>
      <c r="UXS17" s="292"/>
      <c r="UXT17" s="292"/>
      <c r="UXU17" s="292"/>
      <c r="UXV17" s="292"/>
      <c r="UXW17" s="292"/>
      <c r="UXX17" s="292"/>
      <c r="UXY17" s="292"/>
      <c r="UXZ17" s="292"/>
      <c r="UYA17" s="292"/>
      <c r="UYB17" s="292"/>
      <c r="UYC17" s="292"/>
      <c r="UYD17" s="292"/>
      <c r="UYE17" s="292"/>
      <c r="UYF17" s="292"/>
      <c r="UYG17" s="292"/>
      <c r="UYH17" s="292"/>
      <c r="UYI17" s="292"/>
      <c r="UYJ17" s="292"/>
      <c r="UYK17" s="292"/>
      <c r="UYL17" s="292"/>
      <c r="UYM17" s="292"/>
      <c r="UYN17" s="292"/>
      <c r="UYO17" s="292"/>
      <c r="UYP17" s="292"/>
      <c r="UYQ17" s="292"/>
      <c r="UYR17" s="292"/>
      <c r="UYS17" s="292"/>
      <c r="UYT17" s="292"/>
      <c r="UYU17" s="292"/>
      <c r="UYV17" s="292"/>
      <c r="UYW17" s="292"/>
      <c r="UYX17" s="292"/>
      <c r="UYY17" s="292"/>
      <c r="UYZ17" s="292"/>
      <c r="UZA17" s="292"/>
      <c r="UZB17" s="292"/>
      <c r="UZC17" s="292"/>
      <c r="UZD17" s="292"/>
      <c r="UZE17" s="292"/>
      <c r="UZF17" s="292"/>
      <c r="UZG17" s="292"/>
      <c r="UZH17" s="292"/>
      <c r="UZI17" s="292"/>
      <c r="UZJ17" s="292"/>
      <c r="UZK17" s="292"/>
      <c r="UZL17" s="292"/>
      <c r="UZM17" s="292"/>
      <c r="UZN17" s="292"/>
      <c r="UZO17" s="292"/>
      <c r="UZP17" s="292"/>
      <c r="UZQ17" s="292"/>
      <c r="UZR17" s="292"/>
      <c r="UZS17" s="292"/>
      <c r="UZT17" s="292"/>
      <c r="UZU17" s="292"/>
      <c r="UZV17" s="292"/>
      <c r="UZW17" s="292"/>
      <c r="UZX17" s="292"/>
      <c r="UZY17" s="292"/>
      <c r="UZZ17" s="292"/>
      <c r="VAA17" s="292"/>
      <c r="VAB17" s="292"/>
      <c r="VAC17" s="292"/>
      <c r="VAD17" s="292"/>
      <c r="VAE17" s="292"/>
      <c r="VAF17" s="292"/>
      <c r="VAG17" s="292"/>
      <c r="VAH17" s="292"/>
      <c r="VAI17" s="292"/>
      <c r="VAJ17" s="292"/>
      <c r="VAK17" s="292"/>
      <c r="VAL17" s="292"/>
      <c r="VAM17" s="292"/>
      <c r="VAN17" s="292"/>
      <c r="VAO17" s="292"/>
      <c r="VAP17" s="292"/>
      <c r="VAQ17" s="292"/>
      <c r="VAR17" s="292"/>
      <c r="VAS17" s="292"/>
      <c r="VAT17" s="292"/>
      <c r="VAU17" s="292"/>
      <c r="VAV17" s="292"/>
      <c r="VAW17" s="292"/>
      <c r="VAX17" s="292"/>
      <c r="VAY17" s="292"/>
      <c r="VAZ17" s="292"/>
      <c r="VBA17" s="292"/>
      <c r="VBB17" s="292"/>
      <c r="VBC17" s="292"/>
      <c r="VBD17" s="292"/>
      <c r="VBE17" s="292"/>
      <c r="VBF17" s="292"/>
      <c r="VBG17" s="292"/>
      <c r="VBH17" s="292"/>
      <c r="VBI17" s="292"/>
      <c r="VBJ17" s="292"/>
      <c r="VBK17" s="292"/>
      <c r="VBL17" s="292"/>
      <c r="VBM17" s="292"/>
      <c r="VBN17" s="292"/>
      <c r="VBO17" s="292"/>
      <c r="VBP17" s="292"/>
      <c r="VBQ17" s="292"/>
      <c r="VBR17" s="292"/>
      <c r="VBS17" s="292"/>
      <c r="VBT17" s="292"/>
      <c r="VBU17" s="292"/>
      <c r="VBV17" s="292"/>
      <c r="VBW17" s="292"/>
      <c r="VBX17" s="292"/>
      <c r="VBY17" s="292"/>
      <c r="VBZ17" s="292"/>
      <c r="VCA17" s="292"/>
      <c r="VCB17" s="292"/>
      <c r="VCC17" s="292"/>
      <c r="VCD17" s="292"/>
      <c r="VCE17" s="292"/>
      <c r="VCF17" s="292"/>
      <c r="VCG17" s="292"/>
      <c r="VCH17" s="292"/>
      <c r="VCI17" s="292"/>
      <c r="VCJ17" s="292"/>
      <c r="VCK17" s="292"/>
      <c r="VCL17" s="292"/>
      <c r="VCM17" s="292"/>
      <c r="VCN17" s="292"/>
      <c r="VCO17" s="292"/>
      <c r="VCP17" s="292"/>
      <c r="VCQ17" s="292"/>
      <c r="VCR17" s="292"/>
      <c r="VCS17" s="292"/>
      <c r="VCT17" s="292"/>
      <c r="VCU17" s="292"/>
      <c r="VCV17" s="292"/>
      <c r="VCW17" s="292"/>
      <c r="VCX17" s="292"/>
      <c r="VCY17" s="292"/>
      <c r="VCZ17" s="292"/>
      <c r="VDA17" s="292"/>
      <c r="VDB17" s="292"/>
      <c r="VDC17" s="292"/>
      <c r="VDD17" s="292"/>
      <c r="VDE17" s="292"/>
      <c r="VDF17" s="292"/>
      <c r="VDG17" s="292"/>
      <c r="VDH17" s="292"/>
      <c r="VDI17" s="292"/>
      <c r="VDJ17" s="292"/>
      <c r="VDK17" s="292"/>
      <c r="VDL17" s="292"/>
      <c r="VDM17" s="292"/>
      <c r="VDN17" s="292"/>
      <c r="VDO17" s="292"/>
      <c r="VDP17" s="292"/>
      <c r="VDQ17" s="292"/>
      <c r="VDR17" s="292"/>
      <c r="VDS17" s="292"/>
      <c r="VDT17" s="292"/>
      <c r="VDU17" s="292"/>
      <c r="VDV17" s="292"/>
      <c r="VDW17" s="292"/>
      <c r="VDX17" s="292"/>
      <c r="VDY17" s="292"/>
      <c r="VDZ17" s="292"/>
      <c r="VEA17" s="292"/>
      <c r="VEB17" s="292"/>
      <c r="VEC17" s="292"/>
      <c r="VED17" s="292"/>
      <c r="VEE17" s="292"/>
      <c r="VEF17" s="292"/>
      <c r="VEG17" s="292"/>
      <c r="VEH17" s="292"/>
      <c r="VEI17" s="292"/>
      <c r="VEJ17" s="292"/>
      <c r="VEK17" s="292"/>
      <c r="VEL17" s="292"/>
      <c r="VEM17" s="292"/>
      <c r="VEN17" s="292"/>
      <c r="VEO17" s="292"/>
      <c r="VEP17" s="292"/>
      <c r="VEQ17" s="292"/>
      <c r="VER17" s="292"/>
      <c r="VES17" s="292"/>
      <c r="VET17" s="292"/>
      <c r="VEU17" s="292"/>
      <c r="VEV17" s="292"/>
      <c r="VEW17" s="292"/>
      <c r="VEX17" s="292"/>
      <c r="VEY17" s="292"/>
      <c r="VEZ17" s="292"/>
      <c r="VFA17" s="292"/>
      <c r="VFB17" s="292"/>
      <c r="VFC17" s="292"/>
      <c r="VFD17" s="292"/>
      <c r="VFE17" s="292"/>
      <c r="VFF17" s="292"/>
      <c r="VFG17" s="292"/>
      <c r="VFH17" s="292"/>
      <c r="VFI17" s="292"/>
      <c r="VFJ17" s="292"/>
      <c r="VFK17" s="292"/>
      <c r="VFL17" s="292"/>
      <c r="VFM17" s="292"/>
      <c r="VFN17" s="292"/>
      <c r="VFO17" s="292"/>
      <c r="VFP17" s="292"/>
      <c r="VFQ17" s="292"/>
      <c r="VFR17" s="292"/>
      <c r="VFS17" s="292"/>
      <c r="VFT17" s="292"/>
      <c r="VFU17" s="292"/>
      <c r="VFV17" s="292"/>
      <c r="VFW17" s="292"/>
      <c r="VFX17" s="292"/>
      <c r="VFY17" s="292"/>
      <c r="VFZ17" s="292"/>
      <c r="VGA17" s="292"/>
      <c r="VGB17" s="292"/>
      <c r="VGC17" s="292"/>
      <c r="VGD17" s="292"/>
      <c r="VGE17" s="292"/>
      <c r="VGF17" s="292"/>
      <c r="VGG17" s="292"/>
      <c r="VGH17" s="292"/>
      <c r="VGI17" s="292"/>
      <c r="VGJ17" s="292"/>
      <c r="VGK17" s="292"/>
      <c r="VGL17" s="292"/>
      <c r="VGM17" s="292"/>
      <c r="VGN17" s="292"/>
      <c r="VGO17" s="292"/>
      <c r="VGP17" s="292"/>
      <c r="VGQ17" s="292"/>
      <c r="VGR17" s="292"/>
      <c r="VGS17" s="292"/>
      <c r="VGT17" s="292"/>
      <c r="VGU17" s="292"/>
      <c r="VGV17" s="292"/>
      <c r="VGW17" s="292"/>
      <c r="VGX17" s="292"/>
      <c r="VGY17" s="292"/>
      <c r="VGZ17" s="292"/>
      <c r="VHA17" s="292"/>
      <c r="VHB17" s="292"/>
      <c r="VHC17" s="292"/>
      <c r="VHD17" s="292"/>
      <c r="VHE17" s="292"/>
      <c r="VHF17" s="292"/>
      <c r="VHG17" s="292"/>
      <c r="VHH17" s="292"/>
      <c r="VHI17" s="292"/>
      <c r="VHJ17" s="292"/>
      <c r="VHK17" s="292"/>
      <c r="VHL17" s="292"/>
      <c r="VHM17" s="292"/>
      <c r="VHN17" s="292"/>
      <c r="VHO17" s="292"/>
      <c r="VHP17" s="292"/>
      <c r="VHQ17" s="292"/>
      <c r="VHR17" s="292"/>
      <c r="VHS17" s="292"/>
      <c r="VHT17" s="292"/>
      <c r="VHU17" s="292"/>
      <c r="VHV17" s="292"/>
      <c r="VHW17" s="292"/>
      <c r="VHX17" s="292"/>
      <c r="VHY17" s="292"/>
      <c r="VHZ17" s="292"/>
      <c r="VIA17" s="292"/>
      <c r="VIB17" s="292"/>
      <c r="VIC17" s="292"/>
      <c r="VID17" s="292"/>
      <c r="VIE17" s="292"/>
      <c r="VIF17" s="292"/>
      <c r="VIG17" s="292"/>
      <c r="VIH17" s="292"/>
      <c r="VII17" s="292"/>
      <c r="VIJ17" s="292"/>
      <c r="VIK17" s="292"/>
      <c r="VIL17" s="292"/>
      <c r="VIM17" s="292"/>
      <c r="VIN17" s="292"/>
      <c r="VIO17" s="292"/>
      <c r="VIP17" s="292"/>
      <c r="VIQ17" s="292"/>
      <c r="VIR17" s="292"/>
      <c r="VIS17" s="292"/>
      <c r="VIT17" s="292"/>
      <c r="VIU17" s="292"/>
      <c r="VIV17" s="292"/>
      <c r="VIW17" s="292"/>
      <c r="VIX17" s="292"/>
      <c r="VIY17" s="292"/>
      <c r="VIZ17" s="292"/>
      <c r="VJA17" s="292"/>
      <c r="VJB17" s="292"/>
      <c r="VJC17" s="292"/>
      <c r="VJD17" s="292"/>
      <c r="VJE17" s="292"/>
      <c r="VJF17" s="292"/>
      <c r="VJG17" s="292"/>
      <c r="VJH17" s="292"/>
      <c r="VJI17" s="292"/>
      <c r="VJJ17" s="292"/>
      <c r="VJK17" s="292"/>
      <c r="VJL17" s="292"/>
      <c r="VJM17" s="292"/>
      <c r="VJN17" s="292"/>
      <c r="VJO17" s="292"/>
      <c r="VJP17" s="292"/>
      <c r="VJQ17" s="292"/>
      <c r="VJR17" s="292"/>
      <c r="VJS17" s="292"/>
      <c r="VJT17" s="292"/>
      <c r="VJU17" s="292"/>
      <c r="VJV17" s="292"/>
      <c r="VJW17" s="292"/>
      <c r="VJX17" s="292"/>
      <c r="VJY17" s="292"/>
      <c r="VJZ17" s="292"/>
      <c r="VKA17" s="292"/>
      <c r="VKB17" s="292"/>
      <c r="VKC17" s="292"/>
      <c r="VKD17" s="292"/>
      <c r="VKE17" s="292"/>
      <c r="VKF17" s="292"/>
      <c r="VKG17" s="292"/>
      <c r="VKH17" s="292"/>
      <c r="VKI17" s="292"/>
      <c r="VKJ17" s="292"/>
      <c r="VKK17" s="292"/>
      <c r="VKL17" s="292"/>
      <c r="VKM17" s="292"/>
      <c r="VKN17" s="292"/>
      <c r="VKO17" s="292"/>
      <c r="VKP17" s="292"/>
      <c r="VKQ17" s="292"/>
      <c r="VKR17" s="292"/>
      <c r="VKS17" s="292"/>
      <c r="VKT17" s="292"/>
      <c r="VKU17" s="292"/>
      <c r="VKV17" s="292"/>
      <c r="VKW17" s="292"/>
      <c r="VKX17" s="292"/>
      <c r="VKY17" s="292"/>
      <c r="VKZ17" s="292"/>
      <c r="VLA17" s="292"/>
      <c r="VLB17" s="292"/>
      <c r="VLC17" s="292"/>
      <c r="VLD17" s="292"/>
      <c r="VLE17" s="292"/>
      <c r="VLF17" s="292"/>
      <c r="VLG17" s="292"/>
      <c r="VLH17" s="292"/>
      <c r="VLI17" s="292"/>
      <c r="VLJ17" s="292"/>
      <c r="VLK17" s="292"/>
      <c r="VLL17" s="292"/>
      <c r="VLM17" s="292"/>
      <c r="VLN17" s="292"/>
      <c r="VLO17" s="292"/>
      <c r="VLP17" s="292"/>
      <c r="VLQ17" s="292"/>
      <c r="VLR17" s="292"/>
      <c r="VLS17" s="292"/>
      <c r="VLT17" s="292"/>
      <c r="VLU17" s="292"/>
      <c r="VLV17" s="292"/>
      <c r="VLW17" s="292"/>
      <c r="VLX17" s="292"/>
      <c r="VLY17" s="292"/>
      <c r="VLZ17" s="292"/>
      <c r="VMA17" s="292"/>
      <c r="VMB17" s="292"/>
      <c r="VMC17" s="292"/>
      <c r="VMD17" s="292"/>
      <c r="VME17" s="292"/>
      <c r="VMF17" s="292"/>
      <c r="VMG17" s="292"/>
      <c r="VMH17" s="292"/>
      <c r="VMI17" s="292"/>
      <c r="VMJ17" s="292"/>
      <c r="VMK17" s="292"/>
      <c r="VML17" s="292"/>
      <c r="VMM17" s="292"/>
      <c r="VMN17" s="292"/>
      <c r="VMO17" s="292"/>
      <c r="VMP17" s="292"/>
      <c r="VMQ17" s="292"/>
      <c r="VMR17" s="292"/>
      <c r="VMS17" s="292"/>
      <c r="VMT17" s="292"/>
      <c r="VMU17" s="292"/>
      <c r="VMV17" s="292"/>
      <c r="VMW17" s="292"/>
      <c r="VMX17" s="292"/>
      <c r="VMY17" s="292"/>
      <c r="VMZ17" s="292"/>
      <c r="VNA17" s="292"/>
      <c r="VNB17" s="292"/>
      <c r="VNC17" s="292"/>
      <c r="VND17" s="292"/>
      <c r="VNE17" s="292"/>
      <c r="VNF17" s="292"/>
      <c r="VNG17" s="292"/>
      <c r="VNH17" s="292"/>
      <c r="VNI17" s="292"/>
      <c r="VNJ17" s="292"/>
      <c r="VNK17" s="292"/>
      <c r="VNL17" s="292"/>
      <c r="VNM17" s="292"/>
      <c r="VNN17" s="292"/>
      <c r="VNO17" s="292"/>
      <c r="VNP17" s="292"/>
      <c r="VNQ17" s="292"/>
      <c r="VNR17" s="292"/>
      <c r="VNS17" s="292"/>
      <c r="VNT17" s="292"/>
      <c r="VNU17" s="292"/>
      <c r="VNV17" s="292"/>
      <c r="VNW17" s="292"/>
      <c r="VNX17" s="292"/>
      <c r="VNY17" s="292"/>
      <c r="VNZ17" s="292"/>
      <c r="VOA17" s="292"/>
      <c r="VOB17" s="292"/>
      <c r="VOC17" s="292"/>
      <c r="VOD17" s="292"/>
      <c r="VOE17" s="292"/>
      <c r="VOF17" s="292"/>
      <c r="VOG17" s="292"/>
      <c r="VOH17" s="292"/>
      <c r="VOI17" s="292"/>
      <c r="VOJ17" s="292"/>
      <c r="VOK17" s="292"/>
      <c r="VOL17" s="292"/>
      <c r="VOM17" s="292"/>
      <c r="VON17" s="292"/>
      <c r="VOO17" s="292"/>
      <c r="VOP17" s="292"/>
      <c r="VOQ17" s="292"/>
      <c r="VOR17" s="292"/>
      <c r="VOS17" s="292"/>
      <c r="VOT17" s="292"/>
      <c r="VOU17" s="292"/>
      <c r="VOV17" s="292"/>
      <c r="VOW17" s="292"/>
      <c r="VOX17" s="292"/>
      <c r="VOY17" s="292"/>
      <c r="VOZ17" s="292"/>
      <c r="VPA17" s="292"/>
      <c r="VPB17" s="292"/>
      <c r="VPC17" s="292"/>
      <c r="VPD17" s="292"/>
      <c r="VPE17" s="292"/>
      <c r="VPF17" s="292"/>
      <c r="VPG17" s="292"/>
      <c r="VPH17" s="292"/>
      <c r="VPI17" s="292"/>
      <c r="VPJ17" s="292"/>
      <c r="VPK17" s="292"/>
      <c r="VPL17" s="292"/>
      <c r="VPM17" s="292"/>
      <c r="VPN17" s="292"/>
      <c r="VPO17" s="292"/>
      <c r="VPP17" s="292"/>
      <c r="VPQ17" s="292"/>
      <c r="VPR17" s="292"/>
      <c r="VPS17" s="292"/>
      <c r="VPT17" s="292"/>
      <c r="VPU17" s="292"/>
      <c r="VPV17" s="292"/>
      <c r="VPW17" s="292"/>
      <c r="VPX17" s="292"/>
      <c r="VPY17" s="292"/>
      <c r="VPZ17" s="292"/>
      <c r="VQA17" s="292"/>
      <c r="VQB17" s="292"/>
      <c r="VQC17" s="292"/>
      <c r="VQD17" s="292"/>
      <c r="VQE17" s="292"/>
      <c r="VQF17" s="292"/>
      <c r="VQG17" s="292"/>
      <c r="VQH17" s="292"/>
      <c r="VQI17" s="292"/>
      <c r="VQJ17" s="292"/>
      <c r="VQK17" s="292"/>
      <c r="VQL17" s="292"/>
      <c r="VQM17" s="292"/>
      <c r="VQN17" s="292"/>
      <c r="VQO17" s="292"/>
      <c r="VQP17" s="292"/>
      <c r="VQQ17" s="292"/>
      <c r="VQR17" s="292"/>
      <c r="VQS17" s="292"/>
      <c r="VQT17" s="292"/>
      <c r="VQU17" s="292"/>
      <c r="VQV17" s="292"/>
      <c r="VQW17" s="292"/>
      <c r="VQX17" s="292"/>
      <c r="VQY17" s="292"/>
      <c r="VQZ17" s="292"/>
      <c r="VRA17" s="292"/>
      <c r="VRB17" s="292"/>
      <c r="VRC17" s="292"/>
      <c r="VRD17" s="292"/>
      <c r="VRE17" s="292"/>
      <c r="VRF17" s="292"/>
      <c r="VRG17" s="292"/>
      <c r="VRH17" s="292"/>
      <c r="VRI17" s="292"/>
      <c r="VRJ17" s="292"/>
      <c r="VRK17" s="292"/>
      <c r="VRL17" s="292"/>
      <c r="VRM17" s="292"/>
      <c r="VRN17" s="292"/>
      <c r="VRO17" s="292"/>
      <c r="VRP17" s="292"/>
      <c r="VRQ17" s="292"/>
      <c r="VRR17" s="292"/>
      <c r="VRS17" s="292"/>
      <c r="VRT17" s="292"/>
      <c r="VRU17" s="292"/>
      <c r="VRV17" s="292"/>
      <c r="VRW17" s="292"/>
      <c r="VRX17" s="292"/>
      <c r="VRY17" s="292"/>
      <c r="VRZ17" s="292"/>
      <c r="VSA17" s="292"/>
      <c r="VSB17" s="292"/>
      <c r="VSC17" s="292"/>
      <c r="VSD17" s="292"/>
      <c r="VSE17" s="292"/>
      <c r="VSF17" s="292"/>
      <c r="VSG17" s="292"/>
      <c r="VSH17" s="292"/>
      <c r="VSI17" s="292"/>
      <c r="VSJ17" s="292"/>
      <c r="VSK17" s="292"/>
      <c r="VSL17" s="292"/>
      <c r="VSM17" s="292"/>
      <c r="VSN17" s="292"/>
      <c r="VSO17" s="292"/>
      <c r="VSP17" s="292"/>
      <c r="VSQ17" s="292"/>
      <c r="VSR17" s="292"/>
      <c r="VSS17" s="292"/>
      <c r="VST17" s="292"/>
      <c r="VSU17" s="292"/>
      <c r="VSV17" s="292"/>
      <c r="VSW17" s="292"/>
      <c r="VSX17" s="292"/>
      <c r="VSY17" s="292"/>
      <c r="VSZ17" s="292"/>
      <c r="VTA17" s="292"/>
      <c r="VTB17" s="292"/>
      <c r="VTC17" s="292"/>
      <c r="VTD17" s="292"/>
      <c r="VTE17" s="292"/>
      <c r="VTF17" s="292"/>
      <c r="VTG17" s="292"/>
      <c r="VTH17" s="292"/>
      <c r="VTI17" s="292"/>
      <c r="VTJ17" s="292"/>
      <c r="VTK17" s="292"/>
      <c r="VTL17" s="292"/>
      <c r="VTM17" s="292"/>
      <c r="VTN17" s="292"/>
      <c r="VTO17" s="292"/>
      <c r="VTP17" s="292"/>
      <c r="VTQ17" s="292"/>
      <c r="VTR17" s="292"/>
      <c r="VTS17" s="292"/>
      <c r="VTT17" s="292"/>
      <c r="VTU17" s="292"/>
      <c r="VTV17" s="292"/>
      <c r="VTW17" s="292"/>
      <c r="VTX17" s="292"/>
      <c r="VTY17" s="292"/>
      <c r="VTZ17" s="292"/>
      <c r="VUA17" s="292"/>
      <c r="VUB17" s="292"/>
      <c r="VUC17" s="292"/>
      <c r="VUD17" s="292"/>
      <c r="VUE17" s="292"/>
      <c r="VUF17" s="292"/>
      <c r="VUG17" s="292"/>
      <c r="VUH17" s="292"/>
      <c r="VUI17" s="292"/>
      <c r="VUJ17" s="292"/>
      <c r="VUK17" s="292"/>
      <c r="VUL17" s="292"/>
      <c r="VUM17" s="292"/>
      <c r="VUN17" s="292"/>
      <c r="VUO17" s="292"/>
      <c r="VUP17" s="292"/>
      <c r="VUQ17" s="292"/>
      <c r="VUR17" s="292"/>
      <c r="VUS17" s="292"/>
      <c r="VUT17" s="292"/>
      <c r="VUU17" s="292"/>
      <c r="VUV17" s="292"/>
      <c r="VUW17" s="292"/>
      <c r="VUX17" s="292"/>
      <c r="VUY17" s="292"/>
      <c r="VUZ17" s="292"/>
      <c r="VVA17" s="292"/>
      <c r="VVB17" s="292"/>
      <c r="VVC17" s="292"/>
      <c r="VVD17" s="292"/>
      <c r="VVE17" s="292"/>
      <c r="VVF17" s="292"/>
      <c r="VVG17" s="292"/>
      <c r="VVH17" s="292"/>
      <c r="VVI17" s="292"/>
      <c r="VVJ17" s="292"/>
      <c r="VVK17" s="292"/>
      <c r="VVL17" s="292"/>
      <c r="VVM17" s="292"/>
      <c r="VVN17" s="292"/>
      <c r="VVO17" s="292"/>
      <c r="VVP17" s="292"/>
      <c r="VVQ17" s="292"/>
      <c r="VVR17" s="292"/>
      <c r="VVS17" s="292"/>
      <c r="VVT17" s="292"/>
      <c r="VVU17" s="292"/>
      <c r="VVV17" s="292"/>
      <c r="VVW17" s="292"/>
      <c r="VVX17" s="292"/>
      <c r="VVY17" s="292"/>
      <c r="VVZ17" s="292"/>
      <c r="VWA17" s="292"/>
      <c r="VWB17" s="292"/>
      <c r="VWC17" s="292"/>
      <c r="VWD17" s="292"/>
      <c r="VWE17" s="292"/>
      <c r="VWF17" s="292"/>
      <c r="VWG17" s="292"/>
      <c r="VWH17" s="292"/>
      <c r="VWI17" s="292"/>
      <c r="VWJ17" s="292"/>
      <c r="VWK17" s="292"/>
      <c r="VWL17" s="292"/>
      <c r="VWM17" s="292"/>
      <c r="VWN17" s="292"/>
      <c r="VWO17" s="292"/>
      <c r="VWP17" s="292"/>
      <c r="VWQ17" s="292"/>
      <c r="VWR17" s="292"/>
      <c r="VWS17" s="292"/>
      <c r="VWT17" s="292"/>
      <c r="VWU17" s="292"/>
      <c r="VWV17" s="292"/>
      <c r="VWW17" s="292"/>
      <c r="VWX17" s="292"/>
      <c r="VWY17" s="292"/>
      <c r="VWZ17" s="292"/>
      <c r="VXA17" s="292"/>
      <c r="VXB17" s="292"/>
      <c r="VXC17" s="292"/>
      <c r="VXD17" s="292"/>
      <c r="VXE17" s="292"/>
      <c r="VXF17" s="292"/>
      <c r="VXG17" s="292"/>
      <c r="VXH17" s="292"/>
      <c r="VXI17" s="292"/>
      <c r="VXJ17" s="292"/>
      <c r="VXK17" s="292"/>
      <c r="VXL17" s="292"/>
      <c r="VXM17" s="292"/>
      <c r="VXN17" s="292"/>
      <c r="VXO17" s="292"/>
      <c r="VXP17" s="292"/>
      <c r="VXQ17" s="292"/>
      <c r="VXR17" s="292"/>
      <c r="VXS17" s="292"/>
      <c r="VXT17" s="292"/>
      <c r="VXU17" s="292"/>
      <c r="VXV17" s="292"/>
      <c r="VXW17" s="292"/>
      <c r="VXX17" s="292"/>
      <c r="VXY17" s="292"/>
      <c r="VXZ17" s="292"/>
      <c r="VYA17" s="292"/>
      <c r="VYB17" s="292"/>
      <c r="VYC17" s="292"/>
      <c r="VYD17" s="292"/>
      <c r="VYE17" s="292"/>
      <c r="VYF17" s="292"/>
      <c r="VYG17" s="292"/>
      <c r="VYH17" s="292"/>
      <c r="VYI17" s="292"/>
      <c r="VYJ17" s="292"/>
      <c r="VYK17" s="292"/>
      <c r="VYL17" s="292"/>
      <c r="VYM17" s="292"/>
      <c r="VYN17" s="292"/>
      <c r="VYO17" s="292"/>
      <c r="VYP17" s="292"/>
      <c r="VYQ17" s="292"/>
      <c r="VYR17" s="292"/>
      <c r="VYS17" s="292"/>
      <c r="VYT17" s="292"/>
      <c r="VYU17" s="292"/>
      <c r="VYV17" s="292"/>
      <c r="VYW17" s="292"/>
      <c r="VYX17" s="292"/>
      <c r="VYY17" s="292"/>
      <c r="VYZ17" s="292"/>
      <c r="VZA17" s="292"/>
      <c r="VZB17" s="292"/>
      <c r="VZC17" s="292"/>
      <c r="VZD17" s="292"/>
      <c r="VZE17" s="292"/>
      <c r="VZF17" s="292"/>
      <c r="VZG17" s="292"/>
      <c r="VZH17" s="292"/>
      <c r="VZI17" s="292"/>
      <c r="VZJ17" s="292"/>
      <c r="VZK17" s="292"/>
      <c r="VZL17" s="292"/>
      <c r="VZM17" s="292"/>
      <c r="VZN17" s="292"/>
      <c r="VZO17" s="292"/>
      <c r="VZP17" s="292"/>
      <c r="VZQ17" s="292"/>
      <c r="VZR17" s="292"/>
      <c r="VZS17" s="292"/>
      <c r="VZT17" s="292"/>
      <c r="VZU17" s="292"/>
      <c r="VZV17" s="292"/>
      <c r="VZW17" s="292"/>
      <c r="VZX17" s="292"/>
      <c r="VZY17" s="292"/>
      <c r="VZZ17" s="292"/>
      <c r="WAA17" s="292"/>
      <c r="WAB17" s="292"/>
      <c r="WAC17" s="292"/>
      <c r="WAD17" s="292"/>
      <c r="WAE17" s="292"/>
      <c r="WAF17" s="292"/>
      <c r="WAG17" s="292"/>
      <c r="WAH17" s="292"/>
      <c r="WAI17" s="292"/>
      <c r="WAJ17" s="292"/>
      <c r="WAK17" s="292"/>
      <c r="WAL17" s="292"/>
      <c r="WAM17" s="292"/>
      <c r="WAN17" s="292"/>
      <c r="WAO17" s="292"/>
      <c r="WAP17" s="292"/>
      <c r="WAQ17" s="292"/>
      <c r="WAR17" s="292"/>
      <c r="WAS17" s="292"/>
      <c r="WAT17" s="292"/>
      <c r="WAU17" s="292"/>
      <c r="WAV17" s="292"/>
      <c r="WAW17" s="292"/>
      <c r="WAX17" s="292"/>
      <c r="WAY17" s="292"/>
      <c r="WAZ17" s="292"/>
      <c r="WBA17" s="292"/>
      <c r="WBB17" s="292"/>
      <c r="WBC17" s="292"/>
      <c r="WBD17" s="292"/>
      <c r="WBE17" s="292"/>
      <c r="WBF17" s="292"/>
      <c r="WBG17" s="292"/>
      <c r="WBH17" s="292"/>
      <c r="WBI17" s="292"/>
      <c r="WBJ17" s="292"/>
      <c r="WBK17" s="292"/>
      <c r="WBL17" s="292"/>
      <c r="WBM17" s="292"/>
      <c r="WBN17" s="292"/>
      <c r="WBO17" s="292"/>
      <c r="WBP17" s="292"/>
      <c r="WBQ17" s="292"/>
      <c r="WBR17" s="292"/>
      <c r="WBS17" s="292"/>
      <c r="WBT17" s="292"/>
      <c r="WBU17" s="292"/>
      <c r="WBV17" s="292"/>
      <c r="WBW17" s="292"/>
      <c r="WBX17" s="292"/>
      <c r="WBY17" s="292"/>
      <c r="WBZ17" s="292"/>
      <c r="WCA17" s="292"/>
      <c r="WCB17" s="292"/>
      <c r="WCC17" s="292"/>
      <c r="WCD17" s="292"/>
      <c r="WCE17" s="292"/>
      <c r="WCF17" s="292"/>
      <c r="WCG17" s="292"/>
      <c r="WCH17" s="292"/>
      <c r="WCI17" s="292"/>
      <c r="WCJ17" s="292"/>
      <c r="WCK17" s="292"/>
      <c r="WCL17" s="292"/>
      <c r="WCM17" s="292"/>
      <c r="WCN17" s="292"/>
      <c r="WCO17" s="292"/>
      <c r="WCP17" s="292"/>
      <c r="WCQ17" s="292"/>
      <c r="WCR17" s="292"/>
      <c r="WCS17" s="292"/>
      <c r="WCT17" s="292"/>
      <c r="WCU17" s="292"/>
      <c r="WCV17" s="292"/>
      <c r="WCW17" s="292"/>
      <c r="WCX17" s="292"/>
      <c r="WCY17" s="292"/>
      <c r="WCZ17" s="292"/>
      <c r="WDA17" s="292"/>
      <c r="WDB17" s="292"/>
      <c r="WDC17" s="292"/>
      <c r="WDD17" s="292"/>
      <c r="WDE17" s="292"/>
      <c r="WDF17" s="292"/>
      <c r="WDG17" s="292"/>
      <c r="WDH17" s="292"/>
      <c r="WDI17" s="292"/>
      <c r="WDJ17" s="292"/>
      <c r="WDK17" s="292"/>
      <c r="WDL17" s="292"/>
      <c r="WDM17" s="292"/>
      <c r="WDN17" s="292"/>
      <c r="WDO17" s="292"/>
      <c r="WDP17" s="292"/>
      <c r="WDQ17" s="292"/>
      <c r="WDR17" s="292"/>
      <c r="WDS17" s="292"/>
      <c r="WDT17" s="292"/>
      <c r="WDU17" s="292"/>
      <c r="WDV17" s="292"/>
      <c r="WDW17" s="292"/>
      <c r="WDX17" s="292"/>
      <c r="WDY17" s="292"/>
      <c r="WDZ17" s="292"/>
      <c r="WEA17" s="292"/>
      <c r="WEB17" s="292"/>
      <c r="WEC17" s="292"/>
      <c r="WED17" s="292"/>
      <c r="WEE17" s="292"/>
      <c r="WEF17" s="292"/>
      <c r="WEG17" s="292"/>
      <c r="WEH17" s="292"/>
      <c r="WEI17" s="292"/>
      <c r="WEJ17" s="292"/>
      <c r="WEK17" s="292"/>
      <c r="WEL17" s="292"/>
      <c r="WEM17" s="292"/>
      <c r="WEN17" s="292"/>
      <c r="WEO17" s="292"/>
      <c r="WEP17" s="292"/>
      <c r="WEQ17" s="292"/>
      <c r="WER17" s="292"/>
      <c r="WES17" s="292"/>
      <c r="WET17" s="292"/>
      <c r="WEU17" s="292"/>
      <c r="WEV17" s="292"/>
      <c r="WEW17" s="292"/>
      <c r="WEX17" s="292"/>
      <c r="WEY17" s="292"/>
      <c r="WEZ17" s="292"/>
      <c r="WFA17" s="292"/>
      <c r="WFB17" s="292"/>
      <c r="WFC17" s="292"/>
      <c r="WFD17" s="292"/>
      <c r="WFE17" s="292"/>
      <c r="WFF17" s="292"/>
      <c r="WFG17" s="292"/>
      <c r="WFH17" s="292"/>
      <c r="WFI17" s="292"/>
      <c r="WFJ17" s="292"/>
      <c r="WFK17" s="292"/>
      <c r="WFL17" s="292"/>
      <c r="WFM17" s="292"/>
      <c r="WFN17" s="292"/>
      <c r="WFO17" s="292"/>
      <c r="WFP17" s="292"/>
      <c r="WFQ17" s="292"/>
      <c r="WFR17" s="292"/>
      <c r="WFS17" s="292"/>
      <c r="WFT17" s="292"/>
      <c r="WFU17" s="292"/>
      <c r="WFV17" s="292"/>
      <c r="WFW17" s="292"/>
      <c r="WFX17" s="292"/>
      <c r="WFY17" s="292"/>
      <c r="WFZ17" s="292"/>
      <c r="WGA17" s="292"/>
      <c r="WGB17" s="292"/>
      <c r="WGC17" s="292"/>
      <c r="WGD17" s="292"/>
      <c r="WGE17" s="292"/>
      <c r="WGF17" s="292"/>
      <c r="WGG17" s="292"/>
      <c r="WGH17" s="292"/>
      <c r="WGI17" s="292"/>
      <c r="WGJ17" s="292"/>
      <c r="WGK17" s="292"/>
      <c r="WGL17" s="292"/>
      <c r="WGM17" s="292"/>
      <c r="WGN17" s="292"/>
      <c r="WGO17" s="292"/>
      <c r="WGP17" s="292"/>
      <c r="WGQ17" s="292"/>
      <c r="WGR17" s="292"/>
      <c r="WGS17" s="292"/>
      <c r="WGT17" s="292"/>
      <c r="WGU17" s="292"/>
      <c r="WGV17" s="292"/>
      <c r="WGW17" s="292"/>
      <c r="WGX17" s="292"/>
      <c r="WGY17" s="292"/>
      <c r="WGZ17" s="292"/>
      <c r="WHA17" s="292"/>
      <c r="WHB17" s="292"/>
      <c r="WHC17" s="292"/>
      <c r="WHD17" s="292"/>
      <c r="WHE17" s="292"/>
      <c r="WHF17" s="292"/>
      <c r="WHG17" s="292"/>
      <c r="WHH17" s="292"/>
      <c r="WHI17" s="292"/>
      <c r="WHJ17" s="292"/>
      <c r="WHK17" s="292"/>
      <c r="WHL17" s="292"/>
      <c r="WHM17" s="292"/>
      <c r="WHN17" s="292"/>
      <c r="WHO17" s="292"/>
      <c r="WHP17" s="292"/>
      <c r="WHQ17" s="292"/>
      <c r="WHR17" s="292"/>
      <c r="WHS17" s="292"/>
      <c r="WHT17" s="292"/>
      <c r="WHU17" s="292"/>
      <c r="WHV17" s="292"/>
      <c r="WHW17" s="292"/>
      <c r="WHX17" s="292"/>
      <c r="WHY17" s="292"/>
      <c r="WHZ17" s="292"/>
      <c r="WIA17" s="292"/>
      <c r="WIB17" s="292"/>
      <c r="WIC17" s="292"/>
      <c r="WID17" s="292"/>
      <c r="WIE17" s="292"/>
      <c r="WIF17" s="292"/>
      <c r="WIG17" s="292"/>
      <c r="WIH17" s="292"/>
      <c r="WII17" s="292"/>
      <c r="WIJ17" s="292"/>
      <c r="WIK17" s="292"/>
      <c r="WIL17" s="292"/>
      <c r="WIM17" s="292"/>
      <c r="WIN17" s="292"/>
      <c r="WIO17" s="292"/>
      <c r="WIP17" s="292"/>
      <c r="WIQ17" s="292"/>
      <c r="WIR17" s="292"/>
      <c r="WIS17" s="292"/>
      <c r="WIT17" s="292"/>
      <c r="WIU17" s="292"/>
      <c r="WIV17" s="292"/>
      <c r="WIW17" s="292"/>
      <c r="WIX17" s="292"/>
      <c r="WIY17" s="292"/>
      <c r="WIZ17" s="292"/>
      <c r="WJA17" s="292"/>
      <c r="WJB17" s="292"/>
      <c r="WJC17" s="292"/>
      <c r="WJD17" s="292"/>
      <c r="WJE17" s="292"/>
      <c r="WJF17" s="292"/>
      <c r="WJG17" s="292"/>
      <c r="WJH17" s="292"/>
      <c r="WJI17" s="292"/>
      <c r="WJJ17" s="292"/>
      <c r="WJK17" s="292"/>
      <c r="WJL17" s="292"/>
      <c r="WJM17" s="292"/>
      <c r="WJN17" s="292"/>
      <c r="WJO17" s="292"/>
      <c r="WJP17" s="292"/>
      <c r="WJQ17" s="292"/>
      <c r="WJR17" s="292"/>
      <c r="WJS17" s="292"/>
      <c r="WJT17" s="292"/>
      <c r="WJU17" s="292"/>
      <c r="WJV17" s="292"/>
      <c r="WJW17" s="292"/>
      <c r="WJX17" s="292"/>
      <c r="WJY17" s="292"/>
      <c r="WJZ17" s="292"/>
      <c r="WKA17" s="292"/>
      <c r="WKB17" s="292"/>
      <c r="WKC17" s="292"/>
      <c r="WKD17" s="292"/>
      <c r="WKE17" s="292"/>
      <c r="WKF17" s="292"/>
      <c r="WKG17" s="292"/>
      <c r="WKH17" s="292"/>
      <c r="WKI17" s="292"/>
      <c r="WKJ17" s="292"/>
      <c r="WKK17" s="292"/>
      <c r="WKL17" s="292"/>
      <c r="WKM17" s="292"/>
      <c r="WKN17" s="292"/>
      <c r="WKO17" s="292"/>
      <c r="WKP17" s="292"/>
      <c r="WKQ17" s="292"/>
      <c r="WKR17" s="292"/>
      <c r="WKS17" s="292"/>
      <c r="WKT17" s="292"/>
      <c r="WKU17" s="292"/>
      <c r="WKV17" s="292"/>
      <c r="WKW17" s="292"/>
      <c r="WKX17" s="292"/>
      <c r="WKY17" s="292"/>
      <c r="WKZ17" s="292"/>
      <c r="WLA17" s="292"/>
      <c r="WLB17" s="292"/>
      <c r="WLC17" s="292"/>
      <c r="WLD17" s="292"/>
      <c r="WLE17" s="292"/>
      <c r="WLF17" s="292"/>
      <c r="WLG17" s="292"/>
      <c r="WLH17" s="292"/>
      <c r="WLI17" s="292"/>
      <c r="WLJ17" s="292"/>
      <c r="WLK17" s="292"/>
      <c r="WLL17" s="292"/>
      <c r="WLM17" s="292"/>
      <c r="WLN17" s="292"/>
      <c r="WLO17" s="292"/>
      <c r="WLP17" s="292"/>
      <c r="WLQ17" s="292"/>
      <c r="WLR17" s="292"/>
      <c r="WLS17" s="292"/>
      <c r="WLT17" s="292"/>
      <c r="WLU17" s="292"/>
      <c r="WLV17" s="292"/>
      <c r="WLW17" s="292"/>
      <c r="WLX17" s="292"/>
      <c r="WLY17" s="292"/>
      <c r="WLZ17" s="292"/>
      <c r="WMA17" s="292"/>
      <c r="WMB17" s="292"/>
      <c r="WMC17" s="292"/>
      <c r="WMD17" s="292"/>
      <c r="WME17" s="292"/>
      <c r="WMF17" s="292"/>
      <c r="WMG17" s="292"/>
      <c r="WMH17" s="292"/>
      <c r="WMI17" s="292"/>
      <c r="WMJ17" s="292"/>
      <c r="WMK17" s="292"/>
      <c r="WML17" s="292"/>
      <c r="WMM17" s="292"/>
      <c r="WMN17" s="292"/>
      <c r="WMO17" s="292"/>
      <c r="WMP17" s="292"/>
      <c r="WMQ17" s="292"/>
      <c r="WMR17" s="292"/>
      <c r="WMS17" s="292"/>
      <c r="WMT17" s="292"/>
      <c r="WMU17" s="292"/>
      <c r="WMV17" s="292"/>
      <c r="WMW17" s="292"/>
      <c r="WMX17" s="292"/>
      <c r="WMY17" s="292"/>
      <c r="WMZ17" s="292"/>
      <c r="WNA17" s="292"/>
      <c r="WNB17" s="292"/>
      <c r="WNC17" s="292"/>
      <c r="WND17" s="292"/>
      <c r="WNE17" s="292"/>
      <c r="WNF17" s="292"/>
      <c r="WNG17" s="292"/>
      <c r="WNH17" s="292"/>
      <c r="WNI17" s="292"/>
      <c r="WNJ17" s="292"/>
      <c r="WNK17" s="292"/>
      <c r="WNL17" s="292"/>
      <c r="WNM17" s="292"/>
      <c r="WNN17" s="292"/>
      <c r="WNO17" s="292"/>
      <c r="WNP17" s="292"/>
      <c r="WNQ17" s="292"/>
      <c r="WNR17" s="292"/>
      <c r="WNS17" s="292"/>
      <c r="WNT17" s="292"/>
      <c r="WNU17" s="292"/>
      <c r="WNV17" s="292"/>
      <c r="WNW17" s="292"/>
      <c r="WNX17" s="292"/>
      <c r="WNY17" s="292"/>
      <c r="WNZ17" s="292"/>
      <c r="WOA17" s="292"/>
      <c r="WOB17" s="292"/>
      <c r="WOC17" s="292"/>
      <c r="WOD17" s="292"/>
      <c r="WOE17" s="292"/>
      <c r="WOF17" s="292"/>
      <c r="WOG17" s="292"/>
      <c r="WOH17" s="292"/>
      <c r="WOI17" s="292"/>
      <c r="WOJ17" s="292"/>
      <c r="WOK17" s="292"/>
      <c r="WOL17" s="292"/>
      <c r="WOM17" s="292"/>
      <c r="WON17" s="292"/>
      <c r="WOO17" s="292"/>
      <c r="WOP17" s="292"/>
      <c r="WOQ17" s="292"/>
      <c r="WOR17" s="292"/>
      <c r="WOS17" s="292"/>
      <c r="WOT17" s="292"/>
      <c r="WOU17" s="292"/>
      <c r="WOV17" s="292"/>
      <c r="WOW17" s="292"/>
      <c r="WOX17" s="292"/>
      <c r="WOY17" s="292"/>
      <c r="WOZ17" s="292"/>
      <c r="WPA17" s="292"/>
      <c r="WPB17" s="292"/>
      <c r="WPC17" s="292"/>
      <c r="WPD17" s="292"/>
      <c r="WPE17" s="292"/>
      <c r="WPF17" s="292"/>
      <c r="WPG17" s="292"/>
      <c r="WPH17" s="292"/>
      <c r="WPI17" s="292"/>
      <c r="WPJ17" s="292"/>
      <c r="WPK17" s="292"/>
      <c r="WPL17" s="292"/>
      <c r="WPM17" s="292"/>
      <c r="WPN17" s="292"/>
      <c r="WPO17" s="292"/>
      <c r="WPP17" s="292"/>
      <c r="WPQ17" s="292"/>
      <c r="WPR17" s="292"/>
      <c r="WPS17" s="292"/>
      <c r="WPT17" s="292"/>
      <c r="WPU17" s="292"/>
      <c r="WPV17" s="292"/>
      <c r="WPW17" s="292"/>
      <c r="WPX17" s="292"/>
      <c r="WPY17" s="292"/>
      <c r="WPZ17" s="292"/>
      <c r="WQA17" s="292"/>
      <c r="WQB17" s="292"/>
      <c r="WQC17" s="292"/>
      <c r="WQD17" s="292"/>
      <c r="WQE17" s="292"/>
      <c r="WQF17" s="292"/>
      <c r="WQG17" s="292"/>
      <c r="WQH17" s="292"/>
      <c r="WQI17" s="292"/>
      <c r="WQJ17" s="292"/>
      <c r="WQK17" s="292"/>
      <c r="WQL17" s="292"/>
      <c r="WQM17" s="292"/>
      <c r="WQN17" s="292"/>
      <c r="WQO17" s="292"/>
      <c r="WQP17" s="292"/>
      <c r="WQQ17" s="292"/>
      <c r="WQR17" s="292"/>
      <c r="WQS17" s="292"/>
      <c r="WQT17" s="292"/>
      <c r="WQU17" s="292"/>
      <c r="WQV17" s="292"/>
      <c r="WQW17" s="292"/>
      <c r="WQX17" s="292"/>
      <c r="WQY17" s="292"/>
      <c r="WQZ17" s="292"/>
      <c r="WRA17" s="292"/>
      <c r="WRB17" s="292"/>
      <c r="WRC17" s="292"/>
      <c r="WRD17" s="292"/>
      <c r="WRE17" s="292"/>
      <c r="WRF17" s="292"/>
      <c r="WRG17" s="292"/>
      <c r="WRH17" s="292"/>
      <c r="WRI17" s="292"/>
      <c r="WRJ17" s="292"/>
      <c r="WRK17" s="292"/>
      <c r="WRL17" s="292"/>
      <c r="WRM17" s="292"/>
      <c r="WRN17" s="292"/>
      <c r="WRO17" s="292"/>
      <c r="WRP17" s="292"/>
      <c r="WRQ17" s="292"/>
      <c r="WRR17" s="292"/>
      <c r="WRS17" s="292"/>
      <c r="WRT17" s="292"/>
      <c r="WRU17" s="292"/>
      <c r="WRV17" s="292"/>
      <c r="WRW17" s="292"/>
      <c r="WRX17" s="292"/>
      <c r="WRY17" s="292"/>
      <c r="WRZ17" s="292"/>
      <c r="WSA17" s="292"/>
      <c r="WSB17" s="292"/>
      <c r="WSC17" s="292"/>
      <c r="WSD17" s="292"/>
      <c r="WSE17" s="292"/>
      <c r="WSF17" s="292"/>
      <c r="WSG17" s="292"/>
      <c r="WSH17" s="292"/>
      <c r="WSI17" s="292"/>
      <c r="WSJ17" s="292"/>
      <c r="WSK17" s="292"/>
      <c r="WSL17" s="292"/>
      <c r="WSM17" s="292"/>
      <c r="WSN17" s="292"/>
      <c r="WSO17" s="292"/>
      <c r="WSP17" s="292"/>
      <c r="WSQ17" s="292"/>
      <c r="WSR17" s="292"/>
      <c r="WSS17" s="292"/>
      <c r="WST17" s="292"/>
      <c r="WSU17" s="292"/>
      <c r="WSV17" s="292"/>
      <c r="WSW17" s="292"/>
      <c r="WSX17" s="292"/>
      <c r="WSY17" s="292"/>
      <c r="WSZ17" s="292"/>
      <c r="WTA17" s="292"/>
      <c r="WTB17" s="292"/>
      <c r="WTC17" s="292"/>
      <c r="WTD17" s="292"/>
      <c r="WTE17" s="292"/>
      <c r="WTF17" s="292"/>
      <c r="WTG17" s="292"/>
      <c r="WTH17" s="292"/>
      <c r="WTI17" s="292"/>
      <c r="WTJ17" s="292"/>
      <c r="WTK17" s="292"/>
      <c r="WTL17" s="292"/>
      <c r="WTM17" s="292"/>
      <c r="WTN17" s="292"/>
      <c r="WTO17" s="292"/>
      <c r="WTP17" s="292"/>
      <c r="WTQ17" s="292"/>
      <c r="WTR17" s="292"/>
      <c r="WTS17" s="292"/>
      <c r="WTT17" s="292"/>
      <c r="WTU17" s="292"/>
      <c r="WTV17" s="292"/>
      <c r="WTW17" s="292"/>
      <c r="WTX17" s="292"/>
      <c r="WTY17" s="292"/>
      <c r="WTZ17" s="292"/>
      <c r="WUA17" s="292"/>
      <c r="WUB17" s="292"/>
      <c r="WUC17" s="292"/>
      <c r="WUD17" s="292"/>
      <c r="WUE17" s="292"/>
      <c r="WUF17" s="292"/>
      <c r="WUG17" s="292"/>
      <c r="WUH17" s="292"/>
      <c r="WUI17" s="292"/>
      <c r="WUJ17" s="292"/>
      <c r="WUK17" s="292"/>
      <c r="WUL17" s="292"/>
      <c r="WUM17" s="292"/>
      <c r="WUN17" s="292"/>
      <c r="WUO17" s="292"/>
      <c r="WUP17" s="292"/>
      <c r="WUQ17" s="292"/>
      <c r="WUR17" s="292"/>
      <c r="WUS17" s="292"/>
      <c r="WUT17" s="292"/>
      <c r="WUU17" s="292"/>
      <c r="WUV17" s="292"/>
      <c r="WUW17" s="292"/>
      <c r="WUX17" s="292"/>
      <c r="WUY17" s="292"/>
      <c r="WUZ17" s="292"/>
      <c r="WVA17" s="292"/>
      <c r="WVB17" s="292"/>
      <c r="WVC17" s="292"/>
      <c r="WVD17" s="292"/>
      <c r="WVE17" s="292"/>
      <c r="WVF17" s="292"/>
      <c r="WVG17" s="292"/>
      <c r="WVH17" s="292"/>
      <c r="WVI17" s="292"/>
      <c r="WVJ17" s="292"/>
      <c r="WVK17" s="292"/>
      <c r="WVL17" s="292"/>
      <c r="WVM17" s="292"/>
      <c r="WVN17" s="292"/>
      <c r="WVO17" s="292"/>
      <c r="WVP17" s="292"/>
      <c r="WVQ17" s="292"/>
      <c r="WVR17" s="292"/>
      <c r="WVS17" s="292"/>
      <c r="WVT17" s="292"/>
      <c r="WVU17" s="292"/>
      <c r="WVV17" s="292"/>
      <c r="WVW17" s="292"/>
      <c r="WVX17" s="292"/>
      <c r="WVY17" s="292"/>
      <c r="WVZ17" s="292"/>
      <c r="WWA17" s="292"/>
      <c r="WWB17" s="292"/>
      <c r="WWC17" s="292"/>
      <c r="WWD17" s="292"/>
      <c r="WWE17" s="292"/>
      <c r="WWF17" s="292"/>
      <c r="WWG17" s="292"/>
      <c r="WWH17" s="292"/>
      <c r="WWI17" s="292"/>
      <c r="WWJ17" s="292"/>
      <c r="WWK17" s="292"/>
      <c r="WWL17" s="292"/>
      <c r="WWM17" s="292"/>
      <c r="WWN17" s="292"/>
      <c r="WWO17" s="292"/>
      <c r="WWP17" s="292"/>
      <c r="WWQ17" s="292"/>
      <c r="WWR17" s="292"/>
      <c r="WWS17" s="292"/>
      <c r="WWT17" s="292"/>
      <c r="WWU17" s="292"/>
      <c r="WWV17" s="292"/>
      <c r="WWW17" s="292"/>
      <c r="WWX17" s="292"/>
      <c r="WWY17" s="292"/>
      <c r="WWZ17" s="292"/>
      <c r="WXA17" s="292"/>
      <c r="WXB17" s="292"/>
      <c r="WXC17" s="292"/>
      <c r="WXD17" s="292"/>
      <c r="WXE17" s="292"/>
      <c r="WXF17" s="292"/>
      <c r="WXG17" s="292"/>
      <c r="WXH17" s="292"/>
      <c r="WXI17" s="292"/>
      <c r="WXJ17" s="292"/>
      <c r="WXK17" s="292"/>
      <c r="WXL17" s="292"/>
      <c r="WXM17" s="292"/>
      <c r="WXN17" s="292"/>
      <c r="WXO17" s="292"/>
      <c r="WXP17" s="292"/>
      <c r="WXQ17" s="292"/>
      <c r="WXR17" s="292"/>
      <c r="WXS17" s="292"/>
      <c r="WXT17" s="292"/>
      <c r="WXU17" s="292"/>
      <c r="WXV17" s="292"/>
      <c r="WXW17" s="292"/>
      <c r="WXX17" s="292"/>
      <c r="WXY17" s="292"/>
      <c r="WXZ17" s="292"/>
      <c r="WYA17" s="292"/>
      <c r="WYB17" s="292"/>
      <c r="WYC17" s="292"/>
      <c r="WYD17" s="292"/>
      <c r="WYE17" s="292"/>
      <c r="WYF17" s="292"/>
      <c r="WYG17" s="292"/>
      <c r="WYH17" s="292"/>
      <c r="WYI17" s="292"/>
      <c r="WYJ17" s="292"/>
      <c r="WYK17" s="292"/>
      <c r="WYL17" s="292"/>
      <c r="WYM17" s="292"/>
      <c r="WYN17" s="292"/>
      <c r="WYO17" s="292"/>
      <c r="WYP17" s="292"/>
      <c r="WYQ17" s="292"/>
      <c r="WYR17" s="292"/>
      <c r="WYS17" s="292"/>
      <c r="WYT17" s="292"/>
      <c r="WYU17" s="292"/>
      <c r="WYV17" s="292"/>
      <c r="WYW17" s="292"/>
      <c r="WYX17" s="292"/>
      <c r="WYY17" s="292"/>
      <c r="WYZ17" s="292"/>
      <c r="WZA17" s="292"/>
      <c r="WZB17" s="292"/>
      <c r="WZC17" s="292"/>
      <c r="WZD17" s="292"/>
      <c r="WZE17" s="292"/>
      <c r="WZF17" s="292"/>
      <c r="WZG17" s="292"/>
      <c r="WZH17" s="292"/>
      <c r="WZI17" s="292"/>
      <c r="WZJ17" s="292"/>
      <c r="WZK17" s="292"/>
      <c r="WZL17" s="292"/>
      <c r="WZM17" s="292"/>
      <c r="WZN17" s="292"/>
      <c r="WZO17" s="292"/>
      <c r="WZP17" s="292"/>
      <c r="WZQ17" s="292"/>
      <c r="WZR17" s="292"/>
      <c r="WZS17" s="292"/>
      <c r="WZT17" s="292"/>
      <c r="WZU17" s="292"/>
      <c r="WZV17" s="292"/>
      <c r="WZW17" s="292"/>
      <c r="WZX17" s="292"/>
      <c r="WZY17" s="292"/>
      <c r="WZZ17" s="292"/>
      <c r="XAA17" s="292"/>
      <c r="XAB17" s="292"/>
      <c r="XAC17" s="292"/>
      <c r="XAD17" s="292"/>
      <c r="XAE17" s="292"/>
      <c r="XAF17" s="292"/>
      <c r="XAG17" s="292"/>
      <c r="XAH17" s="292"/>
      <c r="XAI17" s="292"/>
      <c r="XAJ17" s="292"/>
      <c r="XAK17" s="292"/>
      <c r="XAL17" s="292"/>
      <c r="XAM17" s="292"/>
      <c r="XAN17" s="292"/>
      <c r="XAO17" s="292"/>
      <c r="XAP17" s="292"/>
      <c r="XAQ17" s="292"/>
      <c r="XAR17" s="292"/>
      <c r="XAS17" s="292"/>
      <c r="XAT17" s="292"/>
      <c r="XAU17" s="292"/>
      <c r="XAV17" s="292"/>
      <c r="XAW17" s="292"/>
      <c r="XAX17" s="292"/>
      <c r="XAY17" s="292"/>
      <c r="XAZ17" s="292"/>
      <c r="XBA17" s="292"/>
      <c r="XBB17" s="292"/>
      <c r="XBC17" s="292"/>
      <c r="XBD17" s="292"/>
      <c r="XBE17" s="292"/>
      <c r="XBF17" s="292"/>
      <c r="XBG17" s="292"/>
      <c r="XBH17" s="292"/>
      <c r="XBI17" s="292"/>
      <c r="XBJ17" s="292"/>
      <c r="XBK17" s="292"/>
      <c r="XBL17" s="292"/>
      <c r="XBM17" s="292"/>
      <c r="XBN17" s="292"/>
      <c r="XBO17" s="292"/>
      <c r="XBP17" s="292"/>
      <c r="XBQ17" s="292"/>
      <c r="XBR17" s="292"/>
      <c r="XBS17" s="292"/>
      <c r="XBT17" s="292"/>
      <c r="XBU17" s="292"/>
      <c r="XBV17" s="292"/>
      <c r="XBW17" s="292"/>
      <c r="XBX17" s="292"/>
      <c r="XBY17" s="292"/>
      <c r="XBZ17" s="292"/>
      <c r="XCA17" s="292"/>
      <c r="XCB17" s="292"/>
      <c r="XCC17" s="292"/>
      <c r="XCD17" s="292"/>
      <c r="XCE17" s="292"/>
      <c r="XCF17" s="292"/>
      <c r="XCG17" s="292"/>
      <c r="XCH17" s="292"/>
      <c r="XCI17" s="292"/>
      <c r="XCJ17" s="292"/>
      <c r="XCK17" s="292"/>
      <c r="XCL17" s="292"/>
      <c r="XCM17" s="292"/>
      <c r="XCN17" s="292"/>
      <c r="XCO17" s="292"/>
      <c r="XCP17" s="292"/>
      <c r="XCQ17" s="292"/>
      <c r="XCR17" s="292"/>
      <c r="XCS17" s="292"/>
      <c r="XCT17" s="292"/>
      <c r="XCU17" s="292"/>
      <c r="XCV17" s="292"/>
      <c r="XCW17" s="292"/>
      <c r="XCX17" s="292"/>
      <c r="XCY17" s="292"/>
      <c r="XCZ17" s="292"/>
      <c r="XDA17" s="292"/>
      <c r="XDB17" s="292"/>
      <c r="XDC17" s="292"/>
      <c r="XDD17" s="292"/>
      <c r="XDE17" s="292"/>
      <c r="XDF17" s="292"/>
      <c r="XDG17" s="292"/>
      <c r="XDH17" s="292"/>
      <c r="XDI17" s="292"/>
      <c r="XDJ17" s="292"/>
      <c r="XDK17" s="292"/>
      <c r="XDL17" s="292"/>
      <c r="XDM17" s="292"/>
      <c r="XDN17" s="292"/>
      <c r="XDO17" s="292"/>
      <c r="XDP17" s="292"/>
      <c r="XDQ17" s="292"/>
      <c r="XDR17" s="292"/>
      <c r="XDS17" s="292"/>
      <c r="XDT17" s="292"/>
      <c r="XDU17" s="292"/>
      <c r="XDV17" s="292"/>
      <c r="XDW17" s="292"/>
      <c r="XDX17" s="292"/>
      <c r="XDY17" s="292"/>
      <c r="XDZ17" s="292"/>
      <c r="XEA17" s="292"/>
      <c r="XEB17" s="292"/>
      <c r="XEC17" s="292"/>
      <c r="XED17" s="292"/>
      <c r="XEE17" s="292"/>
      <c r="XEF17" s="292"/>
      <c r="XEG17" s="292"/>
      <c r="XEH17" s="292"/>
      <c r="XEI17" s="292"/>
      <c r="XEJ17" s="292"/>
      <c r="XEK17" s="292"/>
      <c r="XEL17" s="292"/>
      <c r="XEM17" s="292"/>
      <c r="XEN17" s="292"/>
      <c r="XEO17" s="292"/>
      <c r="XEP17" s="292"/>
      <c r="XEQ17" s="292"/>
      <c r="XER17" s="292"/>
      <c r="XES17" s="292"/>
      <c r="XET17" s="292"/>
      <c r="XEU17" s="292"/>
      <c r="XEV17" s="292"/>
      <c r="XEW17" s="292"/>
      <c r="XEX17" s="292"/>
      <c r="XEY17" s="292"/>
      <c r="XEZ17" s="292"/>
      <c r="XFA17" s="292"/>
      <c r="XFB17" s="292"/>
      <c r="XFC17" s="292"/>
      <c r="XFD17" s="292"/>
    </row>
    <row r="18">
      <c r="I18" s="292"/>
      <c r="J18" s="292"/>
      <c r="P18" s="932" t="s">
        <v>639</v>
      </c>
      <c r="Q18" s="933">
        <f t="shared" ref="Q18:U18" si="12">Q16-Q17</f>
        <v>-3500000</v>
      </c>
      <c r="R18" s="933">
        <f t="shared" si="12"/>
        <v>1832421.217</v>
      </c>
      <c r="S18" s="933">
        <f t="shared" si="12"/>
        <v>2776561.623</v>
      </c>
      <c r="T18" s="933">
        <f t="shared" si="12"/>
        <v>3720702.029</v>
      </c>
      <c r="U18" s="933">
        <f t="shared" si="12"/>
        <v>3720702.029</v>
      </c>
      <c r="V18" s="871"/>
    </row>
    <row r="19">
      <c r="D19" s="934" t="s">
        <v>368</v>
      </c>
      <c r="E19" s="863">
        <v>1181538.0</v>
      </c>
      <c r="F19" s="935"/>
      <c r="G19" s="915"/>
      <c r="H19" s="915"/>
      <c r="I19" s="292"/>
      <c r="J19" s="292"/>
      <c r="P19" s="932" t="s">
        <v>642</v>
      </c>
      <c r="Q19" s="933">
        <f>Q18</f>
        <v>-3500000</v>
      </c>
      <c r="R19" s="933">
        <f t="shared" ref="R19:U19" si="13">Q19+R18</f>
        <v>-1667578.783</v>
      </c>
      <c r="S19" s="933">
        <f t="shared" si="13"/>
        <v>1108982.84</v>
      </c>
      <c r="T19" s="933">
        <f t="shared" si="13"/>
        <v>4829684.869</v>
      </c>
      <c r="U19" s="933">
        <f t="shared" si="13"/>
        <v>8550386.898</v>
      </c>
      <c r="V19" s="292"/>
    </row>
    <row r="20">
      <c r="A20" s="292"/>
      <c r="B20" s="292"/>
      <c r="C20" s="292"/>
      <c r="D20" s="934" t="s">
        <v>670</v>
      </c>
      <c r="E20" s="936">
        <v>0.0445</v>
      </c>
      <c r="F20" s="292"/>
      <c r="G20" s="937"/>
      <c r="H20" s="871"/>
      <c r="I20" s="292"/>
      <c r="J20" s="292"/>
      <c r="K20" s="292"/>
      <c r="L20" s="292"/>
      <c r="M20" s="292"/>
      <c r="N20" s="292"/>
      <c r="O20" s="292"/>
      <c r="P20" s="292"/>
      <c r="Q20" s="292"/>
      <c r="R20" s="292"/>
      <c r="S20" s="292"/>
      <c r="T20" s="292"/>
      <c r="U20" s="292"/>
      <c r="V20" s="292"/>
      <c r="W20" s="292"/>
      <c r="X20" s="292"/>
      <c r="Y20" s="292"/>
      <c r="Z20" s="292"/>
      <c r="AA20" s="292"/>
      <c r="AB20" s="292"/>
      <c r="AC20" s="292"/>
      <c r="AD20" s="292"/>
      <c r="AE20" s="292"/>
      <c r="AF20" s="292"/>
      <c r="AG20" s="292"/>
      <c r="AH20" s="292"/>
      <c r="AI20" s="292"/>
      <c r="AJ20" s="292"/>
      <c r="AK20" s="292"/>
      <c r="AL20" s="292"/>
      <c r="AM20" s="292"/>
      <c r="AN20" s="292"/>
      <c r="AO20" s="292"/>
      <c r="AP20" s="292"/>
      <c r="AQ20" s="292"/>
      <c r="AR20" s="292"/>
      <c r="AS20" s="292"/>
      <c r="AT20" s="292"/>
      <c r="AU20" s="292"/>
      <c r="AV20" s="292"/>
      <c r="AW20" s="292"/>
      <c r="AX20" s="292"/>
      <c r="AY20" s="292"/>
      <c r="AZ20" s="292"/>
      <c r="BA20" s="292"/>
      <c r="BB20" s="292"/>
      <c r="BC20" s="292"/>
      <c r="BD20" s="292"/>
      <c r="BE20" s="292"/>
      <c r="BF20" s="292"/>
      <c r="BG20" s="292"/>
      <c r="BH20" s="292"/>
      <c r="BI20" s="292"/>
      <c r="BJ20" s="292"/>
      <c r="BK20" s="292"/>
      <c r="BL20" s="292"/>
      <c r="BM20" s="292"/>
      <c r="BN20" s="292"/>
      <c r="BO20" s="292"/>
      <c r="BP20" s="292"/>
      <c r="BQ20" s="292"/>
      <c r="BR20" s="292"/>
      <c r="BS20" s="292"/>
      <c r="BT20" s="292"/>
      <c r="BU20" s="292"/>
      <c r="BV20" s="292"/>
      <c r="BW20" s="292"/>
      <c r="BX20" s="292"/>
      <c r="BY20" s="292"/>
      <c r="BZ20" s="292"/>
      <c r="CA20" s="292"/>
      <c r="CB20" s="292"/>
      <c r="CC20" s="292"/>
      <c r="CD20" s="292"/>
      <c r="CE20" s="292"/>
      <c r="CF20" s="292"/>
      <c r="CG20" s="292"/>
      <c r="CH20" s="292"/>
      <c r="CI20" s="292"/>
      <c r="CJ20" s="292"/>
      <c r="CK20" s="292"/>
      <c r="CL20" s="292"/>
      <c r="CM20" s="292"/>
      <c r="CN20" s="292"/>
      <c r="CO20" s="292"/>
      <c r="CP20" s="292"/>
      <c r="CQ20" s="292"/>
      <c r="CR20" s="292"/>
      <c r="CS20" s="292"/>
      <c r="CT20" s="292"/>
      <c r="CU20" s="292"/>
      <c r="CV20" s="292"/>
      <c r="CW20" s="292"/>
      <c r="CX20" s="292"/>
      <c r="CY20" s="292"/>
      <c r="CZ20" s="292"/>
      <c r="DA20" s="292"/>
      <c r="DB20" s="292"/>
      <c r="DC20" s="292"/>
      <c r="DD20" s="292"/>
      <c r="DE20" s="292"/>
      <c r="DF20" s="292"/>
      <c r="DG20" s="292"/>
      <c r="DH20" s="292"/>
      <c r="DI20" s="292"/>
      <c r="DJ20" s="292"/>
      <c r="DK20" s="292"/>
      <c r="DL20" s="292"/>
      <c r="DM20" s="292"/>
      <c r="DN20" s="292"/>
      <c r="DO20" s="292"/>
      <c r="DP20" s="292"/>
      <c r="DQ20" s="292"/>
      <c r="DR20" s="292"/>
      <c r="DS20" s="292"/>
      <c r="DT20" s="292"/>
      <c r="DU20" s="292"/>
      <c r="DV20" s="292"/>
      <c r="DW20" s="292"/>
      <c r="DX20" s="292"/>
      <c r="DY20" s="292"/>
      <c r="DZ20" s="292"/>
      <c r="EA20" s="292"/>
      <c r="EB20" s="292"/>
      <c r="EC20" s="292"/>
      <c r="ED20" s="292"/>
      <c r="EE20" s="292"/>
      <c r="EF20" s="292"/>
      <c r="EG20" s="292"/>
      <c r="EH20" s="292"/>
      <c r="EI20" s="292"/>
      <c r="EJ20" s="292"/>
      <c r="EK20" s="292"/>
      <c r="EL20" s="292"/>
      <c r="EM20" s="292"/>
      <c r="EN20" s="292"/>
      <c r="EO20" s="292"/>
      <c r="EP20" s="292"/>
      <c r="EQ20" s="292"/>
      <c r="ER20" s="292"/>
      <c r="ES20" s="292"/>
      <c r="ET20" s="292"/>
      <c r="EU20" s="292"/>
      <c r="EV20" s="292"/>
      <c r="EW20" s="292"/>
      <c r="EX20" s="292"/>
      <c r="EY20" s="292"/>
      <c r="EZ20" s="292"/>
      <c r="FA20" s="292"/>
      <c r="FB20" s="292"/>
      <c r="FC20" s="292"/>
      <c r="FD20" s="292"/>
      <c r="FE20" s="292"/>
      <c r="FF20" s="292"/>
      <c r="FG20" s="292"/>
      <c r="FH20" s="292"/>
      <c r="FI20" s="292"/>
      <c r="FJ20" s="292"/>
      <c r="FK20" s="292"/>
      <c r="FL20" s="292"/>
      <c r="FM20" s="292"/>
      <c r="FN20" s="292"/>
      <c r="FO20" s="292"/>
      <c r="FP20" s="292"/>
      <c r="FQ20" s="292"/>
      <c r="FR20" s="292"/>
      <c r="FS20" s="292"/>
      <c r="FT20" s="292"/>
      <c r="FU20" s="292"/>
      <c r="FV20" s="292"/>
      <c r="FW20" s="292"/>
      <c r="FX20" s="292"/>
      <c r="FY20" s="292"/>
      <c r="FZ20" s="292"/>
      <c r="GA20" s="292"/>
      <c r="GB20" s="292"/>
      <c r="GC20" s="292"/>
      <c r="GD20" s="292"/>
      <c r="GE20" s="292"/>
      <c r="GF20" s="292"/>
      <c r="GG20" s="292"/>
      <c r="GH20" s="292"/>
      <c r="GI20" s="292"/>
      <c r="GJ20" s="292"/>
      <c r="GK20" s="292"/>
      <c r="GL20" s="292"/>
      <c r="GM20" s="292"/>
      <c r="GN20" s="292"/>
      <c r="GO20" s="292"/>
      <c r="GP20" s="292"/>
      <c r="GQ20" s="292"/>
      <c r="GR20" s="292"/>
      <c r="GS20" s="292"/>
      <c r="GT20" s="292"/>
      <c r="GU20" s="292"/>
      <c r="GV20" s="292"/>
      <c r="GW20" s="292"/>
      <c r="GX20" s="292"/>
      <c r="GY20" s="292"/>
      <c r="GZ20" s="292"/>
      <c r="HA20" s="292"/>
      <c r="HB20" s="292"/>
      <c r="HC20" s="292"/>
      <c r="HD20" s="292"/>
      <c r="HE20" s="292"/>
      <c r="HF20" s="292"/>
      <c r="HG20" s="292"/>
      <c r="HH20" s="292"/>
      <c r="HI20" s="292"/>
      <c r="HJ20" s="292"/>
      <c r="HK20" s="292"/>
      <c r="HL20" s="292"/>
      <c r="HM20" s="292"/>
      <c r="HN20" s="292"/>
      <c r="HO20" s="292"/>
      <c r="HP20" s="292"/>
      <c r="HQ20" s="292"/>
      <c r="HR20" s="292"/>
      <c r="HS20" s="292"/>
      <c r="HT20" s="292"/>
      <c r="HU20" s="292"/>
      <c r="HV20" s="292"/>
      <c r="HW20" s="292"/>
      <c r="HX20" s="292"/>
      <c r="HY20" s="292"/>
      <c r="HZ20" s="292"/>
      <c r="IA20" s="292"/>
      <c r="IB20" s="292"/>
      <c r="IC20" s="292"/>
      <c r="ID20" s="292"/>
      <c r="IE20" s="292"/>
      <c r="IF20" s="292"/>
      <c r="IG20" s="292"/>
      <c r="IH20" s="292"/>
      <c r="II20" s="292"/>
      <c r="IJ20" s="292"/>
      <c r="IK20" s="292"/>
      <c r="IL20" s="292"/>
      <c r="IM20" s="292"/>
      <c r="IN20" s="292"/>
      <c r="IO20" s="292"/>
      <c r="IP20" s="292"/>
      <c r="IQ20" s="292"/>
      <c r="IR20" s="292"/>
      <c r="IS20" s="292"/>
      <c r="IT20" s="292"/>
      <c r="IU20" s="292"/>
      <c r="IV20" s="292"/>
      <c r="IW20" s="292"/>
      <c r="IX20" s="292"/>
      <c r="IY20" s="292"/>
      <c r="IZ20" s="292"/>
      <c r="JA20" s="292"/>
      <c r="JB20" s="292"/>
      <c r="JC20" s="292"/>
      <c r="JD20" s="292"/>
      <c r="JE20" s="292"/>
      <c r="JF20" s="292"/>
      <c r="JG20" s="292"/>
      <c r="JH20" s="292"/>
      <c r="JI20" s="292"/>
      <c r="JJ20" s="292"/>
      <c r="JK20" s="292"/>
      <c r="JL20" s="292"/>
      <c r="JM20" s="292"/>
      <c r="JN20" s="292"/>
      <c r="JO20" s="292"/>
      <c r="JP20" s="292"/>
      <c r="JQ20" s="292"/>
      <c r="JR20" s="292"/>
      <c r="JS20" s="292"/>
      <c r="JT20" s="292"/>
      <c r="JU20" s="292"/>
      <c r="JV20" s="292"/>
      <c r="JW20" s="292"/>
      <c r="JX20" s="292"/>
      <c r="JY20" s="292"/>
      <c r="JZ20" s="292"/>
      <c r="KA20" s="292"/>
      <c r="KB20" s="292"/>
      <c r="KC20" s="292"/>
      <c r="KD20" s="292"/>
      <c r="KE20" s="292"/>
      <c r="KF20" s="292"/>
      <c r="KG20" s="292"/>
      <c r="KH20" s="292"/>
      <c r="KI20" s="292"/>
      <c r="KJ20" s="292"/>
      <c r="KK20" s="292"/>
      <c r="KL20" s="292"/>
      <c r="KM20" s="292"/>
      <c r="KN20" s="292"/>
      <c r="KO20" s="292"/>
      <c r="KP20" s="292"/>
      <c r="KQ20" s="292"/>
      <c r="KR20" s="292"/>
      <c r="KS20" s="292"/>
      <c r="KT20" s="292"/>
      <c r="KU20" s="292"/>
      <c r="KV20" s="292"/>
      <c r="KW20" s="292"/>
      <c r="KX20" s="292"/>
      <c r="KY20" s="292"/>
      <c r="KZ20" s="292"/>
      <c r="LA20" s="292"/>
      <c r="LB20" s="292"/>
      <c r="LC20" s="292"/>
      <c r="LD20" s="292"/>
      <c r="LE20" s="292"/>
      <c r="LF20" s="292"/>
      <c r="LG20" s="292"/>
      <c r="LH20" s="292"/>
      <c r="LI20" s="292"/>
      <c r="LJ20" s="292"/>
      <c r="LK20" s="292"/>
      <c r="LL20" s="292"/>
      <c r="LM20" s="292"/>
      <c r="LN20" s="292"/>
      <c r="LO20" s="292"/>
      <c r="LP20" s="292"/>
      <c r="LQ20" s="292"/>
      <c r="LR20" s="292"/>
      <c r="LS20" s="292"/>
      <c r="LT20" s="292"/>
      <c r="LU20" s="292"/>
      <c r="LV20" s="292"/>
      <c r="LW20" s="292"/>
      <c r="LX20" s="292"/>
      <c r="LY20" s="292"/>
      <c r="LZ20" s="292"/>
      <c r="MA20" s="292"/>
      <c r="MB20" s="292"/>
      <c r="MC20" s="292"/>
      <c r="MD20" s="292"/>
      <c r="ME20" s="292"/>
      <c r="MF20" s="292"/>
      <c r="MG20" s="292"/>
      <c r="MH20" s="292"/>
      <c r="MI20" s="292"/>
      <c r="MJ20" s="292"/>
      <c r="MK20" s="292"/>
      <c r="ML20" s="292"/>
      <c r="MM20" s="292"/>
      <c r="MN20" s="292"/>
      <c r="MO20" s="292"/>
      <c r="MP20" s="292"/>
      <c r="MQ20" s="292"/>
      <c r="MR20" s="292"/>
      <c r="MS20" s="292"/>
      <c r="MT20" s="292"/>
      <c r="MU20" s="292"/>
      <c r="MV20" s="292"/>
      <c r="MW20" s="292"/>
      <c r="MX20" s="292"/>
      <c r="MY20" s="292"/>
      <c r="MZ20" s="292"/>
      <c r="NA20" s="292"/>
      <c r="NB20" s="292"/>
      <c r="NC20" s="292"/>
      <c r="ND20" s="292"/>
      <c r="NE20" s="292"/>
      <c r="NF20" s="292"/>
      <c r="NG20" s="292"/>
      <c r="NH20" s="292"/>
      <c r="NI20" s="292"/>
      <c r="NJ20" s="292"/>
      <c r="NK20" s="292"/>
      <c r="NL20" s="292"/>
      <c r="NM20" s="292"/>
      <c r="NN20" s="292"/>
      <c r="NO20" s="292"/>
      <c r="NP20" s="292"/>
      <c r="NQ20" s="292"/>
      <c r="NR20" s="292"/>
      <c r="NS20" s="292"/>
      <c r="NT20" s="292"/>
      <c r="NU20" s="292"/>
      <c r="NV20" s="292"/>
      <c r="NW20" s="292"/>
      <c r="NX20" s="292"/>
      <c r="NY20" s="292"/>
      <c r="NZ20" s="292"/>
      <c r="OA20" s="292"/>
      <c r="OB20" s="292"/>
      <c r="OC20" s="292"/>
      <c r="OD20" s="292"/>
      <c r="OE20" s="292"/>
      <c r="OF20" s="292"/>
      <c r="OG20" s="292"/>
      <c r="OH20" s="292"/>
      <c r="OI20" s="292"/>
      <c r="OJ20" s="292"/>
      <c r="OK20" s="292"/>
      <c r="OL20" s="292"/>
      <c r="OM20" s="292"/>
      <c r="ON20" s="292"/>
      <c r="OO20" s="292"/>
      <c r="OP20" s="292"/>
      <c r="OQ20" s="292"/>
      <c r="OR20" s="292"/>
      <c r="OS20" s="292"/>
      <c r="OT20" s="292"/>
      <c r="OU20" s="292"/>
      <c r="OV20" s="292"/>
      <c r="OW20" s="292"/>
      <c r="OX20" s="292"/>
      <c r="OY20" s="292"/>
      <c r="OZ20" s="292"/>
      <c r="PA20" s="292"/>
      <c r="PB20" s="292"/>
      <c r="PC20" s="292"/>
      <c r="PD20" s="292"/>
      <c r="PE20" s="292"/>
      <c r="PF20" s="292"/>
      <c r="PG20" s="292"/>
      <c r="PH20" s="292"/>
      <c r="PI20" s="292"/>
      <c r="PJ20" s="292"/>
      <c r="PK20" s="292"/>
      <c r="PL20" s="292"/>
      <c r="PM20" s="292"/>
      <c r="PN20" s="292"/>
      <c r="PO20" s="292"/>
      <c r="PP20" s="292"/>
      <c r="PQ20" s="292"/>
      <c r="PR20" s="292"/>
      <c r="PS20" s="292"/>
      <c r="PT20" s="292"/>
      <c r="PU20" s="292"/>
      <c r="PV20" s="292"/>
      <c r="PW20" s="292"/>
      <c r="PX20" s="292"/>
      <c r="PY20" s="292"/>
      <c r="PZ20" s="292"/>
      <c r="QA20" s="292"/>
      <c r="QB20" s="292"/>
      <c r="QC20" s="292"/>
      <c r="QD20" s="292"/>
      <c r="QE20" s="292"/>
      <c r="QF20" s="292"/>
      <c r="QG20" s="292"/>
      <c r="QH20" s="292"/>
      <c r="QI20" s="292"/>
      <c r="QJ20" s="292"/>
      <c r="QK20" s="292"/>
      <c r="QL20" s="292"/>
      <c r="QM20" s="292"/>
      <c r="QN20" s="292"/>
      <c r="QO20" s="292"/>
      <c r="QP20" s="292"/>
      <c r="QQ20" s="292"/>
      <c r="QR20" s="292"/>
      <c r="QS20" s="292"/>
      <c r="QT20" s="292"/>
      <c r="QU20" s="292"/>
      <c r="QV20" s="292"/>
      <c r="QW20" s="292"/>
      <c r="QX20" s="292"/>
      <c r="QY20" s="292"/>
      <c r="QZ20" s="292"/>
      <c r="RA20" s="292"/>
      <c r="RB20" s="292"/>
      <c r="RC20" s="292"/>
      <c r="RD20" s="292"/>
      <c r="RE20" s="292"/>
      <c r="RF20" s="292"/>
      <c r="RG20" s="292"/>
      <c r="RH20" s="292"/>
      <c r="RI20" s="292"/>
      <c r="RJ20" s="292"/>
      <c r="RK20" s="292"/>
      <c r="RL20" s="292"/>
      <c r="RM20" s="292"/>
      <c r="RN20" s="292"/>
      <c r="RO20" s="292"/>
      <c r="RP20" s="292"/>
      <c r="RQ20" s="292"/>
      <c r="RR20" s="292"/>
      <c r="RS20" s="292"/>
      <c r="RT20" s="292"/>
      <c r="RU20" s="292"/>
      <c r="RV20" s="292"/>
      <c r="RW20" s="292"/>
      <c r="RX20" s="292"/>
      <c r="RY20" s="292"/>
      <c r="RZ20" s="292"/>
      <c r="SA20" s="292"/>
      <c r="SB20" s="292"/>
      <c r="SC20" s="292"/>
      <c r="SD20" s="292"/>
      <c r="SE20" s="292"/>
      <c r="SF20" s="292"/>
      <c r="SG20" s="292"/>
      <c r="SH20" s="292"/>
      <c r="SI20" s="292"/>
      <c r="SJ20" s="292"/>
      <c r="SK20" s="292"/>
      <c r="SL20" s="292"/>
      <c r="SM20" s="292"/>
      <c r="SN20" s="292"/>
      <c r="SO20" s="292"/>
      <c r="SP20" s="292"/>
      <c r="SQ20" s="292"/>
      <c r="SR20" s="292"/>
      <c r="SS20" s="292"/>
      <c r="ST20" s="292"/>
      <c r="SU20" s="292"/>
      <c r="SV20" s="292"/>
      <c r="SW20" s="292"/>
      <c r="SX20" s="292"/>
      <c r="SY20" s="292"/>
      <c r="SZ20" s="292"/>
      <c r="TA20" s="292"/>
      <c r="TB20" s="292"/>
      <c r="TC20" s="292"/>
      <c r="TD20" s="292"/>
      <c r="TE20" s="292"/>
      <c r="TF20" s="292"/>
      <c r="TG20" s="292"/>
      <c r="TH20" s="292"/>
      <c r="TI20" s="292"/>
      <c r="TJ20" s="292"/>
      <c r="TK20" s="292"/>
      <c r="TL20" s="292"/>
      <c r="TM20" s="292"/>
      <c r="TN20" s="292"/>
      <c r="TO20" s="292"/>
      <c r="TP20" s="292"/>
      <c r="TQ20" s="292"/>
      <c r="TR20" s="292"/>
      <c r="TS20" s="292"/>
      <c r="TT20" s="292"/>
      <c r="TU20" s="292"/>
      <c r="TV20" s="292"/>
      <c r="TW20" s="292"/>
      <c r="TX20" s="292"/>
      <c r="TY20" s="292"/>
      <c r="TZ20" s="292"/>
      <c r="UA20" s="292"/>
      <c r="UB20" s="292"/>
      <c r="UC20" s="292"/>
      <c r="UD20" s="292"/>
      <c r="UE20" s="292"/>
      <c r="UF20" s="292"/>
      <c r="UG20" s="292"/>
      <c r="UH20" s="292"/>
      <c r="UI20" s="292"/>
      <c r="UJ20" s="292"/>
      <c r="UK20" s="292"/>
      <c r="UL20" s="292"/>
      <c r="UM20" s="292"/>
      <c r="UN20" s="292"/>
      <c r="UO20" s="292"/>
      <c r="UP20" s="292"/>
      <c r="UQ20" s="292"/>
      <c r="UR20" s="292"/>
      <c r="US20" s="292"/>
      <c r="UT20" s="292"/>
      <c r="UU20" s="292"/>
      <c r="UV20" s="292"/>
      <c r="UW20" s="292"/>
      <c r="UX20" s="292"/>
      <c r="UY20" s="292"/>
      <c r="UZ20" s="292"/>
      <c r="VA20" s="292"/>
      <c r="VB20" s="292"/>
      <c r="VC20" s="292"/>
      <c r="VD20" s="292"/>
      <c r="VE20" s="292"/>
      <c r="VF20" s="292"/>
      <c r="VG20" s="292"/>
      <c r="VH20" s="292"/>
      <c r="VI20" s="292"/>
      <c r="VJ20" s="292"/>
      <c r="VK20" s="292"/>
      <c r="VL20" s="292"/>
      <c r="VM20" s="292"/>
      <c r="VN20" s="292"/>
      <c r="VO20" s="292"/>
      <c r="VP20" s="292"/>
      <c r="VQ20" s="292"/>
      <c r="VR20" s="292"/>
      <c r="VS20" s="292"/>
      <c r="VT20" s="292"/>
      <c r="VU20" s="292"/>
      <c r="VV20" s="292"/>
      <c r="VW20" s="292"/>
      <c r="VX20" s="292"/>
      <c r="VY20" s="292"/>
      <c r="VZ20" s="292"/>
      <c r="WA20" s="292"/>
      <c r="WB20" s="292"/>
      <c r="WC20" s="292"/>
      <c r="WD20" s="292"/>
      <c r="WE20" s="292"/>
      <c r="WF20" s="292"/>
      <c r="WG20" s="292"/>
      <c r="WH20" s="292"/>
      <c r="WI20" s="292"/>
      <c r="WJ20" s="292"/>
      <c r="WK20" s="292"/>
      <c r="WL20" s="292"/>
      <c r="WM20" s="292"/>
      <c r="WN20" s="292"/>
      <c r="WO20" s="292"/>
      <c r="WP20" s="292"/>
      <c r="WQ20" s="292"/>
      <c r="WR20" s="292"/>
      <c r="WS20" s="292"/>
      <c r="WT20" s="292"/>
      <c r="WU20" s="292"/>
      <c r="WV20" s="292"/>
      <c r="WW20" s="292"/>
      <c r="WX20" s="292"/>
      <c r="WY20" s="292"/>
      <c r="WZ20" s="292"/>
      <c r="XA20" s="292"/>
      <c r="XB20" s="292"/>
      <c r="XC20" s="292"/>
      <c r="XD20" s="292"/>
      <c r="XE20" s="292"/>
      <c r="XF20" s="292"/>
      <c r="XG20" s="292"/>
      <c r="XH20" s="292"/>
      <c r="XI20" s="292"/>
      <c r="XJ20" s="292"/>
      <c r="XK20" s="292"/>
      <c r="XL20" s="292"/>
      <c r="XM20" s="292"/>
      <c r="XN20" s="292"/>
      <c r="XO20" s="292"/>
      <c r="XP20" s="292"/>
      <c r="XQ20" s="292"/>
      <c r="XR20" s="292"/>
      <c r="XS20" s="292"/>
      <c r="XT20" s="292"/>
      <c r="XU20" s="292"/>
      <c r="XV20" s="292"/>
      <c r="XW20" s="292"/>
      <c r="XX20" s="292"/>
      <c r="XY20" s="292"/>
      <c r="XZ20" s="292"/>
      <c r="YA20" s="292"/>
      <c r="YB20" s="292"/>
      <c r="YC20" s="292"/>
      <c r="YD20" s="292"/>
      <c r="YE20" s="292"/>
      <c r="YF20" s="292"/>
      <c r="YG20" s="292"/>
      <c r="YH20" s="292"/>
      <c r="YI20" s="292"/>
      <c r="YJ20" s="292"/>
      <c r="YK20" s="292"/>
      <c r="YL20" s="292"/>
      <c r="YM20" s="292"/>
      <c r="YN20" s="292"/>
      <c r="YO20" s="292"/>
      <c r="YP20" s="292"/>
      <c r="YQ20" s="292"/>
      <c r="YR20" s="292"/>
      <c r="YS20" s="292"/>
      <c r="YT20" s="292"/>
      <c r="YU20" s="292"/>
      <c r="YV20" s="292"/>
      <c r="YW20" s="292"/>
      <c r="YX20" s="292"/>
      <c r="YY20" s="292"/>
      <c r="YZ20" s="292"/>
      <c r="ZA20" s="292"/>
      <c r="ZB20" s="292"/>
      <c r="ZC20" s="292"/>
      <c r="ZD20" s="292"/>
      <c r="ZE20" s="292"/>
      <c r="ZF20" s="292"/>
      <c r="ZG20" s="292"/>
      <c r="ZH20" s="292"/>
      <c r="ZI20" s="292"/>
      <c r="ZJ20" s="292"/>
      <c r="ZK20" s="292"/>
      <c r="ZL20" s="292"/>
      <c r="ZM20" s="292"/>
      <c r="ZN20" s="292"/>
      <c r="ZO20" s="292"/>
      <c r="ZP20" s="292"/>
      <c r="ZQ20" s="292"/>
      <c r="ZR20" s="292"/>
      <c r="ZS20" s="292"/>
      <c r="ZT20" s="292"/>
      <c r="ZU20" s="292"/>
      <c r="ZV20" s="292"/>
      <c r="ZW20" s="292"/>
      <c r="ZX20" s="292"/>
      <c r="ZY20" s="292"/>
      <c r="ZZ20" s="292"/>
      <c r="AAA20" s="292"/>
      <c r="AAB20" s="292"/>
      <c r="AAC20" s="292"/>
      <c r="AAD20" s="292"/>
      <c r="AAE20" s="292"/>
      <c r="AAF20" s="292"/>
      <c r="AAG20" s="292"/>
      <c r="AAH20" s="292"/>
      <c r="AAI20" s="292"/>
      <c r="AAJ20" s="292"/>
      <c r="AAK20" s="292"/>
      <c r="AAL20" s="292"/>
      <c r="AAM20" s="292"/>
      <c r="AAN20" s="292"/>
      <c r="AAO20" s="292"/>
      <c r="AAP20" s="292"/>
      <c r="AAQ20" s="292"/>
      <c r="AAR20" s="292"/>
      <c r="AAS20" s="292"/>
      <c r="AAT20" s="292"/>
      <c r="AAU20" s="292"/>
      <c r="AAV20" s="292"/>
      <c r="AAW20" s="292"/>
      <c r="AAX20" s="292"/>
      <c r="AAY20" s="292"/>
      <c r="AAZ20" s="292"/>
      <c r="ABA20" s="292"/>
      <c r="ABB20" s="292"/>
      <c r="ABC20" s="292"/>
      <c r="ABD20" s="292"/>
      <c r="ABE20" s="292"/>
      <c r="ABF20" s="292"/>
      <c r="ABG20" s="292"/>
      <c r="ABH20" s="292"/>
      <c r="ABI20" s="292"/>
      <c r="ABJ20" s="292"/>
      <c r="ABK20" s="292"/>
      <c r="ABL20" s="292"/>
      <c r="ABM20" s="292"/>
      <c r="ABN20" s="292"/>
      <c r="ABO20" s="292"/>
      <c r="ABP20" s="292"/>
      <c r="ABQ20" s="292"/>
      <c r="ABR20" s="292"/>
      <c r="ABS20" s="292"/>
      <c r="ABT20" s="292"/>
      <c r="ABU20" s="292"/>
      <c r="ABV20" s="292"/>
      <c r="ABW20" s="292"/>
      <c r="ABX20" s="292"/>
      <c r="ABY20" s="292"/>
      <c r="ABZ20" s="292"/>
      <c r="ACA20" s="292"/>
      <c r="ACB20" s="292"/>
      <c r="ACC20" s="292"/>
      <c r="ACD20" s="292"/>
      <c r="ACE20" s="292"/>
      <c r="ACF20" s="292"/>
      <c r="ACG20" s="292"/>
      <c r="ACH20" s="292"/>
      <c r="ACI20" s="292"/>
      <c r="ACJ20" s="292"/>
      <c r="ACK20" s="292"/>
      <c r="ACL20" s="292"/>
      <c r="ACM20" s="292"/>
      <c r="ACN20" s="292"/>
      <c r="ACO20" s="292"/>
      <c r="ACP20" s="292"/>
      <c r="ACQ20" s="292"/>
      <c r="ACR20" s="292"/>
      <c r="ACS20" s="292"/>
      <c r="ACT20" s="292"/>
      <c r="ACU20" s="292"/>
      <c r="ACV20" s="292"/>
      <c r="ACW20" s="292"/>
      <c r="ACX20" s="292"/>
      <c r="ACY20" s="292"/>
      <c r="ACZ20" s="292"/>
      <c r="ADA20" s="292"/>
      <c r="ADB20" s="292"/>
      <c r="ADC20" s="292"/>
      <c r="ADD20" s="292"/>
      <c r="ADE20" s="292"/>
      <c r="ADF20" s="292"/>
      <c r="ADG20" s="292"/>
      <c r="ADH20" s="292"/>
      <c r="ADI20" s="292"/>
      <c r="ADJ20" s="292"/>
      <c r="ADK20" s="292"/>
      <c r="ADL20" s="292"/>
      <c r="ADM20" s="292"/>
      <c r="ADN20" s="292"/>
      <c r="ADO20" s="292"/>
      <c r="ADP20" s="292"/>
      <c r="ADQ20" s="292"/>
      <c r="ADR20" s="292"/>
      <c r="ADS20" s="292"/>
      <c r="ADT20" s="292"/>
      <c r="ADU20" s="292"/>
      <c r="ADV20" s="292"/>
      <c r="ADW20" s="292"/>
      <c r="ADX20" s="292"/>
      <c r="ADY20" s="292"/>
      <c r="ADZ20" s="292"/>
      <c r="AEA20" s="292"/>
      <c r="AEB20" s="292"/>
      <c r="AEC20" s="292"/>
      <c r="AED20" s="292"/>
      <c r="AEE20" s="292"/>
      <c r="AEF20" s="292"/>
      <c r="AEG20" s="292"/>
      <c r="AEH20" s="292"/>
      <c r="AEI20" s="292"/>
      <c r="AEJ20" s="292"/>
      <c r="AEK20" s="292"/>
      <c r="AEL20" s="292"/>
      <c r="AEM20" s="292"/>
      <c r="AEN20" s="292"/>
      <c r="AEO20" s="292"/>
      <c r="AEP20" s="292"/>
      <c r="AEQ20" s="292"/>
      <c r="AER20" s="292"/>
      <c r="AES20" s="292"/>
      <c r="AET20" s="292"/>
      <c r="AEU20" s="292"/>
      <c r="AEV20" s="292"/>
      <c r="AEW20" s="292"/>
      <c r="AEX20" s="292"/>
      <c r="AEY20" s="292"/>
      <c r="AEZ20" s="292"/>
      <c r="AFA20" s="292"/>
      <c r="AFB20" s="292"/>
      <c r="AFC20" s="292"/>
      <c r="AFD20" s="292"/>
      <c r="AFE20" s="292"/>
      <c r="AFF20" s="292"/>
      <c r="AFG20" s="292"/>
      <c r="AFH20" s="292"/>
      <c r="AFI20" s="292"/>
      <c r="AFJ20" s="292"/>
      <c r="AFK20" s="292"/>
      <c r="AFL20" s="292"/>
      <c r="AFM20" s="292"/>
      <c r="AFN20" s="292"/>
      <c r="AFO20" s="292"/>
      <c r="AFP20" s="292"/>
      <c r="AFQ20" s="292"/>
      <c r="AFR20" s="292"/>
      <c r="AFS20" s="292"/>
      <c r="AFT20" s="292"/>
      <c r="AFU20" s="292"/>
      <c r="AFV20" s="292"/>
      <c r="AFW20" s="292"/>
      <c r="AFX20" s="292"/>
      <c r="AFY20" s="292"/>
      <c r="AFZ20" s="292"/>
      <c r="AGA20" s="292"/>
      <c r="AGB20" s="292"/>
      <c r="AGC20" s="292"/>
      <c r="AGD20" s="292"/>
      <c r="AGE20" s="292"/>
      <c r="AGF20" s="292"/>
      <c r="AGG20" s="292"/>
      <c r="AGH20" s="292"/>
      <c r="AGI20" s="292"/>
      <c r="AGJ20" s="292"/>
      <c r="AGK20" s="292"/>
      <c r="AGL20" s="292"/>
      <c r="AGM20" s="292"/>
      <c r="AGN20" s="292"/>
      <c r="AGO20" s="292"/>
      <c r="AGP20" s="292"/>
      <c r="AGQ20" s="292"/>
      <c r="AGR20" s="292"/>
      <c r="AGS20" s="292"/>
      <c r="AGT20" s="292"/>
      <c r="AGU20" s="292"/>
      <c r="AGV20" s="292"/>
      <c r="AGW20" s="292"/>
      <c r="AGX20" s="292"/>
      <c r="AGY20" s="292"/>
      <c r="AGZ20" s="292"/>
      <c r="AHA20" s="292"/>
      <c r="AHB20" s="292"/>
      <c r="AHC20" s="292"/>
      <c r="AHD20" s="292"/>
      <c r="AHE20" s="292"/>
      <c r="AHF20" s="292"/>
      <c r="AHG20" s="292"/>
      <c r="AHH20" s="292"/>
      <c r="AHI20" s="292"/>
      <c r="AHJ20" s="292"/>
      <c r="AHK20" s="292"/>
      <c r="AHL20" s="292"/>
      <c r="AHM20" s="292"/>
      <c r="AHN20" s="292"/>
      <c r="AHO20" s="292"/>
      <c r="AHP20" s="292"/>
      <c r="AHQ20" s="292"/>
      <c r="AHR20" s="292"/>
      <c r="AHS20" s="292"/>
      <c r="AHT20" s="292"/>
      <c r="AHU20" s="292"/>
      <c r="AHV20" s="292"/>
      <c r="AHW20" s="292"/>
      <c r="AHX20" s="292"/>
      <c r="AHY20" s="292"/>
      <c r="AHZ20" s="292"/>
      <c r="AIA20" s="292"/>
      <c r="AIB20" s="292"/>
      <c r="AIC20" s="292"/>
      <c r="AID20" s="292"/>
      <c r="AIE20" s="292"/>
      <c r="AIF20" s="292"/>
      <c r="AIG20" s="292"/>
      <c r="AIH20" s="292"/>
      <c r="AII20" s="292"/>
      <c r="AIJ20" s="292"/>
      <c r="AIK20" s="292"/>
      <c r="AIL20" s="292"/>
      <c r="AIM20" s="292"/>
      <c r="AIN20" s="292"/>
      <c r="AIO20" s="292"/>
      <c r="AIP20" s="292"/>
      <c r="AIQ20" s="292"/>
      <c r="AIR20" s="292"/>
      <c r="AIS20" s="292"/>
      <c r="AIT20" s="292"/>
      <c r="AIU20" s="292"/>
      <c r="AIV20" s="292"/>
      <c r="AIW20" s="292"/>
      <c r="AIX20" s="292"/>
      <c r="AIY20" s="292"/>
      <c r="AIZ20" s="292"/>
      <c r="AJA20" s="292"/>
      <c r="AJB20" s="292"/>
      <c r="AJC20" s="292"/>
      <c r="AJD20" s="292"/>
      <c r="AJE20" s="292"/>
      <c r="AJF20" s="292"/>
      <c r="AJG20" s="292"/>
      <c r="AJH20" s="292"/>
      <c r="AJI20" s="292"/>
      <c r="AJJ20" s="292"/>
      <c r="AJK20" s="292"/>
      <c r="AJL20" s="292"/>
      <c r="AJM20" s="292"/>
      <c r="AJN20" s="292"/>
      <c r="AJO20" s="292"/>
      <c r="AJP20" s="292"/>
      <c r="AJQ20" s="292"/>
      <c r="AJR20" s="292"/>
      <c r="AJS20" s="292"/>
      <c r="AJT20" s="292"/>
      <c r="AJU20" s="292"/>
      <c r="AJV20" s="292"/>
      <c r="AJW20" s="292"/>
      <c r="AJX20" s="292"/>
      <c r="AJY20" s="292"/>
      <c r="AJZ20" s="292"/>
      <c r="AKA20" s="292"/>
      <c r="AKB20" s="292"/>
      <c r="AKC20" s="292"/>
      <c r="AKD20" s="292"/>
      <c r="AKE20" s="292"/>
      <c r="AKF20" s="292"/>
      <c r="AKG20" s="292"/>
      <c r="AKH20" s="292"/>
      <c r="AKI20" s="292"/>
      <c r="AKJ20" s="292"/>
      <c r="AKK20" s="292"/>
      <c r="AKL20" s="292"/>
      <c r="AKM20" s="292"/>
      <c r="AKN20" s="292"/>
      <c r="AKO20" s="292"/>
      <c r="AKP20" s="292"/>
      <c r="AKQ20" s="292"/>
      <c r="AKR20" s="292"/>
      <c r="AKS20" s="292"/>
      <c r="AKT20" s="292"/>
      <c r="AKU20" s="292"/>
      <c r="AKV20" s="292"/>
      <c r="AKW20" s="292"/>
      <c r="AKX20" s="292"/>
      <c r="AKY20" s="292"/>
      <c r="AKZ20" s="292"/>
      <c r="ALA20" s="292"/>
      <c r="ALB20" s="292"/>
      <c r="ALC20" s="292"/>
      <c r="ALD20" s="292"/>
      <c r="ALE20" s="292"/>
      <c r="ALF20" s="292"/>
      <c r="ALG20" s="292"/>
      <c r="ALH20" s="292"/>
      <c r="ALI20" s="292"/>
      <c r="ALJ20" s="292"/>
      <c r="ALK20" s="292"/>
      <c r="ALL20" s="292"/>
      <c r="ALM20" s="292"/>
      <c r="ALN20" s="292"/>
      <c r="ALO20" s="292"/>
      <c r="ALP20" s="292"/>
      <c r="ALQ20" s="292"/>
      <c r="ALR20" s="292"/>
      <c r="ALS20" s="292"/>
      <c r="ALT20" s="292"/>
      <c r="ALU20" s="292"/>
      <c r="ALV20" s="292"/>
      <c r="ALW20" s="292"/>
      <c r="ALX20" s="292"/>
      <c r="ALY20" s="292"/>
      <c r="ALZ20" s="292"/>
      <c r="AMA20" s="292"/>
      <c r="AMB20" s="292"/>
      <c r="AMC20" s="292"/>
      <c r="AMD20" s="292"/>
      <c r="AME20" s="292"/>
      <c r="AMF20" s="292"/>
      <c r="AMG20" s="292"/>
      <c r="AMH20" s="292"/>
      <c r="AMI20" s="292"/>
      <c r="AMJ20" s="292"/>
      <c r="AMK20" s="292"/>
      <c r="AML20" s="292"/>
      <c r="AMM20" s="292"/>
      <c r="AMN20" s="292"/>
      <c r="AMO20" s="292"/>
      <c r="AMP20" s="292"/>
      <c r="AMQ20" s="292"/>
      <c r="AMR20" s="292"/>
      <c r="AMS20" s="292"/>
      <c r="AMT20" s="292"/>
      <c r="AMU20" s="292"/>
      <c r="AMV20" s="292"/>
      <c r="AMW20" s="292"/>
      <c r="AMX20" s="292"/>
      <c r="AMY20" s="292"/>
      <c r="AMZ20" s="292"/>
      <c r="ANA20" s="292"/>
      <c r="ANB20" s="292"/>
      <c r="ANC20" s="292"/>
      <c r="AND20" s="292"/>
      <c r="ANE20" s="292"/>
      <c r="ANF20" s="292"/>
      <c r="ANG20" s="292"/>
      <c r="ANH20" s="292"/>
      <c r="ANI20" s="292"/>
      <c r="ANJ20" s="292"/>
      <c r="ANK20" s="292"/>
      <c r="ANL20" s="292"/>
      <c r="ANM20" s="292"/>
      <c r="ANN20" s="292"/>
      <c r="ANO20" s="292"/>
      <c r="ANP20" s="292"/>
      <c r="ANQ20" s="292"/>
      <c r="ANR20" s="292"/>
      <c r="ANS20" s="292"/>
      <c r="ANT20" s="292"/>
      <c r="ANU20" s="292"/>
      <c r="ANV20" s="292"/>
      <c r="ANW20" s="292"/>
      <c r="ANX20" s="292"/>
      <c r="ANY20" s="292"/>
      <c r="ANZ20" s="292"/>
      <c r="AOA20" s="292"/>
      <c r="AOB20" s="292"/>
      <c r="AOC20" s="292"/>
      <c r="AOD20" s="292"/>
      <c r="AOE20" s="292"/>
      <c r="AOF20" s="292"/>
      <c r="AOG20" s="292"/>
      <c r="AOH20" s="292"/>
      <c r="AOI20" s="292"/>
      <c r="AOJ20" s="292"/>
      <c r="AOK20" s="292"/>
      <c r="AOL20" s="292"/>
      <c r="AOM20" s="292"/>
      <c r="AON20" s="292"/>
      <c r="AOO20" s="292"/>
      <c r="AOP20" s="292"/>
      <c r="AOQ20" s="292"/>
      <c r="AOR20" s="292"/>
      <c r="AOS20" s="292"/>
      <c r="AOT20" s="292"/>
      <c r="AOU20" s="292"/>
      <c r="AOV20" s="292"/>
      <c r="AOW20" s="292"/>
      <c r="AOX20" s="292"/>
      <c r="AOY20" s="292"/>
      <c r="AOZ20" s="292"/>
      <c r="APA20" s="292"/>
      <c r="APB20" s="292"/>
      <c r="APC20" s="292"/>
      <c r="APD20" s="292"/>
      <c r="APE20" s="292"/>
      <c r="APF20" s="292"/>
      <c r="APG20" s="292"/>
      <c r="APH20" s="292"/>
      <c r="API20" s="292"/>
      <c r="APJ20" s="292"/>
      <c r="APK20" s="292"/>
      <c r="APL20" s="292"/>
      <c r="APM20" s="292"/>
      <c r="APN20" s="292"/>
      <c r="APO20" s="292"/>
      <c r="APP20" s="292"/>
      <c r="APQ20" s="292"/>
      <c r="APR20" s="292"/>
      <c r="APS20" s="292"/>
      <c r="APT20" s="292"/>
      <c r="APU20" s="292"/>
      <c r="APV20" s="292"/>
      <c r="APW20" s="292"/>
      <c r="APX20" s="292"/>
      <c r="APY20" s="292"/>
      <c r="APZ20" s="292"/>
      <c r="AQA20" s="292"/>
      <c r="AQB20" s="292"/>
      <c r="AQC20" s="292"/>
      <c r="AQD20" s="292"/>
      <c r="AQE20" s="292"/>
      <c r="AQF20" s="292"/>
      <c r="AQG20" s="292"/>
      <c r="AQH20" s="292"/>
      <c r="AQI20" s="292"/>
      <c r="AQJ20" s="292"/>
      <c r="AQK20" s="292"/>
      <c r="AQL20" s="292"/>
      <c r="AQM20" s="292"/>
      <c r="AQN20" s="292"/>
      <c r="AQO20" s="292"/>
      <c r="AQP20" s="292"/>
      <c r="AQQ20" s="292"/>
      <c r="AQR20" s="292"/>
      <c r="AQS20" s="292"/>
      <c r="AQT20" s="292"/>
      <c r="AQU20" s="292"/>
      <c r="AQV20" s="292"/>
      <c r="AQW20" s="292"/>
      <c r="AQX20" s="292"/>
      <c r="AQY20" s="292"/>
      <c r="AQZ20" s="292"/>
      <c r="ARA20" s="292"/>
      <c r="ARB20" s="292"/>
      <c r="ARC20" s="292"/>
      <c r="ARD20" s="292"/>
      <c r="ARE20" s="292"/>
      <c r="ARF20" s="292"/>
      <c r="ARG20" s="292"/>
      <c r="ARH20" s="292"/>
      <c r="ARI20" s="292"/>
      <c r="ARJ20" s="292"/>
      <c r="ARK20" s="292"/>
      <c r="ARL20" s="292"/>
      <c r="ARM20" s="292"/>
      <c r="ARN20" s="292"/>
      <c r="ARO20" s="292"/>
      <c r="ARP20" s="292"/>
      <c r="ARQ20" s="292"/>
      <c r="ARR20" s="292"/>
      <c r="ARS20" s="292"/>
      <c r="ART20" s="292"/>
      <c r="ARU20" s="292"/>
      <c r="ARV20" s="292"/>
      <c r="ARW20" s="292"/>
      <c r="ARX20" s="292"/>
      <c r="ARY20" s="292"/>
      <c r="ARZ20" s="292"/>
      <c r="ASA20" s="292"/>
      <c r="ASB20" s="292"/>
      <c r="ASC20" s="292"/>
      <c r="ASD20" s="292"/>
      <c r="ASE20" s="292"/>
      <c r="ASF20" s="292"/>
      <c r="ASG20" s="292"/>
      <c r="ASH20" s="292"/>
      <c r="ASI20" s="292"/>
      <c r="ASJ20" s="292"/>
      <c r="ASK20" s="292"/>
      <c r="ASL20" s="292"/>
      <c r="ASM20" s="292"/>
      <c r="ASN20" s="292"/>
      <c r="ASO20" s="292"/>
      <c r="ASP20" s="292"/>
      <c r="ASQ20" s="292"/>
      <c r="ASR20" s="292"/>
      <c r="ASS20" s="292"/>
      <c r="AST20" s="292"/>
      <c r="ASU20" s="292"/>
      <c r="ASV20" s="292"/>
      <c r="ASW20" s="292"/>
      <c r="ASX20" s="292"/>
      <c r="ASY20" s="292"/>
      <c r="ASZ20" s="292"/>
      <c r="ATA20" s="292"/>
      <c r="ATB20" s="292"/>
      <c r="ATC20" s="292"/>
      <c r="ATD20" s="292"/>
      <c r="ATE20" s="292"/>
      <c r="ATF20" s="292"/>
      <c r="ATG20" s="292"/>
      <c r="ATH20" s="292"/>
      <c r="ATI20" s="292"/>
      <c r="ATJ20" s="292"/>
      <c r="ATK20" s="292"/>
      <c r="ATL20" s="292"/>
      <c r="ATM20" s="292"/>
      <c r="ATN20" s="292"/>
      <c r="ATO20" s="292"/>
      <c r="ATP20" s="292"/>
      <c r="ATQ20" s="292"/>
      <c r="ATR20" s="292"/>
      <c r="ATS20" s="292"/>
      <c r="ATT20" s="292"/>
      <c r="ATU20" s="292"/>
      <c r="ATV20" s="292"/>
      <c r="ATW20" s="292"/>
      <c r="ATX20" s="292"/>
      <c r="ATY20" s="292"/>
      <c r="ATZ20" s="292"/>
      <c r="AUA20" s="292"/>
      <c r="AUB20" s="292"/>
      <c r="AUC20" s="292"/>
      <c r="AUD20" s="292"/>
      <c r="AUE20" s="292"/>
      <c r="AUF20" s="292"/>
      <c r="AUG20" s="292"/>
      <c r="AUH20" s="292"/>
      <c r="AUI20" s="292"/>
      <c r="AUJ20" s="292"/>
      <c r="AUK20" s="292"/>
      <c r="AUL20" s="292"/>
      <c r="AUM20" s="292"/>
      <c r="AUN20" s="292"/>
      <c r="AUO20" s="292"/>
      <c r="AUP20" s="292"/>
      <c r="AUQ20" s="292"/>
      <c r="AUR20" s="292"/>
      <c r="AUS20" s="292"/>
      <c r="AUT20" s="292"/>
      <c r="AUU20" s="292"/>
      <c r="AUV20" s="292"/>
      <c r="AUW20" s="292"/>
      <c r="AUX20" s="292"/>
      <c r="AUY20" s="292"/>
      <c r="AUZ20" s="292"/>
      <c r="AVA20" s="292"/>
      <c r="AVB20" s="292"/>
      <c r="AVC20" s="292"/>
      <c r="AVD20" s="292"/>
      <c r="AVE20" s="292"/>
      <c r="AVF20" s="292"/>
      <c r="AVG20" s="292"/>
      <c r="AVH20" s="292"/>
      <c r="AVI20" s="292"/>
      <c r="AVJ20" s="292"/>
      <c r="AVK20" s="292"/>
      <c r="AVL20" s="292"/>
      <c r="AVM20" s="292"/>
      <c r="AVN20" s="292"/>
      <c r="AVO20" s="292"/>
      <c r="AVP20" s="292"/>
      <c r="AVQ20" s="292"/>
      <c r="AVR20" s="292"/>
      <c r="AVS20" s="292"/>
      <c r="AVT20" s="292"/>
      <c r="AVU20" s="292"/>
      <c r="AVV20" s="292"/>
      <c r="AVW20" s="292"/>
      <c r="AVX20" s="292"/>
      <c r="AVY20" s="292"/>
      <c r="AVZ20" s="292"/>
      <c r="AWA20" s="292"/>
      <c r="AWB20" s="292"/>
      <c r="AWC20" s="292"/>
      <c r="AWD20" s="292"/>
      <c r="AWE20" s="292"/>
      <c r="AWF20" s="292"/>
      <c r="AWG20" s="292"/>
      <c r="AWH20" s="292"/>
      <c r="AWI20" s="292"/>
      <c r="AWJ20" s="292"/>
      <c r="AWK20" s="292"/>
      <c r="AWL20" s="292"/>
      <c r="AWM20" s="292"/>
      <c r="AWN20" s="292"/>
      <c r="AWO20" s="292"/>
      <c r="AWP20" s="292"/>
      <c r="AWQ20" s="292"/>
      <c r="AWR20" s="292"/>
      <c r="AWS20" s="292"/>
      <c r="AWT20" s="292"/>
      <c r="AWU20" s="292"/>
      <c r="AWV20" s="292"/>
      <c r="AWW20" s="292"/>
      <c r="AWX20" s="292"/>
      <c r="AWY20" s="292"/>
      <c r="AWZ20" s="292"/>
      <c r="AXA20" s="292"/>
      <c r="AXB20" s="292"/>
      <c r="AXC20" s="292"/>
      <c r="AXD20" s="292"/>
      <c r="AXE20" s="292"/>
      <c r="AXF20" s="292"/>
      <c r="AXG20" s="292"/>
      <c r="AXH20" s="292"/>
      <c r="AXI20" s="292"/>
      <c r="AXJ20" s="292"/>
      <c r="AXK20" s="292"/>
      <c r="AXL20" s="292"/>
      <c r="AXM20" s="292"/>
      <c r="AXN20" s="292"/>
      <c r="AXO20" s="292"/>
      <c r="AXP20" s="292"/>
      <c r="AXQ20" s="292"/>
      <c r="AXR20" s="292"/>
      <c r="AXS20" s="292"/>
      <c r="AXT20" s="292"/>
      <c r="AXU20" s="292"/>
      <c r="AXV20" s="292"/>
      <c r="AXW20" s="292"/>
      <c r="AXX20" s="292"/>
      <c r="AXY20" s="292"/>
      <c r="AXZ20" s="292"/>
      <c r="AYA20" s="292"/>
      <c r="AYB20" s="292"/>
      <c r="AYC20" s="292"/>
      <c r="AYD20" s="292"/>
      <c r="AYE20" s="292"/>
      <c r="AYF20" s="292"/>
      <c r="AYG20" s="292"/>
      <c r="AYH20" s="292"/>
      <c r="AYI20" s="292"/>
      <c r="AYJ20" s="292"/>
      <c r="AYK20" s="292"/>
      <c r="AYL20" s="292"/>
      <c r="AYM20" s="292"/>
      <c r="AYN20" s="292"/>
      <c r="AYO20" s="292"/>
      <c r="AYP20" s="292"/>
      <c r="AYQ20" s="292"/>
      <c r="AYR20" s="292"/>
      <c r="AYS20" s="292"/>
      <c r="AYT20" s="292"/>
      <c r="AYU20" s="292"/>
      <c r="AYV20" s="292"/>
      <c r="AYW20" s="292"/>
      <c r="AYX20" s="292"/>
      <c r="AYY20" s="292"/>
      <c r="AYZ20" s="292"/>
      <c r="AZA20" s="292"/>
      <c r="AZB20" s="292"/>
      <c r="AZC20" s="292"/>
      <c r="AZD20" s="292"/>
      <c r="AZE20" s="292"/>
      <c r="AZF20" s="292"/>
      <c r="AZG20" s="292"/>
      <c r="AZH20" s="292"/>
      <c r="AZI20" s="292"/>
      <c r="AZJ20" s="292"/>
      <c r="AZK20" s="292"/>
      <c r="AZL20" s="292"/>
      <c r="AZM20" s="292"/>
      <c r="AZN20" s="292"/>
      <c r="AZO20" s="292"/>
      <c r="AZP20" s="292"/>
      <c r="AZQ20" s="292"/>
      <c r="AZR20" s="292"/>
      <c r="AZS20" s="292"/>
      <c r="AZT20" s="292"/>
      <c r="AZU20" s="292"/>
      <c r="AZV20" s="292"/>
      <c r="AZW20" s="292"/>
      <c r="AZX20" s="292"/>
      <c r="AZY20" s="292"/>
      <c r="AZZ20" s="292"/>
      <c r="BAA20" s="292"/>
      <c r="BAB20" s="292"/>
      <c r="BAC20" s="292"/>
      <c r="BAD20" s="292"/>
      <c r="BAE20" s="292"/>
      <c r="BAF20" s="292"/>
      <c r="BAG20" s="292"/>
      <c r="BAH20" s="292"/>
      <c r="BAI20" s="292"/>
      <c r="BAJ20" s="292"/>
      <c r="BAK20" s="292"/>
      <c r="BAL20" s="292"/>
      <c r="BAM20" s="292"/>
      <c r="BAN20" s="292"/>
      <c r="BAO20" s="292"/>
      <c r="BAP20" s="292"/>
      <c r="BAQ20" s="292"/>
      <c r="BAR20" s="292"/>
      <c r="BAS20" s="292"/>
      <c r="BAT20" s="292"/>
      <c r="BAU20" s="292"/>
      <c r="BAV20" s="292"/>
      <c r="BAW20" s="292"/>
      <c r="BAX20" s="292"/>
      <c r="BAY20" s="292"/>
      <c r="BAZ20" s="292"/>
      <c r="BBA20" s="292"/>
      <c r="BBB20" s="292"/>
      <c r="BBC20" s="292"/>
      <c r="BBD20" s="292"/>
      <c r="BBE20" s="292"/>
      <c r="BBF20" s="292"/>
      <c r="BBG20" s="292"/>
      <c r="BBH20" s="292"/>
      <c r="BBI20" s="292"/>
      <c r="BBJ20" s="292"/>
      <c r="BBK20" s="292"/>
      <c r="BBL20" s="292"/>
      <c r="BBM20" s="292"/>
      <c r="BBN20" s="292"/>
      <c r="BBO20" s="292"/>
      <c r="BBP20" s="292"/>
      <c r="BBQ20" s="292"/>
      <c r="BBR20" s="292"/>
      <c r="BBS20" s="292"/>
      <c r="BBT20" s="292"/>
      <c r="BBU20" s="292"/>
      <c r="BBV20" s="292"/>
      <c r="BBW20" s="292"/>
      <c r="BBX20" s="292"/>
      <c r="BBY20" s="292"/>
      <c r="BBZ20" s="292"/>
      <c r="BCA20" s="292"/>
      <c r="BCB20" s="292"/>
      <c r="BCC20" s="292"/>
      <c r="BCD20" s="292"/>
      <c r="BCE20" s="292"/>
      <c r="BCF20" s="292"/>
      <c r="BCG20" s="292"/>
      <c r="BCH20" s="292"/>
      <c r="BCI20" s="292"/>
      <c r="BCJ20" s="292"/>
      <c r="BCK20" s="292"/>
      <c r="BCL20" s="292"/>
      <c r="BCM20" s="292"/>
      <c r="BCN20" s="292"/>
      <c r="BCO20" s="292"/>
      <c r="BCP20" s="292"/>
      <c r="BCQ20" s="292"/>
      <c r="BCR20" s="292"/>
      <c r="BCS20" s="292"/>
      <c r="BCT20" s="292"/>
      <c r="BCU20" s="292"/>
      <c r="BCV20" s="292"/>
      <c r="BCW20" s="292"/>
      <c r="BCX20" s="292"/>
      <c r="BCY20" s="292"/>
      <c r="BCZ20" s="292"/>
      <c r="BDA20" s="292"/>
      <c r="BDB20" s="292"/>
      <c r="BDC20" s="292"/>
      <c r="BDD20" s="292"/>
      <c r="BDE20" s="292"/>
      <c r="BDF20" s="292"/>
      <c r="BDG20" s="292"/>
      <c r="BDH20" s="292"/>
      <c r="BDI20" s="292"/>
      <c r="BDJ20" s="292"/>
      <c r="BDK20" s="292"/>
      <c r="BDL20" s="292"/>
      <c r="BDM20" s="292"/>
      <c r="BDN20" s="292"/>
      <c r="BDO20" s="292"/>
      <c r="BDP20" s="292"/>
      <c r="BDQ20" s="292"/>
      <c r="BDR20" s="292"/>
      <c r="BDS20" s="292"/>
      <c r="BDT20" s="292"/>
      <c r="BDU20" s="292"/>
      <c r="BDV20" s="292"/>
      <c r="BDW20" s="292"/>
      <c r="BDX20" s="292"/>
      <c r="BDY20" s="292"/>
      <c r="BDZ20" s="292"/>
      <c r="BEA20" s="292"/>
      <c r="BEB20" s="292"/>
      <c r="BEC20" s="292"/>
      <c r="BED20" s="292"/>
      <c r="BEE20" s="292"/>
      <c r="BEF20" s="292"/>
      <c r="BEG20" s="292"/>
      <c r="BEH20" s="292"/>
      <c r="BEI20" s="292"/>
      <c r="BEJ20" s="292"/>
      <c r="BEK20" s="292"/>
      <c r="BEL20" s="292"/>
      <c r="BEM20" s="292"/>
      <c r="BEN20" s="292"/>
      <c r="BEO20" s="292"/>
      <c r="BEP20" s="292"/>
      <c r="BEQ20" s="292"/>
      <c r="BER20" s="292"/>
      <c r="BES20" s="292"/>
      <c r="BET20" s="292"/>
      <c r="BEU20" s="292"/>
      <c r="BEV20" s="292"/>
      <c r="BEW20" s="292"/>
      <c r="BEX20" s="292"/>
      <c r="BEY20" s="292"/>
      <c r="BEZ20" s="292"/>
      <c r="BFA20" s="292"/>
      <c r="BFB20" s="292"/>
      <c r="BFC20" s="292"/>
      <c r="BFD20" s="292"/>
      <c r="BFE20" s="292"/>
      <c r="BFF20" s="292"/>
      <c r="BFG20" s="292"/>
      <c r="BFH20" s="292"/>
      <c r="BFI20" s="292"/>
      <c r="BFJ20" s="292"/>
      <c r="BFK20" s="292"/>
      <c r="BFL20" s="292"/>
      <c r="BFM20" s="292"/>
      <c r="BFN20" s="292"/>
      <c r="BFO20" s="292"/>
      <c r="BFP20" s="292"/>
      <c r="BFQ20" s="292"/>
      <c r="BFR20" s="292"/>
      <c r="BFS20" s="292"/>
      <c r="BFT20" s="292"/>
      <c r="BFU20" s="292"/>
      <c r="BFV20" s="292"/>
      <c r="BFW20" s="292"/>
      <c r="BFX20" s="292"/>
      <c r="BFY20" s="292"/>
      <c r="BFZ20" s="292"/>
      <c r="BGA20" s="292"/>
      <c r="BGB20" s="292"/>
      <c r="BGC20" s="292"/>
      <c r="BGD20" s="292"/>
      <c r="BGE20" s="292"/>
      <c r="BGF20" s="292"/>
      <c r="BGG20" s="292"/>
      <c r="BGH20" s="292"/>
      <c r="BGI20" s="292"/>
      <c r="BGJ20" s="292"/>
      <c r="BGK20" s="292"/>
      <c r="BGL20" s="292"/>
      <c r="BGM20" s="292"/>
      <c r="BGN20" s="292"/>
      <c r="BGO20" s="292"/>
      <c r="BGP20" s="292"/>
      <c r="BGQ20" s="292"/>
      <c r="BGR20" s="292"/>
      <c r="BGS20" s="292"/>
      <c r="BGT20" s="292"/>
      <c r="BGU20" s="292"/>
      <c r="BGV20" s="292"/>
      <c r="BGW20" s="292"/>
      <c r="BGX20" s="292"/>
      <c r="BGY20" s="292"/>
      <c r="BGZ20" s="292"/>
      <c r="BHA20" s="292"/>
      <c r="BHB20" s="292"/>
      <c r="BHC20" s="292"/>
      <c r="BHD20" s="292"/>
      <c r="BHE20" s="292"/>
      <c r="BHF20" s="292"/>
      <c r="BHG20" s="292"/>
      <c r="BHH20" s="292"/>
      <c r="BHI20" s="292"/>
      <c r="BHJ20" s="292"/>
      <c r="BHK20" s="292"/>
      <c r="BHL20" s="292"/>
      <c r="BHM20" s="292"/>
      <c r="BHN20" s="292"/>
      <c r="BHO20" s="292"/>
      <c r="BHP20" s="292"/>
      <c r="BHQ20" s="292"/>
      <c r="BHR20" s="292"/>
      <c r="BHS20" s="292"/>
      <c r="BHT20" s="292"/>
      <c r="BHU20" s="292"/>
      <c r="BHV20" s="292"/>
      <c r="BHW20" s="292"/>
      <c r="BHX20" s="292"/>
      <c r="BHY20" s="292"/>
      <c r="BHZ20" s="292"/>
      <c r="BIA20" s="292"/>
      <c r="BIB20" s="292"/>
      <c r="BIC20" s="292"/>
      <c r="BID20" s="292"/>
      <c r="BIE20" s="292"/>
      <c r="BIF20" s="292"/>
      <c r="BIG20" s="292"/>
      <c r="BIH20" s="292"/>
      <c r="BII20" s="292"/>
      <c r="BIJ20" s="292"/>
      <c r="BIK20" s="292"/>
      <c r="BIL20" s="292"/>
      <c r="BIM20" s="292"/>
      <c r="BIN20" s="292"/>
      <c r="BIO20" s="292"/>
      <c r="BIP20" s="292"/>
      <c r="BIQ20" s="292"/>
      <c r="BIR20" s="292"/>
      <c r="BIS20" s="292"/>
      <c r="BIT20" s="292"/>
      <c r="BIU20" s="292"/>
      <c r="BIV20" s="292"/>
      <c r="BIW20" s="292"/>
      <c r="BIX20" s="292"/>
      <c r="BIY20" s="292"/>
      <c r="BIZ20" s="292"/>
      <c r="BJA20" s="292"/>
      <c r="BJB20" s="292"/>
      <c r="BJC20" s="292"/>
      <c r="BJD20" s="292"/>
      <c r="BJE20" s="292"/>
      <c r="BJF20" s="292"/>
      <c r="BJG20" s="292"/>
      <c r="BJH20" s="292"/>
      <c r="BJI20" s="292"/>
      <c r="BJJ20" s="292"/>
      <c r="BJK20" s="292"/>
      <c r="BJL20" s="292"/>
      <c r="BJM20" s="292"/>
      <c r="BJN20" s="292"/>
      <c r="BJO20" s="292"/>
      <c r="BJP20" s="292"/>
      <c r="BJQ20" s="292"/>
      <c r="BJR20" s="292"/>
      <c r="BJS20" s="292"/>
      <c r="BJT20" s="292"/>
      <c r="BJU20" s="292"/>
      <c r="BJV20" s="292"/>
      <c r="BJW20" s="292"/>
      <c r="BJX20" s="292"/>
      <c r="BJY20" s="292"/>
      <c r="BJZ20" s="292"/>
      <c r="BKA20" s="292"/>
      <c r="BKB20" s="292"/>
      <c r="BKC20" s="292"/>
      <c r="BKD20" s="292"/>
      <c r="BKE20" s="292"/>
      <c r="BKF20" s="292"/>
      <c r="BKG20" s="292"/>
      <c r="BKH20" s="292"/>
      <c r="BKI20" s="292"/>
      <c r="BKJ20" s="292"/>
      <c r="BKK20" s="292"/>
      <c r="BKL20" s="292"/>
      <c r="BKM20" s="292"/>
      <c r="BKN20" s="292"/>
      <c r="BKO20" s="292"/>
      <c r="BKP20" s="292"/>
      <c r="BKQ20" s="292"/>
      <c r="BKR20" s="292"/>
      <c r="BKS20" s="292"/>
      <c r="BKT20" s="292"/>
      <c r="BKU20" s="292"/>
      <c r="BKV20" s="292"/>
      <c r="BKW20" s="292"/>
      <c r="BKX20" s="292"/>
      <c r="BKY20" s="292"/>
      <c r="BKZ20" s="292"/>
      <c r="BLA20" s="292"/>
      <c r="BLB20" s="292"/>
      <c r="BLC20" s="292"/>
      <c r="BLD20" s="292"/>
      <c r="BLE20" s="292"/>
      <c r="BLF20" s="292"/>
      <c r="BLG20" s="292"/>
      <c r="BLH20" s="292"/>
      <c r="BLI20" s="292"/>
      <c r="BLJ20" s="292"/>
      <c r="BLK20" s="292"/>
      <c r="BLL20" s="292"/>
      <c r="BLM20" s="292"/>
      <c r="BLN20" s="292"/>
      <c r="BLO20" s="292"/>
      <c r="BLP20" s="292"/>
      <c r="BLQ20" s="292"/>
      <c r="BLR20" s="292"/>
      <c r="BLS20" s="292"/>
      <c r="BLT20" s="292"/>
      <c r="BLU20" s="292"/>
      <c r="BLV20" s="292"/>
      <c r="BLW20" s="292"/>
      <c r="BLX20" s="292"/>
      <c r="BLY20" s="292"/>
      <c r="BLZ20" s="292"/>
      <c r="BMA20" s="292"/>
      <c r="BMB20" s="292"/>
      <c r="BMC20" s="292"/>
      <c r="BMD20" s="292"/>
      <c r="BME20" s="292"/>
      <c r="BMF20" s="292"/>
      <c r="BMG20" s="292"/>
      <c r="BMH20" s="292"/>
      <c r="BMI20" s="292"/>
      <c r="BMJ20" s="292"/>
      <c r="BMK20" s="292"/>
      <c r="BML20" s="292"/>
      <c r="BMM20" s="292"/>
      <c r="BMN20" s="292"/>
      <c r="BMO20" s="292"/>
      <c r="BMP20" s="292"/>
      <c r="BMQ20" s="292"/>
      <c r="BMR20" s="292"/>
      <c r="BMS20" s="292"/>
      <c r="BMT20" s="292"/>
      <c r="BMU20" s="292"/>
      <c r="BMV20" s="292"/>
      <c r="BMW20" s="292"/>
      <c r="BMX20" s="292"/>
      <c r="BMY20" s="292"/>
      <c r="BMZ20" s="292"/>
      <c r="BNA20" s="292"/>
      <c r="BNB20" s="292"/>
      <c r="BNC20" s="292"/>
      <c r="BND20" s="292"/>
      <c r="BNE20" s="292"/>
      <c r="BNF20" s="292"/>
      <c r="BNG20" s="292"/>
      <c r="BNH20" s="292"/>
      <c r="BNI20" s="292"/>
      <c r="BNJ20" s="292"/>
      <c r="BNK20" s="292"/>
      <c r="BNL20" s="292"/>
      <c r="BNM20" s="292"/>
      <c r="BNN20" s="292"/>
      <c r="BNO20" s="292"/>
      <c r="BNP20" s="292"/>
      <c r="BNQ20" s="292"/>
      <c r="BNR20" s="292"/>
      <c r="BNS20" s="292"/>
      <c r="BNT20" s="292"/>
      <c r="BNU20" s="292"/>
      <c r="BNV20" s="292"/>
      <c r="BNW20" s="292"/>
      <c r="BNX20" s="292"/>
      <c r="BNY20" s="292"/>
      <c r="BNZ20" s="292"/>
      <c r="BOA20" s="292"/>
      <c r="BOB20" s="292"/>
      <c r="BOC20" s="292"/>
      <c r="BOD20" s="292"/>
      <c r="BOE20" s="292"/>
      <c r="BOF20" s="292"/>
      <c r="BOG20" s="292"/>
      <c r="BOH20" s="292"/>
      <c r="BOI20" s="292"/>
      <c r="BOJ20" s="292"/>
      <c r="BOK20" s="292"/>
      <c r="BOL20" s="292"/>
      <c r="BOM20" s="292"/>
      <c r="BON20" s="292"/>
      <c r="BOO20" s="292"/>
      <c r="BOP20" s="292"/>
      <c r="BOQ20" s="292"/>
      <c r="BOR20" s="292"/>
      <c r="BOS20" s="292"/>
      <c r="BOT20" s="292"/>
      <c r="BOU20" s="292"/>
      <c r="BOV20" s="292"/>
      <c r="BOW20" s="292"/>
      <c r="BOX20" s="292"/>
      <c r="BOY20" s="292"/>
      <c r="BOZ20" s="292"/>
      <c r="BPA20" s="292"/>
      <c r="BPB20" s="292"/>
      <c r="BPC20" s="292"/>
      <c r="BPD20" s="292"/>
      <c r="BPE20" s="292"/>
      <c r="BPF20" s="292"/>
      <c r="BPG20" s="292"/>
      <c r="BPH20" s="292"/>
      <c r="BPI20" s="292"/>
      <c r="BPJ20" s="292"/>
      <c r="BPK20" s="292"/>
      <c r="BPL20" s="292"/>
      <c r="BPM20" s="292"/>
      <c r="BPN20" s="292"/>
      <c r="BPO20" s="292"/>
      <c r="BPP20" s="292"/>
      <c r="BPQ20" s="292"/>
      <c r="BPR20" s="292"/>
      <c r="BPS20" s="292"/>
      <c r="BPT20" s="292"/>
      <c r="BPU20" s="292"/>
      <c r="BPV20" s="292"/>
      <c r="BPW20" s="292"/>
      <c r="BPX20" s="292"/>
      <c r="BPY20" s="292"/>
      <c r="BPZ20" s="292"/>
      <c r="BQA20" s="292"/>
      <c r="BQB20" s="292"/>
      <c r="BQC20" s="292"/>
      <c r="BQD20" s="292"/>
      <c r="BQE20" s="292"/>
      <c r="BQF20" s="292"/>
      <c r="BQG20" s="292"/>
      <c r="BQH20" s="292"/>
      <c r="BQI20" s="292"/>
      <c r="BQJ20" s="292"/>
      <c r="BQK20" s="292"/>
      <c r="BQL20" s="292"/>
      <c r="BQM20" s="292"/>
      <c r="BQN20" s="292"/>
      <c r="BQO20" s="292"/>
      <c r="BQP20" s="292"/>
      <c r="BQQ20" s="292"/>
      <c r="BQR20" s="292"/>
      <c r="BQS20" s="292"/>
      <c r="BQT20" s="292"/>
      <c r="BQU20" s="292"/>
      <c r="BQV20" s="292"/>
      <c r="BQW20" s="292"/>
      <c r="BQX20" s="292"/>
      <c r="BQY20" s="292"/>
      <c r="BQZ20" s="292"/>
      <c r="BRA20" s="292"/>
      <c r="BRB20" s="292"/>
      <c r="BRC20" s="292"/>
      <c r="BRD20" s="292"/>
      <c r="BRE20" s="292"/>
      <c r="BRF20" s="292"/>
      <c r="BRG20" s="292"/>
      <c r="BRH20" s="292"/>
      <c r="BRI20" s="292"/>
      <c r="BRJ20" s="292"/>
      <c r="BRK20" s="292"/>
      <c r="BRL20" s="292"/>
      <c r="BRM20" s="292"/>
      <c r="BRN20" s="292"/>
      <c r="BRO20" s="292"/>
      <c r="BRP20" s="292"/>
      <c r="BRQ20" s="292"/>
      <c r="BRR20" s="292"/>
      <c r="BRS20" s="292"/>
      <c r="BRT20" s="292"/>
      <c r="BRU20" s="292"/>
      <c r="BRV20" s="292"/>
      <c r="BRW20" s="292"/>
      <c r="BRX20" s="292"/>
      <c r="BRY20" s="292"/>
      <c r="BRZ20" s="292"/>
      <c r="BSA20" s="292"/>
      <c r="BSB20" s="292"/>
      <c r="BSC20" s="292"/>
      <c r="BSD20" s="292"/>
      <c r="BSE20" s="292"/>
      <c r="BSF20" s="292"/>
      <c r="BSG20" s="292"/>
      <c r="BSH20" s="292"/>
      <c r="BSI20" s="292"/>
      <c r="BSJ20" s="292"/>
      <c r="BSK20" s="292"/>
      <c r="BSL20" s="292"/>
      <c r="BSM20" s="292"/>
      <c r="BSN20" s="292"/>
      <c r="BSO20" s="292"/>
      <c r="BSP20" s="292"/>
      <c r="BSQ20" s="292"/>
      <c r="BSR20" s="292"/>
      <c r="BSS20" s="292"/>
      <c r="BST20" s="292"/>
      <c r="BSU20" s="292"/>
      <c r="BSV20" s="292"/>
      <c r="BSW20" s="292"/>
      <c r="BSX20" s="292"/>
      <c r="BSY20" s="292"/>
      <c r="BSZ20" s="292"/>
      <c r="BTA20" s="292"/>
      <c r="BTB20" s="292"/>
      <c r="BTC20" s="292"/>
      <c r="BTD20" s="292"/>
      <c r="BTE20" s="292"/>
      <c r="BTF20" s="292"/>
      <c r="BTG20" s="292"/>
      <c r="BTH20" s="292"/>
      <c r="BTI20" s="292"/>
      <c r="BTJ20" s="292"/>
      <c r="BTK20" s="292"/>
      <c r="BTL20" s="292"/>
      <c r="BTM20" s="292"/>
      <c r="BTN20" s="292"/>
      <c r="BTO20" s="292"/>
      <c r="BTP20" s="292"/>
      <c r="BTQ20" s="292"/>
      <c r="BTR20" s="292"/>
      <c r="BTS20" s="292"/>
      <c r="BTT20" s="292"/>
      <c r="BTU20" s="292"/>
      <c r="BTV20" s="292"/>
      <c r="BTW20" s="292"/>
      <c r="BTX20" s="292"/>
      <c r="BTY20" s="292"/>
      <c r="BTZ20" s="292"/>
      <c r="BUA20" s="292"/>
      <c r="BUB20" s="292"/>
      <c r="BUC20" s="292"/>
      <c r="BUD20" s="292"/>
      <c r="BUE20" s="292"/>
      <c r="BUF20" s="292"/>
      <c r="BUG20" s="292"/>
      <c r="BUH20" s="292"/>
      <c r="BUI20" s="292"/>
      <c r="BUJ20" s="292"/>
      <c r="BUK20" s="292"/>
      <c r="BUL20" s="292"/>
      <c r="BUM20" s="292"/>
      <c r="BUN20" s="292"/>
      <c r="BUO20" s="292"/>
      <c r="BUP20" s="292"/>
      <c r="BUQ20" s="292"/>
      <c r="BUR20" s="292"/>
      <c r="BUS20" s="292"/>
      <c r="BUT20" s="292"/>
      <c r="BUU20" s="292"/>
      <c r="BUV20" s="292"/>
      <c r="BUW20" s="292"/>
      <c r="BUX20" s="292"/>
      <c r="BUY20" s="292"/>
      <c r="BUZ20" s="292"/>
      <c r="BVA20" s="292"/>
      <c r="BVB20" s="292"/>
      <c r="BVC20" s="292"/>
      <c r="BVD20" s="292"/>
      <c r="BVE20" s="292"/>
      <c r="BVF20" s="292"/>
      <c r="BVG20" s="292"/>
      <c r="BVH20" s="292"/>
      <c r="BVI20" s="292"/>
      <c r="BVJ20" s="292"/>
      <c r="BVK20" s="292"/>
      <c r="BVL20" s="292"/>
      <c r="BVM20" s="292"/>
      <c r="BVN20" s="292"/>
      <c r="BVO20" s="292"/>
      <c r="BVP20" s="292"/>
      <c r="BVQ20" s="292"/>
      <c r="BVR20" s="292"/>
      <c r="BVS20" s="292"/>
      <c r="BVT20" s="292"/>
      <c r="BVU20" s="292"/>
      <c r="BVV20" s="292"/>
      <c r="BVW20" s="292"/>
      <c r="BVX20" s="292"/>
      <c r="BVY20" s="292"/>
      <c r="BVZ20" s="292"/>
      <c r="BWA20" s="292"/>
      <c r="BWB20" s="292"/>
      <c r="BWC20" s="292"/>
      <c r="BWD20" s="292"/>
      <c r="BWE20" s="292"/>
      <c r="BWF20" s="292"/>
      <c r="BWG20" s="292"/>
      <c r="BWH20" s="292"/>
      <c r="BWI20" s="292"/>
      <c r="BWJ20" s="292"/>
      <c r="BWK20" s="292"/>
      <c r="BWL20" s="292"/>
      <c r="BWM20" s="292"/>
      <c r="BWN20" s="292"/>
      <c r="BWO20" s="292"/>
      <c r="BWP20" s="292"/>
      <c r="BWQ20" s="292"/>
      <c r="BWR20" s="292"/>
      <c r="BWS20" s="292"/>
      <c r="BWT20" s="292"/>
      <c r="BWU20" s="292"/>
      <c r="BWV20" s="292"/>
      <c r="BWW20" s="292"/>
      <c r="BWX20" s="292"/>
      <c r="BWY20" s="292"/>
      <c r="BWZ20" s="292"/>
      <c r="BXA20" s="292"/>
      <c r="BXB20" s="292"/>
      <c r="BXC20" s="292"/>
      <c r="BXD20" s="292"/>
      <c r="BXE20" s="292"/>
      <c r="BXF20" s="292"/>
      <c r="BXG20" s="292"/>
      <c r="BXH20" s="292"/>
      <c r="BXI20" s="292"/>
      <c r="BXJ20" s="292"/>
      <c r="BXK20" s="292"/>
      <c r="BXL20" s="292"/>
      <c r="BXM20" s="292"/>
      <c r="BXN20" s="292"/>
      <c r="BXO20" s="292"/>
      <c r="BXP20" s="292"/>
      <c r="BXQ20" s="292"/>
      <c r="BXR20" s="292"/>
      <c r="BXS20" s="292"/>
      <c r="BXT20" s="292"/>
      <c r="BXU20" s="292"/>
      <c r="BXV20" s="292"/>
      <c r="BXW20" s="292"/>
      <c r="BXX20" s="292"/>
      <c r="BXY20" s="292"/>
      <c r="BXZ20" s="292"/>
      <c r="BYA20" s="292"/>
      <c r="BYB20" s="292"/>
      <c r="BYC20" s="292"/>
      <c r="BYD20" s="292"/>
      <c r="BYE20" s="292"/>
      <c r="BYF20" s="292"/>
      <c r="BYG20" s="292"/>
      <c r="BYH20" s="292"/>
      <c r="BYI20" s="292"/>
      <c r="BYJ20" s="292"/>
      <c r="BYK20" s="292"/>
      <c r="BYL20" s="292"/>
      <c r="BYM20" s="292"/>
      <c r="BYN20" s="292"/>
      <c r="BYO20" s="292"/>
      <c r="BYP20" s="292"/>
      <c r="BYQ20" s="292"/>
      <c r="BYR20" s="292"/>
      <c r="BYS20" s="292"/>
      <c r="BYT20" s="292"/>
      <c r="BYU20" s="292"/>
      <c r="BYV20" s="292"/>
      <c r="BYW20" s="292"/>
      <c r="BYX20" s="292"/>
      <c r="BYY20" s="292"/>
      <c r="BYZ20" s="292"/>
      <c r="BZA20" s="292"/>
      <c r="BZB20" s="292"/>
      <c r="BZC20" s="292"/>
      <c r="BZD20" s="292"/>
      <c r="BZE20" s="292"/>
      <c r="BZF20" s="292"/>
      <c r="BZG20" s="292"/>
      <c r="BZH20" s="292"/>
      <c r="BZI20" s="292"/>
      <c r="BZJ20" s="292"/>
      <c r="BZK20" s="292"/>
      <c r="BZL20" s="292"/>
      <c r="BZM20" s="292"/>
      <c r="BZN20" s="292"/>
      <c r="BZO20" s="292"/>
      <c r="BZP20" s="292"/>
      <c r="BZQ20" s="292"/>
      <c r="BZR20" s="292"/>
      <c r="BZS20" s="292"/>
      <c r="BZT20" s="292"/>
      <c r="BZU20" s="292"/>
      <c r="BZV20" s="292"/>
      <c r="BZW20" s="292"/>
      <c r="BZX20" s="292"/>
      <c r="BZY20" s="292"/>
      <c r="BZZ20" s="292"/>
      <c r="CAA20" s="292"/>
      <c r="CAB20" s="292"/>
      <c r="CAC20" s="292"/>
      <c r="CAD20" s="292"/>
      <c r="CAE20" s="292"/>
      <c r="CAF20" s="292"/>
      <c r="CAG20" s="292"/>
      <c r="CAH20" s="292"/>
      <c r="CAI20" s="292"/>
      <c r="CAJ20" s="292"/>
      <c r="CAK20" s="292"/>
      <c r="CAL20" s="292"/>
      <c r="CAM20" s="292"/>
      <c r="CAN20" s="292"/>
      <c r="CAO20" s="292"/>
      <c r="CAP20" s="292"/>
      <c r="CAQ20" s="292"/>
      <c r="CAR20" s="292"/>
      <c r="CAS20" s="292"/>
      <c r="CAT20" s="292"/>
      <c r="CAU20" s="292"/>
      <c r="CAV20" s="292"/>
      <c r="CAW20" s="292"/>
      <c r="CAX20" s="292"/>
      <c r="CAY20" s="292"/>
      <c r="CAZ20" s="292"/>
      <c r="CBA20" s="292"/>
      <c r="CBB20" s="292"/>
      <c r="CBC20" s="292"/>
      <c r="CBD20" s="292"/>
      <c r="CBE20" s="292"/>
      <c r="CBF20" s="292"/>
      <c r="CBG20" s="292"/>
      <c r="CBH20" s="292"/>
      <c r="CBI20" s="292"/>
      <c r="CBJ20" s="292"/>
      <c r="CBK20" s="292"/>
      <c r="CBL20" s="292"/>
      <c r="CBM20" s="292"/>
      <c r="CBN20" s="292"/>
      <c r="CBO20" s="292"/>
      <c r="CBP20" s="292"/>
      <c r="CBQ20" s="292"/>
      <c r="CBR20" s="292"/>
      <c r="CBS20" s="292"/>
      <c r="CBT20" s="292"/>
      <c r="CBU20" s="292"/>
      <c r="CBV20" s="292"/>
      <c r="CBW20" s="292"/>
      <c r="CBX20" s="292"/>
      <c r="CBY20" s="292"/>
      <c r="CBZ20" s="292"/>
      <c r="CCA20" s="292"/>
      <c r="CCB20" s="292"/>
      <c r="CCC20" s="292"/>
      <c r="CCD20" s="292"/>
      <c r="CCE20" s="292"/>
      <c r="CCF20" s="292"/>
      <c r="CCG20" s="292"/>
      <c r="CCH20" s="292"/>
      <c r="CCI20" s="292"/>
      <c r="CCJ20" s="292"/>
      <c r="CCK20" s="292"/>
      <c r="CCL20" s="292"/>
      <c r="CCM20" s="292"/>
      <c r="CCN20" s="292"/>
      <c r="CCO20" s="292"/>
      <c r="CCP20" s="292"/>
      <c r="CCQ20" s="292"/>
      <c r="CCR20" s="292"/>
      <c r="CCS20" s="292"/>
      <c r="CCT20" s="292"/>
      <c r="CCU20" s="292"/>
      <c r="CCV20" s="292"/>
      <c r="CCW20" s="292"/>
      <c r="CCX20" s="292"/>
      <c r="CCY20" s="292"/>
      <c r="CCZ20" s="292"/>
      <c r="CDA20" s="292"/>
      <c r="CDB20" s="292"/>
      <c r="CDC20" s="292"/>
      <c r="CDD20" s="292"/>
      <c r="CDE20" s="292"/>
      <c r="CDF20" s="292"/>
      <c r="CDG20" s="292"/>
      <c r="CDH20" s="292"/>
      <c r="CDI20" s="292"/>
      <c r="CDJ20" s="292"/>
      <c r="CDK20" s="292"/>
      <c r="CDL20" s="292"/>
      <c r="CDM20" s="292"/>
      <c r="CDN20" s="292"/>
      <c r="CDO20" s="292"/>
      <c r="CDP20" s="292"/>
      <c r="CDQ20" s="292"/>
      <c r="CDR20" s="292"/>
      <c r="CDS20" s="292"/>
      <c r="CDT20" s="292"/>
      <c r="CDU20" s="292"/>
      <c r="CDV20" s="292"/>
      <c r="CDW20" s="292"/>
      <c r="CDX20" s="292"/>
      <c r="CDY20" s="292"/>
      <c r="CDZ20" s="292"/>
      <c r="CEA20" s="292"/>
      <c r="CEB20" s="292"/>
      <c r="CEC20" s="292"/>
      <c r="CED20" s="292"/>
      <c r="CEE20" s="292"/>
      <c r="CEF20" s="292"/>
      <c r="CEG20" s="292"/>
      <c r="CEH20" s="292"/>
      <c r="CEI20" s="292"/>
      <c r="CEJ20" s="292"/>
      <c r="CEK20" s="292"/>
      <c r="CEL20" s="292"/>
      <c r="CEM20" s="292"/>
      <c r="CEN20" s="292"/>
      <c r="CEO20" s="292"/>
      <c r="CEP20" s="292"/>
      <c r="CEQ20" s="292"/>
      <c r="CER20" s="292"/>
      <c r="CES20" s="292"/>
      <c r="CET20" s="292"/>
      <c r="CEU20" s="292"/>
      <c r="CEV20" s="292"/>
      <c r="CEW20" s="292"/>
      <c r="CEX20" s="292"/>
      <c r="CEY20" s="292"/>
      <c r="CEZ20" s="292"/>
      <c r="CFA20" s="292"/>
      <c r="CFB20" s="292"/>
      <c r="CFC20" s="292"/>
      <c r="CFD20" s="292"/>
      <c r="CFE20" s="292"/>
      <c r="CFF20" s="292"/>
      <c r="CFG20" s="292"/>
      <c r="CFH20" s="292"/>
      <c r="CFI20" s="292"/>
      <c r="CFJ20" s="292"/>
      <c r="CFK20" s="292"/>
      <c r="CFL20" s="292"/>
      <c r="CFM20" s="292"/>
      <c r="CFN20" s="292"/>
      <c r="CFO20" s="292"/>
      <c r="CFP20" s="292"/>
      <c r="CFQ20" s="292"/>
      <c r="CFR20" s="292"/>
      <c r="CFS20" s="292"/>
      <c r="CFT20" s="292"/>
      <c r="CFU20" s="292"/>
      <c r="CFV20" s="292"/>
      <c r="CFW20" s="292"/>
      <c r="CFX20" s="292"/>
      <c r="CFY20" s="292"/>
      <c r="CFZ20" s="292"/>
      <c r="CGA20" s="292"/>
      <c r="CGB20" s="292"/>
      <c r="CGC20" s="292"/>
      <c r="CGD20" s="292"/>
      <c r="CGE20" s="292"/>
      <c r="CGF20" s="292"/>
      <c r="CGG20" s="292"/>
      <c r="CGH20" s="292"/>
      <c r="CGI20" s="292"/>
      <c r="CGJ20" s="292"/>
      <c r="CGK20" s="292"/>
      <c r="CGL20" s="292"/>
      <c r="CGM20" s="292"/>
      <c r="CGN20" s="292"/>
      <c r="CGO20" s="292"/>
      <c r="CGP20" s="292"/>
      <c r="CGQ20" s="292"/>
      <c r="CGR20" s="292"/>
      <c r="CGS20" s="292"/>
      <c r="CGT20" s="292"/>
      <c r="CGU20" s="292"/>
      <c r="CGV20" s="292"/>
      <c r="CGW20" s="292"/>
      <c r="CGX20" s="292"/>
      <c r="CGY20" s="292"/>
      <c r="CGZ20" s="292"/>
      <c r="CHA20" s="292"/>
      <c r="CHB20" s="292"/>
      <c r="CHC20" s="292"/>
      <c r="CHD20" s="292"/>
      <c r="CHE20" s="292"/>
      <c r="CHF20" s="292"/>
      <c r="CHG20" s="292"/>
      <c r="CHH20" s="292"/>
      <c r="CHI20" s="292"/>
      <c r="CHJ20" s="292"/>
      <c r="CHK20" s="292"/>
      <c r="CHL20" s="292"/>
      <c r="CHM20" s="292"/>
      <c r="CHN20" s="292"/>
      <c r="CHO20" s="292"/>
      <c r="CHP20" s="292"/>
      <c r="CHQ20" s="292"/>
      <c r="CHR20" s="292"/>
      <c r="CHS20" s="292"/>
      <c r="CHT20" s="292"/>
      <c r="CHU20" s="292"/>
      <c r="CHV20" s="292"/>
      <c r="CHW20" s="292"/>
      <c r="CHX20" s="292"/>
      <c r="CHY20" s="292"/>
      <c r="CHZ20" s="292"/>
      <c r="CIA20" s="292"/>
      <c r="CIB20" s="292"/>
      <c r="CIC20" s="292"/>
      <c r="CID20" s="292"/>
      <c r="CIE20" s="292"/>
      <c r="CIF20" s="292"/>
      <c r="CIG20" s="292"/>
      <c r="CIH20" s="292"/>
      <c r="CII20" s="292"/>
      <c r="CIJ20" s="292"/>
      <c r="CIK20" s="292"/>
      <c r="CIL20" s="292"/>
      <c r="CIM20" s="292"/>
      <c r="CIN20" s="292"/>
      <c r="CIO20" s="292"/>
      <c r="CIP20" s="292"/>
      <c r="CIQ20" s="292"/>
      <c r="CIR20" s="292"/>
      <c r="CIS20" s="292"/>
      <c r="CIT20" s="292"/>
      <c r="CIU20" s="292"/>
      <c r="CIV20" s="292"/>
      <c r="CIW20" s="292"/>
      <c r="CIX20" s="292"/>
      <c r="CIY20" s="292"/>
      <c r="CIZ20" s="292"/>
      <c r="CJA20" s="292"/>
      <c r="CJB20" s="292"/>
      <c r="CJC20" s="292"/>
      <c r="CJD20" s="292"/>
      <c r="CJE20" s="292"/>
      <c r="CJF20" s="292"/>
      <c r="CJG20" s="292"/>
      <c r="CJH20" s="292"/>
      <c r="CJI20" s="292"/>
      <c r="CJJ20" s="292"/>
      <c r="CJK20" s="292"/>
      <c r="CJL20" s="292"/>
      <c r="CJM20" s="292"/>
      <c r="CJN20" s="292"/>
      <c r="CJO20" s="292"/>
      <c r="CJP20" s="292"/>
      <c r="CJQ20" s="292"/>
      <c r="CJR20" s="292"/>
      <c r="CJS20" s="292"/>
      <c r="CJT20" s="292"/>
      <c r="CJU20" s="292"/>
      <c r="CJV20" s="292"/>
      <c r="CJW20" s="292"/>
      <c r="CJX20" s="292"/>
      <c r="CJY20" s="292"/>
      <c r="CJZ20" s="292"/>
      <c r="CKA20" s="292"/>
      <c r="CKB20" s="292"/>
      <c r="CKC20" s="292"/>
      <c r="CKD20" s="292"/>
      <c r="CKE20" s="292"/>
      <c r="CKF20" s="292"/>
      <c r="CKG20" s="292"/>
      <c r="CKH20" s="292"/>
      <c r="CKI20" s="292"/>
      <c r="CKJ20" s="292"/>
      <c r="CKK20" s="292"/>
      <c r="CKL20" s="292"/>
      <c r="CKM20" s="292"/>
      <c r="CKN20" s="292"/>
      <c r="CKO20" s="292"/>
      <c r="CKP20" s="292"/>
      <c r="CKQ20" s="292"/>
      <c r="CKR20" s="292"/>
      <c r="CKS20" s="292"/>
      <c r="CKT20" s="292"/>
      <c r="CKU20" s="292"/>
      <c r="CKV20" s="292"/>
      <c r="CKW20" s="292"/>
      <c r="CKX20" s="292"/>
      <c r="CKY20" s="292"/>
      <c r="CKZ20" s="292"/>
      <c r="CLA20" s="292"/>
      <c r="CLB20" s="292"/>
      <c r="CLC20" s="292"/>
      <c r="CLD20" s="292"/>
      <c r="CLE20" s="292"/>
      <c r="CLF20" s="292"/>
      <c r="CLG20" s="292"/>
      <c r="CLH20" s="292"/>
      <c r="CLI20" s="292"/>
      <c r="CLJ20" s="292"/>
      <c r="CLK20" s="292"/>
      <c r="CLL20" s="292"/>
      <c r="CLM20" s="292"/>
      <c r="CLN20" s="292"/>
      <c r="CLO20" s="292"/>
      <c r="CLP20" s="292"/>
      <c r="CLQ20" s="292"/>
      <c r="CLR20" s="292"/>
      <c r="CLS20" s="292"/>
      <c r="CLT20" s="292"/>
      <c r="CLU20" s="292"/>
      <c r="CLV20" s="292"/>
      <c r="CLW20" s="292"/>
      <c r="CLX20" s="292"/>
      <c r="CLY20" s="292"/>
      <c r="CLZ20" s="292"/>
      <c r="CMA20" s="292"/>
      <c r="CMB20" s="292"/>
      <c r="CMC20" s="292"/>
      <c r="CMD20" s="292"/>
      <c r="CME20" s="292"/>
      <c r="CMF20" s="292"/>
      <c r="CMG20" s="292"/>
      <c r="CMH20" s="292"/>
      <c r="CMI20" s="292"/>
      <c r="CMJ20" s="292"/>
      <c r="CMK20" s="292"/>
      <c r="CML20" s="292"/>
      <c r="CMM20" s="292"/>
      <c r="CMN20" s="292"/>
      <c r="CMO20" s="292"/>
      <c r="CMP20" s="292"/>
      <c r="CMQ20" s="292"/>
      <c r="CMR20" s="292"/>
      <c r="CMS20" s="292"/>
      <c r="CMT20" s="292"/>
      <c r="CMU20" s="292"/>
      <c r="CMV20" s="292"/>
      <c r="CMW20" s="292"/>
      <c r="CMX20" s="292"/>
      <c r="CMY20" s="292"/>
      <c r="CMZ20" s="292"/>
      <c r="CNA20" s="292"/>
      <c r="CNB20" s="292"/>
      <c r="CNC20" s="292"/>
      <c r="CND20" s="292"/>
      <c r="CNE20" s="292"/>
      <c r="CNF20" s="292"/>
      <c r="CNG20" s="292"/>
      <c r="CNH20" s="292"/>
      <c r="CNI20" s="292"/>
      <c r="CNJ20" s="292"/>
      <c r="CNK20" s="292"/>
      <c r="CNL20" s="292"/>
      <c r="CNM20" s="292"/>
      <c r="CNN20" s="292"/>
      <c r="CNO20" s="292"/>
      <c r="CNP20" s="292"/>
      <c r="CNQ20" s="292"/>
      <c r="CNR20" s="292"/>
      <c r="CNS20" s="292"/>
      <c r="CNT20" s="292"/>
      <c r="CNU20" s="292"/>
      <c r="CNV20" s="292"/>
      <c r="CNW20" s="292"/>
      <c r="CNX20" s="292"/>
      <c r="CNY20" s="292"/>
      <c r="CNZ20" s="292"/>
      <c r="COA20" s="292"/>
      <c r="COB20" s="292"/>
      <c r="COC20" s="292"/>
      <c r="COD20" s="292"/>
      <c r="COE20" s="292"/>
      <c r="COF20" s="292"/>
      <c r="COG20" s="292"/>
      <c r="COH20" s="292"/>
      <c r="COI20" s="292"/>
      <c r="COJ20" s="292"/>
      <c r="COK20" s="292"/>
      <c r="COL20" s="292"/>
      <c r="COM20" s="292"/>
      <c r="CON20" s="292"/>
      <c r="COO20" s="292"/>
      <c r="COP20" s="292"/>
      <c r="COQ20" s="292"/>
      <c r="COR20" s="292"/>
      <c r="COS20" s="292"/>
      <c r="COT20" s="292"/>
      <c r="COU20" s="292"/>
      <c r="COV20" s="292"/>
      <c r="COW20" s="292"/>
      <c r="COX20" s="292"/>
      <c r="COY20" s="292"/>
      <c r="COZ20" s="292"/>
      <c r="CPA20" s="292"/>
      <c r="CPB20" s="292"/>
      <c r="CPC20" s="292"/>
      <c r="CPD20" s="292"/>
      <c r="CPE20" s="292"/>
      <c r="CPF20" s="292"/>
      <c r="CPG20" s="292"/>
      <c r="CPH20" s="292"/>
      <c r="CPI20" s="292"/>
      <c r="CPJ20" s="292"/>
      <c r="CPK20" s="292"/>
      <c r="CPL20" s="292"/>
      <c r="CPM20" s="292"/>
      <c r="CPN20" s="292"/>
      <c r="CPO20" s="292"/>
      <c r="CPP20" s="292"/>
      <c r="CPQ20" s="292"/>
      <c r="CPR20" s="292"/>
      <c r="CPS20" s="292"/>
      <c r="CPT20" s="292"/>
      <c r="CPU20" s="292"/>
      <c r="CPV20" s="292"/>
      <c r="CPW20" s="292"/>
      <c r="CPX20" s="292"/>
      <c r="CPY20" s="292"/>
      <c r="CPZ20" s="292"/>
      <c r="CQA20" s="292"/>
      <c r="CQB20" s="292"/>
      <c r="CQC20" s="292"/>
      <c r="CQD20" s="292"/>
      <c r="CQE20" s="292"/>
      <c r="CQF20" s="292"/>
      <c r="CQG20" s="292"/>
      <c r="CQH20" s="292"/>
      <c r="CQI20" s="292"/>
      <c r="CQJ20" s="292"/>
      <c r="CQK20" s="292"/>
      <c r="CQL20" s="292"/>
      <c r="CQM20" s="292"/>
      <c r="CQN20" s="292"/>
      <c r="CQO20" s="292"/>
      <c r="CQP20" s="292"/>
      <c r="CQQ20" s="292"/>
      <c r="CQR20" s="292"/>
      <c r="CQS20" s="292"/>
      <c r="CQT20" s="292"/>
      <c r="CQU20" s="292"/>
      <c r="CQV20" s="292"/>
      <c r="CQW20" s="292"/>
      <c r="CQX20" s="292"/>
      <c r="CQY20" s="292"/>
      <c r="CQZ20" s="292"/>
      <c r="CRA20" s="292"/>
      <c r="CRB20" s="292"/>
      <c r="CRC20" s="292"/>
      <c r="CRD20" s="292"/>
      <c r="CRE20" s="292"/>
      <c r="CRF20" s="292"/>
      <c r="CRG20" s="292"/>
      <c r="CRH20" s="292"/>
      <c r="CRI20" s="292"/>
      <c r="CRJ20" s="292"/>
      <c r="CRK20" s="292"/>
      <c r="CRL20" s="292"/>
      <c r="CRM20" s="292"/>
      <c r="CRN20" s="292"/>
      <c r="CRO20" s="292"/>
      <c r="CRP20" s="292"/>
      <c r="CRQ20" s="292"/>
      <c r="CRR20" s="292"/>
      <c r="CRS20" s="292"/>
      <c r="CRT20" s="292"/>
      <c r="CRU20" s="292"/>
      <c r="CRV20" s="292"/>
      <c r="CRW20" s="292"/>
      <c r="CRX20" s="292"/>
      <c r="CRY20" s="292"/>
      <c r="CRZ20" s="292"/>
      <c r="CSA20" s="292"/>
      <c r="CSB20" s="292"/>
      <c r="CSC20" s="292"/>
      <c r="CSD20" s="292"/>
      <c r="CSE20" s="292"/>
      <c r="CSF20" s="292"/>
      <c r="CSG20" s="292"/>
      <c r="CSH20" s="292"/>
      <c r="CSI20" s="292"/>
      <c r="CSJ20" s="292"/>
      <c r="CSK20" s="292"/>
      <c r="CSL20" s="292"/>
      <c r="CSM20" s="292"/>
      <c r="CSN20" s="292"/>
      <c r="CSO20" s="292"/>
      <c r="CSP20" s="292"/>
      <c r="CSQ20" s="292"/>
      <c r="CSR20" s="292"/>
      <c r="CSS20" s="292"/>
      <c r="CST20" s="292"/>
      <c r="CSU20" s="292"/>
      <c r="CSV20" s="292"/>
      <c r="CSW20" s="292"/>
      <c r="CSX20" s="292"/>
      <c r="CSY20" s="292"/>
      <c r="CSZ20" s="292"/>
      <c r="CTA20" s="292"/>
      <c r="CTB20" s="292"/>
      <c r="CTC20" s="292"/>
      <c r="CTD20" s="292"/>
      <c r="CTE20" s="292"/>
      <c r="CTF20" s="292"/>
      <c r="CTG20" s="292"/>
      <c r="CTH20" s="292"/>
      <c r="CTI20" s="292"/>
      <c r="CTJ20" s="292"/>
      <c r="CTK20" s="292"/>
      <c r="CTL20" s="292"/>
      <c r="CTM20" s="292"/>
      <c r="CTN20" s="292"/>
      <c r="CTO20" s="292"/>
      <c r="CTP20" s="292"/>
      <c r="CTQ20" s="292"/>
      <c r="CTR20" s="292"/>
      <c r="CTS20" s="292"/>
      <c r="CTT20" s="292"/>
      <c r="CTU20" s="292"/>
      <c r="CTV20" s="292"/>
      <c r="CTW20" s="292"/>
      <c r="CTX20" s="292"/>
      <c r="CTY20" s="292"/>
      <c r="CTZ20" s="292"/>
      <c r="CUA20" s="292"/>
      <c r="CUB20" s="292"/>
      <c r="CUC20" s="292"/>
      <c r="CUD20" s="292"/>
      <c r="CUE20" s="292"/>
      <c r="CUF20" s="292"/>
      <c r="CUG20" s="292"/>
      <c r="CUH20" s="292"/>
      <c r="CUI20" s="292"/>
      <c r="CUJ20" s="292"/>
      <c r="CUK20" s="292"/>
      <c r="CUL20" s="292"/>
      <c r="CUM20" s="292"/>
      <c r="CUN20" s="292"/>
      <c r="CUO20" s="292"/>
      <c r="CUP20" s="292"/>
      <c r="CUQ20" s="292"/>
      <c r="CUR20" s="292"/>
      <c r="CUS20" s="292"/>
      <c r="CUT20" s="292"/>
      <c r="CUU20" s="292"/>
      <c r="CUV20" s="292"/>
      <c r="CUW20" s="292"/>
      <c r="CUX20" s="292"/>
      <c r="CUY20" s="292"/>
      <c r="CUZ20" s="292"/>
      <c r="CVA20" s="292"/>
      <c r="CVB20" s="292"/>
      <c r="CVC20" s="292"/>
      <c r="CVD20" s="292"/>
      <c r="CVE20" s="292"/>
      <c r="CVF20" s="292"/>
      <c r="CVG20" s="292"/>
      <c r="CVH20" s="292"/>
      <c r="CVI20" s="292"/>
      <c r="CVJ20" s="292"/>
      <c r="CVK20" s="292"/>
      <c r="CVL20" s="292"/>
      <c r="CVM20" s="292"/>
      <c r="CVN20" s="292"/>
      <c r="CVO20" s="292"/>
      <c r="CVP20" s="292"/>
      <c r="CVQ20" s="292"/>
      <c r="CVR20" s="292"/>
      <c r="CVS20" s="292"/>
      <c r="CVT20" s="292"/>
      <c r="CVU20" s="292"/>
      <c r="CVV20" s="292"/>
      <c r="CVW20" s="292"/>
      <c r="CVX20" s="292"/>
      <c r="CVY20" s="292"/>
      <c r="CVZ20" s="292"/>
      <c r="CWA20" s="292"/>
      <c r="CWB20" s="292"/>
      <c r="CWC20" s="292"/>
      <c r="CWD20" s="292"/>
      <c r="CWE20" s="292"/>
      <c r="CWF20" s="292"/>
      <c r="CWG20" s="292"/>
      <c r="CWH20" s="292"/>
      <c r="CWI20" s="292"/>
      <c r="CWJ20" s="292"/>
      <c r="CWK20" s="292"/>
      <c r="CWL20" s="292"/>
      <c r="CWM20" s="292"/>
      <c r="CWN20" s="292"/>
      <c r="CWO20" s="292"/>
      <c r="CWP20" s="292"/>
      <c r="CWQ20" s="292"/>
      <c r="CWR20" s="292"/>
      <c r="CWS20" s="292"/>
      <c r="CWT20" s="292"/>
      <c r="CWU20" s="292"/>
      <c r="CWV20" s="292"/>
      <c r="CWW20" s="292"/>
      <c r="CWX20" s="292"/>
      <c r="CWY20" s="292"/>
      <c r="CWZ20" s="292"/>
      <c r="CXA20" s="292"/>
      <c r="CXB20" s="292"/>
      <c r="CXC20" s="292"/>
      <c r="CXD20" s="292"/>
      <c r="CXE20" s="292"/>
      <c r="CXF20" s="292"/>
      <c r="CXG20" s="292"/>
      <c r="CXH20" s="292"/>
      <c r="CXI20" s="292"/>
      <c r="CXJ20" s="292"/>
      <c r="CXK20" s="292"/>
      <c r="CXL20" s="292"/>
      <c r="CXM20" s="292"/>
      <c r="CXN20" s="292"/>
      <c r="CXO20" s="292"/>
      <c r="CXP20" s="292"/>
      <c r="CXQ20" s="292"/>
      <c r="CXR20" s="292"/>
      <c r="CXS20" s="292"/>
      <c r="CXT20" s="292"/>
      <c r="CXU20" s="292"/>
      <c r="CXV20" s="292"/>
      <c r="CXW20" s="292"/>
      <c r="CXX20" s="292"/>
      <c r="CXY20" s="292"/>
      <c r="CXZ20" s="292"/>
      <c r="CYA20" s="292"/>
      <c r="CYB20" s="292"/>
      <c r="CYC20" s="292"/>
      <c r="CYD20" s="292"/>
      <c r="CYE20" s="292"/>
      <c r="CYF20" s="292"/>
      <c r="CYG20" s="292"/>
      <c r="CYH20" s="292"/>
      <c r="CYI20" s="292"/>
      <c r="CYJ20" s="292"/>
      <c r="CYK20" s="292"/>
      <c r="CYL20" s="292"/>
      <c r="CYM20" s="292"/>
      <c r="CYN20" s="292"/>
      <c r="CYO20" s="292"/>
      <c r="CYP20" s="292"/>
      <c r="CYQ20" s="292"/>
      <c r="CYR20" s="292"/>
      <c r="CYS20" s="292"/>
      <c r="CYT20" s="292"/>
      <c r="CYU20" s="292"/>
      <c r="CYV20" s="292"/>
      <c r="CYW20" s="292"/>
      <c r="CYX20" s="292"/>
      <c r="CYY20" s="292"/>
      <c r="CYZ20" s="292"/>
      <c r="CZA20" s="292"/>
      <c r="CZB20" s="292"/>
      <c r="CZC20" s="292"/>
      <c r="CZD20" s="292"/>
      <c r="CZE20" s="292"/>
      <c r="CZF20" s="292"/>
      <c r="CZG20" s="292"/>
      <c r="CZH20" s="292"/>
      <c r="CZI20" s="292"/>
      <c r="CZJ20" s="292"/>
      <c r="CZK20" s="292"/>
      <c r="CZL20" s="292"/>
      <c r="CZM20" s="292"/>
      <c r="CZN20" s="292"/>
      <c r="CZO20" s="292"/>
      <c r="CZP20" s="292"/>
      <c r="CZQ20" s="292"/>
      <c r="CZR20" s="292"/>
      <c r="CZS20" s="292"/>
      <c r="CZT20" s="292"/>
      <c r="CZU20" s="292"/>
      <c r="CZV20" s="292"/>
      <c r="CZW20" s="292"/>
      <c r="CZX20" s="292"/>
      <c r="CZY20" s="292"/>
      <c r="CZZ20" s="292"/>
      <c r="DAA20" s="292"/>
      <c r="DAB20" s="292"/>
      <c r="DAC20" s="292"/>
      <c r="DAD20" s="292"/>
      <c r="DAE20" s="292"/>
      <c r="DAF20" s="292"/>
      <c r="DAG20" s="292"/>
      <c r="DAH20" s="292"/>
      <c r="DAI20" s="292"/>
      <c r="DAJ20" s="292"/>
      <c r="DAK20" s="292"/>
      <c r="DAL20" s="292"/>
      <c r="DAM20" s="292"/>
      <c r="DAN20" s="292"/>
      <c r="DAO20" s="292"/>
      <c r="DAP20" s="292"/>
      <c r="DAQ20" s="292"/>
      <c r="DAR20" s="292"/>
      <c r="DAS20" s="292"/>
      <c r="DAT20" s="292"/>
      <c r="DAU20" s="292"/>
      <c r="DAV20" s="292"/>
      <c r="DAW20" s="292"/>
      <c r="DAX20" s="292"/>
      <c r="DAY20" s="292"/>
      <c r="DAZ20" s="292"/>
      <c r="DBA20" s="292"/>
      <c r="DBB20" s="292"/>
      <c r="DBC20" s="292"/>
      <c r="DBD20" s="292"/>
      <c r="DBE20" s="292"/>
      <c r="DBF20" s="292"/>
      <c r="DBG20" s="292"/>
      <c r="DBH20" s="292"/>
      <c r="DBI20" s="292"/>
      <c r="DBJ20" s="292"/>
      <c r="DBK20" s="292"/>
      <c r="DBL20" s="292"/>
      <c r="DBM20" s="292"/>
      <c r="DBN20" s="292"/>
      <c r="DBO20" s="292"/>
      <c r="DBP20" s="292"/>
      <c r="DBQ20" s="292"/>
      <c r="DBR20" s="292"/>
      <c r="DBS20" s="292"/>
      <c r="DBT20" s="292"/>
      <c r="DBU20" s="292"/>
      <c r="DBV20" s="292"/>
      <c r="DBW20" s="292"/>
      <c r="DBX20" s="292"/>
      <c r="DBY20" s="292"/>
      <c r="DBZ20" s="292"/>
      <c r="DCA20" s="292"/>
      <c r="DCB20" s="292"/>
      <c r="DCC20" s="292"/>
      <c r="DCD20" s="292"/>
      <c r="DCE20" s="292"/>
      <c r="DCF20" s="292"/>
      <c r="DCG20" s="292"/>
      <c r="DCH20" s="292"/>
      <c r="DCI20" s="292"/>
      <c r="DCJ20" s="292"/>
      <c r="DCK20" s="292"/>
      <c r="DCL20" s="292"/>
      <c r="DCM20" s="292"/>
      <c r="DCN20" s="292"/>
      <c r="DCO20" s="292"/>
      <c r="DCP20" s="292"/>
      <c r="DCQ20" s="292"/>
      <c r="DCR20" s="292"/>
      <c r="DCS20" s="292"/>
      <c r="DCT20" s="292"/>
      <c r="DCU20" s="292"/>
      <c r="DCV20" s="292"/>
      <c r="DCW20" s="292"/>
      <c r="DCX20" s="292"/>
      <c r="DCY20" s="292"/>
      <c r="DCZ20" s="292"/>
      <c r="DDA20" s="292"/>
      <c r="DDB20" s="292"/>
      <c r="DDC20" s="292"/>
      <c r="DDD20" s="292"/>
      <c r="DDE20" s="292"/>
      <c r="DDF20" s="292"/>
      <c r="DDG20" s="292"/>
      <c r="DDH20" s="292"/>
      <c r="DDI20" s="292"/>
      <c r="DDJ20" s="292"/>
      <c r="DDK20" s="292"/>
      <c r="DDL20" s="292"/>
      <c r="DDM20" s="292"/>
      <c r="DDN20" s="292"/>
      <c r="DDO20" s="292"/>
      <c r="DDP20" s="292"/>
      <c r="DDQ20" s="292"/>
      <c r="DDR20" s="292"/>
      <c r="DDS20" s="292"/>
      <c r="DDT20" s="292"/>
      <c r="DDU20" s="292"/>
      <c r="DDV20" s="292"/>
      <c r="DDW20" s="292"/>
      <c r="DDX20" s="292"/>
      <c r="DDY20" s="292"/>
      <c r="DDZ20" s="292"/>
      <c r="DEA20" s="292"/>
      <c r="DEB20" s="292"/>
      <c r="DEC20" s="292"/>
      <c r="DED20" s="292"/>
      <c r="DEE20" s="292"/>
      <c r="DEF20" s="292"/>
      <c r="DEG20" s="292"/>
      <c r="DEH20" s="292"/>
      <c r="DEI20" s="292"/>
      <c r="DEJ20" s="292"/>
      <c r="DEK20" s="292"/>
      <c r="DEL20" s="292"/>
      <c r="DEM20" s="292"/>
      <c r="DEN20" s="292"/>
      <c r="DEO20" s="292"/>
      <c r="DEP20" s="292"/>
      <c r="DEQ20" s="292"/>
      <c r="DER20" s="292"/>
      <c r="DES20" s="292"/>
      <c r="DET20" s="292"/>
      <c r="DEU20" s="292"/>
      <c r="DEV20" s="292"/>
      <c r="DEW20" s="292"/>
      <c r="DEX20" s="292"/>
      <c r="DEY20" s="292"/>
      <c r="DEZ20" s="292"/>
      <c r="DFA20" s="292"/>
      <c r="DFB20" s="292"/>
      <c r="DFC20" s="292"/>
      <c r="DFD20" s="292"/>
      <c r="DFE20" s="292"/>
      <c r="DFF20" s="292"/>
      <c r="DFG20" s="292"/>
      <c r="DFH20" s="292"/>
      <c r="DFI20" s="292"/>
      <c r="DFJ20" s="292"/>
      <c r="DFK20" s="292"/>
      <c r="DFL20" s="292"/>
      <c r="DFM20" s="292"/>
      <c r="DFN20" s="292"/>
      <c r="DFO20" s="292"/>
      <c r="DFP20" s="292"/>
      <c r="DFQ20" s="292"/>
      <c r="DFR20" s="292"/>
      <c r="DFS20" s="292"/>
      <c r="DFT20" s="292"/>
      <c r="DFU20" s="292"/>
      <c r="DFV20" s="292"/>
      <c r="DFW20" s="292"/>
      <c r="DFX20" s="292"/>
      <c r="DFY20" s="292"/>
      <c r="DFZ20" s="292"/>
      <c r="DGA20" s="292"/>
      <c r="DGB20" s="292"/>
      <c r="DGC20" s="292"/>
      <c r="DGD20" s="292"/>
      <c r="DGE20" s="292"/>
      <c r="DGF20" s="292"/>
      <c r="DGG20" s="292"/>
      <c r="DGH20" s="292"/>
      <c r="DGI20" s="292"/>
      <c r="DGJ20" s="292"/>
      <c r="DGK20" s="292"/>
      <c r="DGL20" s="292"/>
      <c r="DGM20" s="292"/>
      <c r="DGN20" s="292"/>
      <c r="DGO20" s="292"/>
      <c r="DGP20" s="292"/>
      <c r="DGQ20" s="292"/>
      <c r="DGR20" s="292"/>
      <c r="DGS20" s="292"/>
      <c r="DGT20" s="292"/>
      <c r="DGU20" s="292"/>
      <c r="DGV20" s="292"/>
      <c r="DGW20" s="292"/>
      <c r="DGX20" s="292"/>
      <c r="DGY20" s="292"/>
      <c r="DGZ20" s="292"/>
      <c r="DHA20" s="292"/>
      <c r="DHB20" s="292"/>
      <c r="DHC20" s="292"/>
      <c r="DHD20" s="292"/>
      <c r="DHE20" s="292"/>
      <c r="DHF20" s="292"/>
      <c r="DHG20" s="292"/>
      <c r="DHH20" s="292"/>
      <c r="DHI20" s="292"/>
      <c r="DHJ20" s="292"/>
      <c r="DHK20" s="292"/>
      <c r="DHL20" s="292"/>
      <c r="DHM20" s="292"/>
      <c r="DHN20" s="292"/>
      <c r="DHO20" s="292"/>
      <c r="DHP20" s="292"/>
      <c r="DHQ20" s="292"/>
      <c r="DHR20" s="292"/>
      <c r="DHS20" s="292"/>
      <c r="DHT20" s="292"/>
      <c r="DHU20" s="292"/>
      <c r="DHV20" s="292"/>
      <c r="DHW20" s="292"/>
      <c r="DHX20" s="292"/>
      <c r="DHY20" s="292"/>
      <c r="DHZ20" s="292"/>
      <c r="DIA20" s="292"/>
      <c r="DIB20" s="292"/>
      <c r="DIC20" s="292"/>
      <c r="DID20" s="292"/>
      <c r="DIE20" s="292"/>
      <c r="DIF20" s="292"/>
      <c r="DIG20" s="292"/>
      <c r="DIH20" s="292"/>
      <c r="DII20" s="292"/>
      <c r="DIJ20" s="292"/>
      <c r="DIK20" s="292"/>
      <c r="DIL20" s="292"/>
      <c r="DIM20" s="292"/>
      <c r="DIN20" s="292"/>
      <c r="DIO20" s="292"/>
      <c r="DIP20" s="292"/>
      <c r="DIQ20" s="292"/>
      <c r="DIR20" s="292"/>
      <c r="DIS20" s="292"/>
      <c r="DIT20" s="292"/>
      <c r="DIU20" s="292"/>
      <c r="DIV20" s="292"/>
      <c r="DIW20" s="292"/>
      <c r="DIX20" s="292"/>
      <c r="DIY20" s="292"/>
      <c r="DIZ20" s="292"/>
      <c r="DJA20" s="292"/>
      <c r="DJB20" s="292"/>
      <c r="DJC20" s="292"/>
      <c r="DJD20" s="292"/>
      <c r="DJE20" s="292"/>
      <c r="DJF20" s="292"/>
      <c r="DJG20" s="292"/>
      <c r="DJH20" s="292"/>
      <c r="DJI20" s="292"/>
      <c r="DJJ20" s="292"/>
      <c r="DJK20" s="292"/>
      <c r="DJL20" s="292"/>
      <c r="DJM20" s="292"/>
      <c r="DJN20" s="292"/>
      <c r="DJO20" s="292"/>
      <c r="DJP20" s="292"/>
      <c r="DJQ20" s="292"/>
      <c r="DJR20" s="292"/>
      <c r="DJS20" s="292"/>
      <c r="DJT20" s="292"/>
      <c r="DJU20" s="292"/>
      <c r="DJV20" s="292"/>
      <c r="DJW20" s="292"/>
      <c r="DJX20" s="292"/>
      <c r="DJY20" s="292"/>
      <c r="DJZ20" s="292"/>
      <c r="DKA20" s="292"/>
      <c r="DKB20" s="292"/>
      <c r="DKC20" s="292"/>
      <c r="DKD20" s="292"/>
      <c r="DKE20" s="292"/>
      <c r="DKF20" s="292"/>
      <c r="DKG20" s="292"/>
      <c r="DKH20" s="292"/>
      <c r="DKI20" s="292"/>
      <c r="DKJ20" s="292"/>
      <c r="DKK20" s="292"/>
      <c r="DKL20" s="292"/>
      <c r="DKM20" s="292"/>
      <c r="DKN20" s="292"/>
      <c r="DKO20" s="292"/>
      <c r="DKP20" s="292"/>
      <c r="DKQ20" s="292"/>
      <c r="DKR20" s="292"/>
      <c r="DKS20" s="292"/>
      <c r="DKT20" s="292"/>
      <c r="DKU20" s="292"/>
      <c r="DKV20" s="292"/>
      <c r="DKW20" s="292"/>
      <c r="DKX20" s="292"/>
      <c r="DKY20" s="292"/>
      <c r="DKZ20" s="292"/>
      <c r="DLA20" s="292"/>
      <c r="DLB20" s="292"/>
      <c r="DLC20" s="292"/>
      <c r="DLD20" s="292"/>
      <c r="DLE20" s="292"/>
      <c r="DLF20" s="292"/>
      <c r="DLG20" s="292"/>
      <c r="DLH20" s="292"/>
      <c r="DLI20" s="292"/>
      <c r="DLJ20" s="292"/>
      <c r="DLK20" s="292"/>
      <c r="DLL20" s="292"/>
      <c r="DLM20" s="292"/>
      <c r="DLN20" s="292"/>
      <c r="DLO20" s="292"/>
      <c r="DLP20" s="292"/>
      <c r="DLQ20" s="292"/>
      <c r="DLR20" s="292"/>
      <c r="DLS20" s="292"/>
      <c r="DLT20" s="292"/>
      <c r="DLU20" s="292"/>
      <c r="DLV20" s="292"/>
      <c r="DLW20" s="292"/>
      <c r="DLX20" s="292"/>
      <c r="DLY20" s="292"/>
      <c r="DLZ20" s="292"/>
      <c r="DMA20" s="292"/>
      <c r="DMB20" s="292"/>
      <c r="DMC20" s="292"/>
      <c r="DMD20" s="292"/>
      <c r="DME20" s="292"/>
      <c r="DMF20" s="292"/>
      <c r="DMG20" s="292"/>
      <c r="DMH20" s="292"/>
      <c r="DMI20" s="292"/>
      <c r="DMJ20" s="292"/>
      <c r="DMK20" s="292"/>
      <c r="DML20" s="292"/>
      <c r="DMM20" s="292"/>
      <c r="DMN20" s="292"/>
      <c r="DMO20" s="292"/>
      <c r="DMP20" s="292"/>
      <c r="DMQ20" s="292"/>
      <c r="DMR20" s="292"/>
      <c r="DMS20" s="292"/>
      <c r="DMT20" s="292"/>
      <c r="DMU20" s="292"/>
      <c r="DMV20" s="292"/>
      <c r="DMW20" s="292"/>
      <c r="DMX20" s="292"/>
      <c r="DMY20" s="292"/>
      <c r="DMZ20" s="292"/>
      <c r="DNA20" s="292"/>
      <c r="DNB20" s="292"/>
      <c r="DNC20" s="292"/>
      <c r="DND20" s="292"/>
      <c r="DNE20" s="292"/>
      <c r="DNF20" s="292"/>
      <c r="DNG20" s="292"/>
      <c r="DNH20" s="292"/>
      <c r="DNI20" s="292"/>
      <c r="DNJ20" s="292"/>
      <c r="DNK20" s="292"/>
      <c r="DNL20" s="292"/>
      <c r="DNM20" s="292"/>
      <c r="DNN20" s="292"/>
      <c r="DNO20" s="292"/>
      <c r="DNP20" s="292"/>
      <c r="DNQ20" s="292"/>
      <c r="DNR20" s="292"/>
      <c r="DNS20" s="292"/>
      <c r="DNT20" s="292"/>
      <c r="DNU20" s="292"/>
      <c r="DNV20" s="292"/>
      <c r="DNW20" s="292"/>
      <c r="DNX20" s="292"/>
      <c r="DNY20" s="292"/>
      <c r="DNZ20" s="292"/>
      <c r="DOA20" s="292"/>
      <c r="DOB20" s="292"/>
      <c r="DOC20" s="292"/>
      <c r="DOD20" s="292"/>
      <c r="DOE20" s="292"/>
      <c r="DOF20" s="292"/>
      <c r="DOG20" s="292"/>
      <c r="DOH20" s="292"/>
      <c r="DOI20" s="292"/>
      <c r="DOJ20" s="292"/>
      <c r="DOK20" s="292"/>
      <c r="DOL20" s="292"/>
      <c r="DOM20" s="292"/>
      <c r="DON20" s="292"/>
      <c r="DOO20" s="292"/>
      <c r="DOP20" s="292"/>
      <c r="DOQ20" s="292"/>
      <c r="DOR20" s="292"/>
      <c r="DOS20" s="292"/>
      <c r="DOT20" s="292"/>
      <c r="DOU20" s="292"/>
      <c r="DOV20" s="292"/>
      <c r="DOW20" s="292"/>
      <c r="DOX20" s="292"/>
      <c r="DOY20" s="292"/>
      <c r="DOZ20" s="292"/>
      <c r="DPA20" s="292"/>
      <c r="DPB20" s="292"/>
      <c r="DPC20" s="292"/>
      <c r="DPD20" s="292"/>
      <c r="DPE20" s="292"/>
      <c r="DPF20" s="292"/>
      <c r="DPG20" s="292"/>
      <c r="DPH20" s="292"/>
      <c r="DPI20" s="292"/>
      <c r="DPJ20" s="292"/>
      <c r="DPK20" s="292"/>
      <c r="DPL20" s="292"/>
      <c r="DPM20" s="292"/>
      <c r="DPN20" s="292"/>
      <c r="DPO20" s="292"/>
      <c r="DPP20" s="292"/>
      <c r="DPQ20" s="292"/>
      <c r="DPR20" s="292"/>
      <c r="DPS20" s="292"/>
      <c r="DPT20" s="292"/>
      <c r="DPU20" s="292"/>
      <c r="DPV20" s="292"/>
      <c r="DPW20" s="292"/>
      <c r="DPX20" s="292"/>
      <c r="DPY20" s="292"/>
      <c r="DPZ20" s="292"/>
      <c r="DQA20" s="292"/>
      <c r="DQB20" s="292"/>
      <c r="DQC20" s="292"/>
      <c r="DQD20" s="292"/>
      <c r="DQE20" s="292"/>
      <c r="DQF20" s="292"/>
      <c r="DQG20" s="292"/>
      <c r="DQH20" s="292"/>
      <c r="DQI20" s="292"/>
      <c r="DQJ20" s="292"/>
      <c r="DQK20" s="292"/>
      <c r="DQL20" s="292"/>
      <c r="DQM20" s="292"/>
      <c r="DQN20" s="292"/>
      <c r="DQO20" s="292"/>
      <c r="DQP20" s="292"/>
      <c r="DQQ20" s="292"/>
      <c r="DQR20" s="292"/>
      <c r="DQS20" s="292"/>
      <c r="DQT20" s="292"/>
      <c r="DQU20" s="292"/>
      <c r="DQV20" s="292"/>
      <c r="DQW20" s="292"/>
      <c r="DQX20" s="292"/>
      <c r="DQY20" s="292"/>
      <c r="DQZ20" s="292"/>
      <c r="DRA20" s="292"/>
      <c r="DRB20" s="292"/>
      <c r="DRC20" s="292"/>
      <c r="DRD20" s="292"/>
      <c r="DRE20" s="292"/>
      <c r="DRF20" s="292"/>
      <c r="DRG20" s="292"/>
      <c r="DRH20" s="292"/>
      <c r="DRI20" s="292"/>
      <c r="DRJ20" s="292"/>
      <c r="DRK20" s="292"/>
      <c r="DRL20" s="292"/>
      <c r="DRM20" s="292"/>
      <c r="DRN20" s="292"/>
      <c r="DRO20" s="292"/>
      <c r="DRP20" s="292"/>
      <c r="DRQ20" s="292"/>
      <c r="DRR20" s="292"/>
      <c r="DRS20" s="292"/>
      <c r="DRT20" s="292"/>
      <c r="DRU20" s="292"/>
      <c r="DRV20" s="292"/>
      <c r="DRW20" s="292"/>
      <c r="DRX20" s="292"/>
      <c r="DRY20" s="292"/>
      <c r="DRZ20" s="292"/>
      <c r="DSA20" s="292"/>
      <c r="DSB20" s="292"/>
      <c r="DSC20" s="292"/>
      <c r="DSD20" s="292"/>
      <c r="DSE20" s="292"/>
      <c r="DSF20" s="292"/>
      <c r="DSG20" s="292"/>
      <c r="DSH20" s="292"/>
      <c r="DSI20" s="292"/>
      <c r="DSJ20" s="292"/>
      <c r="DSK20" s="292"/>
      <c r="DSL20" s="292"/>
      <c r="DSM20" s="292"/>
      <c r="DSN20" s="292"/>
      <c r="DSO20" s="292"/>
      <c r="DSP20" s="292"/>
      <c r="DSQ20" s="292"/>
      <c r="DSR20" s="292"/>
      <c r="DSS20" s="292"/>
      <c r="DST20" s="292"/>
      <c r="DSU20" s="292"/>
      <c r="DSV20" s="292"/>
      <c r="DSW20" s="292"/>
      <c r="DSX20" s="292"/>
      <c r="DSY20" s="292"/>
      <c r="DSZ20" s="292"/>
      <c r="DTA20" s="292"/>
      <c r="DTB20" s="292"/>
      <c r="DTC20" s="292"/>
      <c r="DTD20" s="292"/>
      <c r="DTE20" s="292"/>
      <c r="DTF20" s="292"/>
      <c r="DTG20" s="292"/>
      <c r="DTH20" s="292"/>
      <c r="DTI20" s="292"/>
      <c r="DTJ20" s="292"/>
      <c r="DTK20" s="292"/>
      <c r="DTL20" s="292"/>
      <c r="DTM20" s="292"/>
      <c r="DTN20" s="292"/>
      <c r="DTO20" s="292"/>
      <c r="DTP20" s="292"/>
      <c r="DTQ20" s="292"/>
      <c r="DTR20" s="292"/>
      <c r="DTS20" s="292"/>
      <c r="DTT20" s="292"/>
      <c r="DTU20" s="292"/>
      <c r="DTV20" s="292"/>
      <c r="DTW20" s="292"/>
      <c r="DTX20" s="292"/>
      <c r="DTY20" s="292"/>
      <c r="DTZ20" s="292"/>
      <c r="DUA20" s="292"/>
      <c r="DUB20" s="292"/>
      <c r="DUC20" s="292"/>
      <c r="DUD20" s="292"/>
      <c r="DUE20" s="292"/>
      <c r="DUF20" s="292"/>
      <c r="DUG20" s="292"/>
      <c r="DUH20" s="292"/>
      <c r="DUI20" s="292"/>
      <c r="DUJ20" s="292"/>
      <c r="DUK20" s="292"/>
      <c r="DUL20" s="292"/>
      <c r="DUM20" s="292"/>
      <c r="DUN20" s="292"/>
      <c r="DUO20" s="292"/>
      <c r="DUP20" s="292"/>
      <c r="DUQ20" s="292"/>
      <c r="DUR20" s="292"/>
      <c r="DUS20" s="292"/>
      <c r="DUT20" s="292"/>
      <c r="DUU20" s="292"/>
      <c r="DUV20" s="292"/>
      <c r="DUW20" s="292"/>
      <c r="DUX20" s="292"/>
      <c r="DUY20" s="292"/>
      <c r="DUZ20" s="292"/>
      <c r="DVA20" s="292"/>
      <c r="DVB20" s="292"/>
      <c r="DVC20" s="292"/>
      <c r="DVD20" s="292"/>
      <c r="DVE20" s="292"/>
      <c r="DVF20" s="292"/>
      <c r="DVG20" s="292"/>
      <c r="DVH20" s="292"/>
      <c r="DVI20" s="292"/>
      <c r="DVJ20" s="292"/>
      <c r="DVK20" s="292"/>
      <c r="DVL20" s="292"/>
      <c r="DVM20" s="292"/>
      <c r="DVN20" s="292"/>
      <c r="DVO20" s="292"/>
      <c r="DVP20" s="292"/>
      <c r="DVQ20" s="292"/>
      <c r="DVR20" s="292"/>
      <c r="DVS20" s="292"/>
      <c r="DVT20" s="292"/>
      <c r="DVU20" s="292"/>
      <c r="DVV20" s="292"/>
      <c r="DVW20" s="292"/>
      <c r="DVX20" s="292"/>
      <c r="DVY20" s="292"/>
      <c r="DVZ20" s="292"/>
      <c r="DWA20" s="292"/>
      <c r="DWB20" s="292"/>
      <c r="DWC20" s="292"/>
      <c r="DWD20" s="292"/>
      <c r="DWE20" s="292"/>
      <c r="DWF20" s="292"/>
      <c r="DWG20" s="292"/>
      <c r="DWH20" s="292"/>
      <c r="DWI20" s="292"/>
      <c r="DWJ20" s="292"/>
      <c r="DWK20" s="292"/>
      <c r="DWL20" s="292"/>
      <c r="DWM20" s="292"/>
      <c r="DWN20" s="292"/>
      <c r="DWO20" s="292"/>
      <c r="DWP20" s="292"/>
      <c r="DWQ20" s="292"/>
      <c r="DWR20" s="292"/>
      <c r="DWS20" s="292"/>
      <c r="DWT20" s="292"/>
      <c r="DWU20" s="292"/>
      <c r="DWV20" s="292"/>
      <c r="DWW20" s="292"/>
      <c r="DWX20" s="292"/>
      <c r="DWY20" s="292"/>
      <c r="DWZ20" s="292"/>
      <c r="DXA20" s="292"/>
      <c r="DXB20" s="292"/>
      <c r="DXC20" s="292"/>
      <c r="DXD20" s="292"/>
      <c r="DXE20" s="292"/>
      <c r="DXF20" s="292"/>
      <c r="DXG20" s="292"/>
      <c r="DXH20" s="292"/>
      <c r="DXI20" s="292"/>
      <c r="DXJ20" s="292"/>
      <c r="DXK20" s="292"/>
      <c r="DXL20" s="292"/>
      <c r="DXM20" s="292"/>
      <c r="DXN20" s="292"/>
      <c r="DXO20" s="292"/>
      <c r="DXP20" s="292"/>
      <c r="DXQ20" s="292"/>
      <c r="DXR20" s="292"/>
      <c r="DXS20" s="292"/>
      <c r="DXT20" s="292"/>
      <c r="DXU20" s="292"/>
      <c r="DXV20" s="292"/>
      <c r="DXW20" s="292"/>
      <c r="DXX20" s="292"/>
      <c r="DXY20" s="292"/>
      <c r="DXZ20" s="292"/>
      <c r="DYA20" s="292"/>
      <c r="DYB20" s="292"/>
      <c r="DYC20" s="292"/>
      <c r="DYD20" s="292"/>
      <c r="DYE20" s="292"/>
      <c r="DYF20" s="292"/>
      <c r="DYG20" s="292"/>
      <c r="DYH20" s="292"/>
      <c r="DYI20" s="292"/>
      <c r="DYJ20" s="292"/>
      <c r="DYK20" s="292"/>
      <c r="DYL20" s="292"/>
      <c r="DYM20" s="292"/>
      <c r="DYN20" s="292"/>
      <c r="DYO20" s="292"/>
      <c r="DYP20" s="292"/>
      <c r="DYQ20" s="292"/>
      <c r="DYR20" s="292"/>
      <c r="DYS20" s="292"/>
      <c r="DYT20" s="292"/>
      <c r="DYU20" s="292"/>
      <c r="DYV20" s="292"/>
      <c r="DYW20" s="292"/>
      <c r="DYX20" s="292"/>
      <c r="DYY20" s="292"/>
      <c r="DYZ20" s="292"/>
      <c r="DZA20" s="292"/>
      <c r="DZB20" s="292"/>
      <c r="DZC20" s="292"/>
      <c r="DZD20" s="292"/>
      <c r="DZE20" s="292"/>
      <c r="DZF20" s="292"/>
      <c r="DZG20" s="292"/>
      <c r="DZH20" s="292"/>
      <c r="DZI20" s="292"/>
      <c r="DZJ20" s="292"/>
      <c r="DZK20" s="292"/>
      <c r="DZL20" s="292"/>
      <c r="DZM20" s="292"/>
      <c r="DZN20" s="292"/>
      <c r="DZO20" s="292"/>
      <c r="DZP20" s="292"/>
      <c r="DZQ20" s="292"/>
      <c r="DZR20" s="292"/>
      <c r="DZS20" s="292"/>
      <c r="DZT20" s="292"/>
      <c r="DZU20" s="292"/>
      <c r="DZV20" s="292"/>
      <c r="DZW20" s="292"/>
      <c r="DZX20" s="292"/>
      <c r="DZY20" s="292"/>
      <c r="DZZ20" s="292"/>
      <c r="EAA20" s="292"/>
      <c r="EAB20" s="292"/>
      <c r="EAC20" s="292"/>
      <c r="EAD20" s="292"/>
      <c r="EAE20" s="292"/>
      <c r="EAF20" s="292"/>
      <c r="EAG20" s="292"/>
      <c r="EAH20" s="292"/>
      <c r="EAI20" s="292"/>
      <c r="EAJ20" s="292"/>
      <c r="EAK20" s="292"/>
      <c r="EAL20" s="292"/>
      <c r="EAM20" s="292"/>
      <c r="EAN20" s="292"/>
      <c r="EAO20" s="292"/>
      <c r="EAP20" s="292"/>
      <c r="EAQ20" s="292"/>
      <c r="EAR20" s="292"/>
      <c r="EAS20" s="292"/>
      <c r="EAT20" s="292"/>
      <c r="EAU20" s="292"/>
      <c r="EAV20" s="292"/>
      <c r="EAW20" s="292"/>
      <c r="EAX20" s="292"/>
      <c r="EAY20" s="292"/>
      <c r="EAZ20" s="292"/>
      <c r="EBA20" s="292"/>
      <c r="EBB20" s="292"/>
      <c r="EBC20" s="292"/>
      <c r="EBD20" s="292"/>
      <c r="EBE20" s="292"/>
      <c r="EBF20" s="292"/>
      <c r="EBG20" s="292"/>
      <c r="EBH20" s="292"/>
      <c r="EBI20" s="292"/>
      <c r="EBJ20" s="292"/>
      <c r="EBK20" s="292"/>
      <c r="EBL20" s="292"/>
      <c r="EBM20" s="292"/>
      <c r="EBN20" s="292"/>
      <c r="EBO20" s="292"/>
      <c r="EBP20" s="292"/>
      <c r="EBQ20" s="292"/>
      <c r="EBR20" s="292"/>
      <c r="EBS20" s="292"/>
      <c r="EBT20" s="292"/>
      <c r="EBU20" s="292"/>
      <c r="EBV20" s="292"/>
      <c r="EBW20" s="292"/>
      <c r="EBX20" s="292"/>
      <c r="EBY20" s="292"/>
      <c r="EBZ20" s="292"/>
      <c r="ECA20" s="292"/>
      <c r="ECB20" s="292"/>
      <c r="ECC20" s="292"/>
      <c r="ECD20" s="292"/>
      <c r="ECE20" s="292"/>
      <c r="ECF20" s="292"/>
      <c r="ECG20" s="292"/>
      <c r="ECH20" s="292"/>
      <c r="ECI20" s="292"/>
      <c r="ECJ20" s="292"/>
      <c r="ECK20" s="292"/>
      <c r="ECL20" s="292"/>
      <c r="ECM20" s="292"/>
      <c r="ECN20" s="292"/>
      <c r="ECO20" s="292"/>
      <c r="ECP20" s="292"/>
      <c r="ECQ20" s="292"/>
      <c r="ECR20" s="292"/>
      <c r="ECS20" s="292"/>
      <c r="ECT20" s="292"/>
      <c r="ECU20" s="292"/>
      <c r="ECV20" s="292"/>
      <c r="ECW20" s="292"/>
      <c r="ECX20" s="292"/>
      <c r="ECY20" s="292"/>
      <c r="ECZ20" s="292"/>
      <c r="EDA20" s="292"/>
      <c r="EDB20" s="292"/>
      <c r="EDC20" s="292"/>
      <c r="EDD20" s="292"/>
      <c r="EDE20" s="292"/>
      <c r="EDF20" s="292"/>
      <c r="EDG20" s="292"/>
      <c r="EDH20" s="292"/>
      <c r="EDI20" s="292"/>
      <c r="EDJ20" s="292"/>
      <c r="EDK20" s="292"/>
      <c r="EDL20" s="292"/>
      <c r="EDM20" s="292"/>
      <c r="EDN20" s="292"/>
      <c r="EDO20" s="292"/>
      <c r="EDP20" s="292"/>
      <c r="EDQ20" s="292"/>
      <c r="EDR20" s="292"/>
      <c r="EDS20" s="292"/>
      <c r="EDT20" s="292"/>
      <c r="EDU20" s="292"/>
      <c r="EDV20" s="292"/>
      <c r="EDW20" s="292"/>
      <c r="EDX20" s="292"/>
      <c r="EDY20" s="292"/>
      <c r="EDZ20" s="292"/>
      <c r="EEA20" s="292"/>
      <c r="EEB20" s="292"/>
      <c r="EEC20" s="292"/>
      <c r="EED20" s="292"/>
      <c r="EEE20" s="292"/>
      <c r="EEF20" s="292"/>
      <c r="EEG20" s="292"/>
      <c r="EEH20" s="292"/>
      <c r="EEI20" s="292"/>
      <c r="EEJ20" s="292"/>
      <c r="EEK20" s="292"/>
      <c r="EEL20" s="292"/>
      <c r="EEM20" s="292"/>
      <c r="EEN20" s="292"/>
      <c r="EEO20" s="292"/>
      <c r="EEP20" s="292"/>
      <c r="EEQ20" s="292"/>
      <c r="EER20" s="292"/>
      <c r="EES20" s="292"/>
      <c r="EET20" s="292"/>
      <c r="EEU20" s="292"/>
      <c r="EEV20" s="292"/>
      <c r="EEW20" s="292"/>
      <c r="EEX20" s="292"/>
      <c r="EEY20" s="292"/>
      <c r="EEZ20" s="292"/>
      <c r="EFA20" s="292"/>
      <c r="EFB20" s="292"/>
      <c r="EFC20" s="292"/>
      <c r="EFD20" s="292"/>
      <c r="EFE20" s="292"/>
      <c r="EFF20" s="292"/>
      <c r="EFG20" s="292"/>
      <c r="EFH20" s="292"/>
      <c r="EFI20" s="292"/>
      <c r="EFJ20" s="292"/>
      <c r="EFK20" s="292"/>
      <c r="EFL20" s="292"/>
      <c r="EFM20" s="292"/>
      <c r="EFN20" s="292"/>
      <c r="EFO20" s="292"/>
      <c r="EFP20" s="292"/>
      <c r="EFQ20" s="292"/>
      <c r="EFR20" s="292"/>
      <c r="EFS20" s="292"/>
      <c r="EFT20" s="292"/>
      <c r="EFU20" s="292"/>
      <c r="EFV20" s="292"/>
      <c r="EFW20" s="292"/>
      <c r="EFX20" s="292"/>
      <c r="EFY20" s="292"/>
      <c r="EFZ20" s="292"/>
      <c r="EGA20" s="292"/>
      <c r="EGB20" s="292"/>
      <c r="EGC20" s="292"/>
      <c r="EGD20" s="292"/>
      <c r="EGE20" s="292"/>
      <c r="EGF20" s="292"/>
      <c r="EGG20" s="292"/>
      <c r="EGH20" s="292"/>
      <c r="EGI20" s="292"/>
      <c r="EGJ20" s="292"/>
      <c r="EGK20" s="292"/>
      <c r="EGL20" s="292"/>
      <c r="EGM20" s="292"/>
      <c r="EGN20" s="292"/>
      <c r="EGO20" s="292"/>
      <c r="EGP20" s="292"/>
      <c r="EGQ20" s="292"/>
      <c r="EGR20" s="292"/>
      <c r="EGS20" s="292"/>
      <c r="EGT20" s="292"/>
      <c r="EGU20" s="292"/>
      <c r="EGV20" s="292"/>
      <c r="EGW20" s="292"/>
      <c r="EGX20" s="292"/>
      <c r="EGY20" s="292"/>
      <c r="EGZ20" s="292"/>
      <c r="EHA20" s="292"/>
      <c r="EHB20" s="292"/>
      <c r="EHC20" s="292"/>
      <c r="EHD20" s="292"/>
      <c r="EHE20" s="292"/>
      <c r="EHF20" s="292"/>
      <c r="EHG20" s="292"/>
      <c r="EHH20" s="292"/>
      <c r="EHI20" s="292"/>
      <c r="EHJ20" s="292"/>
      <c r="EHK20" s="292"/>
      <c r="EHL20" s="292"/>
      <c r="EHM20" s="292"/>
      <c r="EHN20" s="292"/>
      <c r="EHO20" s="292"/>
      <c r="EHP20" s="292"/>
      <c r="EHQ20" s="292"/>
      <c r="EHR20" s="292"/>
      <c r="EHS20" s="292"/>
      <c r="EHT20" s="292"/>
      <c r="EHU20" s="292"/>
      <c r="EHV20" s="292"/>
      <c r="EHW20" s="292"/>
      <c r="EHX20" s="292"/>
      <c r="EHY20" s="292"/>
      <c r="EHZ20" s="292"/>
      <c r="EIA20" s="292"/>
      <c r="EIB20" s="292"/>
      <c r="EIC20" s="292"/>
      <c r="EID20" s="292"/>
      <c r="EIE20" s="292"/>
      <c r="EIF20" s="292"/>
      <c r="EIG20" s="292"/>
      <c r="EIH20" s="292"/>
      <c r="EII20" s="292"/>
      <c r="EIJ20" s="292"/>
      <c r="EIK20" s="292"/>
      <c r="EIL20" s="292"/>
      <c r="EIM20" s="292"/>
      <c r="EIN20" s="292"/>
      <c r="EIO20" s="292"/>
      <c r="EIP20" s="292"/>
      <c r="EIQ20" s="292"/>
      <c r="EIR20" s="292"/>
      <c r="EIS20" s="292"/>
      <c r="EIT20" s="292"/>
      <c r="EIU20" s="292"/>
      <c r="EIV20" s="292"/>
      <c r="EIW20" s="292"/>
      <c r="EIX20" s="292"/>
      <c r="EIY20" s="292"/>
      <c r="EIZ20" s="292"/>
      <c r="EJA20" s="292"/>
      <c r="EJB20" s="292"/>
      <c r="EJC20" s="292"/>
      <c r="EJD20" s="292"/>
      <c r="EJE20" s="292"/>
      <c r="EJF20" s="292"/>
      <c r="EJG20" s="292"/>
      <c r="EJH20" s="292"/>
      <c r="EJI20" s="292"/>
      <c r="EJJ20" s="292"/>
      <c r="EJK20" s="292"/>
      <c r="EJL20" s="292"/>
      <c r="EJM20" s="292"/>
      <c r="EJN20" s="292"/>
      <c r="EJO20" s="292"/>
      <c r="EJP20" s="292"/>
      <c r="EJQ20" s="292"/>
      <c r="EJR20" s="292"/>
      <c r="EJS20" s="292"/>
      <c r="EJT20" s="292"/>
      <c r="EJU20" s="292"/>
      <c r="EJV20" s="292"/>
      <c r="EJW20" s="292"/>
      <c r="EJX20" s="292"/>
      <c r="EJY20" s="292"/>
      <c r="EJZ20" s="292"/>
      <c r="EKA20" s="292"/>
      <c r="EKB20" s="292"/>
      <c r="EKC20" s="292"/>
      <c r="EKD20" s="292"/>
      <c r="EKE20" s="292"/>
      <c r="EKF20" s="292"/>
      <c r="EKG20" s="292"/>
      <c r="EKH20" s="292"/>
      <c r="EKI20" s="292"/>
      <c r="EKJ20" s="292"/>
      <c r="EKK20" s="292"/>
      <c r="EKL20" s="292"/>
      <c r="EKM20" s="292"/>
      <c r="EKN20" s="292"/>
      <c r="EKO20" s="292"/>
      <c r="EKP20" s="292"/>
      <c r="EKQ20" s="292"/>
      <c r="EKR20" s="292"/>
      <c r="EKS20" s="292"/>
      <c r="EKT20" s="292"/>
      <c r="EKU20" s="292"/>
      <c r="EKV20" s="292"/>
      <c r="EKW20" s="292"/>
      <c r="EKX20" s="292"/>
      <c r="EKY20" s="292"/>
      <c r="EKZ20" s="292"/>
      <c r="ELA20" s="292"/>
      <c r="ELB20" s="292"/>
      <c r="ELC20" s="292"/>
      <c r="ELD20" s="292"/>
      <c r="ELE20" s="292"/>
      <c r="ELF20" s="292"/>
      <c r="ELG20" s="292"/>
      <c r="ELH20" s="292"/>
      <c r="ELI20" s="292"/>
      <c r="ELJ20" s="292"/>
      <c r="ELK20" s="292"/>
      <c r="ELL20" s="292"/>
      <c r="ELM20" s="292"/>
      <c r="ELN20" s="292"/>
      <c r="ELO20" s="292"/>
      <c r="ELP20" s="292"/>
      <c r="ELQ20" s="292"/>
      <c r="ELR20" s="292"/>
      <c r="ELS20" s="292"/>
      <c r="ELT20" s="292"/>
      <c r="ELU20" s="292"/>
      <c r="ELV20" s="292"/>
      <c r="ELW20" s="292"/>
      <c r="ELX20" s="292"/>
      <c r="ELY20" s="292"/>
      <c r="ELZ20" s="292"/>
      <c r="EMA20" s="292"/>
      <c r="EMB20" s="292"/>
      <c r="EMC20" s="292"/>
      <c r="EMD20" s="292"/>
      <c r="EME20" s="292"/>
      <c r="EMF20" s="292"/>
      <c r="EMG20" s="292"/>
      <c r="EMH20" s="292"/>
      <c r="EMI20" s="292"/>
      <c r="EMJ20" s="292"/>
      <c r="EMK20" s="292"/>
      <c r="EML20" s="292"/>
      <c r="EMM20" s="292"/>
      <c r="EMN20" s="292"/>
      <c r="EMO20" s="292"/>
      <c r="EMP20" s="292"/>
      <c r="EMQ20" s="292"/>
      <c r="EMR20" s="292"/>
      <c r="EMS20" s="292"/>
      <c r="EMT20" s="292"/>
      <c r="EMU20" s="292"/>
      <c r="EMV20" s="292"/>
      <c r="EMW20" s="292"/>
      <c r="EMX20" s="292"/>
      <c r="EMY20" s="292"/>
      <c r="EMZ20" s="292"/>
      <c r="ENA20" s="292"/>
      <c r="ENB20" s="292"/>
      <c r="ENC20" s="292"/>
      <c r="END20" s="292"/>
      <c r="ENE20" s="292"/>
      <c r="ENF20" s="292"/>
      <c r="ENG20" s="292"/>
      <c r="ENH20" s="292"/>
      <c r="ENI20" s="292"/>
      <c r="ENJ20" s="292"/>
      <c r="ENK20" s="292"/>
      <c r="ENL20" s="292"/>
      <c r="ENM20" s="292"/>
      <c r="ENN20" s="292"/>
      <c r="ENO20" s="292"/>
      <c r="ENP20" s="292"/>
      <c r="ENQ20" s="292"/>
      <c r="ENR20" s="292"/>
      <c r="ENS20" s="292"/>
      <c r="ENT20" s="292"/>
      <c r="ENU20" s="292"/>
      <c r="ENV20" s="292"/>
      <c r="ENW20" s="292"/>
      <c r="ENX20" s="292"/>
      <c r="ENY20" s="292"/>
      <c r="ENZ20" s="292"/>
      <c r="EOA20" s="292"/>
      <c r="EOB20" s="292"/>
      <c r="EOC20" s="292"/>
      <c r="EOD20" s="292"/>
      <c r="EOE20" s="292"/>
      <c r="EOF20" s="292"/>
      <c r="EOG20" s="292"/>
      <c r="EOH20" s="292"/>
      <c r="EOI20" s="292"/>
      <c r="EOJ20" s="292"/>
      <c r="EOK20" s="292"/>
      <c r="EOL20" s="292"/>
      <c r="EOM20" s="292"/>
      <c r="EON20" s="292"/>
      <c r="EOO20" s="292"/>
      <c r="EOP20" s="292"/>
      <c r="EOQ20" s="292"/>
      <c r="EOR20" s="292"/>
      <c r="EOS20" s="292"/>
      <c r="EOT20" s="292"/>
      <c r="EOU20" s="292"/>
      <c r="EOV20" s="292"/>
      <c r="EOW20" s="292"/>
      <c r="EOX20" s="292"/>
      <c r="EOY20" s="292"/>
      <c r="EOZ20" s="292"/>
      <c r="EPA20" s="292"/>
      <c r="EPB20" s="292"/>
      <c r="EPC20" s="292"/>
      <c r="EPD20" s="292"/>
      <c r="EPE20" s="292"/>
      <c r="EPF20" s="292"/>
      <c r="EPG20" s="292"/>
      <c r="EPH20" s="292"/>
      <c r="EPI20" s="292"/>
      <c r="EPJ20" s="292"/>
      <c r="EPK20" s="292"/>
      <c r="EPL20" s="292"/>
      <c r="EPM20" s="292"/>
      <c r="EPN20" s="292"/>
      <c r="EPO20" s="292"/>
      <c r="EPP20" s="292"/>
      <c r="EPQ20" s="292"/>
      <c r="EPR20" s="292"/>
      <c r="EPS20" s="292"/>
      <c r="EPT20" s="292"/>
      <c r="EPU20" s="292"/>
      <c r="EPV20" s="292"/>
      <c r="EPW20" s="292"/>
      <c r="EPX20" s="292"/>
      <c r="EPY20" s="292"/>
      <c r="EPZ20" s="292"/>
      <c r="EQA20" s="292"/>
      <c r="EQB20" s="292"/>
      <c r="EQC20" s="292"/>
      <c r="EQD20" s="292"/>
      <c r="EQE20" s="292"/>
      <c r="EQF20" s="292"/>
      <c r="EQG20" s="292"/>
      <c r="EQH20" s="292"/>
      <c r="EQI20" s="292"/>
      <c r="EQJ20" s="292"/>
      <c r="EQK20" s="292"/>
      <c r="EQL20" s="292"/>
      <c r="EQM20" s="292"/>
      <c r="EQN20" s="292"/>
      <c r="EQO20" s="292"/>
      <c r="EQP20" s="292"/>
      <c r="EQQ20" s="292"/>
      <c r="EQR20" s="292"/>
      <c r="EQS20" s="292"/>
      <c r="EQT20" s="292"/>
      <c r="EQU20" s="292"/>
      <c r="EQV20" s="292"/>
      <c r="EQW20" s="292"/>
      <c r="EQX20" s="292"/>
      <c r="EQY20" s="292"/>
      <c r="EQZ20" s="292"/>
      <c r="ERA20" s="292"/>
      <c r="ERB20" s="292"/>
      <c r="ERC20" s="292"/>
      <c r="ERD20" s="292"/>
      <c r="ERE20" s="292"/>
      <c r="ERF20" s="292"/>
      <c r="ERG20" s="292"/>
      <c r="ERH20" s="292"/>
      <c r="ERI20" s="292"/>
      <c r="ERJ20" s="292"/>
      <c r="ERK20" s="292"/>
      <c r="ERL20" s="292"/>
      <c r="ERM20" s="292"/>
      <c r="ERN20" s="292"/>
      <c r="ERO20" s="292"/>
      <c r="ERP20" s="292"/>
      <c r="ERQ20" s="292"/>
      <c r="ERR20" s="292"/>
      <c r="ERS20" s="292"/>
      <c r="ERT20" s="292"/>
      <c r="ERU20" s="292"/>
      <c r="ERV20" s="292"/>
      <c r="ERW20" s="292"/>
      <c r="ERX20" s="292"/>
      <c r="ERY20" s="292"/>
      <c r="ERZ20" s="292"/>
      <c r="ESA20" s="292"/>
      <c r="ESB20" s="292"/>
      <c r="ESC20" s="292"/>
      <c r="ESD20" s="292"/>
      <c r="ESE20" s="292"/>
      <c r="ESF20" s="292"/>
      <c r="ESG20" s="292"/>
      <c r="ESH20" s="292"/>
      <c r="ESI20" s="292"/>
      <c r="ESJ20" s="292"/>
      <c r="ESK20" s="292"/>
      <c r="ESL20" s="292"/>
      <c r="ESM20" s="292"/>
      <c r="ESN20" s="292"/>
      <c r="ESO20" s="292"/>
      <c r="ESP20" s="292"/>
      <c r="ESQ20" s="292"/>
      <c r="ESR20" s="292"/>
      <c r="ESS20" s="292"/>
      <c r="EST20" s="292"/>
      <c r="ESU20" s="292"/>
      <c r="ESV20" s="292"/>
      <c r="ESW20" s="292"/>
      <c r="ESX20" s="292"/>
      <c r="ESY20" s="292"/>
      <c r="ESZ20" s="292"/>
      <c r="ETA20" s="292"/>
      <c r="ETB20" s="292"/>
      <c r="ETC20" s="292"/>
      <c r="ETD20" s="292"/>
      <c r="ETE20" s="292"/>
      <c r="ETF20" s="292"/>
      <c r="ETG20" s="292"/>
      <c r="ETH20" s="292"/>
      <c r="ETI20" s="292"/>
      <c r="ETJ20" s="292"/>
      <c r="ETK20" s="292"/>
      <c r="ETL20" s="292"/>
      <c r="ETM20" s="292"/>
      <c r="ETN20" s="292"/>
      <c r="ETO20" s="292"/>
      <c r="ETP20" s="292"/>
      <c r="ETQ20" s="292"/>
      <c r="ETR20" s="292"/>
      <c r="ETS20" s="292"/>
      <c r="ETT20" s="292"/>
      <c r="ETU20" s="292"/>
      <c r="ETV20" s="292"/>
      <c r="ETW20" s="292"/>
      <c r="ETX20" s="292"/>
      <c r="ETY20" s="292"/>
      <c r="ETZ20" s="292"/>
      <c r="EUA20" s="292"/>
      <c r="EUB20" s="292"/>
      <c r="EUC20" s="292"/>
      <c r="EUD20" s="292"/>
      <c r="EUE20" s="292"/>
      <c r="EUF20" s="292"/>
      <c r="EUG20" s="292"/>
      <c r="EUH20" s="292"/>
      <c r="EUI20" s="292"/>
      <c r="EUJ20" s="292"/>
      <c r="EUK20" s="292"/>
      <c r="EUL20" s="292"/>
      <c r="EUM20" s="292"/>
      <c r="EUN20" s="292"/>
      <c r="EUO20" s="292"/>
      <c r="EUP20" s="292"/>
      <c r="EUQ20" s="292"/>
      <c r="EUR20" s="292"/>
      <c r="EUS20" s="292"/>
      <c r="EUT20" s="292"/>
      <c r="EUU20" s="292"/>
      <c r="EUV20" s="292"/>
      <c r="EUW20" s="292"/>
      <c r="EUX20" s="292"/>
      <c r="EUY20" s="292"/>
      <c r="EUZ20" s="292"/>
      <c r="EVA20" s="292"/>
      <c r="EVB20" s="292"/>
      <c r="EVC20" s="292"/>
      <c r="EVD20" s="292"/>
      <c r="EVE20" s="292"/>
      <c r="EVF20" s="292"/>
      <c r="EVG20" s="292"/>
      <c r="EVH20" s="292"/>
      <c r="EVI20" s="292"/>
      <c r="EVJ20" s="292"/>
      <c r="EVK20" s="292"/>
      <c r="EVL20" s="292"/>
      <c r="EVM20" s="292"/>
      <c r="EVN20" s="292"/>
      <c r="EVO20" s="292"/>
      <c r="EVP20" s="292"/>
      <c r="EVQ20" s="292"/>
      <c r="EVR20" s="292"/>
      <c r="EVS20" s="292"/>
      <c r="EVT20" s="292"/>
      <c r="EVU20" s="292"/>
      <c r="EVV20" s="292"/>
      <c r="EVW20" s="292"/>
      <c r="EVX20" s="292"/>
      <c r="EVY20" s="292"/>
      <c r="EVZ20" s="292"/>
      <c r="EWA20" s="292"/>
      <c r="EWB20" s="292"/>
      <c r="EWC20" s="292"/>
      <c r="EWD20" s="292"/>
      <c r="EWE20" s="292"/>
      <c r="EWF20" s="292"/>
      <c r="EWG20" s="292"/>
      <c r="EWH20" s="292"/>
      <c r="EWI20" s="292"/>
      <c r="EWJ20" s="292"/>
      <c r="EWK20" s="292"/>
      <c r="EWL20" s="292"/>
      <c r="EWM20" s="292"/>
      <c r="EWN20" s="292"/>
      <c r="EWO20" s="292"/>
      <c r="EWP20" s="292"/>
      <c r="EWQ20" s="292"/>
      <c r="EWR20" s="292"/>
      <c r="EWS20" s="292"/>
      <c r="EWT20" s="292"/>
      <c r="EWU20" s="292"/>
      <c r="EWV20" s="292"/>
      <c r="EWW20" s="292"/>
      <c r="EWX20" s="292"/>
      <c r="EWY20" s="292"/>
      <c r="EWZ20" s="292"/>
      <c r="EXA20" s="292"/>
      <c r="EXB20" s="292"/>
      <c r="EXC20" s="292"/>
      <c r="EXD20" s="292"/>
      <c r="EXE20" s="292"/>
      <c r="EXF20" s="292"/>
      <c r="EXG20" s="292"/>
      <c r="EXH20" s="292"/>
      <c r="EXI20" s="292"/>
      <c r="EXJ20" s="292"/>
      <c r="EXK20" s="292"/>
      <c r="EXL20" s="292"/>
      <c r="EXM20" s="292"/>
      <c r="EXN20" s="292"/>
      <c r="EXO20" s="292"/>
      <c r="EXP20" s="292"/>
      <c r="EXQ20" s="292"/>
      <c r="EXR20" s="292"/>
      <c r="EXS20" s="292"/>
      <c r="EXT20" s="292"/>
      <c r="EXU20" s="292"/>
      <c r="EXV20" s="292"/>
      <c r="EXW20" s="292"/>
      <c r="EXX20" s="292"/>
      <c r="EXY20" s="292"/>
      <c r="EXZ20" s="292"/>
      <c r="EYA20" s="292"/>
      <c r="EYB20" s="292"/>
      <c r="EYC20" s="292"/>
      <c r="EYD20" s="292"/>
      <c r="EYE20" s="292"/>
      <c r="EYF20" s="292"/>
      <c r="EYG20" s="292"/>
      <c r="EYH20" s="292"/>
      <c r="EYI20" s="292"/>
      <c r="EYJ20" s="292"/>
      <c r="EYK20" s="292"/>
      <c r="EYL20" s="292"/>
      <c r="EYM20" s="292"/>
      <c r="EYN20" s="292"/>
      <c r="EYO20" s="292"/>
      <c r="EYP20" s="292"/>
      <c r="EYQ20" s="292"/>
      <c r="EYR20" s="292"/>
      <c r="EYS20" s="292"/>
      <c r="EYT20" s="292"/>
      <c r="EYU20" s="292"/>
      <c r="EYV20" s="292"/>
      <c r="EYW20" s="292"/>
      <c r="EYX20" s="292"/>
      <c r="EYY20" s="292"/>
      <c r="EYZ20" s="292"/>
      <c r="EZA20" s="292"/>
      <c r="EZB20" s="292"/>
      <c r="EZC20" s="292"/>
      <c r="EZD20" s="292"/>
      <c r="EZE20" s="292"/>
      <c r="EZF20" s="292"/>
      <c r="EZG20" s="292"/>
      <c r="EZH20" s="292"/>
      <c r="EZI20" s="292"/>
      <c r="EZJ20" s="292"/>
      <c r="EZK20" s="292"/>
      <c r="EZL20" s="292"/>
      <c r="EZM20" s="292"/>
      <c r="EZN20" s="292"/>
      <c r="EZO20" s="292"/>
      <c r="EZP20" s="292"/>
      <c r="EZQ20" s="292"/>
      <c r="EZR20" s="292"/>
      <c r="EZS20" s="292"/>
      <c r="EZT20" s="292"/>
      <c r="EZU20" s="292"/>
      <c r="EZV20" s="292"/>
      <c r="EZW20" s="292"/>
      <c r="EZX20" s="292"/>
      <c r="EZY20" s="292"/>
      <c r="EZZ20" s="292"/>
      <c r="FAA20" s="292"/>
      <c r="FAB20" s="292"/>
      <c r="FAC20" s="292"/>
      <c r="FAD20" s="292"/>
      <c r="FAE20" s="292"/>
      <c r="FAF20" s="292"/>
      <c r="FAG20" s="292"/>
      <c r="FAH20" s="292"/>
      <c r="FAI20" s="292"/>
      <c r="FAJ20" s="292"/>
      <c r="FAK20" s="292"/>
      <c r="FAL20" s="292"/>
      <c r="FAM20" s="292"/>
      <c r="FAN20" s="292"/>
      <c r="FAO20" s="292"/>
      <c r="FAP20" s="292"/>
      <c r="FAQ20" s="292"/>
      <c r="FAR20" s="292"/>
      <c r="FAS20" s="292"/>
      <c r="FAT20" s="292"/>
      <c r="FAU20" s="292"/>
      <c r="FAV20" s="292"/>
      <c r="FAW20" s="292"/>
      <c r="FAX20" s="292"/>
      <c r="FAY20" s="292"/>
      <c r="FAZ20" s="292"/>
      <c r="FBA20" s="292"/>
      <c r="FBB20" s="292"/>
      <c r="FBC20" s="292"/>
      <c r="FBD20" s="292"/>
      <c r="FBE20" s="292"/>
      <c r="FBF20" s="292"/>
      <c r="FBG20" s="292"/>
      <c r="FBH20" s="292"/>
      <c r="FBI20" s="292"/>
      <c r="FBJ20" s="292"/>
      <c r="FBK20" s="292"/>
      <c r="FBL20" s="292"/>
      <c r="FBM20" s="292"/>
      <c r="FBN20" s="292"/>
      <c r="FBO20" s="292"/>
      <c r="FBP20" s="292"/>
      <c r="FBQ20" s="292"/>
      <c r="FBR20" s="292"/>
      <c r="FBS20" s="292"/>
      <c r="FBT20" s="292"/>
      <c r="FBU20" s="292"/>
      <c r="FBV20" s="292"/>
      <c r="FBW20" s="292"/>
      <c r="FBX20" s="292"/>
      <c r="FBY20" s="292"/>
      <c r="FBZ20" s="292"/>
      <c r="FCA20" s="292"/>
      <c r="FCB20" s="292"/>
      <c r="FCC20" s="292"/>
      <c r="FCD20" s="292"/>
      <c r="FCE20" s="292"/>
      <c r="FCF20" s="292"/>
      <c r="FCG20" s="292"/>
      <c r="FCH20" s="292"/>
      <c r="FCI20" s="292"/>
      <c r="FCJ20" s="292"/>
      <c r="FCK20" s="292"/>
      <c r="FCL20" s="292"/>
      <c r="FCM20" s="292"/>
      <c r="FCN20" s="292"/>
      <c r="FCO20" s="292"/>
      <c r="FCP20" s="292"/>
      <c r="FCQ20" s="292"/>
      <c r="FCR20" s="292"/>
      <c r="FCS20" s="292"/>
      <c r="FCT20" s="292"/>
      <c r="FCU20" s="292"/>
      <c r="FCV20" s="292"/>
      <c r="FCW20" s="292"/>
      <c r="FCX20" s="292"/>
      <c r="FCY20" s="292"/>
      <c r="FCZ20" s="292"/>
      <c r="FDA20" s="292"/>
      <c r="FDB20" s="292"/>
      <c r="FDC20" s="292"/>
      <c r="FDD20" s="292"/>
      <c r="FDE20" s="292"/>
      <c r="FDF20" s="292"/>
      <c r="FDG20" s="292"/>
      <c r="FDH20" s="292"/>
      <c r="FDI20" s="292"/>
      <c r="FDJ20" s="292"/>
      <c r="FDK20" s="292"/>
      <c r="FDL20" s="292"/>
      <c r="FDM20" s="292"/>
      <c r="FDN20" s="292"/>
      <c r="FDO20" s="292"/>
      <c r="FDP20" s="292"/>
      <c r="FDQ20" s="292"/>
      <c r="FDR20" s="292"/>
      <c r="FDS20" s="292"/>
      <c r="FDT20" s="292"/>
      <c r="FDU20" s="292"/>
      <c r="FDV20" s="292"/>
      <c r="FDW20" s="292"/>
      <c r="FDX20" s="292"/>
      <c r="FDY20" s="292"/>
      <c r="FDZ20" s="292"/>
      <c r="FEA20" s="292"/>
      <c r="FEB20" s="292"/>
      <c r="FEC20" s="292"/>
      <c r="FED20" s="292"/>
      <c r="FEE20" s="292"/>
      <c r="FEF20" s="292"/>
      <c r="FEG20" s="292"/>
      <c r="FEH20" s="292"/>
      <c r="FEI20" s="292"/>
      <c r="FEJ20" s="292"/>
      <c r="FEK20" s="292"/>
      <c r="FEL20" s="292"/>
      <c r="FEM20" s="292"/>
      <c r="FEN20" s="292"/>
      <c r="FEO20" s="292"/>
      <c r="FEP20" s="292"/>
      <c r="FEQ20" s="292"/>
      <c r="FER20" s="292"/>
      <c r="FES20" s="292"/>
      <c r="FET20" s="292"/>
      <c r="FEU20" s="292"/>
      <c r="FEV20" s="292"/>
      <c r="FEW20" s="292"/>
      <c r="FEX20" s="292"/>
      <c r="FEY20" s="292"/>
      <c r="FEZ20" s="292"/>
      <c r="FFA20" s="292"/>
      <c r="FFB20" s="292"/>
      <c r="FFC20" s="292"/>
      <c r="FFD20" s="292"/>
      <c r="FFE20" s="292"/>
      <c r="FFF20" s="292"/>
      <c r="FFG20" s="292"/>
      <c r="FFH20" s="292"/>
      <c r="FFI20" s="292"/>
      <c r="FFJ20" s="292"/>
      <c r="FFK20" s="292"/>
      <c r="FFL20" s="292"/>
      <c r="FFM20" s="292"/>
      <c r="FFN20" s="292"/>
      <c r="FFO20" s="292"/>
      <c r="FFP20" s="292"/>
      <c r="FFQ20" s="292"/>
      <c r="FFR20" s="292"/>
      <c r="FFS20" s="292"/>
      <c r="FFT20" s="292"/>
      <c r="FFU20" s="292"/>
      <c r="FFV20" s="292"/>
      <c r="FFW20" s="292"/>
      <c r="FFX20" s="292"/>
      <c r="FFY20" s="292"/>
      <c r="FFZ20" s="292"/>
      <c r="FGA20" s="292"/>
      <c r="FGB20" s="292"/>
      <c r="FGC20" s="292"/>
      <c r="FGD20" s="292"/>
      <c r="FGE20" s="292"/>
      <c r="FGF20" s="292"/>
      <c r="FGG20" s="292"/>
      <c r="FGH20" s="292"/>
      <c r="FGI20" s="292"/>
      <c r="FGJ20" s="292"/>
      <c r="FGK20" s="292"/>
      <c r="FGL20" s="292"/>
      <c r="FGM20" s="292"/>
      <c r="FGN20" s="292"/>
      <c r="FGO20" s="292"/>
      <c r="FGP20" s="292"/>
      <c r="FGQ20" s="292"/>
      <c r="FGR20" s="292"/>
      <c r="FGS20" s="292"/>
      <c r="FGT20" s="292"/>
      <c r="FGU20" s="292"/>
      <c r="FGV20" s="292"/>
      <c r="FGW20" s="292"/>
      <c r="FGX20" s="292"/>
      <c r="FGY20" s="292"/>
      <c r="FGZ20" s="292"/>
      <c r="FHA20" s="292"/>
      <c r="FHB20" s="292"/>
      <c r="FHC20" s="292"/>
      <c r="FHD20" s="292"/>
      <c r="FHE20" s="292"/>
      <c r="FHF20" s="292"/>
      <c r="FHG20" s="292"/>
      <c r="FHH20" s="292"/>
      <c r="FHI20" s="292"/>
      <c r="FHJ20" s="292"/>
      <c r="FHK20" s="292"/>
      <c r="FHL20" s="292"/>
      <c r="FHM20" s="292"/>
      <c r="FHN20" s="292"/>
      <c r="FHO20" s="292"/>
      <c r="FHP20" s="292"/>
      <c r="FHQ20" s="292"/>
      <c r="FHR20" s="292"/>
      <c r="FHS20" s="292"/>
      <c r="FHT20" s="292"/>
      <c r="FHU20" s="292"/>
      <c r="FHV20" s="292"/>
      <c r="FHW20" s="292"/>
      <c r="FHX20" s="292"/>
      <c r="FHY20" s="292"/>
      <c r="FHZ20" s="292"/>
      <c r="FIA20" s="292"/>
      <c r="FIB20" s="292"/>
      <c r="FIC20" s="292"/>
      <c r="FID20" s="292"/>
      <c r="FIE20" s="292"/>
      <c r="FIF20" s="292"/>
      <c r="FIG20" s="292"/>
      <c r="FIH20" s="292"/>
      <c r="FII20" s="292"/>
      <c r="FIJ20" s="292"/>
      <c r="FIK20" s="292"/>
      <c r="FIL20" s="292"/>
      <c r="FIM20" s="292"/>
      <c r="FIN20" s="292"/>
      <c r="FIO20" s="292"/>
      <c r="FIP20" s="292"/>
      <c r="FIQ20" s="292"/>
      <c r="FIR20" s="292"/>
      <c r="FIS20" s="292"/>
      <c r="FIT20" s="292"/>
      <c r="FIU20" s="292"/>
      <c r="FIV20" s="292"/>
      <c r="FIW20" s="292"/>
      <c r="FIX20" s="292"/>
      <c r="FIY20" s="292"/>
      <c r="FIZ20" s="292"/>
      <c r="FJA20" s="292"/>
      <c r="FJB20" s="292"/>
      <c r="FJC20" s="292"/>
      <c r="FJD20" s="292"/>
      <c r="FJE20" s="292"/>
      <c r="FJF20" s="292"/>
      <c r="FJG20" s="292"/>
      <c r="FJH20" s="292"/>
      <c r="FJI20" s="292"/>
      <c r="FJJ20" s="292"/>
      <c r="FJK20" s="292"/>
      <c r="FJL20" s="292"/>
      <c r="FJM20" s="292"/>
      <c r="FJN20" s="292"/>
      <c r="FJO20" s="292"/>
      <c r="FJP20" s="292"/>
      <c r="FJQ20" s="292"/>
      <c r="FJR20" s="292"/>
      <c r="FJS20" s="292"/>
      <c r="FJT20" s="292"/>
      <c r="FJU20" s="292"/>
      <c r="FJV20" s="292"/>
      <c r="FJW20" s="292"/>
      <c r="FJX20" s="292"/>
      <c r="FJY20" s="292"/>
      <c r="FJZ20" s="292"/>
      <c r="FKA20" s="292"/>
      <c r="FKB20" s="292"/>
      <c r="FKC20" s="292"/>
      <c r="FKD20" s="292"/>
      <c r="FKE20" s="292"/>
      <c r="FKF20" s="292"/>
      <c r="FKG20" s="292"/>
      <c r="FKH20" s="292"/>
      <c r="FKI20" s="292"/>
      <c r="FKJ20" s="292"/>
      <c r="FKK20" s="292"/>
      <c r="FKL20" s="292"/>
      <c r="FKM20" s="292"/>
      <c r="FKN20" s="292"/>
      <c r="FKO20" s="292"/>
      <c r="FKP20" s="292"/>
      <c r="FKQ20" s="292"/>
      <c r="FKR20" s="292"/>
      <c r="FKS20" s="292"/>
      <c r="FKT20" s="292"/>
      <c r="FKU20" s="292"/>
      <c r="FKV20" s="292"/>
      <c r="FKW20" s="292"/>
      <c r="FKX20" s="292"/>
      <c r="FKY20" s="292"/>
      <c r="FKZ20" s="292"/>
      <c r="FLA20" s="292"/>
      <c r="FLB20" s="292"/>
      <c r="FLC20" s="292"/>
      <c r="FLD20" s="292"/>
      <c r="FLE20" s="292"/>
      <c r="FLF20" s="292"/>
      <c r="FLG20" s="292"/>
      <c r="FLH20" s="292"/>
      <c r="FLI20" s="292"/>
      <c r="FLJ20" s="292"/>
      <c r="FLK20" s="292"/>
      <c r="FLL20" s="292"/>
      <c r="FLM20" s="292"/>
      <c r="FLN20" s="292"/>
      <c r="FLO20" s="292"/>
      <c r="FLP20" s="292"/>
      <c r="FLQ20" s="292"/>
      <c r="FLR20" s="292"/>
      <c r="FLS20" s="292"/>
      <c r="FLT20" s="292"/>
      <c r="FLU20" s="292"/>
      <c r="FLV20" s="292"/>
      <c r="FLW20" s="292"/>
      <c r="FLX20" s="292"/>
      <c r="FLY20" s="292"/>
      <c r="FLZ20" s="292"/>
      <c r="FMA20" s="292"/>
      <c r="FMB20" s="292"/>
      <c r="FMC20" s="292"/>
      <c r="FMD20" s="292"/>
      <c r="FME20" s="292"/>
      <c r="FMF20" s="292"/>
      <c r="FMG20" s="292"/>
      <c r="FMH20" s="292"/>
      <c r="FMI20" s="292"/>
      <c r="FMJ20" s="292"/>
      <c r="FMK20" s="292"/>
      <c r="FML20" s="292"/>
      <c r="FMM20" s="292"/>
      <c r="FMN20" s="292"/>
      <c r="FMO20" s="292"/>
      <c r="FMP20" s="292"/>
      <c r="FMQ20" s="292"/>
      <c r="FMR20" s="292"/>
      <c r="FMS20" s="292"/>
      <c r="FMT20" s="292"/>
      <c r="FMU20" s="292"/>
      <c r="FMV20" s="292"/>
      <c r="FMW20" s="292"/>
      <c r="FMX20" s="292"/>
      <c r="FMY20" s="292"/>
      <c r="FMZ20" s="292"/>
      <c r="FNA20" s="292"/>
      <c r="FNB20" s="292"/>
      <c r="FNC20" s="292"/>
      <c r="FND20" s="292"/>
      <c r="FNE20" s="292"/>
      <c r="FNF20" s="292"/>
      <c r="FNG20" s="292"/>
      <c r="FNH20" s="292"/>
      <c r="FNI20" s="292"/>
      <c r="FNJ20" s="292"/>
      <c r="FNK20" s="292"/>
      <c r="FNL20" s="292"/>
      <c r="FNM20" s="292"/>
      <c r="FNN20" s="292"/>
      <c r="FNO20" s="292"/>
      <c r="FNP20" s="292"/>
      <c r="FNQ20" s="292"/>
      <c r="FNR20" s="292"/>
      <c r="FNS20" s="292"/>
      <c r="FNT20" s="292"/>
      <c r="FNU20" s="292"/>
      <c r="FNV20" s="292"/>
      <c r="FNW20" s="292"/>
      <c r="FNX20" s="292"/>
      <c r="FNY20" s="292"/>
      <c r="FNZ20" s="292"/>
      <c r="FOA20" s="292"/>
      <c r="FOB20" s="292"/>
      <c r="FOC20" s="292"/>
      <c r="FOD20" s="292"/>
      <c r="FOE20" s="292"/>
      <c r="FOF20" s="292"/>
      <c r="FOG20" s="292"/>
      <c r="FOH20" s="292"/>
      <c r="FOI20" s="292"/>
      <c r="FOJ20" s="292"/>
      <c r="FOK20" s="292"/>
      <c r="FOL20" s="292"/>
      <c r="FOM20" s="292"/>
      <c r="FON20" s="292"/>
      <c r="FOO20" s="292"/>
      <c r="FOP20" s="292"/>
      <c r="FOQ20" s="292"/>
      <c r="FOR20" s="292"/>
      <c r="FOS20" s="292"/>
      <c r="FOT20" s="292"/>
      <c r="FOU20" s="292"/>
      <c r="FOV20" s="292"/>
      <c r="FOW20" s="292"/>
      <c r="FOX20" s="292"/>
      <c r="FOY20" s="292"/>
      <c r="FOZ20" s="292"/>
      <c r="FPA20" s="292"/>
      <c r="FPB20" s="292"/>
      <c r="FPC20" s="292"/>
      <c r="FPD20" s="292"/>
      <c r="FPE20" s="292"/>
      <c r="FPF20" s="292"/>
      <c r="FPG20" s="292"/>
      <c r="FPH20" s="292"/>
      <c r="FPI20" s="292"/>
      <c r="FPJ20" s="292"/>
      <c r="FPK20" s="292"/>
      <c r="FPL20" s="292"/>
      <c r="FPM20" s="292"/>
      <c r="FPN20" s="292"/>
      <c r="FPO20" s="292"/>
      <c r="FPP20" s="292"/>
      <c r="FPQ20" s="292"/>
      <c r="FPR20" s="292"/>
      <c r="FPS20" s="292"/>
      <c r="FPT20" s="292"/>
      <c r="FPU20" s="292"/>
      <c r="FPV20" s="292"/>
      <c r="FPW20" s="292"/>
      <c r="FPX20" s="292"/>
      <c r="FPY20" s="292"/>
      <c r="FPZ20" s="292"/>
      <c r="FQA20" s="292"/>
      <c r="FQB20" s="292"/>
      <c r="FQC20" s="292"/>
      <c r="FQD20" s="292"/>
      <c r="FQE20" s="292"/>
      <c r="FQF20" s="292"/>
      <c r="FQG20" s="292"/>
      <c r="FQH20" s="292"/>
      <c r="FQI20" s="292"/>
      <c r="FQJ20" s="292"/>
      <c r="FQK20" s="292"/>
      <c r="FQL20" s="292"/>
      <c r="FQM20" s="292"/>
      <c r="FQN20" s="292"/>
      <c r="FQO20" s="292"/>
      <c r="FQP20" s="292"/>
      <c r="FQQ20" s="292"/>
      <c r="FQR20" s="292"/>
      <c r="FQS20" s="292"/>
      <c r="FQT20" s="292"/>
      <c r="FQU20" s="292"/>
      <c r="FQV20" s="292"/>
      <c r="FQW20" s="292"/>
      <c r="FQX20" s="292"/>
      <c r="FQY20" s="292"/>
      <c r="FQZ20" s="292"/>
      <c r="FRA20" s="292"/>
      <c r="FRB20" s="292"/>
      <c r="FRC20" s="292"/>
      <c r="FRD20" s="292"/>
      <c r="FRE20" s="292"/>
      <c r="FRF20" s="292"/>
      <c r="FRG20" s="292"/>
      <c r="FRH20" s="292"/>
      <c r="FRI20" s="292"/>
      <c r="FRJ20" s="292"/>
      <c r="FRK20" s="292"/>
      <c r="FRL20" s="292"/>
      <c r="FRM20" s="292"/>
      <c r="FRN20" s="292"/>
      <c r="FRO20" s="292"/>
      <c r="FRP20" s="292"/>
      <c r="FRQ20" s="292"/>
      <c r="FRR20" s="292"/>
      <c r="FRS20" s="292"/>
      <c r="FRT20" s="292"/>
      <c r="FRU20" s="292"/>
      <c r="FRV20" s="292"/>
      <c r="FRW20" s="292"/>
      <c r="FRX20" s="292"/>
      <c r="FRY20" s="292"/>
      <c r="FRZ20" s="292"/>
      <c r="FSA20" s="292"/>
      <c r="FSB20" s="292"/>
      <c r="FSC20" s="292"/>
      <c r="FSD20" s="292"/>
      <c r="FSE20" s="292"/>
      <c r="FSF20" s="292"/>
      <c r="FSG20" s="292"/>
      <c r="FSH20" s="292"/>
      <c r="FSI20" s="292"/>
      <c r="FSJ20" s="292"/>
      <c r="FSK20" s="292"/>
      <c r="FSL20" s="292"/>
      <c r="FSM20" s="292"/>
      <c r="FSN20" s="292"/>
      <c r="FSO20" s="292"/>
      <c r="FSP20" s="292"/>
      <c r="FSQ20" s="292"/>
      <c r="FSR20" s="292"/>
      <c r="FSS20" s="292"/>
      <c r="FST20" s="292"/>
      <c r="FSU20" s="292"/>
      <c r="FSV20" s="292"/>
      <c r="FSW20" s="292"/>
      <c r="FSX20" s="292"/>
      <c r="FSY20" s="292"/>
      <c r="FSZ20" s="292"/>
      <c r="FTA20" s="292"/>
      <c r="FTB20" s="292"/>
      <c r="FTC20" s="292"/>
      <c r="FTD20" s="292"/>
      <c r="FTE20" s="292"/>
      <c r="FTF20" s="292"/>
      <c r="FTG20" s="292"/>
      <c r="FTH20" s="292"/>
      <c r="FTI20" s="292"/>
      <c r="FTJ20" s="292"/>
      <c r="FTK20" s="292"/>
      <c r="FTL20" s="292"/>
      <c r="FTM20" s="292"/>
      <c r="FTN20" s="292"/>
      <c r="FTO20" s="292"/>
      <c r="FTP20" s="292"/>
      <c r="FTQ20" s="292"/>
      <c r="FTR20" s="292"/>
      <c r="FTS20" s="292"/>
      <c r="FTT20" s="292"/>
      <c r="FTU20" s="292"/>
      <c r="FTV20" s="292"/>
      <c r="FTW20" s="292"/>
      <c r="FTX20" s="292"/>
      <c r="FTY20" s="292"/>
      <c r="FTZ20" s="292"/>
      <c r="FUA20" s="292"/>
      <c r="FUB20" s="292"/>
      <c r="FUC20" s="292"/>
      <c r="FUD20" s="292"/>
      <c r="FUE20" s="292"/>
      <c r="FUF20" s="292"/>
      <c r="FUG20" s="292"/>
      <c r="FUH20" s="292"/>
      <c r="FUI20" s="292"/>
      <c r="FUJ20" s="292"/>
      <c r="FUK20" s="292"/>
      <c r="FUL20" s="292"/>
      <c r="FUM20" s="292"/>
      <c r="FUN20" s="292"/>
      <c r="FUO20" s="292"/>
      <c r="FUP20" s="292"/>
      <c r="FUQ20" s="292"/>
      <c r="FUR20" s="292"/>
      <c r="FUS20" s="292"/>
      <c r="FUT20" s="292"/>
      <c r="FUU20" s="292"/>
      <c r="FUV20" s="292"/>
      <c r="FUW20" s="292"/>
      <c r="FUX20" s="292"/>
      <c r="FUY20" s="292"/>
      <c r="FUZ20" s="292"/>
      <c r="FVA20" s="292"/>
      <c r="FVB20" s="292"/>
      <c r="FVC20" s="292"/>
      <c r="FVD20" s="292"/>
      <c r="FVE20" s="292"/>
      <c r="FVF20" s="292"/>
      <c r="FVG20" s="292"/>
      <c r="FVH20" s="292"/>
      <c r="FVI20" s="292"/>
      <c r="FVJ20" s="292"/>
      <c r="FVK20" s="292"/>
      <c r="FVL20" s="292"/>
      <c r="FVM20" s="292"/>
      <c r="FVN20" s="292"/>
      <c r="FVO20" s="292"/>
      <c r="FVP20" s="292"/>
      <c r="FVQ20" s="292"/>
      <c r="FVR20" s="292"/>
      <c r="FVS20" s="292"/>
      <c r="FVT20" s="292"/>
      <c r="FVU20" s="292"/>
      <c r="FVV20" s="292"/>
      <c r="FVW20" s="292"/>
      <c r="FVX20" s="292"/>
      <c r="FVY20" s="292"/>
      <c r="FVZ20" s="292"/>
      <c r="FWA20" s="292"/>
      <c r="FWB20" s="292"/>
      <c r="FWC20" s="292"/>
      <c r="FWD20" s="292"/>
      <c r="FWE20" s="292"/>
      <c r="FWF20" s="292"/>
      <c r="FWG20" s="292"/>
      <c r="FWH20" s="292"/>
      <c r="FWI20" s="292"/>
      <c r="FWJ20" s="292"/>
      <c r="FWK20" s="292"/>
      <c r="FWL20" s="292"/>
      <c r="FWM20" s="292"/>
      <c r="FWN20" s="292"/>
      <c r="FWO20" s="292"/>
      <c r="FWP20" s="292"/>
      <c r="FWQ20" s="292"/>
      <c r="FWR20" s="292"/>
      <c r="FWS20" s="292"/>
      <c r="FWT20" s="292"/>
      <c r="FWU20" s="292"/>
      <c r="FWV20" s="292"/>
      <c r="FWW20" s="292"/>
      <c r="FWX20" s="292"/>
      <c r="FWY20" s="292"/>
      <c r="FWZ20" s="292"/>
      <c r="FXA20" s="292"/>
      <c r="FXB20" s="292"/>
      <c r="FXC20" s="292"/>
      <c r="FXD20" s="292"/>
      <c r="FXE20" s="292"/>
      <c r="FXF20" s="292"/>
      <c r="FXG20" s="292"/>
      <c r="FXH20" s="292"/>
      <c r="FXI20" s="292"/>
      <c r="FXJ20" s="292"/>
      <c r="FXK20" s="292"/>
      <c r="FXL20" s="292"/>
      <c r="FXM20" s="292"/>
      <c r="FXN20" s="292"/>
      <c r="FXO20" s="292"/>
      <c r="FXP20" s="292"/>
      <c r="FXQ20" s="292"/>
      <c r="FXR20" s="292"/>
      <c r="FXS20" s="292"/>
      <c r="FXT20" s="292"/>
      <c r="FXU20" s="292"/>
      <c r="FXV20" s="292"/>
      <c r="FXW20" s="292"/>
      <c r="FXX20" s="292"/>
      <c r="FXY20" s="292"/>
      <c r="FXZ20" s="292"/>
      <c r="FYA20" s="292"/>
      <c r="FYB20" s="292"/>
      <c r="FYC20" s="292"/>
      <c r="FYD20" s="292"/>
      <c r="FYE20" s="292"/>
      <c r="FYF20" s="292"/>
      <c r="FYG20" s="292"/>
      <c r="FYH20" s="292"/>
      <c r="FYI20" s="292"/>
      <c r="FYJ20" s="292"/>
      <c r="FYK20" s="292"/>
      <c r="FYL20" s="292"/>
      <c r="FYM20" s="292"/>
      <c r="FYN20" s="292"/>
      <c r="FYO20" s="292"/>
      <c r="FYP20" s="292"/>
      <c r="FYQ20" s="292"/>
      <c r="FYR20" s="292"/>
      <c r="FYS20" s="292"/>
      <c r="FYT20" s="292"/>
      <c r="FYU20" s="292"/>
      <c r="FYV20" s="292"/>
      <c r="FYW20" s="292"/>
      <c r="FYX20" s="292"/>
      <c r="FYY20" s="292"/>
      <c r="FYZ20" s="292"/>
      <c r="FZA20" s="292"/>
      <c r="FZB20" s="292"/>
      <c r="FZC20" s="292"/>
      <c r="FZD20" s="292"/>
      <c r="FZE20" s="292"/>
      <c r="FZF20" s="292"/>
      <c r="FZG20" s="292"/>
      <c r="FZH20" s="292"/>
      <c r="FZI20" s="292"/>
      <c r="FZJ20" s="292"/>
      <c r="FZK20" s="292"/>
      <c r="FZL20" s="292"/>
      <c r="FZM20" s="292"/>
      <c r="FZN20" s="292"/>
      <c r="FZO20" s="292"/>
      <c r="FZP20" s="292"/>
      <c r="FZQ20" s="292"/>
      <c r="FZR20" s="292"/>
      <c r="FZS20" s="292"/>
      <c r="FZT20" s="292"/>
      <c r="FZU20" s="292"/>
      <c r="FZV20" s="292"/>
      <c r="FZW20" s="292"/>
      <c r="FZX20" s="292"/>
      <c r="FZY20" s="292"/>
      <c r="FZZ20" s="292"/>
      <c r="GAA20" s="292"/>
      <c r="GAB20" s="292"/>
      <c r="GAC20" s="292"/>
      <c r="GAD20" s="292"/>
      <c r="GAE20" s="292"/>
      <c r="GAF20" s="292"/>
      <c r="GAG20" s="292"/>
      <c r="GAH20" s="292"/>
      <c r="GAI20" s="292"/>
      <c r="GAJ20" s="292"/>
      <c r="GAK20" s="292"/>
      <c r="GAL20" s="292"/>
      <c r="GAM20" s="292"/>
      <c r="GAN20" s="292"/>
      <c r="GAO20" s="292"/>
      <c r="GAP20" s="292"/>
      <c r="GAQ20" s="292"/>
      <c r="GAR20" s="292"/>
      <c r="GAS20" s="292"/>
      <c r="GAT20" s="292"/>
      <c r="GAU20" s="292"/>
      <c r="GAV20" s="292"/>
      <c r="GAW20" s="292"/>
      <c r="GAX20" s="292"/>
      <c r="GAY20" s="292"/>
      <c r="GAZ20" s="292"/>
      <c r="GBA20" s="292"/>
      <c r="GBB20" s="292"/>
      <c r="GBC20" s="292"/>
      <c r="GBD20" s="292"/>
      <c r="GBE20" s="292"/>
      <c r="GBF20" s="292"/>
      <c r="GBG20" s="292"/>
      <c r="GBH20" s="292"/>
      <c r="GBI20" s="292"/>
      <c r="GBJ20" s="292"/>
      <c r="GBK20" s="292"/>
      <c r="GBL20" s="292"/>
      <c r="GBM20" s="292"/>
      <c r="GBN20" s="292"/>
      <c r="GBO20" s="292"/>
      <c r="GBP20" s="292"/>
      <c r="GBQ20" s="292"/>
      <c r="GBR20" s="292"/>
      <c r="GBS20" s="292"/>
      <c r="GBT20" s="292"/>
      <c r="GBU20" s="292"/>
      <c r="GBV20" s="292"/>
      <c r="GBW20" s="292"/>
      <c r="GBX20" s="292"/>
      <c r="GBY20" s="292"/>
      <c r="GBZ20" s="292"/>
      <c r="GCA20" s="292"/>
      <c r="GCB20" s="292"/>
      <c r="GCC20" s="292"/>
      <c r="GCD20" s="292"/>
      <c r="GCE20" s="292"/>
      <c r="GCF20" s="292"/>
      <c r="GCG20" s="292"/>
      <c r="GCH20" s="292"/>
      <c r="GCI20" s="292"/>
      <c r="GCJ20" s="292"/>
      <c r="GCK20" s="292"/>
      <c r="GCL20" s="292"/>
      <c r="GCM20" s="292"/>
      <c r="GCN20" s="292"/>
      <c r="GCO20" s="292"/>
      <c r="GCP20" s="292"/>
      <c r="GCQ20" s="292"/>
      <c r="GCR20" s="292"/>
      <c r="GCS20" s="292"/>
      <c r="GCT20" s="292"/>
      <c r="GCU20" s="292"/>
      <c r="GCV20" s="292"/>
      <c r="GCW20" s="292"/>
      <c r="GCX20" s="292"/>
      <c r="GCY20" s="292"/>
      <c r="GCZ20" s="292"/>
      <c r="GDA20" s="292"/>
      <c r="GDB20" s="292"/>
      <c r="GDC20" s="292"/>
      <c r="GDD20" s="292"/>
      <c r="GDE20" s="292"/>
      <c r="GDF20" s="292"/>
      <c r="GDG20" s="292"/>
      <c r="GDH20" s="292"/>
      <c r="GDI20" s="292"/>
      <c r="GDJ20" s="292"/>
      <c r="GDK20" s="292"/>
      <c r="GDL20" s="292"/>
      <c r="GDM20" s="292"/>
      <c r="GDN20" s="292"/>
      <c r="GDO20" s="292"/>
      <c r="GDP20" s="292"/>
      <c r="GDQ20" s="292"/>
      <c r="GDR20" s="292"/>
      <c r="GDS20" s="292"/>
      <c r="GDT20" s="292"/>
      <c r="GDU20" s="292"/>
      <c r="GDV20" s="292"/>
      <c r="GDW20" s="292"/>
      <c r="GDX20" s="292"/>
      <c r="GDY20" s="292"/>
      <c r="GDZ20" s="292"/>
      <c r="GEA20" s="292"/>
      <c r="GEB20" s="292"/>
      <c r="GEC20" s="292"/>
      <c r="GED20" s="292"/>
      <c r="GEE20" s="292"/>
      <c r="GEF20" s="292"/>
      <c r="GEG20" s="292"/>
      <c r="GEH20" s="292"/>
      <c r="GEI20" s="292"/>
      <c r="GEJ20" s="292"/>
      <c r="GEK20" s="292"/>
      <c r="GEL20" s="292"/>
      <c r="GEM20" s="292"/>
      <c r="GEN20" s="292"/>
      <c r="GEO20" s="292"/>
      <c r="GEP20" s="292"/>
      <c r="GEQ20" s="292"/>
      <c r="GER20" s="292"/>
      <c r="GES20" s="292"/>
      <c r="GET20" s="292"/>
      <c r="GEU20" s="292"/>
      <c r="GEV20" s="292"/>
      <c r="GEW20" s="292"/>
      <c r="GEX20" s="292"/>
      <c r="GEY20" s="292"/>
      <c r="GEZ20" s="292"/>
      <c r="GFA20" s="292"/>
      <c r="GFB20" s="292"/>
      <c r="GFC20" s="292"/>
      <c r="GFD20" s="292"/>
      <c r="GFE20" s="292"/>
      <c r="GFF20" s="292"/>
      <c r="GFG20" s="292"/>
      <c r="GFH20" s="292"/>
      <c r="GFI20" s="292"/>
      <c r="GFJ20" s="292"/>
      <c r="GFK20" s="292"/>
      <c r="GFL20" s="292"/>
      <c r="GFM20" s="292"/>
      <c r="GFN20" s="292"/>
      <c r="GFO20" s="292"/>
      <c r="GFP20" s="292"/>
      <c r="GFQ20" s="292"/>
      <c r="GFR20" s="292"/>
      <c r="GFS20" s="292"/>
      <c r="GFT20" s="292"/>
      <c r="GFU20" s="292"/>
      <c r="GFV20" s="292"/>
      <c r="GFW20" s="292"/>
      <c r="GFX20" s="292"/>
      <c r="GFY20" s="292"/>
      <c r="GFZ20" s="292"/>
      <c r="GGA20" s="292"/>
      <c r="GGB20" s="292"/>
      <c r="GGC20" s="292"/>
      <c r="GGD20" s="292"/>
      <c r="GGE20" s="292"/>
      <c r="GGF20" s="292"/>
      <c r="GGG20" s="292"/>
      <c r="GGH20" s="292"/>
      <c r="GGI20" s="292"/>
      <c r="GGJ20" s="292"/>
      <c r="GGK20" s="292"/>
      <c r="GGL20" s="292"/>
      <c r="GGM20" s="292"/>
      <c r="GGN20" s="292"/>
      <c r="GGO20" s="292"/>
      <c r="GGP20" s="292"/>
      <c r="GGQ20" s="292"/>
      <c r="GGR20" s="292"/>
      <c r="GGS20" s="292"/>
      <c r="GGT20" s="292"/>
      <c r="GGU20" s="292"/>
      <c r="GGV20" s="292"/>
      <c r="GGW20" s="292"/>
      <c r="GGX20" s="292"/>
      <c r="GGY20" s="292"/>
      <c r="GGZ20" s="292"/>
      <c r="GHA20" s="292"/>
      <c r="GHB20" s="292"/>
      <c r="GHC20" s="292"/>
      <c r="GHD20" s="292"/>
      <c r="GHE20" s="292"/>
      <c r="GHF20" s="292"/>
      <c r="GHG20" s="292"/>
      <c r="GHH20" s="292"/>
      <c r="GHI20" s="292"/>
      <c r="GHJ20" s="292"/>
      <c r="GHK20" s="292"/>
      <c r="GHL20" s="292"/>
      <c r="GHM20" s="292"/>
      <c r="GHN20" s="292"/>
      <c r="GHO20" s="292"/>
      <c r="GHP20" s="292"/>
      <c r="GHQ20" s="292"/>
      <c r="GHR20" s="292"/>
      <c r="GHS20" s="292"/>
      <c r="GHT20" s="292"/>
      <c r="GHU20" s="292"/>
      <c r="GHV20" s="292"/>
      <c r="GHW20" s="292"/>
      <c r="GHX20" s="292"/>
      <c r="GHY20" s="292"/>
      <c r="GHZ20" s="292"/>
      <c r="GIA20" s="292"/>
      <c r="GIB20" s="292"/>
      <c r="GIC20" s="292"/>
      <c r="GID20" s="292"/>
      <c r="GIE20" s="292"/>
      <c r="GIF20" s="292"/>
      <c r="GIG20" s="292"/>
      <c r="GIH20" s="292"/>
      <c r="GII20" s="292"/>
      <c r="GIJ20" s="292"/>
      <c r="GIK20" s="292"/>
      <c r="GIL20" s="292"/>
      <c r="GIM20" s="292"/>
      <c r="GIN20" s="292"/>
      <c r="GIO20" s="292"/>
      <c r="GIP20" s="292"/>
      <c r="GIQ20" s="292"/>
      <c r="GIR20" s="292"/>
      <c r="GIS20" s="292"/>
      <c r="GIT20" s="292"/>
      <c r="GIU20" s="292"/>
      <c r="GIV20" s="292"/>
      <c r="GIW20" s="292"/>
      <c r="GIX20" s="292"/>
      <c r="GIY20" s="292"/>
      <c r="GIZ20" s="292"/>
      <c r="GJA20" s="292"/>
      <c r="GJB20" s="292"/>
      <c r="GJC20" s="292"/>
      <c r="GJD20" s="292"/>
      <c r="GJE20" s="292"/>
      <c r="GJF20" s="292"/>
      <c r="GJG20" s="292"/>
      <c r="GJH20" s="292"/>
      <c r="GJI20" s="292"/>
      <c r="GJJ20" s="292"/>
      <c r="GJK20" s="292"/>
      <c r="GJL20" s="292"/>
      <c r="GJM20" s="292"/>
      <c r="GJN20" s="292"/>
      <c r="GJO20" s="292"/>
      <c r="GJP20" s="292"/>
      <c r="GJQ20" s="292"/>
      <c r="GJR20" s="292"/>
      <c r="GJS20" s="292"/>
      <c r="GJT20" s="292"/>
      <c r="GJU20" s="292"/>
      <c r="GJV20" s="292"/>
      <c r="GJW20" s="292"/>
      <c r="GJX20" s="292"/>
      <c r="GJY20" s="292"/>
      <c r="GJZ20" s="292"/>
      <c r="GKA20" s="292"/>
      <c r="GKB20" s="292"/>
      <c r="GKC20" s="292"/>
      <c r="GKD20" s="292"/>
      <c r="GKE20" s="292"/>
      <c r="GKF20" s="292"/>
      <c r="GKG20" s="292"/>
      <c r="GKH20" s="292"/>
      <c r="GKI20" s="292"/>
      <c r="GKJ20" s="292"/>
      <c r="GKK20" s="292"/>
      <c r="GKL20" s="292"/>
      <c r="GKM20" s="292"/>
      <c r="GKN20" s="292"/>
      <c r="GKO20" s="292"/>
      <c r="GKP20" s="292"/>
      <c r="GKQ20" s="292"/>
      <c r="GKR20" s="292"/>
      <c r="GKS20" s="292"/>
      <c r="GKT20" s="292"/>
      <c r="GKU20" s="292"/>
      <c r="GKV20" s="292"/>
      <c r="GKW20" s="292"/>
      <c r="GKX20" s="292"/>
      <c r="GKY20" s="292"/>
      <c r="GKZ20" s="292"/>
      <c r="GLA20" s="292"/>
      <c r="GLB20" s="292"/>
      <c r="GLC20" s="292"/>
      <c r="GLD20" s="292"/>
      <c r="GLE20" s="292"/>
      <c r="GLF20" s="292"/>
      <c r="GLG20" s="292"/>
      <c r="GLH20" s="292"/>
      <c r="GLI20" s="292"/>
      <c r="GLJ20" s="292"/>
      <c r="GLK20" s="292"/>
      <c r="GLL20" s="292"/>
      <c r="GLM20" s="292"/>
      <c r="GLN20" s="292"/>
      <c r="GLO20" s="292"/>
      <c r="GLP20" s="292"/>
      <c r="GLQ20" s="292"/>
      <c r="GLR20" s="292"/>
      <c r="GLS20" s="292"/>
      <c r="GLT20" s="292"/>
      <c r="GLU20" s="292"/>
      <c r="GLV20" s="292"/>
      <c r="GLW20" s="292"/>
      <c r="GLX20" s="292"/>
      <c r="GLY20" s="292"/>
      <c r="GLZ20" s="292"/>
      <c r="GMA20" s="292"/>
      <c r="GMB20" s="292"/>
      <c r="GMC20" s="292"/>
      <c r="GMD20" s="292"/>
      <c r="GME20" s="292"/>
      <c r="GMF20" s="292"/>
      <c r="GMG20" s="292"/>
      <c r="GMH20" s="292"/>
      <c r="GMI20" s="292"/>
      <c r="GMJ20" s="292"/>
      <c r="GMK20" s="292"/>
      <c r="GML20" s="292"/>
      <c r="GMM20" s="292"/>
      <c r="GMN20" s="292"/>
      <c r="GMO20" s="292"/>
      <c r="GMP20" s="292"/>
      <c r="GMQ20" s="292"/>
      <c r="GMR20" s="292"/>
      <c r="GMS20" s="292"/>
      <c r="GMT20" s="292"/>
      <c r="GMU20" s="292"/>
      <c r="GMV20" s="292"/>
      <c r="GMW20" s="292"/>
      <c r="GMX20" s="292"/>
      <c r="GMY20" s="292"/>
      <c r="GMZ20" s="292"/>
      <c r="GNA20" s="292"/>
      <c r="GNB20" s="292"/>
      <c r="GNC20" s="292"/>
      <c r="GND20" s="292"/>
      <c r="GNE20" s="292"/>
      <c r="GNF20" s="292"/>
      <c r="GNG20" s="292"/>
      <c r="GNH20" s="292"/>
      <c r="GNI20" s="292"/>
      <c r="GNJ20" s="292"/>
      <c r="GNK20" s="292"/>
      <c r="GNL20" s="292"/>
      <c r="GNM20" s="292"/>
      <c r="GNN20" s="292"/>
      <c r="GNO20" s="292"/>
      <c r="GNP20" s="292"/>
      <c r="GNQ20" s="292"/>
      <c r="GNR20" s="292"/>
      <c r="GNS20" s="292"/>
      <c r="GNT20" s="292"/>
      <c r="GNU20" s="292"/>
      <c r="GNV20" s="292"/>
      <c r="GNW20" s="292"/>
      <c r="GNX20" s="292"/>
      <c r="GNY20" s="292"/>
      <c r="GNZ20" s="292"/>
      <c r="GOA20" s="292"/>
      <c r="GOB20" s="292"/>
      <c r="GOC20" s="292"/>
      <c r="GOD20" s="292"/>
      <c r="GOE20" s="292"/>
      <c r="GOF20" s="292"/>
      <c r="GOG20" s="292"/>
      <c r="GOH20" s="292"/>
      <c r="GOI20" s="292"/>
      <c r="GOJ20" s="292"/>
      <c r="GOK20" s="292"/>
      <c r="GOL20" s="292"/>
      <c r="GOM20" s="292"/>
      <c r="GON20" s="292"/>
      <c r="GOO20" s="292"/>
      <c r="GOP20" s="292"/>
      <c r="GOQ20" s="292"/>
      <c r="GOR20" s="292"/>
      <c r="GOS20" s="292"/>
      <c r="GOT20" s="292"/>
      <c r="GOU20" s="292"/>
      <c r="GOV20" s="292"/>
      <c r="GOW20" s="292"/>
      <c r="GOX20" s="292"/>
      <c r="GOY20" s="292"/>
      <c r="GOZ20" s="292"/>
      <c r="GPA20" s="292"/>
      <c r="GPB20" s="292"/>
      <c r="GPC20" s="292"/>
      <c r="GPD20" s="292"/>
      <c r="GPE20" s="292"/>
      <c r="GPF20" s="292"/>
      <c r="GPG20" s="292"/>
      <c r="GPH20" s="292"/>
      <c r="GPI20" s="292"/>
      <c r="GPJ20" s="292"/>
      <c r="GPK20" s="292"/>
      <c r="GPL20" s="292"/>
      <c r="GPM20" s="292"/>
      <c r="GPN20" s="292"/>
      <c r="GPO20" s="292"/>
      <c r="GPP20" s="292"/>
      <c r="GPQ20" s="292"/>
      <c r="GPR20" s="292"/>
      <c r="GPS20" s="292"/>
      <c r="GPT20" s="292"/>
      <c r="GPU20" s="292"/>
      <c r="GPV20" s="292"/>
      <c r="GPW20" s="292"/>
      <c r="GPX20" s="292"/>
      <c r="GPY20" s="292"/>
      <c r="GPZ20" s="292"/>
      <c r="GQA20" s="292"/>
      <c r="GQB20" s="292"/>
      <c r="GQC20" s="292"/>
      <c r="GQD20" s="292"/>
      <c r="GQE20" s="292"/>
      <c r="GQF20" s="292"/>
      <c r="GQG20" s="292"/>
      <c r="GQH20" s="292"/>
      <c r="GQI20" s="292"/>
      <c r="GQJ20" s="292"/>
      <c r="GQK20" s="292"/>
      <c r="GQL20" s="292"/>
      <c r="GQM20" s="292"/>
      <c r="GQN20" s="292"/>
      <c r="GQO20" s="292"/>
      <c r="GQP20" s="292"/>
      <c r="GQQ20" s="292"/>
      <c r="GQR20" s="292"/>
      <c r="GQS20" s="292"/>
      <c r="GQT20" s="292"/>
      <c r="GQU20" s="292"/>
      <c r="GQV20" s="292"/>
      <c r="GQW20" s="292"/>
      <c r="GQX20" s="292"/>
      <c r="GQY20" s="292"/>
      <c r="GQZ20" s="292"/>
      <c r="GRA20" s="292"/>
      <c r="GRB20" s="292"/>
      <c r="GRC20" s="292"/>
      <c r="GRD20" s="292"/>
      <c r="GRE20" s="292"/>
      <c r="GRF20" s="292"/>
      <c r="GRG20" s="292"/>
      <c r="GRH20" s="292"/>
      <c r="GRI20" s="292"/>
      <c r="GRJ20" s="292"/>
      <c r="GRK20" s="292"/>
      <c r="GRL20" s="292"/>
      <c r="GRM20" s="292"/>
      <c r="GRN20" s="292"/>
      <c r="GRO20" s="292"/>
      <c r="GRP20" s="292"/>
      <c r="GRQ20" s="292"/>
      <c r="GRR20" s="292"/>
      <c r="GRS20" s="292"/>
      <c r="GRT20" s="292"/>
      <c r="GRU20" s="292"/>
      <c r="GRV20" s="292"/>
      <c r="GRW20" s="292"/>
      <c r="GRX20" s="292"/>
      <c r="GRY20" s="292"/>
      <c r="GRZ20" s="292"/>
      <c r="GSA20" s="292"/>
      <c r="GSB20" s="292"/>
      <c r="GSC20" s="292"/>
      <c r="GSD20" s="292"/>
      <c r="GSE20" s="292"/>
      <c r="GSF20" s="292"/>
      <c r="GSG20" s="292"/>
      <c r="GSH20" s="292"/>
      <c r="GSI20" s="292"/>
      <c r="GSJ20" s="292"/>
      <c r="GSK20" s="292"/>
      <c r="GSL20" s="292"/>
      <c r="GSM20" s="292"/>
      <c r="GSN20" s="292"/>
      <c r="GSO20" s="292"/>
      <c r="GSP20" s="292"/>
      <c r="GSQ20" s="292"/>
      <c r="GSR20" s="292"/>
      <c r="GSS20" s="292"/>
      <c r="GST20" s="292"/>
      <c r="GSU20" s="292"/>
      <c r="GSV20" s="292"/>
      <c r="GSW20" s="292"/>
      <c r="GSX20" s="292"/>
      <c r="GSY20" s="292"/>
      <c r="GSZ20" s="292"/>
      <c r="GTA20" s="292"/>
      <c r="GTB20" s="292"/>
      <c r="GTC20" s="292"/>
      <c r="GTD20" s="292"/>
      <c r="GTE20" s="292"/>
      <c r="GTF20" s="292"/>
      <c r="GTG20" s="292"/>
      <c r="GTH20" s="292"/>
      <c r="GTI20" s="292"/>
      <c r="GTJ20" s="292"/>
      <c r="GTK20" s="292"/>
      <c r="GTL20" s="292"/>
      <c r="GTM20" s="292"/>
      <c r="GTN20" s="292"/>
      <c r="GTO20" s="292"/>
      <c r="GTP20" s="292"/>
      <c r="GTQ20" s="292"/>
      <c r="GTR20" s="292"/>
      <c r="GTS20" s="292"/>
      <c r="GTT20" s="292"/>
      <c r="GTU20" s="292"/>
      <c r="GTV20" s="292"/>
      <c r="GTW20" s="292"/>
      <c r="GTX20" s="292"/>
      <c r="GTY20" s="292"/>
      <c r="GTZ20" s="292"/>
      <c r="GUA20" s="292"/>
      <c r="GUB20" s="292"/>
      <c r="GUC20" s="292"/>
      <c r="GUD20" s="292"/>
      <c r="GUE20" s="292"/>
      <c r="GUF20" s="292"/>
      <c r="GUG20" s="292"/>
      <c r="GUH20" s="292"/>
      <c r="GUI20" s="292"/>
      <c r="GUJ20" s="292"/>
      <c r="GUK20" s="292"/>
      <c r="GUL20" s="292"/>
      <c r="GUM20" s="292"/>
      <c r="GUN20" s="292"/>
      <c r="GUO20" s="292"/>
      <c r="GUP20" s="292"/>
      <c r="GUQ20" s="292"/>
      <c r="GUR20" s="292"/>
      <c r="GUS20" s="292"/>
      <c r="GUT20" s="292"/>
      <c r="GUU20" s="292"/>
      <c r="GUV20" s="292"/>
      <c r="GUW20" s="292"/>
      <c r="GUX20" s="292"/>
      <c r="GUY20" s="292"/>
      <c r="GUZ20" s="292"/>
      <c r="GVA20" s="292"/>
      <c r="GVB20" s="292"/>
      <c r="GVC20" s="292"/>
      <c r="GVD20" s="292"/>
      <c r="GVE20" s="292"/>
      <c r="GVF20" s="292"/>
      <c r="GVG20" s="292"/>
      <c r="GVH20" s="292"/>
      <c r="GVI20" s="292"/>
      <c r="GVJ20" s="292"/>
      <c r="GVK20" s="292"/>
      <c r="GVL20" s="292"/>
      <c r="GVM20" s="292"/>
      <c r="GVN20" s="292"/>
      <c r="GVO20" s="292"/>
      <c r="GVP20" s="292"/>
      <c r="GVQ20" s="292"/>
      <c r="GVR20" s="292"/>
      <c r="GVS20" s="292"/>
      <c r="GVT20" s="292"/>
      <c r="GVU20" s="292"/>
      <c r="GVV20" s="292"/>
      <c r="GVW20" s="292"/>
      <c r="GVX20" s="292"/>
      <c r="GVY20" s="292"/>
      <c r="GVZ20" s="292"/>
      <c r="GWA20" s="292"/>
      <c r="GWB20" s="292"/>
      <c r="GWC20" s="292"/>
      <c r="GWD20" s="292"/>
      <c r="GWE20" s="292"/>
      <c r="GWF20" s="292"/>
      <c r="GWG20" s="292"/>
      <c r="GWH20" s="292"/>
      <c r="GWI20" s="292"/>
      <c r="GWJ20" s="292"/>
      <c r="GWK20" s="292"/>
      <c r="GWL20" s="292"/>
      <c r="GWM20" s="292"/>
      <c r="GWN20" s="292"/>
      <c r="GWO20" s="292"/>
      <c r="GWP20" s="292"/>
      <c r="GWQ20" s="292"/>
      <c r="GWR20" s="292"/>
      <c r="GWS20" s="292"/>
      <c r="GWT20" s="292"/>
      <c r="GWU20" s="292"/>
      <c r="GWV20" s="292"/>
      <c r="GWW20" s="292"/>
      <c r="GWX20" s="292"/>
      <c r="GWY20" s="292"/>
      <c r="GWZ20" s="292"/>
      <c r="GXA20" s="292"/>
      <c r="GXB20" s="292"/>
      <c r="GXC20" s="292"/>
      <c r="GXD20" s="292"/>
      <c r="GXE20" s="292"/>
      <c r="GXF20" s="292"/>
      <c r="GXG20" s="292"/>
      <c r="GXH20" s="292"/>
      <c r="GXI20" s="292"/>
      <c r="GXJ20" s="292"/>
      <c r="GXK20" s="292"/>
      <c r="GXL20" s="292"/>
      <c r="GXM20" s="292"/>
      <c r="GXN20" s="292"/>
      <c r="GXO20" s="292"/>
      <c r="GXP20" s="292"/>
      <c r="GXQ20" s="292"/>
      <c r="GXR20" s="292"/>
      <c r="GXS20" s="292"/>
      <c r="GXT20" s="292"/>
      <c r="GXU20" s="292"/>
      <c r="GXV20" s="292"/>
      <c r="GXW20" s="292"/>
      <c r="GXX20" s="292"/>
      <c r="GXY20" s="292"/>
      <c r="GXZ20" s="292"/>
      <c r="GYA20" s="292"/>
      <c r="GYB20" s="292"/>
      <c r="GYC20" s="292"/>
      <c r="GYD20" s="292"/>
      <c r="GYE20" s="292"/>
      <c r="GYF20" s="292"/>
      <c r="GYG20" s="292"/>
      <c r="GYH20" s="292"/>
      <c r="GYI20" s="292"/>
      <c r="GYJ20" s="292"/>
      <c r="GYK20" s="292"/>
      <c r="GYL20" s="292"/>
      <c r="GYM20" s="292"/>
      <c r="GYN20" s="292"/>
      <c r="GYO20" s="292"/>
      <c r="GYP20" s="292"/>
      <c r="GYQ20" s="292"/>
      <c r="GYR20" s="292"/>
      <c r="GYS20" s="292"/>
      <c r="GYT20" s="292"/>
      <c r="GYU20" s="292"/>
      <c r="GYV20" s="292"/>
      <c r="GYW20" s="292"/>
      <c r="GYX20" s="292"/>
      <c r="GYY20" s="292"/>
      <c r="GYZ20" s="292"/>
      <c r="GZA20" s="292"/>
      <c r="GZB20" s="292"/>
      <c r="GZC20" s="292"/>
      <c r="GZD20" s="292"/>
      <c r="GZE20" s="292"/>
      <c r="GZF20" s="292"/>
      <c r="GZG20" s="292"/>
      <c r="GZH20" s="292"/>
      <c r="GZI20" s="292"/>
      <c r="GZJ20" s="292"/>
      <c r="GZK20" s="292"/>
      <c r="GZL20" s="292"/>
      <c r="GZM20" s="292"/>
      <c r="GZN20" s="292"/>
      <c r="GZO20" s="292"/>
      <c r="GZP20" s="292"/>
      <c r="GZQ20" s="292"/>
      <c r="GZR20" s="292"/>
      <c r="GZS20" s="292"/>
      <c r="GZT20" s="292"/>
      <c r="GZU20" s="292"/>
      <c r="GZV20" s="292"/>
      <c r="GZW20" s="292"/>
      <c r="GZX20" s="292"/>
      <c r="GZY20" s="292"/>
      <c r="GZZ20" s="292"/>
      <c r="HAA20" s="292"/>
      <c r="HAB20" s="292"/>
      <c r="HAC20" s="292"/>
      <c r="HAD20" s="292"/>
      <c r="HAE20" s="292"/>
      <c r="HAF20" s="292"/>
      <c r="HAG20" s="292"/>
      <c r="HAH20" s="292"/>
      <c r="HAI20" s="292"/>
      <c r="HAJ20" s="292"/>
      <c r="HAK20" s="292"/>
      <c r="HAL20" s="292"/>
      <c r="HAM20" s="292"/>
      <c r="HAN20" s="292"/>
      <c r="HAO20" s="292"/>
      <c r="HAP20" s="292"/>
      <c r="HAQ20" s="292"/>
      <c r="HAR20" s="292"/>
      <c r="HAS20" s="292"/>
      <c r="HAT20" s="292"/>
      <c r="HAU20" s="292"/>
      <c r="HAV20" s="292"/>
      <c r="HAW20" s="292"/>
      <c r="HAX20" s="292"/>
      <c r="HAY20" s="292"/>
      <c r="HAZ20" s="292"/>
      <c r="HBA20" s="292"/>
      <c r="HBB20" s="292"/>
      <c r="HBC20" s="292"/>
      <c r="HBD20" s="292"/>
      <c r="HBE20" s="292"/>
      <c r="HBF20" s="292"/>
      <c r="HBG20" s="292"/>
      <c r="HBH20" s="292"/>
      <c r="HBI20" s="292"/>
      <c r="HBJ20" s="292"/>
      <c r="HBK20" s="292"/>
      <c r="HBL20" s="292"/>
      <c r="HBM20" s="292"/>
      <c r="HBN20" s="292"/>
      <c r="HBO20" s="292"/>
      <c r="HBP20" s="292"/>
      <c r="HBQ20" s="292"/>
      <c r="HBR20" s="292"/>
      <c r="HBS20" s="292"/>
      <c r="HBT20" s="292"/>
      <c r="HBU20" s="292"/>
      <c r="HBV20" s="292"/>
      <c r="HBW20" s="292"/>
      <c r="HBX20" s="292"/>
      <c r="HBY20" s="292"/>
      <c r="HBZ20" s="292"/>
      <c r="HCA20" s="292"/>
      <c r="HCB20" s="292"/>
      <c r="HCC20" s="292"/>
      <c r="HCD20" s="292"/>
      <c r="HCE20" s="292"/>
      <c r="HCF20" s="292"/>
      <c r="HCG20" s="292"/>
      <c r="HCH20" s="292"/>
      <c r="HCI20" s="292"/>
      <c r="HCJ20" s="292"/>
      <c r="HCK20" s="292"/>
      <c r="HCL20" s="292"/>
      <c r="HCM20" s="292"/>
      <c r="HCN20" s="292"/>
      <c r="HCO20" s="292"/>
      <c r="HCP20" s="292"/>
      <c r="HCQ20" s="292"/>
      <c r="HCR20" s="292"/>
      <c r="HCS20" s="292"/>
      <c r="HCT20" s="292"/>
      <c r="HCU20" s="292"/>
      <c r="HCV20" s="292"/>
      <c r="HCW20" s="292"/>
      <c r="HCX20" s="292"/>
      <c r="HCY20" s="292"/>
      <c r="HCZ20" s="292"/>
      <c r="HDA20" s="292"/>
      <c r="HDB20" s="292"/>
      <c r="HDC20" s="292"/>
      <c r="HDD20" s="292"/>
      <c r="HDE20" s="292"/>
      <c r="HDF20" s="292"/>
      <c r="HDG20" s="292"/>
      <c r="HDH20" s="292"/>
      <c r="HDI20" s="292"/>
      <c r="HDJ20" s="292"/>
      <c r="HDK20" s="292"/>
      <c r="HDL20" s="292"/>
      <c r="HDM20" s="292"/>
      <c r="HDN20" s="292"/>
      <c r="HDO20" s="292"/>
      <c r="HDP20" s="292"/>
      <c r="HDQ20" s="292"/>
      <c r="HDR20" s="292"/>
      <c r="HDS20" s="292"/>
      <c r="HDT20" s="292"/>
      <c r="HDU20" s="292"/>
      <c r="HDV20" s="292"/>
      <c r="HDW20" s="292"/>
      <c r="HDX20" s="292"/>
      <c r="HDY20" s="292"/>
      <c r="HDZ20" s="292"/>
      <c r="HEA20" s="292"/>
      <c r="HEB20" s="292"/>
      <c r="HEC20" s="292"/>
      <c r="HED20" s="292"/>
      <c r="HEE20" s="292"/>
      <c r="HEF20" s="292"/>
      <c r="HEG20" s="292"/>
      <c r="HEH20" s="292"/>
      <c r="HEI20" s="292"/>
      <c r="HEJ20" s="292"/>
      <c r="HEK20" s="292"/>
      <c r="HEL20" s="292"/>
      <c r="HEM20" s="292"/>
      <c r="HEN20" s="292"/>
      <c r="HEO20" s="292"/>
      <c r="HEP20" s="292"/>
      <c r="HEQ20" s="292"/>
      <c r="HER20" s="292"/>
      <c r="HES20" s="292"/>
      <c r="HET20" s="292"/>
      <c r="HEU20" s="292"/>
      <c r="HEV20" s="292"/>
      <c r="HEW20" s="292"/>
      <c r="HEX20" s="292"/>
      <c r="HEY20" s="292"/>
      <c r="HEZ20" s="292"/>
      <c r="HFA20" s="292"/>
      <c r="HFB20" s="292"/>
      <c r="HFC20" s="292"/>
      <c r="HFD20" s="292"/>
      <c r="HFE20" s="292"/>
      <c r="HFF20" s="292"/>
      <c r="HFG20" s="292"/>
      <c r="HFH20" s="292"/>
      <c r="HFI20" s="292"/>
      <c r="HFJ20" s="292"/>
      <c r="HFK20" s="292"/>
      <c r="HFL20" s="292"/>
      <c r="HFM20" s="292"/>
      <c r="HFN20" s="292"/>
      <c r="HFO20" s="292"/>
      <c r="HFP20" s="292"/>
      <c r="HFQ20" s="292"/>
      <c r="HFR20" s="292"/>
      <c r="HFS20" s="292"/>
      <c r="HFT20" s="292"/>
      <c r="HFU20" s="292"/>
      <c r="HFV20" s="292"/>
      <c r="HFW20" s="292"/>
      <c r="HFX20" s="292"/>
      <c r="HFY20" s="292"/>
      <c r="HFZ20" s="292"/>
      <c r="HGA20" s="292"/>
      <c r="HGB20" s="292"/>
      <c r="HGC20" s="292"/>
      <c r="HGD20" s="292"/>
      <c r="HGE20" s="292"/>
      <c r="HGF20" s="292"/>
      <c r="HGG20" s="292"/>
      <c r="HGH20" s="292"/>
      <c r="HGI20" s="292"/>
      <c r="HGJ20" s="292"/>
      <c r="HGK20" s="292"/>
      <c r="HGL20" s="292"/>
      <c r="HGM20" s="292"/>
      <c r="HGN20" s="292"/>
      <c r="HGO20" s="292"/>
      <c r="HGP20" s="292"/>
      <c r="HGQ20" s="292"/>
      <c r="HGR20" s="292"/>
      <c r="HGS20" s="292"/>
      <c r="HGT20" s="292"/>
      <c r="HGU20" s="292"/>
      <c r="HGV20" s="292"/>
      <c r="HGW20" s="292"/>
      <c r="HGX20" s="292"/>
      <c r="HGY20" s="292"/>
      <c r="HGZ20" s="292"/>
      <c r="HHA20" s="292"/>
      <c r="HHB20" s="292"/>
      <c r="HHC20" s="292"/>
      <c r="HHD20" s="292"/>
      <c r="HHE20" s="292"/>
      <c r="HHF20" s="292"/>
      <c r="HHG20" s="292"/>
      <c r="HHH20" s="292"/>
      <c r="HHI20" s="292"/>
      <c r="HHJ20" s="292"/>
      <c r="HHK20" s="292"/>
      <c r="HHL20" s="292"/>
      <c r="HHM20" s="292"/>
      <c r="HHN20" s="292"/>
      <c r="HHO20" s="292"/>
      <c r="HHP20" s="292"/>
      <c r="HHQ20" s="292"/>
      <c r="HHR20" s="292"/>
      <c r="HHS20" s="292"/>
      <c r="HHT20" s="292"/>
      <c r="HHU20" s="292"/>
      <c r="HHV20" s="292"/>
      <c r="HHW20" s="292"/>
      <c r="HHX20" s="292"/>
      <c r="HHY20" s="292"/>
      <c r="HHZ20" s="292"/>
      <c r="HIA20" s="292"/>
      <c r="HIB20" s="292"/>
      <c r="HIC20" s="292"/>
      <c r="HID20" s="292"/>
      <c r="HIE20" s="292"/>
      <c r="HIF20" s="292"/>
      <c r="HIG20" s="292"/>
      <c r="HIH20" s="292"/>
      <c r="HII20" s="292"/>
      <c r="HIJ20" s="292"/>
      <c r="HIK20" s="292"/>
      <c r="HIL20" s="292"/>
      <c r="HIM20" s="292"/>
      <c r="HIN20" s="292"/>
      <c r="HIO20" s="292"/>
      <c r="HIP20" s="292"/>
      <c r="HIQ20" s="292"/>
      <c r="HIR20" s="292"/>
      <c r="HIS20" s="292"/>
      <c r="HIT20" s="292"/>
      <c r="HIU20" s="292"/>
      <c r="HIV20" s="292"/>
      <c r="HIW20" s="292"/>
      <c r="HIX20" s="292"/>
      <c r="HIY20" s="292"/>
      <c r="HIZ20" s="292"/>
      <c r="HJA20" s="292"/>
      <c r="HJB20" s="292"/>
      <c r="HJC20" s="292"/>
      <c r="HJD20" s="292"/>
      <c r="HJE20" s="292"/>
      <c r="HJF20" s="292"/>
      <c r="HJG20" s="292"/>
      <c r="HJH20" s="292"/>
      <c r="HJI20" s="292"/>
      <c r="HJJ20" s="292"/>
      <c r="HJK20" s="292"/>
      <c r="HJL20" s="292"/>
      <c r="HJM20" s="292"/>
      <c r="HJN20" s="292"/>
      <c r="HJO20" s="292"/>
      <c r="HJP20" s="292"/>
      <c r="HJQ20" s="292"/>
      <c r="HJR20" s="292"/>
      <c r="HJS20" s="292"/>
      <c r="HJT20" s="292"/>
      <c r="HJU20" s="292"/>
      <c r="HJV20" s="292"/>
      <c r="HJW20" s="292"/>
      <c r="HJX20" s="292"/>
      <c r="HJY20" s="292"/>
      <c r="HJZ20" s="292"/>
      <c r="HKA20" s="292"/>
      <c r="HKB20" s="292"/>
      <c r="HKC20" s="292"/>
      <c r="HKD20" s="292"/>
      <c r="HKE20" s="292"/>
      <c r="HKF20" s="292"/>
      <c r="HKG20" s="292"/>
      <c r="HKH20" s="292"/>
      <c r="HKI20" s="292"/>
      <c r="HKJ20" s="292"/>
      <c r="HKK20" s="292"/>
      <c r="HKL20" s="292"/>
      <c r="HKM20" s="292"/>
      <c r="HKN20" s="292"/>
      <c r="HKO20" s="292"/>
      <c r="HKP20" s="292"/>
      <c r="HKQ20" s="292"/>
      <c r="HKR20" s="292"/>
      <c r="HKS20" s="292"/>
      <c r="HKT20" s="292"/>
      <c r="HKU20" s="292"/>
      <c r="HKV20" s="292"/>
      <c r="HKW20" s="292"/>
      <c r="HKX20" s="292"/>
      <c r="HKY20" s="292"/>
      <c r="HKZ20" s="292"/>
      <c r="HLA20" s="292"/>
      <c r="HLB20" s="292"/>
      <c r="HLC20" s="292"/>
      <c r="HLD20" s="292"/>
      <c r="HLE20" s="292"/>
      <c r="HLF20" s="292"/>
      <c r="HLG20" s="292"/>
      <c r="HLH20" s="292"/>
      <c r="HLI20" s="292"/>
      <c r="HLJ20" s="292"/>
      <c r="HLK20" s="292"/>
      <c r="HLL20" s="292"/>
      <c r="HLM20" s="292"/>
      <c r="HLN20" s="292"/>
      <c r="HLO20" s="292"/>
      <c r="HLP20" s="292"/>
      <c r="HLQ20" s="292"/>
      <c r="HLR20" s="292"/>
      <c r="HLS20" s="292"/>
      <c r="HLT20" s="292"/>
      <c r="HLU20" s="292"/>
      <c r="HLV20" s="292"/>
      <c r="HLW20" s="292"/>
      <c r="HLX20" s="292"/>
      <c r="HLY20" s="292"/>
      <c r="HLZ20" s="292"/>
      <c r="HMA20" s="292"/>
      <c r="HMB20" s="292"/>
      <c r="HMC20" s="292"/>
      <c r="HMD20" s="292"/>
      <c r="HME20" s="292"/>
      <c r="HMF20" s="292"/>
      <c r="HMG20" s="292"/>
      <c r="HMH20" s="292"/>
      <c r="HMI20" s="292"/>
      <c r="HMJ20" s="292"/>
      <c r="HMK20" s="292"/>
      <c r="HML20" s="292"/>
      <c r="HMM20" s="292"/>
      <c r="HMN20" s="292"/>
      <c r="HMO20" s="292"/>
      <c r="HMP20" s="292"/>
      <c r="HMQ20" s="292"/>
      <c r="HMR20" s="292"/>
      <c r="HMS20" s="292"/>
      <c r="HMT20" s="292"/>
      <c r="HMU20" s="292"/>
      <c r="HMV20" s="292"/>
      <c r="HMW20" s="292"/>
      <c r="HMX20" s="292"/>
      <c r="HMY20" s="292"/>
      <c r="HMZ20" s="292"/>
      <c r="HNA20" s="292"/>
      <c r="HNB20" s="292"/>
      <c r="HNC20" s="292"/>
      <c r="HND20" s="292"/>
      <c r="HNE20" s="292"/>
      <c r="HNF20" s="292"/>
      <c r="HNG20" s="292"/>
      <c r="HNH20" s="292"/>
      <c r="HNI20" s="292"/>
      <c r="HNJ20" s="292"/>
      <c r="HNK20" s="292"/>
      <c r="HNL20" s="292"/>
      <c r="HNM20" s="292"/>
      <c r="HNN20" s="292"/>
      <c r="HNO20" s="292"/>
      <c r="HNP20" s="292"/>
      <c r="HNQ20" s="292"/>
      <c r="HNR20" s="292"/>
      <c r="HNS20" s="292"/>
      <c r="HNT20" s="292"/>
      <c r="HNU20" s="292"/>
      <c r="HNV20" s="292"/>
      <c r="HNW20" s="292"/>
      <c r="HNX20" s="292"/>
      <c r="HNY20" s="292"/>
      <c r="HNZ20" s="292"/>
      <c r="HOA20" s="292"/>
      <c r="HOB20" s="292"/>
      <c r="HOC20" s="292"/>
      <c r="HOD20" s="292"/>
      <c r="HOE20" s="292"/>
      <c r="HOF20" s="292"/>
      <c r="HOG20" s="292"/>
      <c r="HOH20" s="292"/>
      <c r="HOI20" s="292"/>
      <c r="HOJ20" s="292"/>
      <c r="HOK20" s="292"/>
      <c r="HOL20" s="292"/>
      <c r="HOM20" s="292"/>
      <c r="HON20" s="292"/>
      <c r="HOO20" s="292"/>
      <c r="HOP20" s="292"/>
      <c r="HOQ20" s="292"/>
      <c r="HOR20" s="292"/>
      <c r="HOS20" s="292"/>
      <c r="HOT20" s="292"/>
      <c r="HOU20" s="292"/>
      <c r="HOV20" s="292"/>
      <c r="HOW20" s="292"/>
      <c r="HOX20" s="292"/>
      <c r="HOY20" s="292"/>
      <c r="HOZ20" s="292"/>
      <c r="HPA20" s="292"/>
      <c r="HPB20" s="292"/>
      <c r="HPC20" s="292"/>
      <c r="HPD20" s="292"/>
      <c r="HPE20" s="292"/>
      <c r="HPF20" s="292"/>
      <c r="HPG20" s="292"/>
      <c r="HPH20" s="292"/>
      <c r="HPI20" s="292"/>
      <c r="HPJ20" s="292"/>
      <c r="HPK20" s="292"/>
      <c r="HPL20" s="292"/>
      <c r="HPM20" s="292"/>
      <c r="HPN20" s="292"/>
      <c r="HPO20" s="292"/>
      <c r="HPP20" s="292"/>
      <c r="HPQ20" s="292"/>
      <c r="HPR20" s="292"/>
      <c r="HPS20" s="292"/>
      <c r="HPT20" s="292"/>
      <c r="HPU20" s="292"/>
      <c r="HPV20" s="292"/>
      <c r="HPW20" s="292"/>
      <c r="HPX20" s="292"/>
      <c r="HPY20" s="292"/>
      <c r="HPZ20" s="292"/>
      <c r="HQA20" s="292"/>
      <c r="HQB20" s="292"/>
      <c r="HQC20" s="292"/>
      <c r="HQD20" s="292"/>
      <c r="HQE20" s="292"/>
      <c r="HQF20" s="292"/>
      <c r="HQG20" s="292"/>
      <c r="HQH20" s="292"/>
      <c r="HQI20" s="292"/>
      <c r="HQJ20" s="292"/>
      <c r="HQK20" s="292"/>
      <c r="HQL20" s="292"/>
      <c r="HQM20" s="292"/>
      <c r="HQN20" s="292"/>
      <c r="HQO20" s="292"/>
      <c r="HQP20" s="292"/>
      <c r="HQQ20" s="292"/>
      <c r="HQR20" s="292"/>
      <c r="HQS20" s="292"/>
      <c r="HQT20" s="292"/>
      <c r="HQU20" s="292"/>
      <c r="HQV20" s="292"/>
      <c r="HQW20" s="292"/>
      <c r="HQX20" s="292"/>
      <c r="HQY20" s="292"/>
      <c r="HQZ20" s="292"/>
      <c r="HRA20" s="292"/>
      <c r="HRB20" s="292"/>
      <c r="HRC20" s="292"/>
      <c r="HRD20" s="292"/>
      <c r="HRE20" s="292"/>
      <c r="HRF20" s="292"/>
      <c r="HRG20" s="292"/>
      <c r="HRH20" s="292"/>
      <c r="HRI20" s="292"/>
      <c r="HRJ20" s="292"/>
      <c r="HRK20" s="292"/>
      <c r="HRL20" s="292"/>
      <c r="HRM20" s="292"/>
      <c r="HRN20" s="292"/>
      <c r="HRO20" s="292"/>
      <c r="HRP20" s="292"/>
      <c r="HRQ20" s="292"/>
      <c r="HRR20" s="292"/>
      <c r="HRS20" s="292"/>
      <c r="HRT20" s="292"/>
      <c r="HRU20" s="292"/>
      <c r="HRV20" s="292"/>
      <c r="HRW20" s="292"/>
      <c r="HRX20" s="292"/>
      <c r="HRY20" s="292"/>
      <c r="HRZ20" s="292"/>
      <c r="HSA20" s="292"/>
      <c r="HSB20" s="292"/>
      <c r="HSC20" s="292"/>
      <c r="HSD20" s="292"/>
      <c r="HSE20" s="292"/>
      <c r="HSF20" s="292"/>
      <c r="HSG20" s="292"/>
      <c r="HSH20" s="292"/>
      <c r="HSI20" s="292"/>
      <c r="HSJ20" s="292"/>
      <c r="HSK20" s="292"/>
      <c r="HSL20" s="292"/>
      <c r="HSM20" s="292"/>
      <c r="HSN20" s="292"/>
      <c r="HSO20" s="292"/>
      <c r="HSP20" s="292"/>
      <c r="HSQ20" s="292"/>
      <c r="HSR20" s="292"/>
      <c r="HSS20" s="292"/>
      <c r="HST20" s="292"/>
      <c r="HSU20" s="292"/>
      <c r="HSV20" s="292"/>
      <c r="HSW20" s="292"/>
      <c r="HSX20" s="292"/>
      <c r="HSY20" s="292"/>
      <c r="HSZ20" s="292"/>
      <c r="HTA20" s="292"/>
      <c r="HTB20" s="292"/>
      <c r="HTC20" s="292"/>
      <c r="HTD20" s="292"/>
      <c r="HTE20" s="292"/>
      <c r="HTF20" s="292"/>
      <c r="HTG20" s="292"/>
      <c r="HTH20" s="292"/>
      <c r="HTI20" s="292"/>
      <c r="HTJ20" s="292"/>
      <c r="HTK20" s="292"/>
      <c r="HTL20" s="292"/>
      <c r="HTM20" s="292"/>
      <c r="HTN20" s="292"/>
      <c r="HTO20" s="292"/>
      <c r="HTP20" s="292"/>
      <c r="HTQ20" s="292"/>
      <c r="HTR20" s="292"/>
      <c r="HTS20" s="292"/>
      <c r="HTT20" s="292"/>
      <c r="HTU20" s="292"/>
      <c r="HTV20" s="292"/>
      <c r="HTW20" s="292"/>
      <c r="HTX20" s="292"/>
      <c r="HTY20" s="292"/>
      <c r="HTZ20" s="292"/>
      <c r="HUA20" s="292"/>
      <c r="HUB20" s="292"/>
      <c r="HUC20" s="292"/>
      <c r="HUD20" s="292"/>
      <c r="HUE20" s="292"/>
      <c r="HUF20" s="292"/>
      <c r="HUG20" s="292"/>
      <c r="HUH20" s="292"/>
      <c r="HUI20" s="292"/>
      <c r="HUJ20" s="292"/>
      <c r="HUK20" s="292"/>
      <c r="HUL20" s="292"/>
      <c r="HUM20" s="292"/>
      <c r="HUN20" s="292"/>
      <c r="HUO20" s="292"/>
      <c r="HUP20" s="292"/>
      <c r="HUQ20" s="292"/>
      <c r="HUR20" s="292"/>
      <c r="HUS20" s="292"/>
      <c r="HUT20" s="292"/>
      <c r="HUU20" s="292"/>
      <c r="HUV20" s="292"/>
      <c r="HUW20" s="292"/>
      <c r="HUX20" s="292"/>
      <c r="HUY20" s="292"/>
      <c r="HUZ20" s="292"/>
      <c r="HVA20" s="292"/>
      <c r="HVB20" s="292"/>
      <c r="HVC20" s="292"/>
      <c r="HVD20" s="292"/>
      <c r="HVE20" s="292"/>
      <c r="HVF20" s="292"/>
      <c r="HVG20" s="292"/>
      <c r="HVH20" s="292"/>
      <c r="HVI20" s="292"/>
      <c r="HVJ20" s="292"/>
      <c r="HVK20" s="292"/>
      <c r="HVL20" s="292"/>
      <c r="HVM20" s="292"/>
      <c r="HVN20" s="292"/>
      <c r="HVO20" s="292"/>
      <c r="HVP20" s="292"/>
      <c r="HVQ20" s="292"/>
      <c r="HVR20" s="292"/>
      <c r="HVS20" s="292"/>
      <c r="HVT20" s="292"/>
      <c r="HVU20" s="292"/>
      <c r="HVV20" s="292"/>
      <c r="HVW20" s="292"/>
      <c r="HVX20" s="292"/>
      <c r="HVY20" s="292"/>
      <c r="HVZ20" s="292"/>
      <c r="HWA20" s="292"/>
      <c r="HWB20" s="292"/>
      <c r="HWC20" s="292"/>
      <c r="HWD20" s="292"/>
      <c r="HWE20" s="292"/>
      <c r="HWF20" s="292"/>
      <c r="HWG20" s="292"/>
      <c r="HWH20" s="292"/>
      <c r="HWI20" s="292"/>
      <c r="HWJ20" s="292"/>
      <c r="HWK20" s="292"/>
      <c r="HWL20" s="292"/>
      <c r="HWM20" s="292"/>
      <c r="HWN20" s="292"/>
      <c r="HWO20" s="292"/>
      <c r="HWP20" s="292"/>
      <c r="HWQ20" s="292"/>
      <c r="HWR20" s="292"/>
      <c r="HWS20" s="292"/>
      <c r="HWT20" s="292"/>
      <c r="HWU20" s="292"/>
      <c r="HWV20" s="292"/>
      <c r="HWW20" s="292"/>
      <c r="HWX20" s="292"/>
      <c r="HWY20" s="292"/>
      <c r="HWZ20" s="292"/>
      <c r="HXA20" s="292"/>
      <c r="HXB20" s="292"/>
      <c r="HXC20" s="292"/>
      <c r="HXD20" s="292"/>
      <c r="HXE20" s="292"/>
      <c r="HXF20" s="292"/>
      <c r="HXG20" s="292"/>
      <c r="HXH20" s="292"/>
      <c r="HXI20" s="292"/>
      <c r="HXJ20" s="292"/>
      <c r="HXK20" s="292"/>
      <c r="HXL20" s="292"/>
      <c r="HXM20" s="292"/>
      <c r="HXN20" s="292"/>
      <c r="HXO20" s="292"/>
      <c r="HXP20" s="292"/>
      <c r="HXQ20" s="292"/>
      <c r="HXR20" s="292"/>
      <c r="HXS20" s="292"/>
      <c r="HXT20" s="292"/>
      <c r="HXU20" s="292"/>
      <c r="HXV20" s="292"/>
      <c r="HXW20" s="292"/>
      <c r="HXX20" s="292"/>
      <c r="HXY20" s="292"/>
      <c r="HXZ20" s="292"/>
      <c r="HYA20" s="292"/>
      <c r="HYB20" s="292"/>
      <c r="HYC20" s="292"/>
      <c r="HYD20" s="292"/>
      <c r="HYE20" s="292"/>
      <c r="HYF20" s="292"/>
      <c r="HYG20" s="292"/>
      <c r="HYH20" s="292"/>
      <c r="HYI20" s="292"/>
      <c r="HYJ20" s="292"/>
      <c r="HYK20" s="292"/>
      <c r="HYL20" s="292"/>
      <c r="HYM20" s="292"/>
      <c r="HYN20" s="292"/>
      <c r="HYO20" s="292"/>
      <c r="HYP20" s="292"/>
      <c r="HYQ20" s="292"/>
      <c r="HYR20" s="292"/>
      <c r="HYS20" s="292"/>
      <c r="HYT20" s="292"/>
      <c r="HYU20" s="292"/>
      <c r="HYV20" s="292"/>
      <c r="HYW20" s="292"/>
      <c r="HYX20" s="292"/>
      <c r="HYY20" s="292"/>
      <c r="HYZ20" s="292"/>
      <c r="HZA20" s="292"/>
      <c r="HZB20" s="292"/>
      <c r="HZC20" s="292"/>
      <c r="HZD20" s="292"/>
      <c r="HZE20" s="292"/>
      <c r="HZF20" s="292"/>
      <c r="HZG20" s="292"/>
      <c r="HZH20" s="292"/>
      <c r="HZI20" s="292"/>
      <c r="HZJ20" s="292"/>
      <c r="HZK20" s="292"/>
      <c r="HZL20" s="292"/>
      <c r="HZM20" s="292"/>
      <c r="HZN20" s="292"/>
      <c r="HZO20" s="292"/>
      <c r="HZP20" s="292"/>
      <c r="HZQ20" s="292"/>
      <c r="HZR20" s="292"/>
      <c r="HZS20" s="292"/>
      <c r="HZT20" s="292"/>
      <c r="HZU20" s="292"/>
      <c r="HZV20" s="292"/>
      <c r="HZW20" s="292"/>
      <c r="HZX20" s="292"/>
      <c r="HZY20" s="292"/>
      <c r="HZZ20" s="292"/>
      <c r="IAA20" s="292"/>
      <c r="IAB20" s="292"/>
      <c r="IAC20" s="292"/>
      <c r="IAD20" s="292"/>
      <c r="IAE20" s="292"/>
      <c r="IAF20" s="292"/>
      <c r="IAG20" s="292"/>
      <c r="IAH20" s="292"/>
      <c r="IAI20" s="292"/>
      <c r="IAJ20" s="292"/>
      <c r="IAK20" s="292"/>
      <c r="IAL20" s="292"/>
      <c r="IAM20" s="292"/>
      <c r="IAN20" s="292"/>
      <c r="IAO20" s="292"/>
      <c r="IAP20" s="292"/>
      <c r="IAQ20" s="292"/>
      <c r="IAR20" s="292"/>
      <c r="IAS20" s="292"/>
      <c r="IAT20" s="292"/>
      <c r="IAU20" s="292"/>
      <c r="IAV20" s="292"/>
      <c r="IAW20" s="292"/>
      <c r="IAX20" s="292"/>
      <c r="IAY20" s="292"/>
      <c r="IAZ20" s="292"/>
      <c r="IBA20" s="292"/>
      <c r="IBB20" s="292"/>
      <c r="IBC20" s="292"/>
      <c r="IBD20" s="292"/>
      <c r="IBE20" s="292"/>
      <c r="IBF20" s="292"/>
      <c r="IBG20" s="292"/>
      <c r="IBH20" s="292"/>
      <c r="IBI20" s="292"/>
      <c r="IBJ20" s="292"/>
      <c r="IBK20" s="292"/>
      <c r="IBL20" s="292"/>
      <c r="IBM20" s="292"/>
      <c r="IBN20" s="292"/>
      <c r="IBO20" s="292"/>
      <c r="IBP20" s="292"/>
      <c r="IBQ20" s="292"/>
      <c r="IBR20" s="292"/>
      <c r="IBS20" s="292"/>
      <c r="IBT20" s="292"/>
      <c r="IBU20" s="292"/>
      <c r="IBV20" s="292"/>
      <c r="IBW20" s="292"/>
      <c r="IBX20" s="292"/>
      <c r="IBY20" s="292"/>
      <c r="IBZ20" s="292"/>
      <c r="ICA20" s="292"/>
      <c r="ICB20" s="292"/>
      <c r="ICC20" s="292"/>
      <c r="ICD20" s="292"/>
      <c r="ICE20" s="292"/>
      <c r="ICF20" s="292"/>
      <c r="ICG20" s="292"/>
      <c r="ICH20" s="292"/>
      <c r="ICI20" s="292"/>
      <c r="ICJ20" s="292"/>
      <c r="ICK20" s="292"/>
      <c r="ICL20" s="292"/>
      <c r="ICM20" s="292"/>
      <c r="ICN20" s="292"/>
      <c r="ICO20" s="292"/>
      <c r="ICP20" s="292"/>
      <c r="ICQ20" s="292"/>
      <c r="ICR20" s="292"/>
      <c r="ICS20" s="292"/>
      <c r="ICT20" s="292"/>
      <c r="ICU20" s="292"/>
      <c r="ICV20" s="292"/>
      <c r="ICW20" s="292"/>
      <c r="ICX20" s="292"/>
      <c r="ICY20" s="292"/>
      <c r="ICZ20" s="292"/>
      <c r="IDA20" s="292"/>
      <c r="IDB20" s="292"/>
      <c r="IDC20" s="292"/>
      <c r="IDD20" s="292"/>
      <c r="IDE20" s="292"/>
      <c r="IDF20" s="292"/>
      <c r="IDG20" s="292"/>
      <c r="IDH20" s="292"/>
      <c r="IDI20" s="292"/>
      <c r="IDJ20" s="292"/>
      <c r="IDK20" s="292"/>
      <c r="IDL20" s="292"/>
      <c r="IDM20" s="292"/>
      <c r="IDN20" s="292"/>
      <c r="IDO20" s="292"/>
      <c r="IDP20" s="292"/>
      <c r="IDQ20" s="292"/>
      <c r="IDR20" s="292"/>
      <c r="IDS20" s="292"/>
      <c r="IDT20" s="292"/>
      <c r="IDU20" s="292"/>
      <c r="IDV20" s="292"/>
      <c r="IDW20" s="292"/>
      <c r="IDX20" s="292"/>
      <c r="IDY20" s="292"/>
      <c r="IDZ20" s="292"/>
      <c r="IEA20" s="292"/>
      <c r="IEB20" s="292"/>
      <c r="IEC20" s="292"/>
      <c r="IED20" s="292"/>
      <c r="IEE20" s="292"/>
      <c r="IEF20" s="292"/>
      <c r="IEG20" s="292"/>
      <c r="IEH20" s="292"/>
      <c r="IEI20" s="292"/>
      <c r="IEJ20" s="292"/>
      <c r="IEK20" s="292"/>
      <c r="IEL20" s="292"/>
      <c r="IEM20" s="292"/>
      <c r="IEN20" s="292"/>
      <c r="IEO20" s="292"/>
      <c r="IEP20" s="292"/>
      <c r="IEQ20" s="292"/>
      <c r="IER20" s="292"/>
      <c r="IES20" s="292"/>
      <c r="IET20" s="292"/>
      <c r="IEU20" s="292"/>
      <c r="IEV20" s="292"/>
      <c r="IEW20" s="292"/>
      <c r="IEX20" s="292"/>
      <c r="IEY20" s="292"/>
      <c r="IEZ20" s="292"/>
      <c r="IFA20" s="292"/>
      <c r="IFB20" s="292"/>
      <c r="IFC20" s="292"/>
      <c r="IFD20" s="292"/>
      <c r="IFE20" s="292"/>
      <c r="IFF20" s="292"/>
      <c r="IFG20" s="292"/>
      <c r="IFH20" s="292"/>
      <c r="IFI20" s="292"/>
      <c r="IFJ20" s="292"/>
      <c r="IFK20" s="292"/>
      <c r="IFL20" s="292"/>
      <c r="IFM20" s="292"/>
      <c r="IFN20" s="292"/>
      <c r="IFO20" s="292"/>
      <c r="IFP20" s="292"/>
      <c r="IFQ20" s="292"/>
      <c r="IFR20" s="292"/>
      <c r="IFS20" s="292"/>
      <c r="IFT20" s="292"/>
      <c r="IFU20" s="292"/>
      <c r="IFV20" s="292"/>
      <c r="IFW20" s="292"/>
      <c r="IFX20" s="292"/>
      <c r="IFY20" s="292"/>
      <c r="IFZ20" s="292"/>
      <c r="IGA20" s="292"/>
      <c r="IGB20" s="292"/>
      <c r="IGC20" s="292"/>
      <c r="IGD20" s="292"/>
      <c r="IGE20" s="292"/>
      <c r="IGF20" s="292"/>
      <c r="IGG20" s="292"/>
      <c r="IGH20" s="292"/>
      <c r="IGI20" s="292"/>
      <c r="IGJ20" s="292"/>
      <c r="IGK20" s="292"/>
      <c r="IGL20" s="292"/>
      <c r="IGM20" s="292"/>
      <c r="IGN20" s="292"/>
      <c r="IGO20" s="292"/>
      <c r="IGP20" s="292"/>
      <c r="IGQ20" s="292"/>
      <c r="IGR20" s="292"/>
      <c r="IGS20" s="292"/>
      <c r="IGT20" s="292"/>
      <c r="IGU20" s="292"/>
      <c r="IGV20" s="292"/>
      <c r="IGW20" s="292"/>
      <c r="IGX20" s="292"/>
      <c r="IGY20" s="292"/>
      <c r="IGZ20" s="292"/>
      <c r="IHA20" s="292"/>
      <c r="IHB20" s="292"/>
      <c r="IHC20" s="292"/>
      <c r="IHD20" s="292"/>
      <c r="IHE20" s="292"/>
      <c r="IHF20" s="292"/>
      <c r="IHG20" s="292"/>
      <c r="IHH20" s="292"/>
      <c r="IHI20" s="292"/>
      <c r="IHJ20" s="292"/>
      <c r="IHK20" s="292"/>
      <c r="IHL20" s="292"/>
      <c r="IHM20" s="292"/>
      <c r="IHN20" s="292"/>
      <c r="IHO20" s="292"/>
      <c r="IHP20" s="292"/>
      <c r="IHQ20" s="292"/>
      <c r="IHR20" s="292"/>
      <c r="IHS20" s="292"/>
      <c r="IHT20" s="292"/>
      <c r="IHU20" s="292"/>
      <c r="IHV20" s="292"/>
      <c r="IHW20" s="292"/>
      <c r="IHX20" s="292"/>
      <c r="IHY20" s="292"/>
      <c r="IHZ20" s="292"/>
      <c r="IIA20" s="292"/>
      <c r="IIB20" s="292"/>
      <c r="IIC20" s="292"/>
      <c r="IID20" s="292"/>
      <c r="IIE20" s="292"/>
      <c r="IIF20" s="292"/>
      <c r="IIG20" s="292"/>
      <c r="IIH20" s="292"/>
      <c r="III20" s="292"/>
      <c r="IIJ20" s="292"/>
      <c r="IIK20" s="292"/>
      <c r="IIL20" s="292"/>
      <c r="IIM20" s="292"/>
      <c r="IIN20" s="292"/>
      <c r="IIO20" s="292"/>
      <c r="IIP20" s="292"/>
      <c r="IIQ20" s="292"/>
      <c r="IIR20" s="292"/>
      <c r="IIS20" s="292"/>
      <c r="IIT20" s="292"/>
      <c r="IIU20" s="292"/>
      <c r="IIV20" s="292"/>
      <c r="IIW20" s="292"/>
      <c r="IIX20" s="292"/>
      <c r="IIY20" s="292"/>
      <c r="IIZ20" s="292"/>
      <c r="IJA20" s="292"/>
      <c r="IJB20" s="292"/>
      <c r="IJC20" s="292"/>
      <c r="IJD20" s="292"/>
      <c r="IJE20" s="292"/>
      <c r="IJF20" s="292"/>
      <c r="IJG20" s="292"/>
      <c r="IJH20" s="292"/>
      <c r="IJI20" s="292"/>
      <c r="IJJ20" s="292"/>
      <c r="IJK20" s="292"/>
      <c r="IJL20" s="292"/>
      <c r="IJM20" s="292"/>
      <c r="IJN20" s="292"/>
      <c r="IJO20" s="292"/>
      <c r="IJP20" s="292"/>
      <c r="IJQ20" s="292"/>
      <c r="IJR20" s="292"/>
      <c r="IJS20" s="292"/>
      <c r="IJT20" s="292"/>
      <c r="IJU20" s="292"/>
      <c r="IJV20" s="292"/>
      <c r="IJW20" s="292"/>
      <c r="IJX20" s="292"/>
      <c r="IJY20" s="292"/>
      <c r="IJZ20" s="292"/>
      <c r="IKA20" s="292"/>
      <c r="IKB20" s="292"/>
      <c r="IKC20" s="292"/>
      <c r="IKD20" s="292"/>
      <c r="IKE20" s="292"/>
      <c r="IKF20" s="292"/>
      <c r="IKG20" s="292"/>
      <c r="IKH20" s="292"/>
      <c r="IKI20" s="292"/>
      <c r="IKJ20" s="292"/>
      <c r="IKK20" s="292"/>
      <c r="IKL20" s="292"/>
      <c r="IKM20" s="292"/>
      <c r="IKN20" s="292"/>
      <c r="IKO20" s="292"/>
      <c r="IKP20" s="292"/>
      <c r="IKQ20" s="292"/>
      <c r="IKR20" s="292"/>
      <c r="IKS20" s="292"/>
      <c r="IKT20" s="292"/>
      <c r="IKU20" s="292"/>
      <c r="IKV20" s="292"/>
      <c r="IKW20" s="292"/>
      <c r="IKX20" s="292"/>
      <c r="IKY20" s="292"/>
      <c r="IKZ20" s="292"/>
      <c r="ILA20" s="292"/>
      <c r="ILB20" s="292"/>
      <c r="ILC20" s="292"/>
      <c r="ILD20" s="292"/>
      <c r="ILE20" s="292"/>
      <c r="ILF20" s="292"/>
      <c r="ILG20" s="292"/>
      <c r="ILH20" s="292"/>
      <c r="ILI20" s="292"/>
      <c r="ILJ20" s="292"/>
      <c r="ILK20" s="292"/>
      <c r="ILL20" s="292"/>
      <c r="ILM20" s="292"/>
      <c r="ILN20" s="292"/>
      <c r="ILO20" s="292"/>
      <c r="ILP20" s="292"/>
      <c r="ILQ20" s="292"/>
      <c r="ILR20" s="292"/>
      <c r="ILS20" s="292"/>
      <c r="ILT20" s="292"/>
      <c r="ILU20" s="292"/>
      <c r="ILV20" s="292"/>
      <c r="ILW20" s="292"/>
      <c r="ILX20" s="292"/>
      <c r="ILY20" s="292"/>
      <c r="ILZ20" s="292"/>
      <c r="IMA20" s="292"/>
      <c r="IMB20" s="292"/>
      <c r="IMC20" s="292"/>
      <c r="IMD20" s="292"/>
      <c r="IME20" s="292"/>
      <c r="IMF20" s="292"/>
      <c r="IMG20" s="292"/>
      <c r="IMH20" s="292"/>
      <c r="IMI20" s="292"/>
      <c r="IMJ20" s="292"/>
      <c r="IMK20" s="292"/>
      <c r="IML20" s="292"/>
      <c r="IMM20" s="292"/>
      <c r="IMN20" s="292"/>
      <c r="IMO20" s="292"/>
      <c r="IMP20" s="292"/>
      <c r="IMQ20" s="292"/>
      <c r="IMR20" s="292"/>
      <c r="IMS20" s="292"/>
      <c r="IMT20" s="292"/>
      <c r="IMU20" s="292"/>
      <c r="IMV20" s="292"/>
      <c r="IMW20" s="292"/>
      <c r="IMX20" s="292"/>
      <c r="IMY20" s="292"/>
      <c r="IMZ20" s="292"/>
      <c r="INA20" s="292"/>
      <c r="INB20" s="292"/>
      <c r="INC20" s="292"/>
      <c r="IND20" s="292"/>
      <c r="INE20" s="292"/>
      <c r="INF20" s="292"/>
      <c r="ING20" s="292"/>
      <c r="INH20" s="292"/>
      <c r="INI20" s="292"/>
      <c r="INJ20" s="292"/>
      <c r="INK20" s="292"/>
      <c r="INL20" s="292"/>
      <c r="INM20" s="292"/>
      <c r="INN20" s="292"/>
      <c r="INO20" s="292"/>
      <c r="INP20" s="292"/>
      <c r="INQ20" s="292"/>
      <c r="INR20" s="292"/>
      <c r="INS20" s="292"/>
      <c r="INT20" s="292"/>
      <c r="INU20" s="292"/>
      <c r="INV20" s="292"/>
      <c r="INW20" s="292"/>
      <c r="INX20" s="292"/>
      <c r="INY20" s="292"/>
      <c r="INZ20" s="292"/>
      <c r="IOA20" s="292"/>
      <c r="IOB20" s="292"/>
      <c r="IOC20" s="292"/>
      <c r="IOD20" s="292"/>
      <c r="IOE20" s="292"/>
      <c r="IOF20" s="292"/>
      <c r="IOG20" s="292"/>
      <c r="IOH20" s="292"/>
      <c r="IOI20" s="292"/>
      <c r="IOJ20" s="292"/>
      <c r="IOK20" s="292"/>
      <c r="IOL20" s="292"/>
      <c r="IOM20" s="292"/>
      <c r="ION20" s="292"/>
      <c r="IOO20" s="292"/>
      <c r="IOP20" s="292"/>
      <c r="IOQ20" s="292"/>
      <c r="IOR20" s="292"/>
      <c r="IOS20" s="292"/>
      <c r="IOT20" s="292"/>
      <c r="IOU20" s="292"/>
      <c r="IOV20" s="292"/>
      <c r="IOW20" s="292"/>
      <c r="IOX20" s="292"/>
      <c r="IOY20" s="292"/>
      <c r="IOZ20" s="292"/>
      <c r="IPA20" s="292"/>
      <c r="IPB20" s="292"/>
      <c r="IPC20" s="292"/>
      <c r="IPD20" s="292"/>
      <c r="IPE20" s="292"/>
      <c r="IPF20" s="292"/>
      <c r="IPG20" s="292"/>
      <c r="IPH20" s="292"/>
      <c r="IPI20" s="292"/>
      <c r="IPJ20" s="292"/>
      <c r="IPK20" s="292"/>
      <c r="IPL20" s="292"/>
      <c r="IPM20" s="292"/>
      <c r="IPN20" s="292"/>
      <c r="IPO20" s="292"/>
      <c r="IPP20" s="292"/>
      <c r="IPQ20" s="292"/>
      <c r="IPR20" s="292"/>
      <c r="IPS20" s="292"/>
      <c r="IPT20" s="292"/>
      <c r="IPU20" s="292"/>
      <c r="IPV20" s="292"/>
      <c r="IPW20" s="292"/>
      <c r="IPX20" s="292"/>
      <c r="IPY20" s="292"/>
      <c r="IPZ20" s="292"/>
      <c r="IQA20" s="292"/>
      <c r="IQB20" s="292"/>
      <c r="IQC20" s="292"/>
      <c r="IQD20" s="292"/>
      <c r="IQE20" s="292"/>
      <c r="IQF20" s="292"/>
      <c r="IQG20" s="292"/>
      <c r="IQH20" s="292"/>
      <c r="IQI20" s="292"/>
      <c r="IQJ20" s="292"/>
      <c r="IQK20" s="292"/>
      <c r="IQL20" s="292"/>
      <c r="IQM20" s="292"/>
      <c r="IQN20" s="292"/>
      <c r="IQO20" s="292"/>
      <c r="IQP20" s="292"/>
      <c r="IQQ20" s="292"/>
      <c r="IQR20" s="292"/>
      <c r="IQS20" s="292"/>
      <c r="IQT20" s="292"/>
      <c r="IQU20" s="292"/>
      <c r="IQV20" s="292"/>
      <c r="IQW20" s="292"/>
      <c r="IQX20" s="292"/>
      <c r="IQY20" s="292"/>
      <c r="IQZ20" s="292"/>
      <c r="IRA20" s="292"/>
      <c r="IRB20" s="292"/>
      <c r="IRC20" s="292"/>
      <c r="IRD20" s="292"/>
      <c r="IRE20" s="292"/>
      <c r="IRF20" s="292"/>
      <c r="IRG20" s="292"/>
      <c r="IRH20" s="292"/>
      <c r="IRI20" s="292"/>
      <c r="IRJ20" s="292"/>
      <c r="IRK20" s="292"/>
      <c r="IRL20" s="292"/>
      <c r="IRM20" s="292"/>
      <c r="IRN20" s="292"/>
      <c r="IRO20" s="292"/>
      <c r="IRP20" s="292"/>
      <c r="IRQ20" s="292"/>
      <c r="IRR20" s="292"/>
      <c r="IRS20" s="292"/>
      <c r="IRT20" s="292"/>
      <c r="IRU20" s="292"/>
      <c r="IRV20" s="292"/>
      <c r="IRW20" s="292"/>
      <c r="IRX20" s="292"/>
      <c r="IRY20" s="292"/>
      <c r="IRZ20" s="292"/>
      <c r="ISA20" s="292"/>
      <c r="ISB20" s="292"/>
      <c r="ISC20" s="292"/>
      <c r="ISD20" s="292"/>
      <c r="ISE20" s="292"/>
      <c r="ISF20" s="292"/>
      <c r="ISG20" s="292"/>
      <c r="ISH20" s="292"/>
      <c r="ISI20" s="292"/>
      <c r="ISJ20" s="292"/>
      <c r="ISK20" s="292"/>
      <c r="ISL20" s="292"/>
      <c r="ISM20" s="292"/>
      <c r="ISN20" s="292"/>
      <c r="ISO20" s="292"/>
      <c r="ISP20" s="292"/>
      <c r="ISQ20" s="292"/>
      <c r="ISR20" s="292"/>
      <c r="ISS20" s="292"/>
      <c r="IST20" s="292"/>
      <c r="ISU20" s="292"/>
      <c r="ISV20" s="292"/>
      <c r="ISW20" s="292"/>
      <c r="ISX20" s="292"/>
      <c r="ISY20" s="292"/>
      <c r="ISZ20" s="292"/>
      <c r="ITA20" s="292"/>
      <c r="ITB20" s="292"/>
      <c r="ITC20" s="292"/>
      <c r="ITD20" s="292"/>
      <c r="ITE20" s="292"/>
      <c r="ITF20" s="292"/>
      <c r="ITG20" s="292"/>
      <c r="ITH20" s="292"/>
      <c r="ITI20" s="292"/>
      <c r="ITJ20" s="292"/>
      <c r="ITK20" s="292"/>
      <c r="ITL20" s="292"/>
      <c r="ITM20" s="292"/>
      <c r="ITN20" s="292"/>
      <c r="ITO20" s="292"/>
      <c r="ITP20" s="292"/>
      <c r="ITQ20" s="292"/>
      <c r="ITR20" s="292"/>
      <c r="ITS20" s="292"/>
      <c r="ITT20" s="292"/>
      <c r="ITU20" s="292"/>
      <c r="ITV20" s="292"/>
      <c r="ITW20" s="292"/>
      <c r="ITX20" s="292"/>
      <c r="ITY20" s="292"/>
      <c r="ITZ20" s="292"/>
      <c r="IUA20" s="292"/>
      <c r="IUB20" s="292"/>
      <c r="IUC20" s="292"/>
      <c r="IUD20" s="292"/>
      <c r="IUE20" s="292"/>
      <c r="IUF20" s="292"/>
      <c r="IUG20" s="292"/>
      <c r="IUH20" s="292"/>
      <c r="IUI20" s="292"/>
      <c r="IUJ20" s="292"/>
      <c r="IUK20" s="292"/>
      <c r="IUL20" s="292"/>
      <c r="IUM20" s="292"/>
      <c r="IUN20" s="292"/>
      <c r="IUO20" s="292"/>
      <c r="IUP20" s="292"/>
      <c r="IUQ20" s="292"/>
      <c r="IUR20" s="292"/>
      <c r="IUS20" s="292"/>
      <c r="IUT20" s="292"/>
      <c r="IUU20" s="292"/>
      <c r="IUV20" s="292"/>
      <c r="IUW20" s="292"/>
      <c r="IUX20" s="292"/>
      <c r="IUY20" s="292"/>
      <c r="IUZ20" s="292"/>
      <c r="IVA20" s="292"/>
      <c r="IVB20" s="292"/>
      <c r="IVC20" s="292"/>
      <c r="IVD20" s="292"/>
      <c r="IVE20" s="292"/>
      <c r="IVF20" s="292"/>
      <c r="IVG20" s="292"/>
      <c r="IVH20" s="292"/>
      <c r="IVI20" s="292"/>
      <c r="IVJ20" s="292"/>
      <c r="IVK20" s="292"/>
      <c r="IVL20" s="292"/>
      <c r="IVM20" s="292"/>
      <c r="IVN20" s="292"/>
      <c r="IVO20" s="292"/>
      <c r="IVP20" s="292"/>
      <c r="IVQ20" s="292"/>
      <c r="IVR20" s="292"/>
      <c r="IVS20" s="292"/>
      <c r="IVT20" s="292"/>
      <c r="IVU20" s="292"/>
      <c r="IVV20" s="292"/>
      <c r="IVW20" s="292"/>
      <c r="IVX20" s="292"/>
      <c r="IVY20" s="292"/>
      <c r="IVZ20" s="292"/>
      <c r="IWA20" s="292"/>
      <c r="IWB20" s="292"/>
      <c r="IWC20" s="292"/>
      <c r="IWD20" s="292"/>
      <c r="IWE20" s="292"/>
      <c r="IWF20" s="292"/>
      <c r="IWG20" s="292"/>
      <c r="IWH20" s="292"/>
      <c r="IWI20" s="292"/>
      <c r="IWJ20" s="292"/>
      <c r="IWK20" s="292"/>
      <c r="IWL20" s="292"/>
      <c r="IWM20" s="292"/>
      <c r="IWN20" s="292"/>
      <c r="IWO20" s="292"/>
      <c r="IWP20" s="292"/>
      <c r="IWQ20" s="292"/>
      <c r="IWR20" s="292"/>
      <c r="IWS20" s="292"/>
      <c r="IWT20" s="292"/>
      <c r="IWU20" s="292"/>
      <c r="IWV20" s="292"/>
      <c r="IWW20" s="292"/>
      <c r="IWX20" s="292"/>
      <c r="IWY20" s="292"/>
      <c r="IWZ20" s="292"/>
      <c r="IXA20" s="292"/>
      <c r="IXB20" s="292"/>
      <c r="IXC20" s="292"/>
      <c r="IXD20" s="292"/>
      <c r="IXE20" s="292"/>
      <c r="IXF20" s="292"/>
      <c r="IXG20" s="292"/>
      <c r="IXH20" s="292"/>
      <c r="IXI20" s="292"/>
      <c r="IXJ20" s="292"/>
      <c r="IXK20" s="292"/>
      <c r="IXL20" s="292"/>
      <c r="IXM20" s="292"/>
      <c r="IXN20" s="292"/>
      <c r="IXO20" s="292"/>
      <c r="IXP20" s="292"/>
      <c r="IXQ20" s="292"/>
      <c r="IXR20" s="292"/>
      <c r="IXS20" s="292"/>
      <c r="IXT20" s="292"/>
      <c r="IXU20" s="292"/>
      <c r="IXV20" s="292"/>
      <c r="IXW20" s="292"/>
      <c r="IXX20" s="292"/>
      <c r="IXY20" s="292"/>
      <c r="IXZ20" s="292"/>
      <c r="IYA20" s="292"/>
      <c r="IYB20" s="292"/>
      <c r="IYC20" s="292"/>
      <c r="IYD20" s="292"/>
      <c r="IYE20" s="292"/>
      <c r="IYF20" s="292"/>
      <c r="IYG20" s="292"/>
      <c r="IYH20" s="292"/>
      <c r="IYI20" s="292"/>
      <c r="IYJ20" s="292"/>
      <c r="IYK20" s="292"/>
      <c r="IYL20" s="292"/>
      <c r="IYM20" s="292"/>
      <c r="IYN20" s="292"/>
      <c r="IYO20" s="292"/>
      <c r="IYP20" s="292"/>
      <c r="IYQ20" s="292"/>
      <c r="IYR20" s="292"/>
      <c r="IYS20" s="292"/>
      <c r="IYT20" s="292"/>
      <c r="IYU20" s="292"/>
      <c r="IYV20" s="292"/>
      <c r="IYW20" s="292"/>
      <c r="IYX20" s="292"/>
      <c r="IYY20" s="292"/>
      <c r="IYZ20" s="292"/>
      <c r="IZA20" s="292"/>
      <c r="IZB20" s="292"/>
      <c r="IZC20" s="292"/>
      <c r="IZD20" s="292"/>
      <c r="IZE20" s="292"/>
      <c r="IZF20" s="292"/>
      <c r="IZG20" s="292"/>
      <c r="IZH20" s="292"/>
      <c r="IZI20" s="292"/>
      <c r="IZJ20" s="292"/>
      <c r="IZK20" s="292"/>
      <c r="IZL20" s="292"/>
      <c r="IZM20" s="292"/>
      <c r="IZN20" s="292"/>
      <c r="IZO20" s="292"/>
      <c r="IZP20" s="292"/>
      <c r="IZQ20" s="292"/>
      <c r="IZR20" s="292"/>
      <c r="IZS20" s="292"/>
      <c r="IZT20" s="292"/>
      <c r="IZU20" s="292"/>
      <c r="IZV20" s="292"/>
      <c r="IZW20" s="292"/>
      <c r="IZX20" s="292"/>
      <c r="IZY20" s="292"/>
      <c r="IZZ20" s="292"/>
      <c r="JAA20" s="292"/>
      <c r="JAB20" s="292"/>
      <c r="JAC20" s="292"/>
      <c r="JAD20" s="292"/>
      <c r="JAE20" s="292"/>
      <c r="JAF20" s="292"/>
      <c r="JAG20" s="292"/>
      <c r="JAH20" s="292"/>
      <c r="JAI20" s="292"/>
      <c r="JAJ20" s="292"/>
      <c r="JAK20" s="292"/>
      <c r="JAL20" s="292"/>
      <c r="JAM20" s="292"/>
      <c r="JAN20" s="292"/>
      <c r="JAO20" s="292"/>
      <c r="JAP20" s="292"/>
      <c r="JAQ20" s="292"/>
      <c r="JAR20" s="292"/>
      <c r="JAS20" s="292"/>
      <c r="JAT20" s="292"/>
      <c r="JAU20" s="292"/>
      <c r="JAV20" s="292"/>
      <c r="JAW20" s="292"/>
      <c r="JAX20" s="292"/>
      <c r="JAY20" s="292"/>
      <c r="JAZ20" s="292"/>
      <c r="JBA20" s="292"/>
      <c r="JBB20" s="292"/>
      <c r="JBC20" s="292"/>
      <c r="JBD20" s="292"/>
      <c r="JBE20" s="292"/>
      <c r="JBF20" s="292"/>
      <c r="JBG20" s="292"/>
      <c r="JBH20" s="292"/>
      <c r="JBI20" s="292"/>
      <c r="JBJ20" s="292"/>
      <c r="JBK20" s="292"/>
      <c r="JBL20" s="292"/>
      <c r="JBM20" s="292"/>
      <c r="JBN20" s="292"/>
      <c r="JBO20" s="292"/>
      <c r="JBP20" s="292"/>
      <c r="JBQ20" s="292"/>
      <c r="JBR20" s="292"/>
      <c r="JBS20" s="292"/>
      <c r="JBT20" s="292"/>
      <c r="JBU20" s="292"/>
      <c r="JBV20" s="292"/>
      <c r="JBW20" s="292"/>
      <c r="JBX20" s="292"/>
      <c r="JBY20" s="292"/>
      <c r="JBZ20" s="292"/>
      <c r="JCA20" s="292"/>
      <c r="JCB20" s="292"/>
      <c r="JCC20" s="292"/>
      <c r="JCD20" s="292"/>
      <c r="JCE20" s="292"/>
      <c r="JCF20" s="292"/>
      <c r="JCG20" s="292"/>
      <c r="JCH20" s="292"/>
      <c r="JCI20" s="292"/>
      <c r="JCJ20" s="292"/>
      <c r="JCK20" s="292"/>
      <c r="JCL20" s="292"/>
      <c r="JCM20" s="292"/>
      <c r="JCN20" s="292"/>
      <c r="JCO20" s="292"/>
      <c r="JCP20" s="292"/>
      <c r="JCQ20" s="292"/>
      <c r="JCR20" s="292"/>
      <c r="JCS20" s="292"/>
      <c r="JCT20" s="292"/>
      <c r="JCU20" s="292"/>
      <c r="JCV20" s="292"/>
      <c r="JCW20" s="292"/>
      <c r="JCX20" s="292"/>
      <c r="JCY20" s="292"/>
      <c r="JCZ20" s="292"/>
      <c r="JDA20" s="292"/>
      <c r="JDB20" s="292"/>
      <c r="JDC20" s="292"/>
      <c r="JDD20" s="292"/>
      <c r="JDE20" s="292"/>
      <c r="JDF20" s="292"/>
      <c r="JDG20" s="292"/>
      <c r="JDH20" s="292"/>
      <c r="JDI20" s="292"/>
      <c r="JDJ20" s="292"/>
      <c r="JDK20" s="292"/>
      <c r="JDL20" s="292"/>
      <c r="JDM20" s="292"/>
      <c r="JDN20" s="292"/>
      <c r="JDO20" s="292"/>
      <c r="JDP20" s="292"/>
      <c r="JDQ20" s="292"/>
      <c r="JDR20" s="292"/>
      <c r="JDS20" s="292"/>
      <c r="JDT20" s="292"/>
      <c r="JDU20" s="292"/>
      <c r="JDV20" s="292"/>
      <c r="JDW20" s="292"/>
      <c r="JDX20" s="292"/>
      <c r="JDY20" s="292"/>
      <c r="JDZ20" s="292"/>
      <c r="JEA20" s="292"/>
      <c r="JEB20" s="292"/>
      <c r="JEC20" s="292"/>
      <c r="JED20" s="292"/>
      <c r="JEE20" s="292"/>
      <c r="JEF20" s="292"/>
      <c r="JEG20" s="292"/>
      <c r="JEH20" s="292"/>
      <c r="JEI20" s="292"/>
      <c r="JEJ20" s="292"/>
      <c r="JEK20" s="292"/>
      <c r="JEL20" s="292"/>
      <c r="JEM20" s="292"/>
      <c r="JEN20" s="292"/>
      <c r="JEO20" s="292"/>
      <c r="JEP20" s="292"/>
      <c r="JEQ20" s="292"/>
      <c r="JER20" s="292"/>
      <c r="JES20" s="292"/>
      <c r="JET20" s="292"/>
      <c r="JEU20" s="292"/>
      <c r="JEV20" s="292"/>
      <c r="JEW20" s="292"/>
      <c r="JEX20" s="292"/>
      <c r="JEY20" s="292"/>
      <c r="JEZ20" s="292"/>
      <c r="JFA20" s="292"/>
      <c r="JFB20" s="292"/>
      <c r="JFC20" s="292"/>
      <c r="JFD20" s="292"/>
      <c r="JFE20" s="292"/>
      <c r="JFF20" s="292"/>
      <c r="JFG20" s="292"/>
      <c r="JFH20" s="292"/>
      <c r="JFI20" s="292"/>
      <c r="JFJ20" s="292"/>
      <c r="JFK20" s="292"/>
      <c r="JFL20" s="292"/>
      <c r="JFM20" s="292"/>
      <c r="JFN20" s="292"/>
      <c r="JFO20" s="292"/>
      <c r="JFP20" s="292"/>
      <c r="JFQ20" s="292"/>
      <c r="JFR20" s="292"/>
      <c r="JFS20" s="292"/>
      <c r="JFT20" s="292"/>
      <c r="JFU20" s="292"/>
      <c r="JFV20" s="292"/>
      <c r="JFW20" s="292"/>
      <c r="JFX20" s="292"/>
      <c r="JFY20" s="292"/>
      <c r="JFZ20" s="292"/>
      <c r="JGA20" s="292"/>
      <c r="JGB20" s="292"/>
      <c r="JGC20" s="292"/>
      <c r="JGD20" s="292"/>
      <c r="JGE20" s="292"/>
      <c r="JGF20" s="292"/>
      <c r="JGG20" s="292"/>
      <c r="JGH20" s="292"/>
      <c r="JGI20" s="292"/>
      <c r="JGJ20" s="292"/>
      <c r="JGK20" s="292"/>
      <c r="JGL20" s="292"/>
      <c r="JGM20" s="292"/>
      <c r="JGN20" s="292"/>
      <c r="JGO20" s="292"/>
      <c r="JGP20" s="292"/>
      <c r="JGQ20" s="292"/>
      <c r="JGR20" s="292"/>
      <c r="JGS20" s="292"/>
      <c r="JGT20" s="292"/>
      <c r="JGU20" s="292"/>
      <c r="JGV20" s="292"/>
      <c r="JGW20" s="292"/>
      <c r="JGX20" s="292"/>
      <c r="JGY20" s="292"/>
      <c r="JGZ20" s="292"/>
      <c r="JHA20" s="292"/>
      <c r="JHB20" s="292"/>
      <c r="JHC20" s="292"/>
      <c r="JHD20" s="292"/>
      <c r="JHE20" s="292"/>
      <c r="JHF20" s="292"/>
      <c r="JHG20" s="292"/>
      <c r="JHH20" s="292"/>
      <c r="JHI20" s="292"/>
      <c r="JHJ20" s="292"/>
      <c r="JHK20" s="292"/>
      <c r="JHL20" s="292"/>
      <c r="JHM20" s="292"/>
      <c r="JHN20" s="292"/>
      <c r="JHO20" s="292"/>
      <c r="JHP20" s="292"/>
      <c r="JHQ20" s="292"/>
      <c r="JHR20" s="292"/>
      <c r="JHS20" s="292"/>
      <c r="JHT20" s="292"/>
      <c r="JHU20" s="292"/>
      <c r="JHV20" s="292"/>
      <c r="JHW20" s="292"/>
      <c r="JHX20" s="292"/>
      <c r="JHY20" s="292"/>
      <c r="JHZ20" s="292"/>
      <c r="JIA20" s="292"/>
      <c r="JIB20" s="292"/>
      <c r="JIC20" s="292"/>
      <c r="JID20" s="292"/>
      <c r="JIE20" s="292"/>
      <c r="JIF20" s="292"/>
      <c r="JIG20" s="292"/>
      <c r="JIH20" s="292"/>
      <c r="JII20" s="292"/>
      <c r="JIJ20" s="292"/>
      <c r="JIK20" s="292"/>
      <c r="JIL20" s="292"/>
      <c r="JIM20" s="292"/>
      <c r="JIN20" s="292"/>
      <c r="JIO20" s="292"/>
      <c r="JIP20" s="292"/>
      <c r="JIQ20" s="292"/>
      <c r="JIR20" s="292"/>
      <c r="JIS20" s="292"/>
      <c r="JIT20" s="292"/>
      <c r="JIU20" s="292"/>
      <c r="JIV20" s="292"/>
      <c r="JIW20" s="292"/>
      <c r="JIX20" s="292"/>
      <c r="JIY20" s="292"/>
      <c r="JIZ20" s="292"/>
      <c r="JJA20" s="292"/>
      <c r="JJB20" s="292"/>
      <c r="JJC20" s="292"/>
      <c r="JJD20" s="292"/>
      <c r="JJE20" s="292"/>
      <c r="JJF20" s="292"/>
      <c r="JJG20" s="292"/>
      <c r="JJH20" s="292"/>
      <c r="JJI20" s="292"/>
      <c r="JJJ20" s="292"/>
      <c r="JJK20" s="292"/>
      <c r="JJL20" s="292"/>
      <c r="JJM20" s="292"/>
      <c r="JJN20" s="292"/>
      <c r="JJO20" s="292"/>
      <c r="JJP20" s="292"/>
      <c r="JJQ20" s="292"/>
      <c r="JJR20" s="292"/>
      <c r="JJS20" s="292"/>
      <c r="JJT20" s="292"/>
      <c r="JJU20" s="292"/>
      <c r="JJV20" s="292"/>
      <c r="JJW20" s="292"/>
      <c r="JJX20" s="292"/>
      <c r="JJY20" s="292"/>
      <c r="JJZ20" s="292"/>
      <c r="JKA20" s="292"/>
      <c r="JKB20" s="292"/>
      <c r="JKC20" s="292"/>
      <c r="JKD20" s="292"/>
      <c r="JKE20" s="292"/>
      <c r="JKF20" s="292"/>
      <c r="JKG20" s="292"/>
      <c r="JKH20" s="292"/>
      <c r="JKI20" s="292"/>
      <c r="JKJ20" s="292"/>
      <c r="JKK20" s="292"/>
      <c r="JKL20" s="292"/>
      <c r="JKM20" s="292"/>
      <c r="JKN20" s="292"/>
      <c r="JKO20" s="292"/>
      <c r="JKP20" s="292"/>
      <c r="JKQ20" s="292"/>
      <c r="JKR20" s="292"/>
      <c r="JKS20" s="292"/>
      <c r="JKT20" s="292"/>
      <c r="JKU20" s="292"/>
      <c r="JKV20" s="292"/>
      <c r="JKW20" s="292"/>
      <c r="JKX20" s="292"/>
      <c r="JKY20" s="292"/>
      <c r="JKZ20" s="292"/>
      <c r="JLA20" s="292"/>
      <c r="JLB20" s="292"/>
      <c r="JLC20" s="292"/>
      <c r="JLD20" s="292"/>
      <c r="JLE20" s="292"/>
      <c r="JLF20" s="292"/>
      <c r="JLG20" s="292"/>
      <c r="JLH20" s="292"/>
      <c r="JLI20" s="292"/>
      <c r="JLJ20" s="292"/>
      <c r="JLK20" s="292"/>
      <c r="JLL20" s="292"/>
      <c r="JLM20" s="292"/>
      <c r="JLN20" s="292"/>
      <c r="JLO20" s="292"/>
      <c r="JLP20" s="292"/>
      <c r="JLQ20" s="292"/>
      <c r="JLR20" s="292"/>
      <c r="JLS20" s="292"/>
      <c r="JLT20" s="292"/>
      <c r="JLU20" s="292"/>
      <c r="JLV20" s="292"/>
      <c r="JLW20" s="292"/>
      <c r="JLX20" s="292"/>
      <c r="JLY20" s="292"/>
      <c r="JLZ20" s="292"/>
      <c r="JMA20" s="292"/>
      <c r="JMB20" s="292"/>
      <c r="JMC20" s="292"/>
      <c r="JMD20" s="292"/>
      <c r="JME20" s="292"/>
      <c r="JMF20" s="292"/>
      <c r="JMG20" s="292"/>
      <c r="JMH20" s="292"/>
      <c r="JMI20" s="292"/>
      <c r="JMJ20" s="292"/>
      <c r="JMK20" s="292"/>
      <c r="JML20" s="292"/>
      <c r="JMM20" s="292"/>
      <c r="JMN20" s="292"/>
      <c r="JMO20" s="292"/>
      <c r="JMP20" s="292"/>
      <c r="JMQ20" s="292"/>
      <c r="JMR20" s="292"/>
      <c r="JMS20" s="292"/>
      <c r="JMT20" s="292"/>
      <c r="JMU20" s="292"/>
      <c r="JMV20" s="292"/>
      <c r="JMW20" s="292"/>
      <c r="JMX20" s="292"/>
      <c r="JMY20" s="292"/>
      <c r="JMZ20" s="292"/>
      <c r="JNA20" s="292"/>
      <c r="JNB20" s="292"/>
      <c r="JNC20" s="292"/>
      <c r="JND20" s="292"/>
      <c r="JNE20" s="292"/>
      <c r="JNF20" s="292"/>
      <c r="JNG20" s="292"/>
      <c r="JNH20" s="292"/>
      <c r="JNI20" s="292"/>
      <c r="JNJ20" s="292"/>
      <c r="JNK20" s="292"/>
      <c r="JNL20" s="292"/>
      <c r="JNM20" s="292"/>
      <c r="JNN20" s="292"/>
      <c r="JNO20" s="292"/>
      <c r="JNP20" s="292"/>
      <c r="JNQ20" s="292"/>
      <c r="JNR20" s="292"/>
      <c r="JNS20" s="292"/>
      <c r="JNT20" s="292"/>
      <c r="JNU20" s="292"/>
      <c r="JNV20" s="292"/>
      <c r="JNW20" s="292"/>
      <c r="JNX20" s="292"/>
      <c r="JNY20" s="292"/>
      <c r="JNZ20" s="292"/>
      <c r="JOA20" s="292"/>
      <c r="JOB20" s="292"/>
      <c r="JOC20" s="292"/>
      <c r="JOD20" s="292"/>
      <c r="JOE20" s="292"/>
      <c r="JOF20" s="292"/>
      <c r="JOG20" s="292"/>
      <c r="JOH20" s="292"/>
      <c r="JOI20" s="292"/>
      <c r="JOJ20" s="292"/>
      <c r="JOK20" s="292"/>
      <c r="JOL20" s="292"/>
      <c r="JOM20" s="292"/>
      <c r="JON20" s="292"/>
      <c r="JOO20" s="292"/>
      <c r="JOP20" s="292"/>
      <c r="JOQ20" s="292"/>
      <c r="JOR20" s="292"/>
      <c r="JOS20" s="292"/>
      <c r="JOT20" s="292"/>
      <c r="JOU20" s="292"/>
      <c r="JOV20" s="292"/>
      <c r="JOW20" s="292"/>
      <c r="JOX20" s="292"/>
      <c r="JOY20" s="292"/>
      <c r="JOZ20" s="292"/>
      <c r="JPA20" s="292"/>
      <c r="JPB20" s="292"/>
      <c r="JPC20" s="292"/>
      <c r="JPD20" s="292"/>
      <c r="JPE20" s="292"/>
      <c r="JPF20" s="292"/>
      <c r="JPG20" s="292"/>
      <c r="JPH20" s="292"/>
      <c r="JPI20" s="292"/>
      <c r="JPJ20" s="292"/>
      <c r="JPK20" s="292"/>
      <c r="JPL20" s="292"/>
      <c r="JPM20" s="292"/>
      <c r="JPN20" s="292"/>
      <c r="JPO20" s="292"/>
      <c r="JPP20" s="292"/>
      <c r="JPQ20" s="292"/>
      <c r="JPR20" s="292"/>
      <c r="JPS20" s="292"/>
      <c r="JPT20" s="292"/>
      <c r="JPU20" s="292"/>
      <c r="JPV20" s="292"/>
      <c r="JPW20" s="292"/>
      <c r="JPX20" s="292"/>
      <c r="JPY20" s="292"/>
      <c r="JPZ20" s="292"/>
      <c r="JQA20" s="292"/>
      <c r="JQB20" s="292"/>
      <c r="JQC20" s="292"/>
      <c r="JQD20" s="292"/>
      <c r="JQE20" s="292"/>
      <c r="JQF20" s="292"/>
      <c r="JQG20" s="292"/>
      <c r="JQH20" s="292"/>
      <c r="JQI20" s="292"/>
      <c r="JQJ20" s="292"/>
      <c r="JQK20" s="292"/>
      <c r="JQL20" s="292"/>
      <c r="JQM20" s="292"/>
      <c r="JQN20" s="292"/>
      <c r="JQO20" s="292"/>
      <c r="JQP20" s="292"/>
      <c r="JQQ20" s="292"/>
      <c r="JQR20" s="292"/>
      <c r="JQS20" s="292"/>
      <c r="JQT20" s="292"/>
      <c r="JQU20" s="292"/>
      <c r="JQV20" s="292"/>
      <c r="JQW20" s="292"/>
      <c r="JQX20" s="292"/>
      <c r="JQY20" s="292"/>
      <c r="JQZ20" s="292"/>
      <c r="JRA20" s="292"/>
      <c r="JRB20" s="292"/>
      <c r="JRC20" s="292"/>
      <c r="JRD20" s="292"/>
      <c r="JRE20" s="292"/>
      <c r="JRF20" s="292"/>
      <c r="JRG20" s="292"/>
      <c r="JRH20" s="292"/>
      <c r="JRI20" s="292"/>
      <c r="JRJ20" s="292"/>
      <c r="JRK20" s="292"/>
      <c r="JRL20" s="292"/>
      <c r="JRM20" s="292"/>
      <c r="JRN20" s="292"/>
      <c r="JRO20" s="292"/>
      <c r="JRP20" s="292"/>
      <c r="JRQ20" s="292"/>
      <c r="JRR20" s="292"/>
      <c r="JRS20" s="292"/>
      <c r="JRT20" s="292"/>
      <c r="JRU20" s="292"/>
      <c r="JRV20" s="292"/>
      <c r="JRW20" s="292"/>
      <c r="JRX20" s="292"/>
      <c r="JRY20" s="292"/>
      <c r="JRZ20" s="292"/>
      <c r="JSA20" s="292"/>
      <c r="JSB20" s="292"/>
      <c r="JSC20" s="292"/>
      <c r="JSD20" s="292"/>
      <c r="JSE20" s="292"/>
      <c r="JSF20" s="292"/>
      <c r="JSG20" s="292"/>
      <c r="JSH20" s="292"/>
      <c r="JSI20" s="292"/>
      <c r="JSJ20" s="292"/>
      <c r="JSK20" s="292"/>
      <c r="JSL20" s="292"/>
      <c r="JSM20" s="292"/>
      <c r="JSN20" s="292"/>
      <c r="JSO20" s="292"/>
      <c r="JSP20" s="292"/>
      <c r="JSQ20" s="292"/>
      <c r="JSR20" s="292"/>
      <c r="JSS20" s="292"/>
      <c r="JST20" s="292"/>
      <c r="JSU20" s="292"/>
      <c r="JSV20" s="292"/>
      <c r="JSW20" s="292"/>
      <c r="JSX20" s="292"/>
      <c r="JSY20" s="292"/>
      <c r="JSZ20" s="292"/>
      <c r="JTA20" s="292"/>
      <c r="JTB20" s="292"/>
      <c r="JTC20" s="292"/>
      <c r="JTD20" s="292"/>
      <c r="JTE20" s="292"/>
      <c r="JTF20" s="292"/>
      <c r="JTG20" s="292"/>
      <c r="JTH20" s="292"/>
      <c r="JTI20" s="292"/>
      <c r="JTJ20" s="292"/>
      <c r="JTK20" s="292"/>
      <c r="JTL20" s="292"/>
      <c r="JTM20" s="292"/>
      <c r="JTN20" s="292"/>
      <c r="JTO20" s="292"/>
      <c r="JTP20" s="292"/>
      <c r="JTQ20" s="292"/>
      <c r="JTR20" s="292"/>
      <c r="JTS20" s="292"/>
      <c r="JTT20" s="292"/>
      <c r="JTU20" s="292"/>
      <c r="JTV20" s="292"/>
      <c r="JTW20" s="292"/>
      <c r="JTX20" s="292"/>
      <c r="JTY20" s="292"/>
      <c r="JTZ20" s="292"/>
      <c r="JUA20" s="292"/>
      <c r="JUB20" s="292"/>
      <c r="JUC20" s="292"/>
      <c r="JUD20" s="292"/>
      <c r="JUE20" s="292"/>
      <c r="JUF20" s="292"/>
      <c r="JUG20" s="292"/>
      <c r="JUH20" s="292"/>
      <c r="JUI20" s="292"/>
      <c r="JUJ20" s="292"/>
      <c r="JUK20" s="292"/>
      <c r="JUL20" s="292"/>
      <c r="JUM20" s="292"/>
      <c r="JUN20" s="292"/>
      <c r="JUO20" s="292"/>
      <c r="JUP20" s="292"/>
      <c r="JUQ20" s="292"/>
      <c r="JUR20" s="292"/>
      <c r="JUS20" s="292"/>
      <c r="JUT20" s="292"/>
      <c r="JUU20" s="292"/>
      <c r="JUV20" s="292"/>
      <c r="JUW20" s="292"/>
      <c r="JUX20" s="292"/>
      <c r="JUY20" s="292"/>
      <c r="JUZ20" s="292"/>
      <c r="JVA20" s="292"/>
      <c r="JVB20" s="292"/>
      <c r="JVC20" s="292"/>
      <c r="JVD20" s="292"/>
      <c r="JVE20" s="292"/>
      <c r="JVF20" s="292"/>
      <c r="JVG20" s="292"/>
      <c r="JVH20" s="292"/>
      <c r="JVI20" s="292"/>
      <c r="JVJ20" s="292"/>
      <c r="JVK20" s="292"/>
      <c r="JVL20" s="292"/>
      <c r="JVM20" s="292"/>
      <c r="JVN20" s="292"/>
      <c r="JVO20" s="292"/>
      <c r="JVP20" s="292"/>
      <c r="JVQ20" s="292"/>
      <c r="JVR20" s="292"/>
      <c r="JVS20" s="292"/>
      <c r="JVT20" s="292"/>
      <c r="JVU20" s="292"/>
      <c r="JVV20" s="292"/>
      <c r="JVW20" s="292"/>
      <c r="JVX20" s="292"/>
      <c r="JVY20" s="292"/>
      <c r="JVZ20" s="292"/>
      <c r="JWA20" s="292"/>
      <c r="JWB20" s="292"/>
      <c r="JWC20" s="292"/>
      <c r="JWD20" s="292"/>
      <c r="JWE20" s="292"/>
      <c r="JWF20" s="292"/>
      <c r="JWG20" s="292"/>
      <c r="JWH20" s="292"/>
      <c r="JWI20" s="292"/>
      <c r="JWJ20" s="292"/>
      <c r="JWK20" s="292"/>
      <c r="JWL20" s="292"/>
      <c r="JWM20" s="292"/>
      <c r="JWN20" s="292"/>
      <c r="JWO20" s="292"/>
      <c r="JWP20" s="292"/>
      <c r="JWQ20" s="292"/>
      <c r="JWR20" s="292"/>
      <c r="JWS20" s="292"/>
      <c r="JWT20" s="292"/>
      <c r="JWU20" s="292"/>
      <c r="JWV20" s="292"/>
      <c r="JWW20" s="292"/>
      <c r="JWX20" s="292"/>
      <c r="JWY20" s="292"/>
      <c r="JWZ20" s="292"/>
      <c r="JXA20" s="292"/>
      <c r="JXB20" s="292"/>
      <c r="JXC20" s="292"/>
      <c r="JXD20" s="292"/>
      <c r="JXE20" s="292"/>
      <c r="JXF20" s="292"/>
      <c r="JXG20" s="292"/>
      <c r="JXH20" s="292"/>
      <c r="JXI20" s="292"/>
      <c r="JXJ20" s="292"/>
      <c r="JXK20" s="292"/>
      <c r="JXL20" s="292"/>
      <c r="JXM20" s="292"/>
      <c r="JXN20" s="292"/>
      <c r="JXO20" s="292"/>
      <c r="JXP20" s="292"/>
      <c r="JXQ20" s="292"/>
      <c r="JXR20" s="292"/>
      <c r="JXS20" s="292"/>
      <c r="JXT20" s="292"/>
      <c r="JXU20" s="292"/>
      <c r="JXV20" s="292"/>
      <c r="JXW20" s="292"/>
      <c r="JXX20" s="292"/>
      <c r="JXY20" s="292"/>
      <c r="JXZ20" s="292"/>
      <c r="JYA20" s="292"/>
      <c r="JYB20" s="292"/>
      <c r="JYC20" s="292"/>
      <c r="JYD20" s="292"/>
      <c r="JYE20" s="292"/>
      <c r="JYF20" s="292"/>
      <c r="JYG20" s="292"/>
      <c r="JYH20" s="292"/>
      <c r="JYI20" s="292"/>
      <c r="JYJ20" s="292"/>
      <c r="JYK20" s="292"/>
      <c r="JYL20" s="292"/>
      <c r="JYM20" s="292"/>
      <c r="JYN20" s="292"/>
      <c r="JYO20" s="292"/>
      <c r="JYP20" s="292"/>
      <c r="JYQ20" s="292"/>
      <c r="JYR20" s="292"/>
      <c r="JYS20" s="292"/>
      <c r="JYT20" s="292"/>
      <c r="JYU20" s="292"/>
      <c r="JYV20" s="292"/>
      <c r="JYW20" s="292"/>
      <c r="JYX20" s="292"/>
      <c r="JYY20" s="292"/>
      <c r="JYZ20" s="292"/>
      <c r="JZA20" s="292"/>
      <c r="JZB20" s="292"/>
      <c r="JZC20" s="292"/>
      <c r="JZD20" s="292"/>
      <c r="JZE20" s="292"/>
      <c r="JZF20" s="292"/>
      <c r="JZG20" s="292"/>
      <c r="JZH20" s="292"/>
      <c r="JZI20" s="292"/>
      <c r="JZJ20" s="292"/>
      <c r="JZK20" s="292"/>
      <c r="JZL20" s="292"/>
      <c r="JZM20" s="292"/>
      <c r="JZN20" s="292"/>
      <c r="JZO20" s="292"/>
      <c r="JZP20" s="292"/>
      <c r="JZQ20" s="292"/>
      <c r="JZR20" s="292"/>
      <c r="JZS20" s="292"/>
      <c r="JZT20" s="292"/>
      <c r="JZU20" s="292"/>
      <c r="JZV20" s="292"/>
      <c r="JZW20" s="292"/>
      <c r="JZX20" s="292"/>
      <c r="JZY20" s="292"/>
      <c r="JZZ20" s="292"/>
      <c r="KAA20" s="292"/>
      <c r="KAB20" s="292"/>
      <c r="KAC20" s="292"/>
      <c r="KAD20" s="292"/>
      <c r="KAE20" s="292"/>
      <c r="KAF20" s="292"/>
      <c r="KAG20" s="292"/>
      <c r="KAH20" s="292"/>
      <c r="KAI20" s="292"/>
      <c r="KAJ20" s="292"/>
      <c r="KAK20" s="292"/>
      <c r="KAL20" s="292"/>
      <c r="KAM20" s="292"/>
      <c r="KAN20" s="292"/>
      <c r="KAO20" s="292"/>
      <c r="KAP20" s="292"/>
      <c r="KAQ20" s="292"/>
      <c r="KAR20" s="292"/>
      <c r="KAS20" s="292"/>
      <c r="KAT20" s="292"/>
      <c r="KAU20" s="292"/>
      <c r="KAV20" s="292"/>
      <c r="KAW20" s="292"/>
      <c r="KAX20" s="292"/>
      <c r="KAY20" s="292"/>
      <c r="KAZ20" s="292"/>
      <c r="KBA20" s="292"/>
      <c r="KBB20" s="292"/>
      <c r="KBC20" s="292"/>
      <c r="KBD20" s="292"/>
      <c r="KBE20" s="292"/>
      <c r="KBF20" s="292"/>
      <c r="KBG20" s="292"/>
      <c r="KBH20" s="292"/>
      <c r="KBI20" s="292"/>
      <c r="KBJ20" s="292"/>
      <c r="KBK20" s="292"/>
      <c r="KBL20" s="292"/>
      <c r="KBM20" s="292"/>
      <c r="KBN20" s="292"/>
      <c r="KBO20" s="292"/>
      <c r="KBP20" s="292"/>
      <c r="KBQ20" s="292"/>
      <c r="KBR20" s="292"/>
      <c r="KBS20" s="292"/>
      <c r="KBT20" s="292"/>
      <c r="KBU20" s="292"/>
      <c r="KBV20" s="292"/>
      <c r="KBW20" s="292"/>
      <c r="KBX20" s="292"/>
      <c r="KBY20" s="292"/>
      <c r="KBZ20" s="292"/>
      <c r="KCA20" s="292"/>
      <c r="KCB20" s="292"/>
      <c r="KCC20" s="292"/>
      <c r="KCD20" s="292"/>
      <c r="KCE20" s="292"/>
      <c r="KCF20" s="292"/>
      <c r="KCG20" s="292"/>
      <c r="KCH20" s="292"/>
      <c r="KCI20" s="292"/>
      <c r="KCJ20" s="292"/>
      <c r="KCK20" s="292"/>
      <c r="KCL20" s="292"/>
      <c r="KCM20" s="292"/>
      <c r="KCN20" s="292"/>
      <c r="KCO20" s="292"/>
      <c r="KCP20" s="292"/>
      <c r="KCQ20" s="292"/>
      <c r="KCR20" s="292"/>
      <c r="KCS20" s="292"/>
      <c r="KCT20" s="292"/>
      <c r="KCU20" s="292"/>
      <c r="KCV20" s="292"/>
      <c r="KCW20" s="292"/>
      <c r="KCX20" s="292"/>
      <c r="KCY20" s="292"/>
      <c r="KCZ20" s="292"/>
      <c r="KDA20" s="292"/>
      <c r="KDB20" s="292"/>
      <c r="KDC20" s="292"/>
      <c r="KDD20" s="292"/>
      <c r="KDE20" s="292"/>
      <c r="KDF20" s="292"/>
      <c r="KDG20" s="292"/>
      <c r="KDH20" s="292"/>
      <c r="KDI20" s="292"/>
      <c r="KDJ20" s="292"/>
      <c r="KDK20" s="292"/>
      <c r="KDL20" s="292"/>
      <c r="KDM20" s="292"/>
      <c r="KDN20" s="292"/>
      <c r="KDO20" s="292"/>
      <c r="KDP20" s="292"/>
      <c r="KDQ20" s="292"/>
      <c r="KDR20" s="292"/>
      <c r="KDS20" s="292"/>
      <c r="KDT20" s="292"/>
      <c r="KDU20" s="292"/>
      <c r="KDV20" s="292"/>
      <c r="KDW20" s="292"/>
      <c r="KDX20" s="292"/>
      <c r="KDY20" s="292"/>
      <c r="KDZ20" s="292"/>
      <c r="KEA20" s="292"/>
      <c r="KEB20" s="292"/>
      <c r="KEC20" s="292"/>
      <c r="KED20" s="292"/>
      <c r="KEE20" s="292"/>
      <c r="KEF20" s="292"/>
      <c r="KEG20" s="292"/>
      <c r="KEH20" s="292"/>
      <c r="KEI20" s="292"/>
      <c r="KEJ20" s="292"/>
      <c r="KEK20" s="292"/>
      <c r="KEL20" s="292"/>
      <c r="KEM20" s="292"/>
      <c r="KEN20" s="292"/>
      <c r="KEO20" s="292"/>
      <c r="KEP20" s="292"/>
      <c r="KEQ20" s="292"/>
      <c r="KER20" s="292"/>
      <c r="KES20" s="292"/>
      <c r="KET20" s="292"/>
      <c r="KEU20" s="292"/>
      <c r="KEV20" s="292"/>
      <c r="KEW20" s="292"/>
      <c r="KEX20" s="292"/>
      <c r="KEY20" s="292"/>
      <c r="KEZ20" s="292"/>
      <c r="KFA20" s="292"/>
      <c r="KFB20" s="292"/>
      <c r="KFC20" s="292"/>
      <c r="KFD20" s="292"/>
      <c r="KFE20" s="292"/>
      <c r="KFF20" s="292"/>
      <c r="KFG20" s="292"/>
      <c r="KFH20" s="292"/>
      <c r="KFI20" s="292"/>
      <c r="KFJ20" s="292"/>
      <c r="KFK20" s="292"/>
      <c r="KFL20" s="292"/>
      <c r="KFM20" s="292"/>
      <c r="KFN20" s="292"/>
      <c r="KFO20" s="292"/>
      <c r="KFP20" s="292"/>
      <c r="KFQ20" s="292"/>
      <c r="KFR20" s="292"/>
      <c r="KFS20" s="292"/>
      <c r="KFT20" s="292"/>
      <c r="KFU20" s="292"/>
      <c r="KFV20" s="292"/>
      <c r="KFW20" s="292"/>
      <c r="KFX20" s="292"/>
      <c r="KFY20" s="292"/>
      <c r="KFZ20" s="292"/>
      <c r="KGA20" s="292"/>
      <c r="KGB20" s="292"/>
      <c r="KGC20" s="292"/>
      <c r="KGD20" s="292"/>
      <c r="KGE20" s="292"/>
      <c r="KGF20" s="292"/>
      <c r="KGG20" s="292"/>
      <c r="KGH20" s="292"/>
      <c r="KGI20" s="292"/>
      <c r="KGJ20" s="292"/>
      <c r="KGK20" s="292"/>
      <c r="KGL20" s="292"/>
      <c r="KGM20" s="292"/>
      <c r="KGN20" s="292"/>
      <c r="KGO20" s="292"/>
      <c r="KGP20" s="292"/>
      <c r="KGQ20" s="292"/>
      <c r="KGR20" s="292"/>
      <c r="KGS20" s="292"/>
      <c r="KGT20" s="292"/>
      <c r="KGU20" s="292"/>
      <c r="KGV20" s="292"/>
      <c r="KGW20" s="292"/>
      <c r="KGX20" s="292"/>
      <c r="KGY20" s="292"/>
      <c r="KGZ20" s="292"/>
      <c r="KHA20" s="292"/>
      <c r="KHB20" s="292"/>
      <c r="KHC20" s="292"/>
      <c r="KHD20" s="292"/>
      <c r="KHE20" s="292"/>
      <c r="KHF20" s="292"/>
      <c r="KHG20" s="292"/>
      <c r="KHH20" s="292"/>
      <c r="KHI20" s="292"/>
      <c r="KHJ20" s="292"/>
      <c r="KHK20" s="292"/>
      <c r="KHL20" s="292"/>
      <c r="KHM20" s="292"/>
      <c r="KHN20" s="292"/>
      <c r="KHO20" s="292"/>
      <c r="KHP20" s="292"/>
      <c r="KHQ20" s="292"/>
      <c r="KHR20" s="292"/>
      <c r="KHS20" s="292"/>
      <c r="KHT20" s="292"/>
      <c r="KHU20" s="292"/>
      <c r="KHV20" s="292"/>
      <c r="KHW20" s="292"/>
      <c r="KHX20" s="292"/>
      <c r="KHY20" s="292"/>
      <c r="KHZ20" s="292"/>
      <c r="KIA20" s="292"/>
      <c r="KIB20" s="292"/>
      <c r="KIC20" s="292"/>
      <c r="KID20" s="292"/>
      <c r="KIE20" s="292"/>
      <c r="KIF20" s="292"/>
      <c r="KIG20" s="292"/>
      <c r="KIH20" s="292"/>
      <c r="KII20" s="292"/>
      <c r="KIJ20" s="292"/>
      <c r="KIK20" s="292"/>
      <c r="KIL20" s="292"/>
      <c r="KIM20" s="292"/>
      <c r="KIN20" s="292"/>
      <c r="KIO20" s="292"/>
      <c r="KIP20" s="292"/>
      <c r="KIQ20" s="292"/>
      <c r="KIR20" s="292"/>
      <c r="KIS20" s="292"/>
      <c r="KIT20" s="292"/>
      <c r="KIU20" s="292"/>
      <c r="KIV20" s="292"/>
      <c r="KIW20" s="292"/>
      <c r="KIX20" s="292"/>
      <c r="KIY20" s="292"/>
      <c r="KIZ20" s="292"/>
      <c r="KJA20" s="292"/>
      <c r="KJB20" s="292"/>
      <c r="KJC20" s="292"/>
      <c r="KJD20" s="292"/>
      <c r="KJE20" s="292"/>
      <c r="KJF20" s="292"/>
      <c r="KJG20" s="292"/>
      <c r="KJH20" s="292"/>
      <c r="KJI20" s="292"/>
      <c r="KJJ20" s="292"/>
      <c r="KJK20" s="292"/>
      <c r="KJL20" s="292"/>
      <c r="KJM20" s="292"/>
      <c r="KJN20" s="292"/>
      <c r="KJO20" s="292"/>
      <c r="KJP20" s="292"/>
      <c r="KJQ20" s="292"/>
      <c r="KJR20" s="292"/>
      <c r="KJS20" s="292"/>
      <c r="KJT20" s="292"/>
      <c r="KJU20" s="292"/>
      <c r="KJV20" s="292"/>
      <c r="KJW20" s="292"/>
      <c r="KJX20" s="292"/>
      <c r="KJY20" s="292"/>
      <c r="KJZ20" s="292"/>
      <c r="KKA20" s="292"/>
      <c r="KKB20" s="292"/>
      <c r="KKC20" s="292"/>
      <c r="KKD20" s="292"/>
      <c r="KKE20" s="292"/>
      <c r="KKF20" s="292"/>
      <c r="KKG20" s="292"/>
      <c r="KKH20" s="292"/>
      <c r="KKI20" s="292"/>
      <c r="KKJ20" s="292"/>
      <c r="KKK20" s="292"/>
      <c r="KKL20" s="292"/>
      <c r="KKM20" s="292"/>
      <c r="KKN20" s="292"/>
      <c r="KKO20" s="292"/>
      <c r="KKP20" s="292"/>
      <c r="KKQ20" s="292"/>
      <c r="KKR20" s="292"/>
      <c r="KKS20" s="292"/>
      <c r="KKT20" s="292"/>
      <c r="KKU20" s="292"/>
      <c r="KKV20" s="292"/>
      <c r="KKW20" s="292"/>
      <c r="KKX20" s="292"/>
      <c r="KKY20" s="292"/>
      <c r="KKZ20" s="292"/>
      <c r="KLA20" s="292"/>
      <c r="KLB20" s="292"/>
      <c r="KLC20" s="292"/>
      <c r="KLD20" s="292"/>
      <c r="KLE20" s="292"/>
      <c r="KLF20" s="292"/>
      <c r="KLG20" s="292"/>
      <c r="KLH20" s="292"/>
      <c r="KLI20" s="292"/>
      <c r="KLJ20" s="292"/>
      <c r="KLK20" s="292"/>
      <c r="KLL20" s="292"/>
      <c r="KLM20" s="292"/>
      <c r="KLN20" s="292"/>
      <c r="KLO20" s="292"/>
      <c r="KLP20" s="292"/>
      <c r="KLQ20" s="292"/>
      <c r="KLR20" s="292"/>
      <c r="KLS20" s="292"/>
      <c r="KLT20" s="292"/>
      <c r="KLU20" s="292"/>
      <c r="KLV20" s="292"/>
      <c r="KLW20" s="292"/>
      <c r="KLX20" s="292"/>
      <c r="KLY20" s="292"/>
      <c r="KLZ20" s="292"/>
      <c r="KMA20" s="292"/>
      <c r="KMB20" s="292"/>
      <c r="KMC20" s="292"/>
      <c r="KMD20" s="292"/>
      <c r="KME20" s="292"/>
      <c r="KMF20" s="292"/>
      <c r="KMG20" s="292"/>
      <c r="KMH20" s="292"/>
      <c r="KMI20" s="292"/>
      <c r="KMJ20" s="292"/>
      <c r="KMK20" s="292"/>
      <c r="KML20" s="292"/>
      <c r="KMM20" s="292"/>
      <c r="KMN20" s="292"/>
      <c r="KMO20" s="292"/>
      <c r="KMP20" s="292"/>
      <c r="KMQ20" s="292"/>
      <c r="KMR20" s="292"/>
      <c r="KMS20" s="292"/>
      <c r="KMT20" s="292"/>
      <c r="KMU20" s="292"/>
      <c r="KMV20" s="292"/>
      <c r="KMW20" s="292"/>
      <c r="KMX20" s="292"/>
      <c r="KMY20" s="292"/>
      <c r="KMZ20" s="292"/>
      <c r="KNA20" s="292"/>
      <c r="KNB20" s="292"/>
      <c r="KNC20" s="292"/>
      <c r="KND20" s="292"/>
      <c r="KNE20" s="292"/>
      <c r="KNF20" s="292"/>
      <c r="KNG20" s="292"/>
      <c r="KNH20" s="292"/>
      <c r="KNI20" s="292"/>
      <c r="KNJ20" s="292"/>
      <c r="KNK20" s="292"/>
      <c r="KNL20" s="292"/>
      <c r="KNM20" s="292"/>
      <c r="KNN20" s="292"/>
      <c r="KNO20" s="292"/>
      <c r="KNP20" s="292"/>
      <c r="KNQ20" s="292"/>
      <c r="KNR20" s="292"/>
      <c r="KNS20" s="292"/>
      <c r="KNT20" s="292"/>
      <c r="KNU20" s="292"/>
      <c r="KNV20" s="292"/>
      <c r="KNW20" s="292"/>
      <c r="KNX20" s="292"/>
      <c r="KNY20" s="292"/>
      <c r="KNZ20" s="292"/>
      <c r="KOA20" s="292"/>
      <c r="KOB20" s="292"/>
      <c r="KOC20" s="292"/>
      <c r="KOD20" s="292"/>
      <c r="KOE20" s="292"/>
      <c r="KOF20" s="292"/>
      <c r="KOG20" s="292"/>
      <c r="KOH20" s="292"/>
      <c r="KOI20" s="292"/>
      <c r="KOJ20" s="292"/>
      <c r="KOK20" s="292"/>
      <c r="KOL20" s="292"/>
      <c r="KOM20" s="292"/>
      <c r="KON20" s="292"/>
      <c r="KOO20" s="292"/>
      <c r="KOP20" s="292"/>
      <c r="KOQ20" s="292"/>
      <c r="KOR20" s="292"/>
      <c r="KOS20" s="292"/>
      <c r="KOT20" s="292"/>
      <c r="KOU20" s="292"/>
      <c r="KOV20" s="292"/>
      <c r="KOW20" s="292"/>
      <c r="KOX20" s="292"/>
      <c r="KOY20" s="292"/>
      <c r="KOZ20" s="292"/>
      <c r="KPA20" s="292"/>
      <c r="KPB20" s="292"/>
      <c r="KPC20" s="292"/>
      <c r="KPD20" s="292"/>
      <c r="KPE20" s="292"/>
      <c r="KPF20" s="292"/>
      <c r="KPG20" s="292"/>
      <c r="KPH20" s="292"/>
      <c r="KPI20" s="292"/>
      <c r="KPJ20" s="292"/>
      <c r="KPK20" s="292"/>
      <c r="KPL20" s="292"/>
      <c r="KPM20" s="292"/>
      <c r="KPN20" s="292"/>
      <c r="KPO20" s="292"/>
      <c r="KPP20" s="292"/>
      <c r="KPQ20" s="292"/>
      <c r="KPR20" s="292"/>
      <c r="KPS20" s="292"/>
      <c r="KPT20" s="292"/>
      <c r="KPU20" s="292"/>
      <c r="KPV20" s="292"/>
      <c r="KPW20" s="292"/>
      <c r="KPX20" s="292"/>
      <c r="KPY20" s="292"/>
      <c r="KPZ20" s="292"/>
      <c r="KQA20" s="292"/>
      <c r="KQB20" s="292"/>
      <c r="KQC20" s="292"/>
      <c r="KQD20" s="292"/>
      <c r="KQE20" s="292"/>
      <c r="KQF20" s="292"/>
      <c r="KQG20" s="292"/>
      <c r="KQH20" s="292"/>
      <c r="KQI20" s="292"/>
      <c r="KQJ20" s="292"/>
      <c r="KQK20" s="292"/>
      <c r="KQL20" s="292"/>
      <c r="KQM20" s="292"/>
      <c r="KQN20" s="292"/>
      <c r="KQO20" s="292"/>
      <c r="KQP20" s="292"/>
      <c r="KQQ20" s="292"/>
      <c r="KQR20" s="292"/>
      <c r="KQS20" s="292"/>
      <c r="KQT20" s="292"/>
      <c r="KQU20" s="292"/>
      <c r="KQV20" s="292"/>
      <c r="KQW20" s="292"/>
      <c r="KQX20" s="292"/>
      <c r="KQY20" s="292"/>
      <c r="KQZ20" s="292"/>
      <c r="KRA20" s="292"/>
      <c r="KRB20" s="292"/>
      <c r="KRC20" s="292"/>
      <c r="KRD20" s="292"/>
      <c r="KRE20" s="292"/>
      <c r="KRF20" s="292"/>
      <c r="KRG20" s="292"/>
      <c r="KRH20" s="292"/>
      <c r="KRI20" s="292"/>
      <c r="KRJ20" s="292"/>
      <c r="KRK20" s="292"/>
      <c r="KRL20" s="292"/>
      <c r="KRM20" s="292"/>
      <c r="KRN20" s="292"/>
      <c r="KRO20" s="292"/>
      <c r="KRP20" s="292"/>
      <c r="KRQ20" s="292"/>
      <c r="KRR20" s="292"/>
      <c r="KRS20" s="292"/>
      <c r="KRT20" s="292"/>
      <c r="KRU20" s="292"/>
      <c r="KRV20" s="292"/>
      <c r="KRW20" s="292"/>
      <c r="KRX20" s="292"/>
      <c r="KRY20" s="292"/>
      <c r="KRZ20" s="292"/>
      <c r="KSA20" s="292"/>
      <c r="KSB20" s="292"/>
      <c r="KSC20" s="292"/>
      <c r="KSD20" s="292"/>
      <c r="KSE20" s="292"/>
      <c r="KSF20" s="292"/>
      <c r="KSG20" s="292"/>
      <c r="KSH20" s="292"/>
      <c r="KSI20" s="292"/>
      <c r="KSJ20" s="292"/>
      <c r="KSK20" s="292"/>
      <c r="KSL20" s="292"/>
      <c r="KSM20" s="292"/>
      <c r="KSN20" s="292"/>
      <c r="KSO20" s="292"/>
      <c r="KSP20" s="292"/>
      <c r="KSQ20" s="292"/>
      <c r="KSR20" s="292"/>
      <c r="KSS20" s="292"/>
      <c r="KST20" s="292"/>
      <c r="KSU20" s="292"/>
      <c r="KSV20" s="292"/>
      <c r="KSW20" s="292"/>
      <c r="KSX20" s="292"/>
      <c r="KSY20" s="292"/>
      <c r="KSZ20" s="292"/>
      <c r="KTA20" s="292"/>
      <c r="KTB20" s="292"/>
      <c r="KTC20" s="292"/>
      <c r="KTD20" s="292"/>
      <c r="KTE20" s="292"/>
      <c r="KTF20" s="292"/>
      <c r="KTG20" s="292"/>
      <c r="KTH20" s="292"/>
      <c r="KTI20" s="292"/>
      <c r="KTJ20" s="292"/>
      <c r="KTK20" s="292"/>
      <c r="KTL20" s="292"/>
      <c r="KTM20" s="292"/>
      <c r="KTN20" s="292"/>
      <c r="KTO20" s="292"/>
      <c r="KTP20" s="292"/>
      <c r="KTQ20" s="292"/>
      <c r="KTR20" s="292"/>
      <c r="KTS20" s="292"/>
      <c r="KTT20" s="292"/>
      <c r="KTU20" s="292"/>
      <c r="KTV20" s="292"/>
      <c r="KTW20" s="292"/>
      <c r="KTX20" s="292"/>
      <c r="KTY20" s="292"/>
      <c r="KTZ20" s="292"/>
      <c r="KUA20" s="292"/>
      <c r="KUB20" s="292"/>
      <c r="KUC20" s="292"/>
      <c r="KUD20" s="292"/>
      <c r="KUE20" s="292"/>
      <c r="KUF20" s="292"/>
      <c r="KUG20" s="292"/>
      <c r="KUH20" s="292"/>
      <c r="KUI20" s="292"/>
      <c r="KUJ20" s="292"/>
      <c r="KUK20" s="292"/>
      <c r="KUL20" s="292"/>
      <c r="KUM20" s="292"/>
      <c r="KUN20" s="292"/>
      <c r="KUO20" s="292"/>
      <c r="KUP20" s="292"/>
      <c r="KUQ20" s="292"/>
      <c r="KUR20" s="292"/>
      <c r="KUS20" s="292"/>
      <c r="KUT20" s="292"/>
      <c r="KUU20" s="292"/>
      <c r="KUV20" s="292"/>
      <c r="KUW20" s="292"/>
      <c r="KUX20" s="292"/>
      <c r="KUY20" s="292"/>
      <c r="KUZ20" s="292"/>
      <c r="KVA20" s="292"/>
      <c r="KVB20" s="292"/>
      <c r="KVC20" s="292"/>
      <c r="KVD20" s="292"/>
      <c r="KVE20" s="292"/>
      <c r="KVF20" s="292"/>
      <c r="KVG20" s="292"/>
      <c r="KVH20" s="292"/>
      <c r="KVI20" s="292"/>
      <c r="KVJ20" s="292"/>
      <c r="KVK20" s="292"/>
      <c r="KVL20" s="292"/>
      <c r="KVM20" s="292"/>
      <c r="KVN20" s="292"/>
      <c r="KVO20" s="292"/>
      <c r="KVP20" s="292"/>
      <c r="KVQ20" s="292"/>
      <c r="KVR20" s="292"/>
      <c r="KVS20" s="292"/>
      <c r="KVT20" s="292"/>
      <c r="KVU20" s="292"/>
      <c r="KVV20" s="292"/>
      <c r="KVW20" s="292"/>
      <c r="KVX20" s="292"/>
      <c r="KVY20" s="292"/>
      <c r="KVZ20" s="292"/>
      <c r="KWA20" s="292"/>
      <c r="KWB20" s="292"/>
      <c r="KWC20" s="292"/>
      <c r="KWD20" s="292"/>
      <c r="KWE20" s="292"/>
      <c r="KWF20" s="292"/>
      <c r="KWG20" s="292"/>
      <c r="KWH20" s="292"/>
      <c r="KWI20" s="292"/>
      <c r="KWJ20" s="292"/>
      <c r="KWK20" s="292"/>
      <c r="KWL20" s="292"/>
      <c r="KWM20" s="292"/>
      <c r="KWN20" s="292"/>
      <c r="KWO20" s="292"/>
      <c r="KWP20" s="292"/>
      <c r="KWQ20" s="292"/>
      <c r="KWR20" s="292"/>
      <c r="KWS20" s="292"/>
      <c r="KWT20" s="292"/>
      <c r="KWU20" s="292"/>
      <c r="KWV20" s="292"/>
      <c r="KWW20" s="292"/>
      <c r="KWX20" s="292"/>
      <c r="KWY20" s="292"/>
      <c r="KWZ20" s="292"/>
      <c r="KXA20" s="292"/>
      <c r="KXB20" s="292"/>
      <c r="KXC20" s="292"/>
      <c r="KXD20" s="292"/>
      <c r="KXE20" s="292"/>
      <c r="KXF20" s="292"/>
      <c r="KXG20" s="292"/>
      <c r="KXH20" s="292"/>
      <c r="KXI20" s="292"/>
      <c r="KXJ20" s="292"/>
      <c r="KXK20" s="292"/>
      <c r="KXL20" s="292"/>
      <c r="KXM20" s="292"/>
      <c r="KXN20" s="292"/>
      <c r="KXO20" s="292"/>
      <c r="KXP20" s="292"/>
      <c r="KXQ20" s="292"/>
      <c r="KXR20" s="292"/>
      <c r="KXS20" s="292"/>
      <c r="KXT20" s="292"/>
      <c r="KXU20" s="292"/>
      <c r="KXV20" s="292"/>
      <c r="KXW20" s="292"/>
      <c r="KXX20" s="292"/>
      <c r="KXY20" s="292"/>
      <c r="KXZ20" s="292"/>
      <c r="KYA20" s="292"/>
      <c r="KYB20" s="292"/>
      <c r="KYC20" s="292"/>
      <c r="KYD20" s="292"/>
      <c r="KYE20" s="292"/>
      <c r="KYF20" s="292"/>
      <c r="KYG20" s="292"/>
      <c r="KYH20" s="292"/>
      <c r="KYI20" s="292"/>
      <c r="KYJ20" s="292"/>
      <c r="KYK20" s="292"/>
      <c r="KYL20" s="292"/>
      <c r="KYM20" s="292"/>
      <c r="KYN20" s="292"/>
      <c r="KYO20" s="292"/>
      <c r="KYP20" s="292"/>
      <c r="KYQ20" s="292"/>
      <c r="KYR20" s="292"/>
      <c r="KYS20" s="292"/>
      <c r="KYT20" s="292"/>
      <c r="KYU20" s="292"/>
      <c r="KYV20" s="292"/>
      <c r="KYW20" s="292"/>
      <c r="KYX20" s="292"/>
      <c r="KYY20" s="292"/>
      <c r="KYZ20" s="292"/>
      <c r="KZA20" s="292"/>
      <c r="KZB20" s="292"/>
      <c r="KZC20" s="292"/>
      <c r="KZD20" s="292"/>
      <c r="KZE20" s="292"/>
      <c r="KZF20" s="292"/>
      <c r="KZG20" s="292"/>
      <c r="KZH20" s="292"/>
      <c r="KZI20" s="292"/>
      <c r="KZJ20" s="292"/>
      <c r="KZK20" s="292"/>
      <c r="KZL20" s="292"/>
      <c r="KZM20" s="292"/>
      <c r="KZN20" s="292"/>
      <c r="KZO20" s="292"/>
      <c r="KZP20" s="292"/>
      <c r="KZQ20" s="292"/>
      <c r="KZR20" s="292"/>
      <c r="KZS20" s="292"/>
      <c r="KZT20" s="292"/>
      <c r="KZU20" s="292"/>
      <c r="KZV20" s="292"/>
      <c r="KZW20" s="292"/>
      <c r="KZX20" s="292"/>
      <c r="KZY20" s="292"/>
      <c r="KZZ20" s="292"/>
      <c r="LAA20" s="292"/>
      <c r="LAB20" s="292"/>
      <c r="LAC20" s="292"/>
      <c r="LAD20" s="292"/>
      <c r="LAE20" s="292"/>
      <c r="LAF20" s="292"/>
      <c r="LAG20" s="292"/>
      <c r="LAH20" s="292"/>
      <c r="LAI20" s="292"/>
      <c r="LAJ20" s="292"/>
      <c r="LAK20" s="292"/>
      <c r="LAL20" s="292"/>
      <c r="LAM20" s="292"/>
      <c r="LAN20" s="292"/>
      <c r="LAO20" s="292"/>
      <c r="LAP20" s="292"/>
      <c r="LAQ20" s="292"/>
      <c r="LAR20" s="292"/>
      <c r="LAS20" s="292"/>
      <c r="LAT20" s="292"/>
      <c r="LAU20" s="292"/>
      <c r="LAV20" s="292"/>
      <c r="LAW20" s="292"/>
      <c r="LAX20" s="292"/>
      <c r="LAY20" s="292"/>
      <c r="LAZ20" s="292"/>
      <c r="LBA20" s="292"/>
      <c r="LBB20" s="292"/>
      <c r="LBC20" s="292"/>
      <c r="LBD20" s="292"/>
      <c r="LBE20" s="292"/>
      <c r="LBF20" s="292"/>
      <c r="LBG20" s="292"/>
      <c r="LBH20" s="292"/>
      <c r="LBI20" s="292"/>
      <c r="LBJ20" s="292"/>
      <c r="LBK20" s="292"/>
      <c r="LBL20" s="292"/>
      <c r="LBM20" s="292"/>
      <c r="LBN20" s="292"/>
      <c r="LBO20" s="292"/>
      <c r="LBP20" s="292"/>
      <c r="LBQ20" s="292"/>
      <c r="LBR20" s="292"/>
      <c r="LBS20" s="292"/>
      <c r="LBT20" s="292"/>
      <c r="LBU20" s="292"/>
      <c r="LBV20" s="292"/>
      <c r="LBW20" s="292"/>
      <c r="LBX20" s="292"/>
      <c r="LBY20" s="292"/>
      <c r="LBZ20" s="292"/>
      <c r="LCA20" s="292"/>
      <c r="LCB20" s="292"/>
      <c r="LCC20" s="292"/>
      <c r="LCD20" s="292"/>
      <c r="LCE20" s="292"/>
      <c r="LCF20" s="292"/>
      <c r="LCG20" s="292"/>
      <c r="LCH20" s="292"/>
      <c r="LCI20" s="292"/>
      <c r="LCJ20" s="292"/>
      <c r="LCK20" s="292"/>
      <c r="LCL20" s="292"/>
      <c r="LCM20" s="292"/>
      <c r="LCN20" s="292"/>
      <c r="LCO20" s="292"/>
      <c r="LCP20" s="292"/>
      <c r="LCQ20" s="292"/>
      <c r="LCR20" s="292"/>
      <c r="LCS20" s="292"/>
      <c r="LCT20" s="292"/>
      <c r="LCU20" s="292"/>
      <c r="LCV20" s="292"/>
      <c r="LCW20" s="292"/>
      <c r="LCX20" s="292"/>
      <c r="LCY20" s="292"/>
      <c r="LCZ20" s="292"/>
      <c r="LDA20" s="292"/>
      <c r="LDB20" s="292"/>
      <c r="LDC20" s="292"/>
      <c r="LDD20" s="292"/>
      <c r="LDE20" s="292"/>
      <c r="LDF20" s="292"/>
      <c r="LDG20" s="292"/>
      <c r="LDH20" s="292"/>
      <c r="LDI20" s="292"/>
      <c r="LDJ20" s="292"/>
      <c r="LDK20" s="292"/>
      <c r="LDL20" s="292"/>
      <c r="LDM20" s="292"/>
      <c r="LDN20" s="292"/>
      <c r="LDO20" s="292"/>
      <c r="LDP20" s="292"/>
      <c r="LDQ20" s="292"/>
      <c r="LDR20" s="292"/>
      <c r="LDS20" s="292"/>
      <c r="LDT20" s="292"/>
      <c r="LDU20" s="292"/>
      <c r="LDV20" s="292"/>
      <c r="LDW20" s="292"/>
      <c r="LDX20" s="292"/>
      <c r="LDY20" s="292"/>
      <c r="LDZ20" s="292"/>
      <c r="LEA20" s="292"/>
      <c r="LEB20" s="292"/>
      <c r="LEC20" s="292"/>
      <c r="LED20" s="292"/>
      <c r="LEE20" s="292"/>
      <c r="LEF20" s="292"/>
      <c r="LEG20" s="292"/>
      <c r="LEH20" s="292"/>
      <c r="LEI20" s="292"/>
      <c r="LEJ20" s="292"/>
      <c r="LEK20" s="292"/>
      <c r="LEL20" s="292"/>
      <c r="LEM20" s="292"/>
      <c r="LEN20" s="292"/>
      <c r="LEO20" s="292"/>
      <c r="LEP20" s="292"/>
      <c r="LEQ20" s="292"/>
      <c r="LER20" s="292"/>
      <c r="LES20" s="292"/>
      <c r="LET20" s="292"/>
      <c r="LEU20" s="292"/>
      <c r="LEV20" s="292"/>
      <c r="LEW20" s="292"/>
      <c r="LEX20" s="292"/>
      <c r="LEY20" s="292"/>
      <c r="LEZ20" s="292"/>
      <c r="LFA20" s="292"/>
      <c r="LFB20" s="292"/>
      <c r="LFC20" s="292"/>
      <c r="LFD20" s="292"/>
      <c r="LFE20" s="292"/>
      <c r="LFF20" s="292"/>
      <c r="LFG20" s="292"/>
      <c r="LFH20" s="292"/>
      <c r="LFI20" s="292"/>
      <c r="LFJ20" s="292"/>
      <c r="LFK20" s="292"/>
      <c r="LFL20" s="292"/>
      <c r="LFM20" s="292"/>
      <c r="LFN20" s="292"/>
      <c r="LFO20" s="292"/>
      <c r="LFP20" s="292"/>
      <c r="LFQ20" s="292"/>
      <c r="LFR20" s="292"/>
      <c r="LFS20" s="292"/>
      <c r="LFT20" s="292"/>
      <c r="LFU20" s="292"/>
      <c r="LFV20" s="292"/>
      <c r="LFW20" s="292"/>
      <c r="LFX20" s="292"/>
      <c r="LFY20" s="292"/>
      <c r="LFZ20" s="292"/>
      <c r="LGA20" s="292"/>
      <c r="LGB20" s="292"/>
      <c r="LGC20" s="292"/>
      <c r="LGD20" s="292"/>
      <c r="LGE20" s="292"/>
      <c r="LGF20" s="292"/>
      <c r="LGG20" s="292"/>
      <c r="LGH20" s="292"/>
      <c r="LGI20" s="292"/>
      <c r="LGJ20" s="292"/>
      <c r="LGK20" s="292"/>
      <c r="LGL20" s="292"/>
      <c r="LGM20" s="292"/>
      <c r="LGN20" s="292"/>
      <c r="LGO20" s="292"/>
      <c r="LGP20" s="292"/>
      <c r="LGQ20" s="292"/>
      <c r="LGR20" s="292"/>
      <c r="LGS20" s="292"/>
      <c r="LGT20" s="292"/>
      <c r="LGU20" s="292"/>
      <c r="LGV20" s="292"/>
      <c r="LGW20" s="292"/>
      <c r="LGX20" s="292"/>
      <c r="LGY20" s="292"/>
      <c r="LGZ20" s="292"/>
      <c r="LHA20" s="292"/>
      <c r="LHB20" s="292"/>
      <c r="LHC20" s="292"/>
      <c r="LHD20" s="292"/>
      <c r="LHE20" s="292"/>
      <c r="LHF20" s="292"/>
      <c r="LHG20" s="292"/>
      <c r="LHH20" s="292"/>
      <c r="LHI20" s="292"/>
      <c r="LHJ20" s="292"/>
      <c r="LHK20" s="292"/>
      <c r="LHL20" s="292"/>
      <c r="LHM20" s="292"/>
      <c r="LHN20" s="292"/>
      <c r="LHO20" s="292"/>
      <c r="LHP20" s="292"/>
      <c r="LHQ20" s="292"/>
      <c r="LHR20" s="292"/>
      <c r="LHS20" s="292"/>
      <c r="LHT20" s="292"/>
      <c r="LHU20" s="292"/>
      <c r="LHV20" s="292"/>
      <c r="LHW20" s="292"/>
      <c r="LHX20" s="292"/>
      <c r="LHY20" s="292"/>
      <c r="LHZ20" s="292"/>
      <c r="LIA20" s="292"/>
      <c r="LIB20" s="292"/>
      <c r="LIC20" s="292"/>
      <c r="LID20" s="292"/>
      <c r="LIE20" s="292"/>
      <c r="LIF20" s="292"/>
      <c r="LIG20" s="292"/>
      <c r="LIH20" s="292"/>
      <c r="LII20" s="292"/>
      <c r="LIJ20" s="292"/>
      <c r="LIK20" s="292"/>
      <c r="LIL20" s="292"/>
      <c r="LIM20" s="292"/>
      <c r="LIN20" s="292"/>
      <c r="LIO20" s="292"/>
      <c r="LIP20" s="292"/>
      <c r="LIQ20" s="292"/>
      <c r="LIR20" s="292"/>
      <c r="LIS20" s="292"/>
      <c r="LIT20" s="292"/>
      <c r="LIU20" s="292"/>
      <c r="LIV20" s="292"/>
      <c r="LIW20" s="292"/>
      <c r="LIX20" s="292"/>
      <c r="LIY20" s="292"/>
      <c r="LIZ20" s="292"/>
      <c r="LJA20" s="292"/>
      <c r="LJB20" s="292"/>
      <c r="LJC20" s="292"/>
      <c r="LJD20" s="292"/>
      <c r="LJE20" s="292"/>
      <c r="LJF20" s="292"/>
      <c r="LJG20" s="292"/>
      <c r="LJH20" s="292"/>
      <c r="LJI20" s="292"/>
      <c r="LJJ20" s="292"/>
      <c r="LJK20" s="292"/>
      <c r="LJL20" s="292"/>
      <c r="LJM20" s="292"/>
      <c r="LJN20" s="292"/>
      <c r="LJO20" s="292"/>
      <c r="LJP20" s="292"/>
      <c r="LJQ20" s="292"/>
      <c r="LJR20" s="292"/>
      <c r="LJS20" s="292"/>
      <c r="LJT20" s="292"/>
      <c r="LJU20" s="292"/>
      <c r="LJV20" s="292"/>
      <c r="LJW20" s="292"/>
      <c r="LJX20" s="292"/>
      <c r="LJY20" s="292"/>
      <c r="LJZ20" s="292"/>
      <c r="LKA20" s="292"/>
      <c r="LKB20" s="292"/>
      <c r="LKC20" s="292"/>
      <c r="LKD20" s="292"/>
      <c r="LKE20" s="292"/>
      <c r="LKF20" s="292"/>
      <c r="LKG20" s="292"/>
      <c r="LKH20" s="292"/>
      <c r="LKI20" s="292"/>
      <c r="LKJ20" s="292"/>
      <c r="LKK20" s="292"/>
      <c r="LKL20" s="292"/>
      <c r="LKM20" s="292"/>
      <c r="LKN20" s="292"/>
      <c r="LKO20" s="292"/>
      <c r="LKP20" s="292"/>
      <c r="LKQ20" s="292"/>
      <c r="LKR20" s="292"/>
      <c r="LKS20" s="292"/>
      <c r="LKT20" s="292"/>
      <c r="LKU20" s="292"/>
      <c r="LKV20" s="292"/>
      <c r="LKW20" s="292"/>
      <c r="LKX20" s="292"/>
      <c r="LKY20" s="292"/>
      <c r="LKZ20" s="292"/>
      <c r="LLA20" s="292"/>
      <c r="LLB20" s="292"/>
      <c r="LLC20" s="292"/>
      <c r="LLD20" s="292"/>
      <c r="LLE20" s="292"/>
      <c r="LLF20" s="292"/>
      <c r="LLG20" s="292"/>
      <c r="LLH20" s="292"/>
      <c r="LLI20" s="292"/>
      <c r="LLJ20" s="292"/>
      <c r="LLK20" s="292"/>
      <c r="LLL20" s="292"/>
      <c r="LLM20" s="292"/>
      <c r="LLN20" s="292"/>
      <c r="LLO20" s="292"/>
      <c r="LLP20" s="292"/>
      <c r="LLQ20" s="292"/>
      <c r="LLR20" s="292"/>
      <c r="LLS20" s="292"/>
      <c r="LLT20" s="292"/>
      <c r="LLU20" s="292"/>
      <c r="LLV20" s="292"/>
      <c r="LLW20" s="292"/>
      <c r="LLX20" s="292"/>
      <c r="LLY20" s="292"/>
      <c r="LLZ20" s="292"/>
      <c r="LMA20" s="292"/>
      <c r="LMB20" s="292"/>
      <c r="LMC20" s="292"/>
      <c r="LMD20" s="292"/>
      <c r="LME20" s="292"/>
      <c r="LMF20" s="292"/>
      <c r="LMG20" s="292"/>
      <c r="LMH20" s="292"/>
      <c r="LMI20" s="292"/>
      <c r="LMJ20" s="292"/>
      <c r="LMK20" s="292"/>
      <c r="LML20" s="292"/>
      <c r="LMM20" s="292"/>
      <c r="LMN20" s="292"/>
      <c r="LMO20" s="292"/>
      <c r="LMP20" s="292"/>
      <c r="LMQ20" s="292"/>
      <c r="LMR20" s="292"/>
      <c r="LMS20" s="292"/>
      <c r="LMT20" s="292"/>
      <c r="LMU20" s="292"/>
      <c r="LMV20" s="292"/>
      <c r="LMW20" s="292"/>
      <c r="LMX20" s="292"/>
      <c r="LMY20" s="292"/>
      <c r="LMZ20" s="292"/>
      <c r="LNA20" s="292"/>
      <c r="LNB20" s="292"/>
      <c r="LNC20" s="292"/>
      <c r="LND20" s="292"/>
      <c r="LNE20" s="292"/>
      <c r="LNF20" s="292"/>
      <c r="LNG20" s="292"/>
      <c r="LNH20" s="292"/>
      <c r="LNI20" s="292"/>
      <c r="LNJ20" s="292"/>
      <c r="LNK20" s="292"/>
      <c r="LNL20" s="292"/>
      <c r="LNM20" s="292"/>
      <c r="LNN20" s="292"/>
      <c r="LNO20" s="292"/>
      <c r="LNP20" s="292"/>
      <c r="LNQ20" s="292"/>
      <c r="LNR20" s="292"/>
      <c r="LNS20" s="292"/>
      <c r="LNT20" s="292"/>
      <c r="LNU20" s="292"/>
      <c r="LNV20" s="292"/>
      <c r="LNW20" s="292"/>
      <c r="LNX20" s="292"/>
      <c r="LNY20" s="292"/>
      <c r="LNZ20" s="292"/>
      <c r="LOA20" s="292"/>
      <c r="LOB20" s="292"/>
      <c r="LOC20" s="292"/>
      <c r="LOD20" s="292"/>
      <c r="LOE20" s="292"/>
      <c r="LOF20" s="292"/>
      <c r="LOG20" s="292"/>
      <c r="LOH20" s="292"/>
      <c r="LOI20" s="292"/>
      <c r="LOJ20" s="292"/>
      <c r="LOK20" s="292"/>
      <c r="LOL20" s="292"/>
      <c r="LOM20" s="292"/>
      <c r="LON20" s="292"/>
      <c r="LOO20" s="292"/>
      <c r="LOP20" s="292"/>
      <c r="LOQ20" s="292"/>
      <c r="LOR20" s="292"/>
      <c r="LOS20" s="292"/>
      <c r="LOT20" s="292"/>
      <c r="LOU20" s="292"/>
      <c r="LOV20" s="292"/>
      <c r="LOW20" s="292"/>
      <c r="LOX20" s="292"/>
      <c r="LOY20" s="292"/>
      <c r="LOZ20" s="292"/>
      <c r="LPA20" s="292"/>
      <c r="LPB20" s="292"/>
      <c r="LPC20" s="292"/>
      <c r="LPD20" s="292"/>
      <c r="LPE20" s="292"/>
      <c r="LPF20" s="292"/>
      <c r="LPG20" s="292"/>
      <c r="LPH20" s="292"/>
      <c r="LPI20" s="292"/>
      <c r="LPJ20" s="292"/>
      <c r="LPK20" s="292"/>
      <c r="LPL20" s="292"/>
      <c r="LPM20" s="292"/>
      <c r="LPN20" s="292"/>
      <c r="LPO20" s="292"/>
      <c r="LPP20" s="292"/>
      <c r="LPQ20" s="292"/>
      <c r="LPR20" s="292"/>
      <c r="LPS20" s="292"/>
      <c r="LPT20" s="292"/>
      <c r="LPU20" s="292"/>
      <c r="LPV20" s="292"/>
      <c r="LPW20" s="292"/>
      <c r="LPX20" s="292"/>
      <c r="LPY20" s="292"/>
      <c r="LPZ20" s="292"/>
      <c r="LQA20" s="292"/>
      <c r="LQB20" s="292"/>
      <c r="LQC20" s="292"/>
      <c r="LQD20" s="292"/>
      <c r="LQE20" s="292"/>
      <c r="LQF20" s="292"/>
      <c r="LQG20" s="292"/>
      <c r="LQH20" s="292"/>
      <c r="LQI20" s="292"/>
      <c r="LQJ20" s="292"/>
      <c r="LQK20" s="292"/>
      <c r="LQL20" s="292"/>
      <c r="LQM20" s="292"/>
      <c r="LQN20" s="292"/>
      <c r="LQO20" s="292"/>
      <c r="LQP20" s="292"/>
      <c r="LQQ20" s="292"/>
      <c r="LQR20" s="292"/>
      <c r="LQS20" s="292"/>
      <c r="LQT20" s="292"/>
      <c r="LQU20" s="292"/>
      <c r="LQV20" s="292"/>
      <c r="LQW20" s="292"/>
      <c r="LQX20" s="292"/>
      <c r="LQY20" s="292"/>
      <c r="LQZ20" s="292"/>
      <c r="LRA20" s="292"/>
      <c r="LRB20" s="292"/>
      <c r="LRC20" s="292"/>
      <c r="LRD20" s="292"/>
      <c r="LRE20" s="292"/>
      <c r="LRF20" s="292"/>
      <c r="LRG20" s="292"/>
      <c r="LRH20" s="292"/>
      <c r="LRI20" s="292"/>
      <c r="LRJ20" s="292"/>
      <c r="LRK20" s="292"/>
      <c r="LRL20" s="292"/>
      <c r="LRM20" s="292"/>
      <c r="LRN20" s="292"/>
      <c r="LRO20" s="292"/>
      <c r="LRP20" s="292"/>
      <c r="LRQ20" s="292"/>
      <c r="LRR20" s="292"/>
      <c r="LRS20" s="292"/>
      <c r="LRT20" s="292"/>
      <c r="LRU20" s="292"/>
      <c r="LRV20" s="292"/>
      <c r="LRW20" s="292"/>
      <c r="LRX20" s="292"/>
      <c r="LRY20" s="292"/>
      <c r="LRZ20" s="292"/>
      <c r="LSA20" s="292"/>
      <c r="LSB20" s="292"/>
      <c r="LSC20" s="292"/>
      <c r="LSD20" s="292"/>
      <c r="LSE20" s="292"/>
      <c r="LSF20" s="292"/>
      <c r="LSG20" s="292"/>
      <c r="LSH20" s="292"/>
      <c r="LSI20" s="292"/>
      <c r="LSJ20" s="292"/>
      <c r="LSK20" s="292"/>
      <c r="LSL20" s="292"/>
      <c r="LSM20" s="292"/>
      <c r="LSN20" s="292"/>
      <c r="LSO20" s="292"/>
      <c r="LSP20" s="292"/>
      <c r="LSQ20" s="292"/>
      <c r="LSR20" s="292"/>
      <c r="LSS20" s="292"/>
      <c r="LST20" s="292"/>
      <c r="LSU20" s="292"/>
      <c r="LSV20" s="292"/>
      <c r="LSW20" s="292"/>
      <c r="LSX20" s="292"/>
      <c r="LSY20" s="292"/>
      <c r="LSZ20" s="292"/>
      <c r="LTA20" s="292"/>
      <c r="LTB20" s="292"/>
      <c r="LTC20" s="292"/>
      <c r="LTD20" s="292"/>
      <c r="LTE20" s="292"/>
      <c r="LTF20" s="292"/>
      <c r="LTG20" s="292"/>
      <c r="LTH20" s="292"/>
      <c r="LTI20" s="292"/>
      <c r="LTJ20" s="292"/>
      <c r="LTK20" s="292"/>
      <c r="LTL20" s="292"/>
      <c r="LTM20" s="292"/>
      <c r="LTN20" s="292"/>
      <c r="LTO20" s="292"/>
      <c r="LTP20" s="292"/>
      <c r="LTQ20" s="292"/>
      <c r="LTR20" s="292"/>
      <c r="LTS20" s="292"/>
      <c r="LTT20" s="292"/>
      <c r="LTU20" s="292"/>
      <c r="LTV20" s="292"/>
      <c r="LTW20" s="292"/>
      <c r="LTX20" s="292"/>
      <c r="LTY20" s="292"/>
      <c r="LTZ20" s="292"/>
      <c r="LUA20" s="292"/>
      <c r="LUB20" s="292"/>
      <c r="LUC20" s="292"/>
      <c r="LUD20" s="292"/>
      <c r="LUE20" s="292"/>
      <c r="LUF20" s="292"/>
      <c r="LUG20" s="292"/>
      <c r="LUH20" s="292"/>
      <c r="LUI20" s="292"/>
      <c r="LUJ20" s="292"/>
      <c r="LUK20" s="292"/>
      <c r="LUL20" s="292"/>
      <c r="LUM20" s="292"/>
      <c r="LUN20" s="292"/>
      <c r="LUO20" s="292"/>
      <c r="LUP20" s="292"/>
      <c r="LUQ20" s="292"/>
      <c r="LUR20" s="292"/>
      <c r="LUS20" s="292"/>
      <c r="LUT20" s="292"/>
      <c r="LUU20" s="292"/>
      <c r="LUV20" s="292"/>
      <c r="LUW20" s="292"/>
      <c r="LUX20" s="292"/>
      <c r="LUY20" s="292"/>
      <c r="LUZ20" s="292"/>
      <c r="LVA20" s="292"/>
      <c r="LVB20" s="292"/>
      <c r="LVC20" s="292"/>
      <c r="LVD20" s="292"/>
      <c r="LVE20" s="292"/>
      <c r="LVF20" s="292"/>
      <c r="LVG20" s="292"/>
      <c r="LVH20" s="292"/>
      <c r="LVI20" s="292"/>
      <c r="LVJ20" s="292"/>
      <c r="LVK20" s="292"/>
      <c r="LVL20" s="292"/>
      <c r="LVM20" s="292"/>
      <c r="LVN20" s="292"/>
      <c r="LVO20" s="292"/>
      <c r="LVP20" s="292"/>
      <c r="LVQ20" s="292"/>
      <c r="LVR20" s="292"/>
      <c r="LVS20" s="292"/>
      <c r="LVT20" s="292"/>
      <c r="LVU20" s="292"/>
      <c r="LVV20" s="292"/>
      <c r="LVW20" s="292"/>
      <c r="LVX20" s="292"/>
      <c r="LVY20" s="292"/>
      <c r="LVZ20" s="292"/>
      <c r="LWA20" s="292"/>
      <c r="LWB20" s="292"/>
      <c r="LWC20" s="292"/>
      <c r="LWD20" s="292"/>
      <c r="LWE20" s="292"/>
      <c r="LWF20" s="292"/>
      <c r="LWG20" s="292"/>
      <c r="LWH20" s="292"/>
      <c r="LWI20" s="292"/>
      <c r="LWJ20" s="292"/>
      <c r="LWK20" s="292"/>
      <c r="LWL20" s="292"/>
      <c r="LWM20" s="292"/>
      <c r="LWN20" s="292"/>
      <c r="LWO20" s="292"/>
      <c r="LWP20" s="292"/>
      <c r="LWQ20" s="292"/>
      <c r="LWR20" s="292"/>
      <c r="LWS20" s="292"/>
      <c r="LWT20" s="292"/>
      <c r="LWU20" s="292"/>
      <c r="LWV20" s="292"/>
      <c r="LWW20" s="292"/>
      <c r="LWX20" s="292"/>
      <c r="LWY20" s="292"/>
      <c r="LWZ20" s="292"/>
      <c r="LXA20" s="292"/>
      <c r="LXB20" s="292"/>
      <c r="LXC20" s="292"/>
      <c r="LXD20" s="292"/>
      <c r="LXE20" s="292"/>
      <c r="LXF20" s="292"/>
      <c r="LXG20" s="292"/>
      <c r="LXH20" s="292"/>
      <c r="LXI20" s="292"/>
      <c r="LXJ20" s="292"/>
      <c r="LXK20" s="292"/>
      <c r="LXL20" s="292"/>
      <c r="LXM20" s="292"/>
      <c r="LXN20" s="292"/>
      <c r="LXO20" s="292"/>
      <c r="LXP20" s="292"/>
      <c r="LXQ20" s="292"/>
      <c r="LXR20" s="292"/>
      <c r="LXS20" s="292"/>
      <c r="LXT20" s="292"/>
      <c r="LXU20" s="292"/>
      <c r="LXV20" s="292"/>
      <c r="LXW20" s="292"/>
      <c r="LXX20" s="292"/>
      <c r="LXY20" s="292"/>
      <c r="LXZ20" s="292"/>
      <c r="LYA20" s="292"/>
      <c r="LYB20" s="292"/>
      <c r="LYC20" s="292"/>
      <c r="LYD20" s="292"/>
      <c r="LYE20" s="292"/>
      <c r="LYF20" s="292"/>
      <c r="LYG20" s="292"/>
      <c r="LYH20" s="292"/>
      <c r="LYI20" s="292"/>
      <c r="LYJ20" s="292"/>
      <c r="LYK20" s="292"/>
      <c r="LYL20" s="292"/>
      <c r="LYM20" s="292"/>
      <c r="LYN20" s="292"/>
      <c r="LYO20" s="292"/>
      <c r="LYP20" s="292"/>
      <c r="LYQ20" s="292"/>
      <c r="LYR20" s="292"/>
      <c r="LYS20" s="292"/>
      <c r="LYT20" s="292"/>
      <c r="LYU20" s="292"/>
      <c r="LYV20" s="292"/>
      <c r="LYW20" s="292"/>
      <c r="LYX20" s="292"/>
      <c r="LYY20" s="292"/>
      <c r="LYZ20" s="292"/>
      <c r="LZA20" s="292"/>
      <c r="LZB20" s="292"/>
      <c r="LZC20" s="292"/>
      <c r="LZD20" s="292"/>
      <c r="LZE20" s="292"/>
      <c r="LZF20" s="292"/>
      <c r="LZG20" s="292"/>
      <c r="LZH20" s="292"/>
      <c r="LZI20" s="292"/>
      <c r="LZJ20" s="292"/>
      <c r="LZK20" s="292"/>
      <c r="LZL20" s="292"/>
      <c r="LZM20" s="292"/>
      <c r="LZN20" s="292"/>
      <c r="LZO20" s="292"/>
      <c r="LZP20" s="292"/>
      <c r="LZQ20" s="292"/>
      <c r="LZR20" s="292"/>
      <c r="LZS20" s="292"/>
      <c r="LZT20" s="292"/>
      <c r="LZU20" s="292"/>
      <c r="LZV20" s="292"/>
      <c r="LZW20" s="292"/>
      <c r="LZX20" s="292"/>
      <c r="LZY20" s="292"/>
      <c r="LZZ20" s="292"/>
      <c r="MAA20" s="292"/>
      <c r="MAB20" s="292"/>
      <c r="MAC20" s="292"/>
      <c r="MAD20" s="292"/>
      <c r="MAE20" s="292"/>
      <c r="MAF20" s="292"/>
      <c r="MAG20" s="292"/>
      <c r="MAH20" s="292"/>
      <c r="MAI20" s="292"/>
      <c r="MAJ20" s="292"/>
      <c r="MAK20" s="292"/>
      <c r="MAL20" s="292"/>
      <c r="MAM20" s="292"/>
      <c r="MAN20" s="292"/>
      <c r="MAO20" s="292"/>
      <c r="MAP20" s="292"/>
      <c r="MAQ20" s="292"/>
      <c r="MAR20" s="292"/>
      <c r="MAS20" s="292"/>
      <c r="MAT20" s="292"/>
      <c r="MAU20" s="292"/>
      <c r="MAV20" s="292"/>
      <c r="MAW20" s="292"/>
      <c r="MAX20" s="292"/>
      <c r="MAY20" s="292"/>
      <c r="MAZ20" s="292"/>
      <c r="MBA20" s="292"/>
      <c r="MBB20" s="292"/>
      <c r="MBC20" s="292"/>
      <c r="MBD20" s="292"/>
      <c r="MBE20" s="292"/>
      <c r="MBF20" s="292"/>
      <c r="MBG20" s="292"/>
      <c r="MBH20" s="292"/>
      <c r="MBI20" s="292"/>
      <c r="MBJ20" s="292"/>
      <c r="MBK20" s="292"/>
      <c r="MBL20" s="292"/>
      <c r="MBM20" s="292"/>
      <c r="MBN20" s="292"/>
      <c r="MBO20" s="292"/>
      <c r="MBP20" s="292"/>
      <c r="MBQ20" s="292"/>
      <c r="MBR20" s="292"/>
      <c r="MBS20" s="292"/>
      <c r="MBT20" s="292"/>
      <c r="MBU20" s="292"/>
      <c r="MBV20" s="292"/>
      <c r="MBW20" s="292"/>
      <c r="MBX20" s="292"/>
      <c r="MBY20" s="292"/>
      <c r="MBZ20" s="292"/>
      <c r="MCA20" s="292"/>
      <c r="MCB20" s="292"/>
      <c r="MCC20" s="292"/>
      <c r="MCD20" s="292"/>
      <c r="MCE20" s="292"/>
      <c r="MCF20" s="292"/>
      <c r="MCG20" s="292"/>
      <c r="MCH20" s="292"/>
      <c r="MCI20" s="292"/>
      <c r="MCJ20" s="292"/>
      <c r="MCK20" s="292"/>
      <c r="MCL20" s="292"/>
      <c r="MCM20" s="292"/>
      <c r="MCN20" s="292"/>
      <c r="MCO20" s="292"/>
      <c r="MCP20" s="292"/>
      <c r="MCQ20" s="292"/>
      <c r="MCR20" s="292"/>
      <c r="MCS20" s="292"/>
      <c r="MCT20" s="292"/>
      <c r="MCU20" s="292"/>
      <c r="MCV20" s="292"/>
      <c r="MCW20" s="292"/>
      <c r="MCX20" s="292"/>
      <c r="MCY20" s="292"/>
      <c r="MCZ20" s="292"/>
      <c r="MDA20" s="292"/>
      <c r="MDB20" s="292"/>
      <c r="MDC20" s="292"/>
      <c r="MDD20" s="292"/>
      <c r="MDE20" s="292"/>
      <c r="MDF20" s="292"/>
      <c r="MDG20" s="292"/>
      <c r="MDH20" s="292"/>
      <c r="MDI20" s="292"/>
      <c r="MDJ20" s="292"/>
      <c r="MDK20" s="292"/>
      <c r="MDL20" s="292"/>
      <c r="MDM20" s="292"/>
      <c r="MDN20" s="292"/>
      <c r="MDO20" s="292"/>
      <c r="MDP20" s="292"/>
      <c r="MDQ20" s="292"/>
      <c r="MDR20" s="292"/>
      <c r="MDS20" s="292"/>
      <c r="MDT20" s="292"/>
      <c r="MDU20" s="292"/>
      <c r="MDV20" s="292"/>
      <c r="MDW20" s="292"/>
      <c r="MDX20" s="292"/>
      <c r="MDY20" s="292"/>
      <c r="MDZ20" s="292"/>
      <c r="MEA20" s="292"/>
      <c r="MEB20" s="292"/>
      <c r="MEC20" s="292"/>
      <c r="MED20" s="292"/>
      <c r="MEE20" s="292"/>
      <c r="MEF20" s="292"/>
      <c r="MEG20" s="292"/>
      <c r="MEH20" s="292"/>
      <c r="MEI20" s="292"/>
      <c r="MEJ20" s="292"/>
      <c r="MEK20" s="292"/>
      <c r="MEL20" s="292"/>
      <c r="MEM20" s="292"/>
      <c r="MEN20" s="292"/>
      <c r="MEO20" s="292"/>
      <c r="MEP20" s="292"/>
      <c r="MEQ20" s="292"/>
      <c r="MER20" s="292"/>
      <c r="MES20" s="292"/>
      <c r="MET20" s="292"/>
      <c r="MEU20" s="292"/>
      <c r="MEV20" s="292"/>
      <c r="MEW20" s="292"/>
      <c r="MEX20" s="292"/>
      <c r="MEY20" s="292"/>
      <c r="MEZ20" s="292"/>
      <c r="MFA20" s="292"/>
      <c r="MFB20" s="292"/>
      <c r="MFC20" s="292"/>
      <c r="MFD20" s="292"/>
      <c r="MFE20" s="292"/>
      <c r="MFF20" s="292"/>
      <c r="MFG20" s="292"/>
      <c r="MFH20" s="292"/>
      <c r="MFI20" s="292"/>
      <c r="MFJ20" s="292"/>
      <c r="MFK20" s="292"/>
      <c r="MFL20" s="292"/>
      <c r="MFM20" s="292"/>
      <c r="MFN20" s="292"/>
      <c r="MFO20" s="292"/>
      <c r="MFP20" s="292"/>
      <c r="MFQ20" s="292"/>
      <c r="MFR20" s="292"/>
      <c r="MFS20" s="292"/>
      <c r="MFT20" s="292"/>
      <c r="MFU20" s="292"/>
      <c r="MFV20" s="292"/>
      <c r="MFW20" s="292"/>
      <c r="MFX20" s="292"/>
      <c r="MFY20" s="292"/>
      <c r="MFZ20" s="292"/>
      <c r="MGA20" s="292"/>
      <c r="MGB20" s="292"/>
      <c r="MGC20" s="292"/>
      <c r="MGD20" s="292"/>
      <c r="MGE20" s="292"/>
      <c r="MGF20" s="292"/>
      <c r="MGG20" s="292"/>
      <c r="MGH20" s="292"/>
      <c r="MGI20" s="292"/>
      <c r="MGJ20" s="292"/>
      <c r="MGK20" s="292"/>
      <c r="MGL20" s="292"/>
      <c r="MGM20" s="292"/>
      <c r="MGN20" s="292"/>
      <c r="MGO20" s="292"/>
      <c r="MGP20" s="292"/>
      <c r="MGQ20" s="292"/>
      <c r="MGR20" s="292"/>
      <c r="MGS20" s="292"/>
      <c r="MGT20" s="292"/>
      <c r="MGU20" s="292"/>
      <c r="MGV20" s="292"/>
      <c r="MGW20" s="292"/>
      <c r="MGX20" s="292"/>
      <c r="MGY20" s="292"/>
      <c r="MGZ20" s="292"/>
      <c r="MHA20" s="292"/>
      <c r="MHB20" s="292"/>
      <c r="MHC20" s="292"/>
      <c r="MHD20" s="292"/>
      <c r="MHE20" s="292"/>
      <c r="MHF20" s="292"/>
      <c r="MHG20" s="292"/>
      <c r="MHH20" s="292"/>
      <c r="MHI20" s="292"/>
      <c r="MHJ20" s="292"/>
      <c r="MHK20" s="292"/>
      <c r="MHL20" s="292"/>
      <c r="MHM20" s="292"/>
      <c r="MHN20" s="292"/>
      <c r="MHO20" s="292"/>
      <c r="MHP20" s="292"/>
      <c r="MHQ20" s="292"/>
      <c r="MHR20" s="292"/>
      <c r="MHS20" s="292"/>
      <c r="MHT20" s="292"/>
      <c r="MHU20" s="292"/>
      <c r="MHV20" s="292"/>
      <c r="MHW20" s="292"/>
      <c r="MHX20" s="292"/>
      <c r="MHY20" s="292"/>
      <c r="MHZ20" s="292"/>
      <c r="MIA20" s="292"/>
      <c r="MIB20" s="292"/>
      <c r="MIC20" s="292"/>
      <c r="MID20" s="292"/>
      <c r="MIE20" s="292"/>
      <c r="MIF20" s="292"/>
      <c r="MIG20" s="292"/>
      <c r="MIH20" s="292"/>
      <c r="MII20" s="292"/>
      <c r="MIJ20" s="292"/>
      <c r="MIK20" s="292"/>
      <c r="MIL20" s="292"/>
      <c r="MIM20" s="292"/>
      <c r="MIN20" s="292"/>
      <c r="MIO20" s="292"/>
      <c r="MIP20" s="292"/>
      <c r="MIQ20" s="292"/>
      <c r="MIR20" s="292"/>
      <c r="MIS20" s="292"/>
      <c r="MIT20" s="292"/>
      <c r="MIU20" s="292"/>
      <c r="MIV20" s="292"/>
      <c r="MIW20" s="292"/>
      <c r="MIX20" s="292"/>
      <c r="MIY20" s="292"/>
      <c r="MIZ20" s="292"/>
      <c r="MJA20" s="292"/>
      <c r="MJB20" s="292"/>
      <c r="MJC20" s="292"/>
      <c r="MJD20" s="292"/>
      <c r="MJE20" s="292"/>
      <c r="MJF20" s="292"/>
      <c r="MJG20" s="292"/>
      <c r="MJH20" s="292"/>
      <c r="MJI20" s="292"/>
      <c r="MJJ20" s="292"/>
      <c r="MJK20" s="292"/>
      <c r="MJL20" s="292"/>
      <c r="MJM20" s="292"/>
      <c r="MJN20" s="292"/>
      <c r="MJO20" s="292"/>
      <c r="MJP20" s="292"/>
      <c r="MJQ20" s="292"/>
      <c r="MJR20" s="292"/>
      <c r="MJS20" s="292"/>
      <c r="MJT20" s="292"/>
      <c r="MJU20" s="292"/>
      <c r="MJV20" s="292"/>
      <c r="MJW20" s="292"/>
      <c r="MJX20" s="292"/>
      <c r="MJY20" s="292"/>
      <c r="MJZ20" s="292"/>
      <c r="MKA20" s="292"/>
      <c r="MKB20" s="292"/>
      <c r="MKC20" s="292"/>
      <c r="MKD20" s="292"/>
      <c r="MKE20" s="292"/>
      <c r="MKF20" s="292"/>
      <c r="MKG20" s="292"/>
      <c r="MKH20" s="292"/>
      <c r="MKI20" s="292"/>
      <c r="MKJ20" s="292"/>
      <c r="MKK20" s="292"/>
      <c r="MKL20" s="292"/>
      <c r="MKM20" s="292"/>
      <c r="MKN20" s="292"/>
      <c r="MKO20" s="292"/>
      <c r="MKP20" s="292"/>
      <c r="MKQ20" s="292"/>
      <c r="MKR20" s="292"/>
      <c r="MKS20" s="292"/>
      <c r="MKT20" s="292"/>
      <c r="MKU20" s="292"/>
      <c r="MKV20" s="292"/>
      <c r="MKW20" s="292"/>
      <c r="MKX20" s="292"/>
      <c r="MKY20" s="292"/>
      <c r="MKZ20" s="292"/>
      <c r="MLA20" s="292"/>
      <c r="MLB20" s="292"/>
      <c r="MLC20" s="292"/>
      <c r="MLD20" s="292"/>
      <c r="MLE20" s="292"/>
      <c r="MLF20" s="292"/>
      <c r="MLG20" s="292"/>
      <c r="MLH20" s="292"/>
      <c r="MLI20" s="292"/>
      <c r="MLJ20" s="292"/>
      <c r="MLK20" s="292"/>
      <c r="MLL20" s="292"/>
      <c r="MLM20" s="292"/>
      <c r="MLN20" s="292"/>
      <c r="MLO20" s="292"/>
      <c r="MLP20" s="292"/>
      <c r="MLQ20" s="292"/>
      <c r="MLR20" s="292"/>
      <c r="MLS20" s="292"/>
      <c r="MLT20" s="292"/>
      <c r="MLU20" s="292"/>
      <c r="MLV20" s="292"/>
      <c r="MLW20" s="292"/>
      <c r="MLX20" s="292"/>
      <c r="MLY20" s="292"/>
      <c r="MLZ20" s="292"/>
      <c r="MMA20" s="292"/>
      <c r="MMB20" s="292"/>
      <c r="MMC20" s="292"/>
      <c r="MMD20" s="292"/>
      <c r="MME20" s="292"/>
      <c r="MMF20" s="292"/>
      <c r="MMG20" s="292"/>
      <c r="MMH20" s="292"/>
      <c r="MMI20" s="292"/>
      <c r="MMJ20" s="292"/>
      <c r="MMK20" s="292"/>
      <c r="MML20" s="292"/>
      <c r="MMM20" s="292"/>
      <c r="MMN20" s="292"/>
      <c r="MMO20" s="292"/>
      <c r="MMP20" s="292"/>
      <c r="MMQ20" s="292"/>
      <c r="MMR20" s="292"/>
      <c r="MMS20" s="292"/>
      <c r="MMT20" s="292"/>
      <c r="MMU20" s="292"/>
      <c r="MMV20" s="292"/>
      <c r="MMW20" s="292"/>
      <c r="MMX20" s="292"/>
      <c r="MMY20" s="292"/>
      <c r="MMZ20" s="292"/>
      <c r="MNA20" s="292"/>
      <c r="MNB20" s="292"/>
      <c r="MNC20" s="292"/>
      <c r="MND20" s="292"/>
      <c r="MNE20" s="292"/>
      <c r="MNF20" s="292"/>
      <c r="MNG20" s="292"/>
      <c r="MNH20" s="292"/>
      <c r="MNI20" s="292"/>
      <c r="MNJ20" s="292"/>
      <c r="MNK20" s="292"/>
      <c r="MNL20" s="292"/>
      <c r="MNM20" s="292"/>
      <c r="MNN20" s="292"/>
      <c r="MNO20" s="292"/>
      <c r="MNP20" s="292"/>
      <c r="MNQ20" s="292"/>
      <c r="MNR20" s="292"/>
      <c r="MNS20" s="292"/>
      <c r="MNT20" s="292"/>
      <c r="MNU20" s="292"/>
      <c r="MNV20" s="292"/>
      <c r="MNW20" s="292"/>
      <c r="MNX20" s="292"/>
      <c r="MNY20" s="292"/>
      <c r="MNZ20" s="292"/>
      <c r="MOA20" s="292"/>
      <c r="MOB20" s="292"/>
      <c r="MOC20" s="292"/>
      <c r="MOD20" s="292"/>
      <c r="MOE20" s="292"/>
      <c r="MOF20" s="292"/>
      <c r="MOG20" s="292"/>
      <c r="MOH20" s="292"/>
      <c r="MOI20" s="292"/>
      <c r="MOJ20" s="292"/>
      <c r="MOK20" s="292"/>
      <c r="MOL20" s="292"/>
      <c r="MOM20" s="292"/>
      <c r="MON20" s="292"/>
      <c r="MOO20" s="292"/>
      <c r="MOP20" s="292"/>
      <c r="MOQ20" s="292"/>
      <c r="MOR20" s="292"/>
      <c r="MOS20" s="292"/>
      <c r="MOT20" s="292"/>
      <c r="MOU20" s="292"/>
      <c r="MOV20" s="292"/>
      <c r="MOW20" s="292"/>
      <c r="MOX20" s="292"/>
      <c r="MOY20" s="292"/>
      <c r="MOZ20" s="292"/>
      <c r="MPA20" s="292"/>
      <c r="MPB20" s="292"/>
      <c r="MPC20" s="292"/>
      <c r="MPD20" s="292"/>
      <c r="MPE20" s="292"/>
      <c r="MPF20" s="292"/>
      <c r="MPG20" s="292"/>
      <c r="MPH20" s="292"/>
      <c r="MPI20" s="292"/>
      <c r="MPJ20" s="292"/>
      <c r="MPK20" s="292"/>
      <c r="MPL20" s="292"/>
      <c r="MPM20" s="292"/>
      <c r="MPN20" s="292"/>
      <c r="MPO20" s="292"/>
      <c r="MPP20" s="292"/>
      <c r="MPQ20" s="292"/>
      <c r="MPR20" s="292"/>
      <c r="MPS20" s="292"/>
      <c r="MPT20" s="292"/>
      <c r="MPU20" s="292"/>
      <c r="MPV20" s="292"/>
      <c r="MPW20" s="292"/>
      <c r="MPX20" s="292"/>
      <c r="MPY20" s="292"/>
      <c r="MPZ20" s="292"/>
      <c r="MQA20" s="292"/>
      <c r="MQB20" s="292"/>
      <c r="MQC20" s="292"/>
      <c r="MQD20" s="292"/>
      <c r="MQE20" s="292"/>
      <c r="MQF20" s="292"/>
      <c r="MQG20" s="292"/>
      <c r="MQH20" s="292"/>
      <c r="MQI20" s="292"/>
      <c r="MQJ20" s="292"/>
      <c r="MQK20" s="292"/>
      <c r="MQL20" s="292"/>
      <c r="MQM20" s="292"/>
      <c r="MQN20" s="292"/>
      <c r="MQO20" s="292"/>
      <c r="MQP20" s="292"/>
      <c r="MQQ20" s="292"/>
      <c r="MQR20" s="292"/>
      <c r="MQS20" s="292"/>
      <c r="MQT20" s="292"/>
      <c r="MQU20" s="292"/>
      <c r="MQV20" s="292"/>
      <c r="MQW20" s="292"/>
      <c r="MQX20" s="292"/>
      <c r="MQY20" s="292"/>
      <c r="MQZ20" s="292"/>
      <c r="MRA20" s="292"/>
      <c r="MRB20" s="292"/>
      <c r="MRC20" s="292"/>
      <c r="MRD20" s="292"/>
      <c r="MRE20" s="292"/>
      <c r="MRF20" s="292"/>
      <c r="MRG20" s="292"/>
      <c r="MRH20" s="292"/>
      <c r="MRI20" s="292"/>
      <c r="MRJ20" s="292"/>
      <c r="MRK20" s="292"/>
      <c r="MRL20" s="292"/>
      <c r="MRM20" s="292"/>
      <c r="MRN20" s="292"/>
      <c r="MRO20" s="292"/>
      <c r="MRP20" s="292"/>
      <c r="MRQ20" s="292"/>
      <c r="MRR20" s="292"/>
      <c r="MRS20" s="292"/>
      <c r="MRT20" s="292"/>
      <c r="MRU20" s="292"/>
      <c r="MRV20" s="292"/>
      <c r="MRW20" s="292"/>
      <c r="MRX20" s="292"/>
      <c r="MRY20" s="292"/>
      <c r="MRZ20" s="292"/>
      <c r="MSA20" s="292"/>
      <c r="MSB20" s="292"/>
      <c r="MSC20" s="292"/>
      <c r="MSD20" s="292"/>
      <c r="MSE20" s="292"/>
      <c r="MSF20" s="292"/>
      <c r="MSG20" s="292"/>
      <c r="MSH20" s="292"/>
      <c r="MSI20" s="292"/>
      <c r="MSJ20" s="292"/>
      <c r="MSK20" s="292"/>
      <c r="MSL20" s="292"/>
      <c r="MSM20" s="292"/>
      <c r="MSN20" s="292"/>
      <c r="MSO20" s="292"/>
      <c r="MSP20" s="292"/>
      <c r="MSQ20" s="292"/>
      <c r="MSR20" s="292"/>
      <c r="MSS20" s="292"/>
      <c r="MST20" s="292"/>
      <c r="MSU20" s="292"/>
      <c r="MSV20" s="292"/>
      <c r="MSW20" s="292"/>
      <c r="MSX20" s="292"/>
      <c r="MSY20" s="292"/>
      <c r="MSZ20" s="292"/>
      <c r="MTA20" s="292"/>
      <c r="MTB20" s="292"/>
      <c r="MTC20" s="292"/>
      <c r="MTD20" s="292"/>
      <c r="MTE20" s="292"/>
      <c r="MTF20" s="292"/>
      <c r="MTG20" s="292"/>
      <c r="MTH20" s="292"/>
      <c r="MTI20" s="292"/>
      <c r="MTJ20" s="292"/>
      <c r="MTK20" s="292"/>
      <c r="MTL20" s="292"/>
      <c r="MTM20" s="292"/>
      <c r="MTN20" s="292"/>
      <c r="MTO20" s="292"/>
      <c r="MTP20" s="292"/>
      <c r="MTQ20" s="292"/>
      <c r="MTR20" s="292"/>
      <c r="MTS20" s="292"/>
      <c r="MTT20" s="292"/>
      <c r="MTU20" s="292"/>
      <c r="MTV20" s="292"/>
      <c r="MTW20" s="292"/>
      <c r="MTX20" s="292"/>
      <c r="MTY20" s="292"/>
      <c r="MTZ20" s="292"/>
      <c r="MUA20" s="292"/>
      <c r="MUB20" s="292"/>
      <c r="MUC20" s="292"/>
      <c r="MUD20" s="292"/>
      <c r="MUE20" s="292"/>
      <c r="MUF20" s="292"/>
      <c r="MUG20" s="292"/>
      <c r="MUH20" s="292"/>
      <c r="MUI20" s="292"/>
      <c r="MUJ20" s="292"/>
      <c r="MUK20" s="292"/>
      <c r="MUL20" s="292"/>
      <c r="MUM20" s="292"/>
      <c r="MUN20" s="292"/>
      <c r="MUO20" s="292"/>
      <c r="MUP20" s="292"/>
      <c r="MUQ20" s="292"/>
      <c r="MUR20" s="292"/>
      <c r="MUS20" s="292"/>
      <c r="MUT20" s="292"/>
      <c r="MUU20" s="292"/>
      <c r="MUV20" s="292"/>
      <c r="MUW20" s="292"/>
      <c r="MUX20" s="292"/>
      <c r="MUY20" s="292"/>
      <c r="MUZ20" s="292"/>
      <c r="MVA20" s="292"/>
      <c r="MVB20" s="292"/>
      <c r="MVC20" s="292"/>
      <c r="MVD20" s="292"/>
      <c r="MVE20" s="292"/>
      <c r="MVF20" s="292"/>
      <c r="MVG20" s="292"/>
      <c r="MVH20" s="292"/>
      <c r="MVI20" s="292"/>
      <c r="MVJ20" s="292"/>
      <c r="MVK20" s="292"/>
      <c r="MVL20" s="292"/>
      <c r="MVM20" s="292"/>
      <c r="MVN20" s="292"/>
      <c r="MVO20" s="292"/>
      <c r="MVP20" s="292"/>
      <c r="MVQ20" s="292"/>
      <c r="MVR20" s="292"/>
      <c r="MVS20" s="292"/>
      <c r="MVT20" s="292"/>
      <c r="MVU20" s="292"/>
      <c r="MVV20" s="292"/>
      <c r="MVW20" s="292"/>
      <c r="MVX20" s="292"/>
      <c r="MVY20" s="292"/>
      <c r="MVZ20" s="292"/>
      <c r="MWA20" s="292"/>
      <c r="MWB20" s="292"/>
      <c r="MWC20" s="292"/>
      <c r="MWD20" s="292"/>
      <c r="MWE20" s="292"/>
      <c r="MWF20" s="292"/>
      <c r="MWG20" s="292"/>
      <c r="MWH20" s="292"/>
      <c r="MWI20" s="292"/>
      <c r="MWJ20" s="292"/>
      <c r="MWK20" s="292"/>
      <c r="MWL20" s="292"/>
      <c r="MWM20" s="292"/>
      <c r="MWN20" s="292"/>
      <c r="MWO20" s="292"/>
      <c r="MWP20" s="292"/>
      <c r="MWQ20" s="292"/>
      <c r="MWR20" s="292"/>
      <c r="MWS20" s="292"/>
      <c r="MWT20" s="292"/>
      <c r="MWU20" s="292"/>
      <c r="MWV20" s="292"/>
      <c r="MWW20" s="292"/>
      <c r="MWX20" s="292"/>
      <c r="MWY20" s="292"/>
      <c r="MWZ20" s="292"/>
      <c r="MXA20" s="292"/>
      <c r="MXB20" s="292"/>
      <c r="MXC20" s="292"/>
      <c r="MXD20" s="292"/>
      <c r="MXE20" s="292"/>
      <c r="MXF20" s="292"/>
      <c r="MXG20" s="292"/>
      <c r="MXH20" s="292"/>
      <c r="MXI20" s="292"/>
      <c r="MXJ20" s="292"/>
      <c r="MXK20" s="292"/>
      <c r="MXL20" s="292"/>
      <c r="MXM20" s="292"/>
      <c r="MXN20" s="292"/>
      <c r="MXO20" s="292"/>
      <c r="MXP20" s="292"/>
      <c r="MXQ20" s="292"/>
      <c r="MXR20" s="292"/>
      <c r="MXS20" s="292"/>
      <c r="MXT20" s="292"/>
      <c r="MXU20" s="292"/>
      <c r="MXV20" s="292"/>
      <c r="MXW20" s="292"/>
      <c r="MXX20" s="292"/>
      <c r="MXY20" s="292"/>
      <c r="MXZ20" s="292"/>
      <c r="MYA20" s="292"/>
      <c r="MYB20" s="292"/>
      <c r="MYC20" s="292"/>
      <c r="MYD20" s="292"/>
      <c r="MYE20" s="292"/>
      <c r="MYF20" s="292"/>
      <c r="MYG20" s="292"/>
      <c r="MYH20" s="292"/>
      <c r="MYI20" s="292"/>
      <c r="MYJ20" s="292"/>
      <c r="MYK20" s="292"/>
      <c r="MYL20" s="292"/>
      <c r="MYM20" s="292"/>
      <c r="MYN20" s="292"/>
      <c r="MYO20" s="292"/>
      <c r="MYP20" s="292"/>
      <c r="MYQ20" s="292"/>
      <c r="MYR20" s="292"/>
      <c r="MYS20" s="292"/>
      <c r="MYT20" s="292"/>
      <c r="MYU20" s="292"/>
      <c r="MYV20" s="292"/>
      <c r="MYW20" s="292"/>
      <c r="MYX20" s="292"/>
      <c r="MYY20" s="292"/>
      <c r="MYZ20" s="292"/>
      <c r="MZA20" s="292"/>
      <c r="MZB20" s="292"/>
      <c r="MZC20" s="292"/>
      <c r="MZD20" s="292"/>
      <c r="MZE20" s="292"/>
      <c r="MZF20" s="292"/>
      <c r="MZG20" s="292"/>
      <c r="MZH20" s="292"/>
      <c r="MZI20" s="292"/>
      <c r="MZJ20" s="292"/>
      <c r="MZK20" s="292"/>
      <c r="MZL20" s="292"/>
      <c r="MZM20" s="292"/>
      <c r="MZN20" s="292"/>
      <c r="MZO20" s="292"/>
      <c r="MZP20" s="292"/>
      <c r="MZQ20" s="292"/>
      <c r="MZR20" s="292"/>
      <c r="MZS20" s="292"/>
      <c r="MZT20" s="292"/>
      <c r="MZU20" s="292"/>
      <c r="MZV20" s="292"/>
      <c r="MZW20" s="292"/>
      <c r="MZX20" s="292"/>
      <c r="MZY20" s="292"/>
      <c r="MZZ20" s="292"/>
      <c r="NAA20" s="292"/>
      <c r="NAB20" s="292"/>
      <c r="NAC20" s="292"/>
      <c r="NAD20" s="292"/>
      <c r="NAE20" s="292"/>
      <c r="NAF20" s="292"/>
      <c r="NAG20" s="292"/>
      <c r="NAH20" s="292"/>
      <c r="NAI20" s="292"/>
      <c r="NAJ20" s="292"/>
      <c r="NAK20" s="292"/>
      <c r="NAL20" s="292"/>
      <c r="NAM20" s="292"/>
      <c r="NAN20" s="292"/>
      <c r="NAO20" s="292"/>
      <c r="NAP20" s="292"/>
      <c r="NAQ20" s="292"/>
      <c r="NAR20" s="292"/>
      <c r="NAS20" s="292"/>
      <c r="NAT20" s="292"/>
      <c r="NAU20" s="292"/>
      <c r="NAV20" s="292"/>
      <c r="NAW20" s="292"/>
      <c r="NAX20" s="292"/>
      <c r="NAY20" s="292"/>
      <c r="NAZ20" s="292"/>
      <c r="NBA20" s="292"/>
      <c r="NBB20" s="292"/>
      <c r="NBC20" s="292"/>
      <c r="NBD20" s="292"/>
      <c r="NBE20" s="292"/>
      <c r="NBF20" s="292"/>
      <c r="NBG20" s="292"/>
      <c r="NBH20" s="292"/>
      <c r="NBI20" s="292"/>
      <c r="NBJ20" s="292"/>
      <c r="NBK20" s="292"/>
      <c r="NBL20" s="292"/>
      <c r="NBM20" s="292"/>
      <c r="NBN20" s="292"/>
      <c r="NBO20" s="292"/>
      <c r="NBP20" s="292"/>
      <c r="NBQ20" s="292"/>
      <c r="NBR20" s="292"/>
      <c r="NBS20" s="292"/>
      <c r="NBT20" s="292"/>
      <c r="NBU20" s="292"/>
      <c r="NBV20" s="292"/>
      <c r="NBW20" s="292"/>
      <c r="NBX20" s="292"/>
      <c r="NBY20" s="292"/>
      <c r="NBZ20" s="292"/>
      <c r="NCA20" s="292"/>
      <c r="NCB20" s="292"/>
      <c r="NCC20" s="292"/>
      <c r="NCD20" s="292"/>
      <c r="NCE20" s="292"/>
      <c r="NCF20" s="292"/>
      <c r="NCG20" s="292"/>
      <c r="NCH20" s="292"/>
      <c r="NCI20" s="292"/>
      <c r="NCJ20" s="292"/>
      <c r="NCK20" s="292"/>
      <c r="NCL20" s="292"/>
      <c r="NCM20" s="292"/>
      <c r="NCN20" s="292"/>
      <c r="NCO20" s="292"/>
      <c r="NCP20" s="292"/>
      <c r="NCQ20" s="292"/>
      <c r="NCR20" s="292"/>
      <c r="NCS20" s="292"/>
      <c r="NCT20" s="292"/>
      <c r="NCU20" s="292"/>
      <c r="NCV20" s="292"/>
      <c r="NCW20" s="292"/>
      <c r="NCX20" s="292"/>
      <c r="NCY20" s="292"/>
      <c r="NCZ20" s="292"/>
      <c r="NDA20" s="292"/>
      <c r="NDB20" s="292"/>
      <c r="NDC20" s="292"/>
      <c r="NDD20" s="292"/>
      <c r="NDE20" s="292"/>
      <c r="NDF20" s="292"/>
      <c r="NDG20" s="292"/>
      <c r="NDH20" s="292"/>
      <c r="NDI20" s="292"/>
      <c r="NDJ20" s="292"/>
      <c r="NDK20" s="292"/>
      <c r="NDL20" s="292"/>
      <c r="NDM20" s="292"/>
      <c r="NDN20" s="292"/>
      <c r="NDO20" s="292"/>
      <c r="NDP20" s="292"/>
      <c r="NDQ20" s="292"/>
      <c r="NDR20" s="292"/>
      <c r="NDS20" s="292"/>
      <c r="NDT20" s="292"/>
      <c r="NDU20" s="292"/>
      <c r="NDV20" s="292"/>
      <c r="NDW20" s="292"/>
      <c r="NDX20" s="292"/>
      <c r="NDY20" s="292"/>
      <c r="NDZ20" s="292"/>
      <c r="NEA20" s="292"/>
      <c r="NEB20" s="292"/>
      <c r="NEC20" s="292"/>
      <c r="NED20" s="292"/>
      <c r="NEE20" s="292"/>
      <c r="NEF20" s="292"/>
      <c r="NEG20" s="292"/>
      <c r="NEH20" s="292"/>
      <c r="NEI20" s="292"/>
      <c r="NEJ20" s="292"/>
      <c r="NEK20" s="292"/>
      <c r="NEL20" s="292"/>
      <c r="NEM20" s="292"/>
      <c r="NEN20" s="292"/>
      <c r="NEO20" s="292"/>
      <c r="NEP20" s="292"/>
      <c r="NEQ20" s="292"/>
      <c r="NER20" s="292"/>
      <c r="NES20" s="292"/>
      <c r="NET20" s="292"/>
      <c r="NEU20" s="292"/>
      <c r="NEV20" s="292"/>
      <c r="NEW20" s="292"/>
      <c r="NEX20" s="292"/>
      <c r="NEY20" s="292"/>
      <c r="NEZ20" s="292"/>
      <c r="NFA20" s="292"/>
      <c r="NFB20" s="292"/>
      <c r="NFC20" s="292"/>
      <c r="NFD20" s="292"/>
      <c r="NFE20" s="292"/>
      <c r="NFF20" s="292"/>
      <c r="NFG20" s="292"/>
      <c r="NFH20" s="292"/>
      <c r="NFI20" s="292"/>
      <c r="NFJ20" s="292"/>
      <c r="NFK20" s="292"/>
      <c r="NFL20" s="292"/>
      <c r="NFM20" s="292"/>
      <c r="NFN20" s="292"/>
      <c r="NFO20" s="292"/>
      <c r="NFP20" s="292"/>
      <c r="NFQ20" s="292"/>
      <c r="NFR20" s="292"/>
      <c r="NFS20" s="292"/>
      <c r="NFT20" s="292"/>
      <c r="NFU20" s="292"/>
      <c r="NFV20" s="292"/>
      <c r="NFW20" s="292"/>
      <c r="NFX20" s="292"/>
      <c r="NFY20" s="292"/>
      <c r="NFZ20" s="292"/>
      <c r="NGA20" s="292"/>
      <c r="NGB20" s="292"/>
      <c r="NGC20" s="292"/>
      <c r="NGD20" s="292"/>
      <c r="NGE20" s="292"/>
      <c r="NGF20" s="292"/>
      <c r="NGG20" s="292"/>
      <c r="NGH20" s="292"/>
      <c r="NGI20" s="292"/>
      <c r="NGJ20" s="292"/>
      <c r="NGK20" s="292"/>
      <c r="NGL20" s="292"/>
      <c r="NGM20" s="292"/>
      <c r="NGN20" s="292"/>
      <c r="NGO20" s="292"/>
      <c r="NGP20" s="292"/>
      <c r="NGQ20" s="292"/>
      <c r="NGR20" s="292"/>
      <c r="NGS20" s="292"/>
      <c r="NGT20" s="292"/>
      <c r="NGU20" s="292"/>
      <c r="NGV20" s="292"/>
      <c r="NGW20" s="292"/>
      <c r="NGX20" s="292"/>
      <c r="NGY20" s="292"/>
      <c r="NGZ20" s="292"/>
      <c r="NHA20" s="292"/>
      <c r="NHB20" s="292"/>
      <c r="NHC20" s="292"/>
      <c r="NHD20" s="292"/>
      <c r="NHE20" s="292"/>
      <c r="NHF20" s="292"/>
      <c r="NHG20" s="292"/>
      <c r="NHH20" s="292"/>
      <c r="NHI20" s="292"/>
      <c r="NHJ20" s="292"/>
      <c r="NHK20" s="292"/>
      <c r="NHL20" s="292"/>
      <c r="NHM20" s="292"/>
      <c r="NHN20" s="292"/>
      <c r="NHO20" s="292"/>
      <c r="NHP20" s="292"/>
      <c r="NHQ20" s="292"/>
      <c r="NHR20" s="292"/>
      <c r="NHS20" s="292"/>
      <c r="NHT20" s="292"/>
      <c r="NHU20" s="292"/>
      <c r="NHV20" s="292"/>
      <c r="NHW20" s="292"/>
      <c r="NHX20" s="292"/>
      <c r="NHY20" s="292"/>
      <c r="NHZ20" s="292"/>
      <c r="NIA20" s="292"/>
      <c r="NIB20" s="292"/>
      <c r="NIC20" s="292"/>
      <c r="NID20" s="292"/>
      <c r="NIE20" s="292"/>
      <c r="NIF20" s="292"/>
      <c r="NIG20" s="292"/>
      <c r="NIH20" s="292"/>
      <c r="NII20" s="292"/>
      <c r="NIJ20" s="292"/>
      <c r="NIK20" s="292"/>
      <c r="NIL20" s="292"/>
      <c r="NIM20" s="292"/>
      <c r="NIN20" s="292"/>
      <c r="NIO20" s="292"/>
      <c r="NIP20" s="292"/>
      <c r="NIQ20" s="292"/>
      <c r="NIR20" s="292"/>
      <c r="NIS20" s="292"/>
      <c r="NIT20" s="292"/>
      <c r="NIU20" s="292"/>
      <c r="NIV20" s="292"/>
      <c r="NIW20" s="292"/>
      <c r="NIX20" s="292"/>
      <c r="NIY20" s="292"/>
      <c r="NIZ20" s="292"/>
      <c r="NJA20" s="292"/>
      <c r="NJB20" s="292"/>
      <c r="NJC20" s="292"/>
      <c r="NJD20" s="292"/>
      <c r="NJE20" s="292"/>
      <c r="NJF20" s="292"/>
      <c r="NJG20" s="292"/>
      <c r="NJH20" s="292"/>
      <c r="NJI20" s="292"/>
      <c r="NJJ20" s="292"/>
      <c r="NJK20" s="292"/>
      <c r="NJL20" s="292"/>
      <c r="NJM20" s="292"/>
      <c r="NJN20" s="292"/>
      <c r="NJO20" s="292"/>
      <c r="NJP20" s="292"/>
      <c r="NJQ20" s="292"/>
      <c r="NJR20" s="292"/>
      <c r="NJS20" s="292"/>
      <c r="NJT20" s="292"/>
      <c r="NJU20" s="292"/>
      <c r="NJV20" s="292"/>
      <c r="NJW20" s="292"/>
      <c r="NJX20" s="292"/>
      <c r="NJY20" s="292"/>
      <c r="NJZ20" s="292"/>
      <c r="NKA20" s="292"/>
      <c r="NKB20" s="292"/>
      <c r="NKC20" s="292"/>
      <c r="NKD20" s="292"/>
      <c r="NKE20" s="292"/>
      <c r="NKF20" s="292"/>
      <c r="NKG20" s="292"/>
      <c r="NKH20" s="292"/>
      <c r="NKI20" s="292"/>
      <c r="NKJ20" s="292"/>
      <c r="NKK20" s="292"/>
      <c r="NKL20" s="292"/>
      <c r="NKM20" s="292"/>
      <c r="NKN20" s="292"/>
      <c r="NKO20" s="292"/>
      <c r="NKP20" s="292"/>
      <c r="NKQ20" s="292"/>
      <c r="NKR20" s="292"/>
      <c r="NKS20" s="292"/>
      <c r="NKT20" s="292"/>
      <c r="NKU20" s="292"/>
      <c r="NKV20" s="292"/>
      <c r="NKW20" s="292"/>
      <c r="NKX20" s="292"/>
      <c r="NKY20" s="292"/>
      <c r="NKZ20" s="292"/>
      <c r="NLA20" s="292"/>
      <c r="NLB20" s="292"/>
      <c r="NLC20" s="292"/>
      <c r="NLD20" s="292"/>
      <c r="NLE20" s="292"/>
      <c r="NLF20" s="292"/>
      <c r="NLG20" s="292"/>
      <c r="NLH20" s="292"/>
      <c r="NLI20" s="292"/>
      <c r="NLJ20" s="292"/>
      <c r="NLK20" s="292"/>
      <c r="NLL20" s="292"/>
      <c r="NLM20" s="292"/>
      <c r="NLN20" s="292"/>
      <c r="NLO20" s="292"/>
      <c r="NLP20" s="292"/>
      <c r="NLQ20" s="292"/>
      <c r="NLR20" s="292"/>
      <c r="NLS20" s="292"/>
      <c r="NLT20" s="292"/>
      <c r="NLU20" s="292"/>
      <c r="NLV20" s="292"/>
      <c r="NLW20" s="292"/>
      <c r="NLX20" s="292"/>
      <c r="NLY20" s="292"/>
      <c r="NLZ20" s="292"/>
      <c r="NMA20" s="292"/>
      <c r="NMB20" s="292"/>
      <c r="NMC20" s="292"/>
      <c r="NMD20" s="292"/>
      <c r="NME20" s="292"/>
      <c r="NMF20" s="292"/>
      <c r="NMG20" s="292"/>
      <c r="NMH20" s="292"/>
      <c r="NMI20" s="292"/>
      <c r="NMJ20" s="292"/>
      <c r="NMK20" s="292"/>
      <c r="NML20" s="292"/>
      <c r="NMM20" s="292"/>
      <c r="NMN20" s="292"/>
      <c r="NMO20" s="292"/>
      <c r="NMP20" s="292"/>
      <c r="NMQ20" s="292"/>
      <c r="NMR20" s="292"/>
      <c r="NMS20" s="292"/>
      <c r="NMT20" s="292"/>
      <c r="NMU20" s="292"/>
      <c r="NMV20" s="292"/>
      <c r="NMW20" s="292"/>
      <c r="NMX20" s="292"/>
      <c r="NMY20" s="292"/>
      <c r="NMZ20" s="292"/>
      <c r="NNA20" s="292"/>
      <c r="NNB20" s="292"/>
      <c r="NNC20" s="292"/>
      <c r="NND20" s="292"/>
      <c r="NNE20" s="292"/>
      <c r="NNF20" s="292"/>
      <c r="NNG20" s="292"/>
      <c r="NNH20" s="292"/>
      <c r="NNI20" s="292"/>
      <c r="NNJ20" s="292"/>
      <c r="NNK20" s="292"/>
      <c r="NNL20" s="292"/>
      <c r="NNM20" s="292"/>
      <c r="NNN20" s="292"/>
      <c r="NNO20" s="292"/>
      <c r="NNP20" s="292"/>
      <c r="NNQ20" s="292"/>
      <c r="NNR20" s="292"/>
      <c r="NNS20" s="292"/>
      <c r="NNT20" s="292"/>
      <c r="NNU20" s="292"/>
      <c r="NNV20" s="292"/>
      <c r="NNW20" s="292"/>
      <c r="NNX20" s="292"/>
      <c r="NNY20" s="292"/>
      <c r="NNZ20" s="292"/>
      <c r="NOA20" s="292"/>
      <c r="NOB20" s="292"/>
      <c r="NOC20" s="292"/>
      <c r="NOD20" s="292"/>
      <c r="NOE20" s="292"/>
      <c r="NOF20" s="292"/>
      <c r="NOG20" s="292"/>
      <c r="NOH20" s="292"/>
      <c r="NOI20" s="292"/>
      <c r="NOJ20" s="292"/>
      <c r="NOK20" s="292"/>
      <c r="NOL20" s="292"/>
      <c r="NOM20" s="292"/>
      <c r="NON20" s="292"/>
      <c r="NOO20" s="292"/>
      <c r="NOP20" s="292"/>
      <c r="NOQ20" s="292"/>
      <c r="NOR20" s="292"/>
      <c r="NOS20" s="292"/>
      <c r="NOT20" s="292"/>
      <c r="NOU20" s="292"/>
      <c r="NOV20" s="292"/>
      <c r="NOW20" s="292"/>
      <c r="NOX20" s="292"/>
      <c r="NOY20" s="292"/>
      <c r="NOZ20" s="292"/>
      <c r="NPA20" s="292"/>
      <c r="NPB20" s="292"/>
      <c r="NPC20" s="292"/>
      <c r="NPD20" s="292"/>
      <c r="NPE20" s="292"/>
      <c r="NPF20" s="292"/>
      <c r="NPG20" s="292"/>
      <c r="NPH20" s="292"/>
      <c r="NPI20" s="292"/>
      <c r="NPJ20" s="292"/>
      <c r="NPK20" s="292"/>
      <c r="NPL20" s="292"/>
      <c r="NPM20" s="292"/>
      <c r="NPN20" s="292"/>
      <c r="NPO20" s="292"/>
      <c r="NPP20" s="292"/>
      <c r="NPQ20" s="292"/>
      <c r="NPR20" s="292"/>
      <c r="NPS20" s="292"/>
      <c r="NPT20" s="292"/>
      <c r="NPU20" s="292"/>
      <c r="NPV20" s="292"/>
      <c r="NPW20" s="292"/>
      <c r="NPX20" s="292"/>
      <c r="NPY20" s="292"/>
      <c r="NPZ20" s="292"/>
      <c r="NQA20" s="292"/>
      <c r="NQB20" s="292"/>
      <c r="NQC20" s="292"/>
      <c r="NQD20" s="292"/>
      <c r="NQE20" s="292"/>
      <c r="NQF20" s="292"/>
      <c r="NQG20" s="292"/>
      <c r="NQH20" s="292"/>
      <c r="NQI20" s="292"/>
      <c r="NQJ20" s="292"/>
      <c r="NQK20" s="292"/>
      <c r="NQL20" s="292"/>
      <c r="NQM20" s="292"/>
      <c r="NQN20" s="292"/>
      <c r="NQO20" s="292"/>
      <c r="NQP20" s="292"/>
      <c r="NQQ20" s="292"/>
      <c r="NQR20" s="292"/>
      <c r="NQS20" s="292"/>
      <c r="NQT20" s="292"/>
      <c r="NQU20" s="292"/>
      <c r="NQV20" s="292"/>
      <c r="NQW20" s="292"/>
      <c r="NQX20" s="292"/>
      <c r="NQY20" s="292"/>
      <c r="NQZ20" s="292"/>
      <c r="NRA20" s="292"/>
      <c r="NRB20" s="292"/>
      <c r="NRC20" s="292"/>
      <c r="NRD20" s="292"/>
      <c r="NRE20" s="292"/>
      <c r="NRF20" s="292"/>
      <c r="NRG20" s="292"/>
      <c r="NRH20" s="292"/>
      <c r="NRI20" s="292"/>
      <c r="NRJ20" s="292"/>
      <c r="NRK20" s="292"/>
      <c r="NRL20" s="292"/>
      <c r="NRM20" s="292"/>
      <c r="NRN20" s="292"/>
      <c r="NRO20" s="292"/>
      <c r="NRP20" s="292"/>
      <c r="NRQ20" s="292"/>
      <c r="NRR20" s="292"/>
      <c r="NRS20" s="292"/>
      <c r="NRT20" s="292"/>
      <c r="NRU20" s="292"/>
      <c r="NRV20" s="292"/>
      <c r="NRW20" s="292"/>
      <c r="NRX20" s="292"/>
      <c r="NRY20" s="292"/>
      <c r="NRZ20" s="292"/>
      <c r="NSA20" s="292"/>
      <c r="NSB20" s="292"/>
      <c r="NSC20" s="292"/>
      <c r="NSD20" s="292"/>
      <c r="NSE20" s="292"/>
      <c r="NSF20" s="292"/>
      <c r="NSG20" s="292"/>
      <c r="NSH20" s="292"/>
      <c r="NSI20" s="292"/>
      <c r="NSJ20" s="292"/>
      <c r="NSK20" s="292"/>
      <c r="NSL20" s="292"/>
      <c r="NSM20" s="292"/>
      <c r="NSN20" s="292"/>
      <c r="NSO20" s="292"/>
      <c r="NSP20" s="292"/>
      <c r="NSQ20" s="292"/>
      <c r="NSR20" s="292"/>
      <c r="NSS20" s="292"/>
      <c r="NST20" s="292"/>
      <c r="NSU20" s="292"/>
      <c r="NSV20" s="292"/>
      <c r="NSW20" s="292"/>
      <c r="NSX20" s="292"/>
      <c r="NSY20" s="292"/>
      <c r="NSZ20" s="292"/>
      <c r="NTA20" s="292"/>
      <c r="NTB20" s="292"/>
      <c r="NTC20" s="292"/>
      <c r="NTD20" s="292"/>
      <c r="NTE20" s="292"/>
      <c r="NTF20" s="292"/>
      <c r="NTG20" s="292"/>
      <c r="NTH20" s="292"/>
      <c r="NTI20" s="292"/>
      <c r="NTJ20" s="292"/>
      <c r="NTK20" s="292"/>
      <c r="NTL20" s="292"/>
      <c r="NTM20" s="292"/>
      <c r="NTN20" s="292"/>
      <c r="NTO20" s="292"/>
      <c r="NTP20" s="292"/>
      <c r="NTQ20" s="292"/>
      <c r="NTR20" s="292"/>
      <c r="NTS20" s="292"/>
      <c r="NTT20" s="292"/>
      <c r="NTU20" s="292"/>
      <c r="NTV20" s="292"/>
      <c r="NTW20" s="292"/>
      <c r="NTX20" s="292"/>
      <c r="NTY20" s="292"/>
      <c r="NTZ20" s="292"/>
      <c r="NUA20" s="292"/>
      <c r="NUB20" s="292"/>
      <c r="NUC20" s="292"/>
      <c r="NUD20" s="292"/>
      <c r="NUE20" s="292"/>
      <c r="NUF20" s="292"/>
      <c r="NUG20" s="292"/>
      <c r="NUH20" s="292"/>
      <c r="NUI20" s="292"/>
      <c r="NUJ20" s="292"/>
      <c r="NUK20" s="292"/>
      <c r="NUL20" s="292"/>
      <c r="NUM20" s="292"/>
      <c r="NUN20" s="292"/>
      <c r="NUO20" s="292"/>
      <c r="NUP20" s="292"/>
      <c r="NUQ20" s="292"/>
      <c r="NUR20" s="292"/>
      <c r="NUS20" s="292"/>
      <c r="NUT20" s="292"/>
      <c r="NUU20" s="292"/>
      <c r="NUV20" s="292"/>
      <c r="NUW20" s="292"/>
      <c r="NUX20" s="292"/>
      <c r="NUY20" s="292"/>
      <c r="NUZ20" s="292"/>
      <c r="NVA20" s="292"/>
      <c r="NVB20" s="292"/>
      <c r="NVC20" s="292"/>
      <c r="NVD20" s="292"/>
      <c r="NVE20" s="292"/>
      <c r="NVF20" s="292"/>
      <c r="NVG20" s="292"/>
      <c r="NVH20" s="292"/>
      <c r="NVI20" s="292"/>
      <c r="NVJ20" s="292"/>
      <c r="NVK20" s="292"/>
      <c r="NVL20" s="292"/>
      <c r="NVM20" s="292"/>
      <c r="NVN20" s="292"/>
      <c r="NVO20" s="292"/>
      <c r="NVP20" s="292"/>
      <c r="NVQ20" s="292"/>
      <c r="NVR20" s="292"/>
      <c r="NVS20" s="292"/>
      <c r="NVT20" s="292"/>
      <c r="NVU20" s="292"/>
      <c r="NVV20" s="292"/>
      <c r="NVW20" s="292"/>
      <c r="NVX20" s="292"/>
      <c r="NVY20" s="292"/>
      <c r="NVZ20" s="292"/>
      <c r="NWA20" s="292"/>
      <c r="NWB20" s="292"/>
      <c r="NWC20" s="292"/>
      <c r="NWD20" s="292"/>
      <c r="NWE20" s="292"/>
      <c r="NWF20" s="292"/>
      <c r="NWG20" s="292"/>
      <c r="NWH20" s="292"/>
      <c r="NWI20" s="292"/>
      <c r="NWJ20" s="292"/>
      <c r="NWK20" s="292"/>
      <c r="NWL20" s="292"/>
      <c r="NWM20" s="292"/>
      <c r="NWN20" s="292"/>
      <c r="NWO20" s="292"/>
      <c r="NWP20" s="292"/>
      <c r="NWQ20" s="292"/>
      <c r="NWR20" s="292"/>
      <c r="NWS20" s="292"/>
      <c r="NWT20" s="292"/>
      <c r="NWU20" s="292"/>
      <c r="NWV20" s="292"/>
      <c r="NWW20" s="292"/>
      <c r="NWX20" s="292"/>
      <c r="NWY20" s="292"/>
      <c r="NWZ20" s="292"/>
      <c r="NXA20" s="292"/>
      <c r="NXB20" s="292"/>
      <c r="NXC20" s="292"/>
      <c r="NXD20" s="292"/>
      <c r="NXE20" s="292"/>
      <c r="NXF20" s="292"/>
      <c r="NXG20" s="292"/>
      <c r="NXH20" s="292"/>
      <c r="NXI20" s="292"/>
      <c r="NXJ20" s="292"/>
      <c r="NXK20" s="292"/>
      <c r="NXL20" s="292"/>
      <c r="NXM20" s="292"/>
      <c r="NXN20" s="292"/>
      <c r="NXO20" s="292"/>
      <c r="NXP20" s="292"/>
      <c r="NXQ20" s="292"/>
      <c r="NXR20" s="292"/>
      <c r="NXS20" s="292"/>
      <c r="NXT20" s="292"/>
      <c r="NXU20" s="292"/>
      <c r="NXV20" s="292"/>
      <c r="NXW20" s="292"/>
      <c r="NXX20" s="292"/>
      <c r="NXY20" s="292"/>
      <c r="NXZ20" s="292"/>
      <c r="NYA20" s="292"/>
      <c r="NYB20" s="292"/>
      <c r="NYC20" s="292"/>
      <c r="NYD20" s="292"/>
      <c r="NYE20" s="292"/>
      <c r="NYF20" s="292"/>
      <c r="NYG20" s="292"/>
      <c r="NYH20" s="292"/>
      <c r="NYI20" s="292"/>
      <c r="NYJ20" s="292"/>
      <c r="NYK20" s="292"/>
      <c r="NYL20" s="292"/>
      <c r="NYM20" s="292"/>
      <c r="NYN20" s="292"/>
      <c r="NYO20" s="292"/>
      <c r="NYP20" s="292"/>
      <c r="NYQ20" s="292"/>
      <c r="NYR20" s="292"/>
      <c r="NYS20" s="292"/>
      <c r="NYT20" s="292"/>
      <c r="NYU20" s="292"/>
      <c r="NYV20" s="292"/>
      <c r="NYW20" s="292"/>
      <c r="NYX20" s="292"/>
      <c r="NYY20" s="292"/>
      <c r="NYZ20" s="292"/>
      <c r="NZA20" s="292"/>
      <c r="NZB20" s="292"/>
      <c r="NZC20" s="292"/>
      <c r="NZD20" s="292"/>
      <c r="NZE20" s="292"/>
      <c r="NZF20" s="292"/>
      <c r="NZG20" s="292"/>
      <c r="NZH20" s="292"/>
      <c r="NZI20" s="292"/>
      <c r="NZJ20" s="292"/>
      <c r="NZK20" s="292"/>
      <c r="NZL20" s="292"/>
      <c r="NZM20" s="292"/>
      <c r="NZN20" s="292"/>
      <c r="NZO20" s="292"/>
      <c r="NZP20" s="292"/>
      <c r="NZQ20" s="292"/>
      <c r="NZR20" s="292"/>
      <c r="NZS20" s="292"/>
      <c r="NZT20" s="292"/>
      <c r="NZU20" s="292"/>
      <c r="NZV20" s="292"/>
      <c r="NZW20" s="292"/>
      <c r="NZX20" s="292"/>
      <c r="NZY20" s="292"/>
      <c r="NZZ20" s="292"/>
      <c r="OAA20" s="292"/>
      <c r="OAB20" s="292"/>
      <c r="OAC20" s="292"/>
      <c r="OAD20" s="292"/>
      <c r="OAE20" s="292"/>
      <c r="OAF20" s="292"/>
      <c r="OAG20" s="292"/>
      <c r="OAH20" s="292"/>
      <c r="OAI20" s="292"/>
      <c r="OAJ20" s="292"/>
      <c r="OAK20" s="292"/>
      <c r="OAL20" s="292"/>
      <c r="OAM20" s="292"/>
      <c r="OAN20" s="292"/>
      <c r="OAO20" s="292"/>
      <c r="OAP20" s="292"/>
      <c r="OAQ20" s="292"/>
      <c r="OAR20" s="292"/>
      <c r="OAS20" s="292"/>
      <c r="OAT20" s="292"/>
      <c r="OAU20" s="292"/>
      <c r="OAV20" s="292"/>
      <c r="OAW20" s="292"/>
      <c r="OAX20" s="292"/>
      <c r="OAY20" s="292"/>
      <c r="OAZ20" s="292"/>
      <c r="OBA20" s="292"/>
      <c r="OBB20" s="292"/>
      <c r="OBC20" s="292"/>
      <c r="OBD20" s="292"/>
      <c r="OBE20" s="292"/>
      <c r="OBF20" s="292"/>
      <c r="OBG20" s="292"/>
      <c r="OBH20" s="292"/>
      <c r="OBI20" s="292"/>
      <c r="OBJ20" s="292"/>
      <c r="OBK20" s="292"/>
      <c r="OBL20" s="292"/>
      <c r="OBM20" s="292"/>
      <c r="OBN20" s="292"/>
      <c r="OBO20" s="292"/>
      <c r="OBP20" s="292"/>
      <c r="OBQ20" s="292"/>
      <c r="OBR20" s="292"/>
      <c r="OBS20" s="292"/>
      <c r="OBT20" s="292"/>
      <c r="OBU20" s="292"/>
      <c r="OBV20" s="292"/>
      <c r="OBW20" s="292"/>
      <c r="OBX20" s="292"/>
      <c r="OBY20" s="292"/>
      <c r="OBZ20" s="292"/>
      <c r="OCA20" s="292"/>
      <c r="OCB20" s="292"/>
      <c r="OCC20" s="292"/>
      <c r="OCD20" s="292"/>
      <c r="OCE20" s="292"/>
      <c r="OCF20" s="292"/>
      <c r="OCG20" s="292"/>
      <c r="OCH20" s="292"/>
      <c r="OCI20" s="292"/>
      <c r="OCJ20" s="292"/>
      <c r="OCK20" s="292"/>
      <c r="OCL20" s="292"/>
      <c r="OCM20" s="292"/>
      <c r="OCN20" s="292"/>
      <c r="OCO20" s="292"/>
      <c r="OCP20" s="292"/>
      <c r="OCQ20" s="292"/>
      <c r="OCR20" s="292"/>
      <c r="OCS20" s="292"/>
      <c r="OCT20" s="292"/>
      <c r="OCU20" s="292"/>
      <c r="OCV20" s="292"/>
      <c r="OCW20" s="292"/>
      <c r="OCX20" s="292"/>
      <c r="OCY20" s="292"/>
      <c r="OCZ20" s="292"/>
      <c r="ODA20" s="292"/>
      <c r="ODB20" s="292"/>
      <c r="ODC20" s="292"/>
      <c r="ODD20" s="292"/>
      <c r="ODE20" s="292"/>
      <c r="ODF20" s="292"/>
      <c r="ODG20" s="292"/>
      <c r="ODH20" s="292"/>
      <c r="ODI20" s="292"/>
      <c r="ODJ20" s="292"/>
      <c r="ODK20" s="292"/>
      <c r="ODL20" s="292"/>
      <c r="ODM20" s="292"/>
      <c r="ODN20" s="292"/>
      <c r="ODO20" s="292"/>
      <c r="ODP20" s="292"/>
      <c r="ODQ20" s="292"/>
      <c r="ODR20" s="292"/>
      <c r="ODS20" s="292"/>
      <c r="ODT20" s="292"/>
      <c r="ODU20" s="292"/>
      <c r="ODV20" s="292"/>
      <c r="ODW20" s="292"/>
      <c r="ODX20" s="292"/>
      <c r="ODY20" s="292"/>
      <c r="ODZ20" s="292"/>
      <c r="OEA20" s="292"/>
      <c r="OEB20" s="292"/>
      <c r="OEC20" s="292"/>
      <c r="OED20" s="292"/>
      <c r="OEE20" s="292"/>
      <c r="OEF20" s="292"/>
      <c r="OEG20" s="292"/>
      <c r="OEH20" s="292"/>
      <c r="OEI20" s="292"/>
      <c r="OEJ20" s="292"/>
      <c r="OEK20" s="292"/>
      <c r="OEL20" s="292"/>
      <c r="OEM20" s="292"/>
      <c r="OEN20" s="292"/>
      <c r="OEO20" s="292"/>
      <c r="OEP20" s="292"/>
      <c r="OEQ20" s="292"/>
      <c r="OER20" s="292"/>
      <c r="OES20" s="292"/>
      <c r="OET20" s="292"/>
      <c r="OEU20" s="292"/>
      <c r="OEV20" s="292"/>
      <c r="OEW20" s="292"/>
      <c r="OEX20" s="292"/>
      <c r="OEY20" s="292"/>
      <c r="OEZ20" s="292"/>
      <c r="OFA20" s="292"/>
      <c r="OFB20" s="292"/>
      <c r="OFC20" s="292"/>
      <c r="OFD20" s="292"/>
      <c r="OFE20" s="292"/>
      <c r="OFF20" s="292"/>
      <c r="OFG20" s="292"/>
      <c r="OFH20" s="292"/>
      <c r="OFI20" s="292"/>
      <c r="OFJ20" s="292"/>
      <c r="OFK20" s="292"/>
      <c r="OFL20" s="292"/>
      <c r="OFM20" s="292"/>
      <c r="OFN20" s="292"/>
      <c r="OFO20" s="292"/>
      <c r="OFP20" s="292"/>
      <c r="OFQ20" s="292"/>
      <c r="OFR20" s="292"/>
      <c r="OFS20" s="292"/>
      <c r="OFT20" s="292"/>
      <c r="OFU20" s="292"/>
      <c r="OFV20" s="292"/>
      <c r="OFW20" s="292"/>
      <c r="OFX20" s="292"/>
      <c r="OFY20" s="292"/>
      <c r="OFZ20" s="292"/>
      <c r="OGA20" s="292"/>
      <c r="OGB20" s="292"/>
      <c r="OGC20" s="292"/>
      <c r="OGD20" s="292"/>
      <c r="OGE20" s="292"/>
      <c r="OGF20" s="292"/>
      <c r="OGG20" s="292"/>
      <c r="OGH20" s="292"/>
      <c r="OGI20" s="292"/>
      <c r="OGJ20" s="292"/>
      <c r="OGK20" s="292"/>
      <c r="OGL20" s="292"/>
      <c r="OGM20" s="292"/>
      <c r="OGN20" s="292"/>
      <c r="OGO20" s="292"/>
      <c r="OGP20" s="292"/>
      <c r="OGQ20" s="292"/>
      <c r="OGR20" s="292"/>
      <c r="OGS20" s="292"/>
      <c r="OGT20" s="292"/>
      <c r="OGU20" s="292"/>
      <c r="OGV20" s="292"/>
      <c r="OGW20" s="292"/>
      <c r="OGX20" s="292"/>
      <c r="OGY20" s="292"/>
      <c r="OGZ20" s="292"/>
      <c r="OHA20" s="292"/>
      <c r="OHB20" s="292"/>
      <c r="OHC20" s="292"/>
      <c r="OHD20" s="292"/>
      <c r="OHE20" s="292"/>
      <c r="OHF20" s="292"/>
      <c r="OHG20" s="292"/>
      <c r="OHH20" s="292"/>
      <c r="OHI20" s="292"/>
      <c r="OHJ20" s="292"/>
      <c r="OHK20" s="292"/>
      <c r="OHL20" s="292"/>
      <c r="OHM20" s="292"/>
      <c r="OHN20" s="292"/>
      <c r="OHO20" s="292"/>
      <c r="OHP20" s="292"/>
      <c r="OHQ20" s="292"/>
      <c r="OHR20" s="292"/>
      <c r="OHS20" s="292"/>
      <c r="OHT20" s="292"/>
      <c r="OHU20" s="292"/>
      <c r="OHV20" s="292"/>
      <c r="OHW20" s="292"/>
      <c r="OHX20" s="292"/>
      <c r="OHY20" s="292"/>
      <c r="OHZ20" s="292"/>
      <c r="OIA20" s="292"/>
      <c r="OIB20" s="292"/>
      <c r="OIC20" s="292"/>
      <c r="OID20" s="292"/>
      <c r="OIE20" s="292"/>
      <c r="OIF20" s="292"/>
      <c r="OIG20" s="292"/>
      <c r="OIH20" s="292"/>
      <c r="OII20" s="292"/>
      <c r="OIJ20" s="292"/>
      <c r="OIK20" s="292"/>
      <c r="OIL20" s="292"/>
      <c r="OIM20" s="292"/>
      <c r="OIN20" s="292"/>
      <c r="OIO20" s="292"/>
      <c r="OIP20" s="292"/>
      <c r="OIQ20" s="292"/>
      <c r="OIR20" s="292"/>
      <c r="OIS20" s="292"/>
      <c r="OIT20" s="292"/>
      <c r="OIU20" s="292"/>
      <c r="OIV20" s="292"/>
      <c r="OIW20" s="292"/>
      <c r="OIX20" s="292"/>
      <c r="OIY20" s="292"/>
      <c r="OIZ20" s="292"/>
      <c r="OJA20" s="292"/>
      <c r="OJB20" s="292"/>
      <c r="OJC20" s="292"/>
      <c r="OJD20" s="292"/>
      <c r="OJE20" s="292"/>
      <c r="OJF20" s="292"/>
      <c r="OJG20" s="292"/>
      <c r="OJH20" s="292"/>
      <c r="OJI20" s="292"/>
      <c r="OJJ20" s="292"/>
      <c r="OJK20" s="292"/>
      <c r="OJL20" s="292"/>
      <c r="OJM20" s="292"/>
      <c r="OJN20" s="292"/>
      <c r="OJO20" s="292"/>
      <c r="OJP20" s="292"/>
      <c r="OJQ20" s="292"/>
      <c r="OJR20" s="292"/>
      <c r="OJS20" s="292"/>
      <c r="OJT20" s="292"/>
      <c r="OJU20" s="292"/>
      <c r="OJV20" s="292"/>
      <c r="OJW20" s="292"/>
      <c r="OJX20" s="292"/>
      <c r="OJY20" s="292"/>
      <c r="OJZ20" s="292"/>
      <c r="OKA20" s="292"/>
      <c r="OKB20" s="292"/>
      <c r="OKC20" s="292"/>
      <c r="OKD20" s="292"/>
      <c r="OKE20" s="292"/>
      <c r="OKF20" s="292"/>
      <c r="OKG20" s="292"/>
      <c r="OKH20" s="292"/>
      <c r="OKI20" s="292"/>
      <c r="OKJ20" s="292"/>
      <c r="OKK20" s="292"/>
      <c r="OKL20" s="292"/>
      <c r="OKM20" s="292"/>
      <c r="OKN20" s="292"/>
      <c r="OKO20" s="292"/>
      <c r="OKP20" s="292"/>
      <c r="OKQ20" s="292"/>
      <c r="OKR20" s="292"/>
      <c r="OKS20" s="292"/>
      <c r="OKT20" s="292"/>
      <c r="OKU20" s="292"/>
      <c r="OKV20" s="292"/>
      <c r="OKW20" s="292"/>
      <c r="OKX20" s="292"/>
      <c r="OKY20" s="292"/>
      <c r="OKZ20" s="292"/>
      <c r="OLA20" s="292"/>
      <c r="OLB20" s="292"/>
      <c r="OLC20" s="292"/>
      <c r="OLD20" s="292"/>
      <c r="OLE20" s="292"/>
      <c r="OLF20" s="292"/>
      <c r="OLG20" s="292"/>
      <c r="OLH20" s="292"/>
      <c r="OLI20" s="292"/>
      <c r="OLJ20" s="292"/>
      <c r="OLK20" s="292"/>
      <c r="OLL20" s="292"/>
      <c r="OLM20" s="292"/>
      <c r="OLN20" s="292"/>
      <c r="OLO20" s="292"/>
      <c r="OLP20" s="292"/>
      <c r="OLQ20" s="292"/>
      <c r="OLR20" s="292"/>
      <c r="OLS20" s="292"/>
      <c r="OLT20" s="292"/>
      <c r="OLU20" s="292"/>
      <c r="OLV20" s="292"/>
      <c r="OLW20" s="292"/>
      <c r="OLX20" s="292"/>
      <c r="OLY20" s="292"/>
      <c r="OLZ20" s="292"/>
      <c r="OMA20" s="292"/>
      <c r="OMB20" s="292"/>
      <c r="OMC20" s="292"/>
      <c r="OMD20" s="292"/>
      <c r="OME20" s="292"/>
      <c r="OMF20" s="292"/>
      <c r="OMG20" s="292"/>
      <c r="OMH20" s="292"/>
      <c r="OMI20" s="292"/>
      <c r="OMJ20" s="292"/>
      <c r="OMK20" s="292"/>
      <c r="OML20" s="292"/>
      <c r="OMM20" s="292"/>
      <c r="OMN20" s="292"/>
      <c r="OMO20" s="292"/>
      <c r="OMP20" s="292"/>
      <c r="OMQ20" s="292"/>
      <c r="OMR20" s="292"/>
      <c r="OMS20" s="292"/>
      <c r="OMT20" s="292"/>
      <c r="OMU20" s="292"/>
      <c r="OMV20" s="292"/>
      <c r="OMW20" s="292"/>
      <c r="OMX20" s="292"/>
      <c r="OMY20" s="292"/>
      <c r="OMZ20" s="292"/>
      <c r="ONA20" s="292"/>
      <c r="ONB20" s="292"/>
      <c r="ONC20" s="292"/>
      <c r="OND20" s="292"/>
      <c r="ONE20" s="292"/>
      <c r="ONF20" s="292"/>
      <c r="ONG20" s="292"/>
      <c r="ONH20" s="292"/>
      <c r="ONI20" s="292"/>
      <c r="ONJ20" s="292"/>
      <c r="ONK20" s="292"/>
      <c r="ONL20" s="292"/>
      <c r="ONM20" s="292"/>
      <c r="ONN20" s="292"/>
      <c r="ONO20" s="292"/>
      <c r="ONP20" s="292"/>
      <c r="ONQ20" s="292"/>
      <c r="ONR20" s="292"/>
      <c r="ONS20" s="292"/>
      <c r="ONT20" s="292"/>
      <c r="ONU20" s="292"/>
      <c r="ONV20" s="292"/>
      <c r="ONW20" s="292"/>
      <c r="ONX20" s="292"/>
      <c r="ONY20" s="292"/>
      <c r="ONZ20" s="292"/>
      <c r="OOA20" s="292"/>
      <c r="OOB20" s="292"/>
      <c r="OOC20" s="292"/>
      <c r="OOD20" s="292"/>
      <c r="OOE20" s="292"/>
      <c r="OOF20" s="292"/>
      <c r="OOG20" s="292"/>
      <c r="OOH20" s="292"/>
      <c r="OOI20" s="292"/>
      <c r="OOJ20" s="292"/>
      <c r="OOK20" s="292"/>
      <c r="OOL20" s="292"/>
      <c r="OOM20" s="292"/>
      <c r="OON20" s="292"/>
      <c r="OOO20" s="292"/>
      <c r="OOP20" s="292"/>
      <c r="OOQ20" s="292"/>
      <c r="OOR20" s="292"/>
      <c r="OOS20" s="292"/>
      <c r="OOT20" s="292"/>
      <c r="OOU20" s="292"/>
      <c r="OOV20" s="292"/>
      <c r="OOW20" s="292"/>
      <c r="OOX20" s="292"/>
      <c r="OOY20" s="292"/>
      <c r="OOZ20" s="292"/>
      <c r="OPA20" s="292"/>
      <c r="OPB20" s="292"/>
      <c r="OPC20" s="292"/>
      <c r="OPD20" s="292"/>
      <c r="OPE20" s="292"/>
      <c r="OPF20" s="292"/>
      <c r="OPG20" s="292"/>
      <c r="OPH20" s="292"/>
      <c r="OPI20" s="292"/>
      <c r="OPJ20" s="292"/>
      <c r="OPK20" s="292"/>
      <c r="OPL20" s="292"/>
      <c r="OPM20" s="292"/>
      <c r="OPN20" s="292"/>
      <c r="OPO20" s="292"/>
      <c r="OPP20" s="292"/>
      <c r="OPQ20" s="292"/>
      <c r="OPR20" s="292"/>
      <c r="OPS20" s="292"/>
      <c r="OPT20" s="292"/>
      <c r="OPU20" s="292"/>
      <c r="OPV20" s="292"/>
      <c r="OPW20" s="292"/>
      <c r="OPX20" s="292"/>
      <c r="OPY20" s="292"/>
      <c r="OPZ20" s="292"/>
      <c r="OQA20" s="292"/>
      <c r="OQB20" s="292"/>
      <c r="OQC20" s="292"/>
      <c r="OQD20" s="292"/>
      <c r="OQE20" s="292"/>
      <c r="OQF20" s="292"/>
      <c r="OQG20" s="292"/>
      <c r="OQH20" s="292"/>
      <c r="OQI20" s="292"/>
      <c r="OQJ20" s="292"/>
      <c r="OQK20" s="292"/>
      <c r="OQL20" s="292"/>
      <c r="OQM20" s="292"/>
      <c r="OQN20" s="292"/>
      <c r="OQO20" s="292"/>
      <c r="OQP20" s="292"/>
      <c r="OQQ20" s="292"/>
      <c r="OQR20" s="292"/>
      <c r="OQS20" s="292"/>
      <c r="OQT20" s="292"/>
      <c r="OQU20" s="292"/>
      <c r="OQV20" s="292"/>
      <c r="OQW20" s="292"/>
      <c r="OQX20" s="292"/>
      <c r="OQY20" s="292"/>
      <c r="OQZ20" s="292"/>
      <c r="ORA20" s="292"/>
      <c r="ORB20" s="292"/>
      <c r="ORC20" s="292"/>
      <c r="ORD20" s="292"/>
      <c r="ORE20" s="292"/>
      <c r="ORF20" s="292"/>
      <c r="ORG20" s="292"/>
      <c r="ORH20" s="292"/>
      <c r="ORI20" s="292"/>
      <c r="ORJ20" s="292"/>
      <c r="ORK20" s="292"/>
      <c r="ORL20" s="292"/>
      <c r="ORM20" s="292"/>
      <c r="ORN20" s="292"/>
      <c r="ORO20" s="292"/>
      <c r="ORP20" s="292"/>
      <c r="ORQ20" s="292"/>
      <c r="ORR20" s="292"/>
      <c r="ORS20" s="292"/>
      <c r="ORT20" s="292"/>
      <c r="ORU20" s="292"/>
      <c r="ORV20" s="292"/>
      <c r="ORW20" s="292"/>
      <c r="ORX20" s="292"/>
      <c r="ORY20" s="292"/>
      <c r="ORZ20" s="292"/>
      <c r="OSA20" s="292"/>
      <c r="OSB20" s="292"/>
      <c r="OSC20" s="292"/>
      <c r="OSD20" s="292"/>
      <c r="OSE20" s="292"/>
      <c r="OSF20" s="292"/>
      <c r="OSG20" s="292"/>
      <c r="OSH20" s="292"/>
      <c r="OSI20" s="292"/>
      <c r="OSJ20" s="292"/>
      <c r="OSK20" s="292"/>
      <c r="OSL20" s="292"/>
      <c r="OSM20" s="292"/>
      <c r="OSN20" s="292"/>
      <c r="OSO20" s="292"/>
      <c r="OSP20" s="292"/>
      <c r="OSQ20" s="292"/>
      <c r="OSR20" s="292"/>
      <c r="OSS20" s="292"/>
      <c r="OST20" s="292"/>
      <c r="OSU20" s="292"/>
      <c r="OSV20" s="292"/>
      <c r="OSW20" s="292"/>
      <c r="OSX20" s="292"/>
      <c r="OSY20" s="292"/>
      <c r="OSZ20" s="292"/>
      <c r="OTA20" s="292"/>
      <c r="OTB20" s="292"/>
      <c r="OTC20" s="292"/>
      <c r="OTD20" s="292"/>
      <c r="OTE20" s="292"/>
      <c r="OTF20" s="292"/>
      <c r="OTG20" s="292"/>
      <c r="OTH20" s="292"/>
      <c r="OTI20" s="292"/>
      <c r="OTJ20" s="292"/>
      <c r="OTK20" s="292"/>
      <c r="OTL20" s="292"/>
      <c r="OTM20" s="292"/>
      <c r="OTN20" s="292"/>
      <c r="OTO20" s="292"/>
      <c r="OTP20" s="292"/>
      <c r="OTQ20" s="292"/>
      <c r="OTR20" s="292"/>
      <c r="OTS20" s="292"/>
      <c r="OTT20" s="292"/>
      <c r="OTU20" s="292"/>
      <c r="OTV20" s="292"/>
      <c r="OTW20" s="292"/>
      <c r="OTX20" s="292"/>
      <c r="OTY20" s="292"/>
      <c r="OTZ20" s="292"/>
      <c r="OUA20" s="292"/>
      <c r="OUB20" s="292"/>
      <c r="OUC20" s="292"/>
      <c r="OUD20" s="292"/>
      <c r="OUE20" s="292"/>
      <c r="OUF20" s="292"/>
      <c r="OUG20" s="292"/>
      <c r="OUH20" s="292"/>
      <c r="OUI20" s="292"/>
      <c r="OUJ20" s="292"/>
      <c r="OUK20" s="292"/>
      <c r="OUL20" s="292"/>
      <c r="OUM20" s="292"/>
      <c r="OUN20" s="292"/>
      <c r="OUO20" s="292"/>
      <c r="OUP20" s="292"/>
      <c r="OUQ20" s="292"/>
      <c r="OUR20" s="292"/>
      <c r="OUS20" s="292"/>
      <c r="OUT20" s="292"/>
      <c r="OUU20" s="292"/>
      <c r="OUV20" s="292"/>
      <c r="OUW20" s="292"/>
      <c r="OUX20" s="292"/>
      <c r="OUY20" s="292"/>
      <c r="OUZ20" s="292"/>
      <c r="OVA20" s="292"/>
      <c r="OVB20" s="292"/>
      <c r="OVC20" s="292"/>
      <c r="OVD20" s="292"/>
      <c r="OVE20" s="292"/>
      <c r="OVF20" s="292"/>
      <c r="OVG20" s="292"/>
      <c r="OVH20" s="292"/>
      <c r="OVI20" s="292"/>
      <c r="OVJ20" s="292"/>
      <c r="OVK20" s="292"/>
      <c r="OVL20" s="292"/>
      <c r="OVM20" s="292"/>
      <c r="OVN20" s="292"/>
      <c r="OVO20" s="292"/>
      <c r="OVP20" s="292"/>
      <c r="OVQ20" s="292"/>
      <c r="OVR20" s="292"/>
      <c r="OVS20" s="292"/>
      <c r="OVT20" s="292"/>
      <c r="OVU20" s="292"/>
      <c r="OVV20" s="292"/>
      <c r="OVW20" s="292"/>
      <c r="OVX20" s="292"/>
      <c r="OVY20" s="292"/>
      <c r="OVZ20" s="292"/>
      <c r="OWA20" s="292"/>
      <c r="OWB20" s="292"/>
      <c r="OWC20" s="292"/>
      <c r="OWD20" s="292"/>
      <c r="OWE20" s="292"/>
      <c r="OWF20" s="292"/>
      <c r="OWG20" s="292"/>
      <c r="OWH20" s="292"/>
      <c r="OWI20" s="292"/>
      <c r="OWJ20" s="292"/>
      <c r="OWK20" s="292"/>
      <c r="OWL20" s="292"/>
      <c r="OWM20" s="292"/>
      <c r="OWN20" s="292"/>
      <c r="OWO20" s="292"/>
      <c r="OWP20" s="292"/>
      <c r="OWQ20" s="292"/>
      <c r="OWR20" s="292"/>
      <c r="OWS20" s="292"/>
      <c r="OWT20" s="292"/>
      <c r="OWU20" s="292"/>
      <c r="OWV20" s="292"/>
      <c r="OWW20" s="292"/>
      <c r="OWX20" s="292"/>
      <c r="OWY20" s="292"/>
      <c r="OWZ20" s="292"/>
      <c r="OXA20" s="292"/>
      <c r="OXB20" s="292"/>
      <c r="OXC20" s="292"/>
      <c r="OXD20" s="292"/>
      <c r="OXE20" s="292"/>
      <c r="OXF20" s="292"/>
      <c r="OXG20" s="292"/>
      <c r="OXH20" s="292"/>
      <c r="OXI20" s="292"/>
      <c r="OXJ20" s="292"/>
      <c r="OXK20" s="292"/>
      <c r="OXL20" s="292"/>
      <c r="OXM20" s="292"/>
      <c r="OXN20" s="292"/>
      <c r="OXO20" s="292"/>
      <c r="OXP20" s="292"/>
      <c r="OXQ20" s="292"/>
      <c r="OXR20" s="292"/>
      <c r="OXS20" s="292"/>
      <c r="OXT20" s="292"/>
      <c r="OXU20" s="292"/>
      <c r="OXV20" s="292"/>
      <c r="OXW20" s="292"/>
      <c r="OXX20" s="292"/>
      <c r="OXY20" s="292"/>
      <c r="OXZ20" s="292"/>
      <c r="OYA20" s="292"/>
      <c r="OYB20" s="292"/>
      <c r="OYC20" s="292"/>
      <c r="OYD20" s="292"/>
      <c r="OYE20" s="292"/>
      <c r="OYF20" s="292"/>
      <c r="OYG20" s="292"/>
      <c r="OYH20" s="292"/>
      <c r="OYI20" s="292"/>
      <c r="OYJ20" s="292"/>
      <c r="OYK20" s="292"/>
      <c r="OYL20" s="292"/>
      <c r="OYM20" s="292"/>
      <c r="OYN20" s="292"/>
      <c r="OYO20" s="292"/>
      <c r="OYP20" s="292"/>
      <c r="OYQ20" s="292"/>
      <c r="OYR20" s="292"/>
      <c r="OYS20" s="292"/>
      <c r="OYT20" s="292"/>
      <c r="OYU20" s="292"/>
      <c r="OYV20" s="292"/>
      <c r="OYW20" s="292"/>
      <c r="OYX20" s="292"/>
      <c r="OYY20" s="292"/>
      <c r="OYZ20" s="292"/>
      <c r="OZA20" s="292"/>
      <c r="OZB20" s="292"/>
      <c r="OZC20" s="292"/>
      <c r="OZD20" s="292"/>
      <c r="OZE20" s="292"/>
      <c r="OZF20" s="292"/>
      <c r="OZG20" s="292"/>
      <c r="OZH20" s="292"/>
      <c r="OZI20" s="292"/>
      <c r="OZJ20" s="292"/>
      <c r="OZK20" s="292"/>
      <c r="OZL20" s="292"/>
      <c r="OZM20" s="292"/>
      <c r="OZN20" s="292"/>
      <c r="OZO20" s="292"/>
      <c r="OZP20" s="292"/>
      <c r="OZQ20" s="292"/>
      <c r="OZR20" s="292"/>
      <c r="OZS20" s="292"/>
      <c r="OZT20" s="292"/>
      <c r="OZU20" s="292"/>
      <c r="OZV20" s="292"/>
      <c r="OZW20" s="292"/>
      <c r="OZX20" s="292"/>
      <c r="OZY20" s="292"/>
      <c r="OZZ20" s="292"/>
      <c r="PAA20" s="292"/>
      <c r="PAB20" s="292"/>
      <c r="PAC20" s="292"/>
      <c r="PAD20" s="292"/>
      <c r="PAE20" s="292"/>
      <c r="PAF20" s="292"/>
      <c r="PAG20" s="292"/>
      <c r="PAH20" s="292"/>
      <c r="PAI20" s="292"/>
      <c r="PAJ20" s="292"/>
      <c r="PAK20" s="292"/>
      <c r="PAL20" s="292"/>
      <c r="PAM20" s="292"/>
      <c r="PAN20" s="292"/>
      <c r="PAO20" s="292"/>
      <c r="PAP20" s="292"/>
      <c r="PAQ20" s="292"/>
      <c r="PAR20" s="292"/>
      <c r="PAS20" s="292"/>
      <c r="PAT20" s="292"/>
      <c r="PAU20" s="292"/>
      <c r="PAV20" s="292"/>
      <c r="PAW20" s="292"/>
      <c r="PAX20" s="292"/>
      <c r="PAY20" s="292"/>
      <c r="PAZ20" s="292"/>
      <c r="PBA20" s="292"/>
      <c r="PBB20" s="292"/>
      <c r="PBC20" s="292"/>
      <c r="PBD20" s="292"/>
      <c r="PBE20" s="292"/>
      <c r="PBF20" s="292"/>
      <c r="PBG20" s="292"/>
      <c r="PBH20" s="292"/>
      <c r="PBI20" s="292"/>
      <c r="PBJ20" s="292"/>
      <c r="PBK20" s="292"/>
      <c r="PBL20" s="292"/>
      <c r="PBM20" s="292"/>
      <c r="PBN20" s="292"/>
      <c r="PBO20" s="292"/>
      <c r="PBP20" s="292"/>
      <c r="PBQ20" s="292"/>
      <c r="PBR20" s="292"/>
      <c r="PBS20" s="292"/>
      <c r="PBT20" s="292"/>
      <c r="PBU20" s="292"/>
      <c r="PBV20" s="292"/>
      <c r="PBW20" s="292"/>
      <c r="PBX20" s="292"/>
      <c r="PBY20" s="292"/>
      <c r="PBZ20" s="292"/>
      <c r="PCA20" s="292"/>
      <c r="PCB20" s="292"/>
      <c r="PCC20" s="292"/>
      <c r="PCD20" s="292"/>
      <c r="PCE20" s="292"/>
      <c r="PCF20" s="292"/>
      <c r="PCG20" s="292"/>
      <c r="PCH20" s="292"/>
      <c r="PCI20" s="292"/>
      <c r="PCJ20" s="292"/>
      <c r="PCK20" s="292"/>
      <c r="PCL20" s="292"/>
      <c r="PCM20" s="292"/>
      <c r="PCN20" s="292"/>
      <c r="PCO20" s="292"/>
      <c r="PCP20" s="292"/>
      <c r="PCQ20" s="292"/>
      <c r="PCR20" s="292"/>
      <c r="PCS20" s="292"/>
      <c r="PCT20" s="292"/>
      <c r="PCU20" s="292"/>
      <c r="PCV20" s="292"/>
      <c r="PCW20" s="292"/>
      <c r="PCX20" s="292"/>
      <c r="PCY20" s="292"/>
      <c r="PCZ20" s="292"/>
      <c r="PDA20" s="292"/>
      <c r="PDB20" s="292"/>
      <c r="PDC20" s="292"/>
      <c r="PDD20" s="292"/>
      <c r="PDE20" s="292"/>
      <c r="PDF20" s="292"/>
      <c r="PDG20" s="292"/>
      <c r="PDH20" s="292"/>
      <c r="PDI20" s="292"/>
      <c r="PDJ20" s="292"/>
      <c r="PDK20" s="292"/>
      <c r="PDL20" s="292"/>
      <c r="PDM20" s="292"/>
      <c r="PDN20" s="292"/>
      <c r="PDO20" s="292"/>
      <c r="PDP20" s="292"/>
      <c r="PDQ20" s="292"/>
      <c r="PDR20" s="292"/>
      <c r="PDS20" s="292"/>
      <c r="PDT20" s="292"/>
      <c r="PDU20" s="292"/>
      <c r="PDV20" s="292"/>
      <c r="PDW20" s="292"/>
      <c r="PDX20" s="292"/>
      <c r="PDY20" s="292"/>
      <c r="PDZ20" s="292"/>
      <c r="PEA20" s="292"/>
      <c r="PEB20" s="292"/>
      <c r="PEC20" s="292"/>
      <c r="PED20" s="292"/>
      <c r="PEE20" s="292"/>
      <c r="PEF20" s="292"/>
      <c r="PEG20" s="292"/>
      <c r="PEH20" s="292"/>
      <c r="PEI20" s="292"/>
      <c r="PEJ20" s="292"/>
      <c r="PEK20" s="292"/>
      <c r="PEL20" s="292"/>
      <c r="PEM20" s="292"/>
      <c r="PEN20" s="292"/>
      <c r="PEO20" s="292"/>
      <c r="PEP20" s="292"/>
      <c r="PEQ20" s="292"/>
      <c r="PER20" s="292"/>
      <c r="PES20" s="292"/>
      <c r="PET20" s="292"/>
      <c r="PEU20" s="292"/>
      <c r="PEV20" s="292"/>
      <c r="PEW20" s="292"/>
      <c r="PEX20" s="292"/>
      <c r="PEY20" s="292"/>
      <c r="PEZ20" s="292"/>
      <c r="PFA20" s="292"/>
      <c r="PFB20" s="292"/>
      <c r="PFC20" s="292"/>
      <c r="PFD20" s="292"/>
      <c r="PFE20" s="292"/>
      <c r="PFF20" s="292"/>
      <c r="PFG20" s="292"/>
      <c r="PFH20" s="292"/>
      <c r="PFI20" s="292"/>
      <c r="PFJ20" s="292"/>
      <c r="PFK20" s="292"/>
      <c r="PFL20" s="292"/>
      <c r="PFM20" s="292"/>
      <c r="PFN20" s="292"/>
      <c r="PFO20" s="292"/>
      <c r="PFP20" s="292"/>
      <c r="PFQ20" s="292"/>
      <c r="PFR20" s="292"/>
      <c r="PFS20" s="292"/>
      <c r="PFT20" s="292"/>
      <c r="PFU20" s="292"/>
      <c r="PFV20" s="292"/>
      <c r="PFW20" s="292"/>
      <c r="PFX20" s="292"/>
      <c r="PFY20" s="292"/>
      <c r="PFZ20" s="292"/>
      <c r="PGA20" s="292"/>
      <c r="PGB20" s="292"/>
      <c r="PGC20" s="292"/>
      <c r="PGD20" s="292"/>
      <c r="PGE20" s="292"/>
      <c r="PGF20" s="292"/>
      <c r="PGG20" s="292"/>
      <c r="PGH20" s="292"/>
      <c r="PGI20" s="292"/>
      <c r="PGJ20" s="292"/>
      <c r="PGK20" s="292"/>
      <c r="PGL20" s="292"/>
      <c r="PGM20" s="292"/>
      <c r="PGN20" s="292"/>
      <c r="PGO20" s="292"/>
      <c r="PGP20" s="292"/>
      <c r="PGQ20" s="292"/>
      <c r="PGR20" s="292"/>
      <c r="PGS20" s="292"/>
      <c r="PGT20" s="292"/>
      <c r="PGU20" s="292"/>
      <c r="PGV20" s="292"/>
      <c r="PGW20" s="292"/>
      <c r="PGX20" s="292"/>
      <c r="PGY20" s="292"/>
      <c r="PGZ20" s="292"/>
      <c r="PHA20" s="292"/>
      <c r="PHB20" s="292"/>
      <c r="PHC20" s="292"/>
      <c r="PHD20" s="292"/>
      <c r="PHE20" s="292"/>
      <c r="PHF20" s="292"/>
      <c r="PHG20" s="292"/>
      <c r="PHH20" s="292"/>
      <c r="PHI20" s="292"/>
      <c r="PHJ20" s="292"/>
      <c r="PHK20" s="292"/>
      <c r="PHL20" s="292"/>
      <c r="PHM20" s="292"/>
      <c r="PHN20" s="292"/>
      <c r="PHO20" s="292"/>
      <c r="PHP20" s="292"/>
      <c r="PHQ20" s="292"/>
      <c r="PHR20" s="292"/>
      <c r="PHS20" s="292"/>
      <c r="PHT20" s="292"/>
      <c r="PHU20" s="292"/>
      <c r="PHV20" s="292"/>
      <c r="PHW20" s="292"/>
      <c r="PHX20" s="292"/>
      <c r="PHY20" s="292"/>
      <c r="PHZ20" s="292"/>
      <c r="PIA20" s="292"/>
      <c r="PIB20" s="292"/>
      <c r="PIC20" s="292"/>
      <c r="PID20" s="292"/>
      <c r="PIE20" s="292"/>
      <c r="PIF20" s="292"/>
      <c r="PIG20" s="292"/>
      <c r="PIH20" s="292"/>
      <c r="PII20" s="292"/>
      <c r="PIJ20" s="292"/>
      <c r="PIK20" s="292"/>
      <c r="PIL20" s="292"/>
      <c r="PIM20" s="292"/>
      <c r="PIN20" s="292"/>
      <c r="PIO20" s="292"/>
      <c r="PIP20" s="292"/>
      <c r="PIQ20" s="292"/>
      <c r="PIR20" s="292"/>
      <c r="PIS20" s="292"/>
      <c r="PIT20" s="292"/>
      <c r="PIU20" s="292"/>
      <c r="PIV20" s="292"/>
      <c r="PIW20" s="292"/>
      <c r="PIX20" s="292"/>
      <c r="PIY20" s="292"/>
      <c r="PIZ20" s="292"/>
      <c r="PJA20" s="292"/>
      <c r="PJB20" s="292"/>
      <c r="PJC20" s="292"/>
      <c r="PJD20" s="292"/>
      <c r="PJE20" s="292"/>
      <c r="PJF20" s="292"/>
      <c r="PJG20" s="292"/>
      <c r="PJH20" s="292"/>
      <c r="PJI20" s="292"/>
      <c r="PJJ20" s="292"/>
      <c r="PJK20" s="292"/>
      <c r="PJL20" s="292"/>
      <c r="PJM20" s="292"/>
      <c r="PJN20" s="292"/>
      <c r="PJO20" s="292"/>
      <c r="PJP20" s="292"/>
      <c r="PJQ20" s="292"/>
      <c r="PJR20" s="292"/>
      <c r="PJS20" s="292"/>
      <c r="PJT20" s="292"/>
      <c r="PJU20" s="292"/>
      <c r="PJV20" s="292"/>
      <c r="PJW20" s="292"/>
      <c r="PJX20" s="292"/>
      <c r="PJY20" s="292"/>
      <c r="PJZ20" s="292"/>
      <c r="PKA20" s="292"/>
      <c r="PKB20" s="292"/>
      <c r="PKC20" s="292"/>
      <c r="PKD20" s="292"/>
      <c r="PKE20" s="292"/>
      <c r="PKF20" s="292"/>
      <c r="PKG20" s="292"/>
      <c r="PKH20" s="292"/>
      <c r="PKI20" s="292"/>
      <c r="PKJ20" s="292"/>
      <c r="PKK20" s="292"/>
      <c r="PKL20" s="292"/>
      <c r="PKM20" s="292"/>
      <c r="PKN20" s="292"/>
      <c r="PKO20" s="292"/>
      <c r="PKP20" s="292"/>
      <c r="PKQ20" s="292"/>
      <c r="PKR20" s="292"/>
      <c r="PKS20" s="292"/>
      <c r="PKT20" s="292"/>
      <c r="PKU20" s="292"/>
      <c r="PKV20" s="292"/>
      <c r="PKW20" s="292"/>
      <c r="PKX20" s="292"/>
      <c r="PKY20" s="292"/>
      <c r="PKZ20" s="292"/>
      <c r="PLA20" s="292"/>
      <c r="PLB20" s="292"/>
      <c r="PLC20" s="292"/>
      <c r="PLD20" s="292"/>
      <c r="PLE20" s="292"/>
      <c r="PLF20" s="292"/>
      <c r="PLG20" s="292"/>
      <c r="PLH20" s="292"/>
      <c r="PLI20" s="292"/>
      <c r="PLJ20" s="292"/>
      <c r="PLK20" s="292"/>
      <c r="PLL20" s="292"/>
      <c r="PLM20" s="292"/>
      <c r="PLN20" s="292"/>
      <c r="PLO20" s="292"/>
      <c r="PLP20" s="292"/>
      <c r="PLQ20" s="292"/>
      <c r="PLR20" s="292"/>
      <c r="PLS20" s="292"/>
      <c r="PLT20" s="292"/>
      <c r="PLU20" s="292"/>
      <c r="PLV20" s="292"/>
      <c r="PLW20" s="292"/>
      <c r="PLX20" s="292"/>
      <c r="PLY20" s="292"/>
      <c r="PLZ20" s="292"/>
      <c r="PMA20" s="292"/>
      <c r="PMB20" s="292"/>
      <c r="PMC20" s="292"/>
      <c r="PMD20" s="292"/>
      <c r="PME20" s="292"/>
      <c r="PMF20" s="292"/>
      <c r="PMG20" s="292"/>
      <c r="PMH20" s="292"/>
      <c r="PMI20" s="292"/>
      <c r="PMJ20" s="292"/>
      <c r="PMK20" s="292"/>
      <c r="PML20" s="292"/>
      <c r="PMM20" s="292"/>
      <c r="PMN20" s="292"/>
      <c r="PMO20" s="292"/>
      <c r="PMP20" s="292"/>
      <c r="PMQ20" s="292"/>
      <c r="PMR20" s="292"/>
      <c r="PMS20" s="292"/>
      <c r="PMT20" s="292"/>
      <c r="PMU20" s="292"/>
      <c r="PMV20" s="292"/>
      <c r="PMW20" s="292"/>
      <c r="PMX20" s="292"/>
      <c r="PMY20" s="292"/>
      <c r="PMZ20" s="292"/>
      <c r="PNA20" s="292"/>
      <c r="PNB20" s="292"/>
      <c r="PNC20" s="292"/>
      <c r="PND20" s="292"/>
      <c r="PNE20" s="292"/>
      <c r="PNF20" s="292"/>
      <c r="PNG20" s="292"/>
      <c r="PNH20" s="292"/>
      <c r="PNI20" s="292"/>
      <c r="PNJ20" s="292"/>
      <c r="PNK20" s="292"/>
      <c r="PNL20" s="292"/>
      <c r="PNM20" s="292"/>
      <c r="PNN20" s="292"/>
      <c r="PNO20" s="292"/>
      <c r="PNP20" s="292"/>
      <c r="PNQ20" s="292"/>
      <c r="PNR20" s="292"/>
      <c r="PNS20" s="292"/>
      <c r="PNT20" s="292"/>
      <c r="PNU20" s="292"/>
      <c r="PNV20" s="292"/>
      <c r="PNW20" s="292"/>
      <c r="PNX20" s="292"/>
      <c r="PNY20" s="292"/>
      <c r="PNZ20" s="292"/>
      <c r="POA20" s="292"/>
      <c r="POB20" s="292"/>
      <c r="POC20" s="292"/>
      <c r="POD20" s="292"/>
      <c r="POE20" s="292"/>
      <c r="POF20" s="292"/>
      <c r="POG20" s="292"/>
      <c r="POH20" s="292"/>
      <c r="POI20" s="292"/>
      <c r="POJ20" s="292"/>
      <c r="POK20" s="292"/>
      <c r="POL20" s="292"/>
      <c r="POM20" s="292"/>
      <c r="PON20" s="292"/>
      <c r="POO20" s="292"/>
      <c r="POP20" s="292"/>
      <c r="POQ20" s="292"/>
      <c r="POR20" s="292"/>
      <c r="POS20" s="292"/>
      <c r="POT20" s="292"/>
      <c r="POU20" s="292"/>
      <c r="POV20" s="292"/>
      <c r="POW20" s="292"/>
      <c r="POX20" s="292"/>
      <c r="POY20" s="292"/>
      <c r="POZ20" s="292"/>
      <c r="PPA20" s="292"/>
      <c r="PPB20" s="292"/>
      <c r="PPC20" s="292"/>
      <c r="PPD20" s="292"/>
      <c r="PPE20" s="292"/>
      <c r="PPF20" s="292"/>
      <c r="PPG20" s="292"/>
      <c r="PPH20" s="292"/>
      <c r="PPI20" s="292"/>
      <c r="PPJ20" s="292"/>
      <c r="PPK20" s="292"/>
      <c r="PPL20" s="292"/>
      <c r="PPM20" s="292"/>
      <c r="PPN20" s="292"/>
      <c r="PPO20" s="292"/>
      <c r="PPP20" s="292"/>
      <c r="PPQ20" s="292"/>
      <c r="PPR20" s="292"/>
      <c r="PPS20" s="292"/>
      <c r="PPT20" s="292"/>
      <c r="PPU20" s="292"/>
      <c r="PPV20" s="292"/>
      <c r="PPW20" s="292"/>
      <c r="PPX20" s="292"/>
      <c r="PPY20" s="292"/>
      <c r="PPZ20" s="292"/>
      <c r="PQA20" s="292"/>
      <c r="PQB20" s="292"/>
      <c r="PQC20" s="292"/>
      <c r="PQD20" s="292"/>
      <c r="PQE20" s="292"/>
      <c r="PQF20" s="292"/>
      <c r="PQG20" s="292"/>
      <c r="PQH20" s="292"/>
      <c r="PQI20" s="292"/>
      <c r="PQJ20" s="292"/>
      <c r="PQK20" s="292"/>
      <c r="PQL20" s="292"/>
      <c r="PQM20" s="292"/>
      <c r="PQN20" s="292"/>
      <c r="PQO20" s="292"/>
      <c r="PQP20" s="292"/>
      <c r="PQQ20" s="292"/>
      <c r="PQR20" s="292"/>
      <c r="PQS20" s="292"/>
      <c r="PQT20" s="292"/>
      <c r="PQU20" s="292"/>
      <c r="PQV20" s="292"/>
      <c r="PQW20" s="292"/>
      <c r="PQX20" s="292"/>
      <c r="PQY20" s="292"/>
      <c r="PQZ20" s="292"/>
      <c r="PRA20" s="292"/>
      <c r="PRB20" s="292"/>
      <c r="PRC20" s="292"/>
      <c r="PRD20" s="292"/>
      <c r="PRE20" s="292"/>
      <c r="PRF20" s="292"/>
      <c r="PRG20" s="292"/>
      <c r="PRH20" s="292"/>
      <c r="PRI20" s="292"/>
      <c r="PRJ20" s="292"/>
      <c r="PRK20" s="292"/>
      <c r="PRL20" s="292"/>
      <c r="PRM20" s="292"/>
      <c r="PRN20" s="292"/>
      <c r="PRO20" s="292"/>
      <c r="PRP20" s="292"/>
      <c r="PRQ20" s="292"/>
      <c r="PRR20" s="292"/>
      <c r="PRS20" s="292"/>
      <c r="PRT20" s="292"/>
      <c r="PRU20" s="292"/>
      <c r="PRV20" s="292"/>
      <c r="PRW20" s="292"/>
      <c r="PRX20" s="292"/>
      <c r="PRY20" s="292"/>
      <c r="PRZ20" s="292"/>
      <c r="PSA20" s="292"/>
      <c r="PSB20" s="292"/>
      <c r="PSC20" s="292"/>
      <c r="PSD20" s="292"/>
      <c r="PSE20" s="292"/>
      <c r="PSF20" s="292"/>
      <c r="PSG20" s="292"/>
      <c r="PSH20" s="292"/>
      <c r="PSI20" s="292"/>
      <c r="PSJ20" s="292"/>
      <c r="PSK20" s="292"/>
      <c r="PSL20" s="292"/>
      <c r="PSM20" s="292"/>
      <c r="PSN20" s="292"/>
      <c r="PSO20" s="292"/>
      <c r="PSP20" s="292"/>
      <c r="PSQ20" s="292"/>
      <c r="PSR20" s="292"/>
      <c r="PSS20" s="292"/>
      <c r="PST20" s="292"/>
      <c r="PSU20" s="292"/>
      <c r="PSV20" s="292"/>
      <c r="PSW20" s="292"/>
      <c r="PSX20" s="292"/>
      <c r="PSY20" s="292"/>
      <c r="PSZ20" s="292"/>
      <c r="PTA20" s="292"/>
      <c r="PTB20" s="292"/>
      <c r="PTC20" s="292"/>
      <c r="PTD20" s="292"/>
      <c r="PTE20" s="292"/>
      <c r="PTF20" s="292"/>
      <c r="PTG20" s="292"/>
      <c r="PTH20" s="292"/>
      <c r="PTI20" s="292"/>
      <c r="PTJ20" s="292"/>
      <c r="PTK20" s="292"/>
      <c r="PTL20" s="292"/>
      <c r="PTM20" s="292"/>
      <c r="PTN20" s="292"/>
      <c r="PTO20" s="292"/>
      <c r="PTP20" s="292"/>
      <c r="PTQ20" s="292"/>
      <c r="PTR20" s="292"/>
      <c r="PTS20" s="292"/>
      <c r="PTT20" s="292"/>
      <c r="PTU20" s="292"/>
      <c r="PTV20" s="292"/>
      <c r="PTW20" s="292"/>
      <c r="PTX20" s="292"/>
      <c r="PTY20" s="292"/>
      <c r="PTZ20" s="292"/>
      <c r="PUA20" s="292"/>
      <c r="PUB20" s="292"/>
      <c r="PUC20" s="292"/>
      <c r="PUD20" s="292"/>
      <c r="PUE20" s="292"/>
      <c r="PUF20" s="292"/>
      <c r="PUG20" s="292"/>
      <c r="PUH20" s="292"/>
      <c r="PUI20" s="292"/>
      <c r="PUJ20" s="292"/>
      <c r="PUK20" s="292"/>
      <c r="PUL20" s="292"/>
      <c r="PUM20" s="292"/>
      <c r="PUN20" s="292"/>
      <c r="PUO20" s="292"/>
      <c r="PUP20" s="292"/>
      <c r="PUQ20" s="292"/>
      <c r="PUR20" s="292"/>
      <c r="PUS20" s="292"/>
      <c r="PUT20" s="292"/>
      <c r="PUU20" s="292"/>
      <c r="PUV20" s="292"/>
      <c r="PUW20" s="292"/>
      <c r="PUX20" s="292"/>
      <c r="PUY20" s="292"/>
      <c r="PUZ20" s="292"/>
      <c r="PVA20" s="292"/>
      <c r="PVB20" s="292"/>
      <c r="PVC20" s="292"/>
      <c r="PVD20" s="292"/>
      <c r="PVE20" s="292"/>
      <c r="PVF20" s="292"/>
      <c r="PVG20" s="292"/>
      <c r="PVH20" s="292"/>
      <c r="PVI20" s="292"/>
      <c r="PVJ20" s="292"/>
      <c r="PVK20" s="292"/>
      <c r="PVL20" s="292"/>
      <c r="PVM20" s="292"/>
      <c r="PVN20" s="292"/>
      <c r="PVO20" s="292"/>
      <c r="PVP20" s="292"/>
      <c r="PVQ20" s="292"/>
      <c r="PVR20" s="292"/>
      <c r="PVS20" s="292"/>
      <c r="PVT20" s="292"/>
      <c r="PVU20" s="292"/>
      <c r="PVV20" s="292"/>
      <c r="PVW20" s="292"/>
      <c r="PVX20" s="292"/>
      <c r="PVY20" s="292"/>
      <c r="PVZ20" s="292"/>
      <c r="PWA20" s="292"/>
      <c r="PWB20" s="292"/>
      <c r="PWC20" s="292"/>
      <c r="PWD20" s="292"/>
      <c r="PWE20" s="292"/>
      <c r="PWF20" s="292"/>
      <c r="PWG20" s="292"/>
      <c r="PWH20" s="292"/>
      <c r="PWI20" s="292"/>
      <c r="PWJ20" s="292"/>
      <c r="PWK20" s="292"/>
      <c r="PWL20" s="292"/>
      <c r="PWM20" s="292"/>
      <c r="PWN20" s="292"/>
      <c r="PWO20" s="292"/>
      <c r="PWP20" s="292"/>
      <c r="PWQ20" s="292"/>
      <c r="PWR20" s="292"/>
      <c r="PWS20" s="292"/>
      <c r="PWT20" s="292"/>
      <c r="PWU20" s="292"/>
      <c r="PWV20" s="292"/>
      <c r="PWW20" s="292"/>
      <c r="PWX20" s="292"/>
      <c r="PWY20" s="292"/>
      <c r="PWZ20" s="292"/>
      <c r="PXA20" s="292"/>
      <c r="PXB20" s="292"/>
      <c r="PXC20" s="292"/>
      <c r="PXD20" s="292"/>
      <c r="PXE20" s="292"/>
      <c r="PXF20" s="292"/>
      <c r="PXG20" s="292"/>
      <c r="PXH20" s="292"/>
      <c r="PXI20" s="292"/>
      <c r="PXJ20" s="292"/>
      <c r="PXK20" s="292"/>
      <c r="PXL20" s="292"/>
      <c r="PXM20" s="292"/>
      <c r="PXN20" s="292"/>
      <c r="PXO20" s="292"/>
      <c r="PXP20" s="292"/>
      <c r="PXQ20" s="292"/>
      <c r="PXR20" s="292"/>
      <c r="PXS20" s="292"/>
      <c r="PXT20" s="292"/>
      <c r="PXU20" s="292"/>
      <c r="PXV20" s="292"/>
      <c r="PXW20" s="292"/>
      <c r="PXX20" s="292"/>
      <c r="PXY20" s="292"/>
      <c r="PXZ20" s="292"/>
      <c r="PYA20" s="292"/>
      <c r="PYB20" s="292"/>
      <c r="PYC20" s="292"/>
      <c r="PYD20" s="292"/>
      <c r="PYE20" s="292"/>
      <c r="PYF20" s="292"/>
      <c r="PYG20" s="292"/>
      <c r="PYH20" s="292"/>
      <c r="PYI20" s="292"/>
      <c r="PYJ20" s="292"/>
      <c r="PYK20" s="292"/>
      <c r="PYL20" s="292"/>
      <c r="PYM20" s="292"/>
      <c r="PYN20" s="292"/>
      <c r="PYO20" s="292"/>
      <c r="PYP20" s="292"/>
      <c r="PYQ20" s="292"/>
      <c r="PYR20" s="292"/>
      <c r="PYS20" s="292"/>
      <c r="PYT20" s="292"/>
      <c r="PYU20" s="292"/>
      <c r="PYV20" s="292"/>
      <c r="PYW20" s="292"/>
      <c r="PYX20" s="292"/>
      <c r="PYY20" s="292"/>
      <c r="PYZ20" s="292"/>
      <c r="PZA20" s="292"/>
      <c r="PZB20" s="292"/>
      <c r="PZC20" s="292"/>
      <c r="PZD20" s="292"/>
      <c r="PZE20" s="292"/>
      <c r="PZF20" s="292"/>
      <c r="PZG20" s="292"/>
      <c r="PZH20" s="292"/>
      <c r="PZI20" s="292"/>
      <c r="PZJ20" s="292"/>
      <c r="PZK20" s="292"/>
      <c r="PZL20" s="292"/>
      <c r="PZM20" s="292"/>
      <c r="PZN20" s="292"/>
      <c r="PZO20" s="292"/>
      <c r="PZP20" s="292"/>
      <c r="PZQ20" s="292"/>
      <c r="PZR20" s="292"/>
      <c r="PZS20" s="292"/>
      <c r="PZT20" s="292"/>
      <c r="PZU20" s="292"/>
      <c r="PZV20" s="292"/>
      <c r="PZW20" s="292"/>
      <c r="PZX20" s="292"/>
      <c r="PZY20" s="292"/>
      <c r="PZZ20" s="292"/>
      <c r="QAA20" s="292"/>
      <c r="QAB20" s="292"/>
      <c r="QAC20" s="292"/>
      <c r="QAD20" s="292"/>
      <c r="QAE20" s="292"/>
      <c r="QAF20" s="292"/>
      <c r="QAG20" s="292"/>
      <c r="QAH20" s="292"/>
      <c r="QAI20" s="292"/>
      <c r="QAJ20" s="292"/>
      <c r="QAK20" s="292"/>
      <c r="QAL20" s="292"/>
      <c r="QAM20" s="292"/>
      <c r="QAN20" s="292"/>
      <c r="QAO20" s="292"/>
      <c r="QAP20" s="292"/>
      <c r="QAQ20" s="292"/>
      <c r="QAR20" s="292"/>
      <c r="QAS20" s="292"/>
      <c r="QAT20" s="292"/>
      <c r="QAU20" s="292"/>
      <c r="QAV20" s="292"/>
      <c r="QAW20" s="292"/>
      <c r="QAX20" s="292"/>
      <c r="QAY20" s="292"/>
      <c r="QAZ20" s="292"/>
      <c r="QBA20" s="292"/>
      <c r="QBB20" s="292"/>
      <c r="QBC20" s="292"/>
      <c r="QBD20" s="292"/>
      <c r="QBE20" s="292"/>
      <c r="QBF20" s="292"/>
      <c r="QBG20" s="292"/>
      <c r="QBH20" s="292"/>
      <c r="QBI20" s="292"/>
      <c r="QBJ20" s="292"/>
      <c r="QBK20" s="292"/>
      <c r="QBL20" s="292"/>
      <c r="QBM20" s="292"/>
      <c r="QBN20" s="292"/>
      <c r="QBO20" s="292"/>
      <c r="QBP20" s="292"/>
      <c r="QBQ20" s="292"/>
      <c r="QBR20" s="292"/>
      <c r="QBS20" s="292"/>
      <c r="QBT20" s="292"/>
      <c r="QBU20" s="292"/>
      <c r="QBV20" s="292"/>
      <c r="QBW20" s="292"/>
      <c r="QBX20" s="292"/>
      <c r="QBY20" s="292"/>
      <c r="QBZ20" s="292"/>
      <c r="QCA20" s="292"/>
      <c r="QCB20" s="292"/>
      <c r="QCC20" s="292"/>
      <c r="QCD20" s="292"/>
      <c r="QCE20" s="292"/>
      <c r="QCF20" s="292"/>
      <c r="QCG20" s="292"/>
      <c r="QCH20" s="292"/>
      <c r="QCI20" s="292"/>
      <c r="QCJ20" s="292"/>
      <c r="QCK20" s="292"/>
      <c r="QCL20" s="292"/>
      <c r="QCM20" s="292"/>
      <c r="QCN20" s="292"/>
      <c r="QCO20" s="292"/>
      <c r="QCP20" s="292"/>
      <c r="QCQ20" s="292"/>
      <c r="QCR20" s="292"/>
      <c r="QCS20" s="292"/>
      <c r="QCT20" s="292"/>
      <c r="QCU20" s="292"/>
      <c r="QCV20" s="292"/>
      <c r="QCW20" s="292"/>
      <c r="QCX20" s="292"/>
      <c r="QCY20" s="292"/>
      <c r="QCZ20" s="292"/>
      <c r="QDA20" s="292"/>
      <c r="QDB20" s="292"/>
      <c r="QDC20" s="292"/>
      <c r="QDD20" s="292"/>
      <c r="QDE20" s="292"/>
      <c r="QDF20" s="292"/>
      <c r="QDG20" s="292"/>
      <c r="QDH20" s="292"/>
      <c r="QDI20" s="292"/>
      <c r="QDJ20" s="292"/>
      <c r="QDK20" s="292"/>
      <c r="QDL20" s="292"/>
      <c r="QDM20" s="292"/>
      <c r="QDN20" s="292"/>
      <c r="QDO20" s="292"/>
      <c r="QDP20" s="292"/>
      <c r="QDQ20" s="292"/>
      <c r="QDR20" s="292"/>
      <c r="QDS20" s="292"/>
      <c r="QDT20" s="292"/>
      <c r="QDU20" s="292"/>
      <c r="QDV20" s="292"/>
      <c r="QDW20" s="292"/>
      <c r="QDX20" s="292"/>
      <c r="QDY20" s="292"/>
      <c r="QDZ20" s="292"/>
      <c r="QEA20" s="292"/>
      <c r="QEB20" s="292"/>
      <c r="QEC20" s="292"/>
      <c r="QED20" s="292"/>
      <c r="QEE20" s="292"/>
      <c r="QEF20" s="292"/>
      <c r="QEG20" s="292"/>
      <c r="QEH20" s="292"/>
      <c r="QEI20" s="292"/>
      <c r="QEJ20" s="292"/>
      <c r="QEK20" s="292"/>
      <c r="QEL20" s="292"/>
      <c r="QEM20" s="292"/>
      <c r="QEN20" s="292"/>
      <c r="QEO20" s="292"/>
      <c r="QEP20" s="292"/>
      <c r="QEQ20" s="292"/>
      <c r="QER20" s="292"/>
      <c r="QES20" s="292"/>
      <c r="QET20" s="292"/>
      <c r="QEU20" s="292"/>
      <c r="QEV20" s="292"/>
      <c r="QEW20" s="292"/>
      <c r="QEX20" s="292"/>
      <c r="QEY20" s="292"/>
      <c r="QEZ20" s="292"/>
      <c r="QFA20" s="292"/>
      <c r="QFB20" s="292"/>
      <c r="QFC20" s="292"/>
      <c r="QFD20" s="292"/>
      <c r="QFE20" s="292"/>
      <c r="QFF20" s="292"/>
      <c r="QFG20" s="292"/>
      <c r="QFH20" s="292"/>
      <c r="QFI20" s="292"/>
      <c r="QFJ20" s="292"/>
      <c r="QFK20" s="292"/>
      <c r="QFL20" s="292"/>
      <c r="QFM20" s="292"/>
      <c r="QFN20" s="292"/>
      <c r="QFO20" s="292"/>
      <c r="QFP20" s="292"/>
      <c r="QFQ20" s="292"/>
      <c r="QFR20" s="292"/>
      <c r="QFS20" s="292"/>
      <c r="QFT20" s="292"/>
      <c r="QFU20" s="292"/>
      <c r="QFV20" s="292"/>
      <c r="QFW20" s="292"/>
      <c r="QFX20" s="292"/>
      <c r="QFY20" s="292"/>
      <c r="QFZ20" s="292"/>
      <c r="QGA20" s="292"/>
      <c r="QGB20" s="292"/>
      <c r="QGC20" s="292"/>
      <c r="QGD20" s="292"/>
      <c r="QGE20" s="292"/>
      <c r="QGF20" s="292"/>
      <c r="QGG20" s="292"/>
      <c r="QGH20" s="292"/>
      <c r="QGI20" s="292"/>
      <c r="QGJ20" s="292"/>
      <c r="QGK20" s="292"/>
      <c r="QGL20" s="292"/>
      <c r="QGM20" s="292"/>
      <c r="QGN20" s="292"/>
      <c r="QGO20" s="292"/>
      <c r="QGP20" s="292"/>
      <c r="QGQ20" s="292"/>
      <c r="QGR20" s="292"/>
      <c r="QGS20" s="292"/>
      <c r="QGT20" s="292"/>
      <c r="QGU20" s="292"/>
      <c r="QGV20" s="292"/>
      <c r="QGW20" s="292"/>
      <c r="QGX20" s="292"/>
      <c r="QGY20" s="292"/>
      <c r="QGZ20" s="292"/>
      <c r="QHA20" s="292"/>
      <c r="QHB20" s="292"/>
      <c r="QHC20" s="292"/>
      <c r="QHD20" s="292"/>
      <c r="QHE20" s="292"/>
      <c r="QHF20" s="292"/>
      <c r="QHG20" s="292"/>
      <c r="QHH20" s="292"/>
      <c r="QHI20" s="292"/>
      <c r="QHJ20" s="292"/>
      <c r="QHK20" s="292"/>
      <c r="QHL20" s="292"/>
      <c r="QHM20" s="292"/>
      <c r="QHN20" s="292"/>
      <c r="QHO20" s="292"/>
      <c r="QHP20" s="292"/>
      <c r="QHQ20" s="292"/>
      <c r="QHR20" s="292"/>
      <c r="QHS20" s="292"/>
      <c r="QHT20" s="292"/>
      <c r="QHU20" s="292"/>
      <c r="QHV20" s="292"/>
      <c r="QHW20" s="292"/>
      <c r="QHX20" s="292"/>
      <c r="QHY20" s="292"/>
      <c r="QHZ20" s="292"/>
      <c r="QIA20" s="292"/>
      <c r="QIB20" s="292"/>
      <c r="QIC20" s="292"/>
      <c r="QID20" s="292"/>
      <c r="QIE20" s="292"/>
      <c r="QIF20" s="292"/>
      <c r="QIG20" s="292"/>
      <c r="QIH20" s="292"/>
      <c r="QII20" s="292"/>
      <c r="QIJ20" s="292"/>
      <c r="QIK20" s="292"/>
      <c r="QIL20" s="292"/>
      <c r="QIM20" s="292"/>
      <c r="QIN20" s="292"/>
      <c r="QIO20" s="292"/>
      <c r="QIP20" s="292"/>
      <c r="QIQ20" s="292"/>
      <c r="QIR20" s="292"/>
      <c r="QIS20" s="292"/>
      <c r="QIT20" s="292"/>
      <c r="QIU20" s="292"/>
      <c r="QIV20" s="292"/>
      <c r="QIW20" s="292"/>
      <c r="QIX20" s="292"/>
      <c r="QIY20" s="292"/>
      <c r="QIZ20" s="292"/>
      <c r="QJA20" s="292"/>
      <c r="QJB20" s="292"/>
      <c r="QJC20" s="292"/>
      <c r="QJD20" s="292"/>
      <c r="QJE20" s="292"/>
      <c r="QJF20" s="292"/>
      <c r="QJG20" s="292"/>
      <c r="QJH20" s="292"/>
      <c r="QJI20" s="292"/>
      <c r="QJJ20" s="292"/>
      <c r="QJK20" s="292"/>
      <c r="QJL20" s="292"/>
      <c r="QJM20" s="292"/>
      <c r="QJN20" s="292"/>
      <c r="QJO20" s="292"/>
      <c r="QJP20" s="292"/>
      <c r="QJQ20" s="292"/>
      <c r="QJR20" s="292"/>
      <c r="QJS20" s="292"/>
      <c r="QJT20" s="292"/>
      <c r="QJU20" s="292"/>
      <c r="QJV20" s="292"/>
      <c r="QJW20" s="292"/>
      <c r="QJX20" s="292"/>
      <c r="QJY20" s="292"/>
      <c r="QJZ20" s="292"/>
      <c r="QKA20" s="292"/>
      <c r="QKB20" s="292"/>
      <c r="QKC20" s="292"/>
      <c r="QKD20" s="292"/>
      <c r="QKE20" s="292"/>
      <c r="QKF20" s="292"/>
      <c r="QKG20" s="292"/>
      <c r="QKH20" s="292"/>
      <c r="QKI20" s="292"/>
      <c r="QKJ20" s="292"/>
      <c r="QKK20" s="292"/>
      <c r="QKL20" s="292"/>
      <c r="QKM20" s="292"/>
      <c r="QKN20" s="292"/>
      <c r="QKO20" s="292"/>
      <c r="QKP20" s="292"/>
      <c r="QKQ20" s="292"/>
      <c r="QKR20" s="292"/>
      <c r="QKS20" s="292"/>
      <c r="QKT20" s="292"/>
      <c r="QKU20" s="292"/>
      <c r="QKV20" s="292"/>
      <c r="QKW20" s="292"/>
      <c r="QKX20" s="292"/>
      <c r="QKY20" s="292"/>
      <c r="QKZ20" s="292"/>
      <c r="QLA20" s="292"/>
      <c r="QLB20" s="292"/>
      <c r="QLC20" s="292"/>
      <c r="QLD20" s="292"/>
      <c r="QLE20" s="292"/>
      <c r="QLF20" s="292"/>
      <c r="QLG20" s="292"/>
      <c r="QLH20" s="292"/>
      <c r="QLI20" s="292"/>
      <c r="QLJ20" s="292"/>
      <c r="QLK20" s="292"/>
      <c r="QLL20" s="292"/>
      <c r="QLM20" s="292"/>
      <c r="QLN20" s="292"/>
      <c r="QLO20" s="292"/>
      <c r="QLP20" s="292"/>
      <c r="QLQ20" s="292"/>
      <c r="QLR20" s="292"/>
      <c r="QLS20" s="292"/>
      <c r="QLT20" s="292"/>
      <c r="QLU20" s="292"/>
      <c r="QLV20" s="292"/>
      <c r="QLW20" s="292"/>
      <c r="QLX20" s="292"/>
      <c r="QLY20" s="292"/>
      <c r="QLZ20" s="292"/>
      <c r="QMA20" s="292"/>
      <c r="QMB20" s="292"/>
      <c r="QMC20" s="292"/>
      <c r="QMD20" s="292"/>
      <c r="QME20" s="292"/>
      <c r="QMF20" s="292"/>
      <c r="QMG20" s="292"/>
      <c r="QMH20" s="292"/>
      <c r="QMI20" s="292"/>
      <c r="QMJ20" s="292"/>
      <c r="QMK20" s="292"/>
      <c r="QML20" s="292"/>
      <c r="QMM20" s="292"/>
      <c r="QMN20" s="292"/>
      <c r="QMO20" s="292"/>
      <c r="QMP20" s="292"/>
      <c r="QMQ20" s="292"/>
      <c r="QMR20" s="292"/>
      <c r="QMS20" s="292"/>
      <c r="QMT20" s="292"/>
      <c r="QMU20" s="292"/>
      <c r="QMV20" s="292"/>
      <c r="QMW20" s="292"/>
      <c r="QMX20" s="292"/>
      <c r="QMY20" s="292"/>
      <c r="QMZ20" s="292"/>
      <c r="QNA20" s="292"/>
      <c r="QNB20" s="292"/>
      <c r="QNC20" s="292"/>
      <c r="QND20" s="292"/>
      <c r="QNE20" s="292"/>
      <c r="QNF20" s="292"/>
      <c r="QNG20" s="292"/>
      <c r="QNH20" s="292"/>
      <c r="QNI20" s="292"/>
      <c r="QNJ20" s="292"/>
      <c r="QNK20" s="292"/>
      <c r="QNL20" s="292"/>
      <c r="QNM20" s="292"/>
      <c r="QNN20" s="292"/>
      <c r="QNO20" s="292"/>
      <c r="QNP20" s="292"/>
      <c r="QNQ20" s="292"/>
      <c r="QNR20" s="292"/>
      <c r="QNS20" s="292"/>
      <c r="QNT20" s="292"/>
      <c r="QNU20" s="292"/>
      <c r="QNV20" s="292"/>
      <c r="QNW20" s="292"/>
      <c r="QNX20" s="292"/>
      <c r="QNY20" s="292"/>
      <c r="QNZ20" s="292"/>
      <c r="QOA20" s="292"/>
      <c r="QOB20" s="292"/>
      <c r="QOC20" s="292"/>
      <c r="QOD20" s="292"/>
      <c r="QOE20" s="292"/>
      <c r="QOF20" s="292"/>
      <c r="QOG20" s="292"/>
      <c r="QOH20" s="292"/>
      <c r="QOI20" s="292"/>
      <c r="QOJ20" s="292"/>
      <c r="QOK20" s="292"/>
      <c r="QOL20" s="292"/>
      <c r="QOM20" s="292"/>
      <c r="QON20" s="292"/>
      <c r="QOO20" s="292"/>
      <c r="QOP20" s="292"/>
      <c r="QOQ20" s="292"/>
      <c r="QOR20" s="292"/>
      <c r="QOS20" s="292"/>
      <c r="QOT20" s="292"/>
      <c r="QOU20" s="292"/>
      <c r="QOV20" s="292"/>
      <c r="QOW20" s="292"/>
      <c r="QOX20" s="292"/>
      <c r="QOY20" s="292"/>
      <c r="QOZ20" s="292"/>
      <c r="QPA20" s="292"/>
      <c r="QPB20" s="292"/>
      <c r="QPC20" s="292"/>
      <c r="QPD20" s="292"/>
      <c r="QPE20" s="292"/>
      <c r="QPF20" s="292"/>
      <c r="QPG20" s="292"/>
      <c r="QPH20" s="292"/>
      <c r="QPI20" s="292"/>
      <c r="QPJ20" s="292"/>
      <c r="QPK20" s="292"/>
      <c r="QPL20" s="292"/>
      <c r="QPM20" s="292"/>
      <c r="QPN20" s="292"/>
      <c r="QPO20" s="292"/>
      <c r="QPP20" s="292"/>
      <c r="QPQ20" s="292"/>
      <c r="QPR20" s="292"/>
      <c r="QPS20" s="292"/>
      <c r="QPT20" s="292"/>
      <c r="QPU20" s="292"/>
      <c r="QPV20" s="292"/>
      <c r="QPW20" s="292"/>
      <c r="QPX20" s="292"/>
      <c r="QPY20" s="292"/>
      <c r="QPZ20" s="292"/>
      <c r="QQA20" s="292"/>
      <c r="QQB20" s="292"/>
      <c r="QQC20" s="292"/>
      <c r="QQD20" s="292"/>
      <c r="QQE20" s="292"/>
      <c r="QQF20" s="292"/>
      <c r="QQG20" s="292"/>
      <c r="QQH20" s="292"/>
      <c r="QQI20" s="292"/>
      <c r="QQJ20" s="292"/>
      <c r="QQK20" s="292"/>
      <c r="QQL20" s="292"/>
      <c r="QQM20" s="292"/>
      <c r="QQN20" s="292"/>
      <c r="QQO20" s="292"/>
      <c r="QQP20" s="292"/>
      <c r="QQQ20" s="292"/>
      <c r="QQR20" s="292"/>
      <c r="QQS20" s="292"/>
      <c r="QQT20" s="292"/>
      <c r="QQU20" s="292"/>
      <c r="QQV20" s="292"/>
      <c r="QQW20" s="292"/>
      <c r="QQX20" s="292"/>
      <c r="QQY20" s="292"/>
      <c r="QQZ20" s="292"/>
      <c r="QRA20" s="292"/>
      <c r="QRB20" s="292"/>
      <c r="QRC20" s="292"/>
      <c r="QRD20" s="292"/>
      <c r="QRE20" s="292"/>
      <c r="QRF20" s="292"/>
      <c r="QRG20" s="292"/>
      <c r="QRH20" s="292"/>
      <c r="QRI20" s="292"/>
      <c r="QRJ20" s="292"/>
      <c r="QRK20" s="292"/>
      <c r="QRL20" s="292"/>
      <c r="QRM20" s="292"/>
      <c r="QRN20" s="292"/>
      <c r="QRO20" s="292"/>
      <c r="QRP20" s="292"/>
      <c r="QRQ20" s="292"/>
      <c r="QRR20" s="292"/>
      <c r="QRS20" s="292"/>
      <c r="QRT20" s="292"/>
      <c r="QRU20" s="292"/>
      <c r="QRV20" s="292"/>
      <c r="QRW20" s="292"/>
      <c r="QRX20" s="292"/>
      <c r="QRY20" s="292"/>
      <c r="QRZ20" s="292"/>
      <c r="QSA20" s="292"/>
      <c r="QSB20" s="292"/>
      <c r="QSC20" s="292"/>
      <c r="QSD20" s="292"/>
      <c r="QSE20" s="292"/>
      <c r="QSF20" s="292"/>
      <c r="QSG20" s="292"/>
      <c r="QSH20" s="292"/>
      <c r="QSI20" s="292"/>
      <c r="QSJ20" s="292"/>
      <c r="QSK20" s="292"/>
      <c r="QSL20" s="292"/>
      <c r="QSM20" s="292"/>
      <c r="QSN20" s="292"/>
      <c r="QSO20" s="292"/>
      <c r="QSP20" s="292"/>
      <c r="QSQ20" s="292"/>
      <c r="QSR20" s="292"/>
      <c r="QSS20" s="292"/>
      <c r="QST20" s="292"/>
      <c r="QSU20" s="292"/>
      <c r="QSV20" s="292"/>
      <c r="QSW20" s="292"/>
      <c r="QSX20" s="292"/>
      <c r="QSY20" s="292"/>
      <c r="QSZ20" s="292"/>
      <c r="QTA20" s="292"/>
      <c r="QTB20" s="292"/>
      <c r="QTC20" s="292"/>
      <c r="QTD20" s="292"/>
      <c r="QTE20" s="292"/>
      <c r="QTF20" s="292"/>
      <c r="QTG20" s="292"/>
      <c r="QTH20" s="292"/>
      <c r="QTI20" s="292"/>
      <c r="QTJ20" s="292"/>
      <c r="QTK20" s="292"/>
      <c r="QTL20" s="292"/>
      <c r="QTM20" s="292"/>
      <c r="QTN20" s="292"/>
      <c r="QTO20" s="292"/>
      <c r="QTP20" s="292"/>
      <c r="QTQ20" s="292"/>
      <c r="QTR20" s="292"/>
      <c r="QTS20" s="292"/>
      <c r="QTT20" s="292"/>
      <c r="QTU20" s="292"/>
      <c r="QTV20" s="292"/>
      <c r="QTW20" s="292"/>
      <c r="QTX20" s="292"/>
      <c r="QTY20" s="292"/>
      <c r="QTZ20" s="292"/>
      <c r="QUA20" s="292"/>
      <c r="QUB20" s="292"/>
      <c r="QUC20" s="292"/>
      <c r="QUD20" s="292"/>
      <c r="QUE20" s="292"/>
      <c r="QUF20" s="292"/>
      <c r="QUG20" s="292"/>
      <c r="QUH20" s="292"/>
      <c r="QUI20" s="292"/>
      <c r="QUJ20" s="292"/>
      <c r="QUK20" s="292"/>
      <c r="QUL20" s="292"/>
      <c r="QUM20" s="292"/>
      <c r="QUN20" s="292"/>
      <c r="QUO20" s="292"/>
      <c r="QUP20" s="292"/>
      <c r="QUQ20" s="292"/>
      <c r="QUR20" s="292"/>
      <c r="QUS20" s="292"/>
      <c r="QUT20" s="292"/>
      <c r="QUU20" s="292"/>
      <c r="QUV20" s="292"/>
      <c r="QUW20" s="292"/>
      <c r="QUX20" s="292"/>
      <c r="QUY20" s="292"/>
      <c r="QUZ20" s="292"/>
      <c r="QVA20" s="292"/>
      <c r="QVB20" s="292"/>
      <c r="QVC20" s="292"/>
      <c r="QVD20" s="292"/>
      <c r="QVE20" s="292"/>
      <c r="QVF20" s="292"/>
      <c r="QVG20" s="292"/>
      <c r="QVH20" s="292"/>
      <c r="QVI20" s="292"/>
      <c r="QVJ20" s="292"/>
      <c r="QVK20" s="292"/>
      <c r="QVL20" s="292"/>
      <c r="QVM20" s="292"/>
      <c r="QVN20" s="292"/>
      <c r="QVO20" s="292"/>
      <c r="QVP20" s="292"/>
      <c r="QVQ20" s="292"/>
      <c r="QVR20" s="292"/>
      <c r="QVS20" s="292"/>
      <c r="QVT20" s="292"/>
      <c r="QVU20" s="292"/>
      <c r="QVV20" s="292"/>
      <c r="QVW20" s="292"/>
      <c r="QVX20" s="292"/>
      <c r="QVY20" s="292"/>
      <c r="QVZ20" s="292"/>
      <c r="QWA20" s="292"/>
      <c r="QWB20" s="292"/>
      <c r="QWC20" s="292"/>
      <c r="QWD20" s="292"/>
      <c r="QWE20" s="292"/>
      <c r="QWF20" s="292"/>
      <c r="QWG20" s="292"/>
      <c r="QWH20" s="292"/>
      <c r="QWI20" s="292"/>
      <c r="QWJ20" s="292"/>
      <c r="QWK20" s="292"/>
      <c r="QWL20" s="292"/>
      <c r="QWM20" s="292"/>
      <c r="QWN20" s="292"/>
      <c r="QWO20" s="292"/>
      <c r="QWP20" s="292"/>
      <c r="QWQ20" s="292"/>
      <c r="QWR20" s="292"/>
      <c r="QWS20" s="292"/>
      <c r="QWT20" s="292"/>
      <c r="QWU20" s="292"/>
      <c r="QWV20" s="292"/>
      <c r="QWW20" s="292"/>
      <c r="QWX20" s="292"/>
      <c r="QWY20" s="292"/>
      <c r="QWZ20" s="292"/>
      <c r="QXA20" s="292"/>
      <c r="QXB20" s="292"/>
      <c r="QXC20" s="292"/>
      <c r="QXD20" s="292"/>
      <c r="QXE20" s="292"/>
      <c r="QXF20" s="292"/>
      <c r="QXG20" s="292"/>
      <c r="QXH20" s="292"/>
      <c r="QXI20" s="292"/>
      <c r="QXJ20" s="292"/>
      <c r="QXK20" s="292"/>
      <c r="QXL20" s="292"/>
      <c r="QXM20" s="292"/>
      <c r="QXN20" s="292"/>
      <c r="QXO20" s="292"/>
      <c r="QXP20" s="292"/>
      <c r="QXQ20" s="292"/>
      <c r="QXR20" s="292"/>
      <c r="QXS20" s="292"/>
      <c r="QXT20" s="292"/>
      <c r="QXU20" s="292"/>
      <c r="QXV20" s="292"/>
      <c r="QXW20" s="292"/>
      <c r="QXX20" s="292"/>
      <c r="QXY20" s="292"/>
      <c r="QXZ20" s="292"/>
      <c r="QYA20" s="292"/>
      <c r="QYB20" s="292"/>
      <c r="QYC20" s="292"/>
      <c r="QYD20" s="292"/>
      <c r="QYE20" s="292"/>
      <c r="QYF20" s="292"/>
      <c r="QYG20" s="292"/>
      <c r="QYH20" s="292"/>
      <c r="QYI20" s="292"/>
      <c r="QYJ20" s="292"/>
      <c r="QYK20" s="292"/>
      <c r="QYL20" s="292"/>
      <c r="QYM20" s="292"/>
      <c r="QYN20" s="292"/>
      <c r="QYO20" s="292"/>
      <c r="QYP20" s="292"/>
      <c r="QYQ20" s="292"/>
      <c r="QYR20" s="292"/>
      <c r="QYS20" s="292"/>
      <c r="QYT20" s="292"/>
      <c r="QYU20" s="292"/>
      <c r="QYV20" s="292"/>
      <c r="QYW20" s="292"/>
      <c r="QYX20" s="292"/>
      <c r="QYY20" s="292"/>
      <c r="QYZ20" s="292"/>
      <c r="QZA20" s="292"/>
      <c r="QZB20" s="292"/>
      <c r="QZC20" s="292"/>
      <c r="QZD20" s="292"/>
      <c r="QZE20" s="292"/>
      <c r="QZF20" s="292"/>
      <c r="QZG20" s="292"/>
      <c r="QZH20" s="292"/>
      <c r="QZI20" s="292"/>
      <c r="QZJ20" s="292"/>
      <c r="QZK20" s="292"/>
      <c r="QZL20" s="292"/>
      <c r="QZM20" s="292"/>
      <c r="QZN20" s="292"/>
      <c r="QZO20" s="292"/>
      <c r="QZP20" s="292"/>
      <c r="QZQ20" s="292"/>
      <c r="QZR20" s="292"/>
      <c r="QZS20" s="292"/>
      <c r="QZT20" s="292"/>
      <c r="QZU20" s="292"/>
      <c r="QZV20" s="292"/>
      <c r="QZW20" s="292"/>
      <c r="QZX20" s="292"/>
      <c r="QZY20" s="292"/>
      <c r="QZZ20" s="292"/>
      <c r="RAA20" s="292"/>
      <c r="RAB20" s="292"/>
      <c r="RAC20" s="292"/>
      <c r="RAD20" s="292"/>
      <c r="RAE20" s="292"/>
      <c r="RAF20" s="292"/>
      <c r="RAG20" s="292"/>
      <c r="RAH20" s="292"/>
      <c r="RAI20" s="292"/>
      <c r="RAJ20" s="292"/>
      <c r="RAK20" s="292"/>
      <c r="RAL20" s="292"/>
      <c r="RAM20" s="292"/>
      <c r="RAN20" s="292"/>
      <c r="RAO20" s="292"/>
      <c r="RAP20" s="292"/>
      <c r="RAQ20" s="292"/>
      <c r="RAR20" s="292"/>
      <c r="RAS20" s="292"/>
      <c r="RAT20" s="292"/>
      <c r="RAU20" s="292"/>
      <c r="RAV20" s="292"/>
      <c r="RAW20" s="292"/>
      <c r="RAX20" s="292"/>
      <c r="RAY20" s="292"/>
      <c r="RAZ20" s="292"/>
      <c r="RBA20" s="292"/>
      <c r="RBB20" s="292"/>
      <c r="RBC20" s="292"/>
      <c r="RBD20" s="292"/>
      <c r="RBE20" s="292"/>
      <c r="RBF20" s="292"/>
      <c r="RBG20" s="292"/>
      <c r="RBH20" s="292"/>
      <c r="RBI20" s="292"/>
      <c r="RBJ20" s="292"/>
      <c r="RBK20" s="292"/>
      <c r="RBL20" s="292"/>
      <c r="RBM20" s="292"/>
      <c r="RBN20" s="292"/>
      <c r="RBO20" s="292"/>
      <c r="RBP20" s="292"/>
      <c r="RBQ20" s="292"/>
      <c r="RBR20" s="292"/>
      <c r="RBS20" s="292"/>
      <c r="RBT20" s="292"/>
      <c r="RBU20" s="292"/>
      <c r="RBV20" s="292"/>
      <c r="RBW20" s="292"/>
      <c r="RBX20" s="292"/>
      <c r="RBY20" s="292"/>
      <c r="RBZ20" s="292"/>
      <c r="RCA20" s="292"/>
      <c r="RCB20" s="292"/>
      <c r="RCC20" s="292"/>
      <c r="RCD20" s="292"/>
      <c r="RCE20" s="292"/>
      <c r="RCF20" s="292"/>
      <c r="RCG20" s="292"/>
      <c r="RCH20" s="292"/>
      <c r="RCI20" s="292"/>
      <c r="RCJ20" s="292"/>
      <c r="RCK20" s="292"/>
      <c r="RCL20" s="292"/>
      <c r="RCM20" s="292"/>
      <c r="RCN20" s="292"/>
      <c r="RCO20" s="292"/>
      <c r="RCP20" s="292"/>
      <c r="RCQ20" s="292"/>
      <c r="RCR20" s="292"/>
      <c r="RCS20" s="292"/>
      <c r="RCT20" s="292"/>
      <c r="RCU20" s="292"/>
      <c r="RCV20" s="292"/>
      <c r="RCW20" s="292"/>
      <c r="RCX20" s="292"/>
      <c r="RCY20" s="292"/>
      <c r="RCZ20" s="292"/>
      <c r="RDA20" s="292"/>
      <c r="RDB20" s="292"/>
      <c r="RDC20" s="292"/>
      <c r="RDD20" s="292"/>
      <c r="RDE20" s="292"/>
      <c r="RDF20" s="292"/>
      <c r="RDG20" s="292"/>
      <c r="RDH20" s="292"/>
      <c r="RDI20" s="292"/>
      <c r="RDJ20" s="292"/>
      <c r="RDK20" s="292"/>
      <c r="RDL20" s="292"/>
      <c r="RDM20" s="292"/>
      <c r="RDN20" s="292"/>
      <c r="RDO20" s="292"/>
      <c r="RDP20" s="292"/>
      <c r="RDQ20" s="292"/>
      <c r="RDR20" s="292"/>
      <c r="RDS20" s="292"/>
      <c r="RDT20" s="292"/>
      <c r="RDU20" s="292"/>
      <c r="RDV20" s="292"/>
      <c r="RDW20" s="292"/>
      <c r="RDX20" s="292"/>
      <c r="RDY20" s="292"/>
      <c r="RDZ20" s="292"/>
      <c r="REA20" s="292"/>
      <c r="REB20" s="292"/>
      <c r="REC20" s="292"/>
      <c r="RED20" s="292"/>
      <c r="REE20" s="292"/>
      <c r="REF20" s="292"/>
      <c r="REG20" s="292"/>
      <c r="REH20" s="292"/>
      <c r="REI20" s="292"/>
      <c r="REJ20" s="292"/>
      <c r="REK20" s="292"/>
      <c r="REL20" s="292"/>
      <c r="REM20" s="292"/>
      <c r="REN20" s="292"/>
      <c r="REO20" s="292"/>
      <c r="REP20" s="292"/>
      <c r="REQ20" s="292"/>
      <c r="RER20" s="292"/>
      <c r="RES20" s="292"/>
      <c r="RET20" s="292"/>
      <c r="REU20" s="292"/>
      <c r="REV20" s="292"/>
      <c r="REW20" s="292"/>
      <c r="REX20" s="292"/>
      <c r="REY20" s="292"/>
      <c r="REZ20" s="292"/>
      <c r="RFA20" s="292"/>
      <c r="RFB20" s="292"/>
      <c r="RFC20" s="292"/>
      <c r="RFD20" s="292"/>
      <c r="RFE20" s="292"/>
      <c r="RFF20" s="292"/>
      <c r="RFG20" s="292"/>
      <c r="RFH20" s="292"/>
      <c r="RFI20" s="292"/>
      <c r="RFJ20" s="292"/>
      <c r="RFK20" s="292"/>
      <c r="RFL20" s="292"/>
      <c r="RFM20" s="292"/>
      <c r="RFN20" s="292"/>
      <c r="RFO20" s="292"/>
      <c r="RFP20" s="292"/>
      <c r="RFQ20" s="292"/>
      <c r="RFR20" s="292"/>
      <c r="RFS20" s="292"/>
      <c r="RFT20" s="292"/>
      <c r="RFU20" s="292"/>
      <c r="RFV20" s="292"/>
      <c r="RFW20" s="292"/>
      <c r="RFX20" s="292"/>
      <c r="RFY20" s="292"/>
      <c r="RFZ20" s="292"/>
      <c r="RGA20" s="292"/>
      <c r="RGB20" s="292"/>
      <c r="RGC20" s="292"/>
      <c r="RGD20" s="292"/>
      <c r="RGE20" s="292"/>
      <c r="RGF20" s="292"/>
      <c r="RGG20" s="292"/>
      <c r="RGH20" s="292"/>
      <c r="RGI20" s="292"/>
      <c r="RGJ20" s="292"/>
      <c r="RGK20" s="292"/>
      <c r="RGL20" s="292"/>
      <c r="RGM20" s="292"/>
      <c r="RGN20" s="292"/>
      <c r="RGO20" s="292"/>
      <c r="RGP20" s="292"/>
      <c r="RGQ20" s="292"/>
      <c r="RGR20" s="292"/>
      <c r="RGS20" s="292"/>
      <c r="RGT20" s="292"/>
      <c r="RGU20" s="292"/>
      <c r="RGV20" s="292"/>
      <c r="RGW20" s="292"/>
      <c r="RGX20" s="292"/>
      <c r="RGY20" s="292"/>
      <c r="RGZ20" s="292"/>
      <c r="RHA20" s="292"/>
      <c r="RHB20" s="292"/>
      <c r="RHC20" s="292"/>
      <c r="RHD20" s="292"/>
      <c r="RHE20" s="292"/>
      <c r="RHF20" s="292"/>
      <c r="RHG20" s="292"/>
      <c r="RHH20" s="292"/>
      <c r="RHI20" s="292"/>
      <c r="RHJ20" s="292"/>
      <c r="RHK20" s="292"/>
      <c r="RHL20" s="292"/>
      <c r="RHM20" s="292"/>
      <c r="RHN20" s="292"/>
      <c r="RHO20" s="292"/>
      <c r="RHP20" s="292"/>
      <c r="RHQ20" s="292"/>
      <c r="RHR20" s="292"/>
      <c r="RHS20" s="292"/>
      <c r="RHT20" s="292"/>
      <c r="RHU20" s="292"/>
      <c r="RHV20" s="292"/>
      <c r="RHW20" s="292"/>
      <c r="RHX20" s="292"/>
      <c r="RHY20" s="292"/>
      <c r="RHZ20" s="292"/>
      <c r="RIA20" s="292"/>
      <c r="RIB20" s="292"/>
      <c r="RIC20" s="292"/>
      <c r="RID20" s="292"/>
      <c r="RIE20" s="292"/>
      <c r="RIF20" s="292"/>
      <c r="RIG20" s="292"/>
      <c r="RIH20" s="292"/>
      <c r="RII20" s="292"/>
      <c r="RIJ20" s="292"/>
      <c r="RIK20" s="292"/>
      <c r="RIL20" s="292"/>
      <c r="RIM20" s="292"/>
      <c r="RIN20" s="292"/>
      <c r="RIO20" s="292"/>
      <c r="RIP20" s="292"/>
      <c r="RIQ20" s="292"/>
      <c r="RIR20" s="292"/>
      <c r="RIS20" s="292"/>
      <c r="RIT20" s="292"/>
      <c r="RIU20" s="292"/>
      <c r="RIV20" s="292"/>
      <c r="RIW20" s="292"/>
      <c r="RIX20" s="292"/>
      <c r="RIY20" s="292"/>
      <c r="RIZ20" s="292"/>
      <c r="RJA20" s="292"/>
      <c r="RJB20" s="292"/>
      <c r="RJC20" s="292"/>
      <c r="RJD20" s="292"/>
      <c r="RJE20" s="292"/>
      <c r="RJF20" s="292"/>
      <c r="RJG20" s="292"/>
      <c r="RJH20" s="292"/>
      <c r="RJI20" s="292"/>
      <c r="RJJ20" s="292"/>
      <c r="RJK20" s="292"/>
      <c r="RJL20" s="292"/>
      <c r="RJM20" s="292"/>
      <c r="RJN20" s="292"/>
      <c r="RJO20" s="292"/>
      <c r="RJP20" s="292"/>
      <c r="RJQ20" s="292"/>
      <c r="RJR20" s="292"/>
      <c r="RJS20" s="292"/>
      <c r="RJT20" s="292"/>
      <c r="RJU20" s="292"/>
      <c r="RJV20" s="292"/>
      <c r="RJW20" s="292"/>
      <c r="RJX20" s="292"/>
      <c r="RJY20" s="292"/>
      <c r="RJZ20" s="292"/>
      <c r="RKA20" s="292"/>
      <c r="RKB20" s="292"/>
      <c r="RKC20" s="292"/>
      <c r="RKD20" s="292"/>
      <c r="RKE20" s="292"/>
      <c r="RKF20" s="292"/>
      <c r="RKG20" s="292"/>
      <c r="RKH20" s="292"/>
      <c r="RKI20" s="292"/>
      <c r="RKJ20" s="292"/>
      <c r="RKK20" s="292"/>
      <c r="RKL20" s="292"/>
      <c r="RKM20" s="292"/>
      <c r="RKN20" s="292"/>
      <c r="RKO20" s="292"/>
      <c r="RKP20" s="292"/>
      <c r="RKQ20" s="292"/>
      <c r="RKR20" s="292"/>
      <c r="RKS20" s="292"/>
      <c r="RKT20" s="292"/>
      <c r="RKU20" s="292"/>
      <c r="RKV20" s="292"/>
      <c r="RKW20" s="292"/>
      <c r="RKX20" s="292"/>
      <c r="RKY20" s="292"/>
      <c r="RKZ20" s="292"/>
      <c r="RLA20" s="292"/>
      <c r="RLB20" s="292"/>
      <c r="RLC20" s="292"/>
      <c r="RLD20" s="292"/>
      <c r="RLE20" s="292"/>
      <c r="RLF20" s="292"/>
      <c r="RLG20" s="292"/>
      <c r="RLH20" s="292"/>
      <c r="RLI20" s="292"/>
      <c r="RLJ20" s="292"/>
      <c r="RLK20" s="292"/>
      <c r="RLL20" s="292"/>
      <c r="RLM20" s="292"/>
      <c r="RLN20" s="292"/>
      <c r="RLO20" s="292"/>
      <c r="RLP20" s="292"/>
      <c r="RLQ20" s="292"/>
      <c r="RLR20" s="292"/>
      <c r="RLS20" s="292"/>
      <c r="RLT20" s="292"/>
      <c r="RLU20" s="292"/>
      <c r="RLV20" s="292"/>
      <c r="RLW20" s="292"/>
      <c r="RLX20" s="292"/>
      <c r="RLY20" s="292"/>
      <c r="RLZ20" s="292"/>
      <c r="RMA20" s="292"/>
      <c r="RMB20" s="292"/>
      <c r="RMC20" s="292"/>
      <c r="RMD20" s="292"/>
      <c r="RME20" s="292"/>
      <c r="RMF20" s="292"/>
      <c r="RMG20" s="292"/>
      <c r="RMH20" s="292"/>
      <c r="RMI20" s="292"/>
      <c r="RMJ20" s="292"/>
      <c r="RMK20" s="292"/>
      <c r="RML20" s="292"/>
      <c r="RMM20" s="292"/>
      <c r="RMN20" s="292"/>
      <c r="RMO20" s="292"/>
      <c r="RMP20" s="292"/>
      <c r="RMQ20" s="292"/>
      <c r="RMR20" s="292"/>
      <c r="RMS20" s="292"/>
      <c r="RMT20" s="292"/>
      <c r="RMU20" s="292"/>
      <c r="RMV20" s="292"/>
      <c r="RMW20" s="292"/>
      <c r="RMX20" s="292"/>
      <c r="RMY20" s="292"/>
      <c r="RMZ20" s="292"/>
      <c r="RNA20" s="292"/>
      <c r="RNB20" s="292"/>
      <c r="RNC20" s="292"/>
      <c r="RND20" s="292"/>
      <c r="RNE20" s="292"/>
      <c r="RNF20" s="292"/>
      <c r="RNG20" s="292"/>
      <c r="RNH20" s="292"/>
      <c r="RNI20" s="292"/>
      <c r="RNJ20" s="292"/>
      <c r="RNK20" s="292"/>
      <c r="RNL20" s="292"/>
      <c r="RNM20" s="292"/>
      <c r="RNN20" s="292"/>
      <c r="RNO20" s="292"/>
      <c r="RNP20" s="292"/>
      <c r="RNQ20" s="292"/>
      <c r="RNR20" s="292"/>
      <c r="RNS20" s="292"/>
      <c r="RNT20" s="292"/>
      <c r="RNU20" s="292"/>
      <c r="RNV20" s="292"/>
      <c r="RNW20" s="292"/>
      <c r="RNX20" s="292"/>
      <c r="RNY20" s="292"/>
      <c r="RNZ20" s="292"/>
      <c r="ROA20" s="292"/>
      <c r="ROB20" s="292"/>
      <c r="ROC20" s="292"/>
      <c r="ROD20" s="292"/>
      <c r="ROE20" s="292"/>
      <c r="ROF20" s="292"/>
      <c r="ROG20" s="292"/>
      <c r="ROH20" s="292"/>
      <c r="ROI20" s="292"/>
      <c r="ROJ20" s="292"/>
      <c r="ROK20" s="292"/>
      <c r="ROL20" s="292"/>
      <c r="ROM20" s="292"/>
      <c r="RON20" s="292"/>
      <c r="ROO20" s="292"/>
      <c r="ROP20" s="292"/>
      <c r="ROQ20" s="292"/>
      <c r="ROR20" s="292"/>
      <c r="ROS20" s="292"/>
      <c r="ROT20" s="292"/>
      <c r="ROU20" s="292"/>
      <c r="ROV20" s="292"/>
      <c r="ROW20" s="292"/>
      <c r="ROX20" s="292"/>
      <c r="ROY20" s="292"/>
      <c r="ROZ20" s="292"/>
      <c r="RPA20" s="292"/>
      <c r="RPB20" s="292"/>
      <c r="RPC20" s="292"/>
      <c r="RPD20" s="292"/>
      <c r="RPE20" s="292"/>
      <c r="RPF20" s="292"/>
      <c r="RPG20" s="292"/>
      <c r="RPH20" s="292"/>
      <c r="RPI20" s="292"/>
      <c r="RPJ20" s="292"/>
      <c r="RPK20" s="292"/>
      <c r="RPL20" s="292"/>
      <c r="RPM20" s="292"/>
      <c r="RPN20" s="292"/>
      <c r="RPO20" s="292"/>
      <c r="RPP20" s="292"/>
      <c r="RPQ20" s="292"/>
      <c r="RPR20" s="292"/>
      <c r="RPS20" s="292"/>
      <c r="RPT20" s="292"/>
      <c r="RPU20" s="292"/>
      <c r="RPV20" s="292"/>
      <c r="RPW20" s="292"/>
      <c r="RPX20" s="292"/>
      <c r="RPY20" s="292"/>
      <c r="RPZ20" s="292"/>
      <c r="RQA20" s="292"/>
      <c r="RQB20" s="292"/>
      <c r="RQC20" s="292"/>
      <c r="RQD20" s="292"/>
      <c r="RQE20" s="292"/>
      <c r="RQF20" s="292"/>
      <c r="RQG20" s="292"/>
      <c r="RQH20" s="292"/>
      <c r="RQI20" s="292"/>
      <c r="RQJ20" s="292"/>
      <c r="RQK20" s="292"/>
      <c r="RQL20" s="292"/>
      <c r="RQM20" s="292"/>
      <c r="RQN20" s="292"/>
      <c r="RQO20" s="292"/>
      <c r="RQP20" s="292"/>
      <c r="RQQ20" s="292"/>
      <c r="RQR20" s="292"/>
      <c r="RQS20" s="292"/>
      <c r="RQT20" s="292"/>
      <c r="RQU20" s="292"/>
      <c r="RQV20" s="292"/>
      <c r="RQW20" s="292"/>
      <c r="RQX20" s="292"/>
      <c r="RQY20" s="292"/>
      <c r="RQZ20" s="292"/>
      <c r="RRA20" s="292"/>
      <c r="RRB20" s="292"/>
      <c r="RRC20" s="292"/>
      <c r="RRD20" s="292"/>
      <c r="RRE20" s="292"/>
      <c r="RRF20" s="292"/>
      <c r="RRG20" s="292"/>
      <c r="RRH20" s="292"/>
      <c r="RRI20" s="292"/>
      <c r="RRJ20" s="292"/>
      <c r="RRK20" s="292"/>
      <c r="RRL20" s="292"/>
      <c r="RRM20" s="292"/>
      <c r="RRN20" s="292"/>
      <c r="RRO20" s="292"/>
      <c r="RRP20" s="292"/>
      <c r="RRQ20" s="292"/>
      <c r="RRR20" s="292"/>
      <c r="RRS20" s="292"/>
      <c r="RRT20" s="292"/>
      <c r="RRU20" s="292"/>
      <c r="RRV20" s="292"/>
      <c r="RRW20" s="292"/>
      <c r="RRX20" s="292"/>
      <c r="RRY20" s="292"/>
      <c r="RRZ20" s="292"/>
      <c r="RSA20" s="292"/>
      <c r="RSB20" s="292"/>
      <c r="RSC20" s="292"/>
      <c r="RSD20" s="292"/>
      <c r="RSE20" s="292"/>
      <c r="RSF20" s="292"/>
      <c r="RSG20" s="292"/>
      <c r="RSH20" s="292"/>
      <c r="RSI20" s="292"/>
      <c r="RSJ20" s="292"/>
      <c r="RSK20" s="292"/>
      <c r="RSL20" s="292"/>
      <c r="RSM20" s="292"/>
      <c r="RSN20" s="292"/>
      <c r="RSO20" s="292"/>
      <c r="RSP20" s="292"/>
      <c r="RSQ20" s="292"/>
      <c r="RSR20" s="292"/>
      <c r="RSS20" s="292"/>
      <c r="RST20" s="292"/>
      <c r="RSU20" s="292"/>
      <c r="RSV20" s="292"/>
      <c r="RSW20" s="292"/>
      <c r="RSX20" s="292"/>
      <c r="RSY20" s="292"/>
      <c r="RSZ20" s="292"/>
      <c r="RTA20" s="292"/>
      <c r="RTB20" s="292"/>
      <c r="RTC20" s="292"/>
      <c r="RTD20" s="292"/>
      <c r="RTE20" s="292"/>
      <c r="RTF20" s="292"/>
      <c r="RTG20" s="292"/>
      <c r="RTH20" s="292"/>
      <c r="RTI20" s="292"/>
      <c r="RTJ20" s="292"/>
      <c r="RTK20" s="292"/>
      <c r="RTL20" s="292"/>
      <c r="RTM20" s="292"/>
      <c r="RTN20" s="292"/>
      <c r="RTO20" s="292"/>
      <c r="RTP20" s="292"/>
      <c r="RTQ20" s="292"/>
      <c r="RTR20" s="292"/>
      <c r="RTS20" s="292"/>
      <c r="RTT20" s="292"/>
      <c r="RTU20" s="292"/>
      <c r="RTV20" s="292"/>
      <c r="RTW20" s="292"/>
      <c r="RTX20" s="292"/>
      <c r="RTY20" s="292"/>
      <c r="RTZ20" s="292"/>
      <c r="RUA20" s="292"/>
      <c r="RUB20" s="292"/>
      <c r="RUC20" s="292"/>
      <c r="RUD20" s="292"/>
      <c r="RUE20" s="292"/>
      <c r="RUF20" s="292"/>
      <c r="RUG20" s="292"/>
      <c r="RUH20" s="292"/>
      <c r="RUI20" s="292"/>
      <c r="RUJ20" s="292"/>
      <c r="RUK20" s="292"/>
      <c r="RUL20" s="292"/>
      <c r="RUM20" s="292"/>
      <c r="RUN20" s="292"/>
      <c r="RUO20" s="292"/>
      <c r="RUP20" s="292"/>
      <c r="RUQ20" s="292"/>
      <c r="RUR20" s="292"/>
      <c r="RUS20" s="292"/>
      <c r="RUT20" s="292"/>
      <c r="RUU20" s="292"/>
      <c r="RUV20" s="292"/>
      <c r="RUW20" s="292"/>
      <c r="RUX20" s="292"/>
      <c r="RUY20" s="292"/>
      <c r="RUZ20" s="292"/>
      <c r="RVA20" s="292"/>
      <c r="RVB20" s="292"/>
      <c r="RVC20" s="292"/>
      <c r="RVD20" s="292"/>
      <c r="RVE20" s="292"/>
      <c r="RVF20" s="292"/>
      <c r="RVG20" s="292"/>
      <c r="RVH20" s="292"/>
      <c r="RVI20" s="292"/>
      <c r="RVJ20" s="292"/>
      <c r="RVK20" s="292"/>
      <c r="RVL20" s="292"/>
      <c r="RVM20" s="292"/>
      <c r="RVN20" s="292"/>
      <c r="RVO20" s="292"/>
      <c r="RVP20" s="292"/>
      <c r="RVQ20" s="292"/>
      <c r="RVR20" s="292"/>
      <c r="RVS20" s="292"/>
      <c r="RVT20" s="292"/>
      <c r="RVU20" s="292"/>
      <c r="RVV20" s="292"/>
      <c r="RVW20" s="292"/>
      <c r="RVX20" s="292"/>
      <c r="RVY20" s="292"/>
      <c r="RVZ20" s="292"/>
      <c r="RWA20" s="292"/>
      <c r="RWB20" s="292"/>
      <c r="RWC20" s="292"/>
      <c r="RWD20" s="292"/>
      <c r="RWE20" s="292"/>
      <c r="RWF20" s="292"/>
      <c r="RWG20" s="292"/>
      <c r="RWH20" s="292"/>
      <c r="RWI20" s="292"/>
      <c r="RWJ20" s="292"/>
      <c r="RWK20" s="292"/>
      <c r="RWL20" s="292"/>
      <c r="RWM20" s="292"/>
      <c r="RWN20" s="292"/>
      <c r="RWO20" s="292"/>
      <c r="RWP20" s="292"/>
      <c r="RWQ20" s="292"/>
      <c r="RWR20" s="292"/>
      <c r="RWS20" s="292"/>
      <c r="RWT20" s="292"/>
      <c r="RWU20" s="292"/>
      <c r="RWV20" s="292"/>
      <c r="RWW20" s="292"/>
      <c r="RWX20" s="292"/>
      <c r="RWY20" s="292"/>
      <c r="RWZ20" s="292"/>
      <c r="RXA20" s="292"/>
      <c r="RXB20" s="292"/>
      <c r="RXC20" s="292"/>
      <c r="RXD20" s="292"/>
      <c r="RXE20" s="292"/>
      <c r="RXF20" s="292"/>
      <c r="RXG20" s="292"/>
      <c r="RXH20" s="292"/>
      <c r="RXI20" s="292"/>
      <c r="RXJ20" s="292"/>
      <c r="RXK20" s="292"/>
      <c r="RXL20" s="292"/>
      <c r="RXM20" s="292"/>
      <c r="RXN20" s="292"/>
      <c r="RXO20" s="292"/>
      <c r="RXP20" s="292"/>
      <c r="RXQ20" s="292"/>
      <c r="RXR20" s="292"/>
      <c r="RXS20" s="292"/>
      <c r="RXT20" s="292"/>
      <c r="RXU20" s="292"/>
      <c r="RXV20" s="292"/>
      <c r="RXW20" s="292"/>
      <c r="RXX20" s="292"/>
      <c r="RXY20" s="292"/>
      <c r="RXZ20" s="292"/>
      <c r="RYA20" s="292"/>
      <c r="RYB20" s="292"/>
      <c r="RYC20" s="292"/>
      <c r="RYD20" s="292"/>
      <c r="RYE20" s="292"/>
      <c r="RYF20" s="292"/>
      <c r="RYG20" s="292"/>
      <c r="RYH20" s="292"/>
      <c r="RYI20" s="292"/>
      <c r="RYJ20" s="292"/>
      <c r="RYK20" s="292"/>
      <c r="RYL20" s="292"/>
      <c r="RYM20" s="292"/>
      <c r="RYN20" s="292"/>
      <c r="RYO20" s="292"/>
      <c r="RYP20" s="292"/>
      <c r="RYQ20" s="292"/>
      <c r="RYR20" s="292"/>
      <c r="RYS20" s="292"/>
      <c r="RYT20" s="292"/>
      <c r="RYU20" s="292"/>
      <c r="RYV20" s="292"/>
      <c r="RYW20" s="292"/>
      <c r="RYX20" s="292"/>
      <c r="RYY20" s="292"/>
      <c r="RYZ20" s="292"/>
      <c r="RZA20" s="292"/>
      <c r="RZB20" s="292"/>
      <c r="RZC20" s="292"/>
      <c r="RZD20" s="292"/>
      <c r="RZE20" s="292"/>
      <c r="RZF20" s="292"/>
      <c r="RZG20" s="292"/>
      <c r="RZH20" s="292"/>
      <c r="RZI20" s="292"/>
      <c r="RZJ20" s="292"/>
      <c r="RZK20" s="292"/>
      <c r="RZL20" s="292"/>
      <c r="RZM20" s="292"/>
      <c r="RZN20" s="292"/>
      <c r="RZO20" s="292"/>
      <c r="RZP20" s="292"/>
      <c r="RZQ20" s="292"/>
      <c r="RZR20" s="292"/>
      <c r="RZS20" s="292"/>
      <c r="RZT20" s="292"/>
      <c r="RZU20" s="292"/>
      <c r="RZV20" s="292"/>
      <c r="RZW20" s="292"/>
      <c r="RZX20" s="292"/>
      <c r="RZY20" s="292"/>
      <c r="RZZ20" s="292"/>
      <c r="SAA20" s="292"/>
      <c r="SAB20" s="292"/>
      <c r="SAC20" s="292"/>
      <c r="SAD20" s="292"/>
      <c r="SAE20" s="292"/>
      <c r="SAF20" s="292"/>
      <c r="SAG20" s="292"/>
      <c r="SAH20" s="292"/>
      <c r="SAI20" s="292"/>
      <c r="SAJ20" s="292"/>
      <c r="SAK20" s="292"/>
      <c r="SAL20" s="292"/>
      <c r="SAM20" s="292"/>
      <c r="SAN20" s="292"/>
      <c r="SAO20" s="292"/>
      <c r="SAP20" s="292"/>
      <c r="SAQ20" s="292"/>
      <c r="SAR20" s="292"/>
      <c r="SAS20" s="292"/>
      <c r="SAT20" s="292"/>
      <c r="SAU20" s="292"/>
      <c r="SAV20" s="292"/>
      <c r="SAW20" s="292"/>
      <c r="SAX20" s="292"/>
      <c r="SAY20" s="292"/>
      <c r="SAZ20" s="292"/>
      <c r="SBA20" s="292"/>
      <c r="SBB20" s="292"/>
      <c r="SBC20" s="292"/>
      <c r="SBD20" s="292"/>
      <c r="SBE20" s="292"/>
      <c r="SBF20" s="292"/>
      <c r="SBG20" s="292"/>
      <c r="SBH20" s="292"/>
      <c r="SBI20" s="292"/>
      <c r="SBJ20" s="292"/>
      <c r="SBK20" s="292"/>
      <c r="SBL20" s="292"/>
      <c r="SBM20" s="292"/>
      <c r="SBN20" s="292"/>
      <c r="SBO20" s="292"/>
      <c r="SBP20" s="292"/>
      <c r="SBQ20" s="292"/>
      <c r="SBR20" s="292"/>
      <c r="SBS20" s="292"/>
      <c r="SBT20" s="292"/>
      <c r="SBU20" s="292"/>
      <c r="SBV20" s="292"/>
      <c r="SBW20" s="292"/>
      <c r="SBX20" s="292"/>
      <c r="SBY20" s="292"/>
      <c r="SBZ20" s="292"/>
      <c r="SCA20" s="292"/>
      <c r="SCB20" s="292"/>
      <c r="SCC20" s="292"/>
      <c r="SCD20" s="292"/>
      <c r="SCE20" s="292"/>
      <c r="SCF20" s="292"/>
      <c r="SCG20" s="292"/>
      <c r="SCH20" s="292"/>
      <c r="SCI20" s="292"/>
      <c r="SCJ20" s="292"/>
      <c r="SCK20" s="292"/>
      <c r="SCL20" s="292"/>
      <c r="SCM20" s="292"/>
      <c r="SCN20" s="292"/>
      <c r="SCO20" s="292"/>
      <c r="SCP20" s="292"/>
      <c r="SCQ20" s="292"/>
      <c r="SCR20" s="292"/>
      <c r="SCS20" s="292"/>
      <c r="SCT20" s="292"/>
      <c r="SCU20" s="292"/>
      <c r="SCV20" s="292"/>
      <c r="SCW20" s="292"/>
      <c r="SCX20" s="292"/>
      <c r="SCY20" s="292"/>
      <c r="SCZ20" s="292"/>
      <c r="SDA20" s="292"/>
      <c r="SDB20" s="292"/>
      <c r="SDC20" s="292"/>
      <c r="SDD20" s="292"/>
      <c r="SDE20" s="292"/>
      <c r="SDF20" s="292"/>
      <c r="SDG20" s="292"/>
      <c r="SDH20" s="292"/>
      <c r="SDI20" s="292"/>
      <c r="SDJ20" s="292"/>
      <c r="SDK20" s="292"/>
      <c r="SDL20" s="292"/>
      <c r="SDM20" s="292"/>
      <c r="SDN20" s="292"/>
      <c r="SDO20" s="292"/>
      <c r="SDP20" s="292"/>
      <c r="SDQ20" s="292"/>
      <c r="SDR20" s="292"/>
      <c r="SDS20" s="292"/>
      <c r="SDT20" s="292"/>
      <c r="SDU20" s="292"/>
      <c r="SDV20" s="292"/>
      <c r="SDW20" s="292"/>
      <c r="SDX20" s="292"/>
      <c r="SDY20" s="292"/>
      <c r="SDZ20" s="292"/>
      <c r="SEA20" s="292"/>
      <c r="SEB20" s="292"/>
      <c r="SEC20" s="292"/>
      <c r="SED20" s="292"/>
      <c r="SEE20" s="292"/>
      <c r="SEF20" s="292"/>
      <c r="SEG20" s="292"/>
      <c r="SEH20" s="292"/>
      <c r="SEI20" s="292"/>
      <c r="SEJ20" s="292"/>
      <c r="SEK20" s="292"/>
      <c r="SEL20" s="292"/>
      <c r="SEM20" s="292"/>
      <c r="SEN20" s="292"/>
      <c r="SEO20" s="292"/>
      <c r="SEP20" s="292"/>
      <c r="SEQ20" s="292"/>
      <c r="SER20" s="292"/>
      <c r="SES20" s="292"/>
      <c r="SET20" s="292"/>
      <c r="SEU20" s="292"/>
      <c r="SEV20" s="292"/>
      <c r="SEW20" s="292"/>
      <c r="SEX20" s="292"/>
      <c r="SEY20" s="292"/>
      <c r="SEZ20" s="292"/>
      <c r="SFA20" s="292"/>
      <c r="SFB20" s="292"/>
      <c r="SFC20" s="292"/>
      <c r="SFD20" s="292"/>
      <c r="SFE20" s="292"/>
      <c r="SFF20" s="292"/>
      <c r="SFG20" s="292"/>
      <c r="SFH20" s="292"/>
      <c r="SFI20" s="292"/>
      <c r="SFJ20" s="292"/>
      <c r="SFK20" s="292"/>
      <c r="SFL20" s="292"/>
      <c r="SFM20" s="292"/>
      <c r="SFN20" s="292"/>
      <c r="SFO20" s="292"/>
      <c r="SFP20" s="292"/>
      <c r="SFQ20" s="292"/>
      <c r="SFR20" s="292"/>
      <c r="SFS20" s="292"/>
      <c r="SFT20" s="292"/>
      <c r="SFU20" s="292"/>
      <c r="SFV20" s="292"/>
      <c r="SFW20" s="292"/>
      <c r="SFX20" s="292"/>
      <c r="SFY20" s="292"/>
      <c r="SFZ20" s="292"/>
      <c r="SGA20" s="292"/>
      <c r="SGB20" s="292"/>
      <c r="SGC20" s="292"/>
      <c r="SGD20" s="292"/>
      <c r="SGE20" s="292"/>
      <c r="SGF20" s="292"/>
      <c r="SGG20" s="292"/>
      <c r="SGH20" s="292"/>
      <c r="SGI20" s="292"/>
      <c r="SGJ20" s="292"/>
      <c r="SGK20" s="292"/>
      <c r="SGL20" s="292"/>
      <c r="SGM20" s="292"/>
      <c r="SGN20" s="292"/>
      <c r="SGO20" s="292"/>
      <c r="SGP20" s="292"/>
      <c r="SGQ20" s="292"/>
      <c r="SGR20" s="292"/>
      <c r="SGS20" s="292"/>
      <c r="SGT20" s="292"/>
      <c r="SGU20" s="292"/>
      <c r="SGV20" s="292"/>
      <c r="SGW20" s="292"/>
      <c r="SGX20" s="292"/>
      <c r="SGY20" s="292"/>
      <c r="SGZ20" s="292"/>
      <c r="SHA20" s="292"/>
      <c r="SHB20" s="292"/>
      <c r="SHC20" s="292"/>
      <c r="SHD20" s="292"/>
      <c r="SHE20" s="292"/>
      <c r="SHF20" s="292"/>
      <c r="SHG20" s="292"/>
      <c r="SHH20" s="292"/>
      <c r="SHI20" s="292"/>
      <c r="SHJ20" s="292"/>
      <c r="SHK20" s="292"/>
      <c r="SHL20" s="292"/>
      <c r="SHM20" s="292"/>
      <c r="SHN20" s="292"/>
      <c r="SHO20" s="292"/>
      <c r="SHP20" s="292"/>
      <c r="SHQ20" s="292"/>
      <c r="SHR20" s="292"/>
      <c r="SHS20" s="292"/>
      <c r="SHT20" s="292"/>
      <c r="SHU20" s="292"/>
      <c r="SHV20" s="292"/>
      <c r="SHW20" s="292"/>
      <c r="SHX20" s="292"/>
      <c r="SHY20" s="292"/>
      <c r="SHZ20" s="292"/>
      <c r="SIA20" s="292"/>
      <c r="SIB20" s="292"/>
      <c r="SIC20" s="292"/>
      <c r="SID20" s="292"/>
      <c r="SIE20" s="292"/>
      <c r="SIF20" s="292"/>
      <c r="SIG20" s="292"/>
      <c r="SIH20" s="292"/>
      <c r="SII20" s="292"/>
      <c r="SIJ20" s="292"/>
      <c r="SIK20" s="292"/>
      <c r="SIL20" s="292"/>
      <c r="SIM20" s="292"/>
      <c r="SIN20" s="292"/>
      <c r="SIO20" s="292"/>
      <c r="SIP20" s="292"/>
      <c r="SIQ20" s="292"/>
      <c r="SIR20" s="292"/>
      <c r="SIS20" s="292"/>
      <c r="SIT20" s="292"/>
      <c r="SIU20" s="292"/>
      <c r="SIV20" s="292"/>
      <c r="SIW20" s="292"/>
      <c r="SIX20" s="292"/>
      <c r="SIY20" s="292"/>
      <c r="SIZ20" s="292"/>
      <c r="SJA20" s="292"/>
      <c r="SJB20" s="292"/>
      <c r="SJC20" s="292"/>
      <c r="SJD20" s="292"/>
      <c r="SJE20" s="292"/>
      <c r="SJF20" s="292"/>
      <c r="SJG20" s="292"/>
      <c r="SJH20" s="292"/>
      <c r="SJI20" s="292"/>
      <c r="SJJ20" s="292"/>
      <c r="SJK20" s="292"/>
      <c r="SJL20" s="292"/>
      <c r="SJM20" s="292"/>
      <c r="SJN20" s="292"/>
      <c r="SJO20" s="292"/>
      <c r="SJP20" s="292"/>
      <c r="SJQ20" s="292"/>
      <c r="SJR20" s="292"/>
      <c r="SJS20" s="292"/>
      <c r="SJT20" s="292"/>
      <c r="SJU20" s="292"/>
      <c r="SJV20" s="292"/>
      <c r="SJW20" s="292"/>
      <c r="SJX20" s="292"/>
      <c r="SJY20" s="292"/>
      <c r="SJZ20" s="292"/>
      <c r="SKA20" s="292"/>
      <c r="SKB20" s="292"/>
      <c r="SKC20" s="292"/>
      <c r="SKD20" s="292"/>
      <c r="SKE20" s="292"/>
      <c r="SKF20" s="292"/>
      <c r="SKG20" s="292"/>
      <c r="SKH20" s="292"/>
      <c r="SKI20" s="292"/>
      <c r="SKJ20" s="292"/>
      <c r="SKK20" s="292"/>
      <c r="SKL20" s="292"/>
      <c r="SKM20" s="292"/>
      <c r="SKN20" s="292"/>
      <c r="SKO20" s="292"/>
      <c r="SKP20" s="292"/>
      <c r="SKQ20" s="292"/>
      <c r="SKR20" s="292"/>
      <c r="SKS20" s="292"/>
      <c r="SKT20" s="292"/>
      <c r="SKU20" s="292"/>
      <c r="SKV20" s="292"/>
      <c r="SKW20" s="292"/>
      <c r="SKX20" s="292"/>
      <c r="SKY20" s="292"/>
      <c r="SKZ20" s="292"/>
      <c r="SLA20" s="292"/>
      <c r="SLB20" s="292"/>
      <c r="SLC20" s="292"/>
      <c r="SLD20" s="292"/>
      <c r="SLE20" s="292"/>
      <c r="SLF20" s="292"/>
      <c r="SLG20" s="292"/>
      <c r="SLH20" s="292"/>
      <c r="SLI20" s="292"/>
      <c r="SLJ20" s="292"/>
      <c r="SLK20" s="292"/>
      <c r="SLL20" s="292"/>
      <c r="SLM20" s="292"/>
      <c r="SLN20" s="292"/>
      <c r="SLO20" s="292"/>
      <c r="SLP20" s="292"/>
      <c r="SLQ20" s="292"/>
      <c r="SLR20" s="292"/>
      <c r="SLS20" s="292"/>
      <c r="SLT20" s="292"/>
      <c r="SLU20" s="292"/>
      <c r="SLV20" s="292"/>
      <c r="SLW20" s="292"/>
      <c r="SLX20" s="292"/>
      <c r="SLY20" s="292"/>
      <c r="SLZ20" s="292"/>
      <c r="SMA20" s="292"/>
      <c r="SMB20" s="292"/>
      <c r="SMC20" s="292"/>
      <c r="SMD20" s="292"/>
      <c r="SME20" s="292"/>
      <c r="SMF20" s="292"/>
      <c r="SMG20" s="292"/>
      <c r="SMH20" s="292"/>
      <c r="SMI20" s="292"/>
      <c r="SMJ20" s="292"/>
      <c r="SMK20" s="292"/>
      <c r="SML20" s="292"/>
      <c r="SMM20" s="292"/>
      <c r="SMN20" s="292"/>
      <c r="SMO20" s="292"/>
      <c r="SMP20" s="292"/>
      <c r="SMQ20" s="292"/>
      <c r="SMR20" s="292"/>
      <c r="SMS20" s="292"/>
      <c r="SMT20" s="292"/>
      <c r="SMU20" s="292"/>
      <c r="SMV20" s="292"/>
      <c r="SMW20" s="292"/>
      <c r="SMX20" s="292"/>
      <c r="SMY20" s="292"/>
      <c r="SMZ20" s="292"/>
      <c r="SNA20" s="292"/>
      <c r="SNB20" s="292"/>
      <c r="SNC20" s="292"/>
      <c r="SND20" s="292"/>
      <c r="SNE20" s="292"/>
      <c r="SNF20" s="292"/>
      <c r="SNG20" s="292"/>
      <c r="SNH20" s="292"/>
      <c r="SNI20" s="292"/>
      <c r="SNJ20" s="292"/>
      <c r="SNK20" s="292"/>
      <c r="SNL20" s="292"/>
      <c r="SNM20" s="292"/>
      <c r="SNN20" s="292"/>
      <c r="SNO20" s="292"/>
      <c r="SNP20" s="292"/>
      <c r="SNQ20" s="292"/>
      <c r="SNR20" s="292"/>
      <c r="SNS20" s="292"/>
      <c r="SNT20" s="292"/>
      <c r="SNU20" s="292"/>
      <c r="SNV20" s="292"/>
      <c r="SNW20" s="292"/>
      <c r="SNX20" s="292"/>
      <c r="SNY20" s="292"/>
      <c r="SNZ20" s="292"/>
      <c r="SOA20" s="292"/>
      <c r="SOB20" s="292"/>
      <c r="SOC20" s="292"/>
      <c r="SOD20" s="292"/>
      <c r="SOE20" s="292"/>
      <c r="SOF20" s="292"/>
      <c r="SOG20" s="292"/>
      <c r="SOH20" s="292"/>
      <c r="SOI20" s="292"/>
      <c r="SOJ20" s="292"/>
      <c r="SOK20" s="292"/>
      <c r="SOL20" s="292"/>
      <c r="SOM20" s="292"/>
      <c r="SON20" s="292"/>
      <c r="SOO20" s="292"/>
      <c r="SOP20" s="292"/>
      <c r="SOQ20" s="292"/>
      <c r="SOR20" s="292"/>
      <c r="SOS20" s="292"/>
      <c r="SOT20" s="292"/>
      <c r="SOU20" s="292"/>
      <c r="SOV20" s="292"/>
      <c r="SOW20" s="292"/>
      <c r="SOX20" s="292"/>
      <c r="SOY20" s="292"/>
      <c r="SOZ20" s="292"/>
      <c r="SPA20" s="292"/>
      <c r="SPB20" s="292"/>
      <c r="SPC20" s="292"/>
      <c r="SPD20" s="292"/>
      <c r="SPE20" s="292"/>
      <c r="SPF20" s="292"/>
      <c r="SPG20" s="292"/>
      <c r="SPH20" s="292"/>
      <c r="SPI20" s="292"/>
      <c r="SPJ20" s="292"/>
      <c r="SPK20" s="292"/>
      <c r="SPL20" s="292"/>
      <c r="SPM20" s="292"/>
      <c r="SPN20" s="292"/>
      <c r="SPO20" s="292"/>
      <c r="SPP20" s="292"/>
      <c r="SPQ20" s="292"/>
      <c r="SPR20" s="292"/>
      <c r="SPS20" s="292"/>
      <c r="SPT20" s="292"/>
      <c r="SPU20" s="292"/>
      <c r="SPV20" s="292"/>
      <c r="SPW20" s="292"/>
      <c r="SPX20" s="292"/>
      <c r="SPY20" s="292"/>
      <c r="SPZ20" s="292"/>
      <c r="SQA20" s="292"/>
      <c r="SQB20" s="292"/>
      <c r="SQC20" s="292"/>
      <c r="SQD20" s="292"/>
      <c r="SQE20" s="292"/>
      <c r="SQF20" s="292"/>
      <c r="SQG20" s="292"/>
      <c r="SQH20" s="292"/>
      <c r="SQI20" s="292"/>
      <c r="SQJ20" s="292"/>
      <c r="SQK20" s="292"/>
      <c r="SQL20" s="292"/>
      <c r="SQM20" s="292"/>
      <c r="SQN20" s="292"/>
      <c r="SQO20" s="292"/>
      <c r="SQP20" s="292"/>
      <c r="SQQ20" s="292"/>
      <c r="SQR20" s="292"/>
      <c r="SQS20" s="292"/>
      <c r="SQT20" s="292"/>
      <c r="SQU20" s="292"/>
      <c r="SQV20" s="292"/>
      <c r="SQW20" s="292"/>
      <c r="SQX20" s="292"/>
      <c r="SQY20" s="292"/>
      <c r="SQZ20" s="292"/>
      <c r="SRA20" s="292"/>
      <c r="SRB20" s="292"/>
      <c r="SRC20" s="292"/>
      <c r="SRD20" s="292"/>
      <c r="SRE20" s="292"/>
      <c r="SRF20" s="292"/>
      <c r="SRG20" s="292"/>
      <c r="SRH20" s="292"/>
      <c r="SRI20" s="292"/>
      <c r="SRJ20" s="292"/>
      <c r="SRK20" s="292"/>
      <c r="SRL20" s="292"/>
      <c r="SRM20" s="292"/>
      <c r="SRN20" s="292"/>
      <c r="SRO20" s="292"/>
      <c r="SRP20" s="292"/>
      <c r="SRQ20" s="292"/>
      <c r="SRR20" s="292"/>
      <c r="SRS20" s="292"/>
      <c r="SRT20" s="292"/>
      <c r="SRU20" s="292"/>
      <c r="SRV20" s="292"/>
      <c r="SRW20" s="292"/>
      <c r="SRX20" s="292"/>
      <c r="SRY20" s="292"/>
      <c r="SRZ20" s="292"/>
      <c r="SSA20" s="292"/>
      <c r="SSB20" s="292"/>
      <c r="SSC20" s="292"/>
      <c r="SSD20" s="292"/>
      <c r="SSE20" s="292"/>
      <c r="SSF20" s="292"/>
      <c r="SSG20" s="292"/>
      <c r="SSH20" s="292"/>
      <c r="SSI20" s="292"/>
      <c r="SSJ20" s="292"/>
      <c r="SSK20" s="292"/>
      <c r="SSL20" s="292"/>
      <c r="SSM20" s="292"/>
      <c r="SSN20" s="292"/>
      <c r="SSO20" s="292"/>
      <c r="SSP20" s="292"/>
      <c r="SSQ20" s="292"/>
      <c r="SSR20" s="292"/>
      <c r="SSS20" s="292"/>
      <c r="SST20" s="292"/>
      <c r="SSU20" s="292"/>
      <c r="SSV20" s="292"/>
      <c r="SSW20" s="292"/>
      <c r="SSX20" s="292"/>
      <c r="SSY20" s="292"/>
      <c r="SSZ20" s="292"/>
      <c r="STA20" s="292"/>
      <c r="STB20" s="292"/>
      <c r="STC20" s="292"/>
      <c r="STD20" s="292"/>
      <c r="STE20" s="292"/>
      <c r="STF20" s="292"/>
      <c r="STG20" s="292"/>
      <c r="STH20" s="292"/>
      <c r="STI20" s="292"/>
      <c r="STJ20" s="292"/>
      <c r="STK20" s="292"/>
      <c r="STL20" s="292"/>
      <c r="STM20" s="292"/>
      <c r="STN20" s="292"/>
      <c r="STO20" s="292"/>
      <c r="STP20" s="292"/>
      <c r="STQ20" s="292"/>
      <c r="STR20" s="292"/>
      <c r="STS20" s="292"/>
      <c r="STT20" s="292"/>
      <c r="STU20" s="292"/>
      <c r="STV20" s="292"/>
      <c r="STW20" s="292"/>
      <c r="STX20" s="292"/>
      <c r="STY20" s="292"/>
      <c r="STZ20" s="292"/>
      <c r="SUA20" s="292"/>
      <c r="SUB20" s="292"/>
      <c r="SUC20" s="292"/>
      <c r="SUD20" s="292"/>
      <c r="SUE20" s="292"/>
      <c r="SUF20" s="292"/>
      <c r="SUG20" s="292"/>
      <c r="SUH20" s="292"/>
      <c r="SUI20" s="292"/>
      <c r="SUJ20" s="292"/>
      <c r="SUK20" s="292"/>
      <c r="SUL20" s="292"/>
      <c r="SUM20" s="292"/>
      <c r="SUN20" s="292"/>
      <c r="SUO20" s="292"/>
      <c r="SUP20" s="292"/>
      <c r="SUQ20" s="292"/>
      <c r="SUR20" s="292"/>
      <c r="SUS20" s="292"/>
      <c r="SUT20" s="292"/>
      <c r="SUU20" s="292"/>
      <c r="SUV20" s="292"/>
      <c r="SUW20" s="292"/>
      <c r="SUX20" s="292"/>
      <c r="SUY20" s="292"/>
      <c r="SUZ20" s="292"/>
      <c r="SVA20" s="292"/>
      <c r="SVB20" s="292"/>
      <c r="SVC20" s="292"/>
      <c r="SVD20" s="292"/>
      <c r="SVE20" s="292"/>
      <c r="SVF20" s="292"/>
      <c r="SVG20" s="292"/>
      <c r="SVH20" s="292"/>
      <c r="SVI20" s="292"/>
      <c r="SVJ20" s="292"/>
      <c r="SVK20" s="292"/>
      <c r="SVL20" s="292"/>
      <c r="SVM20" s="292"/>
      <c r="SVN20" s="292"/>
      <c r="SVO20" s="292"/>
      <c r="SVP20" s="292"/>
      <c r="SVQ20" s="292"/>
      <c r="SVR20" s="292"/>
      <c r="SVS20" s="292"/>
      <c r="SVT20" s="292"/>
      <c r="SVU20" s="292"/>
      <c r="SVV20" s="292"/>
      <c r="SVW20" s="292"/>
      <c r="SVX20" s="292"/>
      <c r="SVY20" s="292"/>
      <c r="SVZ20" s="292"/>
      <c r="SWA20" s="292"/>
      <c r="SWB20" s="292"/>
      <c r="SWC20" s="292"/>
      <c r="SWD20" s="292"/>
      <c r="SWE20" s="292"/>
      <c r="SWF20" s="292"/>
      <c r="SWG20" s="292"/>
      <c r="SWH20" s="292"/>
      <c r="SWI20" s="292"/>
      <c r="SWJ20" s="292"/>
      <c r="SWK20" s="292"/>
      <c r="SWL20" s="292"/>
      <c r="SWM20" s="292"/>
      <c r="SWN20" s="292"/>
      <c r="SWO20" s="292"/>
      <c r="SWP20" s="292"/>
      <c r="SWQ20" s="292"/>
      <c r="SWR20" s="292"/>
      <c r="SWS20" s="292"/>
      <c r="SWT20" s="292"/>
      <c r="SWU20" s="292"/>
      <c r="SWV20" s="292"/>
      <c r="SWW20" s="292"/>
      <c r="SWX20" s="292"/>
      <c r="SWY20" s="292"/>
      <c r="SWZ20" s="292"/>
      <c r="SXA20" s="292"/>
      <c r="SXB20" s="292"/>
      <c r="SXC20" s="292"/>
      <c r="SXD20" s="292"/>
      <c r="SXE20" s="292"/>
      <c r="SXF20" s="292"/>
      <c r="SXG20" s="292"/>
      <c r="SXH20" s="292"/>
      <c r="SXI20" s="292"/>
      <c r="SXJ20" s="292"/>
      <c r="SXK20" s="292"/>
      <c r="SXL20" s="292"/>
      <c r="SXM20" s="292"/>
      <c r="SXN20" s="292"/>
      <c r="SXO20" s="292"/>
      <c r="SXP20" s="292"/>
      <c r="SXQ20" s="292"/>
      <c r="SXR20" s="292"/>
      <c r="SXS20" s="292"/>
      <c r="SXT20" s="292"/>
      <c r="SXU20" s="292"/>
      <c r="SXV20" s="292"/>
      <c r="SXW20" s="292"/>
      <c r="SXX20" s="292"/>
      <c r="SXY20" s="292"/>
      <c r="SXZ20" s="292"/>
      <c r="SYA20" s="292"/>
      <c r="SYB20" s="292"/>
      <c r="SYC20" s="292"/>
      <c r="SYD20" s="292"/>
      <c r="SYE20" s="292"/>
      <c r="SYF20" s="292"/>
      <c r="SYG20" s="292"/>
      <c r="SYH20" s="292"/>
      <c r="SYI20" s="292"/>
      <c r="SYJ20" s="292"/>
      <c r="SYK20" s="292"/>
      <c r="SYL20" s="292"/>
      <c r="SYM20" s="292"/>
      <c r="SYN20" s="292"/>
      <c r="SYO20" s="292"/>
      <c r="SYP20" s="292"/>
      <c r="SYQ20" s="292"/>
      <c r="SYR20" s="292"/>
      <c r="SYS20" s="292"/>
      <c r="SYT20" s="292"/>
      <c r="SYU20" s="292"/>
      <c r="SYV20" s="292"/>
      <c r="SYW20" s="292"/>
      <c r="SYX20" s="292"/>
      <c r="SYY20" s="292"/>
      <c r="SYZ20" s="292"/>
      <c r="SZA20" s="292"/>
      <c r="SZB20" s="292"/>
      <c r="SZC20" s="292"/>
      <c r="SZD20" s="292"/>
      <c r="SZE20" s="292"/>
      <c r="SZF20" s="292"/>
      <c r="SZG20" s="292"/>
      <c r="SZH20" s="292"/>
      <c r="SZI20" s="292"/>
      <c r="SZJ20" s="292"/>
      <c r="SZK20" s="292"/>
      <c r="SZL20" s="292"/>
      <c r="SZM20" s="292"/>
      <c r="SZN20" s="292"/>
      <c r="SZO20" s="292"/>
      <c r="SZP20" s="292"/>
      <c r="SZQ20" s="292"/>
      <c r="SZR20" s="292"/>
      <c r="SZS20" s="292"/>
      <c r="SZT20" s="292"/>
      <c r="SZU20" s="292"/>
      <c r="SZV20" s="292"/>
      <c r="SZW20" s="292"/>
      <c r="SZX20" s="292"/>
      <c r="SZY20" s="292"/>
      <c r="SZZ20" s="292"/>
      <c r="TAA20" s="292"/>
      <c r="TAB20" s="292"/>
      <c r="TAC20" s="292"/>
      <c r="TAD20" s="292"/>
      <c r="TAE20" s="292"/>
      <c r="TAF20" s="292"/>
      <c r="TAG20" s="292"/>
      <c r="TAH20" s="292"/>
      <c r="TAI20" s="292"/>
      <c r="TAJ20" s="292"/>
      <c r="TAK20" s="292"/>
      <c r="TAL20" s="292"/>
      <c r="TAM20" s="292"/>
      <c r="TAN20" s="292"/>
      <c r="TAO20" s="292"/>
      <c r="TAP20" s="292"/>
      <c r="TAQ20" s="292"/>
      <c r="TAR20" s="292"/>
      <c r="TAS20" s="292"/>
      <c r="TAT20" s="292"/>
      <c r="TAU20" s="292"/>
      <c r="TAV20" s="292"/>
      <c r="TAW20" s="292"/>
      <c r="TAX20" s="292"/>
      <c r="TAY20" s="292"/>
      <c r="TAZ20" s="292"/>
      <c r="TBA20" s="292"/>
      <c r="TBB20" s="292"/>
      <c r="TBC20" s="292"/>
      <c r="TBD20" s="292"/>
      <c r="TBE20" s="292"/>
      <c r="TBF20" s="292"/>
      <c r="TBG20" s="292"/>
      <c r="TBH20" s="292"/>
      <c r="TBI20" s="292"/>
      <c r="TBJ20" s="292"/>
      <c r="TBK20" s="292"/>
      <c r="TBL20" s="292"/>
      <c r="TBM20" s="292"/>
      <c r="TBN20" s="292"/>
      <c r="TBO20" s="292"/>
      <c r="TBP20" s="292"/>
      <c r="TBQ20" s="292"/>
      <c r="TBR20" s="292"/>
      <c r="TBS20" s="292"/>
      <c r="TBT20" s="292"/>
      <c r="TBU20" s="292"/>
      <c r="TBV20" s="292"/>
      <c r="TBW20" s="292"/>
      <c r="TBX20" s="292"/>
      <c r="TBY20" s="292"/>
      <c r="TBZ20" s="292"/>
      <c r="TCA20" s="292"/>
      <c r="TCB20" s="292"/>
      <c r="TCC20" s="292"/>
      <c r="TCD20" s="292"/>
      <c r="TCE20" s="292"/>
      <c r="TCF20" s="292"/>
      <c r="TCG20" s="292"/>
      <c r="TCH20" s="292"/>
      <c r="TCI20" s="292"/>
      <c r="TCJ20" s="292"/>
      <c r="TCK20" s="292"/>
      <c r="TCL20" s="292"/>
      <c r="TCM20" s="292"/>
      <c r="TCN20" s="292"/>
      <c r="TCO20" s="292"/>
      <c r="TCP20" s="292"/>
      <c r="TCQ20" s="292"/>
      <c r="TCR20" s="292"/>
      <c r="TCS20" s="292"/>
      <c r="TCT20" s="292"/>
      <c r="TCU20" s="292"/>
      <c r="TCV20" s="292"/>
      <c r="TCW20" s="292"/>
      <c r="TCX20" s="292"/>
      <c r="TCY20" s="292"/>
      <c r="TCZ20" s="292"/>
      <c r="TDA20" s="292"/>
      <c r="TDB20" s="292"/>
      <c r="TDC20" s="292"/>
      <c r="TDD20" s="292"/>
      <c r="TDE20" s="292"/>
      <c r="TDF20" s="292"/>
      <c r="TDG20" s="292"/>
      <c r="TDH20" s="292"/>
      <c r="TDI20" s="292"/>
      <c r="TDJ20" s="292"/>
      <c r="TDK20" s="292"/>
      <c r="TDL20" s="292"/>
      <c r="TDM20" s="292"/>
      <c r="TDN20" s="292"/>
      <c r="TDO20" s="292"/>
      <c r="TDP20" s="292"/>
      <c r="TDQ20" s="292"/>
      <c r="TDR20" s="292"/>
      <c r="TDS20" s="292"/>
      <c r="TDT20" s="292"/>
      <c r="TDU20" s="292"/>
      <c r="TDV20" s="292"/>
      <c r="TDW20" s="292"/>
      <c r="TDX20" s="292"/>
      <c r="TDY20" s="292"/>
      <c r="TDZ20" s="292"/>
      <c r="TEA20" s="292"/>
      <c r="TEB20" s="292"/>
      <c r="TEC20" s="292"/>
      <c r="TED20" s="292"/>
      <c r="TEE20" s="292"/>
      <c r="TEF20" s="292"/>
      <c r="TEG20" s="292"/>
      <c r="TEH20" s="292"/>
      <c r="TEI20" s="292"/>
      <c r="TEJ20" s="292"/>
      <c r="TEK20" s="292"/>
      <c r="TEL20" s="292"/>
      <c r="TEM20" s="292"/>
      <c r="TEN20" s="292"/>
      <c r="TEO20" s="292"/>
      <c r="TEP20" s="292"/>
      <c r="TEQ20" s="292"/>
      <c r="TER20" s="292"/>
      <c r="TES20" s="292"/>
      <c r="TET20" s="292"/>
      <c r="TEU20" s="292"/>
      <c r="TEV20" s="292"/>
      <c r="TEW20" s="292"/>
      <c r="TEX20" s="292"/>
      <c r="TEY20" s="292"/>
      <c r="TEZ20" s="292"/>
      <c r="TFA20" s="292"/>
      <c r="TFB20" s="292"/>
      <c r="TFC20" s="292"/>
      <c r="TFD20" s="292"/>
      <c r="TFE20" s="292"/>
      <c r="TFF20" s="292"/>
      <c r="TFG20" s="292"/>
      <c r="TFH20" s="292"/>
      <c r="TFI20" s="292"/>
      <c r="TFJ20" s="292"/>
      <c r="TFK20" s="292"/>
      <c r="TFL20" s="292"/>
      <c r="TFM20" s="292"/>
      <c r="TFN20" s="292"/>
      <c r="TFO20" s="292"/>
      <c r="TFP20" s="292"/>
      <c r="TFQ20" s="292"/>
      <c r="TFR20" s="292"/>
      <c r="TFS20" s="292"/>
      <c r="TFT20" s="292"/>
      <c r="TFU20" s="292"/>
      <c r="TFV20" s="292"/>
      <c r="TFW20" s="292"/>
      <c r="TFX20" s="292"/>
      <c r="TFY20" s="292"/>
      <c r="TFZ20" s="292"/>
      <c r="TGA20" s="292"/>
      <c r="TGB20" s="292"/>
      <c r="TGC20" s="292"/>
      <c r="TGD20" s="292"/>
      <c r="TGE20" s="292"/>
      <c r="TGF20" s="292"/>
      <c r="TGG20" s="292"/>
      <c r="TGH20" s="292"/>
      <c r="TGI20" s="292"/>
      <c r="TGJ20" s="292"/>
      <c r="TGK20" s="292"/>
      <c r="TGL20" s="292"/>
      <c r="TGM20" s="292"/>
      <c r="TGN20" s="292"/>
      <c r="TGO20" s="292"/>
      <c r="TGP20" s="292"/>
      <c r="TGQ20" s="292"/>
      <c r="TGR20" s="292"/>
      <c r="TGS20" s="292"/>
      <c r="TGT20" s="292"/>
      <c r="TGU20" s="292"/>
      <c r="TGV20" s="292"/>
      <c r="TGW20" s="292"/>
      <c r="TGX20" s="292"/>
      <c r="TGY20" s="292"/>
      <c r="TGZ20" s="292"/>
      <c r="THA20" s="292"/>
      <c r="THB20" s="292"/>
      <c r="THC20" s="292"/>
      <c r="THD20" s="292"/>
      <c r="THE20" s="292"/>
      <c r="THF20" s="292"/>
      <c r="THG20" s="292"/>
      <c r="THH20" s="292"/>
      <c r="THI20" s="292"/>
      <c r="THJ20" s="292"/>
      <c r="THK20" s="292"/>
      <c r="THL20" s="292"/>
      <c r="THM20" s="292"/>
      <c r="THN20" s="292"/>
      <c r="THO20" s="292"/>
      <c r="THP20" s="292"/>
      <c r="THQ20" s="292"/>
      <c r="THR20" s="292"/>
      <c r="THS20" s="292"/>
      <c r="THT20" s="292"/>
      <c r="THU20" s="292"/>
      <c r="THV20" s="292"/>
      <c r="THW20" s="292"/>
      <c r="THX20" s="292"/>
      <c r="THY20" s="292"/>
      <c r="THZ20" s="292"/>
      <c r="TIA20" s="292"/>
      <c r="TIB20" s="292"/>
      <c r="TIC20" s="292"/>
      <c r="TID20" s="292"/>
      <c r="TIE20" s="292"/>
      <c r="TIF20" s="292"/>
      <c r="TIG20" s="292"/>
      <c r="TIH20" s="292"/>
      <c r="TII20" s="292"/>
      <c r="TIJ20" s="292"/>
      <c r="TIK20" s="292"/>
      <c r="TIL20" s="292"/>
      <c r="TIM20" s="292"/>
      <c r="TIN20" s="292"/>
      <c r="TIO20" s="292"/>
      <c r="TIP20" s="292"/>
      <c r="TIQ20" s="292"/>
      <c r="TIR20" s="292"/>
      <c r="TIS20" s="292"/>
      <c r="TIT20" s="292"/>
      <c r="TIU20" s="292"/>
      <c r="TIV20" s="292"/>
      <c r="TIW20" s="292"/>
      <c r="TIX20" s="292"/>
      <c r="TIY20" s="292"/>
      <c r="TIZ20" s="292"/>
      <c r="TJA20" s="292"/>
      <c r="TJB20" s="292"/>
      <c r="TJC20" s="292"/>
      <c r="TJD20" s="292"/>
      <c r="TJE20" s="292"/>
      <c r="TJF20" s="292"/>
      <c r="TJG20" s="292"/>
      <c r="TJH20" s="292"/>
      <c r="TJI20" s="292"/>
      <c r="TJJ20" s="292"/>
      <c r="TJK20" s="292"/>
      <c r="TJL20" s="292"/>
      <c r="TJM20" s="292"/>
      <c r="TJN20" s="292"/>
      <c r="TJO20" s="292"/>
      <c r="TJP20" s="292"/>
      <c r="TJQ20" s="292"/>
      <c r="TJR20" s="292"/>
      <c r="TJS20" s="292"/>
      <c r="TJT20" s="292"/>
      <c r="TJU20" s="292"/>
      <c r="TJV20" s="292"/>
      <c r="TJW20" s="292"/>
      <c r="TJX20" s="292"/>
      <c r="TJY20" s="292"/>
      <c r="TJZ20" s="292"/>
      <c r="TKA20" s="292"/>
      <c r="TKB20" s="292"/>
      <c r="TKC20" s="292"/>
      <c r="TKD20" s="292"/>
      <c r="TKE20" s="292"/>
      <c r="TKF20" s="292"/>
      <c r="TKG20" s="292"/>
      <c r="TKH20" s="292"/>
      <c r="TKI20" s="292"/>
      <c r="TKJ20" s="292"/>
      <c r="TKK20" s="292"/>
      <c r="TKL20" s="292"/>
      <c r="TKM20" s="292"/>
      <c r="TKN20" s="292"/>
      <c r="TKO20" s="292"/>
      <c r="TKP20" s="292"/>
      <c r="TKQ20" s="292"/>
      <c r="TKR20" s="292"/>
      <c r="TKS20" s="292"/>
      <c r="TKT20" s="292"/>
      <c r="TKU20" s="292"/>
      <c r="TKV20" s="292"/>
      <c r="TKW20" s="292"/>
      <c r="TKX20" s="292"/>
      <c r="TKY20" s="292"/>
      <c r="TKZ20" s="292"/>
      <c r="TLA20" s="292"/>
      <c r="TLB20" s="292"/>
      <c r="TLC20" s="292"/>
      <c r="TLD20" s="292"/>
      <c r="TLE20" s="292"/>
      <c r="TLF20" s="292"/>
      <c r="TLG20" s="292"/>
      <c r="TLH20" s="292"/>
      <c r="TLI20" s="292"/>
      <c r="TLJ20" s="292"/>
      <c r="TLK20" s="292"/>
      <c r="TLL20" s="292"/>
      <c r="TLM20" s="292"/>
      <c r="TLN20" s="292"/>
      <c r="TLO20" s="292"/>
      <c r="TLP20" s="292"/>
      <c r="TLQ20" s="292"/>
      <c r="TLR20" s="292"/>
      <c r="TLS20" s="292"/>
      <c r="TLT20" s="292"/>
      <c r="TLU20" s="292"/>
      <c r="TLV20" s="292"/>
      <c r="TLW20" s="292"/>
      <c r="TLX20" s="292"/>
      <c r="TLY20" s="292"/>
      <c r="TLZ20" s="292"/>
      <c r="TMA20" s="292"/>
      <c r="TMB20" s="292"/>
      <c r="TMC20" s="292"/>
      <c r="TMD20" s="292"/>
      <c r="TME20" s="292"/>
      <c r="TMF20" s="292"/>
      <c r="TMG20" s="292"/>
      <c r="TMH20" s="292"/>
      <c r="TMI20" s="292"/>
      <c r="TMJ20" s="292"/>
      <c r="TMK20" s="292"/>
      <c r="TML20" s="292"/>
      <c r="TMM20" s="292"/>
      <c r="TMN20" s="292"/>
      <c r="TMO20" s="292"/>
      <c r="TMP20" s="292"/>
      <c r="TMQ20" s="292"/>
      <c r="TMR20" s="292"/>
      <c r="TMS20" s="292"/>
      <c r="TMT20" s="292"/>
      <c r="TMU20" s="292"/>
      <c r="TMV20" s="292"/>
      <c r="TMW20" s="292"/>
      <c r="TMX20" s="292"/>
      <c r="TMY20" s="292"/>
      <c r="TMZ20" s="292"/>
      <c r="TNA20" s="292"/>
      <c r="TNB20" s="292"/>
      <c r="TNC20" s="292"/>
      <c r="TND20" s="292"/>
      <c r="TNE20" s="292"/>
      <c r="TNF20" s="292"/>
      <c r="TNG20" s="292"/>
      <c r="TNH20" s="292"/>
      <c r="TNI20" s="292"/>
      <c r="TNJ20" s="292"/>
      <c r="TNK20" s="292"/>
      <c r="TNL20" s="292"/>
      <c r="TNM20" s="292"/>
      <c r="TNN20" s="292"/>
      <c r="TNO20" s="292"/>
      <c r="TNP20" s="292"/>
      <c r="TNQ20" s="292"/>
      <c r="TNR20" s="292"/>
      <c r="TNS20" s="292"/>
      <c r="TNT20" s="292"/>
      <c r="TNU20" s="292"/>
      <c r="TNV20" s="292"/>
      <c r="TNW20" s="292"/>
      <c r="TNX20" s="292"/>
      <c r="TNY20" s="292"/>
      <c r="TNZ20" s="292"/>
      <c r="TOA20" s="292"/>
      <c r="TOB20" s="292"/>
      <c r="TOC20" s="292"/>
      <c r="TOD20" s="292"/>
      <c r="TOE20" s="292"/>
      <c r="TOF20" s="292"/>
      <c r="TOG20" s="292"/>
      <c r="TOH20" s="292"/>
      <c r="TOI20" s="292"/>
      <c r="TOJ20" s="292"/>
      <c r="TOK20" s="292"/>
      <c r="TOL20" s="292"/>
      <c r="TOM20" s="292"/>
      <c r="TON20" s="292"/>
      <c r="TOO20" s="292"/>
      <c r="TOP20" s="292"/>
      <c r="TOQ20" s="292"/>
      <c r="TOR20" s="292"/>
      <c r="TOS20" s="292"/>
      <c r="TOT20" s="292"/>
      <c r="TOU20" s="292"/>
      <c r="TOV20" s="292"/>
      <c r="TOW20" s="292"/>
      <c r="TOX20" s="292"/>
      <c r="TOY20" s="292"/>
      <c r="TOZ20" s="292"/>
      <c r="TPA20" s="292"/>
      <c r="TPB20" s="292"/>
      <c r="TPC20" s="292"/>
      <c r="TPD20" s="292"/>
      <c r="TPE20" s="292"/>
      <c r="TPF20" s="292"/>
      <c r="TPG20" s="292"/>
      <c r="TPH20" s="292"/>
      <c r="TPI20" s="292"/>
      <c r="TPJ20" s="292"/>
      <c r="TPK20" s="292"/>
      <c r="TPL20" s="292"/>
      <c r="TPM20" s="292"/>
      <c r="TPN20" s="292"/>
      <c r="TPO20" s="292"/>
      <c r="TPP20" s="292"/>
      <c r="TPQ20" s="292"/>
      <c r="TPR20" s="292"/>
      <c r="TPS20" s="292"/>
      <c r="TPT20" s="292"/>
      <c r="TPU20" s="292"/>
      <c r="TPV20" s="292"/>
      <c r="TPW20" s="292"/>
      <c r="TPX20" s="292"/>
      <c r="TPY20" s="292"/>
      <c r="TPZ20" s="292"/>
      <c r="TQA20" s="292"/>
      <c r="TQB20" s="292"/>
      <c r="TQC20" s="292"/>
      <c r="TQD20" s="292"/>
      <c r="TQE20" s="292"/>
      <c r="TQF20" s="292"/>
      <c r="TQG20" s="292"/>
      <c r="TQH20" s="292"/>
      <c r="TQI20" s="292"/>
      <c r="TQJ20" s="292"/>
      <c r="TQK20" s="292"/>
      <c r="TQL20" s="292"/>
      <c r="TQM20" s="292"/>
      <c r="TQN20" s="292"/>
      <c r="TQO20" s="292"/>
      <c r="TQP20" s="292"/>
      <c r="TQQ20" s="292"/>
      <c r="TQR20" s="292"/>
      <c r="TQS20" s="292"/>
      <c r="TQT20" s="292"/>
      <c r="TQU20" s="292"/>
      <c r="TQV20" s="292"/>
      <c r="TQW20" s="292"/>
      <c r="TQX20" s="292"/>
      <c r="TQY20" s="292"/>
      <c r="TQZ20" s="292"/>
      <c r="TRA20" s="292"/>
      <c r="TRB20" s="292"/>
      <c r="TRC20" s="292"/>
      <c r="TRD20" s="292"/>
      <c r="TRE20" s="292"/>
      <c r="TRF20" s="292"/>
      <c r="TRG20" s="292"/>
      <c r="TRH20" s="292"/>
      <c r="TRI20" s="292"/>
      <c r="TRJ20" s="292"/>
      <c r="TRK20" s="292"/>
      <c r="TRL20" s="292"/>
      <c r="TRM20" s="292"/>
      <c r="TRN20" s="292"/>
      <c r="TRO20" s="292"/>
      <c r="TRP20" s="292"/>
      <c r="TRQ20" s="292"/>
      <c r="TRR20" s="292"/>
      <c r="TRS20" s="292"/>
      <c r="TRT20" s="292"/>
      <c r="TRU20" s="292"/>
      <c r="TRV20" s="292"/>
      <c r="TRW20" s="292"/>
      <c r="TRX20" s="292"/>
      <c r="TRY20" s="292"/>
      <c r="TRZ20" s="292"/>
      <c r="TSA20" s="292"/>
      <c r="TSB20" s="292"/>
      <c r="TSC20" s="292"/>
      <c r="TSD20" s="292"/>
      <c r="TSE20" s="292"/>
      <c r="TSF20" s="292"/>
      <c r="TSG20" s="292"/>
      <c r="TSH20" s="292"/>
      <c r="TSI20" s="292"/>
      <c r="TSJ20" s="292"/>
      <c r="TSK20" s="292"/>
      <c r="TSL20" s="292"/>
      <c r="TSM20" s="292"/>
      <c r="TSN20" s="292"/>
      <c r="TSO20" s="292"/>
      <c r="TSP20" s="292"/>
      <c r="TSQ20" s="292"/>
      <c r="TSR20" s="292"/>
      <c r="TSS20" s="292"/>
      <c r="TST20" s="292"/>
      <c r="TSU20" s="292"/>
      <c r="TSV20" s="292"/>
      <c r="TSW20" s="292"/>
      <c r="TSX20" s="292"/>
      <c r="TSY20" s="292"/>
      <c r="TSZ20" s="292"/>
      <c r="TTA20" s="292"/>
      <c r="TTB20" s="292"/>
      <c r="TTC20" s="292"/>
      <c r="TTD20" s="292"/>
      <c r="TTE20" s="292"/>
      <c r="TTF20" s="292"/>
      <c r="TTG20" s="292"/>
      <c r="TTH20" s="292"/>
      <c r="TTI20" s="292"/>
      <c r="TTJ20" s="292"/>
      <c r="TTK20" s="292"/>
      <c r="TTL20" s="292"/>
      <c r="TTM20" s="292"/>
      <c r="TTN20" s="292"/>
      <c r="TTO20" s="292"/>
      <c r="TTP20" s="292"/>
      <c r="TTQ20" s="292"/>
      <c r="TTR20" s="292"/>
      <c r="TTS20" s="292"/>
      <c r="TTT20" s="292"/>
      <c r="TTU20" s="292"/>
      <c r="TTV20" s="292"/>
      <c r="TTW20" s="292"/>
      <c r="TTX20" s="292"/>
      <c r="TTY20" s="292"/>
      <c r="TTZ20" s="292"/>
      <c r="TUA20" s="292"/>
      <c r="TUB20" s="292"/>
      <c r="TUC20" s="292"/>
      <c r="TUD20" s="292"/>
      <c r="TUE20" s="292"/>
      <c r="TUF20" s="292"/>
      <c r="TUG20" s="292"/>
      <c r="TUH20" s="292"/>
      <c r="TUI20" s="292"/>
      <c r="TUJ20" s="292"/>
      <c r="TUK20" s="292"/>
      <c r="TUL20" s="292"/>
      <c r="TUM20" s="292"/>
      <c r="TUN20" s="292"/>
      <c r="TUO20" s="292"/>
      <c r="TUP20" s="292"/>
      <c r="TUQ20" s="292"/>
      <c r="TUR20" s="292"/>
      <c r="TUS20" s="292"/>
      <c r="TUT20" s="292"/>
      <c r="TUU20" s="292"/>
      <c r="TUV20" s="292"/>
      <c r="TUW20" s="292"/>
      <c r="TUX20" s="292"/>
      <c r="TUY20" s="292"/>
      <c r="TUZ20" s="292"/>
      <c r="TVA20" s="292"/>
      <c r="TVB20" s="292"/>
      <c r="TVC20" s="292"/>
      <c r="TVD20" s="292"/>
      <c r="TVE20" s="292"/>
      <c r="TVF20" s="292"/>
      <c r="TVG20" s="292"/>
      <c r="TVH20" s="292"/>
      <c r="TVI20" s="292"/>
      <c r="TVJ20" s="292"/>
      <c r="TVK20" s="292"/>
      <c r="TVL20" s="292"/>
      <c r="TVM20" s="292"/>
      <c r="TVN20" s="292"/>
      <c r="TVO20" s="292"/>
      <c r="TVP20" s="292"/>
      <c r="TVQ20" s="292"/>
      <c r="TVR20" s="292"/>
      <c r="TVS20" s="292"/>
      <c r="TVT20" s="292"/>
      <c r="TVU20" s="292"/>
      <c r="TVV20" s="292"/>
      <c r="TVW20" s="292"/>
      <c r="TVX20" s="292"/>
      <c r="TVY20" s="292"/>
      <c r="TVZ20" s="292"/>
      <c r="TWA20" s="292"/>
      <c r="TWB20" s="292"/>
      <c r="TWC20" s="292"/>
      <c r="TWD20" s="292"/>
      <c r="TWE20" s="292"/>
      <c r="TWF20" s="292"/>
      <c r="TWG20" s="292"/>
      <c r="TWH20" s="292"/>
      <c r="TWI20" s="292"/>
      <c r="TWJ20" s="292"/>
      <c r="TWK20" s="292"/>
      <c r="TWL20" s="292"/>
      <c r="TWM20" s="292"/>
      <c r="TWN20" s="292"/>
      <c r="TWO20" s="292"/>
      <c r="TWP20" s="292"/>
      <c r="TWQ20" s="292"/>
      <c r="TWR20" s="292"/>
      <c r="TWS20" s="292"/>
      <c r="TWT20" s="292"/>
      <c r="TWU20" s="292"/>
      <c r="TWV20" s="292"/>
      <c r="TWW20" s="292"/>
      <c r="TWX20" s="292"/>
      <c r="TWY20" s="292"/>
      <c r="TWZ20" s="292"/>
      <c r="TXA20" s="292"/>
      <c r="TXB20" s="292"/>
      <c r="TXC20" s="292"/>
      <c r="TXD20" s="292"/>
      <c r="TXE20" s="292"/>
      <c r="TXF20" s="292"/>
      <c r="TXG20" s="292"/>
      <c r="TXH20" s="292"/>
      <c r="TXI20" s="292"/>
      <c r="TXJ20" s="292"/>
      <c r="TXK20" s="292"/>
      <c r="TXL20" s="292"/>
      <c r="TXM20" s="292"/>
      <c r="TXN20" s="292"/>
      <c r="TXO20" s="292"/>
      <c r="TXP20" s="292"/>
      <c r="TXQ20" s="292"/>
      <c r="TXR20" s="292"/>
      <c r="TXS20" s="292"/>
      <c r="TXT20" s="292"/>
      <c r="TXU20" s="292"/>
      <c r="TXV20" s="292"/>
      <c r="TXW20" s="292"/>
      <c r="TXX20" s="292"/>
      <c r="TXY20" s="292"/>
      <c r="TXZ20" s="292"/>
      <c r="TYA20" s="292"/>
      <c r="TYB20" s="292"/>
      <c r="TYC20" s="292"/>
      <c r="TYD20" s="292"/>
      <c r="TYE20" s="292"/>
      <c r="TYF20" s="292"/>
      <c r="TYG20" s="292"/>
      <c r="TYH20" s="292"/>
      <c r="TYI20" s="292"/>
      <c r="TYJ20" s="292"/>
      <c r="TYK20" s="292"/>
      <c r="TYL20" s="292"/>
      <c r="TYM20" s="292"/>
      <c r="TYN20" s="292"/>
      <c r="TYO20" s="292"/>
      <c r="TYP20" s="292"/>
      <c r="TYQ20" s="292"/>
      <c r="TYR20" s="292"/>
      <c r="TYS20" s="292"/>
      <c r="TYT20" s="292"/>
      <c r="TYU20" s="292"/>
      <c r="TYV20" s="292"/>
      <c r="TYW20" s="292"/>
      <c r="TYX20" s="292"/>
      <c r="TYY20" s="292"/>
      <c r="TYZ20" s="292"/>
      <c r="TZA20" s="292"/>
      <c r="TZB20" s="292"/>
      <c r="TZC20" s="292"/>
      <c r="TZD20" s="292"/>
      <c r="TZE20" s="292"/>
      <c r="TZF20" s="292"/>
      <c r="TZG20" s="292"/>
      <c r="TZH20" s="292"/>
      <c r="TZI20" s="292"/>
      <c r="TZJ20" s="292"/>
      <c r="TZK20" s="292"/>
      <c r="TZL20" s="292"/>
      <c r="TZM20" s="292"/>
      <c r="TZN20" s="292"/>
      <c r="TZO20" s="292"/>
      <c r="TZP20" s="292"/>
      <c r="TZQ20" s="292"/>
      <c r="TZR20" s="292"/>
      <c r="TZS20" s="292"/>
      <c r="TZT20" s="292"/>
      <c r="TZU20" s="292"/>
      <c r="TZV20" s="292"/>
      <c r="TZW20" s="292"/>
      <c r="TZX20" s="292"/>
      <c r="TZY20" s="292"/>
      <c r="TZZ20" s="292"/>
      <c r="UAA20" s="292"/>
      <c r="UAB20" s="292"/>
      <c r="UAC20" s="292"/>
      <c r="UAD20" s="292"/>
      <c r="UAE20" s="292"/>
      <c r="UAF20" s="292"/>
      <c r="UAG20" s="292"/>
      <c r="UAH20" s="292"/>
      <c r="UAI20" s="292"/>
      <c r="UAJ20" s="292"/>
      <c r="UAK20" s="292"/>
      <c r="UAL20" s="292"/>
      <c r="UAM20" s="292"/>
      <c r="UAN20" s="292"/>
      <c r="UAO20" s="292"/>
      <c r="UAP20" s="292"/>
      <c r="UAQ20" s="292"/>
      <c r="UAR20" s="292"/>
      <c r="UAS20" s="292"/>
      <c r="UAT20" s="292"/>
      <c r="UAU20" s="292"/>
      <c r="UAV20" s="292"/>
      <c r="UAW20" s="292"/>
      <c r="UAX20" s="292"/>
      <c r="UAY20" s="292"/>
      <c r="UAZ20" s="292"/>
      <c r="UBA20" s="292"/>
      <c r="UBB20" s="292"/>
      <c r="UBC20" s="292"/>
      <c r="UBD20" s="292"/>
      <c r="UBE20" s="292"/>
      <c r="UBF20" s="292"/>
      <c r="UBG20" s="292"/>
      <c r="UBH20" s="292"/>
      <c r="UBI20" s="292"/>
      <c r="UBJ20" s="292"/>
      <c r="UBK20" s="292"/>
      <c r="UBL20" s="292"/>
      <c r="UBM20" s="292"/>
      <c r="UBN20" s="292"/>
      <c r="UBO20" s="292"/>
      <c r="UBP20" s="292"/>
      <c r="UBQ20" s="292"/>
      <c r="UBR20" s="292"/>
      <c r="UBS20" s="292"/>
      <c r="UBT20" s="292"/>
      <c r="UBU20" s="292"/>
      <c r="UBV20" s="292"/>
      <c r="UBW20" s="292"/>
      <c r="UBX20" s="292"/>
      <c r="UBY20" s="292"/>
      <c r="UBZ20" s="292"/>
      <c r="UCA20" s="292"/>
      <c r="UCB20" s="292"/>
      <c r="UCC20" s="292"/>
      <c r="UCD20" s="292"/>
      <c r="UCE20" s="292"/>
      <c r="UCF20" s="292"/>
      <c r="UCG20" s="292"/>
      <c r="UCH20" s="292"/>
      <c r="UCI20" s="292"/>
      <c r="UCJ20" s="292"/>
      <c r="UCK20" s="292"/>
      <c r="UCL20" s="292"/>
      <c r="UCM20" s="292"/>
      <c r="UCN20" s="292"/>
      <c r="UCO20" s="292"/>
      <c r="UCP20" s="292"/>
      <c r="UCQ20" s="292"/>
      <c r="UCR20" s="292"/>
      <c r="UCS20" s="292"/>
      <c r="UCT20" s="292"/>
      <c r="UCU20" s="292"/>
      <c r="UCV20" s="292"/>
      <c r="UCW20" s="292"/>
      <c r="UCX20" s="292"/>
      <c r="UCY20" s="292"/>
      <c r="UCZ20" s="292"/>
      <c r="UDA20" s="292"/>
      <c r="UDB20" s="292"/>
      <c r="UDC20" s="292"/>
      <c r="UDD20" s="292"/>
      <c r="UDE20" s="292"/>
      <c r="UDF20" s="292"/>
      <c r="UDG20" s="292"/>
      <c r="UDH20" s="292"/>
      <c r="UDI20" s="292"/>
      <c r="UDJ20" s="292"/>
      <c r="UDK20" s="292"/>
      <c r="UDL20" s="292"/>
      <c r="UDM20" s="292"/>
      <c r="UDN20" s="292"/>
      <c r="UDO20" s="292"/>
      <c r="UDP20" s="292"/>
      <c r="UDQ20" s="292"/>
      <c r="UDR20" s="292"/>
      <c r="UDS20" s="292"/>
      <c r="UDT20" s="292"/>
      <c r="UDU20" s="292"/>
      <c r="UDV20" s="292"/>
      <c r="UDW20" s="292"/>
      <c r="UDX20" s="292"/>
      <c r="UDY20" s="292"/>
      <c r="UDZ20" s="292"/>
      <c r="UEA20" s="292"/>
      <c r="UEB20" s="292"/>
      <c r="UEC20" s="292"/>
      <c r="UED20" s="292"/>
      <c r="UEE20" s="292"/>
      <c r="UEF20" s="292"/>
      <c r="UEG20" s="292"/>
      <c r="UEH20" s="292"/>
      <c r="UEI20" s="292"/>
      <c r="UEJ20" s="292"/>
      <c r="UEK20" s="292"/>
      <c r="UEL20" s="292"/>
      <c r="UEM20" s="292"/>
      <c r="UEN20" s="292"/>
      <c r="UEO20" s="292"/>
      <c r="UEP20" s="292"/>
      <c r="UEQ20" s="292"/>
      <c r="UER20" s="292"/>
      <c r="UES20" s="292"/>
      <c r="UET20" s="292"/>
      <c r="UEU20" s="292"/>
      <c r="UEV20" s="292"/>
      <c r="UEW20" s="292"/>
      <c r="UEX20" s="292"/>
      <c r="UEY20" s="292"/>
      <c r="UEZ20" s="292"/>
      <c r="UFA20" s="292"/>
      <c r="UFB20" s="292"/>
      <c r="UFC20" s="292"/>
      <c r="UFD20" s="292"/>
      <c r="UFE20" s="292"/>
      <c r="UFF20" s="292"/>
      <c r="UFG20" s="292"/>
      <c r="UFH20" s="292"/>
      <c r="UFI20" s="292"/>
      <c r="UFJ20" s="292"/>
      <c r="UFK20" s="292"/>
      <c r="UFL20" s="292"/>
      <c r="UFM20" s="292"/>
      <c r="UFN20" s="292"/>
      <c r="UFO20" s="292"/>
      <c r="UFP20" s="292"/>
      <c r="UFQ20" s="292"/>
      <c r="UFR20" s="292"/>
      <c r="UFS20" s="292"/>
      <c r="UFT20" s="292"/>
      <c r="UFU20" s="292"/>
      <c r="UFV20" s="292"/>
      <c r="UFW20" s="292"/>
      <c r="UFX20" s="292"/>
      <c r="UFY20" s="292"/>
      <c r="UFZ20" s="292"/>
      <c r="UGA20" s="292"/>
      <c r="UGB20" s="292"/>
      <c r="UGC20" s="292"/>
      <c r="UGD20" s="292"/>
      <c r="UGE20" s="292"/>
      <c r="UGF20" s="292"/>
      <c r="UGG20" s="292"/>
      <c r="UGH20" s="292"/>
      <c r="UGI20" s="292"/>
      <c r="UGJ20" s="292"/>
      <c r="UGK20" s="292"/>
      <c r="UGL20" s="292"/>
      <c r="UGM20" s="292"/>
      <c r="UGN20" s="292"/>
      <c r="UGO20" s="292"/>
      <c r="UGP20" s="292"/>
      <c r="UGQ20" s="292"/>
      <c r="UGR20" s="292"/>
      <c r="UGS20" s="292"/>
      <c r="UGT20" s="292"/>
      <c r="UGU20" s="292"/>
      <c r="UGV20" s="292"/>
      <c r="UGW20" s="292"/>
      <c r="UGX20" s="292"/>
      <c r="UGY20" s="292"/>
      <c r="UGZ20" s="292"/>
      <c r="UHA20" s="292"/>
      <c r="UHB20" s="292"/>
      <c r="UHC20" s="292"/>
      <c r="UHD20" s="292"/>
      <c r="UHE20" s="292"/>
      <c r="UHF20" s="292"/>
      <c r="UHG20" s="292"/>
      <c r="UHH20" s="292"/>
      <c r="UHI20" s="292"/>
      <c r="UHJ20" s="292"/>
      <c r="UHK20" s="292"/>
      <c r="UHL20" s="292"/>
      <c r="UHM20" s="292"/>
      <c r="UHN20" s="292"/>
      <c r="UHO20" s="292"/>
      <c r="UHP20" s="292"/>
      <c r="UHQ20" s="292"/>
      <c r="UHR20" s="292"/>
      <c r="UHS20" s="292"/>
      <c r="UHT20" s="292"/>
      <c r="UHU20" s="292"/>
      <c r="UHV20" s="292"/>
      <c r="UHW20" s="292"/>
      <c r="UHX20" s="292"/>
      <c r="UHY20" s="292"/>
      <c r="UHZ20" s="292"/>
      <c r="UIA20" s="292"/>
      <c r="UIB20" s="292"/>
      <c r="UIC20" s="292"/>
      <c r="UID20" s="292"/>
      <c r="UIE20" s="292"/>
      <c r="UIF20" s="292"/>
      <c r="UIG20" s="292"/>
      <c r="UIH20" s="292"/>
      <c r="UII20" s="292"/>
      <c r="UIJ20" s="292"/>
      <c r="UIK20" s="292"/>
      <c r="UIL20" s="292"/>
      <c r="UIM20" s="292"/>
      <c r="UIN20" s="292"/>
      <c r="UIO20" s="292"/>
      <c r="UIP20" s="292"/>
      <c r="UIQ20" s="292"/>
      <c r="UIR20" s="292"/>
      <c r="UIS20" s="292"/>
      <c r="UIT20" s="292"/>
      <c r="UIU20" s="292"/>
      <c r="UIV20" s="292"/>
      <c r="UIW20" s="292"/>
      <c r="UIX20" s="292"/>
      <c r="UIY20" s="292"/>
      <c r="UIZ20" s="292"/>
      <c r="UJA20" s="292"/>
      <c r="UJB20" s="292"/>
      <c r="UJC20" s="292"/>
      <c r="UJD20" s="292"/>
      <c r="UJE20" s="292"/>
      <c r="UJF20" s="292"/>
      <c r="UJG20" s="292"/>
      <c r="UJH20" s="292"/>
      <c r="UJI20" s="292"/>
      <c r="UJJ20" s="292"/>
      <c r="UJK20" s="292"/>
      <c r="UJL20" s="292"/>
      <c r="UJM20" s="292"/>
      <c r="UJN20" s="292"/>
      <c r="UJO20" s="292"/>
      <c r="UJP20" s="292"/>
      <c r="UJQ20" s="292"/>
      <c r="UJR20" s="292"/>
      <c r="UJS20" s="292"/>
      <c r="UJT20" s="292"/>
      <c r="UJU20" s="292"/>
      <c r="UJV20" s="292"/>
      <c r="UJW20" s="292"/>
      <c r="UJX20" s="292"/>
      <c r="UJY20" s="292"/>
      <c r="UJZ20" s="292"/>
      <c r="UKA20" s="292"/>
      <c r="UKB20" s="292"/>
      <c r="UKC20" s="292"/>
      <c r="UKD20" s="292"/>
      <c r="UKE20" s="292"/>
      <c r="UKF20" s="292"/>
      <c r="UKG20" s="292"/>
      <c r="UKH20" s="292"/>
      <c r="UKI20" s="292"/>
      <c r="UKJ20" s="292"/>
      <c r="UKK20" s="292"/>
      <c r="UKL20" s="292"/>
      <c r="UKM20" s="292"/>
      <c r="UKN20" s="292"/>
      <c r="UKO20" s="292"/>
      <c r="UKP20" s="292"/>
      <c r="UKQ20" s="292"/>
      <c r="UKR20" s="292"/>
      <c r="UKS20" s="292"/>
      <c r="UKT20" s="292"/>
      <c r="UKU20" s="292"/>
      <c r="UKV20" s="292"/>
      <c r="UKW20" s="292"/>
      <c r="UKX20" s="292"/>
      <c r="UKY20" s="292"/>
      <c r="UKZ20" s="292"/>
      <c r="ULA20" s="292"/>
      <c r="ULB20" s="292"/>
      <c r="ULC20" s="292"/>
      <c r="ULD20" s="292"/>
      <c r="ULE20" s="292"/>
      <c r="ULF20" s="292"/>
      <c r="ULG20" s="292"/>
      <c r="ULH20" s="292"/>
      <c r="ULI20" s="292"/>
      <c r="ULJ20" s="292"/>
      <c r="ULK20" s="292"/>
      <c r="ULL20" s="292"/>
      <c r="ULM20" s="292"/>
      <c r="ULN20" s="292"/>
      <c r="ULO20" s="292"/>
      <c r="ULP20" s="292"/>
      <c r="ULQ20" s="292"/>
      <c r="ULR20" s="292"/>
      <c r="ULS20" s="292"/>
      <c r="ULT20" s="292"/>
      <c r="ULU20" s="292"/>
      <c r="ULV20" s="292"/>
      <c r="ULW20" s="292"/>
      <c r="ULX20" s="292"/>
      <c r="ULY20" s="292"/>
      <c r="ULZ20" s="292"/>
      <c r="UMA20" s="292"/>
      <c r="UMB20" s="292"/>
      <c r="UMC20" s="292"/>
      <c r="UMD20" s="292"/>
      <c r="UME20" s="292"/>
      <c r="UMF20" s="292"/>
      <c r="UMG20" s="292"/>
      <c r="UMH20" s="292"/>
      <c r="UMI20" s="292"/>
      <c r="UMJ20" s="292"/>
      <c r="UMK20" s="292"/>
      <c r="UML20" s="292"/>
      <c r="UMM20" s="292"/>
      <c r="UMN20" s="292"/>
      <c r="UMO20" s="292"/>
      <c r="UMP20" s="292"/>
      <c r="UMQ20" s="292"/>
      <c r="UMR20" s="292"/>
      <c r="UMS20" s="292"/>
      <c r="UMT20" s="292"/>
      <c r="UMU20" s="292"/>
      <c r="UMV20" s="292"/>
      <c r="UMW20" s="292"/>
      <c r="UMX20" s="292"/>
      <c r="UMY20" s="292"/>
      <c r="UMZ20" s="292"/>
      <c r="UNA20" s="292"/>
      <c r="UNB20" s="292"/>
      <c r="UNC20" s="292"/>
      <c r="UND20" s="292"/>
      <c r="UNE20" s="292"/>
      <c r="UNF20" s="292"/>
      <c r="UNG20" s="292"/>
      <c r="UNH20" s="292"/>
      <c r="UNI20" s="292"/>
      <c r="UNJ20" s="292"/>
      <c r="UNK20" s="292"/>
      <c r="UNL20" s="292"/>
      <c r="UNM20" s="292"/>
      <c r="UNN20" s="292"/>
      <c r="UNO20" s="292"/>
      <c r="UNP20" s="292"/>
      <c r="UNQ20" s="292"/>
      <c r="UNR20" s="292"/>
      <c r="UNS20" s="292"/>
      <c r="UNT20" s="292"/>
      <c r="UNU20" s="292"/>
      <c r="UNV20" s="292"/>
      <c r="UNW20" s="292"/>
      <c r="UNX20" s="292"/>
      <c r="UNY20" s="292"/>
      <c r="UNZ20" s="292"/>
      <c r="UOA20" s="292"/>
      <c r="UOB20" s="292"/>
      <c r="UOC20" s="292"/>
      <c r="UOD20" s="292"/>
      <c r="UOE20" s="292"/>
      <c r="UOF20" s="292"/>
      <c r="UOG20" s="292"/>
      <c r="UOH20" s="292"/>
      <c r="UOI20" s="292"/>
      <c r="UOJ20" s="292"/>
      <c r="UOK20" s="292"/>
      <c r="UOL20" s="292"/>
      <c r="UOM20" s="292"/>
      <c r="UON20" s="292"/>
      <c r="UOO20" s="292"/>
      <c r="UOP20" s="292"/>
      <c r="UOQ20" s="292"/>
      <c r="UOR20" s="292"/>
      <c r="UOS20" s="292"/>
      <c r="UOT20" s="292"/>
      <c r="UOU20" s="292"/>
      <c r="UOV20" s="292"/>
      <c r="UOW20" s="292"/>
      <c r="UOX20" s="292"/>
      <c r="UOY20" s="292"/>
      <c r="UOZ20" s="292"/>
      <c r="UPA20" s="292"/>
      <c r="UPB20" s="292"/>
      <c r="UPC20" s="292"/>
      <c r="UPD20" s="292"/>
      <c r="UPE20" s="292"/>
      <c r="UPF20" s="292"/>
      <c r="UPG20" s="292"/>
      <c r="UPH20" s="292"/>
      <c r="UPI20" s="292"/>
      <c r="UPJ20" s="292"/>
      <c r="UPK20" s="292"/>
      <c r="UPL20" s="292"/>
      <c r="UPM20" s="292"/>
      <c r="UPN20" s="292"/>
      <c r="UPO20" s="292"/>
      <c r="UPP20" s="292"/>
      <c r="UPQ20" s="292"/>
      <c r="UPR20" s="292"/>
      <c r="UPS20" s="292"/>
      <c r="UPT20" s="292"/>
      <c r="UPU20" s="292"/>
      <c r="UPV20" s="292"/>
      <c r="UPW20" s="292"/>
      <c r="UPX20" s="292"/>
      <c r="UPY20" s="292"/>
      <c r="UPZ20" s="292"/>
      <c r="UQA20" s="292"/>
      <c r="UQB20" s="292"/>
      <c r="UQC20" s="292"/>
      <c r="UQD20" s="292"/>
      <c r="UQE20" s="292"/>
      <c r="UQF20" s="292"/>
      <c r="UQG20" s="292"/>
      <c r="UQH20" s="292"/>
      <c r="UQI20" s="292"/>
      <c r="UQJ20" s="292"/>
      <c r="UQK20" s="292"/>
      <c r="UQL20" s="292"/>
      <c r="UQM20" s="292"/>
      <c r="UQN20" s="292"/>
      <c r="UQO20" s="292"/>
      <c r="UQP20" s="292"/>
      <c r="UQQ20" s="292"/>
      <c r="UQR20" s="292"/>
      <c r="UQS20" s="292"/>
      <c r="UQT20" s="292"/>
      <c r="UQU20" s="292"/>
      <c r="UQV20" s="292"/>
      <c r="UQW20" s="292"/>
      <c r="UQX20" s="292"/>
      <c r="UQY20" s="292"/>
      <c r="UQZ20" s="292"/>
      <c r="URA20" s="292"/>
      <c r="URB20" s="292"/>
      <c r="URC20" s="292"/>
      <c r="URD20" s="292"/>
      <c r="URE20" s="292"/>
      <c r="URF20" s="292"/>
      <c r="URG20" s="292"/>
      <c r="URH20" s="292"/>
      <c r="URI20" s="292"/>
      <c r="URJ20" s="292"/>
      <c r="URK20" s="292"/>
      <c r="URL20" s="292"/>
      <c r="URM20" s="292"/>
      <c r="URN20" s="292"/>
      <c r="URO20" s="292"/>
      <c r="URP20" s="292"/>
      <c r="URQ20" s="292"/>
      <c r="URR20" s="292"/>
      <c r="URS20" s="292"/>
      <c r="URT20" s="292"/>
      <c r="URU20" s="292"/>
      <c r="URV20" s="292"/>
      <c r="URW20" s="292"/>
      <c r="URX20" s="292"/>
      <c r="URY20" s="292"/>
      <c r="URZ20" s="292"/>
      <c r="USA20" s="292"/>
      <c r="USB20" s="292"/>
      <c r="USC20" s="292"/>
      <c r="USD20" s="292"/>
      <c r="USE20" s="292"/>
      <c r="USF20" s="292"/>
      <c r="USG20" s="292"/>
      <c r="USH20" s="292"/>
      <c r="USI20" s="292"/>
      <c r="USJ20" s="292"/>
      <c r="USK20" s="292"/>
      <c r="USL20" s="292"/>
      <c r="USM20" s="292"/>
      <c r="USN20" s="292"/>
      <c r="USO20" s="292"/>
      <c r="USP20" s="292"/>
      <c r="USQ20" s="292"/>
      <c r="USR20" s="292"/>
      <c r="USS20" s="292"/>
      <c r="UST20" s="292"/>
      <c r="USU20" s="292"/>
      <c r="USV20" s="292"/>
      <c r="USW20" s="292"/>
      <c r="USX20" s="292"/>
      <c r="USY20" s="292"/>
      <c r="USZ20" s="292"/>
      <c r="UTA20" s="292"/>
      <c r="UTB20" s="292"/>
      <c r="UTC20" s="292"/>
      <c r="UTD20" s="292"/>
      <c r="UTE20" s="292"/>
      <c r="UTF20" s="292"/>
      <c r="UTG20" s="292"/>
      <c r="UTH20" s="292"/>
      <c r="UTI20" s="292"/>
      <c r="UTJ20" s="292"/>
      <c r="UTK20" s="292"/>
      <c r="UTL20" s="292"/>
      <c r="UTM20" s="292"/>
      <c r="UTN20" s="292"/>
      <c r="UTO20" s="292"/>
      <c r="UTP20" s="292"/>
      <c r="UTQ20" s="292"/>
      <c r="UTR20" s="292"/>
      <c r="UTS20" s="292"/>
      <c r="UTT20" s="292"/>
      <c r="UTU20" s="292"/>
      <c r="UTV20" s="292"/>
      <c r="UTW20" s="292"/>
      <c r="UTX20" s="292"/>
      <c r="UTY20" s="292"/>
      <c r="UTZ20" s="292"/>
      <c r="UUA20" s="292"/>
      <c r="UUB20" s="292"/>
      <c r="UUC20" s="292"/>
      <c r="UUD20" s="292"/>
      <c r="UUE20" s="292"/>
      <c r="UUF20" s="292"/>
      <c r="UUG20" s="292"/>
      <c r="UUH20" s="292"/>
      <c r="UUI20" s="292"/>
      <c r="UUJ20" s="292"/>
      <c r="UUK20" s="292"/>
      <c r="UUL20" s="292"/>
      <c r="UUM20" s="292"/>
      <c r="UUN20" s="292"/>
      <c r="UUO20" s="292"/>
      <c r="UUP20" s="292"/>
      <c r="UUQ20" s="292"/>
      <c r="UUR20" s="292"/>
      <c r="UUS20" s="292"/>
      <c r="UUT20" s="292"/>
      <c r="UUU20" s="292"/>
      <c r="UUV20" s="292"/>
      <c r="UUW20" s="292"/>
      <c r="UUX20" s="292"/>
      <c r="UUY20" s="292"/>
      <c r="UUZ20" s="292"/>
      <c r="UVA20" s="292"/>
      <c r="UVB20" s="292"/>
      <c r="UVC20" s="292"/>
      <c r="UVD20" s="292"/>
      <c r="UVE20" s="292"/>
      <c r="UVF20" s="292"/>
      <c r="UVG20" s="292"/>
      <c r="UVH20" s="292"/>
      <c r="UVI20" s="292"/>
      <c r="UVJ20" s="292"/>
      <c r="UVK20" s="292"/>
      <c r="UVL20" s="292"/>
      <c r="UVM20" s="292"/>
      <c r="UVN20" s="292"/>
      <c r="UVO20" s="292"/>
      <c r="UVP20" s="292"/>
      <c r="UVQ20" s="292"/>
      <c r="UVR20" s="292"/>
      <c r="UVS20" s="292"/>
      <c r="UVT20" s="292"/>
      <c r="UVU20" s="292"/>
      <c r="UVV20" s="292"/>
      <c r="UVW20" s="292"/>
      <c r="UVX20" s="292"/>
      <c r="UVY20" s="292"/>
      <c r="UVZ20" s="292"/>
      <c r="UWA20" s="292"/>
      <c r="UWB20" s="292"/>
      <c r="UWC20" s="292"/>
      <c r="UWD20" s="292"/>
      <c r="UWE20" s="292"/>
      <c r="UWF20" s="292"/>
      <c r="UWG20" s="292"/>
      <c r="UWH20" s="292"/>
      <c r="UWI20" s="292"/>
      <c r="UWJ20" s="292"/>
      <c r="UWK20" s="292"/>
      <c r="UWL20" s="292"/>
      <c r="UWM20" s="292"/>
      <c r="UWN20" s="292"/>
      <c r="UWO20" s="292"/>
      <c r="UWP20" s="292"/>
      <c r="UWQ20" s="292"/>
      <c r="UWR20" s="292"/>
      <c r="UWS20" s="292"/>
      <c r="UWT20" s="292"/>
      <c r="UWU20" s="292"/>
      <c r="UWV20" s="292"/>
      <c r="UWW20" s="292"/>
      <c r="UWX20" s="292"/>
      <c r="UWY20" s="292"/>
      <c r="UWZ20" s="292"/>
      <c r="UXA20" s="292"/>
      <c r="UXB20" s="292"/>
      <c r="UXC20" s="292"/>
      <c r="UXD20" s="292"/>
      <c r="UXE20" s="292"/>
      <c r="UXF20" s="292"/>
      <c r="UXG20" s="292"/>
      <c r="UXH20" s="292"/>
      <c r="UXI20" s="292"/>
      <c r="UXJ20" s="292"/>
      <c r="UXK20" s="292"/>
      <c r="UXL20" s="292"/>
      <c r="UXM20" s="292"/>
      <c r="UXN20" s="292"/>
      <c r="UXO20" s="292"/>
      <c r="UXP20" s="292"/>
      <c r="UXQ20" s="292"/>
      <c r="UXR20" s="292"/>
      <c r="UXS20" s="292"/>
      <c r="UXT20" s="292"/>
      <c r="UXU20" s="292"/>
      <c r="UXV20" s="292"/>
      <c r="UXW20" s="292"/>
      <c r="UXX20" s="292"/>
      <c r="UXY20" s="292"/>
      <c r="UXZ20" s="292"/>
      <c r="UYA20" s="292"/>
      <c r="UYB20" s="292"/>
      <c r="UYC20" s="292"/>
      <c r="UYD20" s="292"/>
      <c r="UYE20" s="292"/>
      <c r="UYF20" s="292"/>
      <c r="UYG20" s="292"/>
      <c r="UYH20" s="292"/>
      <c r="UYI20" s="292"/>
      <c r="UYJ20" s="292"/>
      <c r="UYK20" s="292"/>
      <c r="UYL20" s="292"/>
      <c r="UYM20" s="292"/>
      <c r="UYN20" s="292"/>
      <c r="UYO20" s="292"/>
      <c r="UYP20" s="292"/>
      <c r="UYQ20" s="292"/>
      <c r="UYR20" s="292"/>
      <c r="UYS20" s="292"/>
      <c r="UYT20" s="292"/>
      <c r="UYU20" s="292"/>
      <c r="UYV20" s="292"/>
      <c r="UYW20" s="292"/>
      <c r="UYX20" s="292"/>
      <c r="UYY20" s="292"/>
      <c r="UYZ20" s="292"/>
      <c r="UZA20" s="292"/>
      <c r="UZB20" s="292"/>
      <c r="UZC20" s="292"/>
      <c r="UZD20" s="292"/>
      <c r="UZE20" s="292"/>
      <c r="UZF20" s="292"/>
      <c r="UZG20" s="292"/>
      <c r="UZH20" s="292"/>
      <c r="UZI20" s="292"/>
      <c r="UZJ20" s="292"/>
      <c r="UZK20" s="292"/>
      <c r="UZL20" s="292"/>
      <c r="UZM20" s="292"/>
      <c r="UZN20" s="292"/>
      <c r="UZO20" s="292"/>
      <c r="UZP20" s="292"/>
      <c r="UZQ20" s="292"/>
      <c r="UZR20" s="292"/>
      <c r="UZS20" s="292"/>
      <c r="UZT20" s="292"/>
      <c r="UZU20" s="292"/>
      <c r="UZV20" s="292"/>
      <c r="UZW20" s="292"/>
      <c r="UZX20" s="292"/>
      <c r="UZY20" s="292"/>
      <c r="UZZ20" s="292"/>
      <c r="VAA20" s="292"/>
      <c r="VAB20" s="292"/>
      <c r="VAC20" s="292"/>
      <c r="VAD20" s="292"/>
      <c r="VAE20" s="292"/>
      <c r="VAF20" s="292"/>
      <c r="VAG20" s="292"/>
      <c r="VAH20" s="292"/>
      <c r="VAI20" s="292"/>
      <c r="VAJ20" s="292"/>
      <c r="VAK20" s="292"/>
      <c r="VAL20" s="292"/>
      <c r="VAM20" s="292"/>
      <c r="VAN20" s="292"/>
      <c r="VAO20" s="292"/>
      <c r="VAP20" s="292"/>
      <c r="VAQ20" s="292"/>
      <c r="VAR20" s="292"/>
      <c r="VAS20" s="292"/>
      <c r="VAT20" s="292"/>
      <c r="VAU20" s="292"/>
      <c r="VAV20" s="292"/>
      <c r="VAW20" s="292"/>
      <c r="VAX20" s="292"/>
      <c r="VAY20" s="292"/>
      <c r="VAZ20" s="292"/>
      <c r="VBA20" s="292"/>
      <c r="VBB20" s="292"/>
      <c r="VBC20" s="292"/>
      <c r="VBD20" s="292"/>
      <c r="VBE20" s="292"/>
      <c r="VBF20" s="292"/>
      <c r="VBG20" s="292"/>
      <c r="VBH20" s="292"/>
      <c r="VBI20" s="292"/>
      <c r="VBJ20" s="292"/>
      <c r="VBK20" s="292"/>
      <c r="VBL20" s="292"/>
      <c r="VBM20" s="292"/>
      <c r="VBN20" s="292"/>
      <c r="VBO20" s="292"/>
      <c r="VBP20" s="292"/>
      <c r="VBQ20" s="292"/>
      <c r="VBR20" s="292"/>
      <c r="VBS20" s="292"/>
      <c r="VBT20" s="292"/>
      <c r="VBU20" s="292"/>
      <c r="VBV20" s="292"/>
      <c r="VBW20" s="292"/>
      <c r="VBX20" s="292"/>
      <c r="VBY20" s="292"/>
      <c r="VBZ20" s="292"/>
      <c r="VCA20" s="292"/>
      <c r="VCB20" s="292"/>
      <c r="VCC20" s="292"/>
      <c r="VCD20" s="292"/>
      <c r="VCE20" s="292"/>
      <c r="VCF20" s="292"/>
      <c r="VCG20" s="292"/>
      <c r="VCH20" s="292"/>
      <c r="VCI20" s="292"/>
      <c r="VCJ20" s="292"/>
      <c r="VCK20" s="292"/>
      <c r="VCL20" s="292"/>
      <c r="VCM20" s="292"/>
      <c r="VCN20" s="292"/>
      <c r="VCO20" s="292"/>
      <c r="VCP20" s="292"/>
      <c r="VCQ20" s="292"/>
      <c r="VCR20" s="292"/>
      <c r="VCS20" s="292"/>
      <c r="VCT20" s="292"/>
      <c r="VCU20" s="292"/>
      <c r="VCV20" s="292"/>
      <c r="VCW20" s="292"/>
      <c r="VCX20" s="292"/>
      <c r="VCY20" s="292"/>
      <c r="VCZ20" s="292"/>
      <c r="VDA20" s="292"/>
      <c r="VDB20" s="292"/>
      <c r="VDC20" s="292"/>
      <c r="VDD20" s="292"/>
      <c r="VDE20" s="292"/>
      <c r="VDF20" s="292"/>
      <c r="VDG20" s="292"/>
      <c r="VDH20" s="292"/>
      <c r="VDI20" s="292"/>
      <c r="VDJ20" s="292"/>
      <c r="VDK20" s="292"/>
      <c r="VDL20" s="292"/>
      <c r="VDM20" s="292"/>
      <c r="VDN20" s="292"/>
      <c r="VDO20" s="292"/>
      <c r="VDP20" s="292"/>
      <c r="VDQ20" s="292"/>
      <c r="VDR20" s="292"/>
      <c r="VDS20" s="292"/>
      <c r="VDT20" s="292"/>
      <c r="VDU20" s="292"/>
      <c r="VDV20" s="292"/>
      <c r="VDW20" s="292"/>
      <c r="VDX20" s="292"/>
      <c r="VDY20" s="292"/>
      <c r="VDZ20" s="292"/>
      <c r="VEA20" s="292"/>
      <c r="VEB20" s="292"/>
      <c r="VEC20" s="292"/>
      <c r="VED20" s="292"/>
      <c r="VEE20" s="292"/>
      <c r="VEF20" s="292"/>
      <c r="VEG20" s="292"/>
      <c r="VEH20" s="292"/>
      <c r="VEI20" s="292"/>
      <c r="VEJ20" s="292"/>
      <c r="VEK20" s="292"/>
      <c r="VEL20" s="292"/>
      <c r="VEM20" s="292"/>
      <c r="VEN20" s="292"/>
      <c r="VEO20" s="292"/>
      <c r="VEP20" s="292"/>
      <c r="VEQ20" s="292"/>
      <c r="VER20" s="292"/>
      <c r="VES20" s="292"/>
      <c r="VET20" s="292"/>
      <c r="VEU20" s="292"/>
      <c r="VEV20" s="292"/>
      <c r="VEW20" s="292"/>
      <c r="VEX20" s="292"/>
      <c r="VEY20" s="292"/>
      <c r="VEZ20" s="292"/>
      <c r="VFA20" s="292"/>
      <c r="VFB20" s="292"/>
      <c r="VFC20" s="292"/>
      <c r="VFD20" s="292"/>
      <c r="VFE20" s="292"/>
      <c r="VFF20" s="292"/>
      <c r="VFG20" s="292"/>
      <c r="VFH20" s="292"/>
      <c r="VFI20" s="292"/>
      <c r="VFJ20" s="292"/>
      <c r="VFK20" s="292"/>
      <c r="VFL20" s="292"/>
      <c r="VFM20" s="292"/>
      <c r="VFN20" s="292"/>
      <c r="VFO20" s="292"/>
      <c r="VFP20" s="292"/>
      <c r="VFQ20" s="292"/>
      <c r="VFR20" s="292"/>
      <c r="VFS20" s="292"/>
      <c r="VFT20" s="292"/>
      <c r="VFU20" s="292"/>
      <c r="VFV20" s="292"/>
      <c r="VFW20" s="292"/>
      <c r="VFX20" s="292"/>
      <c r="VFY20" s="292"/>
      <c r="VFZ20" s="292"/>
      <c r="VGA20" s="292"/>
      <c r="VGB20" s="292"/>
      <c r="VGC20" s="292"/>
      <c r="VGD20" s="292"/>
      <c r="VGE20" s="292"/>
      <c r="VGF20" s="292"/>
      <c r="VGG20" s="292"/>
      <c r="VGH20" s="292"/>
      <c r="VGI20" s="292"/>
      <c r="VGJ20" s="292"/>
      <c r="VGK20" s="292"/>
      <c r="VGL20" s="292"/>
      <c r="VGM20" s="292"/>
      <c r="VGN20" s="292"/>
      <c r="VGO20" s="292"/>
      <c r="VGP20" s="292"/>
      <c r="VGQ20" s="292"/>
      <c r="VGR20" s="292"/>
      <c r="VGS20" s="292"/>
      <c r="VGT20" s="292"/>
      <c r="VGU20" s="292"/>
      <c r="VGV20" s="292"/>
      <c r="VGW20" s="292"/>
      <c r="VGX20" s="292"/>
      <c r="VGY20" s="292"/>
      <c r="VGZ20" s="292"/>
      <c r="VHA20" s="292"/>
      <c r="VHB20" s="292"/>
      <c r="VHC20" s="292"/>
      <c r="VHD20" s="292"/>
      <c r="VHE20" s="292"/>
      <c r="VHF20" s="292"/>
      <c r="VHG20" s="292"/>
      <c r="VHH20" s="292"/>
      <c r="VHI20" s="292"/>
      <c r="VHJ20" s="292"/>
      <c r="VHK20" s="292"/>
      <c r="VHL20" s="292"/>
      <c r="VHM20" s="292"/>
      <c r="VHN20" s="292"/>
      <c r="VHO20" s="292"/>
      <c r="VHP20" s="292"/>
      <c r="VHQ20" s="292"/>
      <c r="VHR20" s="292"/>
      <c r="VHS20" s="292"/>
      <c r="VHT20" s="292"/>
      <c r="VHU20" s="292"/>
      <c r="VHV20" s="292"/>
      <c r="VHW20" s="292"/>
      <c r="VHX20" s="292"/>
      <c r="VHY20" s="292"/>
      <c r="VHZ20" s="292"/>
      <c r="VIA20" s="292"/>
      <c r="VIB20" s="292"/>
      <c r="VIC20" s="292"/>
      <c r="VID20" s="292"/>
      <c r="VIE20" s="292"/>
      <c r="VIF20" s="292"/>
      <c r="VIG20" s="292"/>
      <c r="VIH20" s="292"/>
      <c r="VII20" s="292"/>
      <c r="VIJ20" s="292"/>
      <c r="VIK20" s="292"/>
      <c r="VIL20" s="292"/>
      <c r="VIM20" s="292"/>
      <c r="VIN20" s="292"/>
      <c r="VIO20" s="292"/>
      <c r="VIP20" s="292"/>
      <c r="VIQ20" s="292"/>
      <c r="VIR20" s="292"/>
      <c r="VIS20" s="292"/>
      <c r="VIT20" s="292"/>
      <c r="VIU20" s="292"/>
      <c r="VIV20" s="292"/>
      <c r="VIW20" s="292"/>
      <c r="VIX20" s="292"/>
      <c r="VIY20" s="292"/>
      <c r="VIZ20" s="292"/>
      <c r="VJA20" s="292"/>
      <c r="VJB20" s="292"/>
      <c r="VJC20" s="292"/>
      <c r="VJD20" s="292"/>
      <c r="VJE20" s="292"/>
      <c r="VJF20" s="292"/>
      <c r="VJG20" s="292"/>
      <c r="VJH20" s="292"/>
      <c r="VJI20" s="292"/>
      <c r="VJJ20" s="292"/>
      <c r="VJK20" s="292"/>
      <c r="VJL20" s="292"/>
      <c r="VJM20" s="292"/>
      <c r="VJN20" s="292"/>
      <c r="VJO20" s="292"/>
      <c r="VJP20" s="292"/>
      <c r="VJQ20" s="292"/>
      <c r="VJR20" s="292"/>
      <c r="VJS20" s="292"/>
      <c r="VJT20" s="292"/>
      <c r="VJU20" s="292"/>
      <c r="VJV20" s="292"/>
      <c r="VJW20" s="292"/>
      <c r="VJX20" s="292"/>
      <c r="VJY20" s="292"/>
      <c r="VJZ20" s="292"/>
      <c r="VKA20" s="292"/>
      <c r="VKB20" s="292"/>
      <c r="VKC20" s="292"/>
      <c r="VKD20" s="292"/>
      <c r="VKE20" s="292"/>
      <c r="VKF20" s="292"/>
      <c r="VKG20" s="292"/>
      <c r="VKH20" s="292"/>
      <c r="VKI20" s="292"/>
      <c r="VKJ20" s="292"/>
      <c r="VKK20" s="292"/>
      <c r="VKL20" s="292"/>
      <c r="VKM20" s="292"/>
      <c r="VKN20" s="292"/>
      <c r="VKO20" s="292"/>
      <c r="VKP20" s="292"/>
      <c r="VKQ20" s="292"/>
      <c r="VKR20" s="292"/>
      <c r="VKS20" s="292"/>
      <c r="VKT20" s="292"/>
      <c r="VKU20" s="292"/>
      <c r="VKV20" s="292"/>
      <c r="VKW20" s="292"/>
      <c r="VKX20" s="292"/>
      <c r="VKY20" s="292"/>
      <c r="VKZ20" s="292"/>
      <c r="VLA20" s="292"/>
      <c r="VLB20" s="292"/>
      <c r="VLC20" s="292"/>
      <c r="VLD20" s="292"/>
      <c r="VLE20" s="292"/>
      <c r="VLF20" s="292"/>
      <c r="VLG20" s="292"/>
      <c r="VLH20" s="292"/>
      <c r="VLI20" s="292"/>
      <c r="VLJ20" s="292"/>
      <c r="VLK20" s="292"/>
      <c r="VLL20" s="292"/>
      <c r="VLM20" s="292"/>
      <c r="VLN20" s="292"/>
      <c r="VLO20" s="292"/>
      <c r="VLP20" s="292"/>
      <c r="VLQ20" s="292"/>
      <c r="VLR20" s="292"/>
      <c r="VLS20" s="292"/>
      <c r="VLT20" s="292"/>
      <c r="VLU20" s="292"/>
      <c r="VLV20" s="292"/>
      <c r="VLW20" s="292"/>
      <c r="VLX20" s="292"/>
      <c r="VLY20" s="292"/>
      <c r="VLZ20" s="292"/>
      <c r="VMA20" s="292"/>
      <c r="VMB20" s="292"/>
      <c r="VMC20" s="292"/>
      <c r="VMD20" s="292"/>
      <c r="VME20" s="292"/>
      <c r="VMF20" s="292"/>
      <c r="VMG20" s="292"/>
      <c r="VMH20" s="292"/>
      <c r="VMI20" s="292"/>
      <c r="VMJ20" s="292"/>
      <c r="VMK20" s="292"/>
      <c r="VML20" s="292"/>
      <c r="VMM20" s="292"/>
      <c r="VMN20" s="292"/>
      <c r="VMO20" s="292"/>
      <c r="VMP20" s="292"/>
      <c r="VMQ20" s="292"/>
      <c r="VMR20" s="292"/>
      <c r="VMS20" s="292"/>
      <c r="VMT20" s="292"/>
      <c r="VMU20" s="292"/>
      <c r="VMV20" s="292"/>
      <c r="VMW20" s="292"/>
      <c r="VMX20" s="292"/>
      <c r="VMY20" s="292"/>
      <c r="VMZ20" s="292"/>
      <c r="VNA20" s="292"/>
      <c r="VNB20" s="292"/>
      <c r="VNC20" s="292"/>
      <c r="VND20" s="292"/>
      <c r="VNE20" s="292"/>
      <c r="VNF20" s="292"/>
      <c r="VNG20" s="292"/>
      <c r="VNH20" s="292"/>
      <c r="VNI20" s="292"/>
      <c r="VNJ20" s="292"/>
      <c r="VNK20" s="292"/>
      <c r="VNL20" s="292"/>
      <c r="VNM20" s="292"/>
      <c r="VNN20" s="292"/>
      <c r="VNO20" s="292"/>
      <c r="VNP20" s="292"/>
      <c r="VNQ20" s="292"/>
      <c r="VNR20" s="292"/>
      <c r="VNS20" s="292"/>
      <c r="VNT20" s="292"/>
      <c r="VNU20" s="292"/>
      <c r="VNV20" s="292"/>
      <c r="VNW20" s="292"/>
      <c r="VNX20" s="292"/>
      <c r="VNY20" s="292"/>
      <c r="VNZ20" s="292"/>
      <c r="VOA20" s="292"/>
      <c r="VOB20" s="292"/>
      <c r="VOC20" s="292"/>
      <c r="VOD20" s="292"/>
      <c r="VOE20" s="292"/>
      <c r="VOF20" s="292"/>
      <c r="VOG20" s="292"/>
      <c r="VOH20" s="292"/>
      <c r="VOI20" s="292"/>
      <c r="VOJ20" s="292"/>
      <c r="VOK20" s="292"/>
      <c r="VOL20" s="292"/>
      <c r="VOM20" s="292"/>
      <c r="VON20" s="292"/>
      <c r="VOO20" s="292"/>
      <c r="VOP20" s="292"/>
      <c r="VOQ20" s="292"/>
      <c r="VOR20" s="292"/>
      <c r="VOS20" s="292"/>
      <c r="VOT20" s="292"/>
      <c r="VOU20" s="292"/>
      <c r="VOV20" s="292"/>
      <c r="VOW20" s="292"/>
      <c r="VOX20" s="292"/>
      <c r="VOY20" s="292"/>
      <c r="VOZ20" s="292"/>
      <c r="VPA20" s="292"/>
      <c r="VPB20" s="292"/>
      <c r="VPC20" s="292"/>
      <c r="VPD20" s="292"/>
      <c r="VPE20" s="292"/>
      <c r="VPF20" s="292"/>
      <c r="VPG20" s="292"/>
      <c r="VPH20" s="292"/>
      <c r="VPI20" s="292"/>
      <c r="VPJ20" s="292"/>
      <c r="VPK20" s="292"/>
      <c r="VPL20" s="292"/>
      <c r="VPM20" s="292"/>
      <c r="VPN20" s="292"/>
      <c r="VPO20" s="292"/>
      <c r="VPP20" s="292"/>
      <c r="VPQ20" s="292"/>
      <c r="VPR20" s="292"/>
      <c r="VPS20" s="292"/>
      <c r="VPT20" s="292"/>
      <c r="VPU20" s="292"/>
      <c r="VPV20" s="292"/>
      <c r="VPW20" s="292"/>
      <c r="VPX20" s="292"/>
      <c r="VPY20" s="292"/>
      <c r="VPZ20" s="292"/>
      <c r="VQA20" s="292"/>
      <c r="VQB20" s="292"/>
      <c r="VQC20" s="292"/>
      <c r="VQD20" s="292"/>
      <c r="VQE20" s="292"/>
      <c r="VQF20" s="292"/>
      <c r="VQG20" s="292"/>
      <c r="VQH20" s="292"/>
      <c r="VQI20" s="292"/>
      <c r="VQJ20" s="292"/>
      <c r="VQK20" s="292"/>
      <c r="VQL20" s="292"/>
      <c r="VQM20" s="292"/>
      <c r="VQN20" s="292"/>
      <c r="VQO20" s="292"/>
      <c r="VQP20" s="292"/>
      <c r="VQQ20" s="292"/>
      <c r="VQR20" s="292"/>
      <c r="VQS20" s="292"/>
      <c r="VQT20" s="292"/>
      <c r="VQU20" s="292"/>
      <c r="VQV20" s="292"/>
      <c r="VQW20" s="292"/>
      <c r="VQX20" s="292"/>
      <c r="VQY20" s="292"/>
      <c r="VQZ20" s="292"/>
      <c r="VRA20" s="292"/>
      <c r="VRB20" s="292"/>
      <c r="VRC20" s="292"/>
      <c r="VRD20" s="292"/>
      <c r="VRE20" s="292"/>
      <c r="VRF20" s="292"/>
      <c r="VRG20" s="292"/>
      <c r="VRH20" s="292"/>
      <c r="VRI20" s="292"/>
      <c r="VRJ20" s="292"/>
      <c r="VRK20" s="292"/>
      <c r="VRL20" s="292"/>
      <c r="VRM20" s="292"/>
      <c r="VRN20" s="292"/>
      <c r="VRO20" s="292"/>
      <c r="VRP20" s="292"/>
      <c r="VRQ20" s="292"/>
      <c r="VRR20" s="292"/>
      <c r="VRS20" s="292"/>
      <c r="VRT20" s="292"/>
      <c r="VRU20" s="292"/>
      <c r="VRV20" s="292"/>
      <c r="VRW20" s="292"/>
      <c r="VRX20" s="292"/>
      <c r="VRY20" s="292"/>
      <c r="VRZ20" s="292"/>
      <c r="VSA20" s="292"/>
      <c r="VSB20" s="292"/>
      <c r="VSC20" s="292"/>
      <c r="VSD20" s="292"/>
      <c r="VSE20" s="292"/>
      <c r="VSF20" s="292"/>
      <c r="VSG20" s="292"/>
      <c r="VSH20" s="292"/>
      <c r="VSI20" s="292"/>
      <c r="VSJ20" s="292"/>
      <c r="VSK20" s="292"/>
      <c r="VSL20" s="292"/>
      <c r="VSM20" s="292"/>
      <c r="VSN20" s="292"/>
      <c r="VSO20" s="292"/>
      <c r="VSP20" s="292"/>
      <c r="VSQ20" s="292"/>
      <c r="VSR20" s="292"/>
      <c r="VSS20" s="292"/>
      <c r="VST20" s="292"/>
      <c r="VSU20" s="292"/>
      <c r="VSV20" s="292"/>
      <c r="VSW20" s="292"/>
      <c r="VSX20" s="292"/>
      <c r="VSY20" s="292"/>
      <c r="VSZ20" s="292"/>
      <c r="VTA20" s="292"/>
      <c r="VTB20" s="292"/>
      <c r="VTC20" s="292"/>
      <c r="VTD20" s="292"/>
      <c r="VTE20" s="292"/>
      <c r="VTF20" s="292"/>
      <c r="VTG20" s="292"/>
      <c r="VTH20" s="292"/>
      <c r="VTI20" s="292"/>
      <c r="VTJ20" s="292"/>
      <c r="VTK20" s="292"/>
      <c r="VTL20" s="292"/>
      <c r="VTM20" s="292"/>
      <c r="VTN20" s="292"/>
      <c r="VTO20" s="292"/>
      <c r="VTP20" s="292"/>
      <c r="VTQ20" s="292"/>
      <c r="VTR20" s="292"/>
      <c r="VTS20" s="292"/>
      <c r="VTT20" s="292"/>
      <c r="VTU20" s="292"/>
      <c r="VTV20" s="292"/>
      <c r="VTW20" s="292"/>
      <c r="VTX20" s="292"/>
      <c r="VTY20" s="292"/>
      <c r="VTZ20" s="292"/>
      <c r="VUA20" s="292"/>
      <c r="VUB20" s="292"/>
      <c r="VUC20" s="292"/>
      <c r="VUD20" s="292"/>
      <c r="VUE20" s="292"/>
      <c r="VUF20" s="292"/>
      <c r="VUG20" s="292"/>
      <c r="VUH20" s="292"/>
      <c r="VUI20" s="292"/>
      <c r="VUJ20" s="292"/>
      <c r="VUK20" s="292"/>
      <c r="VUL20" s="292"/>
      <c r="VUM20" s="292"/>
      <c r="VUN20" s="292"/>
      <c r="VUO20" s="292"/>
      <c r="VUP20" s="292"/>
      <c r="VUQ20" s="292"/>
      <c r="VUR20" s="292"/>
      <c r="VUS20" s="292"/>
      <c r="VUT20" s="292"/>
      <c r="VUU20" s="292"/>
      <c r="VUV20" s="292"/>
      <c r="VUW20" s="292"/>
      <c r="VUX20" s="292"/>
      <c r="VUY20" s="292"/>
      <c r="VUZ20" s="292"/>
      <c r="VVA20" s="292"/>
      <c r="VVB20" s="292"/>
      <c r="VVC20" s="292"/>
      <c r="VVD20" s="292"/>
      <c r="VVE20" s="292"/>
      <c r="VVF20" s="292"/>
      <c r="VVG20" s="292"/>
      <c r="VVH20" s="292"/>
      <c r="VVI20" s="292"/>
      <c r="VVJ20" s="292"/>
      <c r="VVK20" s="292"/>
      <c r="VVL20" s="292"/>
      <c r="VVM20" s="292"/>
      <c r="VVN20" s="292"/>
      <c r="VVO20" s="292"/>
      <c r="VVP20" s="292"/>
      <c r="VVQ20" s="292"/>
      <c r="VVR20" s="292"/>
      <c r="VVS20" s="292"/>
      <c r="VVT20" s="292"/>
      <c r="VVU20" s="292"/>
      <c r="VVV20" s="292"/>
      <c r="VVW20" s="292"/>
      <c r="VVX20" s="292"/>
      <c r="VVY20" s="292"/>
      <c r="VVZ20" s="292"/>
      <c r="VWA20" s="292"/>
      <c r="VWB20" s="292"/>
      <c r="VWC20" s="292"/>
      <c r="VWD20" s="292"/>
      <c r="VWE20" s="292"/>
      <c r="VWF20" s="292"/>
      <c r="VWG20" s="292"/>
      <c r="VWH20" s="292"/>
      <c r="VWI20" s="292"/>
      <c r="VWJ20" s="292"/>
      <c r="VWK20" s="292"/>
      <c r="VWL20" s="292"/>
      <c r="VWM20" s="292"/>
      <c r="VWN20" s="292"/>
      <c r="VWO20" s="292"/>
      <c r="VWP20" s="292"/>
      <c r="VWQ20" s="292"/>
      <c r="VWR20" s="292"/>
      <c r="VWS20" s="292"/>
      <c r="VWT20" s="292"/>
      <c r="VWU20" s="292"/>
      <c r="VWV20" s="292"/>
      <c r="VWW20" s="292"/>
      <c r="VWX20" s="292"/>
      <c r="VWY20" s="292"/>
      <c r="VWZ20" s="292"/>
      <c r="VXA20" s="292"/>
      <c r="VXB20" s="292"/>
      <c r="VXC20" s="292"/>
      <c r="VXD20" s="292"/>
      <c r="VXE20" s="292"/>
      <c r="VXF20" s="292"/>
      <c r="VXG20" s="292"/>
      <c r="VXH20" s="292"/>
      <c r="VXI20" s="292"/>
      <c r="VXJ20" s="292"/>
      <c r="VXK20" s="292"/>
      <c r="VXL20" s="292"/>
      <c r="VXM20" s="292"/>
      <c r="VXN20" s="292"/>
      <c r="VXO20" s="292"/>
      <c r="VXP20" s="292"/>
      <c r="VXQ20" s="292"/>
      <c r="VXR20" s="292"/>
      <c r="VXS20" s="292"/>
      <c r="VXT20" s="292"/>
      <c r="VXU20" s="292"/>
      <c r="VXV20" s="292"/>
      <c r="VXW20" s="292"/>
      <c r="VXX20" s="292"/>
      <c r="VXY20" s="292"/>
      <c r="VXZ20" s="292"/>
      <c r="VYA20" s="292"/>
      <c r="VYB20" s="292"/>
      <c r="VYC20" s="292"/>
      <c r="VYD20" s="292"/>
      <c r="VYE20" s="292"/>
      <c r="VYF20" s="292"/>
      <c r="VYG20" s="292"/>
      <c r="VYH20" s="292"/>
      <c r="VYI20" s="292"/>
      <c r="VYJ20" s="292"/>
      <c r="VYK20" s="292"/>
      <c r="VYL20" s="292"/>
      <c r="VYM20" s="292"/>
      <c r="VYN20" s="292"/>
      <c r="VYO20" s="292"/>
      <c r="VYP20" s="292"/>
      <c r="VYQ20" s="292"/>
      <c r="VYR20" s="292"/>
      <c r="VYS20" s="292"/>
      <c r="VYT20" s="292"/>
      <c r="VYU20" s="292"/>
      <c r="VYV20" s="292"/>
      <c r="VYW20" s="292"/>
      <c r="VYX20" s="292"/>
      <c r="VYY20" s="292"/>
      <c r="VYZ20" s="292"/>
      <c r="VZA20" s="292"/>
      <c r="VZB20" s="292"/>
      <c r="VZC20" s="292"/>
      <c r="VZD20" s="292"/>
      <c r="VZE20" s="292"/>
      <c r="VZF20" s="292"/>
      <c r="VZG20" s="292"/>
      <c r="VZH20" s="292"/>
      <c r="VZI20" s="292"/>
      <c r="VZJ20" s="292"/>
      <c r="VZK20" s="292"/>
      <c r="VZL20" s="292"/>
      <c r="VZM20" s="292"/>
      <c r="VZN20" s="292"/>
      <c r="VZO20" s="292"/>
      <c r="VZP20" s="292"/>
      <c r="VZQ20" s="292"/>
      <c r="VZR20" s="292"/>
      <c r="VZS20" s="292"/>
      <c r="VZT20" s="292"/>
      <c r="VZU20" s="292"/>
      <c r="VZV20" s="292"/>
      <c r="VZW20" s="292"/>
      <c r="VZX20" s="292"/>
      <c r="VZY20" s="292"/>
      <c r="VZZ20" s="292"/>
      <c r="WAA20" s="292"/>
      <c r="WAB20" s="292"/>
      <c r="WAC20" s="292"/>
      <c r="WAD20" s="292"/>
      <c r="WAE20" s="292"/>
      <c r="WAF20" s="292"/>
      <c r="WAG20" s="292"/>
      <c r="WAH20" s="292"/>
      <c r="WAI20" s="292"/>
      <c r="WAJ20" s="292"/>
      <c r="WAK20" s="292"/>
      <c r="WAL20" s="292"/>
      <c r="WAM20" s="292"/>
      <c r="WAN20" s="292"/>
      <c r="WAO20" s="292"/>
      <c r="WAP20" s="292"/>
      <c r="WAQ20" s="292"/>
      <c r="WAR20" s="292"/>
      <c r="WAS20" s="292"/>
      <c r="WAT20" s="292"/>
      <c r="WAU20" s="292"/>
      <c r="WAV20" s="292"/>
      <c r="WAW20" s="292"/>
      <c r="WAX20" s="292"/>
      <c r="WAY20" s="292"/>
      <c r="WAZ20" s="292"/>
      <c r="WBA20" s="292"/>
      <c r="WBB20" s="292"/>
      <c r="WBC20" s="292"/>
      <c r="WBD20" s="292"/>
      <c r="WBE20" s="292"/>
      <c r="WBF20" s="292"/>
      <c r="WBG20" s="292"/>
      <c r="WBH20" s="292"/>
      <c r="WBI20" s="292"/>
      <c r="WBJ20" s="292"/>
      <c r="WBK20" s="292"/>
      <c r="WBL20" s="292"/>
      <c r="WBM20" s="292"/>
      <c r="WBN20" s="292"/>
      <c r="WBO20" s="292"/>
      <c r="WBP20" s="292"/>
      <c r="WBQ20" s="292"/>
      <c r="WBR20" s="292"/>
      <c r="WBS20" s="292"/>
      <c r="WBT20" s="292"/>
      <c r="WBU20" s="292"/>
      <c r="WBV20" s="292"/>
      <c r="WBW20" s="292"/>
      <c r="WBX20" s="292"/>
      <c r="WBY20" s="292"/>
      <c r="WBZ20" s="292"/>
      <c r="WCA20" s="292"/>
      <c r="WCB20" s="292"/>
      <c r="WCC20" s="292"/>
      <c r="WCD20" s="292"/>
      <c r="WCE20" s="292"/>
      <c r="WCF20" s="292"/>
      <c r="WCG20" s="292"/>
      <c r="WCH20" s="292"/>
      <c r="WCI20" s="292"/>
      <c r="WCJ20" s="292"/>
      <c r="WCK20" s="292"/>
      <c r="WCL20" s="292"/>
      <c r="WCM20" s="292"/>
      <c r="WCN20" s="292"/>
      <c r="WCO20" s="292"/>
      <c r="WCP20" s="292"/>
      <c r="WCQ20" s="292"/>
      <c r="WCR20" s="292"/>
      <c r="WCS20" s="292"/>
      <c r="WCT20" s="292"/>
      <c r="WCU20" s="292"/>
      <c r="WCV20" s="292"/>
      <c r="WCW20" s="292"/>
      <c r="WCX20" s="292"/>
      <c r="WCY20" s="292"/>
      <c r="WCZ20" s="292"/>
      <c r="WDA20" s="292"/>
      <c r="WDB20" s="292"/>
      <c r="WDC20" s="292"/>
      <c r="WDD20" s="292"/>
      <c r="WDE20" s="292"/>
      <c r="WDF20" s="292"/>
      <c r="WDG20" s="292"/>
      <c r="WDH20" s="292"/>
      <c r="WDI20" s="292"/>
      <c r="WDJ20" s="292"/>
      <c r="WDK20" s="292"/>
      <c r="WDL20" s="292"/>
      <c r="WDM20" s="292"/>
      <c r="WDN20" s="292"/>
      <c r="WDO20" s="292"/>
      <c r="WDP20" s="292"/>
      <c r="WDQ20" s="292"/>
      <c r="WDR20" s="292"/>
      <c r="WDS20" s="292"/>
      <c r="WDT20" s="292"/>
      <c r="WDU20" s="292"/>
      <c r="WDV20" s="292"/>
      <c r="WDW20" s="292"/>
      <c r="WDX20" s="292"/>
      <c r="WDY20" s="292"/>
      <c r="WDZ20" s="292"/>
      <c r="WEA20" s="292"/>
      <c r="WEB20" s="292"/>
      <c r="WEC20" s="292"/>
      <c r="WED20" s="292"/>
      <c r="WEE20" s="292"/>
      <c r="WEF20" s="292"/>
      <c r="WEG20" s="292"/>
      <c r="WEH20" s="292"/>
      <c r="WEI20" s="292"/>
      <c r="WEJ20" s="292"/>
      <c r="WEK20" s="292"/>
      <c r="WEL20" s="292"/>
      <c r="WEM20" s="292"/>
      <c r="WEN20" s="292"/>
      <c r="WEO20" s="292"/>
      <c r="WEP20" s="292"/>
      <c r="WEQ20" s="292"/>
      <c r="WER20" s="292"/>
      <c r="WES20" s="292"/>
      <c r="WET20" s="292"/>
      <c r="WEU20" s="292"/>
      <c r="WEV20" s="292"/>
      <c r="WEW20" s="292"/>
      <c r="WEX20" s="292"/>
      <c r="WEY20" s="292"/>
      <c r="WEZ20" s="292"/>
      <c r="WFA20" s="292"/>
      <c r="WFB20" s="292"/>
      <c r="WFC20" s="292"/>
      <c r="WFD20" s="292"/>
      <c r="WFE20" s="292"/>
      <c r="WFF20" s="292"/>
      <c r="WFG20" s="292"/>
      <c r="WFH20" s="292"/>
      <c r="WFI20" s="292"/>
      <c r="WFJ20" s="292"/>
      <c r="WFK20" s="292"/>
      <c r="WFL20" s="292"/>
      <c r="WFM20" s="292"/>
      <c r="WFN20" s="292"/>
      <c r="WFO20" s="292"/>
      <c r="WFP20" s="292"/>
      <c r="WFQ20" s="292"/>
      <c r="WFR20" s="292"/>
      <c r="WFS20" s="292"/>
      <c r="WFT20" s="292"/>
      <c r="WFU20" s="292"/>
      <c r="WFV20" s="292"/>
      <c r="WFW20" s="292"/>
      <c r="WFX20" s="292"/>
      <c r="WFY20" s="292"/>
      <c r="WFZ20" s="292"/>
      <c r="WGA20" s="292"/>
      <c r="WGB20" s="292"/>
      <c r="WGC20" s="292"/>
      <c r="WGD20" s="292"/>
      <c r="WGE20" s="292"/>
      <c r="WGF20" s="292"/>
      <c r="WGG20" s="292"/>
      <c r="WGH20" s="292"/>
      <c r="WGI20" s="292"/>
      <c r="WGJ20" s="292"/>
      <c r="WGK20" s="292"/>
      <c r="WGL20" s="292"/>
      <c r="WGM20" s="292"/>
      <c r="WGN20" s="292"/>
      <c r="WGO20" s="292"/>
      <c r="WGP20" s="292"/>
      <c r="WGQ20" s="292"/>
      <c r="WGR20" s="292"/>
      <c r="WGS20" s="292"/>
      <c r="WGT20" s="292"/>
      <c r="WGU20" s="292"/>
      <c r="WGV20" s="292"/>
      <c r="WGW20" s="292"/>
      <c r="WGX20" s="292"/>
      <c r="WGY20" s="292"/>
      <c r="WGZ20" s="292"/>
      <c r="WHA20" s="292"/>
      <c r="WHB20" s="292"/>
      <c r="WHC20" s="292"/>
      <c r="WHD20" s="292"/>
      <c r="WHE20" s="292"/>
      <c r="WHF20" s="292"/>
      <c r="WHG20" s="292"/>
      <c r="WHH20" s="292"/>
      <c r="WHI20" s="292"/>
      <c r="WHJ20" s="292"/>
      <c r="WHK20" s="292"/>
      <c r="WHL20" s="292"/>
      <c r="WHM20" s="292"/>
      <c r="WHN20" s="292"/>
      <c r="WHO20" s="292"/>
      <c r="WHP20" s="292"/>
      <c r="WHQ20" s="292"/>
      <c r="WHR20" s="292"/>
      <c r="WHS20" s="292"/>
      <c r="WHT20" s="292"/>
      <c r="WHU20" s="292"/>
      <c r="WHV20" s="292"/>
      <c r="WHW20" s="292"/>
      <c r="WHX20" s="292"/>
      <c r="WHY20" s="292"/>
      <c r="WHZ20" s="292"/>
      <c r="WIA20" s="292"/>
      <c r="WIB20" s="292"/>
      <c r="WIC20" s="292"/>
      <c r="WID20" s="292"/>
      <c r="WIE20" s="292"/>
      <c r="WIF20" s="292"/>
      <c r="WIG20" s="292"/>
      <c r="WIH20" s="292"/>
      <c r="WII20" s="292"/>
      <c r="WIJ20" s="292"/>
      <c r="WIK20" s="292"/>
      <c r="WIL20" s="292"/>
      <c r="WIM20" s="292"/>
      <c r="WIN20" s="292"/>
      <c r="WIO20" s="292"/>
      <c r="WIP20" s="292"/>
      <c r="WIQ20" s="292"/>
      <c r="WIR20" s="292"/>
      <c r="WIS20" s="292"/>
      <c r="WIT20" s="292"/>
      <c r="WIU20" s="292"/>
      <c r="WIV20" s="292"/>
      <c r="WIW20" s="292"/>
      <c r="WIX20" s="292"/>
      <c r="WIY20" s="292"/>
      <c r="WIZ20" s="292"/>
      <c r="WJA20" s="292"/>
      <c r="WJB20" s="292"/>
      <c r="WJC20" s="292"/>
      <c r="WJD20" s="292"/>
      <c r="WJE20" s="292"/>
      <c r="WJF20" s="292"/>
      <c r="WJG20" s="292"/>
      <c r="WJH20" s="292"/>
      <c r="WJI20" s="292"/>
      <c r="WJJ20" s="292"/>
      <c r="WJK20" s="292"/>
      <c r="WJL20" s="292"/>
      <c r="WJM20" s="292"/>
      <c r="WJN20" s="292"/>
      <c r="WJO20" s="292"/>
      <c r="WJP20" s="292"/>
      <c r="WJQ20" s="292"/>
      <c r="WJR20" s="292"/>
      <c r="WJS20" s="292"/>
      <c r="WJT20" s="292"/>
      <c r="WJU20" s="292"/>
      <c r="WJV20" s="292"/>
      <c r="WJW20" s="292"/>
      <c r="WJX20" s="292"/>
      <c r="WJY20" s="292"/>
      <c r="WJZ20" s="292"/>
      <c r="WKA20" s="292"/>
      <c r="WKB20" s="292"/>
      <c r="WKC20" s="292"/>
      <c r="WKD20" s="292"/>
      <c r="WKE20" s="292"/>
      <c r="WKF20" s="292"/>
      <c r="WKG20" s="292"/>
      <c r="WKH20" s="292"/>
      <c r="WKI20" s="292"/>
      <c r="WKJ20" s="292"/>
      <c r="WKK20" s="292"/>
      <c r="WKL20" s="292"/>
      <c r="WKM20" s="292"/>
      <c r="WKN20" s="292"/>
      <c r="WKO20" s="292"/>
      <c r="WKP20" s="292"/>
      <c r="WKQ20" s="292"/>
      <c r="WKR20" s="292"/>
      <c r="WKS20" s="292"/>
      <c r="WKT20" s="292"/>
      <c r="WKU20" s="292"/>
      <c r="WKV20" s="292"/>
      <c r="WKW20" s="292"/>
      <c r="WKX20" s="292"/>
      <c r="WKY20" s="292"/>
      <c r="WKZ20" s="292"/>
      <c r="WLA20" s="292"/>
      <c r="WLB20" s="292"/>
      <c r="WLC20" s="292"/>
      <c r="WLD20" s="292"/>
      <c r="WLE20" s="292"/>
      <c r="WLF20" s="292"/>
      <c r="WLG20" s="292"/>
      <c r="WLH20" s="292"/>
      <c r="WLI20" s="292"/>
      <c r="WLJ20" s="292"/>
      <c r="WLK20" s="292"/>
      <c r="WLL20" s="292"/>
      <c r="WLM20" s="292"/>
      <c r="WLN20" s="292"/>
      <c r="WLO20" s="292"/>
      <c r="WLP20" s="292"/>
      <c r="WLQ20" s="292"/>
      <c r="WLR20" s="292"/>
      <c r="WLS20" s="292"/>
      <c r="WLT20" s="292"/>
      <c r="WLU20" s="292"/>
      <c r="WLV20" s="292"/>
      <c r="WLW20" s="292"/>
      <c r="WLX20" s="292"/>
      <c r="WLY20" s="292"/>
      <c r="WLZ20" s="292"/>
      <c r="WMA20" s="292"/>
      <c r="WMB20" s="292"/>
      <c r="WMC20" s="292"/>
      <c r="WMD20" s="292"/>
      <c r="WME20" s="292"/>
      <c r="WMF20" s="292"/>
      <c r="WMG20" s="292"/>
      <c r="WMH20" s="292"/>
      <c r="WMI20" s="292"/>
      <c r="WMJ20" s="292"/>
      <c r="WMK20" s="292"/>
      <c r="WML20" s="292"/>
      <c r="WMM20" s="292"/>
      <c r="WMN20" s="292"/>
      <c r="WMO20" s="292"/>
      <c r="WMP20" s="292"/>
      <c r="WMQ20" s="292"/>
      <c r="WMR20" s="292"/>
      <c r="WMS20" s="292"/>
      <c r="WMT20" s="292"/>
      <c r="WMU20" s="292"/>
      <c r="WMV20" s="292"/>
      <c r="WMW20" s="292"/>
      <c r="WMX20" s="292"/>
      <c r="WMY20" s="292"/>
      <c r="WMZ20" s="292"/>
      <c r="WNA20" s="292"/>
      <c r="WNB20" s="292"/>
      <c r="WNC20" s="292"/>
      <c r="WND20" s="292"/>
      <c r="WNE20" s="292"/>
      <c r="WNF20" s="292"/>
      <c r="WNG20" s="292"/>
      <c r="WNH20" s="292"/>
      <c r="WNI20" s="292"/>
      <c r="WNJ20" s="292"/>
      <c r="WNK20" s="292"/>
      <c r="WNL20" s="292"/>
      <c r="WNM20" s="292"/>
      <c r="WNN20" s="292"/>
      <c r="WNO20" s="292"/>
      <c r="WNP20" s="292"/>
      <c r="WNQ20" s="292"/>
      <c r="WNR20" s="292"/>
      <c r="WNS20" s="292"/>
      <c r="WNT20" s="292"/>
      <c r="WNU20" s="292"/>
      <c r="WNV20" s="292"/>
      <c r="WNW20" s="292"/>
      <c r="WNX20" s="292"/>
      <c r="WNY20" s="292"/>
      <c r="WNZ20" s="292"/>
      <c r="WOA20" s="292"/>
      <c r="WOB20" s="292"/>
      <c r="WOC20" s="292"/>
      <c r="WOD20" s="292"/>
      <c r="WOE20" s="292"/>
      <c r="WOF20" s="292"/>
      <c r="WOG20" s="292"/>
      <c r="WOH20" s="292"/>
      <c r="WOI20" s="292"/>
      <c r="WOJ20" s="292"/>
      <c r="WOK20" s="292"/>
      <c r="WOL20" s="292"/>
      <c r="WOM20" s="292"/>
      <c r="WON20" s="292"/>
      <c r="WOO20" s="292"/>
      <c r="WOP20" s="292"/>
      <c r="WOQ20" s="292"/>
      <c r="WOR20" s="292"/>
      <c r="WOS20" s="292"/>
      <c r="WOT20" s="292"/>
      <c r="WOU20" s="292"/>
      <c r="WOV20" s="292"/>
      <c r="WOW20" s="292"/>
      <c r="WOX20" s="292"/>
      <c r="WOY20" s="292"/>
      <c r="WOZ20" s="292"/>
      <c r="WPA20" s="292"/>
      <c r="WPB20" s="292"/>
      <c r="WPC20" s="292"/>
      <c r="WPD20" s="292"/>
      <c r="WPE20" s="292"/>
      <c r="WPF20" s="292"/>
      <c r="WPG20" s="292"/>
      <c r="WPH20" s="292"/>
      <c r="WPI20" s="292"/>
      <c r="WPJ20" s="292"/>
      <c r="WPK20" s="292"/>
      <c r="WPL20" s="292"/>
      <c r="WPM20" s="292"/>
      <c r="WPN20" s="292"/>
      <c r="WPO20" s="292"/>
      <c r="WPP20" s="292"/>
      <c r="WPQ20" s="292"/>
      <c r="WPR20" s="292"/>
      <c r="WPS20" s="292"/>
      <c r="WPT20" s="292"/>
      <c r="WPU20" s="292"/>
      <c r="WPV20" s="292"/>
      <c r="WPW20" s="292"/>
      <c r="WPX20" s="292"/>
      <c r="WPY20" s="292"/>
      <c r="WPZ20" s="292"/>
      <c r="WQA20" s="292"/>
      <c r="WQB20" s="292"/>
      <c r="WQC20" s="292"/>
      <c r="WQD20" s="292"/>
      <c r="WQE20" s="292"/>
      <c r="WQF20" s="292"/>
      <c r="WQG20" s="292"/>
      <c r="WQH20" s="292"/>
      <c r="WQI20" s="292"/>
      <c r="WQJ20" s="292"/>
      <c r="WQK20" s="292"/>
      <c r="WQL20" s="292"/>
      <c r="WQM20" s="292"/>
      <c r="WQN20" s="292"/>
      <c r="WQO20" s="292"/>
      <c r="WQP20" s="292"/>
      <c r="WQQ20" s="292"/>
      <c r="WQR20" s="292"/>
      <c r="WQS20" s="292"/>
      <c r="WQT20" s="292"/>
      <c r="WQU20" s="292"/>
      <c r="WQV20" s="292"/>
      <c r="WQW20" s="292"/>
      <c r="WQX20" s="292"/>
      <c r="WQY20" s="292"/>
      <c r="WQZ20" s="292"/>
      <c r="WRA20" s="292"/>
      <c r="WRB20" s="292"/>
      <c r="WRC20" s="292"/>
      <c r="WRD20" s="292"/>
      <c r="WRE20" s="292"/>
      <c r="WRF20" s="292"/>
      <c r="WRG20" s="292"/>
      <c r="WRH20" s="292"/>
      <c r="WRI20" s="292"/>
      <c r="WRJ20" s="292"/>
      <c r="WRK20" s="292"/>
      <c r="WRL20" s="292"/>
      <c r="WRM20" s="292"/>
      <c r="WRN20" s="292"/>
      <c r="WRO20" s="292"/>
      <c r="WRP20" s="292"/>
      <c r="WRQ20" s="292"/>
      <c r="WRR20" s="292"/>
      <c r="WRS20" s="292"/>
      <c r="WRT20" s="292"/>
      <c r="WRU20" s="292"/>
      <c r="WRV20" s="292"/>
      <c r="WRW20" s="292"/>
      <c r="WRX20" s="292"/>
      <c r="WRY20" s="292"/>
      <c r="WRZ20" s="292"/>
      <c r="WSA20" s="292"/>
      <c r="WSB20" s="292"/>
      <c r="WSC20" s="292"/>
      <c r="WSD20" s="292"/>
      <c r="WSE20" s="292"/>
      <c r="WSF20" s="292"/>
      <c r="WSG20" s="292"/>
      <c r="WSH20" s="292"/>
      <c r="WSI20" s="292"/>
      <c r="WSJ20" s="292"/>
      <c r="WSK20" s="292"/>
      <c r="WSL20" s="292"/>
      <c r="WSM20" s="292"/>
      <c r="WSN20" s="292"/>
      <c r="WSO20" s="292"/>
      <c r="WSP20" s="292"/>
      <c r="WSQ20" s="292"/>
      <c r="WSR20" s="292"/>
      <c r="WSS20" s="292"/>
      <c r="WST20" s="292"/>
      <c r="WSU20" s="292"/>
      <c r="WSV20" s="292"/>
      <c r="WSW20" s="292"/>
      <c r="WSX20" s="292"/>
      <c r="WSY20" s="292"/>
      <c r="WSZ20" s="292"/>
      <c r="WTA20" s="292"/>
      <c r="WTB20" s="292"/>
      <c r="WTC20" s="292"/>
      <c r="WTD20" s="292"/>
      <c r="WTE20" s="292"/>
      <c r="WTF20" s="292"/>
      <c r="WTG20" s="292"/>
      <c r="WTH20" s="292"/>
      <c r="WTI20" s="292"/>
      <c r="WTJ20" s="292"/>
      <c r="WTK20" s="292"/>
      <c r="WTL20" s="292"/>
      <c r="WTM20" s="292"/>
      <c r="WTN20" s="292"/>
      <c r="WTO20" s="292"/>
      <c r="WTP20" s="292"/>
      <c r="WTQ20" s="292"/>
      <c r="WTR20" s="292"/>
      <c r="WTS20" s="292"/>
      <c r="WTT20" s="292"/>
      <c r="WTU20" s="292"/>
      <c r="WTV20" s="292"/>
      <c r="WTW20" s="292"/>
      <c r="WTX20" s="292"/>
      <c r="WTY20" s="292"/>
      <c r="WTZ20" s="292"/>
      <c r="WUA20" s="292"/>
      <c r="WUB20" s="292"/>
      <c r="WUC20" s="292"/>
      <c r="WUD20" s="292"/>
      <c r="WUE20" s="292"/>
      <c r="WUF20" s="292"/>
      <c r="WUG20" s="292"/>
      <c r="WUH20" s="292"/>
      <c r="WUI20" s="292"/>
      <c r="WUJ20" s="292"/>
      <c r="WUK20" s="292"/>
      <c r="WUL20" s="292"/>
      <c r="WUM20" s="292"/>
      <c r="WUN20" s="292"/>
      <c r="WUO20" s="292"/>
      <c r="WUP20" s="292"/>
      <c r="WUQ20" s="292"/>
      <c r="WUR20" s="292"/>
      <c r="WUS20" s="292"/>
      <c r="WUT20" s="292"/>
      <c r="WUU20" s="292"/>
      <c r="WUV20" s="292"/>
      <c r="WUW20" s="292"/>
      <c r="WUX20" s="292"/>
      <c r="WUY20" s="292"/>
      <c r="WUZ20" s="292"/>
      <c r="WVA20" s="292"/>
      <c r="WVB20" s="292"/>
      <c r="WVC20" s="292"/>
      <c r="WVD20" s="292"/>
      <c r="WVE20" s="292"/>
      <c r="WVF20" s="292"/>
      <c r="WVG20" s="292"/>
      <c r="WVH20" s="292"/>
      <c r="WVI20" s="292"/>
      <c r="WVJ20" s="292"/>
      <c r="WVK20" s="292"/>
      <c r="WVL20" s="292"/>
      <c r="WVM20" s="292"/>
      <c r="WVN20" s="292"/>
      <c r="WVO20" s="292"/>
      <c r="WVP20" s="292"/>
      <c r="WVQ20" s="292"/>
      <c r="WVR20" s="292"/>
      <c r="WVS20" s="292"/>
      <c r="WVT20" s="292"/>
      <c r="WVU20" s="292"/>
      <c r="WVV20" s="292"/>
      <c r="WVW20" s="292"/>
      <c r="WVX20" s="292"/>
      <c r="WVY20" s="292"/>
      <c r="WVZ20" s="292"/>
      <c r="WWA20" s="292"/>
      <c r="WWB20" s="292"/>
      <c r="WWC20" s="292"/>
      <c r="WWD20" s="292"/>
      <c r="WWE20" s="292"/>
      <c r="WWF20" s="292"/>
      <c r="WWG20" s="292"/>
      <c r="WWH20" s="292"/>
      <c r="WWI20" s="292"/>
      <c r="WWJ20" s="292"/>
      <c r="WWK20" s="292"/>
      <c r="WWL20" s="292"/>
      <c r="WWM20" s="292"/>
      <c r="WWN20" s="292"/>
      <c r="WWO20" s="292"/>
      <c r="WWP20" s="292"/>
      <c r="WWQ20" s="292"/>
      <c r="WWR20" s="292"/>
      <c r="WWS20" s="292"/>
      <c r="WWT20" s="292"/>
      <c r="WWU20" s="292"/>
      <c r="WWV20" s="292"/>
      <c r="WWW20" s="292"/>
      <c r="WWX20" s="292"/>
      <c r="WWY20" s="292"/>
      <c r="WWZ20" s="292"/>
      <c r="WXA20" s="292"/>
      <c r="WXB20" s="292"/>
      <c r="WXC20" s="292"/>
      <c r="WXD20" s="292"/>
      <c r="WXE20" s="292"/>
      <c r="WXF20" s="292"/>
      <c r="WXG20" s="292"/>
      <c r="WXH20" s="292"/>
      <c r="WXI20" s="292"/>
      <c r="WXJ20" s="292"/>
      <c r="WXK20" s="292"/>
      <c r="WXL20" s="292"/>
      <c r="WXM20" s="292"/>
      <c r="WXN20" s="292"/>
      <c r="WXO20" s="292"/>
      <c r="WXP20" s="292"/>
      <c r="WXQ20" s="292"/>
      <c r="WXR20" s="292"/>
      <c r="WXS20" s="292"/>
      <c r="WXT20" s="292"/>
      <c r="WXU20" s="292"/>
      <c r="WXV20" s="292"/>
      <c r="WXW20" s="292"/>
      <c r="WXX20" s="292"/>
      <c r="WXY20" s="292"/>
      <c r="WXZ20" s="292"/>
      <c r="WYA20" s="292"/>
      <c r="WYB20" s="292"/>
      <c r="WYC20" s="292"/>
      <c r="WYD20" s="292"/>
      <c r="WYE20" s="292"/>
      <c r="WYF20" s="292"/>
      <c r="WYG20" s="292"/>
      <c r="WYH20" s="292"/>
      <c r="WYI20" s="292"/>
      <c r="WYJ20" s="292"/>
      <c r="WYK20" s="292"/>
      <c r="WYL20" s="292"/>
      <c r="WYM20" s="292"/>
      <c r="WYN20" s="292"/>
      <c r="WYO20" s="292"/>
      <c r="WYP20" s="292"/>
      <c r="WYQ20" s="292"/>
      <c r="WYR20" s="292"/>
      <c r="WYS20" s="292"/>
      <c r="WYT20" s="292"/>
      <c r="WYU20" s="292"/>
      <c r="WYV20" s="292"/>
      <c r="WYW20" s="292"/>
      <c r="WYX20" s="292"/>
      <c r="WYY20" s="292"/>
      <c r="WYZ20" s="292"/>
      <c r="WZA20" s="292"/>
      <c r="WZB20" s="292"/>
      <c r="WZC20" s="292"/>
      <c r="WZD20" s="292"/>
      <c r="WZE20" s="292"/>
      <c r="WZF20" s="292"/>
      <c r="WZG20" s="292"/>
      <c r="WZH20" s="292"/>
      <c r="WZI20" s="292"/>
      <c r="WZJ20" s="292"/>
      <c r="WZK20" s="292"/>
      <c r="WZL20" s="292"/>
      <c r="WZM20" s="292"/>
      <c r="WZN20" s="292"/>
      <c r="WZO20" s="292"/>
      <c r="WZP20" s="292"/>
      <c r="WZQ20" s="292"/>
      <c r="WZR20" s="292"/>
      <c r="WZS20" s="292"/>
      <c r="WZT20" s="292"/>
      <c r="WZU20" s="292"/>
      <c r="WZV20" s="292"/>
      <c r="WZW20" s="292"/>
      <c r="WZX20" s="292"/>
      <c r="WZY20" s="292"/>
      <c r="WZZ20" s="292"/>
      <c r="XAA20" s="292"/>
      <c r="XAB20" s="292"/>
      <c r="XAC20" s="292"/>
      <c r="XAD20" s="292"/>
      <c r="XAE20" s="292"/>
      <c r="XAF20" s="292"/>
      <c r="XAG20" s="292"/>
      <c r="XAH20" s="292"/>
      <c r="XAI20" s="292"/>
      <c r="XAJ20" s="292"/>
      <c r="XAK20" s="292"/>
      <c r="XAL20" s="292"/>
      <c r="XAM20" s="292"/>
      <c r="XAN20" s="292"/>
      <c r="XAO20" s="292"/>
      <c r="XAP20" s="292"/>
      <c r="XAQ20" s="292"/>
      <c r="XAR20" s="292"/>
      <c r="XAS20" s="292"/>
      <c r="XAT20" s="292"/>
      <c r="XAU20" s="292"/>
      <c r="XAV20" s="292"/>
      <c r="XAW20" s="292"/>
      <c r="XAX20" s="292"/>
      <c r="XAY20" s="292"/>
      <c r="XAZ20" s="292"/>
      <c r="XBA20" s="292"/>
      <c r="XBB20" s="292"/>
      <c r="XBC20" s="292"/>
      <c r="XBD20" s="292"/>
      <c r="XBE20" s="292"/>
      <c r="XBF20" s="292"/>
      <c r="XBG20" s="292"/>
      <c r="XBH20" s="292"/>
      <c r="XBI20" s="292"/>
      <c r="XBJ20" s="292"/>
      <c r="XBK20" s="292"/>
      <c r="XBL20" s="292"/>
      <c r="XBM20" s="292"/>
      <c r="XBN20" s="292"/>
      <c r="XBO20" s="292"/>
      <c r="XBP20" s="292"/>
      <c r="XBQ20" s="292"/>
      <c r="XBR20" s="292"/>
      <c r="XBS20" s="292"/>
      <c r="XBT20" s="292"/>
      <c r="XBU20" s="292"/>
      <c r="XBV20" s="292"/>
      <c r="XBW20" s="292"/>
      <c r="XBX20" s="292"/>
      <c r="XBY20" s="292"/>
      <c r="XBZ20" s="292"/>
      <c r="XCA20" s="292"/>
      <c r="XCB20" s="292"/>
      <c r="XCC20" s="292"/>
      <c r="XCD20" s="292"/>
      <c r="XCE20" s="292"/>
      <c r="XCF20" s="292"/>
      <c r="XCG20" s="292"/>
      <c r="XCH20" s="292"/>
      <c r="XCI20" s="292"/>
      <c r="XCJ20" s="292"/>
      <c r="XCK20" s="292"/>
      <c r="XCL20" s="292"/>
      <c r="XCM20" s="292"/>
      <c r="XCN20" s="292"/>
      <c r="XCO20" s="292"/>
      <c r="XCP20" s="292"/>
      <c r="XCQ20" s="292"/>
      <c r="XCR20" s="292"/>
      <c r="XCS20" s="292"/>
      <c r="XCT20" s="292"/>
      <c r="XCU20" s="292"/>
      <c r="XCV20" s="292"/>
      <c r="XCW20" s="292"/>
      <c r="XCX20" s="292"/>
      <c r="XCY20" s="292"/>
      <c r="XCZ20" s="292"/>
      <c r="XDA20" s="292"/>
      <c r="XDB20" s="292"/>
      <c r="XDC20" s="292"/>
      <c r="XDD20" s="292"/>
      <c r="XDE20" s="292"/>
      <c r="XDF20" s="292"/>
      <c r="XDG20" s="292"/>
      <c r="XDH20" s="292"/>
      <c r="XDI20" s="292"/>
      <c r="XDJ20" s="292"/>
      <c r="XDK20" s="292"/>
      <c r="XDL20" s="292"/>
      <c r="XDM20" s="292"/>
      <c r="XDN20" s="292"/>
      <c r="XDO20" s="292"/>
      <c r="XDP20" s="292"/>
      <c r="XDQ20" s="292"/>
      <c r="XDR20" s="292"/>
      <c r="XDS20" s="292"/>
      <c r="XDT20" s="292"/>
      <c r="XDU20" s="292"/>
      <c r="XDV20" s="292"/>
      <c r="XDW20" s="292"/>
      <c r="XDX20" s="292"/>
      <c r="XDY20" s="292"/>
      <c r="XDZ20" s="292"/>
      <c r="XEA20" s="292"/>
      <c r="XEB20" s="292"/>
      <c r="XEC20" s="292"/>
      <c r="XED20" s="292"/>
      <c r="XEE20" s="292"/>
      <c r="XEF20" s="292"/>
      <c r="XEG20" s="292"/>
      <c r="XEH20" s="292"/>
      <c r="XEI20" s="292"/>
      <c r="XEJ20" s="292"/>
      <c r="XEK20" s="292"/>
      <c r="XEL20" s="292"/>
      <c r="XEM20" s="292"/>
      <c r="XEN20" s="292"/>
      <c r="XEO20" s="292"/>
      <c r="XEP20" s="292"/>
      <c r="XEQ20" s="292"/>
      <c r="XER20" s="292"/>
      <c r="XES20" s="292"/>
      <c r="XET20" s="292"/>
      <c r="XEU20" s="292"/>
      <c r="XEV20" s="292"/>
      <c r="XEW20" s="292"/>
      <c r="XEX20" s="292"/>
      <c r="XEY20" s="292"/>
      <c r="XEZ20" s="292"/>
      <c r="XFA20" s="292"/>
      <c r="XFB20" s="292"/>
      <c r="XFC20" s="292"/>
      <c r="XFD20" s="292"/>
    </row>
    <row r="21" ht="15.75" customHeight="1">
      <c r="A21" s="292"/>
      <c r="B21" s="292"/>
      <c r="C21" s="292"/>
      <c r="D21" s="934" t="s">
        <v>253</v>
      </c>
      <c r="E21" s="938">
        <v>707.0</v>
      </c>
      <c r="F21" s="292" t="s">
        <v>671</v>
      </c>
      <c r="G21" s="292"/>
      <c r="H21" s="915"/>
      <c r="I21" s="292"/>
      <c r="J21" s="292"/>
      <c r="K21" s="292"/>
      <c r="L21" s="292"/>
      <c r="M21" s="292"/>
      <c r="N21" s="292"/>
      <c r="O21" s="292"/>
      <c r="P21" s="913" t="s">
        <v>645</v>
      </c>
      <c r="Q21" s="914">
        <f t="shared" ref="Q21:U21" si="14">IF(Q19&lt;0,1,IF(P19&lt;0,1-(-Q19/(P19-Q19)),0))</f>
        <v>1</v>
      </c>
      <c r="R21" s="914">
        <f t="shared" si="14"/>
        <v>1</v>
      </c>
      <c r="S21" s="914">
        <f t="shared" si="14"/>
        <v>0.6005913101</v>
      </c>
      <c r="T21" s="914">
        <f t="shared" si="14"/>
        <v>0</v>
      </c>
      <c r="U21" s="914">
        <f t="shared" si="14"/>
        <v>0</v>
      </c>
      <c r="V21" s="292"/>
      <c r="W21" s="292"/>
      <c r="X21" s="292"/>
      <c r="Y21" s="292"/>
      <c r="Z21" s="292"/>
      <c r="AA21" s="292"/>
      <c r="AB21" s="292"/>
      <c r="AC21" s="292"/>
      <c r="AD21" s="292"/>
      <c r="AE21" s="292"/>
      <c r="AF21" s="292"/>
      <c r="AG21" s="292"/>
      <c r="AH21" s="292"/>
      <c r="AI21" s="292"/>
      <c r="AJ21" s="292"/>
      <c r="AK21" s="292"/>
      <c r="AL21" s="292"/>
      <c r="AM21" s="292"/>
      <c r="AN21" s="292"/>
      <c r="AO21" s="292"/>
      <c r="AP21" s="292"/>
      <c r="AQ21" s="292"/>
      <c r="AR21" s="292"/>
      <c r="AS21" s="292"/>
      <c r="AT21" s="292"/>
      <c r="AU21" s="292"/>
      <c r="AV21" s="292"/>
      <c r="AW21" s="292"/>
      <c r="AX21" s="292"/>
      <c r="AY21" s="292"/>
      <c r="AZ21" s="292"/>
      <c r="BA21" s="292"/>
      <c r="BB21" s="292"/>
      <c r="BC21" s="292"/>
      <c r="BD21" s="292"/>
      <c r="BE21" s="292"/>
      <c r="BF21" s="292"/>
      <c r="BG21" s="292"/>
      <c r="BH21" s="292"/>
      <c r="BI21" s="292"/>
      <c r="BJ21" s="292"/>
      <c r="BK21" s="292"/>
      <c r="BL21" s="292"/>
      <c r="BM21" s="292"/>
      <c r="BN21" s="292"/>
      <c r="BO21" s="292"/>
      <c r="BP21" s="292"/>
      <c r="BQ21" s="292"/>
      <c r="BR21" s="292"/>
      <c r="BS21" s="292"/>
      <c r="BT21" s="292"/>
      <c r="BU21" s="292"/>
      <c r="BV21" s="292"/>
      <c r="BW21" s="292"/>
      <c r="BX21" s="292"/>
      <c r="BY21" s="292"/>
      <c r="BZ21" s="292"/>
      <c r="CA21" s="292"/>
      <c r="CB21" s="292"/>
      <c r="CC21" s="292"/>
      <c r="CD21" s="292"/>
      <c r="CE21" s="292"/>
      <c r="CF21" s="292"/>
      <c r="CG21" s="292"/>
      <c r="CH21" s="292"/>
      <c r="CI21" s="292"/>
      <c r="CJ21" s="292"/>
      <c r="CK21" s="292"/>
      <c r="CL21" s="292"/>
      <c r="CM21" s="292"/>
      <c r="CN21" s="292"/>
      <c r="CO21" s="292"/>
      <c r="CP21" s="292"/>
      <c r="CQ21" s="292"/>
      <c r="CR21" s="292"/>
      <c r="CS21" s="292"/>
      <c r="CT21" s="292"/>
      <c r="CU21" s="292"/>
      <c r="CV21" s="292"/>
      <c r="CW21" s="292"/>
      <c r="CX21" s="292"/>
      <c r="CY21" s="292"/>
      <c r="CZ21" s="292"/>
      <c r="DA21" s="292"/>
      <c r="DB21" s="292"/>
      <c r="DC21" s="292"/>
      <c r="DD21" s="292"/>
      <c r="DE21" s="292"/>
      <c r="DF21" s="292"/>
      <c r="DG21" s="292"/>
      <c r="DH21" s="292"/>
      <c r="DI21" s="292"/>
      <c r="DJ21" s="292"/>
      <c r="DK21" s="292"/>
      <c r="DL21" s="292"/>
      <c r="DM21" s="292"/>
      <c r="DN21" s="292"/>
      <c r="DO21" s="292"/>
      <c r="DP21" s="292"/>
      <c r="DQ21" s="292"/>
      <c r="DR21" s="292"/>
      <c r="DS21" s="292"/>
      <c r="DT21" s="292"/>
      <c r="DU21" s="292"/>
      <c r="DV21" s="292"/>
      <c r="DW21" s="292"/>
      <c r="DX21" s="292"/>
      <c r="DY21" s="292"/>
      <c r="DZ21" s="292"/>
      <c r="EA21" s="292"/>
      <c r="EB21" s="292"/>
      <c r="EC21" s="292"/>
      <c r="ED21" s="292"/>
      <c r="EE21" s="292"/>
      <c r="EF21" s="292"/>
      <c r="EG21" s="292"/>
      <c r="EH21" s="292"/>
      <c r="EI21" s="292"/>
      <c r="EJ21" s="292"/>
      <c r="EK21" s="292"/>
      <c r="EL21" s="292"/>
      <c r="EM21" s="292"/>
      <c r="EN21" s="292"/>
      <c r="EO21" s="292"/>
      <c r="EP21" s="292"/>
      <c r="EQ21" s="292"/>
      <c r="ER21" s="292"/>
      <c r="ES21" s="292"/>
      <c r="ET21" s="292"/>
      <c r="EU21" s="292"/>
      <c r="EV21" s="292"/>
      <c r="EW21" s="292"/>
      <c r="EX21" s="292"/>
      <c r="EY21" s="292"/>
      <c r="EZ21" s="292"/>
      <c r="FA21" s="292"/>
      <c r="FB21" s="292"/>
      <c r="FC21" s="292"/>
      <c r="FD21" s="292"/>
      <c r="FE21" s="292"/>
      <c r="FF21" s="292"/>
      <c r="FG21" s="292"/>
      <c r="FH21" s="292"/>
      <c r="FI21" s="292"/>
      <c r="FJ21" s="292"/>
      <c r="FK21" s="292"/>
      <c r="FL21" s="292"/>
      <c r="FM21" s="292"/>
      <c r="FN21" s="292"/>
      <c r="FO21" s="292"/>
      <c r="FP21" s="292"/>
      <c r="FQ21" s="292"/>
      <c r="FR21" s="292"/>
      <c r="FS21" s="292"/>
      <c r="FT21" s="292"/>
      <c r="FU21" s="292"/>
      <c r="FV21" s="292"/>
      <c r="FW21" s="292"/>
      <c r="FX21" s="292"/>
      <c r="FY21" s="292"/>
      <c r="FZ21" s="292"/>
      <c r="GA21" s="292"/>
      <c r="GB21" s="292"/>
      <c r="GC21" s="292"/>
      <c r="GD21" s="292"/>
      <c r="GE21" s="292"/>
      <c r="GF21" s="292"/>
      <c r="GG21" s="292"/>
      <c r="GH21" s="292"/>
      <c r="GI21" s="292"/>
      <c r="GJ21" s="292"/>
      <c r="GK21" s="292"/>
      <c r="GL21" s="292"/>
      <c r="GM21" s="292"/>
      <c r="GN21" s="292"/>
      <c r="GO21" s="292"/>
      <c r="GP21" s="292"/>
      <c r="GQ21" s="292"/>
      <c r="GR21" s="292"/>
      <c r="GS21" s="292"/>
      <c r="GT21" s="292"/>
      <c r="GU21" s="292"/>
      <c r="GV21" s="292"/>
      <c r="GW21" s="292"/>
      <c r="GX21" s="292"/>
      <c r="GY21" s="292"/>
      <c r="GZ21" s="292"/>
      <c r="HA21" s="292"/>
      <c r="HB21" s="292"/>
      <c r="HC21" s="292"/>
      <c r="HD21" s="292"/>
      <c r="HE21" s="292"/>
      <c r="HF21" s="292"/>
      <c r="HG21" s="292"/>
      <c r="HH21" s="292"/>
      <c r="HI21" s="292"/>
      <c r="HJ21" s="292"/>
      <c r="HK21" s="292"/>
      <c r="HL21" s="292"/>
      <c r="HM21" s="292"/>
      <c r="HN21" s="292"/>
      <c r="HO21" s="292"/>
      <c r="HP21" s="292"/>
      <c r="HQ21" s="292"/>
      <c r="HR21" s="292"/>
      <c r="HS21" s="292"/>
      <c r="HT21" s="292"/>
      <c r="HU21" s="292"/>
      <c r="HV21" s="292"/>
      <c r="HW21" s="292"/>
      <c r="HX21" s="292"/>
      <c r="HY21" s="292"/>
      <c r="HZ21" s="292"/>
      <c r="IA21" s="292"/>
      <c r="IB21" s="292"/>
      <c r="IC21" s="292"/>
      <c r="ID21" s="292"/>
      <c r="IE21" s="292"/>
      <c r="IF21" s="292"/>
      <c r="IG21" s="292"/>
      <c r="IH21" s="292"/>
      <c r="II21" s="292"/>
      <c r="IJ21" s="292"/>
      <c r="IK21" s="292"/>
      <c r="IL21" s="292"/>
      <c r="IM21" s="292"/>
      <c r="IN21" s="292"/>
      <c r="IO21" s="292"/>
      <c r="IP21" s="292"/>
      <c r="IQ21" s="292"/>
      <c r="IR21" s="292"/>
      <c r="IS21" s="292"/>
      <c r="IT21" s="292"/>
      <c r="IU21" s="292"/>
      <c r="IV21" s="292"/>
      <c r="IW21" s="292"/>
      <c r="IX21" s="292"/>
      <c r="IY21" s="292"/>
      <c r="IZ21" s="292"/>
      <c r="JA21" s="292"/>
      <c r="JB21" s="292"/>
      <c r="JC21" s="292"/>
      <c r="JD21" s="292"/>
      <c r="JE21" s="292"/>
      <c r="JF21" s="292"/>
      <c r="JG21" s="292"/>
      <c r="JH21" s="292"/>
      <c r="JI21" s="292"/>
      <c r="JJ21" s="292"/>
      <c r="JK21" s="292"/>
      <c r="JL21" s="292"/>
      <c r="JM21" s="292"/>
      <c r="JN21" s="292"/>
      <c r="JO21" s="292"/>
      <c r="JP21" s="292"/>
      <c r="JQ21" s="292"/>
      <c r="JR21" s="292"/>
      <c r="JS21" s="292"/>
      <c r="JT21" s="292"/>
      <c r="JU21" s="292"/>
      <c r="JV21" s="292"/>
      <c r="JW21" s="292"/>
      <c r="JX21" s="292"/>
      <c r="JY21" s="292"/>
      <c r="JZ21" s="292"/>
      <c r="KA21" s="292"/>
      <c r="KB21" s="292"/>
      <c r="KC21" s="292"/>
      <c r="KD21" s="292"/>
      <c r="KE21" s="292"/>
      <c r="KF21" s="292"/>
      <c r="KG21" s="292"/>
      <c r="KH21" s="292"/>
      <c r="KI21" s="292"/>
      <c r="KJ21" s="292"/>
      <c r="KK21" s="292"/>
      <c r="KL21" s="292"/>
      <c r="KM21" s="292"/>
      <c r="KN21" s="292"/>
      <c r="KO21" s="292"/>
      <c r="KP21" s="292"/>
      <c r="KQ21" s="292"/>
      <c r="KR21" s="292"/>
      <c r="KS21" s="292"/>
      <c r="KT21" s="292"/>
      <c r="KU21" s="292"/>
      <c r="KV21" s="292"/>
      <c r="KW21" s="292"/>
      <c r="KX21" s="292"/>
      <c r="KY21" s="292"/>
      <c r="KZ21" s="292"/>
      <c r="LA21" s="292"/>
      <c r="LB21" s="292"/>
      <c r="LC21" s="292"/>
      <c r="LD21" s="292"/>
      <c r="LE21" s="292"/>
      <c r="LF21" s="292"/>
      <c r="LG21" s="292"/>
      <c r="LH21" s="292"/>
      <c r="LI21" s="292"/>
      <c r="LJ21" s="292"/>
      <c r="LK21" s="292"/>
      <c r="LL21" s="292"/>
      <c r="LM21" s="292"/>
      <c r="LN21" s="292"/>
      <c r="LO21" s="292"/>
      <c r="LP21" s="292"/>
      <c r="LQ21" s="292"/>
      <c r="LR21" s="292"/>
      <c r="LS21" s="292"/>
      <c r="LT21" s="292"/>
      <c r="LU21" s="292"/>
      <c r="LV21" s="292"/>
      <c r="LW21" s="292"/>
      <c r="LX21" s="292"/>
      <c r="LY21" s="292"/>
      <c r="LZ21" s="292"/>
      <c r="MA21" s="292"/>
      <c r="MB21" s="292"/>
      <c r="MC21" s="292"/>
      <c r="MD21" s="292"/>
      <c r="ME21" s="292"/>
      <c r="MF21" s="292"/>
      <c r="MG21" s="292"/>
      <c r="MH21" s="292"/>
      <c r="MI21" s="292"/>
      <c r="MJ21" s="292"/>
      <c r="MK21" s="292"/>
      <c r="ML21" s="292"/>
      <c r="MM21" s="292"/>
      <c r="MN21" s="292"/>
      <c r="MO21" s="292"/>
      <c r="MP21" s="292"/>
      <c r="MQ21" s="292"/>
      <c r="MR21" s="292"/>
      <c r="MS21" s="292"/>
      <c r="MT21" s="292"/>
      <c r="MU21" s="292"/>
      <c r="MV21" s="292"/>
      <c r="MW21" s="292"/>
      <c r="MX21" s="292"/>
      <c r="MY21" s="292"/>
      <c r="MZ21" s="292"/>
      <c r="NA21" s="292"/>
      <c r="NB21" s="292"/>
      <c r="NC21" s="292"/>
      <c r="ND21" s="292"/>
      <c r="NE21" s="292"/>
      <c r="NF21" s="292"/>
      <c r="NG21" s="292"/>
      <c r="NH21" s="292"/>
      <c r="NI21" s="292"/>
      <c r="NJ21" s="292"/>
      <c r="NK21" s="292"/>
      <c r="NL21" s="292"/>
      <c r="NM21" s="292"/>
      <c r="NN21" s="292"/>
      <c r="NO21" s="292"/>
      <c r="NP21" s="292"/>
      <c r="NQ21" s="292"/>
      <c r="NR21" s="292"/>
      <c r="NS21" s="292"/>
      <c r="NT21" s="292"/>
      <c r="NU21" s="292"/>
      <c r="NV21" s="292"/>
      <c r="NW21" s="292"/>
      <c r="NX21" s="292"/>
      <c r="NY21" s="292"/>
      <c r="NZ21" s="292"/>
      <c r="OA21" s="292"/>
      <c r="OB21" s="292"/>
      <c r="OC21" s="292"/>
      <c r="OD21" s="292"/>
      <c r="OE21" s="292"/>
      <c r="OF21" s="292"/>
      <c r="OG21" s="292"/>
      <c r="OH21" s="292"/>
      <c r="OI21" s="292"/>
      <c r="OJ21" s="292"/>
      <c r="OK21" s="292"/>
      <c r="OL21" s="292"/>
      <c r="OM21" s="292"/>
      <c r="ON21" s="292"/>
      <c r="OO21" s="292"/>
      <c r="OP21" s="292"/>
      <c r="OQ21" s="292"/>
      <c r="OR21" s="292"/>
      <c r="OS21" s="292"/>
      <c r="OT21" s="292"/>
      <c r="OU21" s="292"/>
      <c r="OV21" s="292"/>
      <c r="OW21" s="292"/>
      <c r="OX21" s="292"/>
      <c r="OY21" s="292"/>
      <c r="OZ21" s="292"/>
      <c r="PA21" s="292"/>
      <c r="PB21" s="292"/>
      <c r="PC21" s="292"/>
      <c r="PD21" s="292"/>
      <c r="PE21" s="292"/>
      <c r="PF21" s="292"/>
      <c r="PG21" s="292"/>
      <c r="PH21" s="292"/>
      <c r="PI21" s="292"/>
      <c r="PJ21" s="292"/>
      <c r="PK21" s="292"/>
      <c r="PL21" s="292"/>
      <c r="PM21" s="292"/>
      <c r="PN21" s="292"/>
      <c r="PO21" s="292"/>
      <c r="PP21" s="292"/>
      <c r="PQ21" s="292"/>
      <c r="PR21" s="292"/>
      <c r="PS21" s="292"/>
      <c r="PT21" s="292"/>
      <c r="PU21" s="292"/>
      <c r="PV21" s="292"/>
      <c r="PW21" s="292"/>
      <c r="PX21" s="292"/>
      <c r="PY21" s="292"/>
      <c r="PZ21" s="292"/>
      <c r="QA21" s="292"/>
      <c r="QB21" s="292"/>
      <c r="QC21" s="292"/>
      <c r="QD21" s="292"/>
      <c r="QE21" s="292"/>
      <c r="QF21" s="292"/>
      <c r="QG21" s="292"/>
      <c r="QH21" s="292"/>
      <c r="QI21" s="292"/>
      <c r="QJ21" s="292"/>
      <c r="QK21" s="292"/>
      <c r="QL21" s="292"/>
      <c r="QM21" s="292"/>
      <c r="QN21" s="292"/>
      <c r="QO21" s="292"/>
      <c r="QP21" s="292"/>
      <c r="QQ21" s="292"/>
      <c r="QR21" s="292"/>
      <c r="QS21" s="292"/>
      <c r="QT21" s="292"/>
      <c r="QU21" s="292"/>
      <c r="QV21" s="292"/>
      <c r="QW21" s="292"/>
      <c r="QX21" s="292"/>
      <c r="QY21" s="292"/>
      <c r="QZ21" s="292"/>
      <c r="RA21" s="292"/>
      <c r="RB21" s="292"/>
      <c r="RC21" s="292"/>
      <c r="RD21" s="292"/>
      <c r="RE21" s="292"/>
      <c r="RF21" s="292"/>
      <c r="RG21" s="292"/>
      <c r="RH21" s="292"/>
      <c r="RI21" s="292"/>
      <c r="RJ21" s="292"/>
      <c r="RK21" s="292"/>
      <c r="RL21" s="292"/>
      <c r="RM21" s="292"/>
      <c r="RN21" s="292"/>
      <c r="RO21" s="292"/>
      <c r="RP21" s="292"/>
      <c r="RQ21" s="292"/>
      <c r="RR21" s="292"/>
      <c r="RS21" s="292"/>
      <c r="RT21" s="292"/>
      <c r="RU21" s="292"/>
      <c r="RV21" s="292"/>
      <c r="RW21" s="292"/>
      <c r="RX21" s="292"/>
      <c r="RY21" s="292"/>
      <c r="RZ21" s="292"/>
      <c r="SA21" s="292"/>
      <c r="SB21" s="292"/>
      <c r="SC21" s="292"/>
      <c r="SD21" s="292"/>
      <c r="SE21" s="292"/>
      <c r="SF21" s="292"/>
      <c r="SG21" s="292"/>
      <c r="SH21" s="292"/>
      <c r="SI21" s="292"/>
      <c r="SJ21" s="292"/>
      <c r="SK21" s="292"/>
      <c r="SL21" s="292"/>
      <c r="SM21" s="292"/>
      <c r="SN21" s="292"/>
      <c r="SO21" s="292"/>
      <c r="SP21" s="292"/>
      <c r="SQ21" s="292"/>
      <c r="SR21" s="292"/>
      <c r="SS21" s="292"/>
      <c r="ST21" s="292"/>
      <c r="SU21" s="292"/>
      <c r="SV21" s="292"/>
      <c r="SW21" s="292"/>
      <c r="SX21" s="292"/>
      <c r="SY21" s="292"/>
      <c r="SZ21" s="292"/>
      <c r="TA21" s="292"/>
      <c r="TB21" s="292"/>
      <c r="TC21" s="292"/>
      <c r="TD21" s="292"/>
      <c r="TE21" s="292"/>
      <c r="TF21" s="292"/>
      <c r="TG21" s="292"/>
      <c r="TH21" s="292"/>
      <c r="TI21" s="292"/>
      <c r="TJ21" s="292"/>
      <c r="TK21" s="292"/>
      <c r="TL21" s="292"/>
      <c r="TM21" s="292"/>
      <c r="TN21" s="292"/>
      <c r="TO21" s="292"/>
      <c r="TP21" s="292"/>
      <c r="TQ21" s="292"/>
      <c r="TR21" s="292"/>
      <c r="TS21" s="292"/>
      <c r="TT21" s="292"/>
      <c r="TU21" s="292"/>
      <c r="TV21" s="292"/>
      <c r="TW21" s="292"/>
      <c r="TX21" s="292"/>
      <c r="TY21" s="292"/>
      <c r="TZ21" s="292"/>
      <c r="UA21" s="292"/>
      <c r="UB21" s="292"/>
      <c r="UC21" s="292"/>
      <c r="UD21" s="292"/>
      <c r="UE21" s="292"/>
      <c r="UF21" s="292"/>
      <c r="UG21" s="292"/>
      <c r="UH21" s="292"/>
      <c r="UI21" s="292"/>
      <c r="UJ21" s="292"/>
      <c r="UK21" s="292"/>
      <c r="UL21" s="292"/>
      <c r="UM21" s="292"/>
      <c r="UN21" s="292"/>
      <c r="UO21" s="292"/>
      <c r="UP21" s="292"/>
      <c r="UQ21" s="292"/>
      <c r="UR21" s="292"/>
      <c r="US21" s="292"/>
      <c r="UT21" s="292"/>
      <c r="UU21" s="292"/>
      <c r="UV21" s="292"/>
      <c r="UW21" s="292"/>
      <c r="UX21" s="292"/>
      <c r="UY21" s="292"/>
      <c r="UZ21" s="292"/>
      <c r="VA21" s="292"/>
      <c r="VB21" s="292"/>
      <c r="VC21" s="292"/>
      <c r="VD21" s="292"/>
      <c r="VE21" s="292"/>
      <c r="VF21" s="292"/>
      <c r="VG21" s="292"/>
      <c r="VH21" s="292"/>
      <c r="VI21" s="292"/>
      <c r="VJ21" s="292"/>
      <c r="VK21" s="292"/>
      <c r="VL21" s="292"/>
      <c r="VM21" s="292"/>
      <c r="VN21" s="292"/>
      <c r="VO21" s="292"/>
      <c r="VP21" s="292"/>
      <c r="VQ21" s="292"/>
      <c r="VR21" s="292"/>
      <c r="VS21" s="292"/>
      <c r="VT21" s="292"/>
      <c r="VU21" s="292"/>
      <c r="VV21" s="292"/>
      <c r="VW21" s="292"/>
      <c r="VX21" s="292"/>
      <c r="VY21" s="292"/>
      <c r="VZ21" s="292"/>
      <c r="WA21" s="292"/>
      <c r="WB21" s="292"/>
      <c r="WC21" s="292"/>
      <c r="WD21" s="292"/>
      <c r="WE21" s="292"/>
      <c r="WF21" s="292"/>
      <c r="WG21" s="292"/>
      <c r="WH21" s="292"/>
      <c r="WI21" s="292"/>
      <c r="WJ21" s="292"/>
      <c r="WK21" s="292"/>
      <c r="WL21" s="292"/>
      <c r="WM21" s="292"/>
      <c r="WN21" s="292"/>
      <c r="WO21" s="292"/>
      <c r="WP21" s="292"/>
      <c r="WQ21" s="292"/>
      <c r="WR21" s="292"/>
      <c r="WS21" s="292"/>
      <c r="WT21" s="292"/>
      <c r="WU21" s="292"/>
      <c r="WV21" s="292"/>
      <c r="WW21" s="292"/>
      <c r="WX21" s="292"/>
      <c r="WY21" s="292"/>
      <c r="WZ21" s="292"/>
      <c r="XA21" s="292"/>
      <c r="XB21" s="292"/>
      <c r="XC21" s="292"/>
      <c r="XD21" s="292"/>
      <c r="XE21" s="292"/>
      <c r="XF21" s="292"/>
      <c r="XG21" s="292"/>
      <c r="XH21" s="292"/>
      <c r="XI21" s="292"/>
      <c r="XJ21" s="292"/>
      <c r="XK21" s="292"/>
      <c r="XL21" s="292"/>
      <c r="XM21" s="292"/>
      <c r="XN21" s="292"/>
      <c r="XO21" s="292"/>
      <c r="XP21" s="292"/>
      <c r="XQ21" s="292"/>
      <c r="XR21" s="292"/>
      <c r="XS21" s="292"/>
      <c r="XT21" s="292"/>
      <c r="XU21" s="292"/>
      <c r="XV21" s="292"/>
      <c r="XW21" s="292"/>
      <c r="XX21" s="292"/>
      <c r="XY21" s="292"/>
      <c r="XZ21" s="292"/>
      <c r="YA21" s="292"/>
      <c r="YB21" s="292"/>
      <c r="YC21" s="292"/>
      <c r="YD21" s="292"/>
      <c r="YE21" s="292"/>
      <c r="YF21" s="292"/>
      <c r="YG21" s="292"/>
      <c r="YH21" s="292"/>
      <c r="YI21" s="292"/>
      <c r="YJ21" s="292"/>
      <c r="YK21" s="292"/>
      <c r="YL21" s="292"/>
      <c r="YM21" s="292"/>
      <c r="YN21" s="292"/>
      <c r="YO21" s="292"/>
      <c r="YP21" s="292"/>
      <c r="YQ21" s="292"/>
      <c r="YR21" s="292"/>
      <c r="YS21" s="292"/>
      <c r="YT21" s="292"/>
      <c r="YU21" s="292"/>
      <c r="YV21" s="292"/>
      <c r="YW21" s="292"/>
      <c r="YX21" s="292"/>
      <c r="YY21" s="292"/>
      <c r="YZ21" s="292"/>
      <c r="ZA21" s="292"/>
      <c r="ZB21" s="292"/>
      <c r="ZC21" s="292"/>
      <c r="ZD21" s="292"/>
      <c r="ZE21" s="292"/>
      <c r="ZF21" s="292"/>
      <c r="ZG21" s="292"/>
      <c r="ZH21" s="292"/>
      <c r="ZI21" s="292"/>
      <c r="ZJ21" s="292"/>
      <c r="ZK21" s="292"/>
      <c r="ZL21" s="292"/>
      <c r="ZM21" s="292"/>
      <c r="ZN21" s="292"/>
      <c r="ZO21" s="292"/>
      <c r="ZP21" s="292"/>
      <c r="ZQ21" s="292"/>
      <c r="ZR21" s="292"/>
      <c r="ZS21" s="292"/>
      <c r="ZT21" s="292"/>
      <c r="ZU21" s="292"/>
      <c r="ZV21" s="292"/>
      <c r="ZW21" s="292"/>
      <c r="ZX21" s="292"/>
      <c r="ZY21" s="292"/>
      <c r="ZZ21" s="292"/>
      <c r="AAA21" s="292"/>
      <c r="AAB21" s="292"/>
      <c r="AAC21" s="292"/>
      <c r="AAD21" s="292"/>
      <c r="AAE21" s="292"/>
      <c r="AAF21" s="292"/>
      <c r="AAG21" s="292"/>
      <c r="AAH21" s="292"/>
      <c r="AAI21" s="292"/>
      <c r="AAJ21" s="292"/>
      <c r="AAK21" s="292"/>
      <c r="AAL21" s="292"/>
      <c r="AAM21" s="292"/>
      <c r="AAN21" s="292"/>
      <c r="AAO21" s="292"/>
      <c r="AAP21" s="292"/>
      <c r="AAQ21" s="292"/>
      <c r="AAR21" s="292"/>
      <c r="AAS21" s="292"/>
      <c r="AAT21" s="292"/>
      <c r="AAU21" s="292"/>
      <c r="AAV21" s="292"/>
      <c r="AAW21" s="292"/>
      <c r="AAX21" s="292"/>
      <c r="AAY21" s="292"/>
      <c r="AAZ21" s="292"/>
      <c r="ABA21" s="292"/>
      <c r="ABB21" s="292"/>
      <c r="ABC21" s="292"/>
      <c r="ABD21" s="292"/>
      <c r="ABE21" s="292"/>
      <c r="ABF21" s="292"/>
      <c r="ABG21" s="292"/>
      <c r="ABH21" s="292"/>
      <c r="ABI21" s="292"/>
      <c r="ABJ21" s="292"/>
      <c r="ABK21" s="292"/>
      <c r="ABL21" s="292"/>
      <c r="ABM21" s="292"/>
      <c r="ABN21" s="292"/>
      <c r="ABO21" s="292"/>
      <c r="ABP21" s="292"/>
      <c r="ABQ21" s="292"/>
      <c r="ABR21" s="292"/>
      <c r="ABS21" s="292"/>
      <c r="ABT21" s="292"/>
      <c r="ABU21" s="292"/>
      <c r="ABV21" s="292"/>
      <c r="ABW21" s="292"/>
      <c r="ABX21" s="292"/>
      <c r="ABY21" s="292"/>
      <c r="ABZ21" s="292"/>
      <c r="ACA21" s="292"/>
      <c r="ACB21" s="292"/>
      <c r="ACC21" s="292"/>
      <c r="ACD21" s="292"/>
      <c r="ACE21" s="292"/>
      <c r="ACF21" s="292"/>
      <c r="ACG21" s="292"/>
      <c r="ACH21" s="292"/>
      <c r="ACI21" s="292"/>
      <c r="ACJ21" s="292"/>
      <c r="ACK21" s="292"/>
      <c r="ACL21" s="292"/>
      <c r="ACM21" s="292"/>
      <c r="ACN21" s="292"/>
      <c r="ACO21" s="292"/>
      <c r="ACP21" s="292"/>
      <c r="ACQ21" s="292"/>
      <c r="ACR21" s="292"/>
      <c r="ACS21" s="292"/>
      <c r="ACT21" s="292"/>
      <c r="ACU21" s="292"/>
      <c r="ACV21" s="292"/>
      <c r="ACW21" s="292"/>
      <c r="ACX21" s="292"/>
      <c r="ACY21" s="292"/>
      <c r="ACZ21" s="292"/>
      <c r="ADA21" s="292"/>
      <c r="ADB21" s="292"/>
      <c r="ADC21" s="292"/>
      <c r="ADD21" s="292"/>
      <c r="ADE21" s="292"/>
      <c r="ADF21" s="292"/>
      <c r="ADG21" s="292"/>
      <c r="ADH21" s="292"/>
      <c r="ADI21" s="292"/>
      <c r="ADJ21" s="292"/>
      <c r="ADK21" s="292"/>
      <c r="ADL21" s="292"/>
      <c r="ADM21" s="292"/>
      <c r="ADN21" s="292"/>
      <c r="ADO21" s="292"/>
      <c r="ADP21" s="292"/>
      <c r="ADQ21" s="292"/>
      <c r="ADR21" s="292"/>
      <c r="ADS21" s="292"/>
      <c r="ADT21" s="292"/>
      <c r="ADU21" s="292"/>
      <c r="ADV21" s="292"/>
      <c r="ADW21" s="292"/>
      <c r="ADX21" s="292"/>
      <c r="ADY21" s="292"/>
      <c r="ADZ21" s="292"/>
      <c r="AEA21" s="292"/>
      <c r="AEB21" s="292"/>
      <c r="AEC21" s="292"/>
      <c r="AED21" s="292"/>
      <c r="AEE21" s="292"/>
      <c r="AEF21" s="292"/>
      <c r="AEG21" s="292"/>
      <c r="AEH21" s="292"/>
      <c r="AEI21" s="292"/>
      <c r="AEJ21" s="292"/>
      <c r="AEK21" s="292"/>
      <c r="AEL21" s="292"/>
      <c r="AEM21" s="292"/>
      <c r="AEN21" s="292"/>
      <c r="AEO21" s="292"/>
      <c r="AEP21" s="292"/>
      <c r="AEQ21" s="292"/>
      <c r="AER21" s="292"/>
      <c r="AES21" s="292"/>
      <c r="AET21" s="292"/>
      <c r="AEU21" s="292"/>
      <c r="AEV21" s="292"/>
      <c r="AEW21" s="292"/>
      <c r="AEX21" s="292"/>
      <c r="AEY21" s="292"/>
      <c r="AEZ21" s="292"/>
      <c r="AFA21" s="292"/>
      <c r="AFB21" s="292"/>
      <c r="AFC21" s="292"/>
      <c r="AFD21" s="292"/>
      <c r="AFE21" s="292"/>
      <c r="AFF21" s="292"/>
      <c r="AFG21" s="292"/>
      <c r="AFH21" s="292"/>
      <c r="AFI21" s="292"/>
      <c r="AFJ21" s="292"/>
      <c r="AFK21" s="292"/>
      <c r="AFL21" s="292"/>
      <c r="AFM21" s="292"/>
      <c r="AFN21" s="292"/>
      <c r="AFO21" s="292"/>
      <c r="AFP21" s="292"/>
      <c r="AFQ21" s="292"/>
      <c r="AFR21" s="292"/>
      <c r="AFS21" s="292"/>
      <c r="AFT21" s="292"/>
      <c r="AFU21" s="292"/>
      <c r="AFV21" s="292"/>
      <c r="AFW21" s="292"/>
      <c r="AFX21" s="292"/>
      <c r="AFY21" s="292"/>
      <c r="AFZ21" s="292"/>
      <c r="AGA21" s="292"/>
      <c r="AGB21" s="292"/>
      <c r="AGC21" s="292"/>
      <c r="AGD21" s="292"/>
      <c r="AGE21" s="292"/>
      <c r="AGF21" s="292"/>
      <c r="AGG21" s="292"/>
      <c r="AGH21" s="292"/>
      <c r="AGI21" s="292"/>
      <c r="AGJ21" s="292"/>
      <c r="AGK21" s="292"/>
      <c r="AGL21" s="292"/>
      <c r="AGM21" s="292"/>
      <c r="AGN21" s="292"/>
      <c r="AGO21" s="292"/>
      <c r="AGP21" s="292"/>
      <c r="AGQ21" s="292"/>
      <c r="AGR21" s="292"/>
      <c r="AGS21" s="292"/>
      <c r="AGT21" s="292"/>
      <c r="AGU21" s="292"/>
      <c r="AGV21" s="292"/>
      <c r="AGW21" s="292"/>
      <c r="AGX21" s="292"/>
      <c r="AGY21" s="292"/>
      <c r="AGZ21" s="292"/>
      <c r="AHA21" s="292"/>
      <c r="AHB21" s="292"/>
      <c r="AHC21" s="292"/>
      <c r="AHD21" s="292"/>
      <c r="AHE21" s="292"/>
      <c r="AHF21" s="292"/>
      <c r="AHG21" s="292"/>
      <c r="AHH21" s="292"/>
      <c r="AHI21" s="292"/>
      <c r="AHJ21" s="292"/>
      <c r="AHK21" s="292"/>
      <c r="AHL21" s="292"/>
      <c r="AHM21" s="292"/>
      <c r="AHN21" s="292"/>
      <c r="AHO21" s="292"/>
      <c r="AHP21" s="292"/>
      <c r="AHQ21" s="292"/>
      <c r="AHR21" s="292"/>
      <c r="AHS21" s="292"/>
      <c r="AHT21" s="292"/>
      <c r="AHU21" s="292"/>
      <c r="AHV21" s="292"/>
      <c r="AHW21" s="292"/>
      <c r="AHX21" s="292"/>
      <c r="AHY21" s="292"/>
      <c r="AHZ21" s="292"/>
      <c r="AIA21" s="292"/>
      <c r="AIB21" s="292"/>
      <c r="AIC21" s="292"/>
      <c r="AID21" s="292"/>
      <c r="AIE21" s="292"/>
      <c r="AIF21" s="292"/>
      <c r="AIG21" s="292"/>
      <c r="AIH21" s="292"/>
      <c r="AII21" s="292"/>
      <c r="AIJ21" s="292"/>
      <c r="AIK21" s="292"/>
      <c r="AIL21" s="292"/>
      <c r="AIM21" s="292"/>
      <c r="AIN21" s="292"/>
      <c r="AIO21" s="292"/>
      <c r="AIP21" s="292"/>
      <c r="AIQ21" s="292"/>
      <c r="AIR21" s="292"/>
      <c r="AIS21" s="292"/>
      <c r="AIT21" s="292"/>
      <c r="AIU21" s="292"/>
      <c r="AIV21" s="292"/>
      <c r="AIW21" s="292"/>
      <c r="AIX21" s="292"/>
      <c r="AIY21" s="292"/>
      <c r="AIZ21" s="292"/>
      <c r="AJA21" s="292"/>
      <c r="AJB21" s="292"/>
      <c r="AJC21" s="292"/>
      <c r="AJD21" s="292"/>
      <c r="AJE21" s="292"/>
      <c r="AJF21" s="292"/>
      <c r="AJG21" s="292"/>
      <c r="AJH21" s="292"/>
      <c r="AJI21" s="292"/>
      <c r="AJJ21" s="292"/>
      <c r="AJK21" s="292"/>
      <c r="AJL21" s="292"/>
      <c r="AJM21" s="292"/>
      <c r="AJN21" s="292"/>
      <c r="AJO21" s="292"/>
      <c r="AJP21" s="292"/>
      <c r="AJQ21" s="292"/>
      <c r="AJR21" s="292"/>
      <c r="AJS21" s="292"/>
      <c r="AJT21" s="292"/>
      <c r="AJU21" s="292"/>
      <c r="AJV21" s="292"/>
      <c r="AJW21" s="292"/>
      <c r="AJX21" s="292"/>
      <c r="AJY21" s="292"/>
      <c r="AJZ21" s="292"/>
      <c r="AKA21" s="292"/>
      <c r="AKB21" s="292"/>
      <c r="AKC21" s="292"/>
      <c r="AKD21" s="292"/>
      <c r="AKE21" s="292"/>
      <c r="AKF21" s="292"/>
      <c r="AKG21" s="292"/>
      <c r="AKH21" s="292"/>
      <c r="AKI21" s="292"/>
      <c r="AKJ21" s="292"/>
      <c r="AKK21" s="292"/>
      <c r="AKL21" s="292"/>
      <c r="AKM21" s="292"/>
      <c r="AKN21" s="292"/>
      <c r="AKO21" s="292"/>
      <c r="AKP21" s="292"/>
      <c r="AKQ21" s="292"/>
      <c r="AKR21" s="292"/>
      <c r="AKS21" s="292"/>
      <c r="AKT21" s="292"/>
      <c r="AKU21" s="292"/>
      <c r="AKV21" s="292"/>
      <c r="AKW21" s="292"/>
      <c r="AKX21" s="292"/>
      <c r="AKY21" s="292"/>
      <c r="AKZ21" s="292"/>
      <c r="ALA21" s="292"/>
      <c r="ALB21" s="292"/>
      <c r="ALC21" s="292"/>
      <c r="ALD21" s="292"/>
      <c r="ALE21" s="292"/>
      <c r="ALF21" s="292"/>
      <c r="ALG21" s="292"/>
      <c r="ALH21" s="292"/>
      <c r="ALI21" s="292"/>
      <c r="ALJ21" s="292"/>
      <c r="ALK21" s="292"/>
      <c r="ALL21" s="292"/>
      <c r="ALM21" s="292"/>
      <c r="ALN21" s="292"/>
      <c r="ALO21" s="292"/>
      <c r="ALP21" s="292"/>
      <c r="ALQ21" s="292"/>
      <c r="ALR21" s="292"/>
      <c r="ALS21" s="292"/>
      <c r="ALT21" s="292"/>
      <c r="ALU21" s="292"/>
      <c r="ALV21" s="292"/>
      <c r="ALW21" s="292"/>
      <c r="ALX21" s="292"/>
      <c r="ALY21" s="292"/>
      <c r="ALZ21" s="292"/>
      <c r="AMA21" s="292"/>
      <c r="AMB21" s="292"/>
      <c r="AMC21" s="292"/>
      <c r="AMD21" s="292"/>
      <c r="AME21" s="292"/>
      <c r="AMF21" s="292"/>
      <c r="AMG21" s="292"/>
      <c r="AMH21" s="292"/>
      <c r="AMI21" s="292"/>
      <c r="AMJ21" s="292"/>
      <c r="AMK21" s="292"/>
      <c r="AML21" s="292"/>
      <c r="AMM21" s="292"/>
      <c r="AMN21" s="292"/>
      <c r="AMO21" s="292"/>
      <c r="AMP21" s="292"/>
      <c r="AMQ21" s="292"/>
      <c r="AMR21" s="292"/>
      <c r="AMS21" s="292"/>
      <c r="AMT21" s="292"/>
      <c r="AMU21" s="292"/>
      <c r="AMV21" s="292"/>
      <c r="AMW21" s="292"/>
      <c r="AMX21" s="292"/>
      <c r="AMY21" s="292"/>
      <c r="AMZ21" s="292"/>
      <c r="ANA21" s="292"/>
      <c r="ANB21" s="292"/>
      <c r="ANC21" s="292"/>
      <c r="AND21" s="292"/>
      <c r="ANE21" s="292"/>
      <c r="ANF21" s="292"/>
      <c r="ANG21" s="292"/>
      <c r="ANH21" s="292"/>
      <c r="ANI21" s="292"/>
      <c r="ANJ21" s="292"/>
      <c r="ANK21" s="292"/>
      <c r="ANL21" s="292"/>
      <c r="ANM21" s="292"/>
      <c r="ANN21" s="292"/>
      <c r="ANO21" s="292"/>
      <c r="ANP21" s="292"/>
      <c r="ANQ21" s="292"/>
      <c r="ANR21" s="292"/>
      <c r="ANS21" s="292"/>
      <c r="ANT21" s="292"/>
      <c r="ANU21" s="292"/>
      <c r="ANV21" s="292"/>
      <c r="ANW21" s="292"/>
      <c r="ANX21" s="292"/>
      <c r="ANY21" s="292"/>
      <c r="ANZ21" s="292"/>
      <c r="AOA21" s="292"/>
      <c r="AOB21" s="292"/>
      <c r="AOC21" s="292"/>
      <c r="AOD21" s="292"/>
      <c r="AOE21" s="292"/>
      <c r="AOF21" s="292"/>
      <c r="AOG21" s="292"/>
      <c r="AOH21" s="292"/>
      <c r="AOI21" s="292"/>
      <c r="AOJ21" s="292"/>
      <c r="AOK21" s="292"/>
      <c r="AOL21" s="292"/>
      <c r="AOM21" s="292"/>
      <c r="AON21" s="292"/>
      <c r="AOO21" s="292"/>
      <c r="AOP21" s="292"/>
      <c r="AOQ21" s="292"/>
      <c r="AOR21" s="292"/>
      <c r="AOS21" s="292"/>
      <c r="AOT21" s="292"/>
      <c r="AOU21" s="292"/>
      <c r="AOV21" s="292"/>
      <c r="AOW21" s="292"/>
      <c r="AOX21" s="292"/>
      <c r="AOY21" s="292"/>
      <c r="AOZ21" s="292"/>
      <c r="APA21" s="292"/>
      <c r="APB21" s="292"/>
      <c r="APC21" s="292"/>
      <c r="APD21" s="292"/>
      <c r="APE21" s="292"/>
      <c r="APF21" s="292"/>
      <c r="APG21" s="292"/>
      <c r="APH21" s="292"/>
      <c r="API21" s="292"/>
      <c r="APJ21" s="292"/>
      <c r="APK21" s="292"/>
      <c r="APL21" s="292"/>
      <c r="APM21" s="292"/>
      <c r="APN21" s="292"/>
      <c r="APO21" s="292"/>
      <c r="APP21" s="292"/>
      <c r="APQ21" s="292"/>
      <c r="APR21" s="292"/>
      <c r="APS21" s="292"/>
      <c r="APT21" s="292"/>
      <c r="APU21" s="292"/>
      <c r="APV21" s="292"/>
      <c r="APW21" s="292"/>
      <c r="APX21" s="292"/>
      <c r="APY21" s="292"/>
      <c r="APZ21" s="292"/>
      <c r="AQA21" s="292"/>
      <c r="AQB21" s="292"/>
      <c r="AQC21" s="292"/>
      <c r="AQD21" s="292"/>
      <c r="AQE21" s="292"/>
      <c r="AQF21" s="292"/>
      <c r="AQG21" s="292"/>
      <c r="AQH21" s="292"/>
      <c r="AQI21" s="292"/>
      <c r="AQJ21" s="292"/>
      <c r="AQK21" s="292"/>
      <c r="AQL21" s="292"/>
      <c r="AQM21" s="292"/>
      <c r="AQN21" s="292"/>
      <c r="AQO21" s="292"/>
      <c r="AQP21" s="292"/>
      <c r="AQQ21" s="292"/>
      <c r="AQR21" s="292"/>
      <c r="AQS21" s="292"/>
      <c r="AQT21" s="292"/>
      <c r="AQU21" s="292"/>
      <c r="AQV21" s="292"/>
      <c r="AQW21" s="292"/>
      <c r="AQX21" s="292"/>
      <c r="AQY21" s="292"/>
      <c r="AQZ21" s="292"/>
      <c r="ARA21" s="292"/>
      <c r="ARB21" s="292"/>
      <c r="ARC21" s="292"/>
      <c r="ARD21" s="292"/>
      <c r="ARE21" s="292"/>
      <c r="ARF21" s="292"/>
      <c r="ARG21" s="292"/>
      <c r="ARH21" s="292"/>
      <c r="ARI21" s="292"/>
      <c r="ARJ21" s="292"/>
      <c r="ARK21" s="292"/>
      <c r="ARL21" s="292"/>
      <c r="ARM21" s="292"/>
      <c r="ARN21" s="292"/>
      <c r="ARO21" s="292"/>
      <c r="ARP21" s="292"/>
      <c r="ARQ21" s="292"/>
      <c r="ARR21" s="292"/>
      <c r="ARS21" s="292"/>
      <c r="ART21" s="292"/>
      <c r="ARU21" s="292"/>
      <c r="ARV21" s="292"/>
      <c r="ARW21" s="292"/>
      <c r="ARX21" s="292"/>
      <c r="ARY21" s="292"/>
      <c r="ARZ21" s="292"/>
      <c r="ASA21" s="292"/>
      <c r="ASB21" s="292"/>
      <c r="ASC21" s="292"/>
      <c r="ASD21" s="292"/>
      <c r="ASE21" s="292"/>
      <c r="ASF21" s="292"/>
      <c r="ASG21" s="292"/>
      <c r="ASH21" s="292"/>
      <c r="ASI21" s="292"/>
      <c r="ASJ21" s="292"/>
      <c r="ASK21" s="292"/>
      <c r="ASL21" s="292"/>
      <c r="ASM21" s="292"/>
      <c r="ASN21" s="292"/>
      <c r="ASO21" s="292"/>
      <c r="ASP21" s="292"/>
      <c r="ASQ21" s="292"/>
      <c r="ASR21" s="292"/>
      <c r="ASS21" s="292"/>
      <c r="AST21" s="292"/>
      <c r="ASU21" s="292"/>
      <c r="ASV21" s="292"/>
      <c r="ASW21" s="292"/>
      <c r="ASX21" s="292"/>
      <c r="ASY21" s="292"/>
      <c r="ASZ21" s="292"/>
      <c r="ATA21" s="292"/>
      <c r="ATB21" s="292"/>
      <c r="ATC21" s="292"/>
      <c r="ATD21" s="292"/>
      <c r="ATE21" s="292"/>
      <c r="ATF21" s="292"/>
      <c r="ATG21" s="292"/>
      <c r="ATH21" s="292"/>
      <c r="ATI21" s="292"/>
      <c r="ATJ21" s="292"/>
      <c r="ATK21" s="292"/>
      <c r="ATL21" s="292"/>
      <c r="ATM21" s="292"/>
      <c r="ATN21" s="292"/>
      <c r="ATO21" s="292"/>
      <c r="ATP21" s="292"/>
      <c r="ATQ21" s="292"/>
      <c r="ATR21" s="292"/>
      <c r="ATS21" s="292"/>
      <c r="ATT21" s="292"/>
      <c r="ATU21" s="292"/>
      <c r="ATV21" s="292"/>
      <c r="ATW21" s="292"/>
      <c r="ATX21" s="292"/>
      <c r="ATY21" s="292"/>
      <c r="ATZ21" s="292"/>
      <c r="AUA21" s="292"/>
      <c r="AUB21" s="292"/>
      <c r="AUC21" s="292"/>
      <c r="AUD21" s="292"/>
      <c r="AUE21" s="292"/>
      <c r="AUF21" s="292"/>
      <c r="AUG21" s="292"/>
      <c r="AUH21" s="292"/>
      <c r="AUI21" s="292"/>
      <c r="AUJ21" s="292"/>
      <c r="AUK21" s="292"/>
      <c r="AUL21" s="292"/>
      <c r="AUM21" s="292"/>
      <c r="AUN21" s="292"/>
      <c r="AUO21" s="292"/>
      <c r="AUP21" s="292"/>
      <c r="AUQ21" s="292"/>
      <c r="AUR21" s="292"/>
      <c r="AUS21" s="292"/>
      <c r="AUT21" s="292"/>
      <c r="AUU21" s="292"/>
      <c r="AUV21" s="292"/>
      <c r="AUW21" s="292"/>
      <c r="AUX21" s="292"/>
      <c r="AUY21" s="292"/>
      <c r="AUZ21" s="292"/>
      <c r="AVA21" s="292"/>
      <c r="AVB21" s="292"/>
      <c r="AVC21" s="292"/>
      <c r="AVD21" s="292"/>
      <c r="AVE21" s="292"/>
      <c r="AVF21" s="292"/>
      <c r="AVG21" s="292"/>
      <c r="AVH21" s="292"/>
      <c r="AVI21" s="292"/>
      <c r="AVJ21" s="292"/>
      <c r="AVK21" s="292"/>
      <c r="AVL21" s="292"/>
      <c r="AVM21" s="292"/>
      <c r="AVN21" s="292"/>
      <c r="AVO21" s="292"/>
      <c r="AVP21" s="292"/>
      <c r="AVQ21" s="292"/>
      <c r="AVR21" s="292"/>
      <c r="AVS21" s="292"/>
      <c r="AVT21" s="292"/>
      <c r="AVU21" s="292"/>
      <c r="AVV21" s="292"/>
      <c r="AVW21" s="292"/>
      <c r="AVX21" s="292"/>
      <c r="AVY21" s="292"/>
      <c r="AVZ21" s="292"/>
      <c r="AWA21" s="292"/>
      <c r="AWB21" s="292"/>
      <c r="AWC21" s="292"/>
      <c r="AWD21" s="292"/>
      <c r="AWE21" s="292"/>
      <c r="AWF21" s="292"/>
      <c r="AWG21" s="292"/>
      <c r="AWH21" s="292"/>
      <c r="AWI21" s="292"/>
      <c r="AWJ21" s="292"/>
      <c r="AWK21" s="292"/>
      <c r="AWL21" s="292"/>
      <c r="AWM21" s="292"/>
      <c r="AWN21" s="292"/>
      <c r="AWO21" s="292"/>
      <c r="AWP21" s="292"/>
      <c r="AWQ21" s="292"/>
      <c r="AWR21" s="292"/>
      <c r="AWS21" s="292"/>
      <c r="AWT21" s="292"/>
      <c r="AWU21" s="292"/>
      <c r="AWV21" s="292"/>
      <c r="AWW21" s="292"/>
      <c r="AWX21" s="292"/>
      <c r="AWY21" s="292"/>
      <c r="AWZ21" s="292"/>
      <c r="AXA21" s="292"/>
      <c r="AXB21" s="292"/>
      <c r="AXC21" s="292"/>
      <c r="AXD21" s="292"/>
      <c r="AXE21" s="292"/>
      <c r="AXF21" s="292"/>
      <c r="AXG21" s="292"/>
      <c r="AXH21" s="292"/>
      <c r="AXI21" s="292"/>
      <c r="AXJ21" s="292"/>
      <c r="AXK21" s="292"/>
      <c r="AXL21" s="292"/>
      <c r="AXM21" s="292"/>
      <c r="AXN21" s="292"/>
      <c r="AXO21" s="292"/>
      <c r="AXP21" s="292"/>
      <c r="AXQ21" s="292"/>
      <c r="AXR21" s="292"/>
      <c r="AXS21" s="292"/>
      <c r="AXT21" s="292"/>
      <c r="AXU21" s="292"/>
      <c r="AXV21" s="292"/>
      <c r="AXW21" s="292"/>
      <c r="AXX21" s="292"/>
      <c r="AXY21" s="292"/>
      <c r="AXZ21" s="292"/>
      <c r="AYA21" s="292"/>
      <c r="AYB21" s="292"/>
      <c r="AYC21" s="292"/>
      <c r="AYD21" s="292"/>
      <c r="AYE21" s="292"/>
      <c r="AYF21" s="292"/>
      <c r="AYG21" s="292"/>
      <c r="AYH21" s="292"/>
      <c r="AYI21" s="292"/>
      <c r="AYJ21" s="292"/>
      <c r="AYK21" s="292"/>
      <c r="AYL21" s="292"/>
      <c r="AYM21" s="292"/>
      <c r="AYN21" s="292"/>
      <c r="AYO21" s="292"/>
      <c r="AYP21" s="292"/>
      <c r="AYQ21" s="292"/>
      <c r="AYR21" s="292"/>
      <c r="AYS21" s="292"/>
      <c r="AYT21" s="292"/>
      <c r="AYU21" s="292"/>
      <c r="AYV21" s="292"/>
      <c r="AYW21" s="292"/>
      <c r="AYX21" s="292"/>
      <c r="AYY21" s="292"/>
      <c r="AYZ21" s="292"/>
      <c r="AZA21" s="292"/>
      <c r="AZB21" s="292"/>
      <c r="AZC21" s="292"/>
      <c r="AZD21" s="292"/>
      <c r="AZE21" s="292"/>
      <c r="AZF21" s="292"/>
      <c r="AZG21" s="292"/>
      <c r="AZH21" s="292"/>
      <c r="AZI21" s="292"/>
      <c r="AZJ21" s="292"/>
      <c r="AZK21" s="292"/>
      <c r="AZL21" s="292"/>
      <c r="AZM21" s="292"/>
      <c r="AZN21" s="292"/>
      <c r="AZO21" s="292"/>
      <c r="AZP21" s="292"/>
      <c r="AZQ21" s="292"/>
      <c r="AZR21" s="292"/>
      <c r="AZS21" s="292"/>
      <c r="AZT21" s="292"/>
      <c r="AZU21" s="292"/>
      <c r="AZV21" s="292"/>
      <c r="AZW21" s="292"/>
      <c r="AZX21" s="292"/>
      <c r="AZY21" s="292"/>
      <c r="AZZ21" s="292"/>
      <c r="BAA21" s="292"/>
      <c r="BAB21" s="292"/>
      <c r="BAC21" s="292"/>
      <c r="BAD21" s="292"/>
      <c r="BAE21" s="292"/>
      <c r="BAF21" s="292"/>
      <c r="BAG21" s="292"/>
      <c r="BAH21" s="292"/>
      <c r="BAI21" s="292"/>
      <c r="BAJ21" s="292"/>
      <c r="BAK21" s="292"/>
      <c r="BAL21" s="292"/>
      <c r="BAM21" s="292"/>
      <c r="BAN21" s="292"/>
      <c r="BAO21" s="292"/>
      <c r="BAP21" s="292"/>
      <c r="BAQ21" s="292"/>
      <c r="BAR21" s="292"/>
      <c r="BAS21" s="292"/>
      <c r="BAT21" s="292"/>
      <c r="BAU21" s="292"/>
      <c r="BAV21" s="292"/>
      <c r="BAW21" s="292"/>
      <c r="BAX21" s="292"/>
      <c r="BAY21" s="292"/>
      <c r="BAZ21" s="292"/>
      <c r="BBA21" s="292"/>
      <c r="BBB21" s="292"/>
      <c r="BBC21" s="292"/>
      <c r="BBD21" s="292"/>
      <c r="BBE21" s="292"/>
      <c r="BBF21" s="292"/>
      <c r="BBG21" s="292"/>
      <c r="BBH21" s="292"/>
      <c r="BBI21" s="292"/>
      <c r="BBJ21" s="292"/>
      <c r="BBK21" s="292"/>
      <c r="BBL21" s="292"/>
      <c r="BBM21" s="292"/>
      <c r="BBN21" s="292"/>
      <c r="BBO21" s="292"/>
      <c r="BBP21" s="292"/>
      <c r="BBQ21" s="292"/>
      <c r="BBR21" s="292"/>
      <c r="BBS21" s="292"/>
      <c r="BBT21" s="292"/>
      <c r="BBU21" s="292"/>
      <c r="BBV21" s="292"/>
      <c r="BBW21" s="292"/>
      <c r="BBX21" s="292"/>
      <c r="BBY21" s="292"/>
      <c r="BBZ21" s="292"/>
      <c r="BCA21" s="292"/>
      <c r="BCB21" s="292"/>
      <c r="BCC21" s="292"/>
      <c r="BCD21" s="292"/>
      <c r="BCE21" s="292"/>
      <c r="BCF21" s="292"/>
      <c r="BCG21" s="292"/>
      <c r="BCH21" s="292"/>
      <c r="BCI21" s="292"/>
      <c r="BCJ21" s="292"/>
      <c r="BCK21" s="292"/>
      <c r="BCL21" s="292"/>
      <c r="BCM21" s="292"/>
      <c r="BCN21" s="292"/>
      <c r="BCO21" s="292"/>
      <c r="BCP21" s="292"/>
      <c r="BCQ21" s="292"/>
      <c r="BCR21" s="292"/>
      <c r="BCS21" s="292"/>
      <c r="BCT21" s="292"/>
      <c r="BCU21" s="292"/>
      <c r="BCV21" s="292"/>
      <c r="BCW21" s="292"/>
      <c r="BCX21" s="292"/>
      <c r="BCY21" s="292"/>
      <c r="BCZ21" s="292"/>
      <c r="BDA21" s="292"/>
      <c r="BDB21" s="292"/>
      <c r="BDC21" s="292"/>
      <c r="BDD21" s="292"/>
      <c r="BDE21" s="292"/>
      <c r="BDF21" s="292"/>
      <c r="BDG21" s="292"/>
      <c r="BDH21" s="292"/>
      <c r="BDI21" s="292"/>
      <c r="BDJ21" s="292"/>
      <c r="BDK21" s="292"/>
      <c r="BDL21" s="292"/>
      <c r="BDM21" s="292"/>
      <c r="BDN21" s="292"/>
      <c r="BDO21" s="292"/>
      <c r="BDP21" s="292"/>
      <c r="BDQ21" s="292"/>
      <c r="BDR21" s="292"/>
      <c r="BDS21" s="292"/>
      <c r="BDT21" s="292"/>
      <c r="BDU21" s="292"/>
      <c r="BDV21" s="292"/>
      <c r="BDW21" s="292"/>
      <c r="BDX21" s="292"/>
      <c r="BDY21" s="292"/>
      <c r="BDZ21" s="292"/>
      <c r="BEA21" s="292"/>
      <c r="BEB21" s="292"/>
      <c r="BEC21" s="292"/>
      <c r="BED21" s="292"/>
      <c r="BEE21" s="292"/>
      <c r="BEF21" s="292"/>
      <c r="BEG21" s="292"/>
      <c r="BEH21" s="292"/>
      <c r="BEI21" s="292"/>
      <c r="BEJ21" s="292"/>
      <c r="BEK21" s="292"/>
      <c r="BEL21" s="292"/>
      <c r="BEM21" s="292"/>
      <c r="BEN21" s="292"/>
      <c r="BEO21" s="292"/>
      <c r="BEP21" s="292"/>
      <c r="BEQ21" s="292"/>
      <c r="BER21" s="292"/>
      <c r="BES21" s="292"/>
      <c r="BET21" s="292"/>
      <c r="BEU21" s="292"/>
      <c r="BEV21" s="292"/>
      <c r="BEW21" s="292"/>
      <c r="BEX21" s="292"/>
      <c r="BEY21" s="292"/>
      <c r="BEZ21" s="292"/>
      <c r="BFA21" s="292"/>
      <c r="BFB21" s="292"/>
      <c r="BFC21" s="292"/>
      <c r="BFD21" s="292"/>
      <c r="BFE21" s="292"/>
      <c r="BFF21" s="292"/>
      <c r="BFG21" s="292"/>
      <c r="BFH21" s="292"/>
      <c r="BFI21" s="292"/>
      <c r="BFJ21" s="292"/>
      <c r="BFK21" s="292"/>
      <c r="BFL21" s="292"/>
      <c r="BFM21" s="292"/>
      <c r="BFN21" s="292"/>
      <c r="BFO21" s="292"/>
      <c r="BFP21" s="292"/>
      <c r="BFQ21" s="292"/>
      <c r="BFR21" s="292"/>
      <c r="BFS21" s="292"/>
      <c r="BFT21" s="292"/>
      <c r="BFU21" s="292"/>
      <c r="BFV21" s="292"/>
      <c r="BFW21" s="292"/>
      <c r="BFX21" s="292"/>
      <c r="BFY21" s="292"/>
      <c r="BFZ21" s="292"/>
      <c r="BGA21" s="292"/>
      <c r="BGB21" s="292"/>
      <c r="BGC21" s="292"/>
      <c r="BGD21" s="292"/>
      <c r="BGE21" s="292"/>
      <c r="BGF21" s="292"/>
      <c r="BGG21" s="292"/>
      <c r="BGH21" s="292"/>
      <c r="BGI21" s="292"/>
      <c r="BGJ21" s="292"/>
      <c r="BGK21" s="292"/>
      <c r="BGL21" s="292"/>
      <c r="BGM21" s="292"/>
      <c r="BGN21" s="292"/>
      <c r="BGO21" s="292"/>
      <c r="BGP21" s="292"/>
      <c r="BGQ21" s="292"/>
      <c r="BGR21" s="292"/>
      <c r="BGS21" s="292"/>
      <c r="BGT21" s="292"/>
      <c r="BGU21" s="292"/>
      <c r="BGV21" s="292"/>
      <c r="BGW21" s="292"/>
      <c r="BGX21" s="292"/>
      <c r="BGY21" s="292"/>
      <c r="BGZ21" s="292"/>
      <c r="BHA21" s="292"/>
      <c r="BHB21" s="292"/>
      <c r="BHC21" s="292"/>
      <c r="BHD21" s="292"/>
      <c r="BHE21" s="292"/>
      <c r="BHF21" s="292"/>
      <c r="BHG21" s="292"/>
      <c r="BHH21" s="292"/>
      <c r="BHI21" s="292"/>
      <c r="BHJ21" s="292"/>
      <c r="BHK21" s="292"/>
      <c r="BHL21" s="292"/>
      <c r="BHM21" s="292"/>
      <c r="BHN21" s="292"/>
      <c r="BHO21" s="292"/>
      <c r="BHP21" s="292"/>
      <c r="BHQ21" s="292"/>
      <c r="BHR21" s="292"/>
      <c r="BHS21" s="292"/>
      <c r="BHT21" s="292"/>
      <c r="BHU21" s="292"/>
      <c r="BHV21" s="292"/>
      <c r="BHW21" s="292"/>
      <c r="BHX21" s="292"/>
      <c r="BHY21" s="292"/>
      <c r="BHZ21" s="292"/>
      <c r="BIA21" s="292"/>
      <c r="BIB21" s="292"/>
      <c r="BIC21" s="292"/>
      <c r="BID21" s="292"/>
      <c r="BIE21" s="292"/>
      <c r="BIF21" s="292"/>
      <c r="BIG21" s="292"/>
      <c r="BIH21" s="292"/>
      <c r="BII21" s="292"/>
      <c r="BIJ21" s="292"/>
      <c r="BIK21" s="292"/>
      <c r="BIL21" s="292"/>
      <c r="BIM21" s="292"/>
      <c r="BIN21" s="292"/>
      <c r="BIO21" s="292"/>
      <c r="BIP21" s="292"/>
      <c r="BIQ21" s="292"/>
      <c r="BIR21" s="292"/>
      <c r="BIS21" s="292"/>
      <c r="BIT21" s="292"/>
      <c r="BIU21" s="292"/>
      <c r="BIV21" s="292"/>
      <c r="BIW21" s="292"/>
      <c r="BIX21" s="292"/>
      <c r="BIY21" s="292"/>
      <c r="BIZ21" s="292"/>
      <c r="BJA21" s="292"/>
      <c r="BJB21" s="292"/>
      <c r="BJC21" s="292"/>
      <c r="BJD21" s="292"/>
      <c r="BJE21" s="292"/>
      <c r="BJF21" s="292"/>
      <c r="BJG21" s="292"/>
      <c r="BJH21" s="292"/>
      <c r="BJI21" s="292"/>
      <c r="BJJ21" s="292"/>
      <c r="BJK21" s="292"/>
      <c r="BJL21" s="292"/>
      <c r="BJM21" s="292"/>
      <c r="BJN21" s="292"/>
      <c r="BJO21" s="292"/>
      <c r="BJP21" s="292"/>
      <c r="BJQ21" s="292"/>
      <c r="BJR21" s="292"/>
      <c r="BJS21" s="292"/>
      <c r="BJT21" s="292"/>
      <c r="BJU21" s="292"/>
      <c r="BJV21" s="292"/>
      <c r="BJW21" s="292"/>
      <c r="BJX21" s="292"/>
      <c r="BJY21" s="292"/>
      <c r="BJZ21" s="292"/>
      <c r="BKA21" s="292"/>
      <c r="BKB21" s="292"/>
      <c r="BKC21" s="292"/>
      <c r="BKD21" s="292"/>
      <c r="BKE21" s="292"/>
      <c r="BKF21" s="292"/>
      <c r="BKG21" s="292"/>
      <c r="BKH21" s="292"/>
      <c r="BKI21" s="292"/>
      <c r="BKJ21" s="292"/>
      <c r="BKK21" s="292"/>
      <c r="BKL21" s="292"/>
      <c r="BKM21" s="292"/>
      <c r="BKN21" s="292"/>
      <c r="BKO21" s="292"/>
      <c r="BKP21" s="292"/>
      <c r="BKQ21" s="292"/>
      <c r="BKR21" s="292"/>
      <c r="BKS21" s="292"/>
      <c r="BKT21" s="292"/>
      <c r="BKU21" s="292"/>
      <c r="BKV21" s="292"/>
      <c r="BKW21" s="292"/>
      <c r="BKX21" s="292"/>
      <c r="BKY21" s="292"/>
      <c r="BKZ21" s="292"/>
      <c r="BLA21" s="292"/>
      <c r="BLB21" s="292"/>
      <c r="BLC21" s="292"/>
      <c r="BLD21" s="292"/>
      <c r="BLE21" s="292"/>
      <c r="BLF21" s="292"/>
      <c r="BLG21" s="292"/>
      <c r="BLH21" s="292"/>
      <c r="BLI21" s="292"/>
      <c r="BLJ21" s="292"/>
      <c r="BLK21" s="292"/>
      <c r="BLL21" s="292"/>
      <c r="BLM21" s="292"/>
      <c r="BLN21" s="292"/>
      <c r="BLO21" s="292"/>
      <c r="BLP21" s="292"/>
      <c r="BLQ21" s="292"/>
      <c r="BLR21" s="292"/>
      <c r="BLS21" s="292"/>
      <c r="BLT21" s="292"/>
      <c r="BLU21" s="292"/>
      <c r="BLV21" s="292"/>
      <c r="BLW21" s="292"/>
      <c r="BLX21" s="292"/>
      <c r="BLY21" s="292"/>
      <c r="BLZ21" s="292"/>
      <c r="BMA21" s="292"/>
      <c r="BMB21" s="292"/>
      <c r="BMC21" s="292"/>
      <c r="BMD21" s="292"/>
      <c r="BME21" s="292"/>
      <c r="BMF21" s="292"/>
      <c r="BMG21" s="292"/>
      <c r="BMH21" s="292"/>
      <c r="BMI21" s="292"/>
      <c r="BMJ21" s="292"/>
      <c r="BMK21" s="292"/>
      <c r="BML21" s="292"/>
      <c r="BMM21" s="292"/>
      <c r="BMN21" s="292"/>
      <c r="BMO21" s="292"/>
      <c r="BMP21" s="292"/>
      <c r="BMQ21" s="292"/>
      <c r="BMR21" s="292"/>
      <c r="BMS21" s="292"/>
      <c r="BMT21" s="292"/>
      <c r="BMU21" s="292"/>
      <c r="BMV21" s="292"/>
      <c r="BMW21" s="292"/>
      <c r="BMX21" s="292"/>
      <c r="BMY21" s="292"/>
      <c r="BMZ21" s="292"/>
      <c r="BNA21" s="292"/>
      <c r="BNB21" s="292"/>
      <c r="BNC21" s="292"/>
      <c r="BND21" s="292"/>
      <c r="BNE21" s="292"/>
      <c r="BNF21" s="292"/>
      <c r="BNG21" s="292"/>
      <c r="BNH21" s="292"/>
      <c r="BNI21" s="292"/>
      <c r="BNJ21" s="292"/>
      <c r="BNK21" s="292"/>
      <c r="BNL21" s="292"/>
      <c r="BNM21" s="292"/>
      <c r="BNN21" s="292"/>
      <c r="BNO21" s="292"/>
      <c r="BNP21" s="292"/>
      <c r="BNQ21" s="292"/>
      <c r="BNR21" s="292"/>
      <c r="BNS21" s="292"/>
      <c r="BNT21" s="292"/>
      <c r="BNU21" s="292"/>
      <c r="BNV21" s="292"/>
      <c r="BNW21" s="292"/>
      <c r="BNX21" s="292"/>
      <c r="BNY21" s="292"/>
      <c r="BNZ21" s="292"/>
      <c r="BOA21" s="292"/>
      <c r="BOB21" s="292"/>
      <c r="BOC21" s="292"/>
      <c r="BOD21" s="292"/>
      <c r="BOE21" s="292"/>
      <c r="BOF21" s="292"/>
      <c r="BOG21" s="292"/>
      <c r="BOH21" s="292"/>
      <c r="BOI21" s="292"/>
      <c r="BOJ21" s="292"/>
      <c r="BOK21" s="292"/>
      <c r="BOL21" s="292"/>
      <c r="BOM21" s="292"/>
      <c r="BON21" s="292"/>
      <c r="BOO21" s="292"/>
      <c r="BOP21" s="292"/>
      <c r="BOQ21" s="292"/>
      <c r="BOR21" s="292"/>
      <c r="BOS21" s="292"/>
      <c r="BOT21" s="292"/>
      <c r="BOU21" s="292"/>
      <c r="BOV21" s="292"/>
      <c r="BOW21" s="292"/>
      <c r="BOX21" s="292"/>
      <c r="BOY21" s="292"/>
      <c r="BOZ21" s="292"/>
      <c r="BPA21" s="292"/>
      <c r="BPB21" s="292"/>
      <c r="BPC21" s="292"/>
      <c r="BPD21" s="292"/>
      <c r="BPE21" s="292"/>
      <c r="BPF21" s="292"/>
      <c r="BPG21" s="292"/>
      <c r="BPH21" s="292"/>
      <c r="BPI21" s="292"/>
      <c r="BPJ21" s="292"/>
      <c r="BPK21" s="292"/>
      <c r="BPL21" s="292"/>
      <c r="BPM21" s="292"/>
      <c r="BPN21" s="292"/>
      <c r="BPO21" s="292"/>
      <c r="BPP21" s="292"/>
      <c r="BPQ21" s="292"/>
      <c r="BPR21" s="292"/>
      <c r="BPS21" s="292"/>
      <c r="BPT21" s="292"/>
      <c r="BPU21" s="292"/>
      <c r="BPV21" s="292"/>
      <c r="BPW21" s="292"/>
      <c r="BPX21" s="292"/>
      <c r="BPY21" s="292"/>
      <c r="BPZ21" s="292"/>
      <c r="BQA21" s="292"/>
      <c r="BQB21" s="292"/>
      <c r="BQC21" s="292"/>
      <c r="BQD21" s="292"/>
      <c r="BQE21" s="292"/>
      <c r="BQF21" s="292"/>
      <c r="BQG21" s="292"/>
      <c r="BQH21" s="292"/>
      <c r="BQI21" s="292"/>
      <c r="BQJ21" s="292"/>
      <c r="BQK21" s="292"/>
      <c r="BQL21" s="292"/>
      <c r="BQM21" s="292"/>
      <c r="BQN21" s="292"/>
      <c r="BQO21" s="292"/>
      <c r="BQP21" s="292"/>
      <c r="BQQ21" s="292"/>
      <c r="BQR21" s="292"/>
      <c r="BQS21" s="292"/>
      <c r="BQT21" s="292"/>
      <c r="BQU21" s="292"/>
      <c r="BQV21" s="292"/>
      <c r="BQW21" s="292"/>
      <c r="BQX21" s="292"/>
      <c r="BQY21" s="292"/>
      <c r="BQZ21" s="292"/>
      <c r="BRA21" s="292"/>
      <c r="BRB21" s="292"/>
      <c r="BRC21" s="292"/>
      <c r="BRD21" s="292"/>
      <c r="BRE21" s="292"/>
      <c r="BRF21" s="292"/>
      <c r="BRG21" s="292"/>
      <c r="BRH21" s="292"/>
      <c r="BRI21" s="292"/>
      <c r="BRJ21" s="292"/>
      <c r="BRK21" s="292"/>
      <c r="BRL21" s="292"/>
      <c r="BRM21" s="292"/>
      <c r="BRN21" s="292"/>
      <c r="BRO21" s="292"/>
      <c r="BRP21" s="292"/>
      <c r="BRQ21" s="292"/>
      <c r="BRR21" s="292"/>
      <c r="BRS21" s="292"/>
      <c r="BRT21" s="292"/>
      <c r="BRU21" s="292"/>
      <c r="BRV21" s="292"/>
      <c r="BRW21" s="292"/>
      <c r="BRX21" s="292"/>
      <c r="BRY21" s="292"/>
      <c r="BRZ21" s="292"/>
      <c r="BSA21" s="292"/>
      <c r="BSB21" s="292"/>
      <c r="BSC21" s="292"/>
      <c r="BSD21" s="292"/>
      <c r="BSE21" s="292"/>
      <c r="BSF21" s="292"/>
      <c r="BSG21" s="292"/>
      <c r="BSH21" s="292"/>
      <c r="BSI21" s="292"/>
      <c r="BSJ21" s="292"/>
      <c r="BSK21" s="292"/>
      <c r="BSL21" s="292"/>
      <c r="BSM21" s="292"/>
      <c r="BSN21" s="292"/>
      <c r="BSO21" s="292"/>
      <c r="BSP21" s="292"/>
      <c r="BSQ21" s="292"/>
      <c r="BSR21" s="292"/>
      <c r="BSS21" s="292"/>
      <c r="BST21" s="292"/>
      <c r="BSU21" s="292"/>
      <c r="BSV21" s="292"/>
      <c r="BSW21" s="292"/>
      <c r="BSX21" s="292"/>
      <c r="BSY21" s="292"/>
      <c r="BSZ21" s="292"/>
      <c r="BTA21" s="292"/>
      <c r="BTB21" s="292"/>
      <c r="BTC21" s="292"/>
      <c r="BTD21" s="292"/>
      <c r="BTE21" s="292"/>
      <c r="BTF21" s="292"/>
      <c r="BTG21" s="292"/>
      <c r="BTH21" s="292"/>
      <c r="BTI21" s="292"/>
      <c r="BTJ21" s="292"/>
      <c r="BTK21" s="292"/>
      <c r="BTL21" s="292"/>
      <c r="BTM21" s="292"/>
      <c r="BTN21" s="292"/>
      <c r="BTO21" s="292"/>
      <c r="BTP21" s="292"/>
      <c r="BTQ21" s="292"/>
      <c r="BTR21" s="292"/>
      <c r="BTS21" s="292"/>
      <c r="BTT21" s="292"/>
      <c r="BTU21" s="292"/>
      <c r="BTV21" s="292"/>
      <c r="BTW21" s="292"/>
      <c r="BTX21" s="292"/>
      <c r="BTY21" s="292"/>
      <c r="BTZ21" s="292"/>
      <c r="BUA21" s="292"/>
      <c r="BUB21" s="292"/>
      <c r="BUC21" s="292"/>
      <c r="BUD21" s="292"/>
      <c r="BUE21" s="292"/>
      <c r="BUF21" s="292"/>
      <c r="BUG21" s="292"/>
      <c r="BUH21" s="292"/>
      <c r="BUI21" s="292"/>
      <c r="BUJ21" s="292"/>
      <c r="BUK21" s="292"/>
      <c r="BUL21" s="292"/>
      <c r="BUM21" s="292"/>
      <c r="BUN21" s="292"/>
      <c r="BUO21" s="292"/>
      <c r="BUP21" s="292"/>
      <c r="BUQ21" s="292"/>
      <c r="BUR21" s="292"/>
      <c r="BUS21" s="292"/>
      <c r="BUT21" s="292"/>
      <c r="BUU21" s="292"/>
      <c r="BUV21" s="292"/>
      <c r="BUW21" s="292"/>
      <c r="BUX21" s="292"/>
      <c r="BUY21" s="292"/>
      <c r="BUZ21" s="292"/>
      <c r="BVA21" s="292"/>
      <c r="BVB21" s="292"/>
      <c r="BVC21" s="292"/>
      <c r="BVD21" s="292"/>
      <c r="BVE21" s="292"/>
      <c r="BVF21" s="292"/>
      <c r="BVG21" s="292"/>
      <c r="BVH21" s="292"/>
      <c r="BVI21" s="292"/>
      <c r="BVJ21" s="292"/>
      <c r="BVK21" s="292"/>
      <c r="BVL21" s="292"/>
      <c r="BVM21" s="292"/>
      <c r="BVN21" s="292"/>
      <c r="BVO21" s="292"/>
      <c r="BVP21" s="292"/>
      <c r="BVQ21" s="292"/>
      <c r="BVR21" s="292"/>
      <c r="BVS21" s="292"/>
      <c r="BVT21" s="292"/>
      <c r="BVU21" s="292"/>
      <c r="BVV21" s="292"/>
      <c r="BVW21" s="292"/>
      <c r="BVX21" s="292"/>
      <c r="BVY21" s="292"/>
      <c r="BVZ21" s="292"/>
      <c r="BWA21" s="292"/>
      <c r="BWB21" s="292"/>
      <c r="BWC21" s="292"/>
      <c r="BWD21" s="292"/>
      <c r="BWE21" s="292"/>
      <c r="BWF21" s="292"/>
      <c r="BWG21" s="292"/>
      <c r="BWH21" s="292"/>
      <c r="BWI21" s="292"/>
      <c r="BWJ21" s="292"/>
      <c r="BWK21" s="292"/>
      <c r="BWL21" s="292"/>
      <c r="BWM21" s="292"/>
      <c r="BWN21" s="292"/>
      <c r="BWO21" s="292"/>
      <c r="BWP21" s="292"/>
      <c r="BWQ21" s="292"/>
      <c r="BWR21" s="292"/>
      <c r="BWS21" s="292"/>
      <c r="BWT21" s="292"/>
      <c r="BWU21" s="292"/>
      <c r="BWV21" s="292"/>
      <c r="BWW21" s="292"/>
      <c r="BWX21" s="292"/>
      <c r="BWY21" s="292"/>
      <c r="BWZ21" s="292"/>
      <c r="BXA21" s="292"/>
      <c r="BXB21" s="292"/>
      <c r="BXC21" s="292"/>
      <c r="BXD21" s="292"/>
      <c r="BXE21" s="292"/>
      <c r="BXF21" s="292"/>
      <c r="BXG21" s="292"/>
      <c r="BXH21" s="292"/>
      <c r="BXI21" s="292"/>
      <c r="BXJ21" s="292"/>
      <c r="BXK21" s="292"/>
      <c r="BXL21" s="292"/>
      <c r="BXM21" s="292"/>
      <c r="BXN21" s="292"/>
      <c r="BXO21" s="292"/>
      <c r="BXP21" s="292"/>
      <c r="BXQ21" s="292"/>
      <c r="BXR21" s="292"/>
      <c r="BXS21" s="292"/>
      <c r="BXT21" s="292"/>
      <c r="BXU21" s="292"/>
      <c r="BXV21" s="292"/>
      <c r="BXW21" s="292"/>
      <c r="BXX21" s="292"/>
      <c r="BXY21" s="292"/>
      <c r="BXZ21" s="292"/>
      <c r="BYA21" s="292"/>
      <c r="BYB21" s="292"/>
      <c r="BYC21" s="292"/>
      <c r="BYD21" s="292"/>
      <c r="BYE21" s="292"/>
      <c r="BYF21" s="292"/>
      <c r="BYG21" s="292"/>
      <c r="BYH21" s="292"/>
      <c r="BYI21" s="292"/>
      <c r="BYJ21" s="292"/>
      <c r="BYK21" s="292"/>
      <c r="BYL21" s="292"/>
      <c r="BYM21" s="292"/>
      <c r="BYN21" s="292"/>
      <c r="BYO21" s="292"/>
      <c r="BYP21" s="292"/>
      <c r="BYQ21" s="292"/>
      <c r="BYR21" s="292"/>
      <c r="BYS21" s="292"/>
      <c r="BYT21" s="292"/>
      <c r="BYU21" s="292"/>
      <c r="BYV21" s="292"/>
      <c r="BYW21" s="292"/>
      <c r="BYX21" s="292"/>
      <c r="BYY21" s="292"/>
      <c r="BYZ21" s="292"/>
      <c r="BZA21" s="292"/>
      <c r="BZB21" s="292"/>
      <c r="BZC21" s="292"/>
      <c r="BZD21" s="292"/>
      <c r="BZE21" s="292"/>
      <c r="BZF21" s="292"/>
      <c r="BZG21" s="292"/>
      <c r="BZH21" s="292"/>
      <c r="BZI21" s="292"/>
      <c r="BZJ21" s="292"/>
      <c r="BZK21" s="292"/>
      <c r="BZL21" s="292"/>
      <c r="BZM21" s="292"/>
      <c r="BZN21" s="292"/>
      <c r="BZO21" s="292"/>
      <c r="BZP21" s="292"/>
      <c r="BZQ21" s="292"/>
      <c r="BZR21" s="292"/>
      <c r="BZS21" s="292"/>
      <c r="BZT21" s="292"/>
      <c r="BZU21" s="292"/>
      <c r="BZV21" s="292"/>
      <c r="BZW21" s="292"/>
      <c r="BZX21" s="292"/>
      <c r="BZY21" s="292"/>
      <c r="BZZ21" s="292"/>
      <c r="CAA21" s="292"/>
      <c r="CAB21" s="292"/>
      <c r="CAC21" s="292"/>
      <c r="CAD21" s="292"/>
      <c r="CAE21" s="292"/>
      <c r="CAF21" s="292"/>
      <c r="CAG21" s="292"/>
      <c r="CAH21" s="292"/>
      <c r="CAI21" s="292"/>
      <c r="CAJ21" s="292"/>
      <c r="CAK21" s="292"/>
      <c r="CAL21" s="292"/>
      <c r="CAM21" s="292"/>
      <c r="CAN21" s="292"/>
      <c r="CAO21" s="292"/>
      <c r="CAP21" s="292"/>
      <c r="CAQ21" s="292"/>
      <c r="CAR21" s="292"/>
      <c r="CAS21" s="292"/>
      <c r="CAT21" s="292"/>
      <c r="CAU21" s="292"/>
      <c r="CAV21" s="292"/>
      <c r="CAW21" s="292"/>
      <c r="CAX21" s="292"/>
      <c r="CAY21" s="292"/>
      <c r="CAZ21" s="292"/>
      <c r="CBA21" s="292"/>
      <c r="CBB21" s="292"/>
      <c r="CBC21" s="292"/>
      <c r="CBD21" s="292"/>
      <c r="CBE21" s="292"/>
      <c r="CBF21" s="292"/>
      <c r="CBG21" s="292"/>
      <c r="CBH21" s="292"/>
      <c r="CBI21" s="292"/>
      <c r="CBJ21" s="292"/>
      <c r="CBK21" s="292"/>
      <c r="CBL21" s="292"/>
      <c r="CBM21" s="292"/>
      <c r="CBN21" s="292"/>
      <c r="CBO21" s="292"/>
      <c r="CBP21" s="292"/>
      <c r="CBQ21" s="292"/>
      <c r="CBR21" s="292"/>
      <c r="CBS21" s="292"/>
      <c r="CBT21" s="292"/>
      <c r="CBU21" s="292"/>
      <c r="CBV21" s="292"/>
      <c r="CBW21" s="292"/>
      <c r="CBX21" s="292"/>
      <c r="CBY21" s="292"/>
      <c r="CBZ21" s="292"/>
      <c r="CCA21" s="292"/>
      <c r="CCB21" s="292"/>
      <c r="CCC21" s="292"/>
      <c r="CCD21" s="292"/>
      <c r="CCE21" s="292"/>
      <c r="CCF21" s="292"/>
      <c r="CCG21" s="292"/>
      <c r="CCH21" s="292"/>
      <c r="CCI21" s="292"/>
      <c r="CCJ21" s="292"/>
      <c r="CCK21" s="292"/>
      <c r="CCL21" s="292"/>
      <c r="CCM21" s="292"/>
      <c r="CCN21" s="292"/>
      <c r="CCO21" s="292"/>
      <c r="CCP21" s="292"/>
      <c r="CCQ21" s="292"/>
      <c r="CCR21" s="292"/>
      <c r="CCS21" s="292"/>
      <c r="CCT21" s="292"/>
      <c r="CCU21" s="292"/>
      <c r="CCV21" s="292"/>
      <c r="CCW21" s="292"/>
      <c r="CCX21" s="292"/>
      <c r="CCY21" s="292"/>
      <c r="CCZ21" s="292"/>
      <c r="CDA21" s="292"/>
      <c r="CDB21" s="292"/>
      <c r="CDC21" s="292"/>
      <c r="CDD21" s="292"/>
      <c r="CDE21" s="292"/>
      <c r="CDF21" s="292"/>
      <c r="CDG21" s="292"/>
      <c r="CDH21" s="292"/>
      <c r="CDI21" s="292"/>
      <c r="CDJ21" s="292"/>
      <c r="CDK21" s="292"/>
      <c r="CDL21" s="292"/>
      <c r="CDM21" s="292"/>
      <c r="CDN21" s="292"/>
      <c r="CDO21" s="292"/>
      <c r="CDP21" s="292"/>
      <c r="CDQ21" s="292"/>
      <c r="CDR21" s="292"/>
      <c r="CDS21" s="292"/>
      <c r="CDT21" s="292"/>
      <c r="CDU21" s="292"/>
      <c r="CDV21" s="292"/>
      <c r="CDW21" s="292"/>
      <c r="CDX21" s="292"/>
      <c r="CDY21" s="292"/>
      <c r="CDZ21" s="292"/>
      <c r="CEA21" s="292"/>
      <c r="CEB21" s="292"/>
      <c r="CEC21" s="292"/>
      <c r="CED21" s="292"/>
      <c r="CEE21" s="292"/>
      <c r="CEF21" s="292"/>
      <c r="CEG21" s="292"/>
      <c r="CEH21" s="292"/>
      <c r="CEI21" s="292"/>
      <c r="CEJ21" s="292"/>
      <c r="CEK21" s="292"/>
      <c r="CEL21" s="292"/>
      <c r="CEM21" s="292"/>
      <c r="CEN21" s="292"/>
      <c r="CEO21" s="292"/>
      <c r="CEP21" s="292"/>
      <c r="CEQ21" s="292"/>
      <c r="CER21" s="292"/>
      <c r="CES21" s="292"/>
      <c r="CET21" s="292"/>
      <c r="CEU21" s="292"/>
      <c r="CEV21" s="292"/>
      <c r="CEW21" s="292"/>
      <c r="CEX21" s="292"/>
      <c r="CEY21" s="292"/>
      <c r="CEZ21" s="292"/>
      <c r="CFA21" s="292"/>
      <c r="CFB21" s="292"/>
      <c r="CFC21" s="292"/>
      <c r="CFD21" s="292"/>
      <c r="CFE21" s="292"/>
      <c r="CFF21" s="292"/>
      <c r="CFG21" s="292"/>
      <c r="CFH21" s="292"/>
      <c r="CFI21" s="292"/>
      <c r="CFJ21" s="292"/>
      <c r="CFK21" s="292"/>
      <c r="CFL21" s="292"/>
      <c r="CFM21" s="292"/>
      <c r="CFN21" s="292"/>
      <c r="CFO21" s="292"/>
      <c r="CFP21" s="292"/>
      <c r="CFQ21" s="292"/>
      <c r="CFR21" s="292"/>
      <c r="CFS21" s="292"/>
      <c r="CFT21" s="292"/>
      <c r="CFU21" s="292"/>
      <c r="CFV21" s="292"/>
      <c r="CFW21" s="292"/>
      <c r="CFX21" s="292"/>
      <c r="CFY21" s="292"/>
      <c r="CFZ21" s="292"/>
      <c r="CGA21" s="292"/>
      <c r="CGB21" s="292"/>
      <c r="CGC21" s="292"/>
      <c r="CGD21" s="292"/>
      <c r="CGE21" s="292"/>
      <c r="CGF21" s="292"/>
      <c r="CGG21" s="292"/>
      <c r="CGH21" s="292"/>
      <c r="CGI21" s="292"/>
      <c r="CGJ21" s="292"/>
      <c r="CGK21" s="292"/>
      <c r="CGL21" s="292"/>
      <c r="CGM21" s="292"/>
      <c r="CGN21" s="292"/>
      <c r="CGO21" s="292"/>
      <c r="CGP21" s="292"/>
      <c r="CGQ21" s="292"/>
      <c r="CGR21" s="292"/>
      <c r="CGS21" s="292"/>
      <c r="CGT21" s="292"/>
      <c r="CGU21" s="292"/>
      <c r="CGV21" s="292"/>
      <c r="CGW21" s="292"/>
      <c r="CGX21" s="292"/>
      <c r="CGY21" s="292"/>
      <c r="CGZ21" s="292"/>
      <c r="CHA21" s="292"/>
      <c r="CHB21" s="292"/>
      <c r="CHC21" s="292"/>
      <c r="CHD21" s="292"/>
      <c r="CHE21" s="292"/>
      <c r="CHF21" s="292"/>
      <c r="CHG21" s="292"/>
      <c r="CHH21" s="292"/>
      <c r="CHI21" s="292"/>
      <c r="CHJ21" s="292"/>
      <c r="CHK21" s="292"/>
      <c r="CHL21" s="292"/>
      <c r="CHM21" s="292"/>
      <c r="CHN21" s="292"/>
      <c r="CHO21" s="292"/>
      <c r="CHP21" s="292"/>
      <c r="CHQ21" s="292"/>
      <c r="CHR21" s="292"/>
      <c r="CHS21" s="292"/>
      <c r="CHT21" s="292"/>
      <c r="CHU21" s="292"/>
      <c r="CHV21" s="292"/>
      <c r="CHW21" s="292"/>
      <c r="CHX21" s="292"/>
      <c r="CHY21" s="292"/>
      <c r="CHZ21" s="292"/>
      <c r="CIA21" s="292"/>
      <c r="CIB21" s="292"/>
      <c r="CIC21" s="292"/>
      <c r="CID21" s="292"/>
      <c r="CIE21" s="292"/>
      <c r="CIF21" s="292"/>
      <c r="CIG21" s="292"/>
      <c r="CIH21" s="292"/>
      <c r="CII21" s="292"/>
      <c r="CIJ21" s="292"/>
      <c r="CIK21" s="292"/>
      <c r="CIL21" s="292"/>
      <c r="CIM21" s="292"/>
      <c r="CIN21" s="292"/>
      <c r="CIO21" s="292"/>
      <c r="CIP21" s="292"/>
      <c r="CIQ21" s="292"/>
      <c r="CIR21" s="292"/>
      <c r="CIS21" s="292"/>
      <c r="CIT21" s="292"/>
      <c r="CIU21" s="292"/>
      <c r="CIV21" s="292"/>
      <c r="CIW21" s="292"/>
      <c r="CIX21" s="292"/>
      <c r="CIY21" s="292"/>
      <c r="CIZ21" s="292"/>
      <c r="CJA21" s="292"/>
      <c r="CJB21" s="292"/>
      <c r="CJC21" s="292"/>
      <c r="CJD21" s="292"/>
      <c r="CJE21" s="292"/>
      <c r="CJF21" s="292"/>
      <c r="CJG21" s="292"/>
      <c r="CJH21" s="292"/>
      <c r="CJI21" s="292"/>
      <c r="CJJ21" s="292"/>
      <c r="CJK21" s="292"/>
      <c r="CJL21" s="292"/>
      <c r="CJM21" s="292"/>
      <c r="CJN21" s="292"/>
      <c r="CJO21" s="292"/>
      <c r="CJP21" s="292"/>
      <c r="CJQ21" s="292"/>
      <c r="CJR21" s="292"/>
      <c r="CJS21" s="292"/>
      <c r="CJT21" s="292"/>
      <c r="CJU21" s="292"/>
      <c r="CJV21" s="292"/>
      <c r="CJW21" s="292"/>
      <c r="CJX21" s="292"/>
      <c r="CJY21" s="292"/>
      <c r="CJZ21" s="292"/>
      <c r="CKA21" s="292"/>
      <c r="CKB21" s="292"/>
      <c r="CKC21" s="292"/>
      <c r="CKD21" s="292"/>
      <c r="CKE21" s="292"/>
      <c r="CKF21" s="292"/>
      <c r="CKG21" s="292"/>
      <c r="CKH21" s="292"/>
      <c r="CKI21" s="292"/>
      <c r="CKJ21" s="292"/>
      <c r="CKK21" s="292"/>
      <c r="CKL21" s="292"/>
      <c r="CKM21" s="292"/>
      <c r="CKN21" s="292"/>
      <c r="CKO21" s="292"/>
      <c r="CKP21" s="292"/>
      <c r="CKQ21" s="292"/>
      <c r="CKR21" s="292"/>
      <c r="CKS21" s="292"/>
      <c r="CKT21" s="292"/>
      <c r="CKU21" s="292"/>
      <c r="CKV21" s="292"/>
      <c r="CKW21" s="292"/>
      <c r="CKX21" s="292"/>
      <c r="CKY21" s="292"/>
      <c r="CKZ21" s="292"/>
      <c r="CLA21" s="292"/>
      <c r="CLB21" s="292"/>
      <c r="CLC21" s="292"/>
      <c r="CLD21" s="292"/>
      <c r="CLE21" s="292"/>
      <c r="CLF21" s="292"/>
      <c r="CLG21" s="292"/>
      <c r="CLH21" s="292"/>
      <c r="CLI21" s="292"/>
      <c r="CLJ21" s="292"/>
      <c r="CLK21" s="292"/>
      <c r="CLL21" s="292"/>
      <c r="CLM21" s="292"/>
      <c r="CLN21" s="292"/>
      <c r="CLO21" s="292"/>
      <c r="CLP21" s="292"/>
      <c r="CLQ21" s="292"/>
      <c r="CLR21" s="292"/>
      <c r="CLS21" s="292"/>
      <c r="CLT21" s="292"/>
      <c r="CLU21" s="292"/>
      <c r="CLV21" s="292"/>
      <c r="CLW21" s="292"/>
      <c r="CLX21" s="292"/>
      <c r="CLY21" s="292"/>
      <c r="CLZ21" s="292"/>
      <c r="CMA21" s="292"/>
      <c r="CMB21" s="292"/>
      <c r="CMC21" s="292"/>
      <c r="CMD21" s="292"/>
      <c r="CME21" s="292"/>
      <c r="CMF21" s="292"/>
      <c r="CMG21" s="292"/>
      <c r="CMH21" s="292"/>
      <c r="CMI21" s="292"/>
      <c r="CMJ21" s="292"/>
      <c r="CMK21" s="292"/>
      <c r="CML21" s="292"/>
      <c r="CMM21" s="292"/>
      <c r="CMN21" s="292"/>
      <c r="CMO21" s="292"/>
      <c r="CMP21" s="292"/>
      <c r="CMQ21" s="292"/>
      <c r="CMR21" s="292"/>
      <c r="CMS21" s="292"/>
      <c r="CMT21" s="292"/>
      <c r="CMU21" s="292"/>
      <c r="CMV21" s="292"/>
      <c r="CMW21" s="292"/>
      <c r="CMX21" s="292"/>
      <c r="CMY21" s="292"/>
      <c r="CMZ21" s="292"/>
      <c r="CNA21" s="292"/>
      <c r="CNB21" s="292"/>
      <c r="CNC21" s="292"/>
      <c r="CND21" s="292"/>
      <c r="CNE21" s="292"/>
      <c r="CNF21" s="292"/>
      <c r="CNG21" s="292"/>
      <c r="CNH21" s="292"/>
      <c r="CNI21" s="292"/>
      <c r="CNJ21" s="292"/>
      <c r="CNK21" s="292"/>
      <c r="CNL21" s="292"/>
      <c r="CNM21" s="292"/>
      <c r="CNN21" s="292"/>
      <c r="CNO21" s="292"/>
      <c r="CNP21" s="292"/>
      <c r="CNQ21" s="292"/>
      <c r="CNR21" s="292"/>
      <c r="CNS21" s="292"/>
      <c r="CNT21" s="292"/>
      <c r="CNU21" s="292"/>
      <c r="CNV21" s="292"/>
      <c r="CNW21" s="292"/>
      <c r="CNX21" s="292"/>
      <c r="CNY21" s="292"/>
      <c r="CNZ21" s="292"/>
      <c r="COA21" s="292"/>
      <c r="COB21" s="292"/>
      <c r="COC21" s="292"/>
      <c r="COD21" s="292"/>
      <c r="COE21" s="292"/>
      <c r="COF21" s="292"/>
      <c r="COG21" s="292"/>
      <c r="COH21" s="292"/>
      <c r="COI21" s="292"/>
      <c r="COJ21" s="292"/>
      <c r="COK21" s="292"/>
      <c r="COL21" s="292"/>
      <c r="COM21" s="292"/>
      <c r="CON21" s="292"/>
      <c r="COO21" s="292"/>
      <c r="COP21" s="292"/>
      <c r="COQ21" s="292"/>
      <c r="COR21" s="292"/>
      <c r="COS21" s="292"/>
      <c r="COT21" s="292"/>
      <c r="COU21" s="292"/>
      <c r="COV21" s="292"/>
      <c r="COW21" s="292"/>
      <c r="COX21" s="292"/>
      <c r="COY21" s="292"/>
      <c r="COZ21" s="292"/>
      <c r="CPA21" s="292"/>
      <c r="CPB21" s="292"/>
      <c r="CPC21" s="292"/>
      <c r="CPD21" s="292"/>
      <c r="CPE21" s="292"/>
      <c r="CPF21" s="292"/>
      <c r="CPG21" s="292"/>
      <c r="CPH21" s="292"/>
      <c r="CPI21" s="292"/>
      <c r="CPJ21" s="292"/>
      <c r="CPK21" s="292"/>
      <c r="CPL21" s="292"/>
      <c r="CPM21" s="292"/>
      <c r="CPN21" s="292"/>
      <c r="CPO21" s="292"/>
      <c r="CPP21" s="292"/>
      <c r="CPQ21" s="292"/>
      <c r="CPR21" s="292"/>
      <c r="CPS21" s="292"/>
      <c r="CPT21" s="292"/>
      <c r="CPU21" s="292"/>
      <c r="CPV21" s="292"/>
      <c r="CPW21" s="292"/>
      <c r="CPX21" s="292"/>
      <c r="CPY21" s="292"/>
      <c r="CPZ21" s="292"/>
      <c r="CQA21" s="292"/>
      <c r="CQB21" s="292"/>
      <c r="CQC21" s="292"/>
      <c r="CQD21" s="292"/>
      <c r="CQE21" s="292"/>
      <c r="CQF21" s="292"/>
      <c r="CQG21" s="292"/>
      <c r="CQH21" s="292"/>
      <c r="CQI21" s="292"/>
      <c r="CQJ21" s="292"/>
      <c r="CQK21" s="292"/>
      <c r="CQL21" s="292"/>
      <c r="CQM21" s="292"/>
      <c r="CQN21" s="292"/>
      <c r="CQO21" s="292"/>
      <c r="CQP21" s="292"/>
      <c r="CQQ21" s="292"/>
      <c r="CQR21" s="292"/>
      <c r="CQS21" s="292"/>
      <c r="CQT21" s="292"/>
      <c r="CQU21" s="292"/>
      <c r="CQV21" s="292"/>
      <c r="CQW21" s="292"/>
      <c r="CQX21" s="292"/>
      <c r="CQY21" s="292"/>
      <c r="CQZ21" s="292"/>
      <c r="CRA21" s="292"/>
      <c r="CRB21" s="292"/>
      <c r="CRC21" s="292"/>
      <c r="CRD21" s="292"/>
      <c r="CRE21" s="292"/>
      <c r="CRF21" s="292"/>
      <c r="CRG21" s="292"/>
      <c r="CRH21" s="292"/>
      <c r="CRI21" s="292"/>
      <c r="CRJ21" s="292"/>
      <c r="CRK21" s="292"/>
      <c r="CRL21" s="292"/>
      <c r="CRM21" s="292"/>
      <c r="CRN21" s="292"/>
      <c r="CRO21" s="292"/>
      <c r="CRP21" s="292"/>
      <c r="CRQ21" s="292"/>
      <c r="CRR21" s="292"/>
      <c r="CRS21" s="292"/>
      <c r="CRT21" s="292"/>
      <c r="CRU21" s="292"/>
      <c r="CRV21" s="292"/>
      <c r="CRW21" s="292"/>
      <c r="CRX21" s="292"/>
      <c r="CRY21" s="292"/>
      <c r="CRZ21" s="292"/>
      <c r="CSA21" s="292"/>
      <c r="CSB21" s="292"/>
      <c r="CSC21" s="292"/>
      <c r="CSD21" s="292"/>
      <c r="CSE21" s="292"/>
      <c r="CSF21" s="292"/>
      <c r="CSG21" s="292"/>
      <c r="CSH21" s="292"/>
      <c r="CSI21" s="292"/>
      <c r="CSJ21" s="292"/>
      <c r="CSK21" s="292"/>
      <c r="CSL21" s="292"/>
      <c r="CSM21" s="292"/>
      <c r="CSN21" s="292"/>
      <c r="CSO21" s="292"/>
      <c r="CSP21" s="292"/>
      <c r="CSQ21" s="292"/>
      <c r="CSR21" s="292"/>
      <c r="CSS21" s="292"/>
      <c r="CST21" s="292"/>
      <c r="CSU21" s="292"/>
      <c r="CSV21" s="292"/>
      <c r="CSW21" s="292"/>
      <c r="CSX21" s="292"/>
      <c r="CSY21" s="292"/>
      <c r="CSZ21" s="292"/>
      <c r="CTA21" s="292"/>
      <c r="CTB21" s="292"/>
      <c r="CTC21" s="292"/>
      <c r="CTD21" s="292"/>
      <c r="CTE21" s="292"/>
      <c r="CTF21" s="292"/>
      <c r="CTG21" s="292"/>
      <c r="CTH21" s="292"/>
      <c r="CTI21" s="292"/>
      <c r="CTJ21" s="292"/>
      <c r="CTK21" s="292"/>
      <c r="CTL21" s="292"/>
      <c r="CTM21" s="292"/>
      <c r="CTN21" s="292"/>
      <c r="CTO21" s="292"/>
      <c r="CTP21" s="292"/>
      <c r="CTQ21" s="292"/>
      <c r="CTR21" s="292"/>
      <c r="CTS21" s="292"/>
      <c r="CTT21" s="292"/>
      <c r="CTU21" s="292"/>
      <c r="CTV21" s="292"/>
      <c r="CTW21" s="292"/>
      <c r="CTX21" s="292"/>
      <c r="CTY21" s="292"/>
      <c r="CTZ21" s="292"/>
      <c r="CUA21" s="292"/>
      <c r="CUB21" s="292"/>
      <c r="CUC21" s="292"/>
      <c r="CUD21" s="292"/>
      <c r="CUE21" s="292"/>
      <c r="CUF21" s="292"/>
      <c r="CUG21" s="292"/>
      <c r="CUH21" s="292"/>
      <c r="CUI21" s="292"/>
      <c r="CUJ21" s="292"/>
      <c r="CUK21" s="292"/>
      <c r="CUL21" s="292"/>
      <c r="CUM21" s="292"/>
      <c r="CUN21" s="292"/>
      <c r="CUO21" s="292"/>
      <c r="CUP21" s="292"/>
      <c r="CUQ21" s="292"/>
      <c r="CUR21" s="292"/>
      <c r="CUS21" s="292"/>
      <c r="CUT21" s="292"/>
      <c r="CUU21" s="292"/>
      <c r="CUV21" s="292"/>
      <c r="CUW21" s="292"/>
      <c r="CUX21" s="292"/>
      <c r="CUY21" s="292"/>
      <c r="CUZ21" s="292"/>
      <c r="CVA21" s="292"/>
      <c r="CVB21" s="292"/>
      <c r="CVC21" s="292"/>
      <c r="CVD21" s="292"/>
      <c r="CVE21" s="292"/>
      <c r="CVF21" s="292"/>
      <c r="CVG21" s="292"/>
      <c r="CVH21" s="292"/>
      <c r="CVI21" s="292"/>
      <c r="CVJ21" s="292"/>
      <c r="CVK21" s="292"/>
      <c r="CVL21" s="292"/>
      <c r="CVM21" s="292"/>
      <c r="CVN21" s="292"/>
      <c r="CVO21" s="292"/>
      <c r="CVP21" s="292"/>
      <c r="CVQ21" s="292"/>
      <c r="CVR21" s="292"/>
      <c r="CVS21" s="292"/>
      <c r="CVT21" s="292"/>
      <c r="CVU21" s="292"/>
      <c r="CVV21" s="292"/>
      <c r="CVW21" s="292"/>
      <c r="CVX21" s="292"/>
      <c r="CVY21" s="292"/>
      <c r="CVZ21" s="292"/>
      <c r="CWA21" s="292"/>
      <c r="CWB21" s="292"/>
      <c r="CWC21" s="292"/>
      <c r="CWD21" s="292"/>
      <c r="CWE21" s="292"/>
      <c r="CWF21" s="292"/>
      <c r="CWG21" s="292"/>
      <c r="CWH21" s="292"/>
      <c r="CWI21" s="292"/>
      <c r="CWJ21" s="292"/>
      <c r="CWK21" s="292"/>
      <c r="CWL21" s="292"/>
      <c r="CWM21" s="292"/>
      <c r="CWN21" s="292"/>
      <c r="CWO21" s="292"/>
      <c r="CWP21" s="292"/>
      <c r="CWQ21" s="292"/>
      <c r="CWR21" s="292"/>
      <c r="CWS21" s="292"/>
      <c r="CWT21" s="292"/>
      <c r="CWU21" s="292"/>
      <c r="CWV21" s="292"/>
      <c r="CWW21" s="292"/>
      <c r="CWX21" s="292"/>
      <c r="CWY21" s="292"/>
      <c r="CWZ21" s="292"/>
      <c r="CXA21" s="292"/>
      <c r="CXB21" s="292"/>
      <c r="CXC21" s="292"/>
      <c r="CXD21" s="292"/>
      <c r="CXE21" s="292"/>
      <c r="CXF21" s="292"/>
      <c r="CXG21" s="292"/>
      <c r="CXH21" s="292"/>
      <c r="CXI21" s="292"/>
      <c r="CXJ21" s="292"/>
      <c r="CXK21" s="292"/>
      <c r="CXL21" s="292"/>
      <c r="CXM21" s="292"/>
      <c r="CXN21" s="292"/>
      <c r="CXO21" s="292"/>
      <c r="CXP21" s="292"/>
      <c r="CXQ21" s="292"/>
      <c r="CXR21" s="292"/>
      <c r="CXS21" s="292"/>
      <c r="CXT21" s="292"/>
      <c r="CXU21" s="292"/>
      <c r="CXV21" s="292"/>
      <c r="CXW21" s="292"/>
      <c r="CXX21" s="292"/>
      <c r="CXY21" s="292"/>
      <c r="CXZ21" s="292"/>
      <c r="CYA21" s="292"/>
      <c r="CYB21" s="292"/>
      <c r="CYC21" s="292"/>
      <c r="CYD21" s="292"/>
      <c r="CYE21" s="292"/>
      <c r="CYF21" s="292"/>
      <c r="CYG21" s="292"/>
      <c r="CYH21" s="292"/>
      <c r="CYI21" s="292"/>
      <c r="CYJ21" s="292"/>
      <c r="CYK21" s="292"/>
      <c r="CYL21" s="292"/>
      <c r="CYM21" s="292"/>
      <c r="CYN21" s="292"/>
      <c r="CYO21" s="292"/>
      <c r="CYP21" s="292"/>
      <c r="CYQ21" s="292"/>
      <c r="CYR21" s="292"/>
      <c r="CYS21" s="292"/>
      <c r="CYT21" s="292"/>
      <c r="CYU21" s="292"/>
      <c r="CYV21" s="292"/>
      <c r="CYW21" s="292"/>
      <c r="CYX21" s="292"/>
      <c r="CYY21" s="292"/>
      <c r="CYZ21" s="292"/>
      <c r="CZA21" s="292"/>
      <c r="CZB21" s="292"/>
      <c r="CZC21" s="292"/>
      <c r="CZD21" s="292"/>
      <c r="CZE21" s="292"/>
      <c r="CZF21" s="292"/>
      <c r="CZG21" s="292"/>
      <c r="CZH21" s="292"/>
      <c r="CZI21" s="292"/>
      <c r="CZJ21" s="292"/>
      <c r="CZK21" s="292"/>
      <c r="CZL21" s="292"/>
      <c r="CZM21" s="292"/>
      <c r="CZN21" s="292"/>
      <c r="CZO21" s="292"/>
      <c r="CZP21" s="292"/>
      <c r="CZQ21" s="292"/>
      <c r="CZR21" s="292"/>
      <c r="CZS21" s="292"/>
      <c r="CZT21" s="292"/>
      <c r="CZU21" s="292"/>
      <c r="CZV21" s="292"/>
      <c r="CZW21" s="292"/>
      <c r="CZX21" s="292"/>
      <c r="CZY21" s="292"/>
      <c r="CZZ21" s="292"/>
      <c r="DAA21" s="292"/>
      <c r="DAB21" s="292"/>
      <c r="DAC21" s="292"/>
      <c r="DAD21" s="292"/>
      <c r="DAE21" s="292"/>
      <c r="DAF21" s="292"/>
      <c r="DAG21" s="292"/>
      <c r="DAH21" s="292"/>
      <c r="DAI21" s="292"/>
      <c r="DAJ21" s="292"/>
      <c r="DAK21" s="292"/>
      <c r="DAL21" s="292"/>
      <c r="DAM21" s="292"/>
      <c r="DAN21" s="292"/>
      <c r="DAO21" s="292"/>
      <c r="DAP21" s="292"/>
      <c r="DAQ21" s="292"/>
      <c r="DAR21" s="292"/>
      <c r="DAS21" s="292"/>
      <c r="DAT21" s="292"/>
      <c r="DAU21" s="292"/>
      <c r="DAV21" s="292"/>
      <c r="DAW21" s="292"/>
      <c r="DAX21" s="292"/>
      <c r="DAY21" s="292"/>
      <c r="DAZ21" s="292"/>
      <c r="DBA21" s="292"/>
      <c r="DBB21" s="292"/>
      <c r="DBC21" s="292"/>
      <c r="DBD21" s="292"/>
      <c r="DBE21" s="292"/>
      <c r="DBF21" s="292"/>
      <c r="DBG21" s="292"/>
      <c r="DBH21" s="292"/>
      <c r="DBI21" s="292"/>
      <c r="DBJ21" s="292"/>
      <c r="DBK21" s="292"/>
      <c r="DBL21" s="292"/>
      <c r="DBM21" s="292"/>
      <c r="DBN21" s="292"/>
      <c r="DBO21" s="292"/>
      <c r="DBP21" s="292"/>
      <c r="DBQ21" s="292"/>
      <c r="DBR21" s="292"/>
      <c r="DBS21" s="292"/>
      <c r="DBT21" s="292"/>
      <c r="DBU21" s="292"/>
      <c r="DBV21" s="292"/>
      <c r="DBW21" s="292"/>
      <c r="DBX21" s="292"/>
      <c r="DBY21" s="292"/>
      <c r="DBZ21" s="292"/>
      <c r="DCA21" s="292"/>
      <c r="DCB21" s="292"/>
      <c r="DCC21" s="292"/>
      <c r="DCD21" s="292"/>
      <c r="DCE21" s="292"/>
      <c r="DCF21" s="292"/>
      <c r="DCG21" s="292"/>
      <c r="DCH21" s="292"/>
      <c r="DCI21" s="292"/>
      <c r="DCJ21" s="292"/>
      <c r="DCK21" s="292"/>
      <c r="DCL21" s="292"/>
      <c r="DCM21" s="292"/>
      <c r="DCN21" s="292"/>
      <c r="DCO21" s="292"/>
      <c r="DCP21" s="292"/>
      <c r="DCQ21" s="292"/>
      <c r="DCR21" s="292"/>
      <c r="DCS21" s="292"/>
      <c r="DCT21" s="292"/>
      <c r="DCU21" s="292"/>
      <c r="DCV21" s="292"/>
      <c r="DCW21" s="292"/>
      <c r="DCX21" s="292"/>
      <c r="DCY21" s="292"/>
      <c r="DCZ21" s="292"/>
      <c r="DDA21" s="292"/>
      <c r="DDB21" s="292"/>
      <c r="DDC21" s="292"/>
      <c r="DDD21" s="292"/>
      <c r="DDE21" s="292"/>
      <c r="DDF21" s="292"/>
      <c r="DDG21" s="292"/>
      <c r="DDH21" s="292"/>
      <c r="DDI21" s="292"/>
      <c r="DDJ21" s="292"/>
      <c r="DDK21" s="292"/>
      <c r="DDL21" s="292"/>
      <c r="DDM21" s="292"/>
      <c r="DDN21" s="292"/>
      <c r="DDO21" s="292"/>
      <c r="DDP21" s="292"/>
      <c r="DDQ21" s="292"/>
      <c r="DDR21" s="292"/>
      <c r="DDS21" s="292"/>
      <c r="DDT21" s="292"/>
      <c r="DDU21" s="292"/>
      <c r="DDV21" s="292"/>
      <c r="DDW21" s="292"/>
      <c r="DDX21" s="292"/>
      <c r="DDY21" s="292"/>
      <c r="DDZ21" s="292"/>
      <c r="DEA21" s="292"/>
      <c r="DEB21" s="292"/>
      <c r="DEC21" s="292"/>
      <c r="DED21" s="292"/>
      <c r="DEE21" s="292"/>
      <c r="DEF21" s="292"/>
      <c r="DEG21" s="292"/>
      <c r="DEH21" s="292"/>
      <c r="DEI21" s="292"/>
      <c r="DEJ21" s="292"/>
      <c r="DEK21" s="292"/>
      <c r="DEL21" s="292"/>
      <c r="DEM21" s="292"/>
      <c r="DEN21" s="292"/>
      <c r="DEO21" s="292"/>
      <c r="DEP21" s="292"/>
      <c r="DEQ21" s="292"/>
      <c r="DER21" s="292"/>
      <c r="DES21" s="292"/>
      <c r="DET21" s="292"/>
      <c r="DEU21" s="292"/>
      <c r="DEV21" s="292"/>
      <c r="DEW21" s="292"/>
      <c r="DEX21" s="292"/>
      <c r="DEY21" s="292"/>
      <c r="DEZ21" s="292"/>
      <c r="DFA21" s="292"/>
      <c r="DFB21" s="292"/>
      <c r="DFC21" s="292"/>
      <c r="DFD21" s="292"/>
      <c r="DFE21" s="292"/>
      <c r="DFF21" s="292"/>
      <c r="DFG21" s="292"/>
      <c r="DFH21" s="292"/>
      <c r="DFI21" s="292"/>
      <c r="DFJ21" s="292"/>
      <c r="DFK21" s="292"/>
      <c r="DFL21" s="292"/>
      <c r="DFM21" s="292"/>
      <c r="DFN21" s="292"/>
      <c r="DFO21" s="292"/>
      <c r="DFP21" s="292"/>
      <c r="DFQ21" s="292"/>
      <c r="DFR21" s="292"/>
      <c r="DFS21" s="292"/>
      <c r="DFT21" s="292"/>
      <c r="DFU21" s="292"/>
      <c r="DFV21" s="292"/>
      <c r="DFW21" s="292"/>
      <c r="DFX21" s="292"/>
      <c r="DFY21" s="292"/>
      <c r="DFZ21" s="292"/>
      <c r="DGA21" s="292"/>
      <c r="DGB21" s="292"/>
      <c r="DGC21" s="292"/>
      <c r="DGD21" s="292"/>
      <c r="DGE21" s="292"/>
      <c r="DGF21" s="292"/>
      <c r="DGG21" s="292"/>
      <c r="DGH21" s="292"/>
      <c r="DGI21" s="292"/>
      <c r="DGJ21" s="292"/>
      <c r="DGK21" s="292"/>
      <c r="DGL21" s="292"/>
      <c r="DGM21" s="292"/>
      <c r="DGN21" s="292"/>
      <c r="DGO21" s="292"/>
      <c r="DGP21" s="292"/>
      <c r="DGQ21" s="292"/>
      <c r="DGR21" s="292"/>
      <c r="DGS21" s="292"/>
      <c r="DGT21" s="292"/>
      <c r="DGU21" s="292"/>
      <c r="DGV21" s="292"/>
      <c r="DGW21" s="292"/>
      <c r="DGX21" s="292"/>
      <c r="DGY21" s="292"/>
      <c r="DGZ21" s="292"/>
      <c r="DHA21" s="292"/>
      <c r="DHB21" s="292"/>
      <c r="DHC21" s="292"/>
      <c r="DHD21" s="292"/>
      <c r="DHE21" s="292"/>
      <c r="DHF21" s="292"/>
      <c r="DHG21" s="292"/>
      <c r="DHH21" s="292"/>
      <c r="DHI21" s="292"/>
      <c r="DHJ21" s="292"/>
      <c r="DHK21" s="292"/>
      <c r="DHL21" s="292"/>
      <c r="DHM21" s="292"/>
      <c r="DHN21" s="292"/>
      <c r="DHO21" s="292"/>
      <c r="DHP21" s="292"/>
      <c r="DHQ21" s="292"/>
      <c r="DHR21" s="292"/>
      <c r="DHS21" s="292"/>
      <c r="DHT21" s="292"/>
      <c r="DHU21" s="292"/>
      <c r="DHV21" s="292"/>
      <c r="DHW21" s="292"/>
      <c r="DHX21" s="292"/>
      <c r="DHY21" s="292"/>
      <c r="DHZ21" s="292"/>
      <c r="DIA21" s="292"/>
      <c r="DIB21" s="292"/>
      <c r="DIC21" s="292"/>
      <c r="DID21" s="292"/>
      <c r="DIE21" s="292"/>
      <c r="DIF21" s="292"/>
      <c r="DIG21" s="292"/>
      <c r="DIH21" s="292"/>
      <c r="DII21" s="292"/>
      <c r="DIJ21" s="292"/>
      <c r="DIK21" s="292"/>
      <c r="DIL21" s="292"/>
      <c r="DIM21" s="292"/>
      <c r="DIN21" s="292"/>
      <c r="DIO21" s="292"/>
      <c r="DIP21" s="292"/>
      <c r="DIQ21" s="292"/>
      <c r="DIR21" s="292"/>
      <c r="DIS21" s="292"/>
      <c r="DIT21" s="292"/>
      <c r="DIU21" s="292"/>
      <c r="DIV21" s="292"/>
      <c r="DIW21" s="292"/>
      <c r="DIX21" s="292"/>
      <c r="DIY21" s="292"/>
      <c r="DIZ21" s="292"/>
      <c r="DJA21" s="292"/>
      <c r="DJB21" s="292"/>
      <c r="DJC21" s="292"/>
      <c r="DJD21" s="292"/>
      <c r="DJE21" s="292"/>
      <c r="DJF21" s="292"/>
      <c r="DJG21" s="292"/>
      <c r="DJH21" s="292"/>
      <c r="DJI21" s="292"/>
      <c r="DJJ21" s="292"/>
      <c r="DJK21" s="292"/>
      <c r="DJL21" s="292"/>
      <c r="DJM21" s="292"/>
      <c r="DJN21" s="292"/>
      <c r="DJO21" s="292"/>
      <c r="DJP21" s="292"/>
      <c r="DJQ21" s="292"/>
      <c r="DJR21" s="292"/>
      <c r="DJS21" s="292"/>
      <c r="DJT21" s="292"/>
      <c r="DJU21" s="292"/>
      <c r="DJV21" s="292"/>
      <c r="DJW21" s="292"/>
      <c r="DJX21" s="292"/>
      <c r="DJY21" s="292"/>
      <c r="DJZ21" s="292"/>
      <c r="DKA21" s="292"/>
      <c r="DKB21" s="292"/>
      <c r="DKC21" s="292"/>
      <c r="DKD21" s="292"/>
      <c r="DKE21" s="292"/>
      <c r="DKF21" s="292"/>
      <c r="DKG21" s="292"/>
      <c r="DKH21" s="292"/>
      <c r="DKI21" s="292"/>
      <c r="DKJ21" s="292"/>
      <c r="DKK21" s="292"/>
      <c r="DKL21" s="292"/>
      <c r="DKM21" s="292"/>
      <c r="DKN21" s="292"/>
      <c r="DKO21" s="292"/>
      <c r="DKP21" s="292"/>
      <c r="DKQ21" s="292"/>
      <c r="DKR21" s="292"/>
      <c r="DKS21" s="292"/>
      <c r="DKT21" s="292"/>
      <c r="DKU21" s="292"/>
      <c r="DKV21" s="292"/>
      <c r="DKW21" s="292"/>
      <c r="DKX21" s="292"/>
      <c r="DKY21" s="292"/>
      <c r="DKZ21" s="292"/>
      <c r="DLA21" s="292"/>
      <c r="DLB21" s="292"/>
      <c r="DLC21" s="292"/>
      <c r="DLD21" s="292"/>
      <c r="DLE21" s="292"/>
      <c r="DLF21" s="292"/>
      <c r="DLG21" s="292"/>
      <c r="DLH21" s="292"/>
      <c r="DLI21" s="292"/>
      <c r="DLJ21" s="292"/>
      <c r="DLK21" s="292"/>
      <c r="DLL21" s="292"/>
      <c r="DLM21" s="292"/>
      <c r="DLN21" s="292"/>
      <c r="DLO21" s="292"/>
      <c r="DLP21" s="292"/>
      <c r="DLQ21" s="292"/>
      <c r="DLR21" s="292"/>
      <c r="DLS21" s="292"/>
      <c r="DLT21" s="292"/>
      <c r="DLU21" s="292"/>
      <c r="DLV21" s="292"/>
      <c r="DLW21" s="292"/>
      <c r="DLX21" s="292"/>
      <c r="DLY21" s="292"/>
      <c r="DLZ21" s="292"/>
      <c r="DMA21" s="292"/>
      <c r="DMB21" s="292"/>
      <c r="DMC21" s="292"/>
      <c r="DMD21" s="292"/>
      <c r="DME21" s="292"/>
      <c r="DMF21" s="292"/>
      <c r="DMG21" s="292"/>
      <c r="DMH21" s="292"/>
      <c r="DMI21" s="292"/>
      <c r="DMJ21" s="292"/>
      <c r="DMK21" s="292"/>
      <c r="DML21" s="292"/>
      <c r="DMM21" s="292"/>
      <c r="DMN21" s="292"/>
      <c r="DMO21" s="292"/>
      <c r="DMP21" s="292"/>
      <c r="DMQ21" s="292"/>
      <c r="DMR21" s="292"/>
      <c r="DMS21" s="292"/>
      <c r="DMT21" s="292"/>
      <c r="DMU21" s="292"/>
      <c r="DMV21" s="292"/>
      <c r="DMW21" s="292"/>
      <c r="DMX21" s="292"/>
      <c r="DMY21" s="292"/>
      <c r="DMZ21" s="292"/>
      <c r="DNA21" s="292"/>
      <c r="DNB21" s="292"/>
      <c r="DNC21" s="292"/>
      <c r="DND21" s="292"/>
      <c r="DNE21" s="292"/>
      <c r="DNF21" s="292"/>
      <c r="DNG21" s="292"/>
      <c r="DNH21" s="292"/>
      <c r="DNI21" s="292"/>
      <c r="DNJ21" s="292"/>
      <c r="DNK21" s="292"/>
      <c r="DNL21" s="292"/>
      <c r="DNM21" s="292"/>
      <c r="DNN21" s="292"/>
      <c r="DNO21" s="292"/>
      <c r="DNP21" s="292"/>
      <c r="DNQ21" s="292"/>
      <c r="DNR21" s="292"/>
      <c r="DNS21" s="292"/>
      <c r="DNT21" s="292"/>
      <c r="DNU21" s="292"/>
      <c r="DNV21" s="292"/>
      <c r="DNW21" s="292"/>
      <c r="DNX21" s="292"/>
      <c r="DNY21" s="292"/>
      <c r="DNZ21" s="292"/>
      <c r="DOA21" s="292"/>
      <c r="DOB21" s="292"/>
      <c r="DOC21" s="292"/>
      <c r="DOD21" s="292"/>
      <c r="DOE21" s="292"/>
      <c r="DOF21" s="292"/>
      <c r="DOG21" s="292"/>
      <c r="DOH21" s="292"/>
      <c r="DOI21" s="292"/>
      <c r="DOJ21" s="292"/>
      <c r="DOK21" s="292"/>
      <c r="DOL21" s="292"/>
      <c r="DOM21" s="292"/>
      <c r="DON21" s="292"/>
      <c r="DOO21" s="292"/>
      <c r="DOP21" s="292"/>
      <c r="DOQ21" s="292"/>
      <c r="DOR21" s="292"/>
      <c r="DOS21" s="292"/>
      <c r="DOT21" s="292"/>
      <c r="DOU21" s="292"/>
      <c r="DOV21" s="292"/>
      <c r="DOW21" s="292"/>
      <c r="DOX21" s="292"/>
      <c r="DOY21" s="292"/>
      <c r="DOZ21" s="292"/>
      <c r="DPA21" s="292"/>
      <c r="DPB21" s="292"/>
      <c r="DPC21" s="292"/>
      <c r="DPD21" s="292"/>
      <c r="DPE21" s="292"/>
      <c r="DPF21" s="292"/>
      <c r="DPG21" s="292"/>
      <c r="DPH21" s="292"/>
      <c r="DPI21" s="292"/>
      <c r="DPJ21" s="292"/>
      <c r="DPK21" s="292"/>
      <c r="DPL21" s="292"/>
      <c r="DPM21" s="292"/>
      <c r="DPN21" s="292"/>
      <c r="DPO21" s="292"/>
      <c r="DPP21" s="292"/>
      <c r="DPQ21" s="292"/>
      <c r="DPR21" s="292"/>
      <c r="DPS21" s="292"/>
      <c r="DPT21" s="292"/>
      <c r="DPU21" s="292"/>
      <c r="DPV21" s="292"/>
      <c r="DPW21" s="292"/>
      <c r="DPX21" s="292"/>
      <c r="DPY21" s="292"/>
      <c r="DPZ21" s="292"/>
      <c r="DQA21" s="292"/>
      <c r="DQB21" s="292"/>
      <c r="DQC21" s="292"/>
      <c r="DQD21" s="292"/>
      <c r="DQE21" s="292"/>
      <c r="DQF21" s="292"/>
      <c r="DQG21" s="292"/>
      <c r="DQH21" s="292"/>
      <c r="DQI21" s="292"/>
      <c r="DQJ21" s="292"/>
      <c r="DQK21" s="292"/>
      <c r="DQL21" s="292"/>
      <c r="DQM21" s="292"/>
      <c r="DQN21" s="292"/>
      <c r="DQO21" s="292"/>
      <c r="DQP21" s="292"/>
      <c r="DQQ21" s="292"/>
      <c r="DQR21" s="292"/>
      <c r="DQS21" s="292"/>
      <c r="DQT21" s="292"/>
      <c r="DQU21" s="292"/>
      <c r="DQV21" s="292"/>
      <c r="DQW21" s="292"/>
      <c r="DQX21" s="292"/>
      <c r="DQY21" s="292"/>
      <c r="DQZ21" s="292"/>
      <c r="DRA21" s="292"/>
      <c r="DRB21" s="292"/>
      <c r="DRC21" s="292"/>
      <c r="DRD21" s="292"/>
      <c r="DRE21" s="292"/>
      <c r="DRF21" s="292"/>
      <c r="DRG21" s="292"/>
      <c r="DRH21" s="292"/>
      <c r="DRI21" s="292"/>
      <c r="DRJ21" s="292"/>
      <c r="DRK21" s="292"/>
      <c r="DRL21" s="292"/>
      <c r="DRM21" s="292"/>
      <c r="DRN21" s="292"/>
      <c r="DRO21" s="292"/>
      <c r="DRP21" s="292"/>
      <c r="DRQ21" s="292"/>
      <c r="DRR21" s="292"/>
      <c r="DRS21" s="292"/>
      <c r="DRT21" s="292"/>
      <c r="DRU21" s="292"/>
      <c r="DRV21" s="292"/>
      <c r="DRW21" s="292"/>
      <c r="DRX21" s="292"/>
      <c r="DRY21" s="292"/>
      <c r="DRZ21" s="292"/>
      <c r="DSA21" s="292"/>
      <c r="DSB21" s="292"/>
      <c r="DSC21" s="292"/>
      <c r="DSD21" s="292"/>
      <c r="DSE21" s="292"/>
      <c r="DSF21" s="292"/>
      <c r="DSG21" s="292"/>
      <c r="DSH21" s="292"/>
      <c r="DSI21" s="292"/>
      <c r="DSJ21" s="292"/>
      <c r="DSK21" s="292"/>
      <c r="DSL21" s="292"/>
      <c r="DSM21" s="292"/>
      <c r="DSN21" s="292"/>
      <c r="DSO21" s="292"/>
      <c r="DSP21" s="292"/>
      <c r="DSQ21" s="292"/>
      <c r="DSR21" s="292"/>
      <c r="DSS21" s="292"/>
      <c r="DST21" s="292"/>
      <c r="DSU21" s="292"/>
      <c r="DSV21" s="292"/>
      <c r="DSW21" s="292"/>
      <c r="DSX21" s="292"/>
      <c r="DSY21" s="292"/>
      <c r="DSZ21" s="292"/>
      <c r="DTA21" s="292"/>
      <c r="DTB21" s="292"/>
      <c r="DTC21" s="292"/>
      <c r="DTD21" s="292"/>
      <c r="DTE21" s="292"/>
      <c r="DTF21" s="292"/>
      <c r="DTG21" s="292"/>
      <c r="DTH21" s="292"/>
      <c r="DTI21" s="292"/>
      <c r="DTJ21" s="292"/>
      <c r="DTK21" s="292"/>
      <c r="DTL21" s="292"/>
      <c r="DTM21" s="292"/>
      <c r="DTN21" s="292"/>
      <c r="DTO21" s="292"/>
      <c r="DTP21" s="292"/>
      <c r="DTQ21" s="292"/>
      <c r="DTR21" s="292"/>
      <c r="DTS21" s="292"/>
      <c r="DTT21" s="292"/>
      <c r="DTU21" s="292"/>
      <c r="DTV21" s="292"/>
      <c r="DTW21" s="292"/>
      <c r="DTX21" s="292"/>
      <c r="DTY21" s="292"/>
      <c r="DTZ21" s="292"/>
      <c r="DUA21" s="292"/>
      <c r="DUB21" s="292"/>
      <c r="DUC21" s="292"/>
      <c r="DUD21" s="292"/>
      <c r="DUE21" s="292"/>
      <c r="DUF21" s="292"/>
      <c r="DUG21" s="292"/>
      <c r="DUH21" s="292"/>
      <c r="DUI21" s="292"/>
      <c r="DUJ21" s="292"/>
      <c r="DUK21" s="292"/>
      <c r="DUL21" s="292"/>
      <c r="DUM21" s="292"/>
      <c r="DUN21" s="292"/>
      <c r="DUO21" s="292"/>
      <c r="DUP21" s="292"/>
      <c r="DUQ21" s="292"/>
      <c r="DUR21" s="292"/>
      <c r="DUS21" s="292"/>
      <c r="DUT21" s="292"/>
      <c r="DUU21" s="292"/>
      <c r="DUV21" s="292"/>
      <c r="DUW21" s="292"/>
      <c r="DUX21" s="292"/>
      <c r="DUY21" s="292"/>
      <c r="DUZ21" s="292"/>
      <c r="DVA21" s="292"/>
      <c r="DVB21" s="292"/>
      <c r="DVC21" s="292"/>
      <c r="DVD21" s="292"/>
      <c r="DVE21" s="292"/>
      <c r="DVF21" s="292"/>
      <c r="DVG21" s="292"/>
      <c r="DVH21" s="292"/>
      <c r="DVI21" s="292"/>
      <c r="DVJ21" s="292"/>
      <c r="DVK21" s="292"/>
      <c r="DVL21" s="292"/>
      <c r="DVM21" s="292"/>
      <c r="DVN21" s="292"/>
      <c r="DVO21" s="292"/>
      <c r="DVP21" s="292"/>
      <c r="DVQ21" s="292"/>
      <c r="DVR21" s="292"/>
      <c r="DVS21" s="292"/>
      <c r="DVT21" s="292"/>
      <c r="DVU21" s="292"/>
      <c r="DVV21" s="292"/>
      <c r="DVW21" s="292"/>
      <c r="DVX21" s="292"/>
      <c r="DVY21" s="292"/>
      <c r="DVZ21" s="292"/>
      <c r="DWA21" s="292"/>
      <c r="DWB21" s="292"/>
      <c r="DWC21" s="292"/>
      <c r="DWD21" s="292"/>
      <c r="DWE21" s="292"/>
      <c r="DWF21" s="292"/>
      <c r="DWG21" s="292"/>
      <c r="DWH21" s="292"/>
      <c r="DWI21" s="292"/>
      <c r="DWJ21" s="292"/>
      <c r="DWK21" s="292"/>
      <c r="DWL21" s="292"/>
      <c r="DWM21" s="292"/>
      <c r="DWN21" s="292"/>
      <c r="DWO21" s="292"/>
      <c r="DWP21" s="292"/>
      <c r="DWQ21" s="292"/>
      <c r="DWR21" s="292"/>
      <c r="DWS21" s="292"/>
      <c r="DWT21" s="292"/>
      <c r="DWU21" s="292"/>
      <c r="DWV21" s="292"/>
      <c r="DWW21" s="292"/>
      <c r="DWX21" s="292"/>
      <c r="DWY21" s="292"/>
      <c r="DWZ21" s="292"/>
      <c r="DXA21" s="292"/>
      <c r="DXB21" s="292"/>
      <c r="DXC21" s="292"/>
      <c r="DXD21" s="292"/>
      <c r="DXE21" s="292"/>
      <c r="DXF21" s="292"/>
      <c r="DXG21" s="292"/>
      <c r="DXH21" s="292"/>
      <c r="DXI21" s="292"/>
      <c r="DXJ21" s="292"/>
      <c r="DXK21" s="292"/>
      <c r="DXL21" s="292"/>
      <c r="DXM21" s="292"/>
      <c r="DXN21" s="292"/>
      <c r="DXO21" s="292"/>
      <c r="DXP21" s="292"/>
      <c r="DXQ21" s="292"/>
      <c r="DXR21" s="292"/>
      <c r="DXS21" s="292"/>
      <c r="DXT21" s="292"/>
      <c r="DXU21" s="292"/>
      <c r="DXV21" s="292"/>
      <c r="DXW21" s="292"/>
      <c r="DXX21" s="292"/>
      <c r="DXY21" s="292"/>
      <c r="DXZ21" s="292"/>
      <c r="DYA21" s="292"/>
      <c r="DYB21" s="292"/>
      <c r="DYC21" s="292"/>
      <c r="DYD21" s="292"/>
      <c r="DYE21" s="292"/>
      <c r="DYF21" s="292"/>
      <c r="DYG21" s="292"/>
      <c r="DYH21" s="292"/>
      <c r="DYI21" s="292"/>
      <c r="DYJ21" s="292"/>
      <c r="DYK21" s="292"/>
      <c r="DYL21" s="292"/>
      <c r="DYM21" s="292"/>
      <c r="DYN21" s="292"/>
      <c r="DYO21" s="292"/>
      <c r="DYP21" s="292"/>
      <c r="DYQ21" s="292"/>
      <c r="DYR21" s="292"/>
      <c r="DYS21" s="292"/>
      <c r="DYT21" s="292"/>
      <c r="DYU21" s="292"/>
      <c r="DYV21" s="292"/>
      <c r="DYW21" s="292"/>
      <c r="DYX21" s="292"/>
      <c r="DYY21" s="292"/>
      <c r="DYZ21" s="292"/>
      <c r="DZA21" s="292"/>
      <c r="DZB21" s="292"/>
      <c r="DZC21" s="292"/>
      <c r="DZD21" s="292"/>
      <c r="DZE21" s="292"/>
      <c r="DZF21" s="292"/>
      <c r="DZG21" s="292"/>
      <c r="DZH21" s="292"/>
      <c r="DZI21" s="292"/>
      <c r="DZJ21" s="292"/>
      <c r="DZK21" s="292"/>
      <c r="DZL21" s="292"/>
      <c r="DZM21" s="292"/>
      <c r="DZN21" s="292"/>
      <c r="DZO21" s="292"/>
      <c r="DZP21" s="292"/>
      <c r="DZQ21" s="292"/>
      <c r="DZR21" s="292"/>
      <c r="DZS21" s="292"/>
      <c r="DZT21" s="292"/>
      <c r="DZU21" s="292"/>
      <c r="DZV21" s="292"/>
      <c r="DZW21" s="292"/>
      <c r="DZX21" s="292"/>
      <c r="DZY21" s="292"/>
      <c r="DZZ21" s="292"/>
      <c r="EAA21" s="292"/>
      <c r="EAB21" s="292"/>
      <c r="EAC21" s="292"/>
      <c r="EAD21" s="292"/>
      <c r="EAE21" s="292"/>
      <c r="EAF21" s="292"/>
      <c r="EAG21" s="292"/>
      <c r="EAH21" s="292"/>
      <c r="EAI21" s="292"/>
      <c r="EAJ21" s="292"/>
      <c r="EAK21" s="292"/>
      <c r="EAL21" s="292"/>
      <c r="EAM21" s="292"/>
      <c r="EAN21" s="292"/>
      <c r="EAO21" s="292"/>
      <c r="EAP21" s="292"/>
      <c r="EAQ21" s="292"/>
      <c r="EAR21" s="292"/>
      <c r="EAS21" s="292"/>
      <c r="EAT21" s="292"/>
      <c r="EAU21" s="292"/>
      <c r="EAV21" s="292"/>
      <c r="EAW21" s="292"/>
      <c r="EAX21" s="292"/>
      <c r="EAY21" s="292"/>
      <c r="EAZ21" s="292"/>
      <c r="EBA21" s="292"/>
      <c r="EBB21" s="292"/>
      <c r="EBC21" s="292"/>
      <c r="EBD21" s="292"/>
      <c r="EBE21" s="292"/>
      <c r="EBF21" s="292"/>
      <c r="EBG21" s="292"/>
      <c r="EBH21" s="292"/>
      <c r="EBI21" s="292"/>
      <c r="EBJ21" s="292"/>
      <c r="EBK21" s="292"/>
      <c r="EBL21" s="292"/>
      <c r="EBM21" s="292"/>
      <c r="EBN21" s="292"/>
      <c r="EBO21" s="292"/>
      <c r="EBP21" s="292"/>
      <c r="EBQ21" s="292"/>
      <c r="EBR21" s="292"/>
      <c r="EBS21" s="292"/>
      <c r="EBT21" s="292"/>
      <c r="EBU21" s="292"/>
      <c r="EBV21" s="292"/>
      <c r="EBW21" s="292"/>
      <c r="EBX21" s="292"/>
      <c r="EBY21" s="292"/>
      <c r="EBZ21" s="292"/>
      <c r="ECA21" s="292"/>
      <c r="ECB21" s="292"/>
      <c r="ECC21" s="292"/>
      <c r="ECD21" s="292"/>
      <c r="ECE21" s="292"/>
      <c r="ECF21" s="292"/>
      <c r="ECG21" s="292"/>
      <c r="ECH21" s="292"/>
      <c r="ECI21" s="292"/>
      <c r="ECJ21" s="292"/>
      <c r="ECK21" s="292"/>
      <c r="ECL21" s="292"/>
      <c r="ECM21" s="292"/>
      <c r="ECN21" s="292"/>
      <c r="ECO21" s="292"/>
      <c r="ECP21" s="292"/>
      <c r="ECQ21" s="292"/>
      <c r="ECR21" s="292"/>
      <c r="ECS21" s="292"/>
      <c r="ECT21" s="292"/>
      <c r="ECU21" s="292"/>
      <c r="ECV21" s="292"/>
      <c r="ECW21" s="292"/>
      <c r="ECX21" s="292"/>
      <c r="ECY21" s="292"/>
      <c r="ECZ21" s="292"/>
      <c r="EDA21" s="292"/>
      <c r="EDB21" s="292"/>
      <c r="EDC21" s="292"/>
      <c r="EDD21" s="292"/>
      <c r="EDE21" s="292"/>
      <c r="EDF21" s="292"/>
      <c r="EDG21" s="292"/>
      <c r="EDH21" s="292"/>
      <c r="EDI21" s="292"/>
      <c r="EDJ21" s="292"/>
      <c r="EDK21" s="292"/>
      <c r="EDL21" s="292"/>
      <c r="EDM21" s="292"/>
      <c r="EDN21" s="292"/>
      <c r="EDO21" s="292"/>
      <c r="EDP21" s="292"/>
      <c r="EDQ21" s="292"/>
      <c r="EDR21" s="292"/>
      <c r="EDS21" s="292"/>
      <c r="EDT21" s="292"/>
      <c r="EDU21" s="292"/>
      <c r="EDV21" s="292"/>
      <c r="EDW21" s="292"/>
      <c r="EDX21" s="292"/>
      <c r="EDY21" s="292"/>
      <c r="EDZ21" s="292"/>
      <c r="EEA21" s="292"/>
      <c r="EEB21" s="292"/>
      <c r="EEC21" s="292"/>
      <c r="EED21" s="292"/>
      <c r="EEE21" s="292"/>
      <c r="EEF21" s="292"/>
      <c r="EEG21" s="292"/>
      <c r="EEH21" s="292"/>
      <c r="EEI21" s="292"/>
      <c r="EEJ21" s="292"/>
      <c r="EEK21" s="292"/>
      <c r="EEL21" s="292"/>
      <c r="EEM21" s="292"/>
      <c r="EEN21" s="292"/>
      <c r="EEO21" s="292"/>
      <c r="EEP21" s="292"/>
      <c r="EEQ21" s="292"/>
      <c r="EER21" s="292"/>
      <c r="EES21" s="292"/>
      <c r="EET21" s="292"/>
      <c r="EEU21" s="292"/>
      <c r="EEV21" s="292"/>
      <c r="EEW21" s="292"/>
      <c r="EEX21" s="292"/>
      <c r="EEY21" s="292"/>
      <c r="EEZ21" s="292"/>
      <c r="EFA21" s="292"/>
      <c r="EFB21" s="292"/>
      <c r="EFC21" s="292"/>
      <c r="EFD21" s="292"/>
      <c r="EFE21" s="292"/>
      <c r="EFF21" s="292"/>
      <c r="EFG21" s="292"/>
      <c r="EFH21" s="292"/>
      <c r="EFI21" s="292"/>
      <c r="EFJ21" s="292"/>
      <c r="EFK21" s="292"/>
      <c r="EFL21" s="292"/>
      <c r="EFM21" s="292"/>
      <c r="EFN21" s="292"/>
      <c r="EFO21" s="292"/>
      <c r="EFP21" s="292"/>
      <c r="EFQ21" s="292"/>
      <c r="EFR21" s="292"/>
      <c r="EFS21" s="292"/>
      <c r="EFT21" s="292"/>
      <c r="EFU21" s="292"/>
      <c r="EFV21" s="292"/>
      <c r="EFW21" s="292"/>
      <c r="EFX21" s="292"/>
      <c r="EFY21" s="292"/>
      <c r="EFZ21" s="292"/>
      <c r="EGA21" s="292"/>
      <c r="EGB21" s="292"/>
      <c r="EGC21" s="292"/>
      <c r="EGD21" s="292"/>
      <c r="EGE21" s="292"/>
      <c r="EGF21" s="292"/>
      <c r="EGG21" s="292"/>
      <c r="EGH21" s="292"/>
      <c r="EGI21" s="292"/>
      <c r="EGJ21" s="292"/>
      <c r="EGK21" s="292"/>
      <c r="EGL21" s="292"/>
      <c r="EGM21" s="292"/>
      <c r="EGN21" s="292"/>
      <c r="EGO21" s="292"/>
      <c r="EGP21" s="292"/>
      <c r="EGQ21" s="292"/>
      <c r="EGR21" s="292"/>
      <c r="EGS21" s="292"/>
      <c r="EGT21" s="292"/>
      <c r="EGU21" s="292"/>
      <c r="EGV21" s="292"/>
      <c r="EGW21" s="292"/>
      <c r="EGX21" s="292"/>
      <c r="EGY21" s="292"/>
      <c r="EGZ21" s="292"/>
      <c r="EHA21" s="292"/>
      <c r="EHB21" s="292"/>
      <c r="EHC21" s="292"/>
      <c r="EHD21" s="292"/>
      <c r="EHE21" s="292"/>
      <c r="EHF21" s="292"/>
      <c r="EHG21" s="292"/>
      <c r="EHH21" s="292"/>
      <c r="EHI21" s="292"/>
      <c r="EHJ21" s="292"/>
      <c r="EHK21" s="292"/>
      <c r="EHL21" s="292"/>
      <c r="EHM21" s="292"/>
      <c r="EHN21" s="292"/>
      <c r="EHO21" s="292"/>
      <c r="EHP21" s="292"/>
      <c r="EHQ21" s="292"/>
      <c r="EHR21" s="292"/>
      <c r="EHS21" s="292"/>
      <c r="EHT21" s="292"/>
      <c r="EHU21" s="292"/>
      <c r="EHV21" s="292"/>
      <c r="EHW21" s="292"/>
      <c r="EHX21" s="292"/>
      <c r="EHY21" s="292"/>
      <c r="EHZ21" s="292"/>
      <c r="EIA21" s="292"/>
      <c r="EIB21" s="292"/>
      <c r="EIC21" s="292"/>
      <c r="EID21" s="292"/>
      <c r="EIE21" s="292"/>
      <c r="EIF21" s="292"/>
      <c r="EIG21" s="292"/>
      <c r="EIH21" s="292"/>
      <c r="EII21" s="292"/>
      <c r="EIJ21" s="292"/>
      <c r="EIK21" s="292"/>
      <c r="EIL21" s="292"/>
      <c r="EIM21" s="292"/>
      <c r="EIN21" s="292"/>
      <c r="EIO21" s="292"/>
      <c r="EIP21" s="292"/>
      <c r="EIQ21" s="292"/>
      <c r="EIR21" s="292"/>
      <c r="EIS21" s="292"/>
      <c r="EIT21" s="292"/>
      <c r="EIU21" s="292"/>
      <c r="EIV21" s="292"/>
      <c r="EIW21" s="292"/>
      <c r="EIX21" s="292"/>
      <c r="EIY21" s="292"/>
      <c r="EIZ21" s="292"/>
      <c r="EJA21" s="292"/>
      <c r="EJB21" s="292"/>
      <c r="EJC21" s="292"/>
      <c r="EJD21" s="292"/>
      <c r="EJE21" s="292"/>
      <c r="EJF21" s="292"/>
      <c r="EJG21" s="292"/>
      <c r="EJH21" s="292"/>
      <c r="EJI21" s="292"/>
      <c r="EJJ21" s="292"/>
      <c r="EJK21" s="292"/>
      <c r="EJL21" s="292"/>
      <c r="EJM21" s="292"/>
      <c r="EJN21" s="292"/>
      <c r="EJO21" s="292"/>
      <c r="EJP21" s="292"/>
      <c r="EJQ21" s="292"/>
      <c r="EJR21" s="292"/>
      <c r="EJS21" s="292"/>
      <c r="EJT21" s="292"/>
      <c r="EJU21" s="292"/>
      <c r="EJV21" s="292"/>
      <c r="EJW21" s="292"/>
      <c r="EJX21" s="292"/>
      <c r="EJY21" s="292"/>
      <c r="EJZ21" s="292"/>
      <c r="EKA21" s="292"/>
      <c r="EKB21" s="292"/>
      <c r="EKC21" s="292"/>
      <c r="EKD21" s="292"/>
      <c r="EKE21" s="292"/>
      <c r="EKF21" s="292"/>
      <c r="EKG21" s="292"/>
      <c r="EKH21" s="292"/>
      <c r="EKI21" s="292"/>
      <c r="EKJ21" s="292"/>
      <c r="EKK21" s="292"/>
      <c r="EKL21" s="292"/>
      <c r="EKM21" s="292"/>
      <c r="EKN21" s="292"/>
      <c r="EKO21" s="292"/>
      <c r="EKP21" s="292"/>
      <c r="EKQ21" s="292"/>
      <c r="EKR21" s="292"/>
      <c r="EKS21" s="292"/>
      <c r="EKT21" s="292"/>
      <c r="EKU21" s="292"/>
      <c r="EKV21" s="292"/>
      <c r="EKW21" s="292"/>
      <c r="EKX21" s="292"/>
      <c r="EKY21" s="292"/>
      <c r="EKZ21" s="292"/>
      <c r="ELA21" s="292"/>
      <c r="ELB21" s="292"/>
      <c r="ELC21" s="292"/>
      <c r="ELD21" s="292"/>
      <c r="ELE21" s="292"/>
      <c r="ELF21" s="292"/>
      <c r="ELG21" s="292"/>
      <c r="ELH21" s="292"/>
      <c r="ELI21" s="292"/>
      <c r="ELJ21" s="292"/>
      <c r="ELK21" s="292"/>
      <c r="ELL21" s="292"/>
      <c r="ELM21" s="292"/>
      <c r="ELN21" s="292"/>
      <c r="ELO21" s="292"/>
      <c r="ELP21" s="292"/>
      <c r="ELQ21" s="292"/>
      <c r="ELR21" s="292"/>
      <c r="ELS21" s="292"/>
      <c r="ELT21" s="292"/>
      <c r="ELU21" s="292"/>
      <c r="ELV21" s="292"/>
      <c r="ELW21" s="292"/>
      <c r="ELX21" s="292"/>
      <c r="ELY21" s="292"/>
      <c r="ELZ21" s="292"/>
      <c r="EMA21" s="292"/>
      <c r="EMB21" s="292"/>
      <c r="EMC21" s="292"/>
      <c r="EMD21" s="292"/>
      <c r="EME21" s="292"/>
      <c r="EMF21" s="292"/>
      <c r="EMG21" s="292"/>
      <c r="EMH21" s="292"/>
      <c r="EMI21" s="292"/>
      <c r="EMJ21" s="292"/>
      <c r="EMK21" s="292"/>
      <c r="EML21" s="292"/>
      <c r="EMM21" s="292"/>
      <c r="EMN21" s="292"/>
      <c r="EMO21" s="292"/>
      <c r="EMP21" s="292"/>
      <c r="EMQ21" s="292"/>
      <c r="EMR21" s="292"/>
      <c r="EMS21" s="292"/>
      <c r="EMT21" s="292"/>
      <c r="EMU21" s="292"/>
      <c r="EMV21" s="292"/>
      <c r="EMW21" s="292"/>
      <c r="EMX21" s="292"/>
      <c r="EMY21" s="292"/>
      <c r="EMZ21" s="292"/>
      <c r="ENA21" s="292"/>
      <c r="ENB21" s="292"/>
      <c r="ENC21" s="292"/>
      <c r="END21" s="292"/>
      <c r="ENE21" s="292"/>
      <c r="ENF21" s="292"/>
      <c r="ENG21" s="292"/>
      <c r="ENH21" s="292"/>
      <c r="ENI21" s="292"/>
      <c r="ENJ21" s="292"/>
      <c r="ENK21" s="292"/>
      <c r="ENL21" s="292"/>
      <c r="ENM21" s="292"/>
      <c r="ENN21" s="292"/>
      <c r="ENO21" s="292"/>
      <c r="ENP21" s="292"/>
      <c r="ENQ21" s="292"/>
      <c r="ENR21" s="292"/>
      <c r="ENS21" s="292"/>
      <c r="ENT21" s="292"/>
      <c r="ENU21" s="292"/>
      <c r="ENV21" s="292"/>
      <c r="ENW21" s="292"/>
      <c r="ENX21" s="292"/>
      <c r="ENY21" s="292"/>
      <c r="ENZ21" s="292"/>
      <c r="EOA21" s="292"/>
      <c r="EOB21" s="292"/>
      <c r="EOC21" s="292"/>
      <c r="EOD21" s="292"/>
      <c r="EOE21" s="292"/>
      <c r="EOF21" s="292"/>
      <c r="EOG21" s="292"/>
      <c r="EOH21" s="292"/>
      <c r="EOI21" s="292"/>
      <c r="EOJ21" s="292"/>
      <c r="EOK21" s="292"/>
      <c r="EOL21" s="292"/>
      <c r="EOM21" s="292"/>
      <c r="EON21" s="292"/>
      <c r="EOO21" s="292"/>
      <c r="EOP21" s="292"/>
      <c r="EOQ21" s="292"/>
      <c r="EOR21" s="292"/>
      <c r="EOS21" s="292"/>
      <c r="EOT21" s="292"/>
      <c r="EOU21" s="292"/>
      <c r="EOV21" s="292"/>
      <c r="EOW21" s="292"/>
      <c r="EOX21" s="292"/>
      <c r="EOY21" s="292"/>
      <c r="EOZ21" s="292"/>
      <c r="EPA21" s="292"/>
      <c r="EPB21" s="292"/>
      <c r="EPC21" s="292"/>
      <c r="EPD21" s="292"/>
      <c r="EPE21" s="292"/>
      <c r="EPF21" s="292"/>
      <c r="EPG21" s="292"/>
      <c r="EPH21" s="292"/>
      <c r="EPI21" s="292"/>
      <c r="EPJ21" s="292"/>
      <c r="EPK21" s="292"/>
      <c r="EPL21" s="292"/>
      <c r="EPM21" s="292"/>
      <c r="EPN21" s="292"/>
      <c r="EPO21" s="292"/>
      <c r="EPP21" s="292"/>
      <c r="EPQ21" s="292"/>
      <c r="EPR21" s="292"/>
      <c r="EPS21" s="292"/>
      <c r="EPT21" s="292"/>
      <c r="EPU21" s="292"/>
      <c r="EPV21" s="292"/>
      <c r="EPW21" s="292"/>
      <c r="EPX21" s="292"/>
      <c r="EPY21" s="292"/>
      <c r="EPZ21" s="292"/>
      <c r="EQA21" s="292"/>
      <c r="EQB21" s="292"/>
      <c r="EQC21" s="292"/>
      <c r="EQD21" s="292"/>
      <c r="EQE21" s="292"/>
      <c r="EQF21" s="292"/>
      <c r="EQG21" s="292"/>
      <c r="EQH21" s="292"/>
      <c r="EQI21" s="292"/>
      <c r="EQJ21" s="292"/>
      <c r="EQK21" s="292"/>
      <c r="EQL21" s="292"/>
      <c r="EQM21" s="292"/>
      <c r="EQN21" s="292"/>
      <c r="EQO21" s="292"/>
      <c r="EQP21" s="292"/>
      <c r="EQQ21" s="292"/>
      <c r="EQR21" s="292"/>
      <c r="EQS21" s="292"/>
      <c r="EQT21" s="292"/>
      <c r="EQU21" s="292"/>
      <c r="EQV21" s="292"/>
      <c r="EQW21" s="292"/>
      <c r="EQX21" s="292"/>
      <c r="EQY21" s="292"/>
      <c r="EQZ21" s="292"/>
      <c r="ERA21" s="292"/>
      <c r="ERB21" s="292"/>
      <c r="ERC21" s="292"/>
      <c r="ERD21" s="292"/>
      <c r="ERE21" s="292"/>
      <c r="ERF21" s="292"/>
      <c r="ERG21" s="292"/>
      <c r="ERH21" s="292"/>
      <c r="ERI21" s="292"/>
      <c r="ERJ21" s="292"/>
      <c r="ERK21" s="292"/>
      <c r="ERL21" s="292"/>
      <c r="ERM21" s="292"/>
      <c r="ERN21" s="292"/>
      <c r="ERO21" s="292"/>
      <c r="ERP21" s="292"/>
      <c r="ERQ21" s="292"/>
      <c r="ERR21" s="292"/>
      <c r="ERS21" s="292"/>
      <c r="ERT21" s="292"/>
      <c r="ERU21" s="292"/>
      <c r="ERV21" s="292"/>
      <c r="ERW21" s="292"/>
      <c r="ERX21" s="292"/>
      <c r="ERY21" s="292"/>
      <c r="ERZ21" s="292"/>
      <c r="ESA21" s="292"/>
      <c r="ESB21" s="292"/>
      <c r="ESC21" s="292"/>
      <c r="ESD21" s="292"/>
      <c r="ESE21" s="292"/>
      <c r="ESF21" s="292"/>
      <c r="ESG21" s="292"/>
      <c r="ESH21" s="292"/>
      <c r="ESI21" s="292"/>
      <c r="ESJ21" s="292"/>
      <c r="ESK21" s="292"/>
      <c r="ESL21" s="292"/>
      <c r="ESM21" s="292"/>
      <c r="ESN21" s="292"/>
      <c r="ESO21" s="292"/>
      <c r="ESP21" s="292"/>
      <c r="ESQ21" s="292"/>
      <c r="ESR21" s="292"/>
      <c r="ESS21" s="292"/>
      <c r="EST21" s="292"/>
      <c r="ESU21" s="292"/>
      <c r="ESV21" s="292"/>
      <c r="ESW21" s="292"/>
      <c r="ESX21" s="292"/>
      <c r="ESY21" s="292"/>
      <c r="ESZ21" s="292"/>
      <c r="ETA21" s="292"/>
      <c r="ETB21" s="292"/>
      <c r="ETC21" s="292"/>
      <c r="ETD21" s="292"/>
      <c r="ETE21" s="292"/>
      <c r="ETF21" s="292"/>
      <c r="ETG21" s="292"/>
      <c r="ETH21" s="292"/>
      <c r="ETI21" s="292"/>
      <c r="ETJ21" s="292"/>
      <c r="ETK21" s="292"/>
      <c r="ETL21" s="292"/>
      <c r="ETM21" s="292"/>
      <c r="ETN21" s="292"/>
      <c r="ETO21" s="292"/>
      <c r="ETP21" s="292"/>
      <c r="ETQ21" s="292"/>
      <c r="ETR21" s="292"/>
      <c r="ETS21" s="292"/>
      <c r="ETT21" s="292"/>
      <c r="ETU21" s="292"/>
      <c r="ETV21" s="292"/>
      <c r="ETW21" s="292"/>
      <c r="ETX21" s="292"/>
      <c r="ETY21" s="292"/>
      <c r="ETZ21" s="292"/>
      <c r="EUA21" s="292"/>
      <c r="EUB21" s="292"/>
      <c r="EUC21" s="292"/>
      <c r="EUD21" s="292"/>
      <c r="EUE21" s="292"/>
      <c r="EUF21" s="292"/>
      <c r="EUG21" s="292"/>
      <c r="EUH21" s="292"/>
      <c r="EUI21" s="292"/>
      <c r="EUJ21" s="292"/>
      <c r="EUK21" s="292"/>
      <c r="EUL21" s="292"/>
      <c r="EUM21" s="292"/>
      <c r="EUN21" s="292"/>
      <c r="EUO21" s="292"/>
      <c r="EUP21" s="292"/>
      <c r="EUQ21" s="292"/>
      <c r="EUR21" s="292"/>
      <c r="EUS21" s="292"/>
      <c r="EUT21" s="292"/>
      <c r="EUU21" s="292"/>
      <c r="EUV21" s="292"/>
      <c r="EUW21" s="292"/>
      <c r="EUX21" s="292"/>
      <c r="EUY21" s="292"/>
      <c r="EUZ21" s="292"/>
      <c r="EVA21" s="292"/>
      <c r="EVB21" s="292"/>
      <c r="EVC21" s="292"/>
      <c r="EVD21" s="292"/>
      <c r="EVE21" s="292"/>
      <c r="EVF21" s="292"/>
      <c r="EVG21" s="292"/>
      <c r="EVH21" s="292"/>
      <c r="EVI21" s="292"/>
      <c r="EVJ21" s="292"/>
      <c r="EVK21" s="292"/>
      <c r="EVL21" s="292"/>
      <c r="EVM21" s="292"/>
      <c r="EVN21" s="292"/>
      <c r="EVO21" s="292"/>
      <c r="EVP21" s="292"/>
      <c r="EVQ21" s="292"/>
      <c r="EVR21" s="292"/>
      <c r="EVS21" s="292"/>
      <c r="EVT21" s="292"/>
      <c r="EVU21" s="292"/>
      <c r="EVV21" s="292"/>
      <c r="EVW21" s="292"/>
      <c r="EVX21" s="292"/>
      <c r="EVY21" s="292"/>
      <c r="EVZ21" s="292"/>
      <c r="EWA21" s="292"/>
      <c r="EWB21" s="292"/>
      <c r="EWC21" s="292"/>
      <c r="EWD21" s="292"/>
      <c r="EWE21" s="292"/>
      <c r="EWF21" s="292"/>
      <c r="EWG21" s="292"/>
      <c r="EWH21" s="292"/>
      <c r="EWI21" s="292"/>
      <c r="EWJ21" s="292"/>
      <c r="EWK21" s="292"/>
      <c r="EWL21" s="292"/>
      <c r="EWM21" s="292"/>
      <c r="EWN21" s="292"/>
      <c r="EWO21" s="292"/>
      <c r="EWP21" s="292"/>
      <c r="EWQ21" s="292"/>
      <c r="EWR21" s="292"/>
      <c r="EWS21" s="292"/>
      <c r="EWT21" s="292"/>
      <c r="EWU21" s="292"/>
      <c r="EWV21" s="292"/>
      <c r="EWW21" s="292"/>
      <c r="EWX21" s="292"/>
      <c r="EWY21" s="292"/>
      <c r="EWZ21" s="292"/>
      <c r="EXA21" s="292"/>
      <c r="EXB21" s="292"/>
      <c r="EXC21" s="292"/>
      <c r="EXD21" s="292"/>
      <c r="EXE21" s="292"/>
      <c r="EXF21" s="292"/>
      <c r="EXG21" s="292"/>
      <c r="EXH21" s="292"/>
      <c r="EXI21" s="292"/>
      <c r="EXJ21" s="292"/>
      <c r="EXK21" s="292"/>
      <c r="EXL21" s="292"/>
      <c r="EXM21" s="292"/>
      <c r="EXN21" s="292"/>
      <c r="EXO21" s="292"/>
      <c r="EXP21" s="292"/>
      <c r="EXQ21" s="292"/>
      <c r="EXR21" s="292"/>
      <c r="EXS21" s="292"/>
      <c r="EXT21" s="292"/>
      <c r="EXU21" s="292"/>
      <c r="EXV21" s="292"/>
      <c r="EXW21" s="292"/>
      <c r="EXX21" s="292"/>
      <c r="EXY21" s="292"/>
      <c r="EXZ21" s="292"/>
      <c r="EYA21" s="292"/>
      <c r="EYB21" s="292"/>
      <c r="EYC21" s="292"/>
      <c r="EYD21" s="292"/>
      <c r="EYE21" s="292"/>
      <c r="EYF21" s="292"/>
      <c r="EYG21" s="292"/>
      <c r="EYH21" s="292"/>
      <c r="EYI21" s="292"/>
      <c r="EYJ21" s="292"/>
      <c r="EYK21" s="292"/>
      <c r="EYL21" s="292"/>
      <c r="EYM21" s="292"/>
      <c r="EYN21" s="292"/>
      <c r="EYO21" s="292"/>
      <c r="EYP21" s="292"/>
      <c r="EYQ21" s="292"/>
      <c r="EYR21" s="292"/>
      <c r="EYS21" s="292"/>
      <c r="EYT21" s="292"/>
      <c r="EYU21" s="292"/>
      <c r="EYV21" s="292"/>
      <c r="EYW21" s="292"/>
      <c r="EYX21" s="292"/>
      <c r="EYY21" s="292"/>
      <c r="EYZ21" s="292"/>
      <c r="EZA21" s="292"/>
      <c r="EZB21" s="292"/>
      <c r="EZC21" s="292"/>
      <c r="EZD21" s="292"/>
      <c r="EZE21" s="292"/>
      <c r="EZF21" s="292"/>
      <c r="EZG21" s="292"/>
      <c r="EZH21" s="292"/>
      <c r="EZI21" s="292"/>
      <c r="EZJ21" s="292"/>
      <c r="EZK21" s="292"/>
      <c r="EZL21" s="292"/>
      <c r="EZM21" s="292"/>
      <c r="EZN21" s="292"/>
      <c r="EZO21" s="292"/>
      <c r="EZP21" s="292"/>
      <c r="EZQ21" s="292"/>
      <c r="EZR21" s="292"/>
      <c r="EZS21" s="292"/>
      <c r="EZT21" s="292"/>
      <c r="EZU21" s="292"/>
      <c r="EZV21" s="292"/>
      <c r="EZW21" s="292"/>
      <c r="EZX21" s="292"/>
      <c r="EZY21" s="292"/>
      <c r="EZZ21" s="292"/>
      <c r="FAA21" s="292"/>
      <c r="FAB21" s="292"/>
      <c r="FAC21" s="292"/>
      <c r="FAD21" s="292"/>
      <c r="FAE21" s="292"/>
      <c r="FAF21" s="292"/>
      <c r="FAG21" s="292"/>
      <c r="FAH21" s="292"/>
      <c r="FAI21" s="292"/>
      <c r="FAJ21" s="292"/>
      <c r="FAK21" s="292"/>
      <c r="FAL21" s="292"/>
      <c r="FAM21" s="292"/>
      <c r="FAN21" s="292"/>
      <c r="FAO21" s="292"/>
      <c r="FAP21" s="292"/>
      <c r="FAQ21" s="292"/>
      <c r="FAR21" s="292"/>
      <c r="FAS21" s="292"/>
      <c r="FAT21" s="292"/>
      <c r="FAU21" s="292"/>
      <c r="FAV21" s="292"/>
      <c r="FAW21" s="292"/>
      <c r="FAX21" s="292"/>
      <c r="FAY21" s="292"/>
      <c r="FAZ21" s="292"/>
      <c r="FBA21" s="292"/>
      <c r="FBB21" s="292"/>
      <c r="FBC21" s="292"/>
      <c r="FBD21" s="292"/>
      <c r="FBE21" s="292"/>
      <c r="FBF21" s="292"/>
      <c r="FBG21" s="292"/>
      <c r="FBH21" s="292"/>
      <c r="FBI21" s="292"/>
      <c r="FBJ21" s="292"/>
      <c r="FBK21" s="292"/>
      <c r="FBL21" s="292"/>
      <c r="FBM21" s="292"/>
      <c r="FBN21" s="292"/>
      <c r="FBO21" s="292"/>
      <c r="FBP21" s="292"/>
      <c r="FBQ21" s="292"/>
      <c r="FBR21" s="292"/>
      <c r="FBS21" s="292"/>
      <c r="FBT21" s="292"/>
      <c r="FBU21" s="292"/>
      <c r="FBV21" s="292"/>
      <c r="FBW21" s="292"/>
      <c r="FBX21" s="292"/>
      <c r="FBY21" s="292"/>
      <c r="FBZ21" s="292"/>
      <c r="FCA21" s="292"/>
      <c r="FCB21" s="292"/>
      <c r="FCC21" s="292"/>
      <c r="FCD21" s="292"/>
      <c r="FCE21" s="292"/>
      <c r="FCF21" s="292"/>
      <c r="FCG21" s="292"/>
      <c r="FCH21" s="292"/>
      <c r="FCI21" s="292"/>
      <c r="FCJ21" s="292"/>
      <c r="FCK21" s="292"/>
      <c r="FCL21" s="292"/>
      <c r="FCM21" s="292"/>
      <c r="FCN21" s="292"/>
      <c r="FCO21" s="292"/>
      <c r="FCP21" s="292"/>
      <c r="FCQ21" s="292"/>
      <c r="FCR21" s="292"/>
      <c r="FCS21" s="292"/>
      <c r="FCT21" s="292"/>
      <c r="FCU21" s="292"/>
      <c r="FCV21" s="292"/>
      <c r="FCW21" s="292"/>
      <c r="FCX21" s="292"/>
      <c r="FCY21" s="292"/>
      <c r="FCZ21" s="292"/>
      <c r="FDA21" s="292"/>
      <c r="FDB21" s="292"/>
      <c r="FDC21" s="292"/>
      <c r="FDD21" s="292"/>
      <c r="FDE21" s="292"/>
      <c r="FDF21" s="292"/>
      <c r="FDG21" s="292"/>
      <c r="FDH21" s="292"/>
      <c r="FDI21" s="292"/>
      <c r="FDJ21" s="292"/>
      <c r="FDK21" s="292"/>
      <c r="FDL21" s="292"/>
      <c r="FDM21" s="292"/>
      <c r="FDN21" s="292"/>
      <c r="FDO21" s="292"/>
      <c r="FDP21" s="292"/>
      <c r="FDQ21" s="292"/>
      <c r="FDR21" s="292"/>
      <c r="FDS21" s="292"/>
      <c r="FDT21" s="292"/>
      <c r="FDU21" s="292"/>
      <c r="FDV21" s="292"/>
      <c r="FDW21" s="292"/>
      <c r="FDX21" s="292"/>
      <c r="FDY21" s="292"/>
      <c r="FDZ21" s="292"/>
      <c r="FEA21" s="292"/>
      <c r="FEB21" s="292"/>
      <c r="FEC21" s="292"/>
      <c r="FED21" s="292"/>
      <c r="FEE21" s="292"/>
      <c r="FEF21" s="292"/>
      <c r="FEG21" s="292"/>
      <c r="FEH21" s="292"/>
      <c r="FEI21" s="292"/>
      <c r="FEJ21" s="292"/>
      <c r="FEK21" s="292"/>
      <c r="FEL21" s="292"/>
      <c r="FEM21" s="292"/>
      <c r="FEN21" s="292"/>
      <c r="FEO21" s="292"/>
      <c r="FEP21" s="292"/>
      <c r="FEQ21" s="292"/>
      <c r="FER21" s="292"/>
      <c r="FES21" s="292"/>
      <c r="FET21" s="292"/>
      <c r="FEU21" s="292"/>
      <c r="FEV21" s="292"/>
      <c r="FEW21" s="292"/>
      <c r="FEX21" s="292"/>
      <c r="FEY21" s="292"/>
      <c r="FEZ21" s="292"/>
      <c r="FFA21" s="292"/>
      <c r="FFB21" s="292"/>
      <c r="FFC21" s="292"/>
      <c r="FFD21" s="292"/>
      <c r="FFE21" s="292"/>
      <c r="FFF21" s="292"/>
      <c r="FFG21" s="292"/>
      <c r="FFH21" s="292"/>
      <c r="FFI21" s="292"/>
      <c r="FFJ21" s="292"/>
      <c r="FFK21" s="292"/>
      <c r="FFL21" s="292"/>
      <c r="FFM21" s="292"/>
      <c r="FFN21" s="292"/>
      <c r="FFO21" s="292"/>
      <c r="FFP21" s="292"/>
      <c r="FFQ21" s="292"/>
      <c r="FFR21" s="292"/>
      <c r="FFS21" s="292"/>
      <c r="FFT21" s="292"/>
      <c r="FFU21" s="292"/>
      <c r="FFV21" s="292"/>
      <c r="FFW21" s="292"/>
      <c r="FFX21" s="292"/>
      <c r="FFY21" s="292"/>
      <c r="FFZ21" s="292"/>
      <c r="FGA21" s="292"/>
      <c r="FGB21" s="292"/>
      <c r="FGC21" s="292"/>
      <c r="FGD21" s="292"/>
      <c r="FGE21" s="292"/>
      <c r="FGF21" s="292"/>
      <c r="FGG21" s="292"/>
      <c r="FGH21" s="292"/>
      <c r="FGI21" s="292"/>
      <c r="FGJ21" s="292"/>
      <c r="FGK21" s="292"/>
      <c r="FGL21" s="292"/>
      <c r="FGM21" s="292"/>
      <c r="FGN21" s="292"/>
      <c r="FGO21" s="292"/>
      <c r="FGP21" s="292"/>
      <c r="FGQ21" s="292"/>
      <c r="FGR21" s="292"/>
      <c r="FGS21" s="292"/>
      <c r="FGT21" s="292"/>
      <c r="FGU21" s="292"/>
      <c r="FGV21" s="292"/>
      <c r="FGW21" s="292"/>
      <c r="FGX21" s="292"/>
      <c r="FGY21" s="292"/>
      <c r="FGZ21" s="292"/>
      <c r="FHA21" s="292"/>
      <c r="FHB21" s="292"/>
      <c r="FHC21" s="292"/>
      <c r="FHD21" s="292"/>
      <c r="FHE21" s="292"/>
      <c r="FHF21" s="292"/>
      <c r="FHG21" s="292"/>
      <c r="FHH21" s="292"/>
      <c r="FHI21" s="292"/>
      <c r="FHJ21" s="292"/>
      <c r="FHK21" s="292"/>
      <c r="FHL21" s="292"/>
      <c r="FHM21" s="292"/>
      <c r="FHN21" s="292"/>
      <c r="FHO21" s="292"/>
      <c r="FHP21" s="292"/>
      <c r="FHQ21" s="292"/>
      <c r="FHR21" s="292"/>
      <c r="FHS21" s="292"/>
      <c r="FHT21" s="292"/>
      <c r="FHU21" s="292"/>
      <c r="FHV21" s="292"/>
      <c r="FHW21" s="292"/>
      <c r="FHX21" s="292"/>
      <c r="FHY21" s="292"/>
      <c r="FHZ21" s="292"/>
      <c r="FIA21" s="292"/>
      <c r="FIB21" s="292"/>
      <c r="FIC21" s="292"/>
      <c r="FID21" s="292"/>
      <c r="FIE21" s="292"/>
      <c r="FIF21" s="292"/>
      <c r="FIG21" s="292"/>
      <c r="FIH21" s="292"/>
      <c r="FII21" s="292"/>
      <c r="FIJ21" s="292"/>
      <c r="FIK21" s="292"/>
      <c r="FIL21" s="292"/>
      <c r="FIM21" s="292"/>
      <c r="FIN21" s="292"/>
      <c r="FIO21" s="292"/>
      <c r="FIP21" s="292"/>
      <c r="FIQ21" s="292"/>
      <c r="FIR21" s="292"/>
      <c r="FIS21" s="292"/>
      <c r="FIT21" s="292"/>
      <c r="FIU21" s="292"/>
      <c r="FIV21" s="292"/>
      <c r="FIW21" s="292"/>
      <c r="FIX21" s="292"/>
      <c r="FIY21" s="292"/>
      <c r="FIZ21" s="292"/>
      <c r="FJA21" s="292"/>
      <c r="FJB21" s="292"/>
      <c r="FJC21" s="292"/>
      <c r="FJD21" s="292"/>
      <c r="FJE21" s="292"/>
      <c r="FJF21" s="292"/>
      <c r="FJG21" s="292"/>
      <c r="FJH21" s="292"/>
      <c r="FJI21" s="292"/>
      <c r="FJJ21" s="292"/>
      <c r="FJK21" s="292"/>
      <c r="FJL21" s="292"/>
      <c r="FJM21" s="292"/>
      <c r="FJN21" s="292"/>
      <c r="FJO21" s="292"/>
      <c r="FJP21" s="292"/>
      <c r="FJQ21" s="292"/>
      <c r="FJR21" s="292"/>
      <c r="FJS21" s="292"/>
      <c r="FJT21" s="292"/>
      <c r="FJU21" s="292"/>
      <c r="FJV21" s="292"/>
      <c r="FJW21" s="292"/>
      <c r="FJX21" s="292"/>
      <c r="FJY21" s="292"/>
      <c r="FJZ21" s="292"/>
      <c r="FKA21" s="292"/>
      <c r="FKB21" s="292"/>
      <c r="FKC21" s="292"/>
      <c r="FKD21" s="292"/>
      <c r="FKE21" s="292"/>
      <c r="FKF21" s="292"/>
      <c r="FKG21" s="292"/>
      <c r="FKH21" s="292"/>
      <c r="FKI21" s="292"/>
      <c r="FKJ21" s="292"/>
      <c r="FKK21" s="292"/>
      <c r="FKL21" s="292"/>
      <c r="FKM21" s="292"/>
      <c r="FKN21" s="292"/>
      <c r="FKO21" s="292"/>
      <c r="FKP21" s="292"/>
      <c r="FKQ21" s="292"/>
      <c r="FKR21" s="292"/>
      <c r="FKS21" s="292"/>
      <c r="FKT21" s="292"/>
      <c r="FKU21" s="292"/>
      <c r="FKV21" s="292"/>
      <c r="FKW21" s="292"/>
      <c r="FKX21" s="292"/>
      <c r="FKY21" s="292"/>
      <c r="FKZ21" s="292"/>
      <c r="FLA21" s="292"/>
      <c r="FLB21" s="292"/>
      <c r="FLC21" s="292"/>
      <c r="FLD21" s="292"/>
      <c r="FLE21" s="292"/>
      <c r="FLF21" s="292"/>
      <c r="FLG21" s="292"/>
      <c r="FLH21" s="292"/>
      <c r="FLI21" s="292"/>
      <c r="FLJ21" s="292"/>
      <c r="FLK21" s="292"/>
      <c r="FLL21" s="292"/>
      <c r="FLM21" s="292"/>
      <c r="FLN21" s="292"/>
      <c r="FLO21" s="292"/>
      <c r="FLP21" s="292"/>
      <c r="FLQ21" s="292"/>
      <c r="FLR21" s="292"/>
      <c r="FLS21" s="292"/>
      <c r="FLT21" s="292"/>
      <c r="FLU21" s="292"/>
      <c r="FLV21" s="292"/>
      <c r="FLW21" s="292"/>
      <c r="FLX21" s="292"/>
      <c r="FLY21" s="292"/>
      <c r="FLZ21" s="292"/>
      <c r="FMA21" s="292"/>
      <c r="FMB21" s="292"/>
      <c r="FMC21" s="292"/>
      <c r="FMD21" s="292"/>
      <c r="FME21" s="292"/>
      <c r="FMF21" s="292"/>
      <c r="FMG21" s="292"/>
      <c r="FMH21" s="292"/>
      <c r="FMI21" s="292"/>
      <c r="FMJ21" s="292"/>
      <c r="FMK21" s="292"/>
      <c r="FML21" s="292"/>
      <c r="FMM21" s="292"/>
      <c r="FMN21" s="292"/>
      <c r="FMO21" s="292"/>
      <c r="FMP21" s="292"/>
      <c r="FMQ21" s="292"/>
      <c r="FMR21" s="292"/>
      <c r="FMS21" s="292"/>
      <c r="FMT21" s="292"/>
      <c r="FMU21" s="292"/>
      <c r="FMV21" s="292"/>
      <c r="FMW21" s="292"/>
      <c r="FMX21" s="292"/>
      <c r="FMY21" s="292"/>
      <c r="FMZ21" s="292"/>
      <c r="FNA21" s="292"/>
      <c r="FNB21" s="292"/>
      <c r="FNC21" s="292"/>
      <c r="FND21" s="292"/>
      <c r="FNE21" s="292"/>
      <c r="FNF21" s="292"/>
      <c r="FNG21" s="292"/>
      <c r="FNH21" s="292"/>
      <c r="FNI21" s="292"/>
      <c r="FNJ21" s="292"/>
      <c r="FNK21" s="292"/>
      <c r="FNL21" s="292"/>
      <c r="FNM21" s="292"/>
      <c r="FNN21" s="292"/>
      <c r="FNO21" s="292"/>
      <c r="FNP21" s="292"/>
      <c r="FNQ21" s="292"/>
      <c r="FNR21" s="292"/>
      <c r="FNS21" s="292"/>
      <c r="FNT21" s="292"/>
      <c r="FNU21" s="292"/>
      <c r="FNV21" s="292"/>
      <c r="FNW21" s="292"/>
      <c r="FNX21" s="292"/>
      <c r="FNY21" s="292"/>
      <c r="FNZ21" s="292"/>
      <c r="FOA21" s="292"/>
      <c r="FOB21" s="292"/>
      <c r="FOC21" s="292"/>
      <c r="FOD21" s="292"/>
      <c r="FOE21" s="292"/>
      <c r="FOF21" s="292"/>
      <c r="FOG21" s="292"/>
      <c r="FOH21" s="292"/>
      <c r="FOI21" s="292"/>
      <c r="FOJ21" s="292"/>
      <c r="FOK21" s="292"/>
      <c r="FOL21" s="292"/>
      <c r="FOM21" s="292"/>
      <c r="FON21" s="292"/>
      <c r="FOO21" s="292"/>
      <c r="FOP21" s="292"/>
      <c r="FOQ21" s="292"/>
      <c r="FOR21" s="292"/>
      <c r="FOS21" s="292"/>
      <c r="FOT21" s="292"/>
      <c r="FOU21" s="292"/>
      <c r="FOV21" s="292"/>
      <c r="FOW21" s="292"/>
      <c r="FOX21" s="292"/>
      <c r="FOY21" s="292"/>
      <c r="FOZ21" s="292"/>
      <c r="FPA21" s="292"/>
      <c r="FPB21" s="292"/>
      <c r="FPC21" s="292"/>
      <c r="FPD21" s="292"/>
      <c r="FPE21" s="292"/>
      <c r="FPF21" s="292"/>
      <c r="FPG21" s="292"/>
      <c r="FPH21" s="292"/>
      <c r="FPI21" s="292"/>
      <c r="FPJ21" s="292"/>
      <c r="FPK21" s="292"/>
      <c r="FPL21" s="292"/>
      <c r="FPM21" s="292"/>
      <c r="FPN21" s="292"/>
      <c r="FPO21" s="292"/>
      <c r="FPP21" s="292"/>
      <c r="FPQ21" s="292"/>
      <c r="FPR21" s="292"/>
      <c r="FPS21" s="292"/>
      <c r="FPT21" s="292"/>
      <c r="FPU21" s="292"/>
      <c r="FPV21" s="292"/>
      <c r="FPW21" s="292"/>
      <c r="FPX21" s="292"/>
      <c r="FPY21" s="292"/>
      <c r="FPZ21" s="292"/>
      <c r="FQA21" s="292"/>
      <c r="FQB21" s="292"/>
      <c r="FQC21" s="292"/>
      <c r="FQD21" s="292"/>
      <c r="FQE21" s="292"/>
      <c r="FQF21" s="292"/>
      <c r="FQG21" s="292"/>
      <c r="FQH21" s="292"/>
      <c r="FQI21" s="292"/>
      <c r="FQJ21" s="292"/>
      <c r="FQK21" s="292"/>
      <c r="FQL21" s="292"/>
      <c r="FQM21" s="292"/>
      <c r="FQN21" s="292"/>
      <c r="FQO21" s="292"/>
      <c r="FQP21" s="292"/>
      <c r="FQQ21" s="292"/>
      <c r="FQR21" s="292"/>
      <c r="FQS21" s="292"/>
      <c r="FQT21" s="292"/>
      <c r="FQU21" s="292"/>
      <c r="FQV21" s="292"/>
      <c r="FQW21" s="292"/>
      <c r="FQX21" s="292"/>
      <c r="FQY21" s="292"/>
      <c r="FQZ21" s="292"/>
      <c r="FRA21" s="292"/>
      <c r="FRB21" s="292"/>
      <c r="FRC21" s="292"/>
      <c r="FRD21" s="292"/>
      <c r="FRE21" s="292"/>
      <c r="FRF21" s="292"/>
      <c r="FRG21" s="292"/>
      <c r="FRH21" s="292"/>
      <c r="FRI21" s="292"/>
      <c r="FRJ21" s="292"/>
      <c r="FRK21" s="292"/>
      <c r="FRL21" s="292"/>
      <c r="FRM21" s="292"/>
      <c r="FRN21" s="292"/>
      <c r="FRO21" s="292"/>
      <c r="FRP21" s="292"/>
      <c r="FRQ21" s="292"/>
      <c r="FRR21" s="292"/>
      <c r="FRS21" s="292"/>
      <c r="FRT21" s="292"/>
      <c r="FRU21" s="292"/>
      <c r="FRV21" s="292"/>
      <c r="FRW21" s="292"/>
      <c r="FRX21" s="292"/>
      <c r="FRY21" s="292"/>
      <c r="FRZ21" s="292"/>
      <c r="FSA21" s="292"/>
      <c r="FSB21" s="292"/>
      <c r="FSC21" s="292"/>
      <c r="FSD21" s="292"/>
      <c r="FSE21" s="292"/>
      <c r="FSF21" s="292"/>
      <c r="FSG21" s="292"/>
      <c r="FSH21" s="292"/>
      <c r="FSI21" s="292"/>
      <c r="FSJ21" s="292"/>
      <c r="FSK21" s="292"/>
      <c r="FSL21" s="292"/>
      <c r="FSM21" s="292"/>
      <c r="FSN21" s="292"/>
      <c r="FSO21" s="292"/>
      <c r="FSP21" s="292"/>
      <c r="FSQ21" s="292"/>
      <c r="FSR21" s="292"/>
      <c r="FSS21" s="292"/>
      <c r="FST21" s="292"/>
      <c r="FSU21" s="292"/>
      <c r="FSV21" s="292"/>
      <c r="FSW21" s="292"/>
      <c r="FSX21" s="292"/>
      <c r="FSY21" s="292"/>
      <c r="FSZ21" s="292"/>
      <c r="FTA21" s="292"/>
      <c r="FTB21" s="292"/>
      <c r="FTC21" s="292"/>
      <c r="FTD21" s="292"/>
      <c r="FTE21" s="292"/>
      <c r="FTF21" s="292"/>
      <c r="FTG21" s="292"/>
      <c r="FTH21" s="292"/>
      <c r="FTI21" s="292"/>
      <c r="FTJ21" s="292"/>
      <c r="FTK21" s="292"/>
      <c r="FTL21" s="292"/>
      <c r="FTM21" s="292"/>
      <c r="FTN21" s="292"/>
      <c r="FTO21" s="292"/>
      <c r="FTP21" s="292"/>
      <c r="FTQ21" s="292"/>
      <c r="FTR21" s="292"/>
      <c r="FTS21" s="292"/>
      <c r="FTT21" s="292"/>
      <c r="FTU21" s="292"/>
      <c r="FTV21" s="292"/>
      <c r="FTW21" s="292"/>
      <c r="FTX21" s="292"/>
      <c r="FTY21" s="292"/>
      <c r="FTZ21" s="292"/>
      <c r="FUA21" s="292"/>
      <c r="FUB21" s="292"/>
      <c r="FUC21" s="292"/>
      <c r="FUD21" s="292"/>
      <c r="FUE21" s="292"/>
      <c r="FUF21" s="292"/>
      <c r="FUG21" s="292"/>
      <c r="FUH21" s="292"/>
      <c r="FUI21" s="292"/>
      <c r="FUJ21" s="292"/>
      <c r="FUK21" s="292"/>
      <c r="FUL21" s="292"/>
      <c r="FUM21" s="292"/>
      <c r="FUN21" s="292"/>
      <c r="FUO21" s="292"/>
      <c r="FUP21" s="292"/>
      <c r="FUQ21" s="292"/>
      <c r="FUR21" s="292"/>
      <c r="FUS21" s="292"/>
      <c r="FUT21" s="292"/>
      <c r="FUU21" s="292"/>
      <c r="FUV21" s="292"/>
      <c r="FUW21" s="292"/>
      <c r="FUX21" s="292"/>
      <c r="FUY21" s="292"/>
      <c r="FUZ21" s="292"/>
      <c r="FVA21" s="292"/>
      <c r="FVB21" s="292"/>
      <c r="FVC21" s="292"/>
      <c r="FVD21" s="292"/>
      <c r="FVE21" s="292"/>
      <c r="FVF21" s="292"/>
      <c r="FVG21" s="292"/>
      <c r="FVH21" s="292"/>
      <c r="FVI21" s="292"/>
      <c r="FVJ21" s="292"/>
      <c r="FVK21" s="292"/>
      <c r="FVL21" s="292"/>
      <c r="FVM21" s="292"/>
      <c r="FVN21" s="292"/>
      <c r="FVO21" s="292"/>
      <c r="FVP21" s="292"/>
      <c r="FVQ21" s="292"/>
      <c r="FVR21" s="292"/>
      <c r="FVS21" s="292"/>
      <c r="FVT21" s="292"/>
      <c r="FVU21" s="292"/>
      <c r="FVV21" s="292"/>
      <c r="FVW21" s="292"/>
      <c r="FVX21" s="292"/>
      <c r="FVY21" s="292"/>
      <c r="FVZ21" s="292"/>
      <c r="FWA21" s="292"/>
      <c r="FWB21" s="292"/>
      <c r="FWC21" s="292"/>
      <c r="FWD21" s="292"/>
      <c r="FWE21" s="292"/>
      <c r="FWF21" s="292"/>
      <c r="FWG21" s="292"/>
      <c r="FWH21" s="292"/>
      <c r="FWI21" s="292"/>
      <c r="FWJ21" s="292"/>
      <c r="FWK21" s="292"/>
      <c r="FWL21" s="292"/>
      <c r="FWM21" s="292"/>
      <c r="FWN21" s="292"/>
      <c r="FWO21" s="292"/>
      <c r="FWP21" s="292"/>
      <c r="FWQ21" s="292"/>
      <c r="FWR21" s="292"/>
      <c r="FWS21" s="292"/>
      <c r="FWT21" s="292"/>
      <c r="FWU21" s="292"/>
      <c r="FWV21" s="292"/>
      <c r="FWW21" s="292"/>
      <c r="FWX21" s="292"/>
      <c r="FWY21" s="292"/>
      <c r="FWZ21" s="292"/>
      <c r="FXA21" s="292"/>
      <c r="FXB21" s="292"/>
      <c r="FXC21" s="292"/>
      <c r="FXD21" s="292"/>
      <c r="FXE21" s="292"/>
      <c r="FXF21" s="292"/>
      <c r="FXG21" s="292"/>
      <c r="FXH21" s="292"/>
      <c r="FXI21" s="292"/>
      <c r="FXJ21" s="292"/>
      <c r="FXK21" s="292"/>
      <c r="FXL21" s="292"/>
      <c r="FXM21" s="292"/>
      <c r="FXN21" s="292"/>
      <c r="FXO21" s="292"/>
      <c r="FXP21" s="292"/>
      <c r="FXQ21" s="292"/>
      <c r="FXR21" s="292"/>
      <c r="FXS21" s="292"/>
      <c r="FXT21" s="292"/>
      <c r="FXU21" s="292"/>
      <c r="FXV21" s="292"/>
      <c r="FXW21" s="292"/>
      <c r="FXX21" s="292"/>
      <c r="FXY21" s="292"/>
      <c r="FXZ21" s="292"/>
      <c r="FYA21" s="292"/>
      <c r="FYB21" s="292"/>
      <c r="FYC21" s="292"/>
      <c r="FYD21" s="292"/>
      <c r="FYE21" s="292"/>
      <c r="FYF21" s="292"/>
      <c r="FYG21" s="292"/>
      <c r="FYH21" s="292"/>
      <c r="FYI21" s="292"/>
      <c r="FYJ21" s="292"/>
      <c r="FYK21" s="292"/>
      <c r="FYL21" s="292"/>
      <c r="FYM21" s="292"/>
      <c r="FYN21" s="292"/>
      <c r="FYO21" s="292"/>
      <c r="FYP21" s="292"/>
      <c r="FYQ21" s="292"/>
      <c r="FYR21" s="292"/>
      <c r="FYS21" s="292"/>
      <c r="FYT21" s="292"/>
      <c r="FYU21" s="292"/>
      <c r="FYV21" s="292"/>
      <c r="FYW21" s="292"/>
      <c r="FYX21" s="292"/>
      <c r="FYY21" s="292"/>
      <c r="FYZ21" s="292"/>
      <c r="FZA21" s="292"/>
      <c r="FZB21" s="292"/>
      <c r="FZC21" s="292"/>
      <c r="FZD21" s="292"/>
      <c r="FZE21" s="292"/>
      <c r="FZF21" s="292"/>
      <c r="FZG21" s="292"/>
      <c r="FZH21" s="292"/>
      <c r="FZI21" s="292"/>
      <c r="FZJ21" s="292"/>
      <c r="FZK21" s="292"/>
      <c r="FZL21" s="292"/>
      <c r="FZM21" s="292"/>
      <c r="FZN21" s="292"/>
      <c r="FZO21" s="292"/>
      <c r="FZP21" s="292"/>
      <c r="FZQ21" s="292"/>
      <c r="FZR21" s="292"/>
      <c r="FZS21" s="292"/>
      <c r="FZT21" s="292"/>
      <c r="FZU21" s="292"/>
      <c r="FZV21" s="292"/>
      <c r="FZW21" s="292"/>
      <c r="FZX21" s="292"/>
      <c r="FZY21" s="292"/>
      <c r="FZZ21" s="292"/>
      <c r="GAA21" s="292"/>
      <c r="GAB21" s="292"/>
      <c r="GAC21" s="292"/>
      <c r="GAD21" s="292"/>
      <c r="GAE21" s="292"/>
      <c r="GAF21" s="292"/>
      <c r="GAG21" s="292"/>
      <c r="GAH21" s="292"/>
      <c r="GAI21" s="292"/>
      <c r="GAJ21" s="292"/>
      <c r="GAK21" s="292"/>
      <c r="GAL21" s="292"/>
      <c r="GAM21" s="292"/>
      <c r="GAN21" s="292"/>
      <c r="GAO21" s="292"/>
      <c r="GAP21" s="292"/>
      <c r="GAQ21" s="292"/>
      <c r="GAR21" s="292"/>
      <c r="GAS21" s="292"/>
      <c r="GAT21" s="292"/>
      <c r="GAU21" s="292"/>
      <c r="GAV21" s="292"/>
      <c r="GAW21" s="292"/>
      <c r="GAX21" s="292"/>
      <c r="GAY21" s="292"/>
      <c r="GAZ21" s="292"/>
      <c r="GBA21" s="292"/>
      <c r="GBB21" s="292"/>
      <c r="GBC21" s="292"/>
      <c r="GBD21" s="292"/>
      <c r="GBE21" s="292"/>
      <c r="GBF21" s="292"/>
      <c r="GBG21" s="292"/>
      <c r="GBH21" s="292"/>
      <c r="GBI21" s="292"/>
      <c r="GBJ21" s="292"/>
      <c r="GBK21" s="292"/>
      <c r="GBL21" s="292"/>
      <c r="GBM21" s="292"/>
      <c r="GBN21" s="292"/>
      <c r="GBO21" s="292"/>
      <c r="GBP21" s="292"/>
      <c r="GBQ21" s="292"/>
      <c r="GBR21" s="292"/>
      <c r="GBS21" s="292"/>
      <c r="GBT21" s="292"/>
      <c r="GBU21" s="292"/>
      <c r="GBV21" s="292"/>
      <c r="GBW21" s="292"/>
      <c r="GBX21" s="292"/>
      <c r="GBY21" s="292"/>
      <c r="GBZ21" s="292"/>
      <c r="GCA21" s="292"/>
      <c r="GCB21" s="292"/>
      <c r="GCC21" s="292"/>
      <c r="GCD21" s="292"/>
      <c r="GCE21" s="292"/>
      <c r="GCF21" s="292"/>
      <c r="GCG21" s="292"/>
      <c r="GCH21" s="292"/>
      <c r="GCI21" s="292"/>
      <c r="GCJ21" s="292"/>
      <c r="GCK21" s="292"/>
      <c r="GCL21" s="292"/>
      <c r="GCM21" s="292"/>
      <c r="GCN21" s="292"/>
      <c r="GCO21" s="292"/>
      <c r="GCP21" s="292"/>
      <c r="GCQ21" s="292"/>
      <c r="GCR21" s="292"/>
      <c r="GCS21" s="292"/>
      <c r="GCT21" s="292"/>
      <c r="GCU21" s="292"/>
      <c r="GCV21" s="292"/>
      <c r="GCW21" s="292"/>
      <c r="GCX21" s="292"/>
      <c r="GCY21" s="292"/>
      <c r="GCZ21" s="292"/>
      <c r="GDA21" s="292"/>
      <c r="GDB21" s="292"/>
      <c r="GDC21" s="292"/>
      <c r="GDD21" s="292"/>
      <c r="GDE21" s="292"/>
      <c r="GDF21" s="292"/>
      <c r="GDG21" s="292"/>
      <c r="GDH21" s="292"/>
      <c r="GDI21" s="292"/>
      <c r="GDJ21" s="292"/>
      <c r="GDK21" s="292"/>
      <c r="GDL21" s="292"/>
      <c r="GDM21" s="292"/>
      <c r="GDN21" s="292"/>
      <c r="GDO21" s="292"/>
      <c r="GDP21" s="292"/>
      <c r="GDQ21" s="292"/>
      <c r="GDR21" s="292"/>
      <c r="GDS21" s="292"/>
      <c r="GDT21" s="292"/>
      <c r="GDU21" s="292"/>
      <c r="GDV21" s="292"/>
      <c r="GDW21" s="292"/>
      <c r="GDX21" s="292"/>
      <c r="GDY21" s="292"/>
      <c r="GDZ21" s="292"/>
      <c r="GEA21" s="292"/>
      <c r="GEB21" s="292"/>
      <c r="GEC21" s="292"/>
      <c r="GED21" s="292"/>
      <c r="GEE21" s="292"/>
      <c r="GEF21" s="292"/>
      <c r="GEG21" s="292"/>
      <c r="GEH21" s="292"/>
      <c r="GEI21" s="292"/>
      <c r="GEJ21" s="292"/>
      <c r="GEK21" s="292"/>
      <c r="GEL21" s="292"/>
      <c r="GEM21" s="292"/>
      <c r="GEN21" s="292"/>
      <c r="GEO21" s="292"/>
      <c r="GEP21" s="292"/>
      <c r="GEQ21" s="292"/>
      <c r="GER21" s="292"/>
      <c r="GES21" s="292"/>
      <c r="GET21" s="292"/>
      <c r="GEU21" s="292"/>
      <c r="GEV21" s="292"/>
      <c r="GEW21" s="292"/>
      <c r="GEX21" s="292"/>
      <c r="GEY21" s="292"/>
      <c r="GEZ21" s="292"/>
      <c r="GFA21" s="292"/>
      <c r="GFB21" s="292"/>
      <c r="GFC21" s="292"/>
      <c r="GFD21" s="292"/>
      <c r="GFE21" s="292"/>
      <c r="GFF21" s="292"/>
      <c r="GFG21" s="292"/>
      <c r="GFH21" s="292"/>
      <c r="GFI21" s="292"/>
      <c r="GFJ21" s="292"/>
      <c r="GFK21" s="292"/>
      <c r="GFL21" s="292"/>
      <c r="GFM21" s="292"/>
      <c r="GFN21" s="292"/>
      <c r="GFO21" s="292"/>
      <c r="GFP21" s="292"/>
      <c r="GFQ21" s="292"/>
      <c r="GFR21" s="292"/>
      <c r="GFS21" s="292"/>
      <c r="GFT21" s="292"/>
      <c r="GFU21" s="292"/>
      <c r="GFV21" s="292"/>
      <c r="GFW21" s="292"/>
      <c r="GFX21" s="292"/>
      <c r="GFY21" s="292"/>
      <c r="GFZ21" s="292"/>
      <c r="GGA21" s="292"/>
      <c r="GGB21" s="292"/>
      <c r="GGC21" s="292"/>
      <c r="GGD21" s="292"/>
      <c r="GGE21" s="292"/>
      <c r="GGF21" s="292"/>
      <c r="GGG21" s="292"/>
      <c r="GGH21" s="292"/>
      <c r="GGI21" s="292"/>
      <c r="GGJ21" s="292"/>
      <c r="GGK21" s="292"/>
      <c r="GGL21" s="292"/>
      <c r="GGM21" s="292"/>
      <c r="GGN21" s="292"/>
      <c r="GGO21" s="292"/>
      <c r="GGP21" s="292"/>
      <c r="GGQ21" s="292"/>
      <c r="GGR21" s="292"/>
      <c r="GGS21" s="292"/>
      <c r="GGT21" s="292"/>
      <c r="GGU21" s="292"/>
      <c r="GGV21" s="292"/>
      <c r="GGW21" s="292"/>
      <c r="GGX21" s="292"/>
      <c r="GGY21" s="292"/>
      <c r="GGZ21" s="292"/>
      <c r="GHA21" s="292"/>
      <c r="GHB21" s="292"/>
      <c r="GHC21" s="292"/>
      <c r="GHD21" s="292"/>
      <c r="GHE21" s="292"/>
      <c r="GHF21" s="292"/>
      <c r="GHG21" s="292"/>
      <c r="GHH21" s="292"/>
      <c r="GHI21" s="292"/>
      <c r="GHJ21" s="292"/>
      <c r="GHK21" s="292"/>
      <c r="GHL21" s="292"/>
      <c r="GHM21" s="292"/>
      <c r="GHN21" s="292"/>
      <c r="GHO21" s="292"/>
      <c r="GHP21" s="292"/>
      <c r="GHQ21" s="292"/>
      <c r="GHR21" s="292"/>
      <c r="GHS21" s="292"/>
      <c r="GHT21" s="292"/>
      <c r="GHU21" s="292"/>
      <c r="GHV21" s="292"/>
      <c r="GHW21" s="292"/>
      <c r="GHX21" s="292"/>
      <c r="GHY21" s="292"/>
      <c r="GHZ21" s="292"/>
      <c r="GIA21" s="292"/>
      <c r="GIB21" s="292"/>
      <c r="GIC21" s="292"/>
      <c r="GID21" s="292"/>
      <c r="GIE21" s="292"/>
      <c r="GIF21" s="292"/>
      <c r="GIG21" s="292"/>
      <c r="GIH21" s="292"/>
      <c r="GII21" s="292"/>
      <c r="GIJ21" s="292"/>
      <c r="GIK21" s="292"/>
      <c r="GIL21" s="292"/>
      <c r="GIM21" s="292"/>
      <c r="GIN21" s="292"/>
      <c r="GIO21" s="292"/>
      <c r="GIP21" s="292"/>
      <c r="GIQ21" s="292"/>
      <c r="GIR21" s="292"/>
      <c r="GIS21" s="292"/>
      <c r="GIT21" s="292"/>
      <c r="GIU21" s="292"/>
      <c r="GIV21" s="292"/>
      <c r="GIW21" s="292"/>
      <c r="GIX21" s="292"/>
      <c r="GIY21" s="292"/>
      <c r="GIZ21" s="292"/>
      <c r="GJA21" s="292"/>
      <c r="GJB21" s="292"/>
      <c r="GJC21" s="292"/>
      <c r="GJD21" s="292"/>
      <c r="GJE21" s="292"/>
      <c r="GJF21" s="292"/>
      <c r="GJG21" s="292"/>
      <c r="GJH21" s="292"/>
      <c r="GJI21" s="292"/>
      <c r="GJJ21" s="292"/>
      <c r="GJK21" s="292"/>
      <c r="GJL21" s="292"/>
      <c r="GJM21" s="292"/>
      <c r="GJN21" s="292"/>
      <c r="GJO21" s="292"/>
      <c r="GJP21" s="292"/>
      <c r="GJQ21" s="292"/>
      <c r="GJR21" s="292"/>
      <c r="GJS21" s="292"/>
      <c r="GJT21" s="292"/>
      <c r="GJU21" s="292"/>
      <c r="GJV21" s="292"/>
      <c r="GJW21" s="292"/>
      <c r="GJX21" s="292"/>
      <c r="GJY21" s="292"/>
      <c r="GJZ21" s="292"/>
      <c r="GKA21" s="292"/>
      <c r="GKB21" s="292"/>
      <c r="GKC21" s="292"/>
      <c r="GKD21" s="292"/>
      <c r="GKE21" s="292"/>
      <c r="GKF21" s="292"/>
      <c r="GKG21" s="292"/>
      <c r="GKH21" s="292"/>
      <c r="GKI21" s="292"/>
      <c r="GKJ21" s="292"/>
      <c r="GKK21" s="292"/>
      <c r="GKL21" s="292"/>
      <c r="GKM21" s="292"/>
      <c r="GKN21" s="292"/>
      <c r="GKO21" s="292"/>
      <c r="GKP21" s="292"/>
      <c r="GKQ21" s="292"/>
      <c r="GKR21" s="292"/>
      <c r="GKS21" s="292"/>
      <c r="GKT21" s="292"/>
      <c r="GKU21" s="292"/>
      <c r="GKV21" s="292"/>
      <c r="GKW21" s="292"/>
      <c r="GKX21" s="292"/>
      <c r="GKY21" s="292"/>
      <c r="GKZ21" s="292"/>
      <c r="GLA21" s="292"/>
      <c r="GLB21" s="292"/>
      <c r="GLC21" s="292"/>
      <c r="GLD21" s="292"/>
      <c r="GLE21" s="292"/>
      <c r="GLF21" s="292"/>
      <c r="GLG21" s="292"/>
      <c r="GLH21" s="292"/>
      <c r="GLI21" s="292"/>
      <c r="GLJ21" s="292"/>
      <c r="GLK21" s="292"/>
      <c r="GLL21" s="292"/>
      <c r="GLM21" s="292"/>
      <c r="GLN21" s="292"/>
      <c r="GLO21" s="292"/>
      <c r="GLP21" s="292"/>
      <c r="GLQ21" s="292"/>
      <c r="GLR21" s="292"/>
      <c r="GLS21" s="292"/>
      <c r="GLT21" s="292"/>
      <c r="GLU21" s="292"/>
      <c r="GLV21" s="292"/>
      <c r="GLW21" s="292"/>
      <c r="GLX21" s="292"/>
      <c r="GLY21" s="292"/>
      <c r="GLZ21" s="292"/>
      <c r="GMA21" s="292"/>
      <c r="GMB21" s="292"/>
      <c r="GMC21" s="292"/>
      <c r="GMD21" s="292"/>
      <c r="GME21" s="292"/>
      <c r="GMF21" s="292"/>
      <c r="GMG21" s="292"/>
      <c r="GMH21" s="292"/>
      <c r="GMI21" s="292"/>
      <c r="GMJ21" s="292"/>
      <c r="GMK21" s="292"/>
      <c r="GML21" s="292"/>
      <c r="GMM21" s="292"/>
      <c r="GMN21" s="292"/>
      <c r="GMO21" s="292"/>
      <c r="GMP21" s="292"/>
      <c r="GMQ21" s="292"/>
      <c r="GMR21" s="292"/>
      <c r="GMS21" s="292"/>
      <c r="GMT21" s="292"/>
      <c r="GMU21" s="292"/>
      <c r="GMV21" s="292"/>
      <c r="GMW21" s="292"/>
      <c r="GMX21" s="292"/>
      <c r="GMY21" s="292"/>
      <c r="GMZ21" s="292"/>
      <c r="GNA21" s="292"/>
      <c r="GNB21" s="292"/>
      <c r="GNC21" s="292"/>
      <c r="GND21" s="292"/>
      <c r="GNE21" s="292"/>
      <c r="GNF21" s="292"/>
      <c r="GNG21" s="292"/>
      <c r="GNH21" s="292"/>
      <c r="GNI21" s="292"/>
      <c r="GNJ21" s="292"/>
      <c r="GNK21" s="292"/>
      <c r="GNL21" s="292"/>
      <c r="GNM21" s="292"/>
      <c r="GNN21" s="292"/>
      <c r="GNO21" s="292"/>
      <c r="GNP21" s="292"/>
      <c r="GNQ21" s="292"/>
      <c r="GNR21" s="292"/>
      <c r="GNS21" s="292"/>
      <c r="GNT21" s="292"/>
      <c r="GNU21" s="292"/>
      <c r="GNV21" s="292"/>
      <c r="GNW21" s="292"/>
      <c r="GNX21" s="292"/>
      <c r="GNY21" s="292"/>
      <c r="GNZ21" s="292"/>
      <c r="GOA21" s="292"/>
      <c r="GOB21" s="292"/>
      <c r="GOC21" s="292"/>
      <c r="GOD21" s="292"/>
      <c r="GOE21" s="292"/>
      <c r="GOF21" s="292"/>
      <c r="GOG21" s="292"/>
      <c r="GOH21" s="292"/>
      <c r="GOI21" s="292"/>
      <c r="GOJ21" s="292"/>
      <c r="GOK21" s="292"/>
      <c r="GOL21" s="292"/>
      <c r="GOM21" s="292"/>
      <c r="GON21" s="292"/>
      <c r="GOO21" s="292"/>
      <c r="GOP21" s="292"/>
      <c r="GOQ21" s="292"/>
      <c r="GOR21" s="292"/>
      <c r="GOS21" s="292"/>
      <c r="GOT21" s="292"/>
      <c r="GOU21" s="292"/>
      <c r="GOV21" s="292"/>
      <c r="GOW21" s="292"/>
      <c r="GOX21" s="292"/>
      <c r="GOY21" s="292"/>
      <c r="GOZ21" s="292"/>
      <c r="GPA21" s="292"/>
      <c r="GPB21" s="292"/>
      <c r="GPC21" s="292"/>
      <c r="GPD21" s="292"/>
      <c r="GPE21" s="292"/>
      <c r="GPF21" s="292"/>
      <c r="GPG21" s="292"/>
      <c r="GPH21" s="292"/>
      <c r="GPI21" s="292"/>
      <c r="GPJ21" s="292"/>
      <c r="GPK21" s="292"/>
      <c r="GPL21" s="292"/>
      <c r="GPM21" s="292"/>
      <c r="GPN21" s="292"/>
      <c r="GPO21" s="292"/>
      <c r="GPP21" s="292"/>
      <c r="GPQ21" s="292"/>
      <c r="GPR21" s="292"/>
      <c r="GPS21" s="292"/>
      <c r="GPT21" s="292"/>
      <c r="GPU21" s="292"/>
      <c r="GPV21" s="292"/>
      <c r="GPW21" s="292"/>
      <c r="GPX21" s="292"/>
      <c r="GPY21" s="292"/>
      <c r="GPZ21" s="292"/>
      <c r="GQA21" s="292"/>
      <c r="GQB21" s="292"/>
      <c r="GQC21" s="292"/>
      <c r="GQD21" s="292"/>
      <c r="GQE21" s="292"/>
      <c r="GQF21" s="292"/>
      <c r="GQG21" s="292"/>
      <c r="GQH21" s="292"/>
      <c r="GQI21" s="292"/>
      <c r="GQJ21" s="292"/>
      <c r="GQK21" s="292"/>
      <c r="GQL21" s="292"/>
      <c r="GQM21" s="292"/>
      <c r="GQN21" s="292"/>
      <c r="GQO21" s="292"/>
      <c r="GQP21" s="292"/>
      <c r="GQQ21" s="292"/>
      <c r="GQR21" s="292"/>
      <c r="GQS21" s="292"/>
      <c r="GQT21" s="292"/>
      <c r="GQU21" s="292"/>
      <c r="GQV21" s="292"/>
      <c r="GQW21" s="292"/>
      <c r="GQX21" s="292"/>
      <c r="GQY21" s="292"/>
      <c r="GQZ21" s="292"/>
      <c r="GRA21" s="292"/>
      <c r="GRB21" s="292"/>
      <c r="GRC21" s="292"/>
      <c r="GRD21" s="292"/>
      <c r="GRE21" s="292"/>
      <c r="GRF21" s="292"/>
      <c r="GRG21" s="292"/>
      <c r="GRH21" s="292"/>
      <c r="GRI21" s="292"/>
      <c r="GRJ21" s="292"/>
      <c r="GRK21" s="292"/>
      <c r="GRL21" s="292"/>
      <c r="GRM21" s="292"/>
      <c r="GRN21" s="292"/>
      <c r="GRO21" s="292"/>
      <c r="GRP21" s="292"/>
      <c r="GRQ21" s="292"/>
      <c r="GRR21" s="292"/>
      <c r="GRS21" s="292"/>
      <c r="GRT21" s="292"/>
      <c r="GRU21" s="292"/>
      <c r="GRV21" s="292"/>
      <c r="GRW21" s="292"/>
      <c r="GRX21" s="292"/>
      <c r="GRY21" s="292"/>
      <c r="GRZ21" s="292"/>
      <c r="GSA21" s="292"/>
      <c r="GSB21" s="292"/>
      <c r="GSC21" s="292"/>
      <c r="GSD21" s="292"/>
      <c r="GSE21" s="292"/>
      <c r="GSF21" s="292"/>
      <c r="GSG21" s="292"/>
      <c r="GSH21" s="292"/>
      <c r="GSI21" s="292"/>
      <c r="GSJ21" s="292"/>
      <c r="GSK21" s="292"/>
      <c r="GSL21" s="292"/>
      <c r="GSM21" s="292"/>
      <c r="GSN21" s="292"/>
      <c r="GSO21" s="292"/>
      <c r="GSP21" s="292"/>
      <c r="GSQ21" s="292"/>
      <c r="GSR21" s="292"/>
      <c r="GSS21" s="292"/>
      <c r="GST21" s="292"/>
      <c r="GSU21" s="292"/>
      <c r="GSV21" s="292"/>
      <c r="GSW21" s="292"/>
      <c r="GSX21" s="292"/>
      <c r="GSY21" s="292"/>
      <c r="GSZ21" s="292"/>
      <c r="GTA21" s="292"/>
      <c r="GTB21" s="292"/>
      <c r="GTC21" s="292"/>
      <c r="GTD21" s="292"/>
      <c r="GTE21" s="292"/>
      <c r="GTF21" s="292"/>
      <c r="GTG21" s="292"/>
      <c r="GTH21" s="292"/>
      <c r="GTI21" s="292"/>
      <c r="GTJ21" s="292"/>
      <c r="GTK21" s="292"/>
      <c r="GTL21" s="292"/>
      <c r="GTM21" s="292"/>
      <c r="GTN21" s="292"/>
      <c r="GTO21" s="292"/>
      <c r="GTP21" s="292"/>
      <c r="GTQ21" s="292"/>
      <c r="GTR21" s="292"/>
      <c r="GTS21" s="292"/>
      <c r="GTT21" s="292"/>
      <c r="GTU21" s="292"/>
      <c r="GTV21" s="292"/>
      <c r="GTW21" s="292"/>
      <c r="GTX21" s="292"/>
      <c r="GTY21" s="292"/>
      <c r="GTZ21" s="292"/>
      <c r="GUA21" s="292"/>
      <c r="GUB21" s="292"/>
      <c r="GUC21" s="292"/>
      <c r="GUD21" s="292"/>
      <c r="GUE21" s="292"/>
      <c r="GUF21" s="292"/>
      <c r="GUG21" s="292"/>
      <c r="GUH21" s="292"/>
      <c r="GUI21" s="292"/>
      <c r="GUJ21" s="292"/>
      <c r="GUK21" s="292"/>
      <c r="GUL21" s="292"/>
      <c r="GUM21" s="292"/>
      <c r="GUN21" s="292"/>
      <c r="GUO21" s="292"/>
      <c r="GUP21" s="292"/>
      <c r="GUQ21" s="292"/>
      <c r="GUR21" s="292"/>
      <c r="GUS21" s="292"/>
      <c r="GUT21" s="292"/>
      <c r="GUU21" s="292"/>
      <c r="GUV21" s="292"/>
      <c r="GUW21" s="292"/>
      <c r="GUX21" s="292"/>
      <c r="GUY21" s="292"/>
      <c r="GUZ21" s="292"/>
      <c r="GVA21" s="292"/>
      <c r="GVB21" s="292"/>
      <c r="GVC21" s="292"/>
      <c r="GVD21" s="292"/>
      <c r="GVE21" s="292"/>
      <c r="GVF21" s="292"/>
      <c r="GVG21" s="292"/>
      <c r="GVH21" s="292"/>
      <c r="GVI21" s="292"/>
      <c r="GVJ21" s="292"/>
      <c r="GVK21" s="292"/>
      <c r="GVL21" s="292"/>
      <c r="GVM21" s="292"/>
      <c r="GVN21" s="292"/>
      <c r="GVO21" s="292"/>
      <c r="GVP21" s="292"/>
      <c r="GVQ21" s="292"/>
      <c r="GVR21" s="292"/>
      <c r="GVS21" s="292"/>
      <c r="GVT21" s="292"/>
      <c r="GVU21" s="292"/>
      <c r="GVV21" s="292"/>
      <c r="GVW21" s="292"/>
      <c r="GVX21" s="292"/>
      <c r="GVY21" s="292"/>
      <c r="GVZ21" s="292"/>
      <c r="GWA21" s="292"/>
      <c r="GWB21" s="292"/>
      <c r="GWC21" s="292"/>
      <c r="GWD21" s="292"/>
      <c r="GWE21" s="292"/>
      <c r="GWF21" s="292"/>
      <c r="GWG21" s="292"/>
      <c r="GWH21" s="292"/>
      <c r="GWI21" s="292"/>
      <c r="GWJ21" s="292"/>
      <c r="GWK21" s="292"/>
      <c r="GWL21" s="292"/>
      <c r="GWM21" s="292"/>
      <c r="GWN21" s="292"/>
      <c r="GWO21" s="292"/>
      <c r="GWP21" s="292"/>
      <c r="GWQ21" s="292"/>
      <c r="GWR21" s="292"/>
      <c r="GWS21" s="292"/>
      <c r="GWT21" s="292"/>
      <c r="GWU21" s="292"/>
      <c r="GWV21" s="292"/>
      <c r="GWW21" s="292"/>
      <c r="GWX21" s="292"/>
      <c r="GWY21" s="292"/>
      <c r="GWZ21" s="292"/>
      <c r="GXA21" s="292"/>
      <c r="GXB21" s="292"/>
      <c r="GXC21" s="292"/>
      <c r="GXD21" s="292"/>
      <c r="GXE21" s="292"/>
      <c r="GXF21" s="292"/>
      <c r="GXG21" s="292"/>
      <c r="GXH21" s="292"/>
      <c r="GXI21" s="292"/>
      <c r="GXJ21" s="292"/>
      <c r="GXK21" s="292"/>
      <c r="GXL21" s="292"/>
      <c r="GXM21" s="292"/>
      <c r="GXN21" s="292"/>
      <c r="GXO21" s="292"/>
      <c r="GXP21" s="292"/>
      <c r="GXQ21" s="292"/>
      <c r="GXR21" s="292"/>
      <c r="GXS21" s="292"/>
      <c r="GXT21" s="292"/>
      <c r="GXU21" s="292"/>
      <c r="GXV21" s="292"/>
      <c r="GXW21" s="292"/>
      <c r="GXX21" s="292"/>
      <c r="GXY21" s="292"/>
      <c r="GXZ21" s="292"/>
      <c r="GYA21" s="292"/>
      <c r="GYB21" s="292"/>
      <c r="GYC21" s="292"/>
      <c r="GYD21" s="292"/>
      <c r="GYE21" s="292"/>
      <c r="GYF21" s="292"/>
      <c r="GYG21" s="292"/>
      <c r="GYH21" s="292"/>
      <c r="GYI21" s="292"/>
      <c r="GYJ21" s="292"/>
      <c r="GYK21" s="292"/>
      <c r="GYL21" s="292"/>
      <c r="GYM21" s="292"/>
      <c r="GYN21" s="292"/>
      <c r="GYO21" s="292"/>
      <c r="GYP21" s="292"/>
      <c r="GYQ21" s="292"/>
      <c r="GYR21" s="292"/>
      <c r="GYS21" s="292"/>
      <c r="GYT21" s="292"/>
      <c r="GYU21" s="292"/>
      <c r="GYV21" s="292"/>
      <c r="GYW21" s="292"/>
      <c r="GYX21" s="292"/>
      <c r="GYY21" s="292"/>
      <c r="GYZ21" s="292"/>
      <c r="GZA21" s="292"/>
      <c r="GZB21" s="292"/>
      <c r="GZC21" s="292"/>
      <c r="GZD21" s="292"/>
      <c r="GZE21" s="292"/>
      <c r="GZF21" s="292"/>
      <c r="GZG21" s="292"/>
      <c r="GZH21" s="292"/>
      <c r="GZI21" s="292"/>
      <c r="GZJ21" s="292"/>
      <c r="GZK21" s="292"/>
      <c r="GZL21" s="292"/>
      <c r="GZM21" s="292"/>
      <c r="GZN21" s="292"/>
      <c r="GZO21" s="292"/>
      <c r="GZP21" s="292"/>
      <c r="GZQ21" s="292"/>
      <c r="GZR21" s="292"/>
      <c r="GZS21" s="292"/>
      <c r="GZT21" s="292"/>
      <c r="GZU21" s="292"/>
      <c r="GZV21" s="292"/>
      <c r="GZW21" s="292"/>
      <c r="GZX21" s="292"/>
      <c r="GZY21" s="292"/>
      <c r="GZZ21" s="292"/>
      <c r="HAA21" s="292"/>
      <c r="HAB21" s="292"/>
      <c r="HAC21" s="292"/>
      <c r="HAD21" s="292"/>
      <c r="HAE21" s="292"/>
      <c r="HAF21" s="292"/>
      <c r="HAG21" s="292"/>
      <c r="HAH21" s="292"/>
      <c r="HAI21" s="292"/>
      <c r="HAJ21" s="292"/>
      <c r="HAK21" s="292"/>
      <c r="HAL21" s="292"/>
      <c r="HAM21" s="292"/>
      <c r="HAN21" s="292"/>
      <c r="HAO21" s="292"/>
      <c r="HAP21" s="292"/>
      <c r="HAQ21" s="292"/>
      <c r="HAR21" s="292"/>
      <c r="HAS21" s="292"/>
      <c r="HAT21" s="292"/>
      <c r="HAU21" s="292"/>
      <c r="HAV21" s="292"/>
      <c r="HAW21" s="292"/>
      <c r="HAX21" s="292"/>
      <c r="HAY21" s="292"/>
      <c r="HAZ21" s="292"/>
      <c r="HBA21" s="292"/>
      <c r="HBB21" s="292"/>
      <c r="HBC21" s="292"/>
      <c r="HBD21" s="292"/>
      <c r="HBE21" s="292"/>
      <c r="HBF21" s="292"/>
      <c r="HBG21" s="292"/>
      <c r="HBH21" s="292"/>
      <c r="HBI21" s="292"/>
      <c r="HBJ21" s="292"/>
      <c r="HBK21" s="292"/>
      <c r="HBL21" s="292"/>
      <c r="HBM21" s="292"/>
      <c r="HBN21" s="292"/>
      <c r="HBO21" s="292"/>
      <c r="HBP21" s="292"/>
      <c r="HBQ21" s="292"/>
      <c r="HBR21" s="292"/>
      <c r="HBS21" s="292"/>
      <c r="HBT21" s="292"/>
      <c r="HBU21" s="292"/>
      <c r="HBV21" s="292"/>
      <c r="HBW21" s="292"/>
      <c r="HBX21" s="292"/>
      <c r="HBY21" s="292"/>
      <c r="HBZ21" s="292"/>
      <c r="HCA21" s="292"/>
      <c r="HCB21" s="292"/>
      <c r="HCC21" s="292"/>
      <c r="HCD21" s="292"/>
      <c r="HCE21" s="292"/>
      <c r="HCF21" s="292"/>
      <c r="HCG21" s="292"/>
      <c r="HCH21" s="292"/>
      <c r="HCI21" s="292"/>
      <c r="HCJ21" s="292"/>
      <c r="HCK21" s="292"/>
      <c r="HCL21" s="292"/>
      <c r="HCM21" s="292"/>
      <c r="HCN21" s="292"/>
      <c r="HCO21" s="292"/>
      <c r="HCP21" s="292"/>
      <c r="HCQ21" s="292"/>
      <c r="HCR21" s="292"/>
      <c r="HCS21" s="292"/>
      <c r="HCT21" s="292"/>
      <c r="HCU21" s="292"/>
      <c r="HCV21" s="292"/>
      <c r="HCW21" s="292"/>
      <c r="HCX21" s="292"/>
      <c r="HCY21" s="292"/>
      <c r="HCZ21" s="292"/>
      <c r="HDA21" s="292"/>
      <c r="HDB21" s="292"/>
      <c r="HDC21" s="292"/>
      <c r="HDD21" s="292"/>
      <c r="HDE21" s="292"/>
      <c r="HDF21" s="292"/>
      <c r="HDG21" s="292"/>
      <c r="HDH21" s="292"/>
      <c r="HDI21" s="292"/>
      <c r="HDJ21" s="292"/>
      <c r="HDK21" s="292"/>
      <c r="HDL21" s="292"/>
      <c r="HDM21" s="292"/>
      <c r="HDN21" s="292"/>
      <c r="HDO21" s="292"/>
      <c r="HDP21" s="292"/>
      <c r="HDQ21" s="292"/>
      <c r="HDR21" s="292"/>
      <c r="HDS21" s="292"/>
      <c r="HDT21" s="292"/>
      <c r="HDU21" s="292"/>
      <c r="HDV21" s="292"/>
      <c r="HDW21" s="292"/>
      <c r="HDX21" s="292"/>
      <c r="HDY21" s="292"/>
      <c r="HDZ21" s="292"/>
      <c r="HEA21" s="292"/>
      <c r="HEB21" s="292"/>
      <c r="HEC21" s="292"/>
      <c r="HED21" s="292"/>
      <c r="HEE21" s="292"/>
      <c r="HEF21" s="292"/>
      <c r="HEG21" s="292"/>
      <c r="HEH21" s="292"/>
      <c r="HEI21" s="292"/>
      <c r="HEJ21" s="292"/>
      <c r="HEK21" s="292"/>
      <c r="HEL21" s="292"/>
      <c r="HEM21" s="292"/>
      <c r="HEN21" s="292"/>
      <c r="HEO21" s="292"/>
      <c r="HEP21" s="292"/>
      <c r="HEQ21" s="292"/>
      <c r="HER21" s="292"/>
      <c r="HES21" s="292"/>
      <c r="HET21" s="292"/>
      <c r="HEU21" s="292"/>
      <c r="HEV21" s="292"/>
      <c r="HEW21" s="292"/>
      <c r="HEX21" s="292"/>
      <c r="HEY21" s="292"/>
      <c r="HEZ21" s="292"/>
      <c r="HFA21" s="292"/>
      <c r="HFB21" s="292"/>
      <c r="HFC21" s="292"/>
      <c r="HFD21" s="292"/>
      <c r="HFE21" s="292"/>
      <c r="HFF21" s="292"/>
      <c r="HFG21" s="292"/>
      <c r="HFH21" s="292"/>
      <c r="HFI21" s="292"/>
      <c r="HFJ21" s="292"/>
      <c r="HFK21" s="292"/>
      <c r="HFL21" s="292"/>
      <c r="HFM21" s="292"/>
      <c r="HFN21" s="292"/>
      <c r="HFO21" s="292"/>
      <c r="HFP21" s="292"/>
      <c r="HFQ21" s="292"/>
      <c r="HFR21" s="292"/>
      <c r="HFS21" s="292"/>
      <c r="HFT21" s="292"/>
      <c r="HFU21" s="292"/>
      <c r="HFV21" s="292"/>
      <c r="HFW21" s="292"/>
      <c r="HFX21" s="292"/>
      <c r="HFY21" s="292"/>
      <c r="HFZ21" s="292"/>
      <c r="HGA21" s="292"/>
      <c r="HGB21" s="292"/>
      <c r="HGC21" s="292"/>
      <c r="HGD21" s="292"/>
      <c r="HGE21" s="292"/>
      <c r="HGF21" s="292"/>
      <c r="HGG21" s="292"/>
      <c r="HGH21" s="292"/>
      <c r="HGI21" s="292"/>
      <c r="HGJ21" s="292"/>
      <c r="HGK21" s="292"/>
      <c r="HGL21" s="292"/>
      <c r="HGM21" s="292"/>
      <c r="HGN21" s="292"/>
      <c r="HGO21" s="292"/>
      <c r="HGP21" s="292"/>
      <c r="HGQ21" s="292"/>
      <c r="HGR21" s="292"/>
      <c r="HGS21" s="292"/>
      <c r="HGT21" s="292"/>
      <c r="HGU21" s="292"/>
      <c r="HGV21" s="292"/>
      <c r="HGW21" s="292"/>
      <c r="HGX21" s="292"/>
      <c r="HGY21" s="292"/>
      <c r="HGZ21" s="292"/>
      <c r="HHA21" s="292"/>
      <c r="HHB21" s="292"/>
      <c r="HHC21" s="292"/>
      <c r="HHD21" s="292"/>
      <c r="HHE21" s="292"/>
      <c r="HHF21" s="292"/>
      <c r="HHG21" s="292"/>
      <c r="HHH21" s="292"/>
      <c r="HHI21" s="292"/>
      <c r="HHJ21" s="292"/>
      <c r="HHK21" s="292"/>
      <c r="HHL21" s="292"/>
      <c r="HHM21" s="292"/>
      <c r="HHN21" s="292"/>
      <c r="HHO21" s="292"/>
      <c r="HHP21" s="292"/>
      <c r="HHQ21" s="292"/>
      <c r="HHR21" s="292"/>
      <c r="HHS21" s="292"/>
      <c r="HHT21" s="292"/>
      <c r="HHU21" s="292"/>
      <c r="HHV21" s="292"/>
      <c r="HHW21" s="292"/>
      <c r="HHX21" s="292"/>
      <c r="HHY21" s="292"/>
      <c r="HHZ21" s="292"/>
      <c r="HIA21" s="292"/>
      <c r="HIB21" s="292"/>
      <c r="HIC21" s="292"/>
      <c r="HID21" s="292"/>
      <c r="HIE21" s="292"/>
      <c r="HIF21" s="292"/>
      <c r="HIG21" s="292"/>
      <c r="HIH21" s="292"/>
      <c r="HII21" s="292"/>
      <c r="HIJ21" s="292"/>
      <c r="HIK21" s="292"/>
      <c r="HIL21" s="292"/>
      <c r="HIM21" s="292"/>
      <c r="HIN21" s="292"/>
      <c r="HIO21" s="292"/>
      <c r="HIP21" s="292"/>
      <c r="HIQ21" s="292"/>
      <c r="HIR21" s="292"/>
      <c r="HIS21" s="292"/>
      <c r="HIT21" s="292"/>
      <c r="HIU21" s="292"/>
      <c r="HIV21" s="292"/>
      <c r="HIW21" s="292"/>
      <c r="HIX21" s="292"/>
      <c r="HIY21" s="292"/>
      <c r="HIZ21" s="292"/>
      <c r="HJA21" s="292"/>
      <c r="HJB21" s="292"/>
      <c r="HJC21" s="292"/>
      <c r="HJD21" s="292"/>
      <c r="HJE21" s="292"/>
      <c r="HJF21" s="292"/>
      <c r="HJG21" s="292"/>
      <c r="HJH21" s="292"/>
      <c r="HJI21" s="292"/>
      <c r="HJJ21" s="292"/>
      <c r="HJK21" s="292"/>
      <c r="HJL21" s="292"/>
      <c r="HJM21" s="292"/>
      <c r="HJN21" s="292"/>
      <c r="HJO21" s="292"/>
      <c r="HJP21" s="292"/>
      <c r="HJQ21" s="292"/>
      <c r="HJR21" s="292"/>
      <c r="HJS21" s="292"/>
      <c r="HJT21" s="292"/>
      <c r="HJU21" s="292"/>
      <c r="HJV21" s="292"/>
      <c r="HJW21" s="292"/>
      <c r="HJX21" s="292"/>
      <c r="HJY21" s="292"/>
      <c r="HJZ21" s="292"/>
      <c r="HKA21" s="292"/>
      <c r="HKB21" s="292"/>
      <c r="HKC21" s="292"/>
      <c r="HKD21" s="292"/>
      <c r="HKE21" s="292"/>
      <c r="HKF21" s="292"/>
      <c r="HKG21" s="292"/>
      <c r="HKH21" s="292"/>
      <c r="HKI21" s="292"/>
      <c r="HKJ21" s="292"/>
      <c r="HKK21" s="292"/>
      <c r="HKL21" s="292"/>
      <c r="HKM21" s="292"/>
      <c r="HKN21" s="292"/>
      <c r="HKO21" s="292"/>
      <c r="HKP21" s="292"/>
      <c r="HKQ21" s="292"/>
      <c r="HKR21" s="292"/>
      <c r="HKS21" s="292"/>
      <c r="HKT21" s="292"/>
      <c r="HKU21" s="292"/>
      <c r="HKV21" s="292"/>
      <c r="HKW21" s="292"/>
      <c r="HKX21" s="292"/>
      <c r="HKY21" s="292"/>
      <c r="HKZ21" s="292"/>
      <c r="HLA21" s="292"/>
      <c r="HLB21" s="292"/>
      <c r="HLC21" s="292"/>
      <c r="HLD21" s="292"/>
      <c r="HLE21" s="292"/>
      <c r="HLF21" s="292"/>
      <c r="HLG21" s="292"/>
      <c r="HLH21" s="292"/>
      <c r="HLI21" s="292"/>
      <c r="HLJ21" s="292"/>
      <c r="HLK21" s="292"/>
      <c r="HLL21" s="292"/>
      <c r="HLM21" s="292"/>
      <c r="HLN21" s="292"/>
      <c r="HLO21" s="292"/>
      <c r="HLP21" s="292"/>
      <c r="HLQ21" s="292"/>
      <c r="HLR21" s="292"/>
      <c r="HLS21" s="292"/>
      <c r="HLT21" s="292"/>
      <c r="HLU21" s="292"/>
      <c r="HLV21" s="292"/>
      <c r="HLW21" s="292"/>
      <c r="HLX21" s="292"/>
      <c r="HLY21" s="292"/>
      <c r="HLZ21" s="292"/>
      <c r="HMA21" s="292"/>
      <c r="HMB21" s="292"/>
      <c r="HMC21" s="292"/>
      <c r="HMD21" s="292"/>
      <c r="HME21" s="292"/>
      <c r="HMF21" s="292"/>
      <c r="HMG21" s="292"/>
      <c r="HMH21" s="292"/>
      <c r="HMI21" s="292"/>
      <c r="HMJ21" s="292"/>
      <c r="HMK21" s="292"/>
      <c r="HML21" s="292"/>
      <c r="HMM21" s="292"/>
      <c r="HMN21" s="292"/>
      <c r="HMO21" s="292"/>
      <c r="HMP21" s="292"/>
      <c r="HMQ21" s="292"/>
      <c r="HMR21" s="292"/>
      <c r="HMS21" s="292"/>
      <c r="HMT21" s="292"/>
      <c r="HMU21" s="292"/>
      <c r="HMV21" s="292"/>
      <c r="HMW21" s="292"/>
      <c r="HMX21" s="292"/>
      <c r="HMY21" s="292"/>
      <c r="HMZ21" s="292"/>
      <c r="HNA21" s="292"/>
      <c r="HNB21" s="292"/>
      <c r="HNC21" s="292"/>
      <c r="HND21" s="292"/>
      <c r="HNE21" s="292"/>
      <c r="HNF21" s="292"/>
      <c r="HNG21" s="292"/>
      <c r="HNH21" s="292"/>
      <c r="HNI21" s="292"/>
      <c r="HNJ21" s="292"/>
      <c r="HNK21" s="292"/>
      <c r="HNL21" s="292"/>
      <c r="HNM21" s="292"/>
      <c r="HNN21" s="292"/>
      <c r="HNO21" s="292"/>
      <c r="HNP21" s="292"/>
      <c r="HNQ21" s="292"/>
      <c r="HNR21" s="292"/>
      <c r="HNS21" s="292"/>
      <c r="HNT21" s="292"/>
      <c r="HNU21" s="292"/>
      <c r="HNV21" s="292"/>
      <c r="HNW21" s="292"/>
      <c r="HNX21" s="292"/>
      <c r="HNY21" s="292"/>
      <c r="HNZ21" s="292"/>
      <c r="HOA21" s="292"/>
      <c r="HOB21" s="292"/>
      <c r="HOC21" s="292"/>
      <c r="HOD21" s="292"/>
      <c r="HOE21" s="292"/>
      <c r="HOF21" s="292"/>
      <c r="HOG21" s="292"/>
      <c r="HOH21" s="292"/>
      <c r="HOI21" s="292"/>
      <c r="HOJ21" s="292"/>
      <c r="HOK21" s="292"/>
      <c r="HOL21" s="292"/>
      <c r="HOM21" s="292"/>
      <c r="HON21" s="292"/>
      <c r="HOO21" s="292"/>
      <c r="HOP21" s="292"/>
      <c r="HOQ21" s="292"/>
      <c r="HOR21" s="292"/>
      <c r="HOS21" s="292"/>
      <c r="HOT21" s="292"/>
      <c r="HOU21" s="292"/>
      <c r="HOV21" s="292"/>
      <c r="HOW21" s="292"/>
      <c r="HOX21" s="292"/>
      <c r="HOY21" s="292"/>
      <c r="HOZ21" s="292"/>
      <c r="HPA21" s="292"/>
      <c r="HPB21" s="292"/>
      <c r="HPC21" s="292"/>
      <c r="HPD21" s="292"/>
      <c r="HPE21" s="292"/>
      <c r="HPF21" s="292"/>
      <c r="HPG21" s="292"/>
      <c r="HPH21" s="292"/>
      <c r="HPI21" s="292"/>
      <c r="HPJ21" s="292"/>
      <c r="HPK21" s="292"/>
      <c r="HPL21" s="292"/>
      <c r="HPM21" s="292"/>
      <c r="HPN21" s="292"/>
      <c r="HPO21" s="292"/>
      <c r="HPP21" s="292"/>
      <c r="HPQ21" s="292"/>
      <c r="HPR21" s="292"/>
      <c r="HPS21" s="292"/>
      <c r="HPT21" s="292"/>
      <c r="HPU21" s="292"/>
      <c r="HPV21" s="292"/>
      <c r="HPW21" s="292"/>
      <c r="HPX21" s="292"/>
      <c r="HPY21" s="292"/>
      <c r="HPZ21" s="292"/>
      <c r="HQA21" s="292"/>
      <c r="HQB21" s="292"/>
      <c r="HQC21" s="292"/>
      <c r="HQD21" s="292"/>
      <c r="HQE21" s="292"/>
      <c r="HQF21" s="292"/>
      <c r="HQG21" s="292"/>
      <c r="HQH21" s="292"/>
      <c r="HQI21" s="292"/>
      <c r="HQJ21" s="292"/>
      <c r="HQK21" s="292"/>
      <c r="HQL21" s="292"/>
      <c r="HQM21" s="292"/>
      <c r="HQN21" s="292"/>
      <c r="HQO21" s="292"/>
      <c r="HQP21" s="292"/>
      <c r="HQQ21" s="292"/>
      <c r="HQR21" s="292"/>
      <c r="HQS21" s="292"/>
      <c r="HQT21" s="292"/>
      <c r="HQU21" s="292"/>
      <c r="HQV21" s="292"/>
      <c r="HQW21" s="292"/>
      <c r="HQX21" s="292"/>
      <c r="HQY21" s="292"/>
      <c r="HQZ21" s="292"/>
      <c r="HRA21" s="292"/>
      <c r="HRB21" s="292"/>
      <c r="HRC21" s="292"/>
      <c r="HRD21" s="292"/>
      <c r="HRE21" s="292"/>
      <c r="HRF21" s="292"/>
      <c r="HRG21" s="292"/>
      <c r="HRH21" s="292"/>
      <c r="HRI21" s="292"/>
      <c r="HRJ21" s="292"/>
      <c r="HRK21" s="292"/>
      <c r="HRL21" s="292"/>
      <c r="HRM21" s="292"/>
      <c r="HRN21" s="292"/>
      <c r="HRO21" s="292"/>
      <c r="HRP21" s="292"/>
      <c r="HRQ21" s="292"/>
      <c r="HRR21" s="292"/>
      <c r="HRS21" s="292"/>
      <c r="HRT21" s="292"/>
      <c r="HRU21" s="292"/>
      <c r="HRV21" s="292"/>
      <c r="HRW21" s="292"/>
      <c r="HRX21" s="292"/>
      <c r="HRY21" s="292"/>
      <c r="HRZ21" s="292"/>
      <c r="HSA21" s="292"/>
      <c r="HSB21" s="292"/>
      <c r="HSC21" s="292"/>
      <c r="HSD21" s="292"/>
      <c r="HSE21" s="292"/>
      <c r="HSF21" s="292"/>
      <c r="HSG21" s="292"/>
      <c r="HSH21" s="292"/>
      <c r="HSI21" s="292"/>
      <c r="HSJ21" s="292"/>
      <c r="HSK21" s="292"/>
      <c r="HSL21" s="292"/>
      <c r="HSM21" s="292"/>
      <c r="HSN21" s="292"/>
      <c r="HSO21" s="292"/>
      <c r="HSP21" s="292"/>
      <c r="HSQ21" s="292"/>
      <c r="HSR21" s="292"/>
      <c r="HSS21" s="292"/>
      <c r="HST21" s="292"/>
      <c r="HSU21" s="292"/>
      <c r="HSV21" s="292"/>
      <c r="HSW21" s="292"/>
      <c r="HSX21" s="292"/>
      <c r="HSY21" s="292"/>
      <c r="HSZ21" s="292"/>
      <c r="HTA21" s="292"/>
      <c r="HTB21" s="292"/>
      <c r="HTC21" s="292"/>
      <c r="HTD21" s="292"/>
      <c r="HTE21" s="292"/>
      <c r="HTF21" s="292"/>
      <c r="HTG21" s="292"/>
      <c r="HTH21" s="292"/>
      <c r="HTI21" s="292"/>
      <c r="HTJ21" s="292"/>
      <c r="HTK21" s="292"/>
      <c r="HTL21" s="292"/>
      <c r="HTM21" s="292"/>
      <c r="HTN21" s="292"/>
      <c r="HTO21" s="292"/>
      <c r="HTP21" s="292"/>
      <c r="HTQ21" s="292"/>
      <c r="HTR21" s="292"/>
      <c r="HTS21" s="292"/>
      <c r="HTT21" s="292"/>
      <c r="HTU21" s="292"/>
      <c r="HTV21" s="292"/>
      <c r="HTW21" s="292"/>
      <c r="HTX21" s="292"/>
      <c r="HTY21" s="292"/>
      <c r="HTZ21" s="292"/>
      <c r="HUA21" s="292"/>
      <c r="HUB21" s="292"/>
      <c r="HUC21" s="292"/>
      <c r="HUD21" s="292"/>
      <c r="HUE21" s="292"/>
      <c r="HUF21" s="292"/>
      <c r="HUG21" s="292"/>
      <c r="HUH21" s="292"/>
      <c r="HUI21" s="292"/>
      <c r="HUJ21" s="292"/>
      <c r="HUK21" s="292"/>
      <c r="HUL21" s="292"/>
      <c r="HUM21" s="292"/>
      <c r="HUN21" s="292"/>
      <c r="HUO21" s="292"/>
      <c r="HUP21" s="292"/>
      <c r="HUQ21" s="292"/>
      <c r="HUR21" s="292"/>
      <c r="HUS21" s="292"/>
      <c r="HUT21" s="292"/>
      <c r="HUU21" s="292"/>
      <c r="HUV21" s="292"/>
      <c r="HUW21" s="292"/>
      <c r="HUX21" s="292"/>
      <c r="HUY21" s="292"/>
      <c r="HUZ21" s="292"/>
      <c r="HVA21" s="292"/>
      <c r="HVB21" s="292"/>
      <c r="HVC21" s="292"/>
      <c r="HVD21" s="292"/>
      <c r="HVE21" s="292"/>
      <c r="HVF21" s="292"/>
      <c r="HVG21" s="292"/>
      <c r="HVH21" s="292"/>
      <c r="HVI21" s="292"/>
      <c r="HVJ21" s="292"/>
      <c r="HVK21" s="292"/>
      <c r="HVL21" s="292"/>
      <c r="HVM21" s="292"/>
      <c r="HVN21" s="292"/>
      <c r="HVO21" s="292"/>
      <c r="HVP21" s="292"/>
      <c r="HVQ21" s="292"/>
      <c r="HVR21" s="292"/>
      <c r="HVS21" s="292"/>
      <c r="HVT21" s="292"/>
      <c r="HVU21" s="292"/>
      <c r="HVV21" s="292"/>
      <c r="HVW21" s="292"/>
      <c r="HVX21" s="292"/>
      <c r="HVY21" s="292"/>
      <c r="HVZ21" s="292"/>
      <c r="HWA21" s="292"/>
      <c r="HWB21" s="292"/>
      <c r="HWC21" s="292"/>
      <c r="HWD21" s="292"/>
      <c r="HWE21" s="292"/>
      <c r="HWF21" s="292"/>
      <c r="HWG21" s="292"/>
      <c r="HWH21" s="292"/>
      <c r="HWI21" s="292"/>
      <c r="HWJ21" s="292"/>
      <c r="HWK21" s="292"/>
      <c r="HWL21" s="292"/>
      <c r="HWM21" s="292"/>
      <c r="HWN21" s="292"/>
      <c r="HWO21" s="292"/>
      <c r="HWP21" s="292"/>
      <c r="HWQ21" s="292"/>
      <c r="HWR21" s="292"/>
      <c r="HWS21" s="292"/>
      <c r="HWT21" s="292"/>
      <c r="HWU21" s="292"/>
      <c r="HWV21" s="292"/>
      <c r="HWW21" s="292"/>
      <c r="HWX21" s="292"/>
      <c r="HWY21" s="292"/>
      <c r="HWZ21" s="292"/>
      <c r="HXA21" s="292"/>
      <c r="HXB21" s="292"/>
      <c r="HXC21" s="292"/>
      <c r="HXD21" s="292"/>
      <c r="HXE21" s="292"/>
      <c r="HXF21" s="292"/>
      <c r="HXG21" s="292"/>
      <c r="HXH21" s="292"/>
      <c r="HXI21" s="292"/>
      <c r="HXJ21" s="292"/>
      <c r="HXK21" s="292"/>
      <c r="HXL21" s="292"/>
      <c r="HXM21" s="292"/>
      <c r="HXN21" s="292"/>
      <c r="HXO21" s="292"/>
      <c r="HXP21" s="292"/>
      <c r="HXQ21" s="292"/>
      <c r="HXR21" s="292"/>
      <c r="HXS21" s="292"/>
      <c r="HXT21" s="292"/>
      <c r="HXU21" s="292"/>
      <c r="HXV21" s="292"/>
      <c r="HXW21" s="292"/>
      <c r="HXX21" s="292"/>
      <c r="HXY21" s="292"/>
      <c r="HXZ21" s="292"/>
      <c r="HYA21" s="292"/>
      <c r="HYB21" s="292"/>
      <c r="HYC21" s="292"/>
      <c r="HYD21" s="292"/>
      <c r="HYE21" s="292"/>
      <c r="HYF21" s="292"/>
      <c r="HYG21" s="292"/>
      <c r="HYH21" s="292"/>
      <c r="HYI21" s="292"/>
      <c r="HYJ21" s="292"/>
      <c r="HYK21" s="292"/>
      <c r="HYL21" s="292"/>
      <c r="HYM21" s="292"/>
      <c r="HYN21" s="292"/>
      <c r="HYO21" s="292"/>
      <c r="HYP21" s="292"/>
      <c r="HYQ21" s="292"/>
      <c r="HYR21" s="292"/>
      <c r="HYS21" s="292"/>
      <c r="HYT21" s="292"/>
      <c r="HYU21" s="292"/>
      <c r="HYV21" s="292"/>
      <c r="HYW21" s="292"/>
      <c r="HYX21" s="292"/>
      <c r="HYY21" s="292"/>
      <c r="HYZ21" s="292"/>
      <c r="HZA21" s="292"/>
      <c r="HZB21" s="292"/>
      <c r="HZC21" s="292"/>
      <c r="HZD21" s="292"/>
      <c r="HZE21" s="292"/>
      <c r="HZF21" s="292"/>
      <c r="HZG21" s="292"/>
      <c r="HZH21" s="292"/>
      <c r="HZI21" s="292"/>
      <c r="HZJ21" s="292"/>
      <c r="HZK21" s="292"/>
      <c r="HZL21" s="292"/>
      <c r="HZM21" s="292"/>
      <c r="HZN21" s="292"/>
      <c r="HZO21" s="292"/>
      <c r="HZP21" s="292"/>
      <c r="HZQ21" s="292"/>
      <c r="HZR21" s="292"/>
      <c r="HZS21" s="292"/>
      <c r="HZT21" s="292"/>
      <c r="HZU21" s="292"/>
      <c r="HZV21" s="292"/>
      <c r="HZW21" s="292"/>
      <c r="HZX21" s="292"/>
      <c r="HZY21" s="292"/>
      <c r="HZZ21" s="292"/>
      <c r="IAA21" s="292"/>
      <c r="IAB21" s="292"/>
      <c r="IAC21" s="292"/>
      <c r="IAD21" s="292"/>
      <c r="IAE21" s="292"/>
      <c r="IAF21" s="292"/>
      <c r="IAG21" s="292"/>
      <c r="IAH21" s="292"/>
      <c r="IAI21" s="292"/>
      <c r="IAJ21" s="292"/>
      <c r="IAK21" s="292"/>
      <c r="IAL21" s="292"/>
      <c r="IAM21" s="292"/>
      <c r="IAN21" s="292"/>
      <c r="IAO21" s="292"/>
      <c r="IAP21" s="292"/>
      <c r="IAQ21" s="292"/>
      <c r="IAR21" s="292"/>
      <c r="IAS21" s="292"/>
      <c r="IAT21" s="292"/>
      <c r="IAU21" s="292"/>
      <c r="IAV21" s="292"/>
      <c r="IAW21" s="292"/>
      <c r="IAX21" s="292"/>
      <c r="IAY21" s="292"/>
      <c r="IAZ21" s="292"/>
      <c r="IBA21" s="292"/>
      <c r="IBB21" s="292"/>
      <c r="IBC21" s="292"/>
      <c r="IBD21" s="292"/>
      <c r="IBE21" s="292"/>
      <c r="IBF21" s="292"/>
      <c r="IBG21" s="292"/>
      <c r="IBH21" s="292"/>
      <c r="IBI21" s="292"/>
      <c r="IBJ21" s="292"/>
      <c r="IBK21" s="292"/>
      <c r="IBL21" s="292"/>
      <c r="IBM21" s="292"/>
      <c r="IBN21" s="292"/>
      <c r="IBO21" s="292"/>
      <c r="IBP21" s="292"/>
      <c r="IBQ21" s="292"/>
      <c r="IBR21" s="292"/>
      <c r="IBS21" s="292"/>
      <c r="IBT21" s="292"/>
      <c r="IBU21" s="292"/>
      <c r="IBV21" s="292"/>
      <c r="IBW21" s="292"/>
      <c r="IBX21" s="292"/>
      <c r="IBY21" s="292"/>
      <c r="IBZ21" s="292"/>
      <c r="ICA21" s="292"/>
      <c r="ICB21" s="292"/>
      <c r="ICC21" s="292"/>
      <c r="ICD21" s="292"/>
      <c r="ICE21" s="292"/>
      <c r="ICF21" s="292"/>
      <c r="ICG21" s="292"/>
      <c r="ICH21" s="292"/>
      <c r="ICI21" s="292"/>
      <c r="ICJ21" s="292"/>
      <c r="ICK21" s="292"/>
      <c r="ICL21" s="292"/>
      <c r="ICM21" s="292"/>
      <c r="ICN21" s="292"/>
      <c r="ICO21" s="292"/>
      <c r="ICP21" s="292"/>
      <c r="ICQ21" s="292"/>
      <c r="ICR21" s="292"/>
      <c r="ICS21" s="292"/>
      <c r="ICT21" s="292"/>
      <c r="ICU21" s="292"/>
      <c r="ICV21" s="292"/>
      <c r="ICW21" s="292"/>
      <c r="ICX21" s="292"/>
      <c r="ICY21" s="292"/>
      <c r="ICZ21" s="292"/>
      <c r="IDA21" s="292"/>
      <c r="IDB21" s="292"/>
      <c r="IDC21" s="292"/>
      <c r="IDD21" s="292"/>
      <c r="IDE21" s="292"/>
      <c r="IDF21" s="292"/>
      <c r="IDG21" s="292"/>
      <c r="IDH21" s="292"/>
      <c r="IDI21" s="292"/>
      <c r="IDJ21" s="292"/>
      <c r="IDK21" s="292"/>
      <c r="IDL21" s="292"/>
      <c r="IDM21" s="292"/>
      <c r="IDN21" s="292"/>
      <c r="IDO21" s="292"/>
      <c r="IDP21" s="292"/>
      <c r="IDQ21" s="292"/>
      <c r="IDR21" s="292"/>
      <c r="IDS21" s="292"/>
      <c r="IDT21" s="292"/>
      <c r="IDU21" s="292"/>
      <c r="IDV21" s="292"/>
      <c r="IDW21" s="292"/>
      <c r="IDX21" s="292"/>
      <c r="IDY21" s="292"/>
      <c r="IDZ21" s="292"/>
      <c r="IEA21" s="292"/>
      <c r="IEB21" s="292"/>
      <c r="IEC21" s="292"/>
      <c r="IED21" s="292"/>
      <c r="IEE21" s="292"/>
      <c r="IEF21" s="292"/>
      <c r="IEG21" s="292"/>
      <c r="IEH21" s="292"/>
      <c r="IEI21" s="292"/>
      <c r="IEJ21" s="292"/>
      <c r="IEK21" s="292"/>
      <c r="IEL21" s="292"/>
      <c r="IEM21" s="292"/>
      <c r="IEN21" s="292"/>
      <c r="IEO21" s="292"/>
      <c r="IEP21" s="292"/>
      <c r="IEQ21" s="292"/>
      <c r="IER21" s="292"/>
      <c r="IES21" s="292"/>
      <c r="IET21" s="292"/>
      <c r="IEU21" s="292"/>
      <c r="IEV21" s="292"/>
      <c r="IEW21" s="292"/>
      <c r="IEX21" s="292"/>
      <c r="IEY21" s="292"/>
      <c r="IEZ21" s="292"/>
      <c r="IFA21" s="292"/>
      <c r="IFB21" s="292"/>
      <c r="IFC21" s="292"/>
      <c r="IFD21" s="292"/>
      <c r="IFE21" s="292"/>
      <c r="IFF21" s="292"/>
      <c r="IFG21" s="292"/>
      <c r="IFH21" s="292"/>
      <c r="IFI21" s="292"/>
      <c r="IFJ21" s="292"/>
      <c r="IFK21" s="292"/>
      <c r="IFL21" s="292"/>
      <c r="IFM21" s="292"/>
      <c r="IFN21" s="292"/>
      <c r="IFO21" s="292"/>
      <c r="IFP21" s="292"/>
      <c r="IFQ21" s="292"/>
      <c r="IFR21" s="292"/>
      <c r="IFS21" s="292"/>
      <c r="IFT21" s="292"/>
      <c r="IFU21" s="292"/>
      <c r="IFV21" s="292"/>
      <c r="IFW21" s="292"/>
      <c r="IFX21" s="292"/>
      <c r="IFY21" s="292"/>
      <c r="IFZ21" s="292"/>
      <c r="IGA21" s="292"/>
      <c r="IGB21" s="292"/>
      <c r="IGC21" s="292"/>
      <c r="IGD21" s="292"/>
      <c r="IGE21" s="292"/>
      <c r="IGF21" s="292"/>
      <c r="IGG21" s="292"/>
      <c r="IGH21" s="292"/>
      <c r="IGI21" s="292"/>
      <c r="IGJ21" s="292"/>
      <c r="IGK21" s="292"/>
      <c r="IGL21" s="292"/>
      <c r="IGM21" s="292"/>
      <c r="IGN21" s="292"/>
      <c r="IGO21" s="292"/>
      <c r="IGP21" s="292"/>
      <c r="IGQ21" s="292"/>
      <c r="IGR21" s="292"/>
      <c r="IGS21" s="292"/>
      <c r="IGT21" s="292"/>
      <c r="IGU21" s="292"/>
      <c r="IGV21" s="292"/>
      <c r="IGW21" s="292"/>
      <c r="IGX21" s="292"/>
      <c r="IGY21" s="292"/>
      <c r="IGZ21" s="292"/>
      <c r="IHA21" s="292"/>
      <c r="IHB21" s="292"/>
      <c r="IHC21" s="292"/>
      <c r="IHD21" s="292"/>
      <c r="IHE21" s="292"/>
      <c r="IHF21" s="292"/>
      <c r="IHG21" s="292"/>
      <c r="IHH21" s="292"/>
      <c r="IHI21" s="292"/>
      <c r="IHJ21" s="292"/>
      <c r="IHK21" s="292"/>
      <c r="IHL21" s="292"/>
      <c r="IHM21" s="292"/>
      <c r="IHN21" s="292"/>
      <c r="IHO21" s="292"/>
      <c r="IHP21" s="292"/>
      <c r="IHQ21" s="292"/>
      <c r="IHR21" s="292"/>
      <c r="IHS21" s="292"/>
      <c r="IHT21" s="292"/>
      <c r="IHU21" s="292"/>
      <c r="IHV21" s="292"/>
      <c r="IHW21" s="292"/>
      <c r="IHX21" s="292"/>
      <c r="IHY21" s="292"/>
      <c r="IHZ21" s="292"/>
      <c r="IIA21" s="292"/>
      <c r="IIB21" s="292"/>
      <c r="IIC21" s="292"/>
      <c r="IID21" s="292"/>
      <c r="IIE21" s="292"/>
      <c r="IIF21" s="292"/>
      <c r="IIG21" s="292"/>
      <c r="IIH21" s="292"/>
      <c r="III21" s="292"/>
      <c r="IIJ21" s="292"/>
      <c r="IIK21" s="292"/>
      <c r="IIL21" s="292"/>
      <c r="IIM21" s="292"/>
      <c r="IIN21" s="292"/>
      <c r="IIO21" s="292"/>
      <c r="IIP21" s="292"/>
      <c r="IIQ21" s="292"/>
      <c r="IIR21" s="292"/>
      <c r="IIS21" s="292"/>
      <c r="IIT21" s="292"/>
      <c r="IIU21" s="292"/>
      <c r="IIV21" s="292"/>
      <c r="IIW21" s="292"/>
      <c r="IIX21" s="292"/>
      <c r="IIY21" s="292"/>
      <c r="IIZ21" s="292"/>
      <c r="IJA21" s="292"/>
      <c r="IJB21" s="292"/>
      <c r="IJC21" s="292"/>
      <c r="IJD21" s="292"/>
      <c r="IJE21" s="292"/>
      <c r="IJF21" s="292"/>
      <c r="IJG21" s="292"/>
      <c r="IJH21" s="292"/>
      <c r="IJI21" s="292"/>
      <c r="IJJ21" s="292"/>
      <c r="IJK21" s="292"/>
      <c r="IJL21" s="292"/>
      <c r="IJM21" s="292"/>
      <c r="IJN21" s="292"/>
      <c r="IJO21" s="292"/>
      <c r="IJP21" s="292"/>
      <c r="IJQ21" s="292"/>
      <c r="IJR21" s="292"/>
      <c r="IJS21" s="292"/>
      <c r="IJT21" s="292"/>
      <c r="IJU21" s="292"/>
      <c r="IJV21" s="292"/>
      <c r="IJW21" s="292"/>
      <c r="IJX21" s="292"/>
      <c r="IJY21" s="292"/>
      <c r="IJZ21" s="292"/>
      <c r="IKA21" s="292"/>
      <c r="IKB21" s="292"/>
      <c r="IKC21" s="292"/>
      <c r="IKD21" s="292"/>
      <c r="IKE21" s="292"/>
      <c r="IKF21" s="292"/>
      <c r="IKG21" s="292"/>
      <c r="IKH21" s="292"/>
      <c r="IKI21" s="292"/>
      <c r="IKJ21" s="292"/>
      <c r="IKK21" s="292"/>
      <c r="IKL21" s="292"/>
      <c r="IKM21" s="292"/>
      <c r="IKN21" s="292"/>
      <c r="IKO21" s="292"/>
      <c r="IKP21" s="292"/>
      <c r="IKQ21" s="292"/>
      <c r="IKR21" s="292"/>
      <c r="IKS21" s="292"/>
      <c r="IKT21" s="292"/>
      <c r="IKU21" s="292"/>
      <c r="IKV21" s="292"/>
      <c r="IKW21" s="292"/>
      <c r="IKX21" s="292"/>
      <c r="IKY21" s="292"/>
      <c r="IKZ21" s="292"/>
      <c r="ILA21" s="292"/>
      <c r="ILB21" s="292"/>
      <c r="ILC21" s="292"/>
      <c r="ILD21" s="292"/>
      <c r="ILE21" s="292"/>
      <c r="ILF21" s="292"/>
      <c r="ILG21" s="292"/>
      <c r="ILH21" s="292"/>
      <c r="ILI21" s="292"/>
      <c r="ILJ21" s="292"/>
      <c r="ILK21" s="292"/>
      <c r="ILL21" s="292"/>
      <c r="ILM21" s="292"/>
      <c r="ILN21" s="292"/>
      <c r="ILO21" s="292"/>
      <c r="ILP21" s="292"/>
      <c r="ILQ21" s="292"/>
      <c r="ILR21" s="292"/>
      <c r="ILS21" s="292"/>
      <c r="ILT21" s="292"/>
      <c r="ILU21" s="292"/>
      <c r="ILV21" s="292"/>
      <c r="ILW21" s="292"/>
      <c r="ILX21" s="292"/>
      <c r="ILY21" s="292"/>
      <c r="ILZ21" s="292"/>
      <c r="IMA21" s="292"/>
      <c r="IMB21" s="292"/>
      <c r="IMC21" s="292"/>
      <c r="IMD21" s="292"/>
      <c r="IME21" s="292"/>
      <c r="IMF21" s="292"/>
      <c r="IMG21" s="292"/>
      <c r="IMH21" s="292"/>
      <c r="IMI21" s="292"/>
      <c r="IMJ21" s="292"/>
      <c r="IMK21" s="292"/>
      <c r="IML21" s="292"/>
      <c r="IMM21" s="292"/>
      <c r="IMN21" s="292"/>
      <c r="IMO21" s="292"/>
      <c r="IMP21" s="292"/>
      <c r="IMQ21" s="292"/>
      <c r="IMR21" s="292"/>
      <c r="IMS21" s="292"/>
      <c r="IMT21" s="292"/>
      <c r="IMU21" s="292"/>
      <c r="IMV21" s="292"/>
      <c r="IMW21" s="292"/>
      <c r="IMX21" s="292"/>
      <c r="IMY21" s="292"/>
      <c r="IMZ21" s="292"/>
      <c r="INA21" s="292"/>
      <c r="INB21" s="292"/>
      <c r="INC21" s="292"/>
      <c r="IND21" s="292"/>
      <c r="INE21" s="292"/>
      <c r="INF21" s="292"/>
      <c r="ING21" s="292"/>
      <c r="INH21" s="292"/>
      <c r="INI21" s="292"/>
      <c r="INJ21" s="292"/>
      <c r="INK21" s="292"/>
      <c r="INL21" s="292"/>
      <c r="INM21" s="292"/>
      <c r="INN21" s="292"/>
      <c r="INO21" s="292"/>
      <c r="INP21" s="292"/>
      <c r="INQ21" s="292"/>
      <c r="INR21" s="292"/>
      <c r="INS21" s="292"/>
      <c r="INT21" s="292"/>
      <c r="INU21" s="292"/>
      <c r="INV21" s="292"/>
      <c r="INW21" s="292"/>
      <c r="INX21" s="292"/>
      <c r="INY21" s="292"/>
      <c r="INZ21" s="292"/>
      <c r="IOA21" s="292"/>
      <c r="IOB21" s="292"/>
      <c r="IOC21" s="292"/>
      <c r="IOD21" s="292"/>
      <c r="IOE21" s="292"/>
      <c r="IOF21" s="292"/>
      <c r="IOG21" s="292"/>
      <c r="IOH21" s="292"/>
      <c r="IOI21" s="292"/>
      <c r="IOJ21" s="292"/>
      <c r="IOK21" s="292"/>
      <c r="IOL21" s="292"/>
      <c r="IOM21" s="292"/>
      <c r="ION21" s="292"/>
      <c r="IOO21" s="292"/>
      <c r="IOP21" s="292"/>
      <c r="IOQ21" s="292"/>
      <c r="IOR21" s="292"/>
      <c r="IOS21" s="292"/>
      <c r="IOT21" s="292"/>
      <c r="IOU21" s="292"/>
      <c r="IOV21" s="292"/>
      <c r="IOW21" s="292"/>
      <c r="IOX21" s="292"/>
      <c r="IOY21" s="292"/>
      <c r="IOZ21" s="292"/>
      <c r="IPA21" s="292"/>
      <c r="IPB21" s="292"/>
      <c r="IPC21" s="292"/>
      <c r="IPD21" s="292"/>
      <c r="IPE21" s="292"/>
      <c r="IPF21" s="292"/>
      <c r="IPG21" s="292"/>
      <c r="IPH21" s="292"/>
      <c r="IPI21" s="292"/>
      <c r="IPJ21" s="292"/>
      <c r="IPK21" s="292"/>
      <c r="IPL21" s="292"/>
      <c r="IPM21" s="292"/>
      <c r="IPN21" s="292"/>
      <c r="IPO21" s="292"/>
      <c r="IPP21" s="292"/>
      <c r="IPQ21" s="292"/>
      <c r="IPR21" s="292"/>
      <c r="IPS21" s="292"/>
      <c r="IPT21" s="292"/>
      <c r="IPU21" s="292"/>
      <c r="IPV21" s="292"/>
      <c r="IPW21" s="292"/>
      <c r="IPX21" s="292"/>
      <c r="IPY21" s="292"/>
      <c r="IPZ21" s="292"/>
      <c r="IQA21" s="292"/>
      <c r="IQB21" s="292"/>
      <c r="IQC21" s="292"/>
      <c r="IQD21" s="292"/>
      <c r="IQE21" s="292"/>
      <c r="IQF21" s="292"/>
      <c r="IQG21" s="292"/>
      <c r="IQH21" s="292"/>
      <c r="IQI21" s="292"/>
      <c r="IQJ21" s="292"/>
      <c r="IQK21" s="292"/>
      <c r="IQL21" s="292"/>
      <c r="IQM21" s="292"/>
      <c r="IQN21" s="292"/>
      <c r="IQO21" s="292"/>
      <c r="IQP21" s="292"/>
      <c r="IQQ21" s="292"/>
      <c r="IQR21" s="292"/>
      <c r="IQS21" s="292"/>
      <c r="IQT21" s="292"/>
      <c r="IQU21" s="292"/>
      <c r="IQV21" s="292"/>
      <c r="IQW21" s="292"/>
      <c r="IQX21" s="292"/>
      <c r="IQY21" s="292"/>
      <c r="IQZ21" s="292"/>
      <c r="IRA21" s="292"/>
      <c r="IRB21" s="292"/>
      <c r="IRC21" s="292"/>
      <c r="IRD21" s="292"/>
      <c r="IRE21" s="292"/>
      <c r="IRF21" s="292"/>
      <c r="IRG21" s="292"/>
      <c r="IRH21" s="292"/>
      <c r="IRI21" s="292"/>
      <c r="IRJ21" s="292"/>
      <c r="IRK21" s="292"/>
      <c r="IRL21" s="292"/>
      <c r="IRM21" s="292"/>
      <c r="IRN21" s="292"/>
      <c r="IRO21" s="292"/>
      <c r="IRP21" s="292"/>
      <c r="IRQ21" s="292"/>
      <c r="IRR21" s="292"/>
      <c r="IRS21" s="292"/>
      <c r="IRT21" s="292"/>
      <c r="IRU21" s="292"/>
      <c r="IRV21" s="292"/>
      <c r="IRW21" s="292"/>
      <c r="IRX21" s="292"/>
      <c r="IRY21" s="292"/>
      <c r="IRZ21" s="292"/>
      <c r="ISA21" s="292"/>
      <c r="ISB21" s="292"/>
      <c r="ISC21" s="292"/>
      <c r="ISD21" s="292"/>
      <c r="ISE21" s="292"/>
      <c r="ISF21" s="292"/>
      <c r="ISG21" s="292"/>
      <c r="ISH21" s="292"/>
      <c r="ISI21" s="292"/>
      <c r="ISJ21" s="292"/>
      <c r="ISK21" s="292"/>
      <c r="ISL21" s="292"/>
      <c r="ISM21" s="292"/>
      <c r="ISN21" s="292"/>
      <c r="ISO21" s="292"/>
      <c r="ISP21" s="292"/>
      <c r="ISQ21" s="292"/>
      <c r="ISR21" s="292"/>
      <c r="ISS21" s="292"/>
      <c r="IST21" s="292"/>
      <c r="ISU21" s="292"/>
      <c r="ISV21" s="292"/>
      <c r="ISW21" s="292"/>
      <c r="ISX21" s="292"/>
      <c r="ISY21" s="292"/>
      <c r="ISZ21" s="292"/>
      <c r="ITA21" s="292"/>
      <c r="ITB21" s="292"/>
      <c r="ITC21" s="292"/>
      <c r="ITD21" s="292"/>
      <c r="ITE21" s="292"/>
      <c r="ITF21" s="292"/>
      <c r="ITG21" s="292"/>
      <c r="ITH21" s="292"/>
      <c r="ITI21" s="292"/>
      <c r="ITJ21" s="292"/>
      <c r="ITK21" s="292"/>
      <c r="ITL21" s="292"/>
      <c r="ITM21" s="292"/>
      <c r="ITN21" s="292"/>
      <c r="ITO21" s="292"/>
      <c r="ITP21" s="292"/>
      <c r="ITQ21" s="292"/>
      <c r="ITR21" s="292"/>
      <c r="ITS21" s="292"/>
      <c r="ITT21" s="292"/>
      <c r="ITU21" s="292"/>
      <c r="ITV21" s="292"/>
      <c r="ITW21" s="292"/>
      <c r="ITX21" s="292"/>
      <c r="ITY21" s="292"/>
      <c r="ITZ21" s="292"/>
      <c r="IUA21" s="292"/>
      <c r="IUB21" s="292"/>
      <c r="IUC21" s="292"/>
      <c r="IUD21" s="292"/>
      <c r="IUE21" s="292"/>
      <c r="IUF21" s="292"/>
      <c r="IUG21" s="292"/>
      <c r="IUH21" s="292"/>
      <c r="IUI21" s="292"/>
      <c r="IUJ21" s="292"/>
      <c r="IUK21" s="292"/>
      <c r="IUL21" s="292"/>
      <c r="IUM21" s="292"/>
      <c r="IUN21" s="292"/>
      <c r="IUO21" s="292"/>
      <c r="IUP21" s="292"/>
      <c r="IUQ21" s="292"/>
      <c r="IUR21" s="292"/>
      <c r="IUS21" s="292"/>
      <c r="IUT21" s="292"/>
      <c r="IUU21" s="292"/>
      <c r="IUV21" s="292"/>
      <c r="IUW21" s="292"/>
      <c r="IUX21" s="292"/>
      <c r="IUY21" s="292"/>
      <c r="IUZ21" s="292"/>
      <c r="IVA21" s="292"/>
      <c r="IVB21" s="292"/>
      <c r="IVC21" s="292"/>
      <c r="IVD21" s="292"/>
      <c r="IVE21" s="292"/>
      <c r="IVF21" s="292"/>
      <c r="IVG21" s="292"/>
      <c r="IVH21" s="292"/>
      <c r="IVI21" s="292"/>
      <c r="IVJ21" s="292"/>
      <c r="IVK21" s="292"/>
      <c r="IVL21" s="292"/>
      <c r="IVM21" s="292"/>
      <c r="IVN21" s="292"/>
      <c r="IVO21" s="292"/>
      <c r="IVP21" s="292"/>
      <c r="IVQ21" s="292"/>
      <c r="IVR21" s="292"/>
      <c r="IVS21" s="292"/>
      <c r="IVT21" s="292"/>
      <c r="IVU21" s="292"/>
      <c r="IVV21" s="292"/>
      <c r="IVW21" s="292"/>
      <c r="IVX21" s="292"/>
      <c r="IVY21" s="292"/>
      <c r="IVZ21" s="292"/>
      <c r="IWA21" s="292"/>
      <c r="IWB21" s="292"/>
      <c r="IWC21" s="292"/>
      <c r="IWD21" s="292"/>
      <c r="IWE21" s="292"/>
      <c r="IWF21" s="292"/>
      <c r="IWG21" s="292"/>
      <c r="IWH21" s="292"/>
      <c r="IWI21" s="292"/>
      <c r="IWJ21" s="292"/>
      <c r="IWK21" s="292"/>
      <c r="IWL21" s="292"/>
      <c r="IWM21" s="292"/>
      <c r="IWN21" s="292"/>
      <c r="IWO21" s="292"/>
      <c r="IWP21" s="292"/>
      <c r="IWQ21" s="292"/>
      <c r="IWR21" s="292"/>
      <c r="IWS21" s="292"/>
      <c r="IWT21" s="292"/>
      <c r="IWU21" s="292"/>
      <c r="IWV21" s="292"/>
      <c r="IWW21" s="292"/>
      <c r="IWX21" s="292"/>
      <c r="IWY21" s="292"/>
      <c r="IWZ21" s="292"/>
      <c r="IXA21" s="292"/>
      <c r="IXB21" s="292"/>
      <c r="IXC21" s="292"/>
      <c r="IXD21" s="292"/>
      <c r="IXE21" s="292"/>
      <c r="IXF21" s="292"/>
      <c r="IXG21" s="292"/>
      <c r="IXH21" s="292"/>
      <c r="IXI21" s="292"/>
      <c r="IXJ21" s="292"/>
      <c r="IXK21" s="292"/>
      <c r="IXL21" s="292"/>
      <c r="IXM21" s="292"/>
      <c r="IXN21" s="292"/>
      <c r="IXO21" s="292"/>
      <c r="IXP21" s="292"/>
      <c r="IXQ21" s="292"/>
      <c r="IXR21" s="292"/>
      <c r="IXS21" s="292"/>
      <c r="IXT21" s="292"/>
      <c r="IXU21" s="292"/>
      <c r="IXV21" s="292"/>
      <c r="IXW21" s="292"/>
      <c r="IXX21" s="292"/>
      <c r="IXY21" s="292"/>
      <c r="IXZ21" s="292"/>
      <c r="IYA21" s="292"/>
      <c r="IYB21" s="292"/>
      <c r="IYC21" s="292"/>
      <c r="IYD21" s="292"/>
      <c r="IYE21" s="292"/>
      <c r="IYF21" s="292"/>
      <c r="IYG21" s="292"/>
      <c r="IYH21" s="292"/>
      <c r="IYI21" s="292"/>
      <c r="IYJ21" s="292"/>
      <c r="IYK21" s="292"/>
      <c r="IYL21" s="292"/>
      <c r="IYM21" s="292"/>
      <c r="IYN21" s="292"/>
      <c r="IYO21" s="292"/>
      <c r="IYP21" s="292"/>
      <c r="IYQ21" s="292"/>
      <c r="IYR21" s="292"/>
      <c r="IYS21" s="292"/>
      <c r="IYT21" s="292"/>
      <c r="IYU21" s="292"/>
      <c r="IYV21" s="292"/>
      <c r="IYW21" s="292"/>
      <c r="IYX21" s="292"/>
      <c r="IYY21" s="292"/>
      <c r="IYZ21" s="292"/>
      <c r="IZA21" s="292"/>
      <c r="IZB21" s="292"/>
      <c r="IZC21" s="292"/>
      <c r="IZD21" s="292"/>
      <c r="IZE21" s="292"/>
      <c r="IZF21" s="292"/>
      <c r="IZG21" s="292"/>
      <c r="IZH21" s="292"/>
      <c r="IZI21" s="292"/>
      <c r="IZJ21" s="292"/>
      <c r="IZK21" s="292"/>
      <c r="IZL21" s="292"/>
      <c r="IZM21" s="292"/>
      <c r="IZN21" s="292"/>
      <c r="IZO21" s="292"/>
      <c r="IZP21" s="292"/>
      <c r="IZQ21" s="292"/>
      <c r="IZR21" s="292"/>
      <c r="IZS21" s="292"/>
      <c r="IZT21" s="292"/>
      <c r="IZU21" s="292"/>
      <c r="IZV21" s="292"/>
      <c r="IZW21" s="292"/>
      <c r="IZX21" s="292"/>
      <c r="IZY21" s="292"/>
      <c r="IZZ21" s="292"/>
      <c r="JAA21" s="292"/>
      <c r="JAB21" s="292"/>
      <c r="JAC21" s="292"/>
      <c r="JAD21" s="292"/>
      <c r="JAE21" s="292"/>
      <c r="JAF21" s="292"/>
      <c r="JAG21" s="292"/>
      <c r="JAH21" s="292"/>
      <c r="JAI21" s="292"/>
      <c r="JAJ21" s="292"/>
      <c r="JAK21" s="292"/>
      <c r="JAL21" s="292"/>
      <c r="JAM21" s="292"/>
      <c r="JAN21" s="292"/>
      <c r="JAO21" s="292"/>
      <c r="JAP21" s="292"/>
      <c r="JAQ21" s="292"/>
      <c r="JAR21" s="292"/>
      <c r="JAS21" s="292"/>
      <c r="JAT21" s="292"/>
      <c r="JAU21" s="292"/>
      <c r="JAV21" s="292"/>
      <c r="JAW21" s="292"/>
      <c r="JAX21" s="292"/>
      <c r="JAY21" s="292"/>
      <c r="JAZ21" s="292"/>
      <c r="JBA21" s="292"/>
      <c r="JBB21" s="292"/>
      <c r="JBC21" s="292"/>
      <c r="JBD21" s="292"/>
      <c r="JBE21" s="292"/>
      <c r="JBF21" s="292"/>
      <c r="JBG21" s="292"/>
      <c r="JBH21" s="292"/>
      <c r="JBI21" s="292"/>
      <c r="JBJ21" s="292"/>
      <c r="JBK21" s="292"/>
      <c r="JBL21" s="292"/>
      <c r="JBM21" s="292"/>
      <c r="JBN21" s="292"/>
      <c r="JBO21" s="292"/>
      <c r="JBP21" s="292"/>
      <c r="JBQ21" s="292"/>
      <c r="JBR21" s="292"/>
      <c r="JBS21" s="292"/>
      <c r="JBT21" s="292"/>
      <c r="JBU21" s="292"/>
      <c r="JBV21" s="292"/>
      <c r="JBW21" s="292"/>
      <c r="JBX21" s="292"/>
      <c r="JBY21" s="292"/>
      <c r="JBZ21" s="292"/>
      <c r="JCA21" s="292"/>
      <c r="JCB21" s="292"/>
      <c r="JCC21" s="292"/>
      <c r="JCD21" s="292"/>
      <c r="JCE21" s="292"/>
      <c r="JCF21" s="292"/>
      <c r="JCG21" s="292"/>
      <c r="JCH21" s="292"/>
      <c r="JCI21" s="292"/>
      <c r="JCJ21" s="292"/>
      <c r="JCK21" s="292"/>
      <c r="JCL21" s="292"/>
      <c r="JCM21" s="292"/>
      <c r="JCN21" s="292"/>
      <c r="JCO21" s="292"/>
      <c r="JCP21" s="292"/>
      <c r="JCQ21" s="292"/>
      <c r="JCR21" s="292"/>
      <c r="JCS21" s="292"/>
      <c r="JCT21" s="292"/>
      <c r="JCU21" s="292"/>
      <c r="JCV21" s="292"/>
      <c r="JCW21" s="292"/>
      <c r="JCX21" s="292"/>
      <c r="JCY21" s="292"/>
      <c r="JCZ21" s="292"/>
      <c r="JDA21" s="292"/>
      <c r="JDB21" s="292"/>
      <c r="JDC21" s="292"/>
      <c r="JDD21" s="292"/>
      <c r="JDE21" s="292"/>
      <c r="JDF21" s="292"/>
      <c r="JDG21" s="292"/>
      <c r="JDH21" s="292"/>
      <c r="JDI21" s="292"/>
      <c r="JDJ21" s="292"/>
      <c r="JDK21" s="292"/>
      <c r="JDL21" s="292"/>
      <c r="JDM21" s="292"/>
      <c r="JDN21" s="292"/>
      <c r="JDO21" s="292"/>
      <c r="JDP21" s="292"/>
      <c r="JDQ21" s="292"/>
      <c r="JDR21" s="292"/>
      <c r="JDS21" s="292"/>
      <c r="JDT21" s="292"/>
      <c r="JDU21" s="292"/>
      <c r="JDV21" s="292"/>
      <c r="JDW21" s="292"/>
      <c r="JDX21" s="292"/>
      <c r="JDY21" s="292"/>
      <c r="JDZ21" s="292"/>
      <c r="JEA21" s="292"/>
      <c r="JEB21" s="292"/>
      <c r="JEC21" s="292"/>
      <c r="JED21" s="292"/>
      <c r="JEE21" s="292"/>
      <c r="JEF21" s="292"/>
      <c r="JEG21" s="292"/>
      <c r="JEH21" s="292"/>
      <c r="JEI21" s="292"/>
      <c r="JEJ21" s="292"/>
      <c r="JEK21" s="292"/>
      <c r="JEL21" s="292"/>
      <c r="JEM21" s="292"/>
      <c r="JEN21" s="292"/>
      <c r="JEO21" s="292"/>
      <c r="JEP21" s="292"/>
      <c r="JEQ21" s="292"/>
      <c r="JER21" s="292"/>
      <c r="JES21" s="292"/>
      <c r="JET21" s="292"/>
      <c r="JEU21" s="292"/>
      <c r="JEV21" s="292"/>
      <c r="JEW21" s="292"/>
      <c r="JEX21" s="292"/>
      <c r="JEY21" s="292"/>
      <c r="JEZ21" s="292"/>
      <c r="JFA21" s="292"/>
      <c r="JFB21" s="292"/>
      <c r="JFC21" s="292"/>
      <c r="JFD21" s="292"/>
      <c r="JFE21" s="292"/>
      <c r="JFF21" s="292"/>
      <c r="JFG21" s="292"/>
      <c r="JFH21" s="292"/>
      <c r="JFI21" s="292"/>
      <c r="JFJ21" s="292"/>
      <c r="JFK21" s="292"/>
      <c r="JFL21" s="292"/>
      <c r="JFM21" s="292"/>
      <c r="JFN21" s="292"/>
      <c r="JFO21" s="292"/>
      <c r="JFP21" s="292"/>
      <c r="JFQ21" s="292"/>
      <c r="JFR21" s="292"/>
      <c r="JFS21" s="292"/>
      <c r="JFT21" s="292"/>
      <c r="JFU21" s="292"/>
      <c r="JFV21" s="292"/>
      <c r="JFW21" s="292"/>
      <c r="JFX21" s="292"/>
      <c r="JFY21" s="292"/>
      <c r="JFZ21" s="292"/>
      <c r="JGA21" s="292"/>
      <c r="JGB21" s="292"/>
      <c r="JGC21" s="292"/>
      <c r="JGD21" s="292"/>
      <c r="JGE21" s="292"/>
      <c r="JGF21" s="292"/>
      <c r="JGG21" s="292"/>
      <c r="JGH21" s="292"/>
      <c r="JGI21" s="292"/>
      <c r="JGJ21" s="292"/>
      <c r="JGK21" s="292"/>
      <c r="JGL21" s="292"/>
      <c r="JGM21" s="292"/>
      <c r="JGN21" s="292"/>
      <c r="JGO21" s="292"/>
      <c r="JGP21" s="292"/>
      <c r="JGQ21" s="292"/>
      <c r="JGR21" s="292"/>
      <c r="JGS21" s="292"/>
      <c r="JGT21" s="292"/>
      <c r="JGU21" s="292"/>
      <c r="JGV21" s="292"/>
      <c r="JGW21" s="292"/>
      <c r="JGX21" s="292"/>
      <c r="JGY21" s="292"/>
      <c r="JGZ21" s="292"/>
      <c r="JHA21" s="292"/>
      <c r="JHB21" s="292"/>
      <c r="JHC21" s="292"/>
      <c r="JHD21" s="292"/>
      <c r="JHE21" s="292"/>
      <c r="JHF21" s="292"/>
      <c r="JHG21" s="292"/>
      <c r="JHH21" s="292"/>
      <c r="JHI21" s="292"/>
      <c r="JHJ21" s="292"/>
      <c r="JHK21" s="292"/>
      <c r="JHL21" s="292"/>
      <c r="JHM21" s="292"/>
      <c r="JHN21" s="292"/>
      <c r="JHO21" s="292"/>
      <c r="JHP21" s="292"/>
      <c r="JHQ21" s="292"/>
      <c r="JHR21" s="292"/>
      <c r="JHS21" s="292"/>
      <c r="JHT21" s="292"/>
      <c r="JHU21" s="292"/>
      <c r="JHV21" s="292"/>
      <c r="JHW21" s="292"/>
      <c r="JHX21" s="292"/>
      <c r="JHY21" s="292"/>
      <c r="JHZ21" s="292"/>
      <c r="JIA21" s="292"/>
      <c r="JIB21" s="292"/>
      <c r="JIC21" s="292"/>
      <c r="JID21" s="292"/>
      <c r="JIE21" s="292"/>
      <c r="JIF21" s="292"/>
      <c r="JIG21" s="292"/>
      <c r="JIH21" s="292"/>
      <c r="JII21" s="292"/>
      <c r="JIJ21" s="292"/>
      <c r="JIK21" s="292"/>
      <c r="JIL21" s="292"/>
      <c r="JIM21" s="292"/>
      <c r="JIN21" s="292"/>
      <c r="JIO21" s="292"/>
      <c r="JIP21" s="292"/>
      <c r="JIQ21" s="292"/>
      <c r="JIR21" s="292"/>
      <c r="JIS21" s="292"/>
      <c r="JIT21" s="292"/>
      <c r="JIU21" s="292"/>
      <c r="JIV21" s="292"/>
      <c r="JIW21" s="292"/>
      <c r="JIX21" s="292"/>
      <c r="JIY21" s="292"/>
      <c r="JIZ21" s="292"/>
      <c r="JJA21" s="292"/>
      <c r="JJB21" s="292"/>
      <c r="JJC21" s="292"/>
      <c r="JJD21" s="292"/>
      <c r="JJE21" s="292"/>
      <c r="JJF21" s="292"/>
      <c r="JJG21" s="292"/>
      <c r="JJH21" s="292"/>
      <c r="JJI21" s="292"/>
      <c r="JJJ21" s="292"/>
      <c r="JJK21" s="292"/>
      <c r="JJL21" s="292"/>
      <c r="JJM21" s="292"/>
      <c r="JJN21" s="292"/>
      <c r="JJO21" s="292"/>
      <c r="JJP21" s="292"/>
      <c r="JJQ21" s="292"/>
      <c r="JJR21" s="292"/>
      <c r="JJS21" s="292"/>
      <c r="JJT21" s="292"/>
      <c r="JJU21" s="292"/>
      <c r="JJV21" s="292"/>
      <c r="JJW21" s="292"/>
      <c r="JJX21" s="292"/>
      <c r="JJY21" s="292"/>
      <c r="JJZ21" s="292"/>
      <c r="JKA21" s="292"/>
      <c r="JKB21" s="292"/>
      <c r="JKC21" s="292"/>
      <c r="JKD21" s="292"/>
      <c r="JKE21" s="292"/>
      <c r="JKF21" s="292"/>
      <c r="JKG21" s="292"/>
      <c r="JKH21" s="292"/>
      <c r="JKI21" s="292"/>
      <c r="JKJ21" s="292"/>
      <c r="JKK21" s="292"/>
      <c r="JKL21" s="292"/>
      <c r="JKM21" s="292"/>
      <c r="JKN21" s="292"/>
      <c r="JKO21" s="292"/>
      <c r="JKP21" s="292"/>
      <c r="JKQ21" s="292"/>
      <c r="JKR21" s="292"/>
      <c r="JKS21" s="292"/>
      <c r="JKT21" s="292"/>
      <c r="JKU21" s="292"/>
      <c r="JKV21" s="292"/>
      <c r="JKW21" s="292"/>
      <c r="JKX21" s="292"/>
      <c r="JKY21" s="292"/>
      <c r="JKZ21" s="292"/>
      <c r="JLA21" s="292"/>
      <c r="JLB21" s="292"/>
      <c r="JLC21" s="292"/>
      <c r="JLD21" s="292"/>
      <c r="JLE21" s="292"/>
      <c r="JLF21" s="292"/>
      <c r="JLG21" s="292"/>
      <c r="JLH21" s="292"/>
      <c r="JLI21" s="292"/>
      <c r="JLJ21" s="292"/>
      <c r="JLK21" s="292"/>
      <c r="JLL21" s="292"/>
      <c r="JLM21" s="292"/>
      <c r="JLN21" s="292"/>
      <c r="JLO21" s="292"/>
      <c r="JLP21" s="292"/>
      <c r="JLQ21" s="292"/>
      <c r="JLR21" s="292"/>
      <c r="JLS21" s="292"/>
      <c r="JLT21" s="292"/>
      <c r="JLU21" s="292"/>
      <c r="JLV21" s="292"/>
      <c r="JLW21" s="292"/>
      <c r="JLX21" s="292"/>
      <c r="JLY21" s="292"/>
      <c r="JLZ21" s="292"/>
      <c r="JMA21" s="292"/>
      <c r="JMB21" s="292"/>
      <c r="JMC21" s="292"/>
      <c r="JMD21" s="292"/>
      <c r="JME21" s="292"/>
      <c r="JMF21" s="292"/>
      <c r="JMG21" s="292"/>
      <c r="JMH21" s="292"/>
      <c r="JMI21" s="292"/>
      <c r="JMJ21" s="292"/>
      <c r="JMK21" s="292"/>
      <c r="JML21" s="292"/>
      <c r="JMM21" s="292"/>
      <c r="JMN21" s="292"/>
      <c r="JMO21" s="292"/>
      <c r="JMP21" s="292"/>
      <c r="JMQ21" s="292"/>
      <c r="JMR21" s="292"/>
      <c r="JMS21" s="292"/>
      <c r="JMT21" s="292"/>
      <c r="JMU21" s="292"/>
      <c r="JMV21" s="292"/>
      <c r="JMW21" s="292"/>
      <c r="JMX21" s="292"/>
      <c r="JMY21" s="292"/>
      <c r="JMZ21" s="292"/>
      <c r="JNA21" s="292"/>
      <c r="JNB21" s="292"/>
      <c r="JNC21" s="292"/>
      <c r="JND21" s="292"/>
      <c r="JNE21" s="292"/>
      <c r="JNF21" s="292"/>
      <c r="JNG21" s="292"/>
      <c r="JNH21" s="292"/>
      <c r="JNI21" s="292"/>
      <c r="JNJ21" s="292"/>
      <c r="JNK21" s="292"/>
      <c r="JNL21" s="292"/>
      <c r="JNM21" s="292"/>
      <c r="JNN21" s="292"/>
      <c r="JNO21" s="292"/>
      <c r="JNP21" s="292"/>
      <c r="JNQ21" s="292"/>
      <c r="JNR21" s="292"/>
      <c r="JNS21" s="292"/>
      <c r="JNT21" s="292"/>
      <c r="JNU21" s="292"/>
      <c r="JNV21" s="292"/>
      <c r="JNW21" s="292"/>
      <c r="JNX21" s="292"/>
      <c r="JNY21" s="292"/>
      <c r="JNZ21" s="292"/>
      <c r="JOA21" s="292"/>
      <c r="JOB21" s="292"/>
      <c r="JOC21" s="292"/>
      <c r="JOD21" s="292"/>
      <c r="JOE21" s="292"/>
      <c r="JOF21" s="292"/>
      <c r="JOG21" s="292"/>
      <c r="JOH21" s="292"/>
      <c r="JOI21" s="292"/>
      <c r="JOJ21" s="292"/>
      <c r="JOK21" s="292"/>
      <c r="JOL21" s="292"/>
      <c r="JOM21" s="292"/>
      <c r="JON21" s="292"/>
      <c r="JOO21" s="292"/>
      <c r="JOP21" s="292"/>
      <c r="JOQ21" s="292"/>
      <c r="JOR21" s="292"/>
      <c r="JOS21" s="292"/>
      <c r="JOT21" s="292"/>
      <c r="JOU21" s="292"/>
      <c r="JOV21" s="292"/>
      <c r="JOW21" s="292"/>
      <c r="JOX21" s="292"/>
      <c r="JOY21" s="292"/>
      <c r="JOZ21" s="292"/>
      <c r="JPA21" s="292"/>
      <c r="JPB21" s="292"/>
      <c r="JPC21" s="292"/>
      <c r="JPD21" s="292"/>
      <c r="JPE21" s="292"/>
      <c r="JPF21" s="292"/>
      <c r="JPG21" s="292"/>
      <c r="JPH21" s="292"/>
      <c r="JPI21" s="292"/>
      <c r="JPJ21" s="292"/>
      <c r="JPK21" s="292"/>
      <c r="JPL21" s="292"/>
      <c r="JPM21" s="292"/>
      <c r="JPN21" s="292"/>
      <c r="JPO21" s="292"/>
      <c r="JPP21" s="292"/>
      <c r="JPQ21" s="292"/>
      <c r="JPR21" s="292"/>
      <c r="JPS21" s="292"/>
      <c r="JPT21" s="292"/>
      <c r="JPU21" s="292"/>
      <c r="JPV21" s="292"/>
      <c r="JPW21" s="292"/>
      <c r="JPX21" s="292"/>
      <c r="JPY21" s="292"/>
      <c r="JPZ21" s="292"/>
      <c r="JQA21" s="292"/>
      <c r="JQB21" s="292"/>
      <c r="JQC21" s="292"/>
      <c r="JQD21" s="292"/>
      <c r="JQE21" s="292"/>
      <c r="JQF21" s="292"/>
      <c r="JQG21" s="292"/>
      <c r="JQH21" s="292"/>
      <c r="JQI21" s="292"/>
      <c r="JQJ21" s="292"/>
      <c r="JQK21" s="292"/>
      <c r="JQL21" s="292"/>
      <c r="JQM21" s="292"/>
      <c r="JQN21" s="292"/>
      <c r="JQO21" s="292"/>
      <c r="JQP21" s="292"/>
      <c r="JQQ21" s="292"/>
      <c r="JQR21" s="292"/>
      <c r="JQS21" s="292"/>
      <c r="JQT21" s="292"/>
      <c r="JQU21" s="292"/>
      <c r="JQV21" s="292"/>
      <c r="JQW21" s="292"/>
      <c r="JQX21" s="292"/>
      <c r="JQY21" s="292"/>
      <c r="JQZ21" s="292"/>
      <c r="JRA21" s="292"/>
      <c r="JRB21" s="292"/>
      <c r="JRC21" s="292"/>
      <c r="JRD21" s="292"/>
      <c r="JRE21" s="292"/>
      <c r="JRF21" s="292"/>
      <c r="JRG21" s="292"/>
      <c r="JRH21" s="292"/>
      <c r="JRI21" s="292"/>
      <c r="JRJ21" s="292"/>
      <c r="JRK21" s="292"/>
      <c r="JRL21" s="292"/>
      <c r="JRM21" s="292"/>
      <c r="JRN21" s="292"/>
      <c r="JRO21" s="292"/>
      <c r="JRP21" s="292"/>
      <c r="JRQ21" s="292"/>
      <c r="JRR21" s="292"/>
      <c r="JRS21" s="292"/>
      <c r="JRT21" s="292"/>
      <c r="JRU21" s="292"/>
      <c r="JRV21" s="292"/>
      <c r="JRW21" s="292"/>
      <c r="JRX21" s="292"/>
      <c r="JRY21" s="292"/>
      <c r="JRZ21" s="292"/>
      <c r="JSA21" s="292"/>
      <c r="JSB21" s="292"/>
      <c r="JSC21" s="292"/>
      <c r="JSD21" s="292"/>
      <c r="JSE21" s="292"/>
      <c r="JSF21" s="292"/>
      <c r="JSG21" s="292"/>
      <c r="JSH21" s="292"/>
      <c r="JSI21" s="292"/>
      <c r="JSJ21" s="292"/>
      <c r="JSK21" s="292"/>
      <c r="JSL21" s="292"/>
      <c r="JSM21" s="292"/>
      <c r="JSN21" s="292"/>
      <c r="JSO21" s="292"/>
      <c r="JSP21" s="292"/>
      <c r="JSQ21" s="292"/>
      <c r="JSR21" s="292"/>
      <c r="JSS21" s="292"/>
      <c r="JST21" s="292"/>
      <c r="JSU21" s="292"/>
      <c r="JSV21" s="292"/>
      <c r="JSW21" s="292"/>
      <c r="JSX21" s="292"/>
      <c r="JSY21" s="292"/>
      <c r="JSZ21" s="292"/>
      <c r="JTA21" s="292"/>
      <c r="JTB21" s="292"/>
      <c r="JTC21" s="292"/>
      <c r="JTD21" s="292"/>
      <c r="JTE21" s="292"/>
      <c r="JTF21" s="292"/>
      <c r="JTG21" s="292"/>
      <c r="JTH21" s="292"/>
      <c r="JTI21" s="292"/>
      <c r="JTJ21" s="292"/>
      <c r="JTK21" s="292"/>
      <c r="JTL21" s="292"/>
      <c r="JTM21" s="292"/>
      <c r="JTN21" s="292"/>
      <c r="JTO21" s="292"/>
      <c r="JTP21" s="292"/>
      <c r="JTQ21" s="292"/>
      <c r="JTR21" s="292"/>
      <c r="JTS21" s="292"/>
      <c r="JTT21" s="292"/>
      <c r="JTU21" s="292"/>
      <c r="JTV21" s="292"/>
      <c r="JTW21" s="292"/>
      <c r="JTX21" s="292"/>
      <c r="JTY21" s="292"/>
      <c r="JTZ21" s="292"/>
      <c r="JUA21" s="292"/>
      <c r="JUB21" s="292"/>
      <c r="JUC21" s="292"/>
      <c r="JUD21" s="292"/>
      <c r="JUE21" s="292"/>
      <c r="JUF21" s="292"/>
      <c r="JUG21" s="292"/>
      <c r="JUH21" s="292"/>
      <c r="JUI21" s="292"/>
      <c r="JUJ21" s="292"/>
      <c r="JUK21" s="292"/>
      <c r="JUL21" s="292"/>
      <c r="JUM21" s="292"/>
      <c r="JUN21" s="292"/>
      <c r="JUO21" s="292"/>
      <c r="JUP21" s="292"/>
      <c r="JUQ21" s="292"/>
      <c r="JUR21" s="292"/>
      <c r="JUS21" s="292"/>
      <c r="JUT21" s="292"/>
      <c r="JUU21" s="292"/>
      <c r="JUV21" s="292"/>
      <c r="JUW21" s="292"/>
      <c r="JUX21" s="292"/>
      <c r="JUY21" s="292"/>
      <c r="JUZ21" s="292"/>
      <c r="JVA21" s="292"/>
      <c r="JVB21" s="292"/>
      <c r="JVC21" s="292"/>
      <c r="JVD21" s="292"/>
      <c r="JVE21" s="292"/>
      <c r="JVF21" s="292"/>
      <c r="JVG21" s="292"/>
      <c r="JVH21" s="292"/>
      <c r="JVI21" s="292"/>
      <c r="JVJ21" s="292"/>
      <c r="JVK21" s="292"/>
      <c r="JVL21" s="292"/>
      <c r="JVM21" s="292"/>
      <c r="JVN21" s="292"/>
      <c r="JVO21" s="292"/>
      <c r="JVP21" s="292"/>
      <c r="JVQ21" s="292"/>
      <c r="JVR21" s="292"/>
      <c r="JVS21" s="292"/>
      <c r="JVT21" s="292"/>
      <c r="JVU21" s="292"/>
      <c r="JVV21" s="292"/>
      <c r="JVW21" s="292"/>
      <c r="JVX21" s="292"/>
      <c r="JVY21" s="292"/>
      <c r="JVZ21" s="292"/>
      <c r="JWA21" s="292"/>
      <c r="JWB21" s="292"/>
      <c r="JWC21" s="292"/>
      <c r="JWD21" s="292"/>
      <c r="JWE21" s="292"/>
      <c r="JWF21" s="292"/>
      <c r="JWG21" s="292"/>
      <c r="JWH21" s="292"/>
      <c r="JWI21" s="292"/>
      <c r="JWJ21" s="292"/>
      <c r="JWK21" s="292"/>
      <c r="JWL21" s="292"/>
      <c r="JWM21" s="292"/>
      <c r="JWN21" s="292"/>
      <c r="JWO21" s="292"/>
      <c r="JWP21" s="292"/>
      <c r="JWQ21" s="292"/>
      <c r="JWR21" s="292"/>
      <c r="JWS21" s="292"/>
      <c r="JWT21" s="292"/>
      <c r="JWU21" s="292"/>
      <c r="JWV21" s="292"/>
      <c r="JWW21" s="292"/>
      <c r="JWX21" s="292"/>
      <c r="JWY21" s="292"/>
      <c r="JWZ21" s="292"/>
      <c r="JXA21" s="292"/>
      <c r="JXB21" s="292"/>
      <c r="JXC21" s="292"/>
      <c r="JXD21" s="292"/>
      <c r="JXE21" s="292"/>
      <c r="JXF21" s="292"/>
      <c r="JXG21" s="292"/>
      <c r="JXH21" s="292"/>
      <c r="JXI21" s="292"/>
      <c r="JXJ21" s="292"/>
      <c r="JXK21" s="292"/>
      <c r="JXL21" s="292"/>
      <c r="JXM21" s="292"/>
      <c r="JXN21" s="292"/>
      <c r="JXO21" s="292"/>
      <c r="JXP21" s="292"/>
      <c r="JXQ21" s="292"/>
      <c r="JXR21" s="292"/>
      <c r="JXS21" s="292"/>
      <c r="JXT21" s="292"/>
      <c r="JXU21" s="292"/>
      <c r="JXV21" s="292"/>
      <c r="JXW21" s="292"/>
      <c r="JXX21" s="292"/>
      <c r="JXY21" s="292"/>
      <c r="JXZ21" s="292"/>
      <c r="JYA21" s="292"/>
      <c r="JYB21" s="292"/>
      <c r="JYC21" s="292"/>
      <c r="JYD21" s="292"/>
      <c r="JYE21" s="292"/>
      <c r="JYF21" s="292"/>
      <c r="JYG21" s="292"/>
      <c r="JYH21" s="292"/>
      <c r="JYI21" s="292"/>
      <c r="JYJ21" s="292"/>
      <c r="JYK21" s="292"/>
      <c r="JYL21" s="292"/>
      <c r="JYM21" s="292"/>
      <c r="JYN21" s="292"/>
      <c r="JYO21" s="292"/>
      <c r="JYP21" s="292"/>
      <c r="JYQ21" s="292"/>
      <c r="JYR21" s="292"/>
      <c r="JYS21" s="292"/>
      <c r="JYT21" s="292"/>
      <c r="JYU21" s="292"/>
      <c r="JYV21" s="292"/>
      <c r="JYW21" s="292"/>
      <c r="JYX21" s="292"/>
      <c r="JYY21" s="292"/>
      <c r="JYZ21" s="292"/>
      <c r="JZA21" s="292"/>
      <c r="JZB21" s="292"/>
      <c r="JZC21" s="292"/>
      <c r="JZD21" s="292"/>
      <c r="JZE21" s="292"/>
      <c r="JZF21" s="292"/>
      <c r="JZG21" s="292"/>
      <c r="JZH21" s="292"/>
      <c r="JZI21" s="292"/>
      <c r="JZJ21" s="292"/>
      <c r="JZK21" s="292"/>
      <c r="JZL21" s="292"/>
      <c r="JZM21" s="292"/>
      <c r="JZN21" s="292"/>
      <c r="JZO21" s="292"/>
      <c r="JZP21" s="292"/>
      <c r="JZQ21" s="292"/>
      <c r="JZR21" s="292"/>
      <c r="JZS21" s="292"/>
      <c r="JZT21" s="292"/>
      <c r="JZU21" s="292"/>
      <c r="JZV21" s="292"/>
      <c r="JZW21" s="292"/>
      <c r="JZX21" s="292"/>
      <c r="JZY21" s="292"/>
      <c r="JZZ21" s="292"/>
      <c r="KAA21" s="292"/>
      <c r="KAB21" s="292"/>
      <c r="KAC21" s="292"/>
      <c r="KAD21" s="292"/>
      <c r="KAE21" s="292"/>
      <c r="KAF21" s="292"/>
      <c r="KAG21" s="292"/>
      <c r="KAH21" s="292"/>
      <c r="KAI21" s="292"/>
      <c r="KAJ21" s="292"/>
      <c r="KAK21" s="292"/>
      <c r="KAL21" s="292"/>
      <c r="KAM21" s="292"/>
      <c r="KAN21" s="292"/>
      <c r="KAO21" s="292"/>
      <c r="KAP21" s="292"/>
      <c r="KAQ21" s="292"/>
      <c r="KAR21" s="292"/>
      <c r="KAS21" s="292"/>
      <c r="KAT21" s="292"/>
      <c r="KAU21" s="292"/>
      <c r="KAV21" s="292"/>
      <c r="KAW21" s="292"/>
      <c r="KAX21" s="292"/>
      <c r="KAY21" s="292"/>
      <c r="KAZ21" s="292"/>
      <c r="KBA21" s="292"/>
      <c r="KBB21" s="292"/>
      <c r="KBC21" s="292"/>
      <c r="KBD21" s="292"/>
      <c r="KBE21" s="292"/>
      <c r="KBF21" s="292"/>
      <c r="KBG21" s="292"/>
      <c r="KBH21" s="292"/>
      <c r="KBI21" s="292"/>
      <c r="KBJ21" s="292"/>
      <c r="KBK21" s="292"/>
      <c r="KBL21" s="292"/>
      <c r="KBM21" s="292"/>
      <c r="KBN21" s="292"/>
      <c r="KBO21" s="292"/>
      <c r="KBP21" s="292"/>
      <c r="KBQ21" s="292"/>
      <c r="KBR21" s="292"/>
      <c r="KBS21" s="292"/>
      <c r="KBT21" s="292"/>
      <c r="KBU21" s="292"/>
      <c r="KBV21" s="292"/>
      <c r="KBW21" s="292"/>
      <c r="KBX21" s="292"/>
      <c r="KBY21" s="292"/>
      <c r="KBZ21" s="292"/>
      <c r="KCA21" s="292"/>
      <c r="KCB21" s="292"/>
      <c r="KCC21" s="292"/>
      <c r="KCD21" s="292"/>
      <c r="KCE21" s="292"/>
      <c r="KCF21" s="292"/>
      <c r="KCG21" s="292"/>
      <c r="KCH21" s="292"/>
      <c r="KCI21" s="292"/>
      <c r="KCJ21" s="292"/>
      <c r="KCK21" s="292"/>
      <c r="KCL21" s="292"/>
      <c r="KCM21" s="292"/>
      <c r="KCN21" s="292"/>
      <c r="KCO21" s="292"/>
      <c r="KCP21" s="292"/>
      <c r="KCQ21" s="292"/>
      <c r="KCR21" s="292"/>
      <c r="KCS21" s="292"/>
      <c r="KCT21" s="292"/>
      <c r="KCU21" s="292"/>
      <c r="KCV21" s="292"/>
      <c r="KCW21" s="292"/>
      <c r="KCX21" s="292"/>
      <c r="KCY21" s="292"/>
      <c r="KCZ21" s="292"/>
      <c r="KDA21" s="292"/>
      <c r="KDB21" s="292"/>
      <c r="KDC21" s="292"/>
      <c r="KDD21" s="292"/>
      <c r="KDE21" s="292"/>
      <c r="KDF21" s="292"/>
      <c r="KDG21" s="292"/>
      <c r="KDH21" s="292"/>
      <c r="KDI21" s="292"/>
      <c r="KDJ21" s="292"/>
      <c r="KDK21" s="292"/>
      <c r="KDL21" s="292"/>
      <c r="KDM21" s="292"/>
      <c r="KDN21" s="292"/>
      <c r="KDO21" s="292"/>
      <c r="KDP21" s="292"/>
      <c r="KDQ21" s="292"/>
      <c r="KDR21" s="292"/>
      <c r="KDS21" s="292"/>
      <c r="KDT21" s="292"/>
      <c r="KDU21" s="292"/>
      <c r="KDV21" s="292"/>
      <c r="KDW21" s="292"/>
      <c r="KDX21" s="292"/>
      <c r="KDY21" s="292"/>
      <c r="KDZ21" s="292"/>
      <c r="KEA21" s="292"/>
      <c r="KEB21" s="292"/>
      <c r="KEC21" s="292"/>
      <c r="KED21" s="292"/>
      <c r="KEE21" s="292"/>
      <c r="KEF21" s="292"/>
      <c r="KEG21" s="292"/>
      <c r="KEH21" s="292"/>
      <c r="KEI21" s="292"/>
      <c r="KEJ21" s="292"/>
      <c r="KEK21" s="292"/>
      <c r="KEL21" s="292"/>
      <c r="KEM21" s="292"/>
      <c r="KEN21" s="292"/>
      <c r="KEO21" s="292"/>
      <c r="KEP21" s="292"/>
      <c r="KEQ21" s="292"/>
      <c r="KER21" s="292"/>
      <c r="KES21" s="292"/>
      <c r="KET21" s="292"/>
      <c r="KEU21" s="292"/>
      <c r="KEV21" s="292"/>
      <c r="KEW21" s="292"/>
      <c r="KEX21" s="292"/>
      <c r="KEY21" s="292"/>
      <c r="KEZ21" s="292"/>
      <c r="KFA21" s="292"/>
      <c r="KFB21" s="292"/>
      <c r="KFC21" s="292"/>
      <c r="KFD21" s="292"/>
      <c r="KFE21" s="292"/>
      <c r="KFF21" s="292"/>
      <c r="KFG21" s="292"/>
      <c r="KFH21" s="292"/>
      <c r="KFI21" s="292"/>
      <c r="KFJ21" s="292"/>
      <c r="KFK21" s="292"/>
      <c r="KFL21" s="292"/>
      <c r="KFM21" s="292"/>
      <c r="KFN21" s="292"/>
      <c r="KFO21" s="292"/>
      <c r="KFP21" s="292"/>
      <c r="KFQ21" s="292"/>
      <c r="KFR21" s="292"/>
      <c r="KFS21" s="292"/>
      <c r="KFT21" s="292"/>
      <c r="KFU21" s="292"/>
      <c r="KFV21" s="292"/>
      <c r="KFW21" s="292"/>
      <c r="KFX21" s="292"/>
      <c r="KFY21" s="292"/>
      <c r="KFZ21" s="292"/>
      <c r="KGA21" s="292"/>
      <c r="KGB21" s="292"/>
      <c r="KGC21" s="292"/>
      <c r="KGD21" s="292"/>
      <c r="KGE21" s="292"/>
      <c r="KGF21" s="292"/>
      <c r="KGG21" s="292"/>
      <c r="KGH21" s="292"/>
      <c r="KGI21" s="292"/>
      <c r="KGJ21" s="292"/>
      <c r="KGK21" s="292"/>
      <c r="KGL21" s="292"/>
      <c r="KGM21" s="292"/>
      <c r="KGN21" s="292"/>
      <c r="KGO21" s="292"/>
      <c r="KGP21" s="292"/>
      <c r="KGQ21" s="292"/>
      <c r="KGR21" s="292"/>
      <c r="KGS21" s="292"/>
      <c r="KGT21" s="292"/>
      <c r="KGU21" s="292"/>
      <c r="KGV21" s="292"/>
      <c r="KGW21" s="292"/>
      <c r="KGX21" s="292"/>
      <c r="KGY21" s="292"/>
      <c r="KGZ21" s="292"/>
      <c r="KHA21" s="292"/>
      <c r="KHB21" s="292"/>
      <c r="KHC21" s="292"/>
      <c r="KHD21" s="292"/>
      <c r="KHE21" s="292"/>
      <c r="KHF21" s="292"/>
      <c r="KHG21" s="292"/>
      <c r="KHH21" s="292"/>
      <c r="KHI21" s="292"/>
      <c r="KHJ21" s="292"/>
      <c r="KHK21" s="292"/>
      <c r="KHL21" s="292"/>
      <c r="KHM21" s="292"/>
      <c r="KHN21" s="292"/>
      <c r="KHO21" s="292"/>
      <c r="KHP21" s="292"/>
      <c r="KHQ21" s="292"/>
      <c r="KHR21" s="292"/>
      <c r="KHS21" s="292"/>
      <c r="KHT21" s="292"/>
      <c r="KHU21" s="292"/>
      <c r="KHV21" s="292"/>
      <c r="KHW21" s="292"/>
      <c r="KHX21" s="292"/>
      <c r="KHY21" s="292"/>
      <c r="KHZ21" s="292"/>
      <c r="KIA21" s="292"/>
      <c r="KIB21" s="292"/>
      <c r="KIC21" s="292"/>
      <c r="KID21" s="292"/>
      <c r="KIE21" s="292"/>
      <c r="KIF21" s="292"/>
      <c r="KIG21" s="292"/>
      <c r="KIH21" s="292"/>
      <c r="KII21" s="292"/>
      <c r="KIJ21" s="292"/>
      <c r="KIK21" s="292"/>
      <c r="KIL21" s="292"/>
      <c r="KIM21" s="292"/>
      <c r="KIN21" s="292"/>
      <c r="KIO21" s="292"/>
      <c r="KIP21" s="292"/>
      <c r="KIQ21" s="292"/>
      <c r="KIR21" s="292"/>
      <c r="KIS21" s="292"/>
      <c r="KIT21" s="292"/>
      <c r="KIU21" s="292"/>
      <c r="KIV21" s="292"/>
      <c r="KIW21" s="292"/>
      <c r="KIX21" s="292"/>
      <c r="KIY21" s="292"/>
      <c r="KIZ21" s="292"/>
      <c r="KJA21" s="292"/>
      <c r="KJB21" s="292"/>
      <c r="KJC21" s="292"/>
      <c r="KJD21" s="292"/>
      <c r="KJE21" s="292"/>
      <c r="KJF21" s="292"/>
      <c r="KJG21" s="292"/>
      <c r="KJH21" s="292"/>
      <c r="KJI21" s="292"/>
      <c r="KJJ21" s="292"/>
      <c r="KJK21" s="292"/>
      <c r="KJL21" s="292"/>
      <c r="KJM21" s="292"/>
      <c r="KJN21" s="292"/>
      <c r="KJO21" s="292"/>
      <c r="KJP21" s="292"/>
      <c r="KJQ21" s="292"/>
      <c r="KJR21" s="292"/>
      <c r="KJS21" s="292"/>
      <c r="KJT21" s="292"/>
      <c r="KJU21" s="292"/>
      <c r="KJV21" s="292"/>
      <c r="KJW21" s="292"/>
      <c r="KJX21" s="292"/>
      <c r="KJY21" s="292"/>
      <c r="KJZ21" s="292"/>
      <c r="KKA21" s="292"/>
      <c r="KKB21" s="292"/>
      <c r="KKC21" s="292"/>
      <c r="KKD21" s="292"/>
      <c r="KKE21" s="292"/>
      <c r="KKF21" s="292"/>
      <c r="KKG21" s="292"/>
      <c r="KKH21" s="292"/>
      <c r="KKI21" s="292"/>
      <c r="KKJ21" s="292"/>
      <c r="KKK21" s="292"/>
      <c r="KKL21" s="292"/>
      <c r="KKM21" s="292"/>
      <c r="KKN21" s="292"/>
      <c r="KKO21" s="292"/>
      <c r="KKP21" s="292"/>
      <c r="KKQ21" s="292"/>
      <c r="KKR21" s="292"/>
      <c r="KKS21" s="292"/>
      <c r="KKT21" s="292"/>
      <c r="KKU21" s="292"/>
      <c r="KKV21" s="292"/>
      <c r="KKW21" s="292"/>
      <c r="KKX21" s="292"/>
      <c r="KKY21" s="292"/>
      <c r="KKZ21" s="292"/>
      <c r="KLA21" s="292"/>
      <c r="KLB21" s="292"/>
      <c r="KLC21" s="292"/>
      <c r="KLD21" s="292"/>
      <c r="KLE21" s="292"/>
      <c r="KLF21" s="292"/>
      <c r="KLG21" s="292"/>
      <c r="KLH21" s="292"/>
      <c r="KLI21" s="292"/>
      <c r="KLJ21" s="292"/>
      <c r="KLK21" s="292"/>
      <c r="KLL21" s="292"/>
      <c r="KLM21" s="292"/>
      <c r="KLN21" s="292"/>
      <c r="KLO21" s="292"/>
      <c r="KLP21" s="292"/>
      <c r="KLQ21" s="292"/>
      <c r="KLR21" s="292"/>
      <c r="KLS21" s="292"/>
      <c r="KLT21" s="292"/>
      <c r="KLU21" s="292"/>
      <c r="KLV21" s="292"/>
      <c r="KLW21" s="292"/>
      <c r="KLX21" s="292"/>
      <c r="KLY21" s="292"/>
      <c r="KLZ21" s="292"/>
      <c r="KMA21" s="292"/>
      <c r="KMB21" s="292"/>
      <c r="KMC21" s="292"/>
      <c r="KMD21" s="292"/>
      <c r="KME21" s="292"/>
      <c r="KMF21" s="292"/>
      <c r="KMG21" s="292"/>
      <c r="KMH21" s="292"/>
      <c r="KMI21" s="292"/>
      <c r="KMJ21" s="292"/>
      <c r="KMK21" s="292"/>
      <c r="KML21" s="292"/>
      <c r="KMM21" s="292"/>
      <c r="KMN21" s="292"/>
      <c r="KMO21" s="292"/>
      <c r="KMP21" s="292"/>
      <c r="KMQ21" s="292"/>
      <c r="KMR21" s="292"/>
      <c r="KMS21" s="292"/>
      <c r="KMT21" s="292"/>
      <c r="KMU21" s="292"/>
      <c r="KMV21" s="292"/>
      <c r="KMW21" s="292"/>
      <c r="KMX21" s="292"/>
      <c r="KMY21" s="292"/>
      <c r="KMZ21" s="292"/>
      <c r="KNA21" s="292"/>
      <c r="KNB21" s="292"/>
      <c r="KNC21" s="292"/>
      <c r="KND21" s="292"/>
      <c r="KNE21" s="292"/>
      <c r="KNF21" s="292"/>
      <c r="KNG21" s="292"/>
      <c r="KNH21" s="292"/>
      <c r="KNI21" s="292"/>
      <c r="KNJ21" s="292"/>
      <c r="KNK21" s="292"/>
      <c r="KNL21" s="292"/>
      <c r="KNM21" s="292"/>
      <c r="KNN21" s="292"/>
      <c r="KNO21" s="292"/>
      <c r="KNP21" s="292"/>
      <c r="KNQ21" s="292"/>
      <c r="KNR21" s="292"/>
      <c r="KNS21" s="292"/>
      <c r="KNT21" s="292"/>
      <c r="KNU21" s="292"/>
      <c r="KNV21" s="292"/>
      <c r="KNW21" s="292"/>
      <c r="KNX21" s="292"/>
      <c r="KNY21" s="292"/>
      <c r="KNZ21" s="292"/>
      <c r="KOA21" s="292"/>
      <c r="KOB21" s="292"/>
      <c r="KOC21" s="292"/>
      <c r="KOD21" s="292"/>
      <c r="KOE21" s="292"/>
      <c r="KOF21" s="292"/>
      <c r="KOG21" s="292"/>
      <c r="KOH21" s="292"/>
      <c r="KOI21" s="292"/>
      <c r="KOJ21" s="292"/>
      <c r="KOK21" s="292"/>
      <c r="KOL21" s="292"/>
      <c r="KOM21" s="292"/>
      <c r="KON21" s="292"/>
      <c r="KOO21" s="292"/>
      <c r="KOP21" s="292"/>
      <c r="KOQ21" s="292"/>
      <c r="KOR21" s="292"/>
      <c r="KOS21" s="292"/>
      <c r="KOT21" s="292"/>
      <c r="KOU21" s="292"/>
      <c r="KOV21" s="292"/>
      <c r="KOW21" s="292"/>
      <c r="KOX21" s="292"/>
      <c r="KOY21" s="292"/>
      <c r="KOZ21" s="292"/>
      <c r="KPA21" s="292"/>
      <c r="KPB21" s="292"/>
      <c r="KPC21" s="292"/>
      <c r="KPD21" s="292"/>
      <c r="KPE21" s="292"/>
      <c r="KPF21" s="292"/>
      <c r="KPG21" s="292"/>
      <c r="KPH21" s="292"/>
      <c r="KPI21" s="292"/>
      <c r="KPJ21" s="292"/>
      <c r="KPK21" s="292"/>
      <c r="KPL21" s="292"/>
      <c r="KPM21" s="292"/>
      <c r="KPN21" s="292"/>
      <c r="KPO21" s="292"/>
      <c r="KPP21" s="292"/>
      <c r="KPQ21" s="292"/>
      <c r="KPR21" s="292"/>
      <c r="KPS21" s="292"/>
      <c r="KPT21" s="292"/>
      <c r="KPU21" s="292"/>
      <c r="KPV21" s="292"/>
      <c r="KPW21" s="292"/>
      <c r="KPX21" s="292"/>
      <c r="KPY21" s="292"/>
      <c r="KPZ21" s="292"/>
      <c r="KQA21" s="292"/>
      <c r="KQB21" s="292"/>
      <c r="KQC21" s="292"/>
      <c r="KQD21" s="292"/>
      <c r="KQE21" s="292"/>
      <c r="KQF21" s="292"/>
      <c r="KQG21" s="292"/>
      <c r="KQH21" s="292"/>
      <c r="KQI21" s="292"/>
      <c r="KQJ21" s="292"/>
      <c r="KQK21" s="292"/>
      <c r="KQL21" s="292"/>
      <c r="KQM21" s="292"/>
      <c r="KQN21" s="292"/>
      <c r="KQO21" s="292"/>
      <c r="KQP21" s="292"/>
      <c r="KQQ21" s="292"/>
      <c r="KQR21" s="292"/>
      <c r="KQS21" s="292"/>
      <c r="KQT21" s="292"/>
      <c r="KQU21" s="292"/>
      <c r="KQV21" s="292"/>
      <c r="KQW21" s="292"/>
      <c r="KQX21" s="292"/>
      <c r="KQY21" s="292"/>
      <c r="KQZ21" s="292"/>
      <c r="KRA21" s="292"/>
      <c r="KRB21" s="292"/>
      <c r="KRC21" s="292"/>
      <c r="KRD21" s="292"/>
      <c r="KRE21" s="292"/>
      <c r="KRF21" s="292"/>
      <c r="KRG21" s="292"/>
      <c r="KRH21" s="292"/>
      <c r="KRI21" s="292"/>
      <c r="KRJ21" s="292"/>
      <c r="KRK21" s="292"/>
      <c r="KRL21" s="292"/>
      <c r="KRM21" s="292"/>
      <c r="KRN21" s="292"/>
      <c r="KRO21" s="292"/>
      <c r="KRP21" s="292"/>
      <c r="KRQ21" s="292"/>
      <c r="KRR21" s="292"/>
      <c r="KRS21" s="292"/>
      <c r="KRT21" s="292"/>
      <c r="KRU21" s="292"/>
      <c r="KRV21" s="292"/>
      <c r="KRW21" s="292"/>
      <c r="KRX21" s="292"/>
      <c r="KRY21" s="292"/>
      <c r="KRZ21" s="292"/>
      <c r="KSA21" s="292"/>
      <c r="KSB21" s="292"/>
      <c r="KSC21" s="292"/>
      <c r="KSD21" s="292"/>
      <c r="KSE21" s="292"/>
      <c r="KSF21" s="292"/>
      <c r="KSG21" s="292"/>
      <c r="KSH21" s="292"/>
      <c r="KSI21" s="292"/>
      <c r="KSJ21" s="292"/>
      <c r="KSK21" s="292"/>
      <c r="KSL21" s="292"/>
      <c r="KSM21" s="292"/>
      <c r="KSN21" s="292"/>
      <c r="KSO21" s="292"/>
      <c r="KSP21" s="292"/>
      <c r="KSQ21" s="292"/>
      <c r="KSR21" s="292"/>
      <c r="KSS21" s="292"/>
      <c r="KST21" s="292"/>
      <c r="KSU21" s="292"/>
      <c r="KSV21" s="292"/>
      <c r="KSW21" s="292"/>
      <c r="KSX21" s="292"/>
      <c r="KSY21" s="292"/>
      <c r="KSZ21" s="292"/>
      <c r="KTA21" s="292"/>
      <c r="KTB21" s="292"/>
      <c r="KTC21" s="292"/>
      <c r="KTD21" s="292"/>
      <c r="KTE21" s="292"/>
      <c r="KTF21" s="292"/>
      <c r="KTG21" s="292"/>
      <c r="KTH21" s="292"/>
      <c r="KTI21" s="292"/>
      <c r="KTJ21" s="292"/>
      <c r="KTK21" s="292"/>
      <c r="KTL21" s="292"/>
      <c r="KTM21" s="292"/>
      <c r="KTN21" s="292"/>
      <c r="KTO21" s="292"/>
      <c r="KTP21" s="292"/>
      <c r="KTQ21" s="292"/>
      <c r="KTR21" s="292"/>
      <c r="KTS21" s="292"/>
      <c r="KTT21" s="292"/>
      <c r="KTU21" s="292"/>
      <c r="KTV21" s="292"/>
      <c r="KTW21" s="292"/>
      <c r="KTX21" s="292"/>
      <c r="KTY21" s="292"/>
      <c r="KTZ21" s="292"/>
      <c r="KUA21" s="292"/>
      <c r="KUB21" s="292"/>
      <c r="KUC21" s="292"/>
      <c r="KUD21" s="292"/>
      <c r="KUE21" s="292"/>
      <c r="KUF21" s="292"/>
      <c r="KUG21" s="292"/>
      <c r="KUH21" s="292"/>
      <c r="KUI21" s="292"/>
      <c r="KUJ21" s="292"/>
      <c r="KUK21" s="292"/>
      <c r="KUL21" s="292"/>
      <c r="KUM21" s="292"/>
      <c r="KUN21" s="292"/>
      <c r="KUO21" s="292"/>
      <c r="KUP21" s="292"/>
      <c r="KUQ21" s="292"/>
      <c r="KUR21" s="292"/>
      <c r="KUS21" s="292"/>
      <c r="KUT21" s="292"/>
      <c r="KUU21" s="292"/>
      <c r="KUV21" s="292"/>
      <c r="KUW21" s="292"/>
      <c r="KUX21" s="292"/>
      <c r="KUY21" s="292"/>
      <c r="KUZ21" s="292"/>
      <c r="KVA21" s="292"/>
      <c r="KVB21" s="292"/>
      <c r="KVC21" s="292"/>
      <c r="KVD21" s="292"/>
      <c r="KVE21" s="292"/>
      <c r="KVF21" s="292"/>
      <c r="KVG21" s="292"/>
      <c r="KVH21" s="292"/>
      <c r="KVI21" s="292"/>
      <c r="KVJ21" s="292"/>
      <c r="KVK21" s="292"/>
      <c r="KVL21" s="292"/>
      <c r="KVM21" s="292"/>
      <c r="KVN21" s="292"/>
      <c r="KVO21" s="292"/>
      <c r="KVP21" s="292"/>
      <c r="KVQ21" s="292"/>
      <c r="KVR21" s="292"/>
      <c r="KVS21" s="292"/>
      <c r="KVT21" s="292"/>
      <c r="KVU21" s="292"/>
      <c r="KVV21" s="292"/>
      <c r="KVW21" s="292"/>
      <c r="KVX21" s="292"/>
      <c r="KVY21" s="292"/>
      <c r="KVZ21" s="292"/>
      <c r="KWA21" s="292"/>
      <c r="KWB21" s="292"/>
      <c r="KWC21" s="292"/>
      <c r="KWD21" s="292"/>
      <c r="KWE21" s="292"/>
      <c r="KWF21" s="292"/>
      <c r="KWG21" s="292"/>
      <c r="KWH21" s="292"/>
      <c r="KWI21" s="292"/>
      <c r="KWJ21" s="292"/>
      <c r="KWK21" s="292"/>
      <c r="KWL21" s="292"/>
      <c r="KWM21" s="292"/>
      <c r="KWN21" s="292"/>
      <c r="KWO21" s="292"/>
      <c r="KWP21" s="292"/>
      <c r="KWQ21" s="292"/>
      <c r="KWR21" s="292"/>
      <c r="KWS21" s="292"/>
      <c r="KWT21" s="292"/>
      <c r="KWU21" s="292"/>
      <c r="KWV21" s="292"/>
      <c r="KWW21" s="292"/>
      <c r="KWX21" s="292"/>
      <c r="KWY21" s="292"/>
      <c r="KWZ21" s="292"/>
      <c r="KXA21" s="292"/>
      <c r="KXB21" s="292"/>
      <c r="KXC21" s="292"/>
      <c r="KXD21" s="292"/>
      <c r="KXE21" s="292"/>
      <c r="KXF21" s="292"/>
      <c r="KXG21" s="292"/>
      <c r="KXH21" s="292"/>
      <c r="KXI21" s="292"/>
      <c r="KXJ21" s="292"/>
      <c r="KXK21" s="292"/>
      <c r="KXL21" s="292"/>
      <c r="KXM21" s="292"/>
      <c r="KXN21" s="292"/>
      <c r="KXO21" s="292"/>
      <c r="KXP21" s="292"/>
      <c r="KXQ21" s="292"/>
      <c r="KXR21" s="292"/>
      <c r="KXS21" s="292"/>
      <c r="KXT21" s="292"/>
      <c r="KXU21" s="292"/>
      <c r="KXV21" s="292"/>
      <c r="KXW21" s="292"/>
      <c r="KXX21" s="292"/>
      <c r="KXY21" s="292"/>
      <c r="KXZ21" s="292"/>
      <c r="KYA21" s="292"/>
      <c r="KYB21" s="292"/>
      <c r="KYC21" s="292"/>
      <c r="KYD21" s="292"/>
      <c r="KYE21" s="292"/>
      <c r="KYF21" s="292"/>
      <c r="KYG21" s="292"/>
      <c r="KYH21" s="292"/>
      <c r="KYI21" s="292"/>
      <c r="KYJ21" s="292"/>
      <c r="KYK21" s="292"/>
      <c r="KYL21" s="292"/>
      <c r="KYM21" s="292"/>
      <c r="KYN21" s="292"/>
      <c r="KYO21" s="292"/>
      <c r="KYP21" s="292"/>
      <c r="KYQ21" s="292"/>
      <c r="KYR21" s="292"/>
      <c r="KYS21" s="292"/>
      <c r="KYT21" s="292"/>
      <c r="KYU21" s="292"/>
      <c r="KYV21" s="292"/>
      <c r="KYW21" s="292"/>
      <c r="KYX21" s="292"/>
      <c r="KYY21" s="292"/>
      <c r="KYZ21" s="292"/>
      <c r="KZA21" s="292"/>
      <c r="KZB21" s="292"/>
      <c r="KZC21" s="292"/>
      <c r="KZD21" s="292"/>
      <c r="KZE21" s="292"/>
      <c r="KZF21" s="292"/>
      <c r="KZG21" s="292"/>
      <c r="KZH21" s="292"/>
      <c r="KZI21" s="292"/>
      <c r="KZJ21" s="292"/>
      <c r="KZK21" s="292"/>
      <c r="KZL21" s="292"/>
      <c r="KZM21" s="292"/>
      <c r="KZN21" s="292"/>
      <c r="KZO21" s="292"/>
      <c r="KZP21" s="292"/>
      <c r="KZQ21" s="292"/>
      <c r="KZR21" s="292"/>
      <c r="KZS21" s="292"/>
      <c r="KZT21" s="292"/>
      <c r="KZU21" s="292"/>
      <c r="KZV21" s="292"/>
      <c r="KZW21" s="292"/>
      <c r="KZX21" s="292"/>
      <c r="KZY21" s="292"/>
      <c r="KZZ21" s="292"/>
      <c r="LAA21" s="292"/>
      <c r="LAB21" s="292"/>
      <c r="LAC21" s="292"/>
      <c r="LAD21" s="292"/>
      <c r="LAE21" s="292"/>
      <c r="LAF21" s="292"/>
      <c r="LAG21" s="292"/>
      <c r="LAH21" s="292"/>
      <c r="LAI21" s="292"/>
      <c r="LAJ21" s="292"/>
      <c r="LAK21" s="292"/>
      <c r="LAL21" s="292"/>
      <c r="LAM21" s="292"/>
      <c r="LAN21" s="292"/>
      <c r="LAO21" s="292"/>
      <c r="LAP21" s="292"/>
      <c r="LAQ21" s="292"/>
      <c r="LAR21" s="292"/>
      <c r="LAS21" s="292"/>
      <c r="LAT21" s="292"/>
      <c r="LAU21" s="292"/>
      <c r="LAV21" s="292"/>
      <c r="LAW21" s="292"/>
      <c r="LAX21" s="292"/>
      <c r="LAY21" s="292"/>
      <c r="LAZ21" s="292"/>
      <c r="LBA21" s="292"/>
      <c r="LBB21" s="292"/>
      <c r="LBC21" s="292"/>
      <c r="LBD21" s="292"/>
      <c r="LBE21" s="292"/>
      <c r="LBF21" s="292"/>
      <c r="LBG21" s="292"/>
      <c r="LBH21" s="292"/>
      <c r="LBI21" s="292"/>
      <c r="LBJ21" s="292"/>
      <c r="LBK21" s="292"/>
      <c r="LBL21" s="292"/>
      <c r="LBM21" s="292"/>
      <c r="LBN21" s="292"/>
      <c r="LBO21" s="292"/>
      <c r="LBP21" s="292"/>
      <c r="LBQ21" s="292"/>
      <c r="LBR21" s="292"/>
      <c r="LBS21" s="292"/>
      <c r="LBT21" s="292"/>
      <c r="LBU21" s="292"/>
      <c r="LBV21" s="292"/>
      <c r="LBW21" s="292"/>
      <c r="LBX21" s="292"/>
      <c r="LBY21" s="292"/>
      <c r="LBZ21" s="292"/>
      <c r="LCA21" s="292"/>
      <c r="LCB21" s="292"/>
      <c r="LCC21" s="292"/>
      <c r="LCD21" s="292"/>
      <c r="LCE21" s="292"/>
      <c r="LCF21" s="292"/>
      <c r="LCG21" s="292"/>
      <c r="LCH21" s="292"/>
      <c r="LCI21" s="292"/>
      <c r="LCJ21" s="292"/>
      <c r="LCK21" s="292"/>
      <c r="LCL21" s="292"/>
      <c r="LCM21" s="292"/>
      <c r="LCN21" s="292"/>
      <c r="LCO21" s="292"/>
      <c r="LCP21" s="292"/>
      <c r="LCQ21" s="292"/>
      <c r="LCR21" s="292"/>
      <c r="LCS21" s="292"/>
      <c r="LCT21" s="292"/>
      <c r="LCU21" s="292"/>
      <c r="LCV21" s="292"/>
      <c r="LCW21" s="292"/>
      <c r="LCX21" s="292"/>
      <c r="LCY21" s="292"/>
      <c r="LCZ21" s="292"/>
      <c r="LDA21" s="292"/>
      <c r="LDB21" s="292"/>
      <c r="LDC21" s="292"/>
      <c r="LDD21" s="292"/>
      <c r="LDE21" s="292"/>
      <c r="LDF21" s="292"/>
      <c r="LDG21" s="292"/>
      <c r="LDH21" s="292"/>
      <c r="LDI21" s="292"/>
      <c r="LDJ21" s="292"/>
      <c r="LDK21" s="292"/>
      <c r="LDL21" s="292"/>
      <c r="LDM21" s="292"/>
      <c r="LDN21" s="292"/>
      <c r="LDO21" s="292"/>
      <c r="LDP21" s="292"/>
      <c r="LDQ21" s="292"/>
      <c r="LDR21" s="292"/>
      <c r="LDS21" s="292"/>
      <c r="LDT21" s="292"/>
      <c r="LDU21" s="292"/>
      <c r="LDV21" s="292"/>
      <c r="LDW21" s="292"/>
      <c r="LDX21" s="292"/>
      <c r="LDY21" s="292"/>
      <c r="LDZ21" s="292"/>
      <c r="LEA21" s="292"/>
      <c r="LEB21" s="292"/>
      <c r="LEC21" s="292"/>
      <c r="LED21" s="292"/>
      <c r="LEE21" s="292"/>
      <c r="LEF21" s="292"/>
      <c r="LEG21" s="292"/>
      <c r="LEH21" s="292"/>
      <c r="LEI21" s="292"/>
      <c r="LEJ21" s="292"/>
      <c r="LEK21" s="292"/>
      <c r="LEL21" s="292"/>
      <c r="LEM21" s="292"/>
      <c r="LEN21" s="292"/>
      <c r="LEO21" s="292"/>
      <c r="LEP21" s="292"/>
      <c r="LEQ21" s="292"/>
      <c r="LER21" s="292"/>
      <c r="LES21" s="292"/>
      <c r="LET21" s="292"/>
      <c r="LEU21" s="292"/>
      <c r="LEV21" s="292"/>
      <c r="LEW21" s="292"/>
      <c r="LEX21" s="292"/>
      <c r="LEY21" s="292"/>
      <c r="LEZ21" s="292"/>
      <c r="LFA21" s="292"/>
      <c r="LFB21" s="292"/>
      <c r="LFC21" s="292"/>
      <c r="LFD21" s="292"/>
      <c r="LFE21" s="292"/>
      <c r="LFF21" s="292"/>
      <c r="LFG21" s="292"/>
      <c r="LFH21" s="292"/>
      <c r="LFI21" s="292"/>
      <c r="LFJ21" s="292"/>
      <c r="LFK21" s="292"/>
      <c r="LFL21" s="292"/>
      <c r="LFM21" s="292"/>
      <c r="LFN21" s="292"/>
      <c r="LFO21" s="292"/>
      <c r="LFP21" s="292"/>
      <c r="LFQ21" s="292"/>
      <c r="LFR21" s="292"/>
      <c r="LFS21" s="292"/>
      <c r="LFT21" s="292"/>
      <c r="LFU21" s="292"/>
      <c r="LFV21" s="292"/>
      <c r="LFW21" s="292"/>
      <c r="LFX21" s="292"/>
      <c r="LFY21" s="292"/>
      <c r="LFZ21" s="292"/>
      <c r="LGA21" s="292"/>
      <c r="LGB21" s="292"/>
      <c r="LGC21" s="292"/>
      <c r="LGD21" s="292"/>
      <c r="LGE21" s="292"/>
      <c r="LGF21" s="292"/>
      <c r="LGG21" s="292"/>
      <c r="LGH21" s="292"/>
      <c r="LGI21" s="292"/>
      <c r="LGJ21" s="292"/>
      <c r="LGK21" s="292"/>
      <c r="LGL21" s="292"/>
      <c r="LGM21" s="292"/>
      <c r="LGN21" s="292"/>
      <c r="LGO21" s="292"/>
      <c r="LGP21" s="292"/>
      <c r="LGQ21" s="292"/>
      <c r="LGR21" s="292"/>
      <c r="LGS21" s="292"/>
      <c r="LGT21" s="292"/>
      <c r="LGU21" s="292"/>
      <c r="LGV21" s="292"/>
      <c r="LGW21" s="292"/>
      <c r="LGX21" s="292"/>
      <c r="LGY21" s="292"/>
      <c r="LGZ21" s="292"/>
      <c r="LHA21" s="292"/>
      <c r="LHB21" s="292"/>
      <c r="LHC21" s="292"/>
      <c r="LHD21" s="292"/>
      <c r="LHE21" s="292"/>
      <c r="LHF21" s="292"/>
      <c r="LHG21" s="292"/>
      <c r="LHH21" s="292"/>
      <c r="LHI21" s="292"/>
      <c r="LHJ21" s="292"/>
      <c r="LHK21" s="292"/>
      <c r="LHL21" s="292"/>
      <c r="LHM21" s="292"/>
      <c r="LHN21" s="292"/>
      <c r="LHO21" s="292"/>
      <c r="LHP21" s="292"/>
      <c r="LHQ21" s="292"/>
      <c r="LHR21" s="292"/>
      <c r="LHS21" s="292"/>
      <c r="LHT21" s="292"/>
      <c r="LHU21" s="292"/>
      <c r="LHV21" s="292"/>
      <c r="LHW21" s="292"/>
      <c r="LHX21" s="292"/>
      <c r="LHY21" s="292"/>
      <c r="LHZ21" s="292"/>
      <c r="LIA21" s="292"/>
      <c r="LIB21" s="292"/>
      <c r="LIC21" s="292"/>
      <c r="LID21" s="292"/>
      <c r="LIE21" s="292"/>
      <c r="LIF21" s="292"/>
      <c r="LIG21" s="292"/>
      <c r="LIH21" s="292"/>
      <c r="LII21" s="292"/>
      <c r="LIJ21" s="292"/>
      <c r="LIK21" s="292"/>
      <c r="LIL21" s="292"/>
      <c r="LIM21" s="292"/>
      <c r="LIN21" s="292"/>
      <c r="LIO21" s="292"/>
      <c r="LIP21" s="292"/>
      <c r="LIQ21" s="292"/>
      <c r="LIR21" s="292"/>
      <c r="LIS21" s="292"/>
      <c r="LIT21" s="292"/>
      <c r="LIU21" s="292"/>
      <c r="LIV21" s="292"/>
      <c r="LIW21" s="292"/>
      <c r="LIX21" s="292"/>
      <c r="LIY21" s="292"/>
      <c r="LIZ21" s="292"/>
      <c r="LJA21" s="292"/>
      <c r="LJB21" s="292"/>
      <c r="LJC21" s="292"/>
      <c r="LJD21" s="292"/>
      <c r="LJE21" s="292"/>
      <c r="LJF21" s="292"/>
      <c r="LJG21" s="292"/>
      <c r="LJH21" s="292"/>
      <c r="LJI21" s="292"/>
      <c r="LJJ21" s="292"/>
      <c r="LJK21" s="292"/>
      <c r="LJL21" s="292"/>
      <c r="LJM21" s="292"/>
      <c r="LJN21" s="292"/>
      <c r="LJO21" s="292"/>
      <c r="LJP21" s="292"/>
      <c r="LJQ21" s="292"/>
      <c r="LJR21" s="292"/>
      <c r="LJS21" s="292"/>
      <c r="LJT21" s="292"/>
      <c r="LJU21" s="292"/>
      <c r="LJV21" s="292"/>
      <c r="LJW21" s="292"/>
      <c r="LJX21" s="292"/>
      <c r="LJY21" s="292"/>
      <c r="LJZ21" s="292"/>
      <c r="LKA21" s="292"/>
      <c r="LKB21" s="292"/>
      <c r="LKC21" s="292"/>
      <c r="LKD21" s="292"/>
      <c r="LKE21" s="292"/>
      <c r="LKF21" s="292"/>
      <c r="LKG21" s="292"/>
      <c r="LKH21" s="292"/>
      <c r="LKI21" s="292"/>
      <c r="LKJ21" s="292"/>
      <c r="LKK21" s="292"/>
      <c r="LKL21" s="292"/>
      <c r="LKM21" s="292"/>
      <c r="LKN21" s="292"/>
      <c r="LKO21" s="292"/>
      <c r="LKP21" s="292"/>
      <c r="LKQ21" s="292"/>
      <c r="LKR21" s="292"/>
      <c r="LKS21" s="292"/>
      <c r="LKT21" s="292"/>
      <c r="LKU21" s="292"/>
      <c r="LKV21" s="292"/>
      <c r="LKW21" s="292"/>
      <c r="LKX21" s="292"/>
      <c r="LKY21" s="292"/>
      <c r="LKZ21" s="292"/>
      <c r="LLA21" s="292"/>
      <c r="LLB21" s="292"/>
      <c r="LLC21" s="292"/>
      <c r="LLD21" s="292"/>
      <c r="LLE21" s="292"/>
      <c r="LLF21" s="292"/>
      <c r="LLG21" s="292"/>
      <c r="LLH21" s="292"/>
      <c r="LLI21" s="292"/>
      <c r="LLJ21" s="292"/>
      <c r="LLK21" s="292"/>
      <c r="LLL21" s="292"/>
      <c r="LLM21" s="292"/>
      <c r="LLN21" s="292"/>
      <c r="LLO21" s="292"/>
      <c r="LLP21" s="292"/>
      <c r="LLQ21" s="292"/>
      <c r="LLR21" s="292"/>
      <c r="LLS21" s="292"/>
      <c r="LLT21" s="292"/>
      <c r="LLU21" s="292"/>
      <c r="LLV21" s="292"/>
      <c r="LLW21" s="292"/>
      <c r="LLX21" s="292"/>
      <c r="LLY21" s="292"/>
      <c r="LLZ21" s="292"/>
      <c r="LMA21" s="292"/>
      <c r="LMB21" s="292"/>
      <c r="LMC21" s="292"/>
      <c r="LMD21" s="292"/>
      <c r="LME21" s="292"/>
      <c r="LMF21" s="292"/>
      <c r="LMG21" s="292"/>
      <c r="LMH21" s="292"/>
      <c r="LMI21" s="292"/>
      <c r="LMJ21" s="292"/>
      <c r="LMK21" s="292"/>
      <c r="LML21" s="292"/>
      <c r="LMM21" s="292"/>
      <c r="LMN21" s="292"/>
      <c r="LMO21" s="292"/>
      <c r="LMP21" s="292"/>
      <c r="LMQ21" s="292"/>
      <c r="LMR21" s="292"/>
      <c r="LMS21" s="292"/>
      <c r="LMT21" s="292"/>
      <c r="LMU21" s="292"/>
      <c r="LMV21" s="292"/>
      <c r="LMW21" s="292"/>
      <c r="LMX21" s="292"/>
      <c r="LMY21" s="292"/>
      <c r="LMZ21" s="292"/>
      <c r="LNA21" s="292"/>
      <c r="LNB21" s="292"/>
      <c r="LNC21" s="292"/>
      <c r="LND21" s="292"/>
      <c r="LNE21" s="292"/>
      <c r="LNF21" s="292"/>
      <c r="LNG21" s="292"/>
      <c r="LNH21" s="292"/>
      <c r="LNI21" s="292"/>
      <c r="LNJ21" s="292"/>
      <c r="LNK21" s="292"/>
      <c r="LNL21" s="292"/>
      <c r="LNM21" s="292"/>
      <c r="LNN21" s="292"/>
      <c r="LNO21" s="292"/>
      <c r="LNP21" s="292"/>
      <c r="LNQ21" s="292"/>
      <c r="LNR21" s="292"/>
      <c r="LNS21" s="292"/>
      <c r="LNT21" s="292"/>
      <c r="LNU21" s="292"/>
      <c r="LNV21" s="292"/>
      <c r="LNW21" s="292"/>
      <c r="LNX21" s="292"/>
      <c r="LNY21" s="292"/>
      <c r="LNZ21" s="292"/>
      <c r="LOA21" s="292"/>
      <c r="LOB21" s="292"/>
      <c r="LOC21" s="292"/>
      <c r="LOD21" s="292"/>
      <c r="LOE21" s="292"/>
      <c r="LOF21" s="292"/>
      <c r="LOG21" s="292"/>
      <c r="LOH21" s="292"/>
      <c r="LOI21" s="292"/>
      <c r="LOJ21" s="292"/>
      <c r="LOK21" s="292"/>
      <c r="LOL21" s="292"/>
      <c r="LOM21" s="292"/>
      <c r="LON21" s="292"/>
      <c r="LOO21" s="292"/>
      <c r="LOP21" s="292"/>
      <c r="LOQ21" s="292"/>
      <c r="LOR21" s="292"/>
      <c r="LOS21" s="292"/>
      <c r="LOT21" s="292"/>
      <c r="LOU21" s="292"/>
      <c r="LOV21" s="292"/>
      <c r="LOW21" s="292"/>
      <c r="LOX21" s="292"/>
      <c r="LOY21" s="292"/>
      <c r="LOZ21" s="292"/>
      <c r="LPA21" s="292"/>
      <c r="LPB21" s="292"/>
      <c r="LPC21" s="292"/>
      <c r="LPD21" s="292"/>
      <c r="LPE21" s="292"/>
      <c r="LPF21" s="292"/>
      <c r="LPG21" s="292"/>
      <c r="LPH21" s="292"/>
      <c r="LPI21" s="292"/>
      <c r="LPJ21" s="292"/>
      <c r="LPK21" s="292"/>
      <c r="LPL21" s="292"/>
      <c r="LPM21" s="292"/>
      <c r="LPN21" s="292"/>
      <c r="LPO21" s="292"/>
      <c r="LPP21" s="292"/>
      <c r="LPQ21" s="292"/>
      <c r="LPR21" s="292"/>
      <c r="LPS21" s="292"/>
      <c r="LPT21" s="292"/>
      <c r="LPU21" s="292"/>
      <c r="LPV21" s="292"/>
      <c r="LPW21" s="292"/>
      <c r="LPX21" s="292"/>
      <c r="LPY21" s="292"/>
      <c r="LPZ21" s="292"/>
      <c r="LQA21" s="292"/>
      <c r="LQB21" s="292"/>
      <c r="LQC21" s="292"/>
      <c r="LQD21" s="292"/>
      <c r="LQE21" s="292"/>
      <c r="LQF21" s="292"/>
      <c r="LQG21" s="292"/>
      <c r="LQH21" s="292"/>
      <c r="LQI21" s="292"/>
      <c r="LQJ21" s="292"/>
      <c r="LQK21" s="292"/>
      <c r="LQL21" s="292"/>
      <c r="LQM21" s="292"/>
      <c r="LQN21" s="292"/>
      <c r="LQO21" s="292"/>
      <c r="LQP21" s="292"/>
      <c r="LQQ21" s="292"/>
      <c r="LQR21" s="292"/>
      <c r="LQS21" s="292"/>
      <c r="LQT21" s="292"/>
      <c r="LQU21" s="292"/>
      <c r="LQV21" s="292"/>
      <c r="LQW21" s="292"/>
      <c r="LQX21" s="292"/>
      <c r="LQY21" s="292"/>
      <c r="LQZ21" s="292"/>
      <c r="LRA21" s="292"/>
      <c r="LRB21" s="292"/>
      <c r="LRC21" s="292"/>
      <c r="LRD21" s="292"/>
      <c r="LRE21" s="292"/>
      <c r="LRF21" s="292"/>
      <c r="LRG21" s="292"/>
      <c r="LRH21" s="292"/>
      <c r="LRI21" s="292"/>
      <c r="LRJ21" s="292"/>
      <c r="LRK21" s="292"/>
      <c r="LRL21" s="292"/>
      <c r="LRM21" s="292"/>
      <c r="LRN21" s="292"/>
      <c r="LRO21" s="292"/>
      <c r="LRP21" s="292"/>
      <c r="LRQ21" s="292"/>
      <c r="LRR21" s="292"/>
      <c r="LRS21" s="292"/>
      <c r="LRT21" s="292"/>
      <c r="LRU21" s="292"/>
      <c r="LRV21" s="292"/>
      <c r="LRW21" s="292"/>
      <c r="LRX21" s="292"/>
      <c r="LRY21" s="292"/>
      <c r="LRZ21" s="292"/>
      <c r="LSA21" s="292"/>
      <c r="LSB21" s="292"/>
      <c r="LSC21" s="292"/>
      <c r="LSD21" s="292"/>
      <c r="LSE21" s="292"/>
      <c r="LSF21" s="292"/>
      <c r="LSG21" s="292"/>
      <c r="LSH21" s="292"/>
      <c r="LSI21" s="292"/>
      <c r="LSJ21" s="292"/>
      <c r="LSK21" s="292"/>
      <c r="LSL21" s="292"/>
      <c r="LSM21" s="292"/>
      <c r="LSN21" s="292"/>
      <c r="LSO21" s="292"/>
      <c r="LSP21" s="292"/>
      <c r="LSQ21" s="292"/>
      <c r="LSR21" s="292"/>
      <c r="LSS21" s="292"/>
      <c r="LST21" s="292"/>
      <c r="LSU21" s="292"/>
      <c r="LSV21" s="292"/>
      <c r="LSW21" s="292"/>
      <c r="LSX21" s="292"/>
      <c r="LSY21" s="292"/>
      <c r="LSZ21" s="292"/>
      <c r="LTA21" s="292"/>
      <c r="LTB21" s="292"/>
      <c r="LTC21" s="292"/>
      <c r="LTD21" s="292"/>
      <c r="LTE21" s="292"/>
      <c r="LTF21" s="292"/>
      <c r="LTG21" s="292"/>
      <c r="LTH21" s="292"/>
      <c r="LTI21" s="292"/>
      <c r="LTJ21" s="292"/>
      <c r="LTK21" s="292"/>
      <c r="LTL21" s="292"/>
      <c r="LTM21" s="292"/>
      <c r="LTN21" s="292"/>
      <c r="LTO21" s="292"/>
      <c r="LTP21" s="292"/>
      <c r="LTQ21" s="292"/>
      <c r="LTR21" s="292"/>
      <c r="LTS21" s="292"/>
      <c r="LTT21" s="292"/>
      <c r="LTU21" s="292"/>
      <c r="LTV21" s="292"/>
      <c r="LTW21" s="292"/>
      <c r="LTX21" s="292"/>
      <c r="LTY21" s="292"/>
      <c r="LTZ21" s="292"/>
      <c r="LUA21" s="292"/>
      <c r="LUB21" s="292"/>
      <c r="LUC21" s="292"/>
      <c r="LUD21" s="292"/>
      <c r="LUE21" s="292"/>
      <c r="LUF21" s="292"/>
      <c r="LUG21" s="292"/>
      <c r="LUH21" s="292"/>
      <c r="LUI21" s="292"/>
      <c r="LUJ21" s="292"/>
      <c r="LUK21" s="292"/>
      <c r="LUL21" s="292"/>
      <c r="LUM21" s="292"/>
      <c r="LUN21" s="292"/>
      <c r="LUO21" s="292"/>
      <c r="LUP21" s="292"/>
      <c r="LUQ21" s="292"/>
      <c r="LUR21" s="292"/>
      <c r="LUS21" s="292"/>
      <c r="LUT21" s="292"/>
      <c r="LUU21" s="292"/>
      <c r="LUV21" s="292"/>
      <c r="LUW21" s="292"/>
      <c r="LUX21" s="292"/>
      <c r="LUY21" s="292"/>
      <c r="LUZ21" s="292"/>
      <c r="LVA21" s="292"/>
      <c r="LVB21" s="292"/>
      <c r="LVC21" s="292"/>
      <c r="LVD21" s="292"/>
      <c r="LVE21" s="292"/>
      <c r="LVF21" s="292"/>
      <c r="LVG21" s="292"/>
      <c r="LVH21" s="292"/>
      <c r="LVI21" s="292"/>
      <c r="LVJ21" s="292"/>
      <c r="LVK21" s="292"/>
      <c r="LVL21" s="292"/>
      <c r="LVM21" s="292"/>
      <c r="LVN21" s="292"/>
      <c r="LVO21" s="292"/>
      <c r="LVP21" s="292"/>
      <c r="LVQ21" s="292"/>
      <c r="LVR21" s="292"/>
      <c r="LVS21" s="292"/>
      <c r="LVT21" s="292"/>
      <c r="LVU21" s="292"/>
      <c r="LVV21" s="292"/>
      <c r="LVW21" s="292"/>
      <c r="LVX21" s="292"/>
      <c r="LVY21" s="292"/>
      <c r="LVZ21" s="292"/>
      <c r="LWA21" s="292"/>
      <c r="LWB21" s="292"/>
      <c r="LWC21" s="292"/>
      <c r="LWD21" s="292"/>
      <c r="LWE21" s="292"/>
      <c r="LWF21" s="292"/>
      <c r="LWG21" s="292"/>
      <c r="LWH21" s="292"/>
      <c r="LWI21" s="292"/>
      <c r="LWJ21" s="292"/>
      <c r="LWK21" s="292"/>
      <c r="LWL21" s="292"/>
      <c r="LWM21" s="292"/>
      <c r="LWN21" s="292"/>
      <c r="LWO21" s="292"/>
      <c r="LWP21" s="292"/>
      <c r="LWQ21" s="292"/>
      <c r="LWR21" s="292"/>
      <c r="LWS21" s="292"/>
      <c r="LWT21" s="292"/>
      <c r="LWU21" s="292"/>
      <c r="LWV21" s="292"/>
      <c r="LWW21" s="292"/>
      <c r="LWX21" s="292"/>
      <c r="LWY21" s="292"/>
      <c r="LWZ21" s="292"/>
      <c r="LXA21" s="292"/>
      <c r="LXB21" s="292"/>
      <c r="LXC21" s="292"/>
      <c r="LXD21" s="292"/>
      <c r="LXE21" s="292"/>
      <c r="LXF21" s="292"/>
      <c r="LXG21" s="292"/>
      <c r="LXH21" s="292"/>
      <c r="LXI21" s="292"/>
      <c r="LXJ21" s="292"/>
      <c r="LXK21" s="292"/>
      <c r="LXL21" s="292"/>
      <c r="LXM21" s="292"/>
      <c r="LXN21" s="292"/>
      <c r="LXO21" s="292"/>
      <c r="LXP21" s="292"/>
      <c r="LXQ21" s="292"/>
      <c r="LXR21" s="292"/>
      <c r="LXS21" s="292"/>
      <c r="LXT21" s="292"/>
      <c r="LXU21" s="292"/>
      <c r="LXV21" s="292"/>
      <c r="LXW21" s="292"/>
      <c r="LXX21" s="292"/>
      <c r="LXY21" s="292"/>
      <c r="LXZ21" s="292"/>
      <c r="LYA21" s="292"/>
      <c r="LYB21" s="292"/>
      <c r="LYC21" s="292"/>
      <c r="LYD21" s="292"/>
      <c r="LYE21" s="292"/>
      <c r="LYF21" s="292"/>
      <c r="LYG21" s="292"/>
      <c r="LYH21" s="292"/>
      <c r="LYI21" s="292"/>
      <c r="LYJ21" s="292"/>
      <c r="LYK21" s="292"/>
      <c r="LYL21" s="292"/>
      <c r="LYM21" s="292"/>
      <c r="LYN21" s="292"/>
      <c r="LYO21" s="292"/>
      <c r="LYP21" s="292"/>
      <c r="LYQ21" s="292"/>
      <c r="LYR21" s="292"/>
      <c r="LYS21" s="292"/>
      <c r="LYT21" s="292"/>
      <c r="LYU21" s="292"/>
      <c r="LYV21" s="292"/>
      <c r="LYW21" s="292"/>
      <c r="LYX21" s="292"/>
      <c r="LYY21" s="292"/>
      <c r="LYZ21" s="292"/>
      <c r="LZA21" s="292"/>
      <c r="LZB21" s="292"/>
      <c r="LZC21" s="292"/>
      <c r="LZD21" s="292"/>
      <c r="LZE21" s="292"/>
      <c r="LZF21" s="292"/>
      <c r="LZG21" s="292"/>
      <c r="LZH21" s="292"/>
      <c r="LZI21" s="292"/>
      <c r="LZJ21" s="292"/>
      <c r="LZK21" s="292"/>
      <c r="LZL21" s="292"/>
      <c r="LZM21" s="292"/>
      <c r="LZN21" s="292"/>
      <c r="LZO21" s="292"/>
      <c r="LZP21" s="292"/>
      <c r="LZQ21" s="292"/>
      <c r="LZR21" s="292"/>
      <c r="LZS21" s="292"/>
      <c r="LZT21" s="292"/>
      <c r="LZU21" s="292"/>
      <c r="LZV21" s="292"/>
      <c r="LZW21" s="292"/>
      <c r="LZX21" s="292"/>
      <c r="LZY21" s="292"/>
      <c r="LZZ21" s="292"/>
      <c r="MAA21" s="292"/>
      <c r="MAB21" s="292"/>
      <c r="MAC21" s="292"/>
      <c r="MAD21" s="292"/>
      <c r="MAE21" s="292"/>
      <c r="MAF21" s="292"/>
      <c r="MAG21" s="292"/>
      <c r="MAH21" s="292"/>
      <c r="MAI21" s="292"/>
      <c r="MAJ21" s="292"/>
      <c r="MAK21" s="292"/>
      <c r="MAL21" s="292"/>
      <c r="MAM21" s="292"/>
      <c r="MAN21" s="292"/>
      <c r="MAO21" s="292"/>
      <c r="MAP21" s="292"/>
      <c r="MAQ21" s="292"/>
      <c r="MAR21" s="292"/>
      <c r="MAS21" s="292"/>
      <c r="MAT21" s="292"/>
      <c r="MAU21" s="292"/>
      <c r="MAV21" s="292"/>
      <c r="MAW21" s="292"/>
      <c r="MAX21" s="292"/>
      <c r="MAY21" s="292"/>
      <c r="MAZ21" s="292"/>
      <c r="MBA21" s="292"/>
      <c r="MBB21" s="292"/>
      <c r="MBC21" s="292"/>
      <c r="MBD21" s="292"/>
      <c r="MBE21" s="292"/>
      <c r="MBF21" s="292"/>
      <c r="MBG21" s="292"/>
      <c r="MBH21" s="292"/>
      <c r="MBI21" s="292"/>
      <c r="MBJ21" s="292"/>
      <c r="MBK21" s="292"/>
      <c r="MBL21" s="292"/>
      <c r="MBM21" s="292"/>
      <c r="MBN21" s="292"/>
      <c r="MBO21" s="292"/>
      <c r="MBP21" s="292"/>
      <c r="MBQ21" s="292"/>
      <c r="MBR21" s="292"/>
      <c r="MBS21" s="292"/>
      <c r="MBT21" s="292"/>
      <c r="MBU21" s="292"/>
      <c r="MBV21" s="292"/>
      <c r="MBW21" s="292"/>
      <c r="MBX21" s="292"/>
      <c r="MBY21" s="292"/>
      <c r="MBZ21" s="292"/>
      <c r="MCA21" s="292"/>
      <c r="MCB21" s="292"/>
      <c r="MCC21" s="292"/>
      <c r="MCD21" s="292"/>
      <c r="MCE21" s="292"/>
      <c r="MCF21" s="292"/>
      <c r="MCG21" s="292"/>
      <c r="MCH21" s="292"/>
      <c r="MCI21" s="292"/>
      <c r="MCJ21" s="292"/>
      <c r="MCK21" s="292"/>
      <c r="MCL21" s="292"/>
      <c r="MCM21" s="292"/>
      <c r="MCN21" s="292"/>
      <c r="MCO21" s="292"/>
      <c r="MCP21" s="292"/>
      <c r="MCQ21" s="292"/>
      <c r="MCR21" s="292"/>
      <c r="MCS21" s="292"/>
      <c r="MCT21" s="292"/>
      <c r="MCU21" s="292"/>
      <c r="MCV21" s="292"/>
      <c r="MCW21" s="292"/>
      <c r="MCX21" s="292"/>
      <c r="MCY21" s="292"/>
      <c r="MCZ21" s="292"/>
      <c r="MDA21" s="292"/>
      <c r="MDB21" s="292"/>
      <c r="MDC21" s="292"/>
      <c r="MDD21" s="292"/>
      <c r="MDE21" s="292"/>
      <c r="MDF21" s="292"/>
      <c r="MDG21" s="292"/>
      <c r="MDH21" s="292"/>
      <c r="MDI21" s="292"/>
      <c r="MDJ21" s="292"/>
      <c r="MDK21" s="292"/>
      <c r="MDL21" s="292"/>
      <c r="MDM21" s="292"/>
      <c r="MDN21" s="292"/>
      <c r="MDO21" s="292"/>
      <c r="MDP21" s="292"/>
      <c r="MDQ21" s="292"/>
      <c r="MDR21" s="292"/>
      <c r="MDS21" s="292"/>
      <c r="MDT21" s="292"/>
      <c r="MDU21" s="292"/>
      <c r="MDV21" s="292"/>
      <c r="MDW21" s="292"/>
      <c r="MDX21" s="292"/>
      <c r="MDY21" s="292"/>
      <c r="MDZ21" s="292"/>
      <c r="MEA21" s="292"/>
      <c r="MEB21" s="292"/>
      <c r="MEC21" s="292"/>
      <c r="MED21" s="292"/>
      <c r="MEE21" s="292"/>
      <c r="MEF21" s="292"/>
      <c r="MEG21" s="292"/>
      <c r="MEH21" s="292"/>
      <c r="MEI21" s="292"/>
      <c r="MEJ21" s="292"/>
      <c r="MEK21" s="292"/>
      <c r="MEL21" s="292"/>
      <c r="MEM21" s="292"/>
      <c r="MEN21" s="292"/>
      <c r="MEO21" s="292"/>
      <c r="MEP21" s="292"/>
      <c r="MEQ21" s="292"/>
      <c r="MER21" s="292"/>
      <c r="MES21" s="292"/>
      <c r="MET21" s="292"/>
      <c r="MEU21" s="292"/>
      <c r="MEV21" s="292"/>
      <c r="MEW21" s="292"/>
      <c r="MEX21" s="292"/>
      <c r="MEY21" s="292"/>
      <c r="MEZ21" s="292"/>
      <c r="MFA21" s="292"/>
      <c r="MFB21" s="292"/>
      <c r="MFC21" s="292"/>
      <c r="MFD21" s="292"/>
      <c r="MFE21" s="292"/>
      <c r="MFF21" s="292"/>
      <c r="MFG21" s="292"/>
      <c r="MFH21" s="292"/>
      <c r="MFI21" s="292"/>
      <c r="MFJ21" s="292"/>
      <c r="MFK21" s="292"/>
      <c r="MFL21" s="292"/>
      <c r="MFM21" s="292"/>
      <c r="MFN21" s="292"/>
      <c r="MFO21" s="292"/>
      <c r="MFP21" s="292"/>
      <c r="MFQ21" s="292"/>
      <c r="MFR21" s="292"/>
      <c r="MFS21" s="292"/>
      <c r="MFT21" s="292"/>
      <c r="MFU21" s="292"/>
      <c r="MFV21" s="292"/>
      <c r="MFW21" s="292"/>
      <c r="MFX21" s="292"/>
      <c r="MFY21" s="292"/>
      <c r="MFZ21" s="292"/>
      <c r="MGA21" s="292"/>
      <c r="MGB21" s="292"/>
      <c r="MGC21" s="292"/>
      <c r="MGD21" s="292"/>
      <c r="MGE21" s="292"/>
      <c r="MGF21" s="292"/>
      <c r="MGG21" s="292"/>
      <c r="MGH21" s="292"/>
      <c r="MGI21" s="292"/>
      <c r="MGJ21" s="292"/>
      <c r="MGK21" s="292"/>
      <c r="MGL21" s="292"/>
      <c r="MGM21" s="292"/>
      <c r="MGN21" s="292"/>
      <c r="MGO21" s="292"/>
      <c r="MGP21" s="292"/>
      <c r="MGQ21" s="292"/>
      <c r="MGR21" s="292"/>
      <c r="MGS21" s="292"/>
      <c r="MGT21" s="292"/>
      <c r="MGU21" s="292"/>
      <c r="MGV21" s="292"/>
      <c r="MGW21" s="292"/>
      <c r="MGX21" s="292"/>
      <c r="MGY21" s="292"/>
      <c r="MGZ21" s="292"/>
      <c r="MHA21" s="292"/>
      <c r="MHB21" s="292"/>
      <c r="MHC21" s="292"/>
      <c r="MHD21" s="292"/>
      <c r="MHE21" s="292"/>
      <c r="MHF21" s="292"/>
      <c r="MHG21" s="292"/>
      <c r="MHH21" s="292"/>
      <c r="MHI21" s="292"/>
      <c r="MHJ21" s="292"/>
      <c r="MHK21" s="292"/>
      <c r="MHL21" s="292"/>
      <c r="MHM21" s="292"/>
      <c r="MHN21" s="292"/>
      <c r="MHO21" s="292"/>
      <c r="MHP21" s="292"/>
      <c r="MHQ21" s="292"/>
      <c r="MHR21" s="292"/>
      <c r="MHS21" s="292"/>
      <c r="MHT21" s="292"/>
      <c r="MHU21" s="292"/>
      <c r="MHV21" s="292"/>
      <c r="MHW21" s="292"/>
      <c r="MHX21" s="292"/>
      <c r="MHY21" s="292"/>
      <c r="MHZ21" s="292"/>
      <c r="MIA21" s="292"/>
      <c r="MIB21" s="292"/>
      <c r="MIC21" s="292"/>
      <c r="MID21" s="292"/>
      <c r="MIE21" s="292"/>
      <c r="MIF21" s="292"/>
      <c r="MIG21" s="292"/>
      <c r="MIH21" s="292"/>
      <c r="MII21" s="292"/>
      <c r="MIJ21" s="292"/>
      <c r="MIK21" s="292"/>
      <c r="MIL21" s="292"/>
      <c r="MIM21" s="292"/>
      <c r="MIN21" s="292"/>
      <c r="MIO21" s="292"/>
      <c r="MIP21" s="292"/>
      <c r="MIQ21" s="292"/>
      <c r="MIR21" s="292"/>
      <c r="MIS21" s="292"/>
      <c r="MIT21" s="292"/>
      <c r="MIU21" s="292"/>
      <c r="MIV21" s="292"/>
      <c r="MIW21" s="292"/>
      <c r="MIX21" s="292"/>
      <c r="MIY21" s="292"/>
      <c r="MIZ21" s="292"/>
      <c r="MJA21" s="292"/>
      <c r="MJB21" s="292"/>
      <c r="MJC21" s="292"/>
      <c r="MJD21" s="292"/>
      <c r="MJE21" s="292"/>
      <c r="MJF21" s="292"/>
      <c r="MJG21" s="292"/>
      <c r="MJH21" s="292"/>
      <c r="MJI21" s="292"/>
      <c r="MJJ21" s="292"/>
      <c r="MJK21" s="292"/>
      <c r="MJL21" s="292"/>
      <c r="MJM21" s="292"/>
      <c r="MJN21" s="292"/>
      <c r="MJO21" s="292"/>
      <c r="MJP21" s="292"/>
      <c r="MJQ21" s="292"/>
      <c r="MJR21" s="292"/>
      <c r="MJS21" s="292"/>
      <c r="MJT21" s="292"/>
      <c r="MJU21" s="292"/>
      <c r="MJV21" s="292"/>
      <c r="MJW21" s="292"/>
      <c r="MJX21" s="292"/>
      <c r="MJY21" s="292"/>
      <c r="MJZ21" s="292"/>
      <c r="MKA21" s="292"/>
      <c r="MKB21" s="292"/>
      <c r="MKC21" s="292"/>
      <c r="MKD21" s="292"/>
      <c r="MKE21" s="292"/>
      <c r="MKF21" s="292"/>
      <c r="MKG21" s="292"/>
      <c r="MKH21" s="292"/>
      <c r="MKI21" s="292"/>
      <c r="MKJ21" s="292"/>
      <c r="MKK21" s="292"/>
      <c r="MKL21" s="292"/>
      <c r="MKM21" s="292"/>
      <c r="MKN21" s="292"/>
      <c r="MKO21" s="292"/>
      <c r="MKP21" s="292"/>
      <c r="MKQ21" s="292"/>
      <c r="MKR21" s="292"/>
      <c r="MKS21" s="292"/>
      <c r="MKT21" s="292"/>
      <c r="MKU21" s="292"/>
      <c r="MKV21" s="292"/>
      <c r="MKW21" s="292"/>
      <c r="MKX21" s="292"/>
      <c r="MKY21" s="292"/>
      <c r="MKZ21" s="292"/>
      <c r="MLA21" s="292"/>
      <c r="MLB21" s="292"/>
      <c r="MLC21" s="292"/>
      <c r="MLD21" s="292"/>
      <c r="MLE21" s="292"/>
      <c r="MLF21" s="292"/>
      <c r="MLG21" s="292"/>
      <c r="MLH21" s="292"/>
      <c r="MLI21" s="292"/>
      <c r="MLJ21" s="292"/>
      <c r="MLK21" s="292"/>
      <c r="MLL21" s="292"/>
      <c r="MLM21" s="292"/>
      <c r="MLN21" s="292"/>
      <c r="MLO21" s="292"/>
      <c r="MLP21" s="292"/>
      <c r="MLQ21" s="292"/>
      <c r="MLR21" s="292"/>
      <c r="MLS21" s="292"/>
      <c r="MLT21" s="292"/>
      <c r="MLU21" s="292"/>
      <c r="MLV21" s="292"/>
      <c r="MLW21" s="292"/>
      <c r="MLX21" s="292"/>
      <c r="MLY21" s="292"/>
      <c r="MLZ21" s="292"/>
      <c r="MMA21" s="292"/>
      <c r="MMB21" s="292"/>
      <c r="MMC21" s="292"/>
      <c r="MMD21" s="292"/>
      <c r="MME21" s="292"/>
      <c r="MMF21" s="292"/>
      <c r="MMG21" s="292"/>
      <c r="MMH21" s="292"/>
      <c r="MMI21" s="292"/>
      <c r="MMJ21" s="292"/>
      <c r="MMK21" s="292"/>
      <c r="MML21" s="292"/>
      <c r="MMM21" s="292"/>
      <c r="MMN21" s="292"/>
      <c r="MMO21" s="292"/>
      <c r="MMP21" s="292"/>
      <c r="MMQ21" s="292"/>
      <c r="MMR21" s="292"/>
      <c r="MMS21" s="292"/>
      <c r="MMT21" s="292"/>
      <c r="MMU21" s="292"/>
      <c r="MMV21" s="292"/>
      <c r="MMW21" s="292"/>
      <c r="MMX21" s="292"/>
      <c r="MMY21" s="292"/>
      <c r="MMZ21" s="292"/>
      <c r="MNA21" s="292"/>
      <c r="MNB21" s="292"/>
      <c r="MNC21" s="292"/>
      <c r="MND21" s="292"/>
      <c r="MNE21" s="292"/>
      <c r="MNF21" s="292"/>
      <c r="MNG21" s="292"/>
      <c r="MNH21" s="292"/>
      <c r="MNI21" s="292"/>
      <c r="MNJ21" s="292"/>
      <c r="MNK21" s="292"/>
      <c r="MNL21" s="292"/>
      <c r="MNM21" s="292"/>
      <c r="MNN21" s="292"/>
      <c r="MNO21" s="292"/>
      <c r="MNP21" s="292"/>
      <c r="MNQ21" s="292"/>
      <c r="MNR21" s="292"/>
      <c r="MNS21" s="292"/>
      <c r="MNT21" s="292"/>
      <c r="MNU21" s="292"/>
      <c r="MNV21" s="292"/>
      <c r="MNW21" s="292"/>
      <c r="MNX21" s="292"/>
      <c r="MNY21" s="292"/>
      <c r="MNZ21" s="292"/>
      <c r="MOA21" s="292"/>
      <c r="MOB21" s="292"/>
      <c r="MOC21" s="292"/>
      <c r="MOD21" s="292"/>
      <c r="MOE21" s="292"/>
      <c r="MOF21" s="292"/>
      <c r="MOG21" s="292"/>
      <c r="MOH21" s="292"/>
      <c r="MOI21" s="292"/>
      <c r="MOJ21" s="292"/>
      <c r="MOK21" s="292"/>
      <c r="MOL21" s="292"/>
      <c r="MOM21" s="292"/>
      <c r="MON21" s="292"/>
      <c r="MOO21" s="292"/>
      <c r="MOP21" s="292"/>
      <c r="MOQ21" s="292"/>
      <c r="MOR21" s="292"/>
      <c r="MOS21" s="292"/>
      <c r="MOT21" s="292"/>
      <c r="MOU21" s="292"/>
      <c r="MOV21" s="292"/>
      <c r="MOW21" s="292"/>
      <c r="MOX21" s="292"/>
      <c r="MOY21" s="292"/>
      <c r="MOZ21" s="292"/>
      <c r="MPA21" s="292"/>
      <c r="MPB21" s="292"/>
      <c r="MPC21" s="292"/>
      <c r="MPD21" s="292"/>
      <c r="MPE21" s="292"/>
      <c r="MPF21" s="292"/>
      <c r="MPG21" s="292"/>
      <c r="MPH21" s="292"/>
      <c r="MPI21" s="292"/>
      <c r="MPJ21" s="292"/>
      <c r="MPK21" s="292"/>
      <c r="MPL21" s="292"/>
      <c r="MPM21" s="292"/>
      <c r="MPN21" s="292"/>
      <c r="MPO21" s="292"/>
      <c r="MPP21" s="292"/>
      <c r="MPQ21" s="292"/>
      <c r="MPR21" s="292"/>
      <c r="MPS21" s="292"/>
      <c r="MPT21" s="292"/>
      <c r="MPU21" s="292"/>
      <c r="MPV21" s="292"/>
      <c r="MPW21" s="292"/>
      <c r="MPX21" s="292"/>
      <c r="MPY21" s="292"/>
      <c r="MPZ21" s="292"/>
      <c r="MQA21" s="292"/>
      <c r="MQB21" s="292"/>
      <c r="MQC21" s="292"/>
      <c r="MQD21" s="292"/>
      <c r="MQE21" s="292"/>
      <c r="MQF21" s="292"/>
      <c r="MQG21" s="292"/>
      <c r="MQH21" s="292"/>
      <c r="MQI21" s="292"/>
      <c r="MQJ21" s="292"/>
      <c r="MQK21" s="292"/>
      <c r="MQL21" s="292"/>
      <c r="MQM21" s="292"/>
      <c r="MQN21" s="292"/>
      <c r="MQO21" s="292"/>
      <c r="MQP21" s="292"/>
      <c r="MQQ21" s="292"/>
      <c r="MQR21" s="292"/>
      <c r="MQS21" s="292"/>
      <c r="MQT21" s="292"/>
      <c r="MQU21" s="292"/>
      <c r="MQV21" s="292"/>
      <c r="MQW21" s="292"/>
      <c r="MQX21" s="292"/>
      <c r="MQY21" s="292"/>
      <c r="MQZ21" s="292"/>
      <c r="MRA21" s="292"/>
      <c r="MRB21" s="292"/>
      <c r="MRC21" s="292"/>
      <c r="MRD21" s="292"/>
      <c r="MRE21" s="292"/>
      <c r="MRF21" s="292"/>
      <c r="MRG21" s="292"/>
      <c r="MRH21" s="292"/>
      <c r="MRI21" s="292"/>
      <c r="MRJ21" s="292"/>
      <c r="MRK21" s="292"/>
      <c r="MRL21" s="292"/>
      <c r="MRM21" s="292"/>
      <c r="MRN21" s="292"/>
      <c r="MRO21" s="292"/>
      <c r="MRP21" s="292"/>
      <c r="MRQ21" s="292"/>
      <c r="MRR21" s="292"/>
      <c r="MRS21" s="292"/>
      <c r="MRT21" s="292"/>
      <c r="MRU21" s="292"/>
      <c r="MRV21" s="292"/>
      <c r="MRW21" s="292"/>
      <c r="MRX21" s="292"/>
      <c r="MRY21" s="292"/>
      <c r="MRZ21" s="292"/>
      <c r="MSA21" s="292"/>
      <c r="MSB21" s="292"/>
      <c r="MSC21" s="292"/>
      <c r="MSD21" s="292"/>
      <c r="MSE21" s="292"/>
      <c r="MSF21" s="292"/>
      <c r="MSG21" s="292"/>
      <c r="MSH21" s="292"/>
      <c r="MSI21" s="292"/>
      <c r="MSJ21" s="292"/>
      <c r="MSK21" s="292"/>
      <c r="MSL21" s="292"/>
      <c r="MSM21" s="292"/>
      <c r="MSN21" s="292"/>
      <c r="MSO21" s="292"/>
      <c r="MSP21" s="292"/>
      <c r="MSQ21" s="292"/>
      <c r="MSR21" s="292"/>
      <c r="MSS21" s="292"/>
      <c r="MST21" s="292"/>
      <c r="MSU21" s="292"/>
      <c r="MSV21" s="292"/>
      <c r="MSW21" s="292"/>
      <c r="MSX21" s="292"/>
      <c r="MSY21" s="292"/>
      <c r="MSZ21" s="292"/>
      <c r="MTA21" s="292"/>
      <c r="MTB21" s="292"/>
      <c r="MTC21" s="292"/>
      <c r="MTD21" s="292"/>
      <c r="MTE21" s="292"/>
      <c r="MTF21" s="292"/>
      <c r="MTG21" s="292"/>
      <c r="MTH21" s="292"/>
      <c r="MTI21" s="292"/>
      <c r="MTJ21" s="292"/>
      <c r="MTK21" s="292"/>
      <c r="MTL21" s="292"/>
      <c r="MTM21" s="292"/>
      <c r="MTN21" s="292"/>
      <c r="MTO21" s="292"/>
      <c r="MTP21" s="292"/>
      <c r="MTQ21" s="292"/>
      <c r="MTR21" s="292"/>
      <c r="MTS21" s="292"/>
      <c r="MTT21" s="292"/>
      <c r="MTU21" s="292"/>
      <c r="MTV21" s="292"/>
      <c r="MTW21" s="292"/>
      <c r="MTX21" s="292"/>
      <c r="MTY21" s="292"/>
      <c r="MTZ21" s="292"/>
      <c r="MUA21" s="292"/>
      <c r="MUB21" s="292"/>
      <c r="MUC21" s="292"/>
      <c r="MUD21" s="292"/>
      <c r="MUE21" s="292"/>
      <c r="MUF21" s="292"/>
      <c r="MUG21" s="292"/>
      <c r="MUH21" s="292"/>
      <c r="MUI21" s="292"/>
      <c r="MUJ21" s="292"/>
      <c r="MUK21" s="292"/>
      <c r="MUL21" s="292"/>
      <c r="MUM21" s="292"/>
      <c r="MUN21" s="292"/>
      <c r="MUO21" s="292"/>
      <c r="MUP21" s="292"/>
      <c r="MUQ21" s="292"/>
      <c r="MUR21" s="292"/>
      <c r="MUS21" s="292"/>
      <c r="MUT21" s="292"/>
      <c r="MUU21" s="292"/>
      <c r="MUV21" s="292"/>
      <c r="MUW21" s="292"/>
      <c r="MUX21" s="292"/>
      <c r="MUY21" s="292"/>
      <c r="MUZ21" s="292"/>
      <c r="MVA21" s="292"/>
      <c r="MVB21" s="292"/>
      <c r="MVC21" s="292"/>
      <c r="MVD21" s="292"/>
      <c r="MVE21" s="292"/>
      <c r="MVF21" s="292"/>
      <c r="MVG21" s="292"/>
      <c r="MVH21" s="292"/>
      <c r="MVI21" s="292"/>
      <c r="MVJ21" s="292"/>
      <c r="MVK21" s="292"/>
      <c r="MVL21" s="292"/>
      <c r="MVM21" s="292"/>
      <c r="MVN21" s="292"/>
      <c r="MVO21" s="292"/>
      <c r="MVP21" s="292"/>
      <c r="MVQ21" s="292"/>
      <c r="MVR21" s="292"/>
      <c r="MVS21" s="292"/>
      <c r="MVT21" s="292"/>
      <c r="MVU21" s="292"/>
      <c r="MVV21" s="292"/>
      <c r="MVW21" s="292"/>
      <c r="MVX21" s="292"/>
      <c r="MVY21" s="292"/>
      <c r="MVZ21" s="292"/>
      <c r="MWA21" s="292"/>
      <c r="MWB21" s="292"/>
      <c r="MWC21" s="292"/>
      <c r="MWD21" s="292"/>
      <c r="MWE21" s="292"/>
      <c r="MWF21" s="292"/>
      <c r="MWG21" s="292"/>
      <c r="MWH21" s="292"/>
      <c r="MWI21" s="292"/>
      <c r="MWJ21" s="292"/>
      <c r="MWK21" s="292"/>
      <c r="MWL21" s="292"/>
      <c r="MWM21" s="292"/>
      <c r="MWN21" s="292"/>
      <c r="MWO21" s="292"/>
      <c r="MWP21" s="292"/>
      <c r="MWQ21" s="292"/>
      <c r="MWR21" s="292"/>
      <c r="MWS21" s="292"/>
      <c r="MWT21" s="292"/>
      <c r="MWU21" s="292"/>
      <c r="MWV21" s="292"/>
      <c r="MWW21" s="292"/>
      <c r="MWX21" s="292"/>
      <c r="MWY21" s="292"/>
      <c r="MWZ21" s="292"/>
      <c r="MXA21" s="292"/>
      <c r="MXB21" s="292"/>
      <c r="MXC21" s="292"/>
      <c r="MXD21" s="292"/>
      <c r="MXE21" s="292"/>
      <c r="MXF21" s="292"/>
      <c r="MXG21" s="292"/>
      <c r="MXH21" s="292"/>
      <c r="MXI21" s="292"/>
      <c r="MXJ21" s="292"/>
      <c r="MXK21" s="292"/>
      <c r="MXL21" s="292"/>
      <c r="MXM21" s="292"/>
      <c r="MXN21" s="292"/>
      <c r="MXO21" s="292"/>
      <c r="MXP21" s="292"/>
      <c r="MXQ21" s="292"/>
      <c r="MXR21" s="292"/>
      <c r="MXS21" s="292"/>
      <c r="MXT21" s="292"/>
      <c r="MXU21" s="292"/>
      <c r="MXV21" s="292"/>
      <c r="MXW21" s="292"/>
      <c r="MXX21" s="292"/>
      <c r="MXY21" s="292"/>
      <c r="MXZ21" s="292"/>
      <c r="MYA21" s="292"/>
      <c r="MYB21" s="292"/>
      <c r="MYC21" s="292"/>
      <c r="MYD21" s="292"/>
      <c r="MYE21" s="292"/>
      <c r="MYF21" s="292"/>
      <c r="MYG21" s="292"/>
      <c r="MYH21" s="292"/>
      <c r="MYI21" s="292"/>
      <c r="MYJ21" s="292"/>
      <c r="MYK21" s="292"/>
      <c r="MYL21" s="292"/>
      <c r="MYM21" s="292"/>
      <c r="MYN21" s="292"/>
      <c r="MYO21" s="292"/>
      <c r="MYP21" s="292"/>
      <c r="MYQ21" s="292"/>
      <c r="MYR21" s="292"/>
      <c r="MYS21" s="292"/>
      <c r="MYT21" s="292"/>
      <c r="MYU21" s="292"/>
      <c r="MYV21" s="292"/>
      <c r="MYW21" s="292"/>
      <c r="MYX21" s="292"/>
      <c r="MYY21" s="292"/>
      <c r="MYZ21" s="292"/>
      <c r="MZA21" s="292"/>
      <c r="MZB21" s="292"/>
      <c r="MZC21" s="292"/>
      <c r="MZD21" s="292"/>
      <c r="MZE21" s="292"/>
      <c r="MZF21" s="292"/>
      <c r="MZG21" s="292"/>
      <c r="MZH21" s="292"/>
      <c r="MZI21" s="292"/>
      <c r="MZJ21" s="292"/>
      <c r="MZK21" s="292"/>
      <c r="MZL21" s="292"/>
      <c r="MZM21" s="292"/>
      <c r="MZN21" s="292"/>
      <c r="MZO21" s="292"/>
      <c r="MZP21" s="292"/>
      <c r="MZQ21" s="292"/>
      <c r="MZR21" s="292"/>
      <c r="MZS21" s="292"/>
      <c r="MZT21" s="292"/>
      <c r="MZU21" s="292"/>
      <c r="MZV21" s="292"/>
      <c r="MZW21" s="292"/>
      <c r="MZX21" s="292"/>
      <c r="MZY21" s="292"/>
      <c r="MZZ21" s="292"/>
      <c r="NAA21" s="292"/>
      <c r="NAB21" s="292"/>
      <c r="NAC21" s="292"/>
      <c r="NAD21" s="292"/>
      <c r="NAE21" s="292"/>
      <c r="NAF21" s="292"/>
      <c r="NAG21" s="292"/>
      <c r="NAH21" s="292"/>
      <c r="NAI21" s="292"/>
      <c r="NAJ21" s="292"/>
      <c r="NAK21" s="292"/>
      <c r="NAL21" s="292"/>
      <c r="NAM21" s="292"/>
      <c r="NAN21" s="292"/>
      <c r="NAO21" s="292"/>
      <c r="NAP21" s="292"/>
      <c r="NAQ21" s="292"/>
      <c r="NAR21" s="292"/>
      <c r="NAS21" s="292"/>
      <c r="NAT21" s="292"/>
      <c r="NAU21" s="292"/>
      <c r="NAV21" s="292"/>
      <c r="NAW21" s="292"/>
      <c r="NAX21" s="292"/>
      <c r="NAY21" s="292"/>
      <c r="NAZ21" s="292"/>
      <c r="NBA21" s="292"/>
      <c r="NBB21" s="292"/>
      <c r="NBC21" s="292"/>
      <c r="NBD21" s="292"/>
      <c r="NBE21" s="292"/>
      <c r="NBF21" s="292"/>
      <c r="NBG21" s="292"/>
      <c r="NBH21" s="292"/>
      <c r="NBI21" s="292"/>
      <c r="NBJ21" s="292"/>
      <c r="NBK21" s="292"/>
      <c r="NBL21" s="292"/>
      <c r="NBM21" s="292"/>
      <c r="NBN21" s="292"/>
      <c r="NBO21" s="292"/>
      <c r="NBP21" s="292"/>
      <c r="NBQ21" s="292"/>
      <c r="NBR21" s="292"/>
      <c r="NBS21" s="292"/>
      <c r="NBT21" s="292"/>
      <c r="NBU21" s="292"/>
      <c r="NBV21" s="292"/>
      <c r="NBW21" s="292"/>
      <c r="NBX21" s="292"/>
      <c r="NBY21" s="292"/>
      <c r="NBZ21" s="292"/>
      <c r="NCA21" s="292"/>
      <c r="NCB21" s="292"/>
      <c r="NCC21" s="292"/>
      <c r="NCD21" s="292"/>
      <c r="NCE21" s="292"/>
      <c r="NCF21" s="292"/>
      <c r="NCG21" s="292"/>
      <c r="NCH21" s="292"/>
      <c r="NCI21" s="292"/>
      <c r="NCJ21" s="292"/>
      <c r="NCK21" s="292"/>
      <c r="NCL21" s="292"/>
      <c r="NCM21" s="292"/>
      <c r="NCN21" s="292"/>
      <c r="NCO21" s="292"/>
      <c r="NCP21" s="292"/>
      <c r="NCQ21" s="292"/>
      <c r="NCR21" s="292"/>
      <c r="NCS21" s="292"/>
      <c r="NCT21" s="292"/>
      <c r="NCU21" s="292"/>
      <c r="NCV21" s="292"/>
      <c r="NCW21" s="292"/>
      <c r="NCX21" s="292"/>
      <c r="NCY21" s="292"/>
      <c r="NCZ21" s="292"/>
      <c r="NDA21" s="292"/>
      <c r="NDB21" s="292"/>
      <c r="NDC21" s="292"/>
      <c r="NDD21" s="292"/>
      <c r="NDE21" s="292"/>
      <c r="NDF21" s="292"/>
      <c r="NDG21" s="292"/>
      <c r="NDH21" s="292"/>
      <c r="NDI21" s="292"/>
      <c r="NDJ21" s="292"/>
      <c r="NDK21" s="292"/>
      <c r="NDL21" s="292"/>
      <c r="NDM21" s="292"/>
      <c r="NDN21" s="292"/>
      <c r="NDO21" s="292"/>
      <c r="NDP21" s="292"/>
      <c r="NDQ21" s="292"/>
      <c r="NDR21" s="292"/>
      <c r="NDS21" s="292"/>
      <c r="NDT21" s="292"/>
      <c r="NDU21" s="292"/>
      <c r="NDV21" s="292"/>
      <c r="NDW21" s="292"/>
      <c r="NDX21" s="292"/>
      <c r="NDY21" s="292"/>
      <c r="NDZ21" s="292"/>
      <c r="NEA21" s="292"/>
      <c r="NEB21" s="292"/>
      <c r="NEC21" s="292"/>
      <c r="NED21" s="292"/>
      <c r="NEE21" s="292"/>
      <c r="NEF21" s="292"/>
      <c r="NEG21" s="292"/>
      <c r="NEH21" s="292"/>
      <c r="NEI21" s="292"/>
      <c r="NEJ21" s="292"/>
      <c r="NEK21" s="292"/>
      <c r="NEL21" s="292"/>
      <c r="NEM21" s="292"/>
      <c r="NEN21" s="292"/>
      <c r="NEO21" s="292"/>
      <c r="NEP21" s="292"/>
      <c r="NEQ21" s="292"/>
      <c r="NER21" s="292"/>
      <c r="NES21" s="292"/>
      <c r="NET21" s="292"/>
      <c r="NEU21" s="292"/>
      <c r="NEV21" s="292"/>
      <c r="NEW21" s="292"/>
      <c r="NEX21" s="292"/>
      <c r="NEY21" s="292"/>
      <c r="NEZ21" s="292"/>
      <c r="NFA21" s="292"/>
      <c r="NFB21" s="292"/>
      <c r="NFC21" s="292"/>
      <c r="NFD21" s="292"/>
      <c r="NFE21" s="292"/>
      <c r="NFF21" s="292"/>
      <c r="NFG21" s="292"/>
      <c r="NFH21" s="292"/>
      <c r="NFI21" s="292"/>
      <c r="NFJ21" s="292"/>
      <c r="NFK21" s="292"/>
      <c r="NFL21" s="292"/>
      <c r="NFM21" s="292"/>
      <c r="NFN21" s="292"/>
      <c r="NFO21" s="292"/>
      <c r="NFP21" s="292"/>
      <c r="NFQ21" s="292"/>
      <c r="NFR21" s="292"/>
      <c r="NFS21" s="292"/>
      <c r="NFT21" s="292"/>
      <c r="NFU21" s="292"/>
      <c r="NFV21" s="292"/>
      <c r="NFW21" s="292"/>
      <c r="NFX21" s="292"/>
      <c r="NFY21" s="292"/>
      <c r="NFZ21" s="292"/>
      <c r="NGA21" s="292"/>
      <c r="NGB21" s="292"/>
      <c r="NGC21" s="292"/>
      <c r="NGD21" s="292"/>
      <c r="NGE21" s="292"/>
      <c r="NGF21" s="292"/>
      <c r="NGG21" s="292"/>
      <c r="NGH21" s="292"/>
      <c r="NGI21" s="292"/>
      <c r="NGJ21" s="292"/>
      <c r="NGK21" s="292"/>
      <c r="NGL21" s="292"/>
      <c r="NGM21" s="292"/>
      <c r="NGN21" s="292"/>
      <c r="NGO21" s="292"/>
      <c r="NGP21" s="292"/>
      <c r="NGQ21" s="292"/>
      <c r="NGR21" s="292"/>
      <c r="NGS21" s="292"/>
      <c r="NGT21" s="292"/>
      <c r="NGU21" s="292"/>
      <c r="NGV21" s="292"/>
      <c r="NGW21" s="292"/>
      <c r="NGX21" s="292"/>
      <c r="NGY21" s="292"/>
      <c r="NGZ21" s="292"/>
      <c r="NHA21" s="292"/>
      <c r="NHB21" s="292"/>
      <c r="NHC21" s="292"/>
      <c r="NHD21" s="292"/>
      <c r="NHE21" s="292"/>
      <c r="NHF21" s="292"/>
      <c r="NHG21" s="292"/>
      <c r="NHH21" s="292"/>
      <c r="NHI21" s="292"/>
      <c r="NHJ21" s="292"/>
      <c r="NHK21" s="292"/>
      <c r="NHL21" s="292"/>
      <c r="NHM21" s="292"/>
      <c r="NHN21" s="292"/>
      <c r="NHO21" s="292"/>
      <c r="NHP21" s="292"/>
      <c r="NHQ21" s="292"/>
      <c r="NHR21" s="292"/>
      <c r="NHS21" s="292"/>
      <c r="NHT21" s="292"/>
      <c r="NHU21" s="292"/>
      <c r="NHV21" s="292"/>
      <c r="NHW21" s="292"/>
      <c r="NHX21" s="292"/>
      <c r="NHY21" s="292"/>
      <c r="NHZ21" s="292"/>
      <c r="NIA21" s="292"/>
      <c r="NIB21" s="292"/>
      <c r="NIC21" s="292"/>
      <c r="NID21" s="292"/>
      <c r="NIE21" s="292"/>
      <c r="NIF21" s="292"/>
      <c r="NIG21" s="292"/>
      <c r="NIH21" s="292"/>
      <c r="NII21" s="292"/>
      <c r="NIJ21" s="292"/>
      <c r="NIK21" s="292"/>
      <c r="NIL21" s="292"/>
      <c r="NIM21" s="292"/>
      <c r="NIN21" s="292"/>
      <c r="NIO21" s="292"/>
      <c r="NIP21" s="292"/>
      <c r="NIQ21" s="292"/>
      <c r="NIR21" s="292"/>
      <c r="NIS21" s="292"/>
      <c r="NIT21" s="292"/>
      <c r="NIU21" s="292"/>
      <c r="NIV21" s="292"/>
      <c r="NIW21" s="292"/>
      <c r="NIX21" s="292"/>
      <c r="NIY21" s="292"/>
      <c r="NIZ21" s="292"/>
      <c r="NJA21" s="292"/>
      <c r="NJB21" s="292"/>
      <c r="NJC21" s="292"/>
      <c r="NJD21" s="292"/>
      <c r="NJE21" s="292"/>
      <c r="NJF21" s="292"/>
      <c r="NJG21" s="292"/>
      <c r="NJH21" s="292"/>
      <c r="NJI21" s="292"/>
      <c r="NJJ21" s="292"/>
      <c r="NJK21" s="292"/>
      <c r="NJL21" s="292"/>
      <c r="NJM21" s="292"/>
      <c r="NJN21" s="292"/>
      <c r="NJO21" s="292"/>
      <c r="NJP21" s="292"/>
      <c r="NJQ21" s="292"/>
      <c r="NJR21" s="292"/>
      <c r="NJS21" s="292"/>
      <c r="NJT21" s="292"/>
      <c r="NJU21" s="292"/>
      <c r="NJV21" s="292"/>
      <c r="NJW21" s="292"/>
      <c r="NJX21" s="292"/>
      <c r="NJY21" s="292"/>
      <c r="NJZ21" s="292"/>
      <c r="NKA21" s="292"/>
      <c r="NKB21" s="292"/>
      <c r="NKC21" s="292"/>
      <c r="NKD21" s="292"/>
      <c r="NKE21" s="292"/>
      <c r="NKF21" s="292"/>
      <c r="NKG21" s="292"/>
      <c r="NKH21" s="292"/>
      <c r="NKI21" s="292"/>
      <c r="NKJ21" s="292"/>
      <c r="NKK21" s="292"/>
      <c r="NKL21" s="292"/>
      <c r="NKM21" s="292"/>
      <c r="NKN21" s="292"/>
      <c r="NKO21" s="292"/>
      <c r="NKP21" s="292"/>
      <c r="NKQ21" s="292"/>
      <c r="NKR21" s="292"/>
      <c r="NKS21" s="292"/>
      <c r="NKT21" s="292"/>
      <c r="NKU21" s="292"/>
      <c r="NKV21" s="292"/>
      <c r="NKW21" s="292"/>
      <c r="NKX21" s="292"/>
      <c r="NKY21" s="292"/>
      <c r="NKZ21" s="292"/>
      <c r="NLA21" s="292"/>
      <c r="NLB21" s="292"/>
      <c r="NLC21" s="292"/>
      <c r="NLD21" s="292"/>
      <c r="NLE21" s="292"/>
      <c r="NLF21" s="292"/>
      <c r="NLG21" s="292"/>
      <c r="NLH21" s="292"/>
      <c r="NLI21" s="292"/>
      <c r="NLJ21" s="292"/>
      <c r="NLK21" s="292"/>
      <c r="NLL21" s="292"/>
      <c r="NLM21" s="292"/>
      <c r="NLN21" s="292"/>
      <c r="NLO21" s="292"/>
      <c r="NLP21" s="292"/>
      <c r="NLQ21" s="292"/>
      <c r="NLR21" s="292"/>
      <c r="NLS21" s="292"/>
      <c r="NLT21" s="292"/>
      <c r="NLU21" s="292"/>
      <c r="NLV21" s="292"/>
      <c r="NLW21" s="292"/>
      <c r="NLX21" s="292"/>
      <c r="NLY21" s="292"/>
      <c r="NLZ21" s="292"/>
      <c r="NMA21" s="292"/>
      <c r="NMB21" s="292"/>
      <c r="NMC21" s="292"/>
      <c r="NMD21" s="292"/>
      <c r="NME21" s="292"/>
      <c r="NMF21" s="292"/>
      <c r="NMG21" s="292"/>
      <c r="NMH21" s="292"/>
      <c r="NMI21" s="292"/>
      <c r="NMJ21" s="292"/>
      <c r="NMK21" s="292"/>
      <c r="NML21" s="292"/>
      <c r="NMM21" s="292"/>
      <c r="NMN21" s="292"/>
      <c r="NMO21" s="292"/>
      <c r="NMP21" s="292"/>
      <c r="NMQ21" s="292"/>
      <c r="NMR21" s="292"/>
      <c r="NMS21" s="292"/>
      <c r="NMT21" s="292"/>
      <c r="NMU21" s="292"/>
      <c r="NMV21" s="292"/>
      <c r="NMW21" s="292"/>
      <c r="NMX21" s="292"/>
      <c r="NMY21" s="292"/>
      <c r="NMZ21" s="292"/>
      <c r="NNA21" s="292"/>
      <c r="NNB21" s="292"/>
      <c r="NNC21" s="292"/>
      <c r="NND21" s="292"/>
      <c r="NNE21" s="292"/>
      <c r="NNF21" s="292"/>
      <c r="NNG21" s="292"/>
      <c r="NNH21" s="292"/>
      <c r="NNI21" s="292"/>
      <c r="NNJ21" s="292"/>
      <c r="NNK21" s="292"/>
      <c r="NNL21" s="292"/>
      <c r="NNM21" s="292"/>
      <c r="NNN21" s="292"/>
      <c r="NNO21" s="292"/>
      <c r="NNP21" s="292"/>
      <c r="NNQ21" s="292"/>
      <c r="NNR21" s="292"/>
      <c r="NNS21" s="292"/>
      <c r="NNT21" s="292"/>
      <c r="NNU21" s="292"/>
      <c r="NNV21" s="292"/>
      <c r="NNW21" s="292"/>
      <c r="NNX21" s="292"/>
      <c r="NNY21" s="292"/>
      <c r="NNZ21" s="292"/>
      <c r="NOA21" s="292"/>
      <c r="NOB21" s="292"/>
      <c r="NOC21" s="292"/>
      <c r="NOD21" s="292"/>
      <c r="NOE21" s="292"/>
      <c r="NOF21" s="292"/>
      <c r="NOG21" s="292"/>
      <c r="NOH21" s="292"/>
      <c r="NOI21" s="292"/>
      <c r="NOJ21" s="292"/>
      <c r="NOK21" s="292"/>
      <c r="NOL21" s="292"/>
      <c r="NOM21" s="292"/>
      <c r="NON21" s="292"/>
      <c r="NOO21" s="292"/>
      <c r="NOP21" s="292"/>
      <c r="NOQ21" s="292"/>
      <c r="NOR21" s="292"/>
      <c r="NOS21" s="292"/>
      <c r="NOT21" s="292"/>
      <c r="NOU21" s="292"/>
      <c r="NOV21" s="292"/>
      <c r="NOW21" s="292"/>
      <c r="NOX21" s="292"/>
      <c r="NOY21" s="292"/>
      <c r="NOZ21" s="292"/>
      <c r="NPA21" s="292"/>
      <c r="NPB21" s="292"/>
      <c r="NPC21" s="292"/>
      <c r="NPD21" s="292"/>
      <c r="NPE21" s="292"/>
      <c r="NPF21" s="292"/>
      <c r="NPG21" s="292"/>
      <c r="NPH21" s="292"/>
      <c r="NPI21" s="292"/>
      <c r="NPJ21" s="292"/>
      <c r="NPK21" s="292"/>
      <c r="NPL21" s="292"/>
      <c r="NPM21" s="292"/>
      <c r="NPN21" s="292"/>
      <c r="NPO21" s="292"/>
      <c r="NPP21" s="292"/>
      <c r="NPQ21" s="292"/>
      <c r="NPR21" s="292"/>
      <c r="NPS21" s="292"/>
      <c r="NPT21" s="292"/>
      <c r="NPU21" s="292"/>
      <c r="NPV21" s="292"/>
      <c r="NPW21" s="292"/>
      <c r="NPX21" s="292"/>
      <c r="NPY21" s="292"/>
      <c r="NPZ21" s="292"/>
      <c r="NQA21" s="292"/>
      <c r="NQB21" s="292"/>
      <c r="NQC21" s="292"/>
      <c r="NQD21" s="292"/>
      <c r="NQE21" s="292"/>
      <c r="NQF21" s="292"/>
      <c r="NQG21" s="292"/>
      <c r="NQH21" s="292"/>
      <c r="NQI21" s="292"/>
      <c r="NQJ21" s="292"/>
      <c r="NQK21" s="292"/>
      <c r="NQL21" s="292"/>
      <c r="NQM21" s="292"/>
      <c r="NQN21" s="292"/>
      <c r="NQO21" s="292"/>
      <c r="NQP21" s="292"/>
      <c r="NQQ21" s="292"/>
      <c r="NQR21" s="292"/>
      <c r="NQS21" s="292"/>
      <c r="NQT21" s="292"/>
      <c r="NQU21" s="292"/>
      <c r="NQV21" s="292"/>
      <c r="NQW21" s="292"/>
      <c r="NQX21" s="292"/>
      <c r="NQY21" s="292"/>
      <c r="NQZ21" s="292"/>
      <c r="NRA21" s="292"/>
      <c r="NRB21" s="292"/>
      <c r="NRC21" s="292"/>
      <c r="NRD21" s="292"/>
      <c r="NRE21" s="292"/>
      <c r="NRF21" s="292"/>
      <c r="NRG21" s="292"/>
      <c r="NRH21" s="292"/>
      <c r="NRI21" s="292"/>
      <c r="NRJ21" s="292"/>
      <c r="NRK21" s="292"/>
      <c r="NRL21" s="292"/>
      <c r="NRM21" s="292"/>
      <c r="NRN21" s="292"/>
      <c r="NRO21" s="292"/>
      <c r="NRP21" s="292"/>
      <c r="NRQ21" s="292"/>
      <c r="NRR21" s="292"/>
      <c r="NRS21" s="292"/>
      <c r="NRT21" s="292"/>
      <c r="NRU21" s="292"/>
      <c r="NRV21" s="292"/>
      <c r="NRW21" s="292"/>
      <c r="NRX21" s="292"/>
      <c r="NRY21" s="292"/>
      <c r="NRZ21" s="292"/>
      <c r="NSA21" s="292"/>
      <c r="NSB21" s="292"/>
      <c r="NSC21" s="292"/>
      <c r="NSD21" s="292"/>
      <c r="NSE21" s="292"/>
      <c r="NSF21" s="292"/>
      <c r="NSG21" s="292"/>
      <c r="NSH21" s="292"/>
      <c r="NSI21" s="292"/>
      <c r="NSJ21" s="292"/>
      <c r="NSK21" s="292"/>
      <c r="NSL21" s="292"/>
      <c r="NSM21" s="292"/>
      <c r="NSN21" s="292"/>
      <c r="NSO21" s="292"/>
      <c r="NSP21" s="292"/>
      <c r="NSQ21" s="292"/>
      <c r="NSR21" s="292"/>
      <c r="NSS21" s="292"/>
      <c r="NST21" s="292"/>
      <c r="NSU21" s="292"/>
      <c r="NSV21" s="292"/>
      <c r="NSW21" s="292"/>
      <c r="NSX21" s="292"/>
      <c r="NSY21" s="292"/>
      <c r="NSZ21" s="292"/>
      <c r="NTA21" s="292"/>
      <c r="NTB21" s="292"/>
      <c r="NTC21" s="292"/>
      <c r="NTD21" s="292"/>
      <c r="NTE21" s="292"/>
      <c r="NTF21" s="292"/>
      <c r="NTG21" s="292"/>
      <c r="NTH21" s="292"/>
      <c r="NTI21" s="292"/>
      <c r="NTJ21" s="292"/>
      <c r="NTK21" s="292"/>
      <c r="NTL21" s="292"/>
      <c r="NTM21" s="292"/>
      <c r="NTN21" s="292"/>
      <c r="NTO21" s="292"/>
      <c r="NTP21" s="292"/>
      <c r="NTQ21" s="292"/>
      <c r="NTR21" s="292"/>
      <c r="NTS21" s="292"/>
      <c r="NTT21" s="292"/>
      <c r="NTU21" s="292"/>
      <c r="NTV21" s="292"/>
      <c r="NTW21" s="292"/>
      <c r="NTX21" s="292"/>
      <c r="NTY21" s="292"/>
      <c r="NTZ21" s="292"/>
      <c r="NUA21" s="292"/>
      <c r="NUB21" s="292"/>
      <c r="NUC21" s="292"/>
      <c r="NUD21" s="292"/>
      <c r="NUE21" s="292"/>
      <c r="NUF21" s="292"/>
      <c r="NUG21" s="292"/>
      <c r="NUH21" s="292"/>
      <c r="NUI21" s="292"/>
      <c r="NUJ21" s="292"/>
      <c r="NUK21" s="292"/>
      <c r="NUL21" s="292"/>
      <c r="NUM21" s="292"/>
      <c r="NUN21" s="292"/>
      <c r="NUO21" s="292"/>
      <c r="NUP21" s="292"/>
      <c r="NUQ21" s="292"/>
      <c r="NUR21" s="292"/>
      <c r="NUS21" s="292"/>
      <c r="NUT21" s="292"/>
      <c r="NUU21" s="292"/>
      <c r="NUV21" s="292"/>
      <c r="NUW21" s="292"/>
      <c r="NUX21" s="292"/>
      <c r="NUY21" s="292"/>
      <c r="NUZ21" s="292"/>
      <c r="NVA21" s="292"/>
      <c r="NVB21" s="292"/>
      <c r="NVC21" s="292"/>
      <c r="NVD21" s="292"/>
      <c r="NVE21" s="292"/>
      <c r="NVF21" s="292"/>
      <c r="NVG21" s="292"/>
      <c r="NVH21" s="292"/>
      <c r="NVI21" s="292"/>
      <c r="NVJ21" s="292"/>
      <c r="NVK21" s="292"/>
      <c r="NVL21" s="292"/>
      <c r="NVM21" s="292"/>
      <c r="NVN21" s="292"/>
      <c r="NVO21" s="292"/>
      <c r="NVP21" s="292"/>
      <c r="NVQ21" s="292"/>
      <c r="NVR21" s="292"/>
      <c r="NVS21" s="292"/>
      <c r="NVT21" s="292"/>
      <c r="NVU21" s="292"/>
      <c r="NVV21" s="292"/>
      <c r="NVW21" s="292"/>
      <c r="NVX21" s="292"/>
      <c r="NVY21" s="292"/>
      <c r="NVZ21" s="292"/>
      <c r="NWA21" s="292"/>
      <c r="NWB21" s="292"/>
      <c r="NWC21" s="292"/>
      <c r="NWD21" s="292"/>
      <c r="NWE21" s="292"/>
      <c r="NWF21" s="292"/>
      <c r="NWG21" s="292"/>
      <c r="NWH21" s="292"/>
      <c r="NWI21" s="292"/>
      <c r="NWJ21" s="292"/>
      <c r="NWK21" s="292"/>
      <c r="NWL21" s="292"/>
      <c r="NWM21" s="292"/>
      <c r="NWN21" s="292"/>
      <c r="NWO21" s="292"/>
      <c r="NWP21" s="292"/>
      <c r="NWQ21" s="292"/>
      <c r="NWR21" s="292"/>
      <c r="NWS21" s="292"/>
      <c r="NWT21" s="292"/>
      <c r="NWU21" s="292"/>
      <c r="NWV21" s="292"/>
      <c r="NWW21" s="292"/>
      <c r="NWX21" s="292"/>
      <c r="NWY21" s="292"/>
      <c r="NWZ21" s="292"/>
      <c r="NXA21" s="292"/>
      <c r="NXB21" s="292"/>
      <c r="NXC21" s="292"/>
      <c r="NXD21" s="292"/>
      <c r="NXE21" s="292"/>
      <c r="NXF21" s="292"/>
      <c r="NXG21" s="292"/>
      <c r="NXH21" s="292"/>
      <c r="NXI21" s="292"/>
      <c r="NXJ21" s="292"/>
      <c r="NXK21" s="292"/>
      <c r="NXL21" s="292"/>
      <c r="NXM21" s="292"/>
      <c r="NXN21" s="292"/>
      <c r="NXO21" s="292"/>
      <c r="NXP21" s="292"/>
      <c r="NXQ21" s="292"/>
      <c r="NXR21" s="292"/>
      <c r="NXS21" s="292"/>
      <c r="NXT21" s="292"/>
      <c r="NXU21" s="292"/>
      <c r="NXV21" s="292"/>
      <c r="NXW21" s="292"/>
      <c r="NXX21" s="292"/>
      <c r="NXY21" s="292"/>
      <c r="NXZ21" s="292"/>
      <c r="NYA21" s="292"/>
      <c r="NYB21" s="292"/>
      <c r="NYC21" s="292"/>
      <c r="NYD21" s="292"/>
      <c r="NYE21" s="292"/>
      <c r="NYF21" s="292"/>
      <c r="NYG21" s="292"/>
      <c r="NYH21" s="292"/>
      <c r="NYI21" s="292"/>
      <c r="NYJ21" s="292"/>
      <c r="NYK21" s="292"/>
      <c r="NYL21" s="292"/>
      <c r="NYM21" s="292"/>
      <c r="NYN21" s="292"/>
      <c r="NYO21" s="292"/>
      <c r="NYP21" s="292"/>
      <c r="NYQ21" s="292"/>
      <c r="NYR21" s="292"/>
      <c r="NYS21" s="292"/>
      <c r="NYT21" s="292"/>
      <c r="NYU21" s="292"/>
      <c r="NYV21" s="292"/>
      <c r="NYW21" s="292"/>
      <c r="NYX21" s="292"/>
      <c r="NYY21" s="292"/>
      <c r="NYZ21" s="292"/>
      <c r="NZA21" s="292"/>
      <c r="NZB21" s="292"/>
      <c r="NZC21" s="292"/>
      <c r="NZD21" s="292"/>
      <c r="NZE21" s="292"/>
      <c r="NZF21" s="292"/>
      <c r="NZG21" s="292"/>
      <c r="NZH21" s="292"/>
      <c r="NZI21" s="292"/>
      <c r="NZJ21" s="292"/>
      <c r="NZK21" s="292"/>
      <c r="NZL21" s="292"/>
      <c r="NZM21" s="292"/>
      <c r="NZN21" s="292"/>
      <c r="NZO21" s="292"/>
      <c r="NZP21" s="292"/>
      <c r="NZQ21" s="292"/>
      <c r="NZR21" s="292"/>
      <c r="NZS21" s="292"/>
      <c r="NZT21" s="292"/>
      <c r="NZU21" s="292"/>
      <c r="NZV21" s="292"/>
      <c r="NZW21" s="292"/>
      <c r="NZX21" s="292"/>
      <c r="NZY21" s="292"/>
      <c r="NZZ21" s="292"/>
      <c r="OAA21" s="292"/>
      <c r="OAB21" s="292"/>
      <c r="OAC21" s="292"/>
      <c r="OAD21" s="292"/>
      <c r="OAE21" s="292"/>
      <c r="OAF21" s="292"/>
      <c r="OAG21" s="292"/>
      <c r="OAH21" s="292"/>
      <c r="OAI21" s="292"/>
      <c r="OAJ21" s="292"/>
      <c r="OAK21" s="292"/>
      <c r="OAL21" s="292"/>
      <c r="OAM21" s="292"/>
      <c r="OAN21" s="292"/>
      <c r="OAO21" s="292"/>
      <c r="OAP21" s="292"/>
      <c r="OAQ21" s="292"/>
      <c r="OAR21" s="292"/>
      <c r="OAS21" s="292"/>
      <c r="OAT21" s="292"/>
      <c r="OAU21" s="292"/>
      <c r="OAV21" s="292"/>
      <c r="OAW21" s="292"/>
      <c r="OAX21" s="292"/>
      <c r="OAY21" s="292"/>
      <c r="OAZ21" s="292"/>
      <c r="OBA21" s="292"/>
      <c r="OBB21" s="292"/>
      <c r="OBC21" s="292"/>
      <c r="OBD21" s="292"/>
      <c r="OBE21" s="292"/>
      <c r="OBF21" s="292"/>
      <c r="OBG21" s="292"/>
      <c r="OBH21" s="292"/>
      <c r="OBI21" s="292"/>
      <c r="OBJ21" s="292"/>
      <c r="OBK21" s="292"/>
      <c r="OBL21" s="292"/>
      <c r="OBM21" s="292"/>
      <c r="OBN21" s="292"/>
      <c r="OBO21" s="292"/>
      <c r="OBP21" s="292"/>
      <c r="OBQ21" s="292"/>
      <c r="OBR21" s="292"/>
      <c r="OBS21" s="292"/>
      <c r="OBT21" s="292"/>
      <c r="OBU21" s="292"/>
      <c r="OBV21" s="292"/>
      <c r="OBW21" s="292"/>
      <c r="OBX21" s="292"/>
      <c r="OBY21" s="292"/>
      <c r="OBZ21" s="292"/>
      <c r="OCA21" s="292"/>
      <c r="OCB21" s="292"/>
      <c r="OCC21" s="292"/>
      <c r="OCD21" s="292"/>
      <c r="OCE21" s="292"/>
      <c r="OCF21" s="292"/>
      <c r="OCG21" s="292"/>
      <c r="OCH21" s="292"/>
      <c r="OCI21" s="292"/>
      <c r="OCJ21" s="292"/>
      <c r="OCK21" s="292"/>
      <c r="OCL21" s="292"/>
      <c r="OCM21" s="292"/>
      <c r="OCN21" s="292"/>
      <c r="OCO21" s="292"/>
      <c r="OCP21" s="292"/>
      <c r="OCQ21" s="292"/>
      <c r="OCR21" s="292"/>
      <c r="OCS21" s="292"/>
      <c r="OCT21" s="292"/>
      <c r="OCU21" s="292"/>
      <c r="OCV21" s="292"/>
      <c r="OCW21" s="292"/>
      <c r="OCX21" s="292"/>
      <c r="OCY21" s="292"/>
      <c r="OCZ21" s="292"/>
      <c r="ODA21" s="292"/>
      <c r="ODB21" s="292"/>
      <c r="ODC21" s="292"/>
      <c r="ODD21" s="292"/>
      <c r="ODE21" s="292"/>
      <c r="ODF21" s="292"/>
      <c r="ODG21" s="292"/>
      <c r="ODH21" s="292"/>
      <c r="ODI21" s="292"/>
      <c r="ODJ21" s="292"/>
      <c r="ODK21" s="292"/>
      <c r="ODL21" s="292"/>
      <c r="ODM21" s="292"/>
      <c r="ODN21" s="292"/>
      <c r="ODO21" s="292"/>
      <c r="ODP21" s="292"/>
      <c r="ODQ21" s="292"/>
      <c r="ODR21" s="292"/>
      <c r="ODS21" s="292"/>
      <c r="ODT21" s="292"/>
      <c r="ODU21" s="292"/>
      <c r="ODV21" s="292"/>
      <c r="ODW21" s="292"/>
      <c r="ODX21" s="292"/>
      <c r="ODY21" s="292"/>
      <c r="ODZ21" s="292"/>
      <c r="OEA21" s="292"/>
      <c r="OEB21" s="292"/>
      <c r="OEC21" s="292"/>
      <c r="OED21" s="292"/>
      <c r="OEE21" s="292"/>
      <c r="OEF21" s="292"/>
      <c r="OEG21" s="292"/>
      <c r="OEH21" s="292"/>
      <c r="OEI21" s="292"/>
      <c r="OEJ21" s="292"/>
      <c r="OEK21" s="292"/>
      <c r="OEL21" s="292"/>
      <c r="OEM21" s="292"/>
      <c r="OEN21" s="292"/>
      <c r="OEO21" s="292"/>
      <c r="OEP21" s="292"/>
      <c r="OEQ21" s="292"/>
      <c r="OER21" s="292"/>
      <c r="OES21" s="292"/>
      <c r="OET21" s="292"/>
      <c r="OEU21" s="292"/>
      <c r="OEV21" s="292"/>
      <c r="OEW21" s="292"/>
      <c r="OEX21" s="292"/>
      <c r="OEY21" s="292"/>
      <c r="OEZ21" s="292"/>
      <c r="OFA21" s="292"/>
      <c r="OFB21" s="292"/>
      <c r="OFC21" s="292"/>
      <c r="OFD21" s="292"/>
      <c r="OFE21" s="292"/>
      <c r="OFF21" s="292"/>
      <c r="OFG21" s="292"/>
      <c r="OFH21" s="292"/>
      <c r="OFI21" s="292"/>
      <c r="OFJ21" s="292"/>
      <c r="OFK21" s="292"/>
      <c r="OFL21" s="292"/>
      <c r="OFM21" s="292"/>
      <c r="OFN21" s="292"/>
      <c r="OFO21" s="292"/>
      <c r="OFP21" s="292"/>
      <c r="OFQ21" s="292"/>
      <c r="OFR21" s="292"/>
      <c r="OFS21" s="292"/>
      <c r="OFT21" s="292"/>
      <c r="OFU21" s="292"/>
      <c r="OFV21" s="292"/>
      <c r="OFW21" s="292"/>
      <c r="OFX21" s="292"/>
      <c r="OFY21" s="292"/>
      <c r="OFZ21" s="292"/>
      <c r="OGA21" s="292"/>
      <c r="OGB21" s="292"/>
      <c r="OGC21" s="292"/>
      <c r="OGD21" s="292"/>
      <c r="OGE21" s="292"/>
      <c r="OGF21" s="292"/>
      <c r="OGG21" s="292"/>
      <c r="OGH21" s="292"/>
      <c r="OGI21" s="292"/>
      <c r="OGJ21" s="292"/>
      <c r="OGK21" s="292"/>
      <c r="OGL21" s="292"/>
      <c r="OGM21" s="292"/>
      <c r="OGN21" s="292"/>
      <c r="OGO21" s="292"/>
      <c r="OGP21" s="292"/>
      <c r="OGQ21" s="292"/>
      <c r="OGR21" s="292"/>
      <c r="OGS21" s="292"/>
      <c r="OGT21" s="292"/>
      <c r="OGU21" s="292"/>
      <c r="OGV21" s="292"/>
      <c r="OGW21" s="292"/>
      <c r="OGX21" s="292"/>
      <c r="OGY21" s="292"/>
      <c r="OGZ21" s="292"/>
      <c r="OHA21" s="292"/>
      <c r="OHB21" s="292"/>
      <c r="OHC21" s="292"/>
      <c r="OHD21" s="292"/>
      <c r="OHE21" s="292"/>
      <c r="OHF21" s="292"/>
      <c r="OHG21" s="292"/>
      <c r="OHH21" s="292"/>
      <c r="OHI21" s="292"/>
      <c r="OHJ21" s="292"/>
      <c r="OHK21" s="292"/>
      <c r="OHL21" s="292"/>
      <c r="OHM21" s="292"/>
      <c r="OHN21" s="292"/>
      <c r="OHO21" s="292"/>
      <c r="OHP21" s="292"/>
      <c r="OHQ21" s="292"/>
      <c r="OHR21" s="292"/>
      <c r="OHS21" s="292"/>
      <c r="OHT21" s="292"/>
      <c r="OHU21" s="292"/>
      <c r="OHV21" s="292"/>
      <c r="OHW21" s="292"/>
      <c r="OHX21" s="292"/>
      <c r="OHY21" s="292"/>
      <c r="OHZ21" s="292"/>
      <c r="OIA21" s="292"/>
      <c r="OIB21" s="292"/>
      <c r="OIC21" s="292"/>
      <c r="OID21" s="292"/>
      <c r="OIE21" s="292"/>
      <c r="OIF21" s="292"/>
      <c r="OIG21" s="292"/>
      <c r="OIH21" s="292"/>
      <c r="OII21" s="292"/>
      <c r="OIJ21" s="292"/>
      <c r="OIK21" s="292"/>
      <c r="OIL21" s="292"/>
      <c r="OIM21" s="292"/>
      <c r="OIN21" s="292"/>
      <c r="OIO21" s="292"/>
      <c r="OIP21" s="292"/>
      <c r="OIQ21" s="292"/>
      <c r="OIR21" s="292"/>
      <c r="OIS21" s="292"/>
      <c r="OIT21" s="292"/>
      <c r="OIU21" s="292"/>
      <c r="OIV21" s="292"/>
      <c r="OIW21" s="292"/>
      <c r="OIX21" s="292"/>
      <c r="OIY21" s="292"/>
      <c r="OIZ21" s="292"/>
      <c r="OJA21" s="292"/>
      <c r="OJB21" s="292"/>
      <c r="OJC21" s="292"/>
      <c r="OJD21" s="292"/>
      <c r="OJE21" s="292"/>
      <c r="OJF21" s="292"/>
      <c r="OJG21" s="292"/>
      <c r="OJH21" s="292"/>
      <c r="OJI21" s="292"/>
      <c r="OJJ21" s="292"/>
      <c r="OJK21" s="292"/>
      <c r="OJL21" s="292"/>
      <c r="OJM21" s="292"/>
      <c r="OJN21" s="292"/>
      <c r="OJO21" s="292"/>
      <c r="OJP21" s="292"/>
      <c r="OJQ21" s="292"/>
      <c r="OJR21" s="292"/>
      <c r="OJS21" s="292"/>
      <c r="OJT21" s="292"/>
      <c r="OJU21" s="292"/>
      <c r="OJV21" s="292"/>
      <c r="OJW21" s="292"/>
      <c r="OJX21" s="292"/>
      <c r="OJY21" s="292"/>
      <c r="OJZ21" s="292"/>
      <c r="OKA21" s="292"/>
      <c r="OKB21" s="292"/>
      <c r="OKC21" s="292"/>
      <c r="OKD21" s="292"/>
      <c r="OKE21" s="292"/>
      <c r="OKF21" s="292"/>
      <c r="OKG21" s="292"/>
      <c r="OKH21" s="292"/>
      <c r="OKI21" s="292"/>
      <c r="OKJ21" s="292"/>
      <c r="OKK21" s="292"/>
      <c r="OKL21" s="292"/>
      <c r="OKM21" s="292"/>
      <c r="OKN21" s="292"/>
      <c r="OKO21" s="292"/>
      <c r="OKP21" s="292"/>
      <c r="OKQ21" s="292"/>
      <c r="OKR21" s="292"/>
      <c r="OKS21" s="292"/>
      <c r="OKT21" s="292"/>
      <c r="OKU21" s="292"/>
      <c r="OKV21" s="292"/>
      <c r="OKW21" s="292"/>
      <c r="OKX21" s="292"/>
      <c r="OKY21" s="292"/>
      <c r="OKZ21" s="292"/>
      <c r="OLA21" s="292"/>
      <c r="OLB21" s="292"/>
      <c r="OLC21" s="292"/>
      <c r="OLD21" s="292"/>
      <c r="OLE21" s="292"/>
      <c r="OLF21" s="292"/>
      <c r="OLG21" s="292"/>
      <c r="OLH21" s="292"/>
      <c r="OLI21" s="292"/>
      <c r="OLJ21" s="292"/>
      <c r="OLK21" s="292"/>
      <c r="OLL21" s="292"/>
      <c r="OLM21" s="292"/>
      <c r="OLN21" s="292"/>
      <c r="OLO21" s="292"/>
      <c r="OLP21" s="292"/>
      <c r="OLQ21" s="292"/>
      <c r="OLR21" s="292"/>
      <c r="OLS21" s="292"/>
      <c r="OLT21" s="292"/>
      <c r="OLU21" s="292"/>
      <c r="OLV21" s="292"/>
      <c r="OLW21" s="292"/>
      <c r="OLX21" s="292"/>
      <c r="OLY21" s="292"/>
      <c r="OLZ21" s="292"/>
      <c r="OMA21" s="292"/>
      <c r="OMB21" s="292"/>
      <c r="OMC21" s="292"/>
      <c r="OMD21" s="292"/>
      <c r="OME21" s="292"/>
      <c r="OMF21" s="292"/>
      <c r="OMG21" s="292"/>
      <c r="OMH21" s="292"/>
      <c r="OMI21" s="292"/>
      <c r="OMJ21" s="292"/>
      <c r="OMK21" s="292"/>
      <c r="OML21" s="292"/>
      <c r="OMM21" s="292"/>
      <c r="OMN21" s="292"/>
      <c r="OMO21" s="292"/>
      <c r="OMP21" s="292"/>
      <c r="OMQ21" s="292"/>
      <c r="OMR21" s="292"/>
      <c r="OMS21" s="292"/>
      <c r="OMT21" s="292"/>
      <c r="OMU21" s="292"/>
      <c r="OMV21" s="292"/>
      <c r="OMW21" s="292"/>
      <c r="OMX21" s="292"/>
      <c r="OMY21" s="292"/>
      <c r="OMZ21" s="292"/>
      <c r="ONA21" s="292"/>
      <c r="ONB21" s="292"/>
      <c r="ONC21" s="292"/>
      <c r="OND21" s="292"/>
      <c r="ONE21" s="292"/>
      <c r="ONF21" s="292"/>
      <c r="ONG21" s="292"/>
      <c r="ONH21" s="292"/>
      <c r="ONI21" s="292"/>
      <c r="ONJ21" s="292"/>
      <c r="ONK21" s="292"/>
      <c r="ONL21" s="292"/>
      <c r="ONM21" s="292"/>
      <c r="ONN21" s="292"/>
      <c r="ONO21" s="292"/>
      <c r="ONP21" s="292"/>
      <c r="ONQ21" s="292"/>
      <c r="ONR21" s="292"/>
      <c r="ONS21" s="292"/>
      <c r="ONT21" s="292"/>
      <c r="ONU21" s="292"/>
      <c r="ONV21" s="292"/>
      <c r="ONW21" s="292"/>
      <c r="ONX21" s="292"/>
      <c r="ONY21" s="292"/>
      <c r="ONZ21" s="292"/>
      <c r="OOA21" s="292"/>
      <c r="OOB21" s="292"/>
      <c r="OOC21" s="292"/>
      <c r="OOD21" s="292"/>
      <c r="OOE21" s="292"/>
      <c r="OOF21" s="292"/>
      <c r="OOG21" s="292"/>
      <c r="OOH21" s="292"/>
      <c r="OOI21" s="292"/>
      <c r="OOJ21" s="292"/>
      <c r="OOK21" s="292"/>
      <c r="OOL21" s="292"/>
      <c r="OOM21" s="292"/>
      <c r="OON21" s="292"/>
      <c r="OOO21" s="292"/>
      <c r="OOP21" s="292"/>
      <c r="OOQ21" s="292"/>
      <c r="OOR21" s="292"/>
      <c r="OOS21" s="292"/>
      <c r="OOT21" s="292"/>
      <c r="OOU21" s="292"/>
      <c r="OOV21" s="292"/>
      <c r="OOW21" s="292"/>
      <c r="OOX21" s="292"/>
      <c r="OOY21" s="292"/>
      <c r="OOZ21" s="292"/>
      <c r="OPA21" s="292"/>
      <c r="OPB21" s="292"/>
      <c r="OPC21" s="292"/>
      <c r="OPD21" s="292"/>
      <c r="OPE21" s="292"/>
      <c r="OPF21" s="292"/>
      <c r="OPG21" s="292"/>
      <c r="OPH21" s="292"/>
      <c r="OPI21" s="292"/>
      <c r="OPJ21" s="292"/>
      <c r="OPK21" s="292"/>
      <c r="OPL21" s="292"/>
      <c r="OPM21" s="292"/>
      <c r="OPN21" s="292"/>
      <c r="OPO21" s="292"/>
      <c r="OPP21" s="292"/>
      <c r="OPQ21" s="292"/>
      <c r="OPR21" s="292"/>
      <c r="OPS21" s="292"/>
      <c r="OPT21" s="292"/>
      <c r="OPU21" s="292"/>
      <c r="OPV21" s="292"/>
      <c r="OPW21" s="292"/>
      <c r="OPX21" s="292"/>
      <c r="OPY21" s="292"/>
      <c r="OPZ21" s="292"/>
      <c r="OQA21" s="292"/>
      <c r="OQB21" s="292"/>
      <c r="OQC21" s="292"/>
      <c r="OQD21" s="292"/>
      <c r="OQE21" s="292"/>
      <c r="OQF21" s="292"/>
      <c r="OQG21" s="292"/>
      <c r="OQH21" s="292"/>
      <c r="OQI21" s="292"/>
      <c r="OQJ21" s="292"/>
      <c r="OQK21" s="292"/>
      <c r="OQL21" s="292"/>
      <c r="OQM21" s="292"/>
      <c r="OQN21" s="292"/>
      <c r="OQO21" s="292"/>
      <c r="OQP21" s="292"/>
      <c r="OQQ21" s="292"/>
      <c r="OQR21" s="292"/>
      <c r="OQS21" s="292"/>
      <c r="OQT21" s="292"/>
      <c r="OQU21" s="292"/>
      <c r="OQV21" s="292"/>
      <c r="OQW21" s="292"/>
      <c r="OQX21" s="292"/>
      <c r="OQY21" s="292"/>
      <c r="OQZ21" s="292"/>
      <c r="ORA21" s="292"/>
      <c r="ORB21" s="292"/>
      <c r="ORC21" s="292"/>
      <c r="ORD21" s="292"/>
      <c r="ORE21" s="292"/>
      <c r="ORF21" s="292"/>
      <c r="ORG21" s="292"/>
      <c r="ORH21" s="292"/>
      <c r="ORI21" s="292"/>
      <c r="ORJ21" s="292"/>
      <c r="ORK21" s="292"/>
      <c r="ORL21" s="292"/>
      <c r="ORM21" s="292"/>
      <c r="ORN21" s="292"/>
      <c r="ORO21" s="292"/>
      <c r="ORP21" s="292"/>
      <c r="ORQ21" s="292"/>
      <c r="ORR21" s="292"/>
      <c r="ORS21" s="292"/>
      <c r="ORT21" s="292"/>
      <c r="ORU21" s="292"/>
      <c r="ORV21" s="292"/>
      <c r="ORW21" s="292"/>
      <c r="ORX21" s="292"/>
      <c r="ORY21" s="292"/>
      <c r="ORZ21" s="292"/>
      <c r="OSA21" s="292"/>
      <c r="OSB21" s="292"/>
      <c r="OSC21" s="292"/>
      <c r="OSD21" s="292"/>
      <c r="OSE21" s="292"/>
      <c r="OSF21" s="292"/>
      <c r="OSG21" s="292"/>
      <c r="OSH21" s="292"/>
      <c r="OSI21" s="292"/>
      <c r="OSJ21" s="292"/>
      <c r="OSK21" s="292"/>
      <c r="OSL21" s="292"/>
      <c r="OSM21" s="292"/>
      <c r="OSN21" s="292"/>
      <c r="OSO21" s="292"/>
      <c r="OSP21" s="292"/>
      <c r="OSQ21" s="292"/>
      <c r="OSR21" s="292"/>
      <c r="OSS21" s="292"/>
      <c r="OST21" s="292"/>
      <c r="OSU21" s="292"/>
      <c r="OSV21" s="292"/>
      <c r="OSW21" s="292"/>
      <c r="OSX21" s="292"/>
      <c r="OSY21" s="292"/>
      <c r="OSZ21" s="292"/>
      <c r="OTA21" s="292"/>
      <c r="OTB21" s="292"/>
      <c r="OTC21" s="292"/>
      <c r="OTD21" s="292"/>
      <c r="OTE21" s="292"/>
      <c r="OTF21" s="292"/>
      <c r="OTG21" s="292"/>
      <c r="OTH21" s="292"/>
      <c r="OTI21" s="292"/>
      <c r="OTJ21" s="292"/>
      <c r="OTK21" s="292"/>
      <c r="OTL21" s="292"/>
      <c r="OTM21" s="292"/>
      <c r="OTN21" s="292"/>
      <c r="OTO21" s="292"/>
      <c r="OTP21" s="292"/>
      <c r="OTQ21" s="292"/>
      <c r="OTR21" s="292"/>
      <c r="OTS21" s="292"/>
      <c r="OTT21" s="292"/>
      <c r="OTU21" s="292"/>
      <c r="OTV21" s="292"/>
      <c r="OTW21" s="292"/>
      <c r="OTX21" s="292"/>
      <c r="OTY21" s="292"/>
      <c r="OTZ21" s="292"/>
      <c r="OUA21" s="292"/>
      <c r="OUB21" s="292"/>
      <c r="OUC21" s="292"/>
      <c r="OUD21" s="292"/>
      <c r="OUE21" s="292"/>
      <c r="OUF21" s="292"/>
      <c r="OUG21" s="292"/>
      <c r="OUH21" s="292"/>
      <c r="OUI21" s="292"/>
      <c r="OUJ21" s="292"/>
      <c r="OUK21" s="292"/>
      <c r="OUL21" s="292"/>
      <c r="OUM21" s="292"/>
      <c r="OUN21" s="292"/>
      <c r="OUO21" s="292"/>
      <c r="OUP21" s="292"/>
      <c r="OUQ21" s="292"/>
      <c r="OUR21" s="292"/>
      <c r="OUS21" s="292"/>
      <c r="OUT21" s="292"/>
      <c r="OUU21" s="292"/>
      <c r="OUV21" s="292"/>
      <c r="OUW21" s="292"/>
      <c r="OUX21" s="292"/>
      <c r="OUY21" s="292"/>
      <c r="OUZ21" s="292"/>
      <c r="OVA21" s="292"/>
      <c r="OVB21" s="292"/>
      <c r="OVC21" s="292"/>
      <c r="OVD21" s="292"/>
      <c r="OVE21" s="292"/>
      <c r="OVF21" s="292"/>
      <c r="OVG21" s="292"/>
      <c r="OVH21" s="292"/>
      <c r="OVI21" s="292"/>
      <c r="OVJ21" s="292"/>
      <c r="OVK21" s="292"/>
      <c r="OVL21" s="292"/>
      <c r="OVM21" s="292"/>
      <c r="OVN21" s="292"/>
      <c r="OVO21" s="292"/>
      <c r="OVP21" s="292"/>
      <c r="OVQ21" s="292"/>
      <c r="OVR21" s="292"/>
      <c r="OVS21" s="292"/>
      <c r="OVT21" s="292"/>
      <c r="OVU21" s="292"/>
      <c r="OVV21" s="292"/>
      <c r="OVW21" s="292"/>
      <c r="OVX21" s="292"/>
      <c r="OVY21" s="292"/>
      <c r="OVZ21" s="292"/>
      <c r="OWA21" s="292"/>
      <c r="OWB21" s="292"/>
      <c r="OWC21" s="292"/>
      <c r="OWD21" s="292"/>
      <c r="OWE21" s="292"/>
      <c r="OWF21" s="292"/>
      <c r="OWG21" s="292"/>
      <c r="OWH21" s="292"/>
      <c r="OWI21" s="292"/>
      <c r="OWJ21" s="292"/>
      <c r="OWK21" s="292"/>
      <c r="OWL21" s="292"/>
      <c r="OWM21" s="292"/>
      <c r="OWN21" s="292"/>
      <c r="OWO21" s="292"/>
      <c r="OWP21" s="292"/>
      <c r="OWQ21" s="292"/>
      <c r="OWR21" s="292"/>
      <c r="OWS21" s="292"/>
      <c r="OWT21" s="292"/>
      <c r="OWU21" s="292"/>
      <c r="OWV21" s="292"/>
      <c r="OWW21" s="292"/>
      <c r="OWX21" s="292"/>
      <c r="OWY21" s="292"/>
      <c r="OWZ21" s="292"/>
      <c r="OXA21" s="292"/>
      <c r="OXB21" s="292"/>
      <c r="OXC21" s="292"/>
      <c r="OXD21" s="292"/>
      <c r="OXE21" s="292"/>
      <c r="OXF21" s="292"/>
      <c r="OXG21" s="292"/>
      <c r="OXH21" s="292"/>
      <c r="OXI21" s="292"/>
      <c r="OXJ21" s="292"/>
      <c r="OXK21" s="292"/>
      <c r="OXL21" s="292"/>
      <c r="OXM21" s="292"/>
      <c r="OXN21" s="292"/>
      <c r="OXO21" s="292"/>
      <c r="OXP21" s="292"/>
      <c r="OXQ21" s="292"/>
      <c r="OXR21" s="292"/>
      <c r="OXS21" s="292"/>
      <c r="OXT21" s="292"/>
      <c r="OXU21" s="292"/>
      <c r="OXV21" s="292"/>
      <c r="OXW21" s="292"/>
      <c r="OXX21" s="292"/>
      <c r="OXY21" s="292"/>
      <c r="OXZ21" s="292"/>
      <c r="OYA21" s="292"/>
      <c r="OYB21" s="292"/>
      <c r="OYC21" s="292"/>
      <c r="OYD21" s="292"/>
      <c r="OYE21" s="292"/>
      <c r="OYF21" s="292"/>
      <c r="OYG21" s="292"/>
      <c r="OYH21" s="292"/>
      <c r="OYI21" s="292"/>
      <c r="OYJ21" s="292"/>
      <c r="OYK21" s="292"/>
      <c r="OYL21" s="292"/>
      <c r="OYM21" s="292"/>
      <c r="OYN21" s="292"/>
      <c r="OYO21" s="292"/>
      <c r="OYP21" s="292"/>
      <c r="OYQ21" s="292"/>
      <c r="OYR21" s="292"/>
      <c r="OYS21" s="292"/>
      <c r="OYT21" s="292"/>
      <c r="OYU21" s="292"/>
      <c r="OYV21" s="292"/>
      <c r="OYW21" s="292"/>
      <c r="OYX21" s="292"/>
      <c r="OYY21" s="292"/>
      <c r="OYZ21" s="292"/>
      <c r="OZA21" s="292"/>
      <c r="OZB21" s="292"/>
      <c r="OZC21" s="292"/>
      <c r="OZD21" s="292"/>
      <c r="OZE21" s="292"/>
      <c r="OZF21" s="292"/>
      <c r="OZG21" s="292"/>
      <c r="OZH21" s="292"/>
      <c r="OZI21" s="292"/>
      <c r="OZJ21" s="292"/>
      <c r="OZK21" s="292"/>
      <c r="OZL21" s="292"/>
      <c r="OZM21" s="292"/>
      <c r="OZN21" s="292"/>
      <c r="OZO21" s="292"/>
      <c r="OZP21" s="292"/>
      <c r="OZQ21" s="292"/>
      <c r="OZR21" s="292"/>
      <c r="OZS21" s="292"/>
      <c r="OZT21" s="292"/>
      <c r="OZU21" s="292"/>
      <c r="OZV21" s="292"/>
      <c r="OZW21" s="292"/>
      <c r="OZX21" s="292"/>
      <c r="OZY21" s="292"/>
      <c r="OZZ21" s="292"/>
      <c r="PAA21" s="292"/>
      <c r="PAB21" s="292"/>
      <c r="PAC21" s="292"/>
      <c r="PAD21" s="292"/>
      <c r="PAE21" s="292"/>
      <c r="PAF21" s="292"/>
      <c r="PAG21" s="292"/>
      <c r="PAH21" s="292"/>
      <c r="PAI21" s="292"/>
      <c r="PAJ21" s="292"/>
      <c r="PAK21" s="292"/>
      <c r="PAL21" s="292"/>
      <c r="PAM21" s="292"/>
      <c r="PAN21" s="292"/>
      <c r="PAO21" s="292"/>
      <c r="PAP21" s="292"/>
      <c r="PAQ21" s="292"/>
      <c r="PAR21" s="292"/>
      <c r="PAS21" s="292"/>
      <c r="PAT21" s="292"/>
      <c r="PAU21" s="292"/>
      <c r="PAV21" s="292"/>
      <c r="PAW21" s="292"/>
      <c r="PAX21" s="292"/>
      <c r="PAY21" s="292"/>
      <c r="PAZ21" s="292"/>
      <c r="PBA21" s="292"/>
      <c r="PBB21" s="292"/>
      <c r="PBC21" s="292"/>
      <c r="PBD21" s="292"/>
      <c r="PBE21" s="292"/>
      <c r="PBF21" s="292"/>
      <c r="PBG21" s="292"/>
      <c r="PBH21" s="292"/>
      <c r="PBI21" s="292"/>
      <c r="PBJ21" s="292"/>
      <c r="PBK21" s="292"/>
      <c r="PBL21" s="292"/>
      <c r="PBM21" s="292"/>
      <c r="PBN21" s="292"/>
      <c r="PBO21" s="292"/>
      <c r="PBP21" s="292"/>
      <c r="PBQ21" s="292"/>
      <c r="PBR21" s="292"/>
      <c r="PBS21" s="292"/>
      <c r="PBT21" s="292"/>
      <c r="PBU21" s="292"/>
      <c r="PBV21" s="292"/>
      <c r="PBW21" s="292"/>
      <c r="PBX21" s="292"/>
      <c r="PBY21" s="292"/>
      <c r="PBZ21" s="292"/>
      <c r="PCA21" s="292"/>
      <c r="PCB21" s="292"/>
      <c r="PCC21" s="292"/>
      <c r="PCD21" s="292"/>
      <c r="PCE21" s="292"/>
      <c r="PCF21" s="292"/>
      <c r="PCG21" s="292"/>
      <c r="PCH21" s="292"/>
      <c r="PCI21" s="292"/>
      <c r="PCJ21" s="292"/>
      <c r="PCK21" s="292"/>
      <c r="PCL21" s="292"/>
      <c r="PCM21" s="292"/>
      <c r="PCN21" s="292"/>
      <c r="PCO21" s="292"/>
      <c r="PCP21" s="292"/>
      <c r="PCQ21" s="292"/>
      <c r="PCR21" s="292"/>
      <c r="PCS21" s="292"/>
      <c r="PCT21" s="292"/>
      <c r="PCU21" s="292"/>
      <c r="PCV21" s="292"/>
      <c r="PCW21" s="292"/>
      <c r="PCX21" s="292"/>
      <c r="PCY21" s="292"/>
      <c r="PCZ21" s="292"/>
      <c r="PDA21" s="292"/>
      <c r="PDB21" s="292"/>
      <c r="PDC21" s="292"/>
      <c r="PDD21" s="292"/>
      <c r="PDE21" s="292"/>
      <c r="PDF21" s="292"/>
      <c r="PDG21" s="292"/>
      <c r="PDH21" s="292"/>
      <c r="PDI21" s="292"/>
      <c r="PDJ21" s="292"/>
      <c r="PDK21" s="292"/>
      <c r="PDL21" s="292"/>
      <c r="PDM21" s="292"/>
      <c r="PDN21" s="292"/>
      <c r="PDO21" s="292"/>
      <c r="PDP21" s="292"/>
      <c r="PDQ21" s="292"/>
      <c r="PDR21" s="292"/>
      <c r="PDS21" s="292"/>
      <c r="PDT21" s="292"/>
      <c r="PDU21" s="292"/>
      <c r="PDV21" s="292"/>
      <c r="PDW21" s="292"/>
      <c r="PDX21" s="292"/>
      <c r="PDY21" s="292"/>
      <c r="PDZ21" s="292"/>
      <c r="PEA21" s="292"/>
      <c r="PEB21" s="292"/>
      <c r="PEC21" s="292"/>
      <c r="PED21" s="292"/>
      <c r="PEE21" s="292"/>
      <c r="PEF21" s="292"/>
      <c r="PEG21" s="292"/>
      <c r="PEH21" s="292"/>
      <c r="PEI21" s="292"/>
      <c r="PEJ21" s="292"/>
      <c r="PEK21" s="292"/>
      <c r="PEL21" s="292"/>
      <c r="PEM21" s="292"/>
      <c r="PEN21" s="292"/>
      <c r="PEO21" s="292"/>
      <c r="PEP21" s="292"/>
      <c r="PEQ21" s="292"/>
      <c r="PER21" s="292"/>
      <c r="PES21" s="292"/>
      <c r="PET21" s="292"/>
      <c r="PEU21" s="292"/>
      <c r="PEV21" s="292"/>
      <c r="PEW21" s="292"/>
      <c r="PEX21" s="292"/>
      <c r="PEY21" s="292"/>
      <c r="PEZ21" s="292"/>
      <c r="PFA21" s="292"/>
      <c r="PFB21" s="292"/>
      <c r="PFC21" s="292"/>
      <c r="PFD21" s="292"/>
      <c r="PFE21" s="292"/>
      <c r="PFF21" s="292"/>
      <c r="PFG21" s="292"/>
      <c r="PFH21" s="292"/>
      <c r="PFI21" s="292"/>
      <c r="PFJ21" s="292"/>
      <c r="PFK21" s="292"/>
      <c r="PFL21" s="292"/>
      <c r="PFM21" s="292"/>
      <c r="PFN21" s="292"/>
      <c r="PFO21" s="292"/>
      <c r="PFP21" s="292"/>
      <c r="PFQ21" s="292"/>
      <c r="PFR21" s="292"/>
      <c r="PFS21" s="292"/>
      <c r="PFT21" s="292"/>
      <c r="PFU21" s="292"/>
      <c r="PFV21" s="292"/>
      <c r="PFW21" s="292"/>
      <c r="PFX21" s="292"/>
      <c r="PFY21" s="292"/>
      <c r="PFZ21" s="292"/>
      <c r="PGA21" s="292"/>
      <c r="PGB21" s="292"/>
      <c r="PGC21" s="292"/>
      <c r="PGD21" s="292"/>
      <c r="PGE21" s="292"/>
      <c r="PGF21" s="292"/>
      <c r="PGG21" s="292"/>
      <c r="PGH21" s="292"/>
      <c r="PGI21" s="292"/>
      <c r="PGJ21" s="292"/>
      <c r="PGK21" s="292"/>
      <c r="PGL21" s="292"/>
      <c r="PGM21" s="292"/>
      <c r="PGN21" s="292"/>
      <c r="PGO21" s="292"/>
      <c r="PGP21" s="292"/>
      <c r="PGQ21" s="292"/>
      <c r="PGR21" s="292"/>
      <c r="PGS21" s="292"/>
      <c r="PGT21" s="292"/>
      <c r="PGU21" s="292"/>
      <c r="PGV21" s="292"/>
      <c r="PGW21" s="292"/>
      <c r="PGX21" s="292"/>
      <c r="PGY21" s="292"/>
      <c r="PGZ21" s="292"/>
      <c r="PHA21" s="292"/>
      <c r="PHB21" s="292"/>
      <c r="PHC21" s="292"/>
      <c r="PHD21" s="292"/>
      <c r="PHE21" s="292"/>
      <c r="PHF21" s="292"/>
      <c r="PHG21" s="292"/>
      <c r="PHH21" s="292"/>
      <c r="PHI21" s="292"/>
      <c r="PHJ21" s="292"/>
      <c r="PHK21" s="292"/>
      <c r="PHL21" s="292"/>
      <c r="PHM21" s="292"/>
      <c r="PHN21" s="292"/>
      <c r="PHO21" s="292"/>
      <c r="PHP21" s="292"/>
      <c r="PHQ21" s="292"/>
      <c r="PHR21" s="292"/>
      <c r="PHS21" s="292"/>
      <c r="PHT21" s="292"/>
      <c r="PHU21" s="292"/>
      <c r="PHV21" s="292"/>
      <c r="PHW21" s="292"/>
      <c r="PHX21" s="292"/>
      <c r="PHY21" s="292"/>
      <c r="PHZ21" s="292"/>
      <c r="PIA21" s="292"/>
      <c r="PIB21" s="292"/>
      <c r="PIC21" s="292"/>
      <c r="PID21" s="292"/>
      <c r="PIE21" s="292"/>
      <c r="PIF21" s="292"/>
      <c r="PIG21" s="292"/>
      <c r="PIH21" s="292"/>
      <c r="PII21" s="292"/>
      <c r="PIJ21" s="292"/>
      <c r="PIK21" s="292"/>
      <c r="PIL21" s="292"/>
      <c r="PIM21" s="292"/>
      <c r="PIN21" s="292"/>
      <c r="PIO21" s="292"/>
      <c r="PIP21" s="292"/>
      <c r="PIQ21" s="292"/>
      <c r="PIR21" s="292"/>
      <c r="PIS21" s="292"/>
      <c r="PIT21" s="292"/>
      <c r="PIU21" s="292"/>
      <c r="PIV21" s="292"/>
      <c r="PIW21" s="292"/>
      <c r="PIX21" s="292"/>
      <c r="PIY21" s="292"/>
      <c r="PIZ21" s="292"/>
      <c r="PJA21" s="292"/>
      <c r="PJB21" s="292"/>
      <c r="PJC21" s="292"/>
      <c r="PJD21" s="292"/>
      <c r="PJE21" s="292"/>
      <c r="PJF21" s="292"/>
      <c r="PJG21" s="292"/>
      <c r="PJH21" s="292"/>
      <c r="PJI21" s="292"/>
      <c r="PJJ21" s="292"/>
      <c r="PJK21" s="292"/>
      <c r="PJL21" s="292"/>
      <c r="PJM21" s="292"/>
      <c r="PJN21" s="292"/>
      <c r="PJO21" s="292"/>
      <c r="PJP21" s="292"/>
      <c r="PJQ21" s="292"/>
      <c r="PJR21" s="292"/>
      <c r="PJS21" s="292"/>
      <c r="PJT21" s="292"/>
      <c r="PJU21" s="292"/>
      <c r="PJV21" s="292"/>
      <c r="PJW21" s="292"/>
      <c r="PJX21" s="292"/>
      <c r="PJY21" s="292"/>
      <c r="PJZ21" s="292"/>
      <c r="PKA21" s="292"/>
      <c r="PKB21" s="292"/>
      <c r="PKC21" s="292"/>
      <c r="PKD21" s="292"/>
      <c r="PKE21" s="292"/>
      <c r="PKF21" s="292"/>
      <c r="PKG21" s="292"/>
      <c r="PKH21" s="292"/>
      <c r="PKI21" s="292"/>
      <c r="PKJ21" s="292"/>
      <c r="PKK21" s="292"/>
      <c r="PKL21" s="292"/>
      <c r="PKM21" s="292"/>
      <c r="PKN21" s="292"/>
      <c r="PKO21" s="292"/>
      <c r="PKP21" s="292"/>
      <c r="PKQ21" s="292"/>
      <c r="PKR21" s="292"/>
      <c r="PKS21" s="292"/>
      <c r="PKT21" s="292"/>
      <c r="PKU21" s="292"/>
      <c r="PKV21" s="292"/>
      <c r="PKW21" s="292"/>
      <c r="PKX21" s="292"/>
      <c r="PKY21" s="292"/>
      <c r="PKZ21" s="292"/>
      <c r="PLA21" s="292"/>
      <c r="PLB21" s="292"/>
      <c r="PLC21" s="292"/>
      <c r="PLD21" s="292"/>
      <c r="PLE21" s="292"/>
      <c r="PLF21" s="292"/>
      <c r="PLG21" s="292"/>
      <c r="PLH21" s="292"/>
      <c r="PLI21" s="292"/>
      <c r="PLJ21" s="292"/>
      <c r="PLK21" s="292"/>
      <c r="PLL21" s="292"/>
      <c r="PLM21" s="292"/>
      <c r="PLN21" s="292"/>
      <c r="PLO21" s="292"/>
      <c r="PLP21" s="292"/>
      <c r="PLQ21" s="292"/>
      <c r="PLR21" s="292"/>
      <c r="PLS21" s="292"/>
      <c r="PLT21" s="292"/>
      <c r="PLU21" s="292"/>
      <c r="PLV21" s="292"/>
      <c r="PLW21" s="292"/>
      <c r="PLX21" s="292"/>
      <c r="PLY21" s="292"/>
      <c r="PLZ21" s="292"/>
      <c r="PMA21" s="292"/>
      <c r="PMB21" s="292"/>
      <c r="PMC21" s="292"/>
      <c r="PMD21" s="292"/>
      <c r="PME21" s="292"/>
      <c r="PMF21" s="292"/>
      <c r="PMG21" s="292"/>
      <c r="PMH21" s="292"/>
      <c r="PMI21" s="292"/>
      <c r="PMJ21" s="292"/>
      <c r="PMK21" s="292"/>
      <c r="PML21" s="292"/>
      <c r="PMM21" s="292"/>
      <c r="PMN21" s="292"/>
      <c r="PMO21" s="292"/>
      <c r="PMP21" s="292"/>
      <c r="PMQ21" s="292"/>
      <c r="PMR21" s="292"/>
      <c r="PMS21" s="292"/>
      <c r="PMT21" s="292"/>
      <c r="PMU21" s="292"/>
      <c r="PMV21" s="292"/>
      <c r="PMW21" s="292"/>
      <c r="PMX21" s="292"/>
      <c r="PMY21" s="292"/>
      <c r="PMZ21" s="292"/>
      <c r="PNA21" s="292"/>
      <c r="PNB21" s="292"/>
      <c r="PNC21" s="292"/>
      <c r="PND21" s="292"/>
      <c r="PNE21" s="292"/>
      <c r="PNF21" s="292"/>
      <c r="PNG21" s="292"/>
      <c r="PNH21" s="292"/>
      <c r="PNI21" s="292"/>
      <c r="PNJ21" s="292"/>
      <c r="PNK21" s="292"/>
      <c r="PNL21" s="292"/>
      <c r="PNM21" s="292"/>
      <c r="PNN21" s="292"/>
      <c r="PNO21" s="292"/>
      <c r="PNP21" s="292"/>
      <c r="PNQ21" s="292"/>
      <c r="PNR21" s="292"/>
      <c r="PNS21" s="292"/>
      <c r="PNT21" s="292"/>
      <c r="PNU21" s="292"/>
      <c r="PNV21" s="292"/>
      <c r="PNW21" s="292"/>
      <c r="PNX21" s="292"/>
      <c r="PNY21" s="292"/>
      <c r="PNZ21" s="292"/>
      <c r="POA21" s="292"/>
      <c r="POB21" s="292"/>
      <c r="POC21" s="292"/>
      <c r="POD21" s="292"/>
      <c r="POE21" s="292"/>
      <c r="POF21" s="292"/>
      <c r="POG21" s="292"/>
      <c r="POH21" s="292"/>
      <c r="POI21" s="292"/>
      <c r="POJ21" s="292"/>
      <c r="POK21" s="292"/>
      <c r="POL21" s="292"/>
      <c r="POM21" s="292"/>
      <c r="PON21" s="292"/>
      <c r="POO21" s="292"/>
      <c r="POP21" s="292"/>
      <c r="POQ21" s="292"/>
      <c r="POR21" s="292"/>
      <c r="POS21" s="292"/>
      <c r="POT21" s="292"/>
      <c r="POU21" s="292"/>
      <c r="POV21" s="292"/>
      <c r="POW21" s="292"/>
      <c r="POX21" s="292"/>
      <c r="POY21" s="292"/>
      <c r="POZ21" s="292"/>
      <c r="PPA21" s="292"/>
      <c r="PPB21" s="292"/>
      <c r="PPC21" s="292"/>
      <c r="PPD21" s="292"/>
      <c r="PPE21" s="292"/>
      <c r="PPF21" s="292"/>
      <c r="PPG21" s="292"/>
      <c r="PPH21" s="292"/>
      <c r="PPI21" s="292"/>
      <c r="PPJ21" s="292"/>
      <c r="PPK21" s="292"/>
      <c r="PPL21" s="292"/>
      <c r="PPM21" s="292"/>
      <c r="PPN21" s="292"/>
      <c r="PPO21" s="292"/>
      <c r="PPP21" s="292"/>
      <c r="PPQ21" s="292"/>
      <c r="PPR21" s="292"/>
      <c r="PPS21" s="292"/>
      <c r="PPT21" s="292"/>
      <c r="PPU21" s="292"/>
      <c r="PPV21" s="292"/>
      <c r="PPW21" s="292"/>
      <c r="PPX21" s="292"/>
      <c r="PPY21" s="292"/>
      <c r="PPZ21" s="292"/>
      <c r="PQA21" s="292"/>
      <c r="PQB21" s="292"/>
      <c r="PQC21" s="292"/>
      <c r="PQD21" s="292"/>
      <c r="PQE21" s="292"/>
      <c r="PQF21" s="292"/>
      <c r="PQG21" s="292"/>
      <c r="PQH21" s="292"/>
      <c r="PQI21" s="292"/>
      <c r="PQJ21" s="292"/>
      <c r="PQK21" s="292"/>
      <c r="PQL21" s="292"/>
      <c r="PQM21" s="292"/>
      <c r="PQN21" s="292"/>
      <c r="PQO21" s="292"/>
      <c r="PQP21" s="292"/>
      <c r="PQQ21" s="292"/>
      <c r="PQR21" s="292"/>
      <c r="PQS21" s="292"/>
      <c r="PQT21" s="292"/>
      <c r="PQU21" s="292"/>
      <c r="PQV21" s="292"/>
      <c r="PQW21" s="292"/>
      <c r="PQX21" s="292"/>
      <c r="PQY21" s="292"/>
      <c r="PQZ21" s="292"/>
      <c r="PRA21" s="292"/>
      <c r="PRB21" s="292"/>
      <c r="PRC21" s="292"/>
      <c r="PRD21" s="292"/>
      <c r="PRE21" s="292"/>
      <c r="PRF21" s="292"/>
      <c r="PRG21" s="292"/>
      <c r="PRH21" s="292"/>
      <c r="PRI21" s="292"/>
      <c r="PRJ21" s="292"/>
      <c r="PRK21" s="292"/>
      <c r="PRL21" s="292"/>
      <c r="PRM21" s="292"/>
      <c r="PRN21" s="292"/>
      <c r="PRO21" s="292"/>
      <c r="PRP21" s="292"/>
      <c r="PRQ21" s="292"/>
      <c r="PRR21" s="292"/>
      <c r="PRS21" s="292"/>
      <c r="PRT21" s="292"/>
      <c r="PRU21" s="292"/>
      <c r="PRV21" s="292"/>
      <c r="PRW21" s="292"/>
      <c r="PRX21" s="292"/>
      <c r="PRY21" s="292"/>
      <c r="PRZ21" s="292"/>
      <c r="PSA21" s="292"/>
      <c r="PSB21" s="292"/>
      <c r="PSC21" s="292"/>
      <c r="PSD21" s="292"/>
      <c r="PSE21" s="292"/>
      <c r="PSF21" s="292"/>
      <c r="PSG21" s="292"/>
      <c r="PSH21" s="292"/>
      <c r="PSI21" s="292"/>
      <c r="PSJ21" s="292"/>
      <c r="PSK21" s="292"/>
      <c r="PSL21" s="292"/>
      <c r="PSM21" s="292"/>
      <c r="PSN21" s="292"/>
      <c r="PSO21" s="292"/>
      <c r="PSP21" s="292"/>
      <c r="PSQ21" s="292"/>
      <c r="PSR21" s="292"/>
      <c r="PSS21" s="292"/>
      <c r="PST21" s="292"/>
      <c r="PSU21" s="292"/>
      <c r="PSV21" s="292"/>
      <c r="PSW21" s="292"/>
      <c r="PSX21" s="292"/>
      <c r="PSY21" s="292"/>
      <c r="PSZ21" s="292"/>
      <c r="PTA21" s="292"/>
      <c r="PTB21" s="292"/>
      <c r="PTC21" s="292"/>
      <c r="PTD21" s="292"/>
      <c r="PTE21" s="292"/>
      <c r="PTF21" s="292"/>
      <c r="PTG21" s="292"/>
      <c r="PTH21" s="292"/>
      <c r="PTI21" s="292"/>
      <c r="PTJ21" s="292"/>
      <c r="PTK21" s="292"/>
      <c r="PTL21" s="292"/>
      <c r="PTM21" s="292"/>
      <c r="PTN21" s="292"/>
      <c r="PTO21" s="292"/>
      <c r="PTP21" s="292"/>
      <c r="PTQ21" s="292"/>
      <c r="PTR21" s="292"/>
      <c r="PTS21" s="292"/>
      <c r="PTT21" s="292"/>
      <c r="PTU21" s="292"/>
      <c r="PTV21" s="292"/>
      <c r="PTW21" s="292"/>
      <c r="PTX21" s="292"/>
      <c r="PTY21" s="292"/>
      <c r="PTZ21" s="292"/>
      <c r="PUA21" s="292"/>
      <c r="PUB21" s="292"/>
      <c r="PUC21" s="292"/>
      <c r="PUD21" s="292"/>
      <c r="PUE21" s="292"/>
      <c r="PUF21" s="292"/>
      <c r="PUG21" s="292"/>
      <c r="PUH21" s="292"/>
      <c r="PUI21" s="292"/>
      <c r="PUJ21" s="292"/>
      <c r="PUK21" s="292"/>
      <c r="PUL21" s="292"/>
      <c r="PUM21" s="292"/>
      <c r="PUN21" s="292"/>
      <c r="PUO21" s="292"/>
      <c r="PUP21" s="292"/>
      <c r="PUQ21" s="292"/>
      <c r="PUR21" s="292"/>
      <c r="PUS21" s="292"/>
      <c r="PUT21" s="292"/>
      <c r="PUU21" s="292"/>
      <c r="PUV21" s="292"/>
      <c r="PUW21" s="292"/>
      <c r="PUX21" s="292"/>
      <c r="PUY21" s="292"/>
      <c r="PUZ21" s="292"/>
      <c r="PVA21" s="292"/>
      <c r="PVB21" s="292"/>
      <c r="PVC21" s="292"/>
      <c r="PVD21" s="292"/>
      <c r="PVE21" s="292"/>
      <c r="PVF21" s="292"/>
      <c r="PVG21" s="292"/>
      <c r="PVH21" s="292"/>
      <c r="PVI21" s="292"/>
      <c r="PVJ21" s="292"/>
      <c r="PVK21" s="292"/>
      <c r="PVL21" s="292"/>
      <c r="PVM21" s="292"/>
      <c r="PVN21" s="292"/>
      <c r="PVO21" s="292"/>
      <c r="PVP21" s="292"/>
      <c r="PVQ21" s="292"/>
      <c r="PVR21" s="292"/>
      <c r="PVS21" s="292"/>
      <c r="PVT21" s="292"/>
      <c r="PVU21" s="292"/>
      <c r="PVV21" s="292"/>
      <c r="PVW21" s="292"/>
      <c r="PVX21" s="292"/>
      <c r="PVY21" s="292"/>
      <c r="PVZ21" s="292"/>
      <c r="PWA21" s="292"/>
      <c r="PWB21" s="292"/>
      <c r="PWC21" s="292"/>
      <c r="PWD21" s="292"/>
      <c r="PWE21" s="292"/>
      <c r="PWF21" s="292"/>
      <c r="PWG21" s="292"/>
      <c r="PWH21" s="292"/>
      <c r="PWI21" s="292"/>
      <c r="PWJ21" s="292"/>
      <c r="PWK21" s="292"/>
      <c r="PWL21" s="292"/>
      <c r="PWM21" s="292"/>
      <c r="PWN21" s="292"/>
      <c r="PWO21" s="292"/>
      <c r="PWP21" s="292"/>
      <c r="PWQ21" s="292"/>
      <c r="PWR21" s="292"/>
      <c r="PWS21" s="292"/>
      <c r="PWT21" s="292"/>
      <c r="PWU21" s="292"/>
      <c r="PWV21" s="292"/>
      <c r="PWW21" s="292"/>
      <c r="PWX21" s="292"/>
      <c r="PWY21" s="292"/>
      <c r="PWZ21" s="292"/>
      <c r="PXA21" s="292"/>
      <c r="PXB21" s="292"/>
      <c r="PXC21" s="292"/>
      <c r="PXD21" s="292"/>
      <c r="PXE21" s="292"/>
      <c r="PXF21" s="292"/>
      <c r="PXG21" s="292"/>
      <c r="PXH21" s="292"/>
      <c r="PXI21" s="292"/>
      <c r="PXJ21" s="292"/>
      <c r="PXK21" s="292"/>
      <c r="PXL21" s="292"/>
      <c r="PXM21" s="292"/>
      <c r="PXN21" s="292"/>
      <c r="PXO21" s="292"/>
      <c r="PXP21" s="292"/>
      <c r="PXQ21" s="292"/>
      <c r="PXR21" s="292"/>
      <c r="PXS21" s="292"/>
      <c r="PXT21" s="292"/>
      <c r="PXU21" s="292"/>
      <c r="PXV21" s="292"/>
      <c r="PXW21" s="292"/>
      <c r="PXX21" s="292"/>
      <c r="PXY21" s="292"/>
      <c r="PXZ21" s="292"/>
      <c r="PYA21" s="292"/>
      <c r="PYB21" s="292"/>
      <c r="PYC21" s="292"/>
      <c r="PYD21" s="292"/>
      <c r="PYE21" s="292"/>
      <c r="PYF21" s="292"/>
      <c r="PYG21" s="292"/>
      <c r="PYH21" s="292"/>
      <c r="PYI21" s="292"/>
      <c r="PYJ21" s="292"/>
      <c r="PYK21" s="292"/>
      <c r="PYL21" s="292"/>
      <c r="PYM21" s="292"/>
      <c r="PYN21" s="292"/>
      <c r="PYO21" s="292"/>
      <c r="PYP21" s="292"/>
      <c r="PYQ21" s="292"/>
      <c r="PYR21" s="292"/>
      <c r="PYS21" s="292"/>
      <c r="PYT21" s="292"/>
      <c r="PYU21" s="292"/>
      <c r="PYV21" s="292"/>
      <c r="PYW21" s="292"/>
      <c r="PYX21" s="292"/>
      <c r="PYY21" s="292"/>
      <c r="PYZ21" s="292"/>
      <c r="PZA21" s="292"/>
      <c r="PZB21" s="292"/>
      <c r="PZC21" s="292"/>
      <c r="PZD21" s="292"/>
      <c r="PZE21" s="292"/>
      <c r="PZF21" s="292"/>
      <c r="PZG21" s="292"/>
      <c r="PZH21" s="292"/>
      <c r="PZI21" s="292"/>
      <c r="PZJ21" s="292"/>
      <c r="PZK21" s="292"/>
      <c r="PZL21" s="292"/>
      <c r="PZM21" s="292"/>
      <c r="PZN21" s="292"/>
      <c r="PZO21" s="292"/>
      <c r="PZP21" s="292"/>
      <c r="PZQ21" s="292"/>
      <c r="PZR21" s="292"/>
      <c r="PZS21" s="292"/>
      <c r="PZT21" s="292"/>
      <c r="PZU21" s="292"/>
      <c r="PZV21" s="292"/>
      <c r="PZW21" s="292"/>
      <c r="PZX21" s="292"/>
      <c r="PZY21" s="292"/>
      <c r="PZZ21" s="292"/>
      <c r="QAA21" s="292"/>
      <c r="QAB21" s="292"/>
      <c r="QAC21" s="292"/>
      <c r="QAD21" s="292"/>
      <c r="QAE21" s="292"/>
      <c r="QAF21" s="292"/>
      <c r="QAG21" s="292"/>
      <c r="QAH21" s="292"/>
      <c r="QAI21" s="292"/>
      <c r="QAJ21" s="292"/>
      <c r="QAK21" s="292"/>
      <c r="QAL21" s="292"/>
      <c r="QAM21" s="292"/>
      <c r="QAN21" s="292"/>
      <c r="QAO21" s="292"/>
      <c r="QAP21" s="292"/>
      <c r="QAQ21" s="292"/>
      <c r="QAR21" s="292"/>
      <c r="QAS21" s="292"/>
      <c r="QAT21" s="292"/>
      <c r="QAU21" s="292"/>
      <c r="QAV21" s="292"/>
      <c r="QAW21" s="292"/>
      <c r="QAX21" s="292"/>
      <c r="QAY21" s="292"/>
      <c r="QAZ21" s="292"/>
      <c r="QBA21" s="292"/>
      <c r="QBB21" s="292"/>
      <c r="QBC21" s="292"/>
      <c r="QBD21" s="292"/>
      <c r="QBE21" s="292"/>
      <c r="QBF21" s="292"/>
      <c r="QBG21" s="292"/>
      <c r="QBH21" s="292"/>
      <c r="QBI21" s="292"/>
      <c r="QBJ21" s="292"/>
      <c r="QBK21" s="292"/>
      <c r="QBL21" s="292"/>
      <c r="QBM21" s="292"/>
      <c r="QBN21" s="292"/>
      <c r="QBO21" s="292"/>
      <c r="QBP21" s="292"/>
      <c r="QBQ21" s="292"/>
      <c r="QBR21" s="292"/>
      <c r="QBS21" s="292"/>
      <c r="QBT21" s="292"/>
      <c r="QBU21" s="292"/>
      <c r="QBV21" s="292"/>
      <c r="QBW21" s="292"/>
      <c r="QBX21" s="292"/>
      <c r="QBY21" s="292"/>
      <c r="QBZ21" s="292"/>
      <c r="QCA21" s="292"/>
      <c r="QCB21" s="292"/>
      <c r="QCC21" s="292"/>
      <c r="QCD21" s="292"/>
      <c r="QCE21" s="292"/>
      <c r="QCF21" s="292"/>
      <c r="QCG21" s="292"/>
      <c r="QCH21" s="292"/>
      <c r="QCI21" s="292"/>
      <c r="QCJ21" s="292"/>
      <c r="QCK21" s="292"/>
      <c r="QCL21" s="292"/>
      <c r="QCM21" s="292"/>
      <c r="QCN21" s="292"/>
      <c r="QCO21" s="292"/>
      <c r="QCP21" s="292"/>
      <c r="QCQ21" s="292"/>
      <c r="QCR21" s="292"/>
      <c r="QCS21" s="292"/>
      <c r="QCT21" s="292"/>
      <c r="QCU21" s="292"/>
      <c r="QCV21" s="292"/>
      <c r="QCW21" s="292"/>
      <c r="QCX21" s="292"/>
      <c r="QCY21" s="292"/>
      <c r="QCZ21" s="292"/>
      <c r="QDA21" s="292"/>
      <c r="QDB21" s="292"/>
      <c r="QDC21" s="292"/>
      <c r="QDD21" s="292"/>
      <c r="QDE21" s="292"/>
      <c r="QDF21" s="292"/>
      <c r="QDG21" s="292"/>
      <c r="QDH21" s="292"/>
      <c r="QDI21" s="292"/>
      <c r="QDJ21" s="292"/>
      <c r="QDK21" s="292"/>
      <c r="QDL21" s="292"/>
      <c r="QDM21" s="292"/>
      <c r="QDN21" s="292"/>
      <c r="QDO21" s="292"/>
      <c r="QDP21" s="292"/>
      <c r="QDQ21" s="292"/>
      <c r="QDR21" s="292"/>
      <c r="QDS21" s="292"/>
      <c r="QDT21" s="292"/>
      <c r="QDU21" s="292"/>
      <c r="QDV21" s="292"/>
      <c r="QDW21" s="292"/>
      <c r="QDX21" s="292"/>
      <c r="QDY21" s="292"/>
      <c r="QDZ21" s="292"/>
      <c r="QEA21" s="292"/>
      <c r="QEB21" s="292"/>
      <c r="QEC21" s="292"/>
      <c r="QED21" s="292"/>
      <c r="QEE21" s="292"/>
      <c r="QEF21" s="292"/>
      <c r="QEG21" s="292"/>
      <c r="QEH21" s="292"/>
      <c r="QEI21" s="292"/>
      <c r="QEJ21" s="292"/>
      <c r="QEK21" s="292"/>
      <c r="QEL21" s="292"/>
      <c r="QEM21" s="292"/>
      <c r="QEN21" s="292"/>
      <c r="QEO21" s="292"/>
      <c r="QEP21" s="292"/>
      <c r="QEQ21" s="292"/>
      <c r="QER21" s="292"/>
      <c r="QES21" s="292"/>
      <c r="QET21" s="292"/>
      <c r="QEU21" s="292"/>
      <c r="QEV21" s="292"/>
      <c r="QEW21" s="292"/>
      <c r="QEX21" s="292"/>
      <c r="QEY21" s="292"/>
      <c r="QEZ21" s="292"/>
      <c r="QFA21" s="292"/>
      <c r="QFB21" s="292"/>
      <c r="QFC21" s="292"/>
      <c r="QFD21" s="292"/>
      <c r="QFE21" s="292"/>
      <c r="QFF21" s="292"/>
      <c r="QFG21" s="292"/>
      <c r="QFH21" s="292"/>
      <c r="QFI21" s="292"/>
      <c r="QFJ21" s="292"/>
      <c r="QFK21" s="292"/>
      <c r="QFL21" s="292"/>
      <c r="QFM21" s="292"/>
      <c r="QFN21" s="292"/>
      <c r="QFO21" s="292"/>
      <c r="QFP21" s="292"/>
      <c r="QFQ21" s="292"/>
      <c r="QFR21" s="292"/>
      <c r="QFS21" s="292"/>
      <c r="QFT21" s="292"/>
      <c r="QFU21" s="292"/>
      <c r="QFV21" s="292"/>
      <c r="QFW21" s="292"/>
      <c r="QFX21" s="292"/>
      <c r="QFY21" s="292"/>
      <c r="QFZ21" s="292"/>
      <c r="QGA21" s="292"/>
      <c r="QGB21" s="292"/>
      <c r="QGC21" s="292"/>
      <c r="QGD21" s="292"/>
      <c r="QGE21" s="292"/>
      <c r="QGF21" s="292"/>
      <c r="QGG21" s="292"/>
      <c r="QGH21" s="292"/>
      <c r="QGI21" s="292"/>
      <c r="QGJ21" s="292"/>
      <c r="QGK21" s="292"/>
      <c r="QGL21" s="292"/>
      <c r="QGM21" s="292"/>
      <c r="QGN21" s="292"/>
      <c r="QGO21" s="292"/>
      <c r="QGP21" s="292"/>
      <c r="QGQ21" s="292"/>
      <c r="QGR21" s="292"/>
      <c r="QGS21" s="292"/>
      <c r="QGT21" s="292"/>
      <c r="QGU21" s="292"/>
      <c r="QGV21" s="292"/>
      <c r="QGW21" s="292"/>
      <c r="QGX21" s="292"/>
      <c r="QGY21" s="292"/>
      <c r="QGZ21" s="292"/>
      <c r="QHA21" s="292"/>
      <c r="QHB21" s="292"/>
      <c r="QHC21" s="292"/>
      <c r="QHD21" s="292"/>
      <c r="QHE21" s="292"/>
      <c r="QHF21" s="292"/>
      <c r="QHG21" s="292"/>
      <c r="QHH21" s="292"/>
      <c r="QHI21" s="292"/>
      <c r="QHJ21" s="292"/>
      <c r="QHK21" s="292"/>
      <c r="QHL21" s="292"/>
      <c r="QHM21" s="292"/>
      <c r="QHN21" s="292"/>
      <c r="QHO21" s="292"/>
      <c r="QHP21" s="292"/>
      <c r="QHQ21" s="292"/>
      <c r="QHR21" s="292"/>
      <c r="QHS21" s="292"/>
      <c r="QHT21" s="292"/>
      <c r="QHU21" s="292"/>
      <c r="QHV21" s="292"/>
      <c r="QHW21" s="292"/>
      <c r="QHX21" s="292"/>
      <c r="QHY21" s="292"/>
      <c r="QHZ21" s="292"/>
      <c r="QIA21" s="292"/>
      <c r="QIB21" s="292"/>
      <c r="QIC21" s="292"/>
      <c r="QID21" s="292"/>
      <c r="QIE21" s="292"/>
      <c r="QIF21" s="292"/>
      <c r="QIG21" s="292"/>
      <c r="QIH21" s="292"/>
      <c r="QII21" s="292"/>
      <c r="QIJ21" s="292"/>
      <c r="QIK21" s="292"/>
      <c r="QIL21" s="292"/>
      <c r="QIM21" s="292"/>
      <c r="QIN21" s="292"/>
      <c r="QIO21" s="292"/>
      <c r="QIP21" s="292"/>
      <c r="QIQ21" s="292"/>
      <c r="QIR21" s="292"/>
      <c r="QIS21" s="292"/>
      <c r="QIT21" s="292"/>
      <c r="QIU21" s="292"/>
      <c r="QIV21" s="292"/>
      <c r="QIW21" s="292"/>
      <c r="QIX21" s="292"/>
      <c r="QIY21" s="292"/>
      <c r="QIZ21" s="292"/>
      <c r="QJA21" s="292"/>
      <c r="QJB21" s="292"/>
      <c r="QJC21" s="292"/>
      <c r="QJD21" s="292"/>
      <c r="QJE21" s="292"/>
      <c r="QJF21" s="292"/>
      <c r="QJG21" s="292"/>
      <c r="QJH21" s="292"/>
      <c r="QJI21" s="292"/>
      <c r="QJJ21" s="292"/>
      <c r="QJK21" s="292"/>
      <c r="QJL21" s="292"/>
      <c r="QJM21" s="292"/>
      <c r="QJN21" s="292"/>
      <c r="QJO21" s="292"/>
      <c r="QJP21" s="292"/>
      <c r="QJQ21" s="292"/>
      <c r="QJR21" s="292"/>
      <c r="QJS21" s="292"/>
      <c r="QJT21" s="292"/>
      <c r="QJU21" s="292"/>
      <c r="QJV21" s="292"/>
      <c r="QJW21" s="292"/>
      <c r="QJX21" s="292"/>
      <c r="QJY21" s="292"/>
      <c r="QJZ21" s="292"/>
      <c r="QKA21" s="292"/>
      <c r="QKB21" s="292"/>
      <c r="QKC21" s="292"/>
      <c r="QKD21" s="292"/>
      <c r="QKE21" s="292"/>
      <c r="QKF21" s="292"/>
      <c r="QKG21" s="292"/>
      <c r="QKH21" s="292"/>
      <c r="QKI21" s="292"/>
      <c r="QKJ21" s="292"/>
      <c r="QKK21" s="292"/>
      <c r="QKL21" s="292"/>
      <c r="QKM21" s="292"/>
      <c r="QKN21" s="292"/>
      <c r="QKO21" s="292"/>
      <c r="QKP21" s="292"/>
      <c r="QKQ21" s="292"/>
      <c r="QKR21" s="292"/>
      <c r="QKS21" s="292"/>
      <c r="QKT21" s="292"/>
      <c r="QKU21" s="292"/>
      <c r="QKV21" s="292"/>
      <c r="QKW21" s="292"/>
      <c r="QKX21" s="292"/>
      <c r="QKY21" s="292"/>
      <c r="QKZ21" s="292"/>
      <c r="QLA21" s="292"/>
      <c r="QLB21" s="292"/>
      <c r="QLC21" s="292"/>
      <c r="QLD21" s="292"/>
      <c r="QLE21" s="292"/>
      <c r="QLF21" s="292"/>
      <c r="QLG21" s="292"/>
      <c r="QLH21" s="292"/>
      <c r="QLI21" s="292"/>
      <c r="QLJ21" s="292"/>
      <c r="QLK21" s="292"/>
      <c r="QLL21" s="292"/>
      <c r="QLM21" s="292"/>
      <c r="QLN21" s="292"/>
      <c r="QLO21" s="292"/>
      <c r="QLP21" s="292"/>
      <c r="QLQ21" s="292"/>
      <c r="QLR21" s="292"/>
      <c r="QLS21" s="292"/>
      <c r="QLT21" s="292"/>
      <c r="QLU21" s="292"/>
      <c r="QLV21" s="292"/>
      <c r="QLW21" s="292"/>
      <c r="QLX21" s="292"/>
      <c r="QLY21" s="292"/>
      <c r="QLZ21" s="292"/>
      <c r="QMA21" s="292"/>
      <c r="QMB21" s="292"/>
      <c r="QMC21" s="292"/>
      <c r="QMD21" s="292"/>
      <c r="QME21" s="292"/>
      <c r="QMF21" s="292"/>
      <c r="QMG21" s="292"/>
      <c r="QMH21" s="292"/>
      <c r="QMI21" s="292"/>
      <c r="QMJ21" s="292"/>
      <c r="QMK21" s="292"/>
      <c r="QML21" s="292"/>
      <c r="QMM21" s="292"/>
      <c r="QMN21" s="292"/>
      <c r="QMO21" s="292"/>
      <c r="QMP21" s="292"/>
      <c r="QMQ21" s="292"/>
      <c r="QMR21" s="292"/>
      <c r="QMS21" s="292"/>
      <c r="QMT21" s="292"/>
      <c r="QMU21" s="292"/>
      <c r="QMV21" s="292"/>
      <c r="QMW21" s="292"/>
      <c r="QMX21" s="292"/>
      <c r="QMY21" s="292"/>
      <c r="QMZ21" s="292"/>
      <c r="QNA21" s="292"/>
      <c r="QNB21" s="292"/>
      <c r="QNC21" s="292"/>
      <c r="QND21" s="292"/>
      <c r="QNE21" s="292"/>
      <c r="QNF21" s="292"/>
      <c r="QNG21" s="292"/>
      <c r="QNH21" s="292"/>
      <c r="QNI21" s="292"/>
      <c r="QNJ21" s="292"/>
      <c r="QNK21" s="292"/>
      <c r="QNL21" s="292"/>
      <c r="QNM21" s="292"/>
      <c r="QNN21" s="292"/>
      <c r="QNO21" s="292"/>
      <c r="QNP21" s="292"/>
      <c r="QNQ21" s="292"/>
      <c r="QNR21" s="292"/>
      <c r="QNS21" s="292"/>
      <c r="QNT21" s="292"/>
      <c r="QNU21" s="292"/>
      <c r="QNV21" s="292"/>
      <c r="QNW21" s="292"/>
      <c r="QNX21" s="292"/>
      <c r="QNY21" s="292"/>
      <c r="QNZ21" s="292"/>
      <c r="QOA21" s="292"/>
      <c r="QOB21" s="292"/>
      <c r="QOC21" s="292"/>
      <c r="QOD21" s="292"/>
      <c r="QOE21" s="292"/>
      <c r="QOF21" s="292"/>
      <c r="QOG21" s="292"/>
      <c r="QOH21" s="292"/>
      <c r="QOI21" s="292"/>
      <c r="QOJ21" s="292"/>
      <c r="QOK21" s="292"/>
      <c r="QOL21" s="292"/>
      <c r="QOM21" s="292"/>
      <c r="QON21" s="292"/>
      <c r="QOO21" s="292"/>
      <c r="QOP21" s="292"/>
      <c r="QOQ21" s="292"/>
      <c r="QOR21" s="292"/>
      <c r="QOS21" s="292"/>
      <c r="QOT21" s="292"/>
      <c r="QOU21" s="292"/>
      <c r="QOV21" s="292"/>
      <c r="QOW21" s="292"/>
      <c r="QOX21" s="292"/>
      <c r="QOY21" s="292"/>
      <c r="QOZ21" s="292"/>
      <c r="QPA21" s="292"/>
      <c r="QPB21" s="292"/>
      <c r="QPC21" s="292"/>
      <c r="QPD21" s="292"/>
      <c r="QPE21" s="292"/>
      <c r="QPF21" s="292"/>
      <c r="QPG21" s="292"/>
      <c r="QPH21" s="292"/>
      <c r="QPI21" s="292"/>
      <c r="QPJ21" s="292"/>
      <c r="QPK21" s="292"/>
      <c r="QPL21" s="292"/>
      <c r="QPM21" s="292"/>
      <c r="QPN21" s="292"/>
      <c r="QPO21" s="292"/>
      <c r="QPP21" s="292"/>
      <c r="QPQ21" s="292"/>
      <c r="QPR21" s="292"/>
      <c r="QPS21" s="292"/>
      <c r="QPT21" s="292"/>
      <c r="QPU21" s="292"/>
      <c r="QPV21" s="292"/>
      <c r="QPW21" s="292"/>
      <c r="QPX21" s="292"/>
      <c r="QPY21" s="292"/>
      <c r="QPZ21" s="292"/>
      <c r="QQA21" s="292"/>
      <c r="QQB21" s="292"/>
      <c r="QQC21" s="292"/>
      <c r="QQD21" s="292"/>
      <c r="QQE21" s="292"/>
      <c r="QQF21" s="292"/>
      <c r="QQG21" s="292"/>
      <c r="QQH21" s="292"/>
      <c r="QQI21" s="292"/>
      <c r="QQJ21" s="292"/>
      <c r="QQK21" s="292"/>
      <c r="QQL21" s="292"/>
      <c r="QQM21" s="292"/>
      <c r="QQN21" s="292"/>
      <c r="QQO21" s="292"/>
      <c r="QQP21" s="292"/>
      <c r="QQQ21" s="292"/>
      <c r="QQR21" s="292"/>
      <c r="QQS21" s="292"/>
      <c r="QQT21" s="292"/>
      <c r="QQU21" s="292"/>
      <c r="QQV21" s="292"/>
      <c r="QQW21" s="292"/>
      <c r="QQX21" s="292"/>
      <c r="QQY21" s="292"/>
      <c r="QQZ21" s="292"/>
      <c r="QRA21" s="292"/>
      <c r="QRB21" s="292"/>
      <c r="QRC21" s="292"/>
      <c r="QRD21" s="292"/>
      <c r="QRE21" s="292"/>
      <c r="QRF21" s="292"/>
      <c r="QRG21" s="292"/>
      <c r="QRH21" s="292"/>
      <c r="QRI21" s="292"/>
      <c r="QRJ21" s="292"/>
      <c r="QRK21" s="292"/>
      <c r="QRL21" s="292"/>
      <c r="QRM21" s="292"/>
      <c r="QRN21" s="292"/>
      <c r="QRO21" s="292"/>
      <c r="QRP21" s="292"/>
      <c r="QRQ21" s="292"/>
      <c r="QRR21" s="292"/>
      <c r="QRS21" s="292"/>
      <c r="QRT21" s="292"/>
      <c r="QRU21" s="292"/>
      <c r="QRV21" s="292"/>
      <c r="QRW21" s="292"/>
      <c r="QRX21" s="292"/>
      <c r="QRY21" s="292"/>
      <c r="QRZ21" s="292"/>
      <c r="QSA21" s="292"/>
      <c r="QSB21" s="292"/>
      <c r="QSC21" s="292"/>
      <c r="QSD21" s="292"/>
      <c r="QSE21" s="292"/>
      <c r="QSF21" s="292"/>
      <c r="QSG21" s="292"/>
      <c r="QSH21" s="292"/>
      <c r="QSI21" s="292"/>
      <c r="QSJ21" s="292"/>
      <c r="QSK21" s="292"/>
      <c r="QSL21" s="292"/>
      <c r="QSM21" s="292"/>
      <c r="QSN21" s="292"/>
      <c r="QSO21" s="292"/>
      <c r="QSP21" s="292"/>
      <c r="QSQ21" s="292"/>
      <c r="QSR21" s="292"/>
      <c r="QSS21" s="292"/>
      <c r="QST21" s="292"/>
      <c r="QSU21" s="292"/>
      <c r="QSV21" s="292"/>
      <c r="QSW21" s="292"/>
      <c r="QSX21" s="292"/>
      <c r="QSY21" s="292"/>
      <c r="QSZ21" s="292"/>
      <c r="QTA21" s="292"/>
      <c r="QTB21" s="292"/>
      <c r="QTC21" s="292"/>
      <c r="QTD21" s="292"/>
      <c r="QTE21" s="292"/>
      <c r="QTF21" s="292"/>
      <c r="QTG21" s="292"/>
      <c r="QTH21" s="292"/>
      <c r="QTI21" s="292"/>
      <c r="QTJ21" s="292"/>
      <c r="QTK21" s="292"/>
      <c r="QTL21" s="292"/>
      <c r="QTM21" s="292"/>
      <c r="QTN21" s="292"/>
      <c r="QTO21" s="292"/>
      <c r="QTP21" s="292"/>
      <c r="QTQ21" s="292"/>
      <c r="QTR21" s="292"/>
      <c r="QTS21" s="292"/>
      <c r="QTT21" s="292"/>
      <c r="QTU21" s="292"/>
      <c r="QTV21" s="292"/>
      <c r="QTW21" s="292"/>
      <c r="QTX21" s="292"/>
      <c r="QTY21" s="292"/>
      <c r="QTZ21" s="292"/>
      <c r="QUA21" s="292"/>
      <c r="QUB21" s="292"/>
      <c r="QUC21" s="292"/>
      <c r="QUD21" s="292"/>
      <c r="QUE21" s="292"/>
      <c r="QUF21" s="292"/>
      <c r="QUG21" s="292"/>
      <c r="QUH21" s="292"/>
      <c r="QUI21" s="292"/>
      <c r="QUJ21" s="292"/>
      <c r="QUK21" s="292"/>
      <c r="QUL21" s="292"/>
      <c r="QUM21" s="292"/>
      <c r="QUN21" s="292"/>
      <c r="QUO21" s="292"/>
      <c r="QUP21" s="292"/>
      <c r="QUQ21" s="292"/>
      <c r="QUR21" s="292"/>
      <c r="QUS21" s="292"/>
      <c r="QUT21" s="292"/>
      <c r="QUU21" s="292"/>
      <c r="QUV21" s="292"/>
      <c r="QUW21" s="292"/>
      <c r="QUX21" s="292"/>
      <c r="QUY21" s="292"/>
      <c r="QUZ21" s="292"/>
      <c r="QVA21" s="292"/>
      <c r="QVB21" s="292"/>
      <c r="QVC21" s="292"/>
      <c r="QVD21" s="292"/>
      <c r="QVE21" s="292"/>
      <c r="QVF21" s="292"/>
      <c r="QVG21" s="292"/>
      <c r="QVH21" s="292"/>
      <c r="QVI21" s="292"/>
      <c r="QVJ21" s="292"/>
      <c r="QVK21" s="292"/>
      <c r="QVL21" s="292"/>
      <c r="QVM21" s="292"/>
      <c r="QVN21" s="292"/>
      <c r="QVO21" s="292"/>
      <c r="QVP21" s="292"/>
      <c r="QVQ21" s="292"/>
      <c r="QVR21" s="292"/>
      <c r="QVS21" s="292"/>
      <c r="QVT21" s="292"/>
      <c r="QVU21" s="292"/>
      <c r="QVV21" s="292"/>
      <c r="QVW21" s="292"/>
      <c r="QVX21" s="292"/>
      <c r="QVY21" s="292"/>
      <c r="QVZ21" s="292"/>
      <c r="QWA21" s="292"/>
      <c r="QWB21" s="292"/>
      <c r="QWC21" s="292"/>
      <c r="QWD21" s="292"/>
      <c r="QWE21" s="292"/>
      <c r="QWF21" s="292"/>
      <c r="QWG21" s="292"/>
      <c r="QWH21" s="292"/>
      <c r="QWI21" s="292"/>
      <c r="QWJ21" s="292"/>
      <c r="QWK21" s="292"/>
      <c r="QWL21" s="292"/>
      <c r="QWM21" s="292"/>
      <c r="QWN21" s="292"/>
      <c r="QWO21" s="292"/>
      <c r="QWP21" s="292"/>
      <c r="QWQ21" s="292"/>
      <c r="QWR21" s="292"/>
      <c r="QWS21" s="292"/>
      <c r="QWT21" s="292"/>
      <c r="QWU21" s="292"/>
      <c r="QWV21" s="292"/>
      <c r="QWW21" s="292"/>
      <c r="QWX21" s="292"/>
      <c r="QWY21" s="292"/>
      <c r="QWZ21" s="292"/>
      <c r="QXA21" s="292"/>
      <c r="QXB21" s="292"/>
      <c r="QXC21" s="292"/>
      <c r="QXD21" s="292"/>
      <c r="QXE21" s="292"/>
      <c r="QXF21" s="292"/>
      <c r="QXG21" s="292"/>
      <c r="QXH21" s="292"/>
      <c r="QXI21" s="292"/>
      <c r="QXJ21" s="292"/>
      <c r="QXK21" s="292"/>
      <c r="QXL21" s="292"/>
      <c r="QXM21" s="292"/>
      <c r="QXN21" s="292"/>
      <c r="QXO21" s="292"/>
      <c r="QXP21" s="292"/>
      <c r="QXQ21" s="292"/>
      <c r="QXR21" s="292"/>
      <c r="QXS21" s="292"/>
      <c r="QXT21" s="292"/>
      <c r="QXU21" s="292"/>
      <c r="QXV21" s="292"/>
      <c r="QXW21" s="292"/>
      <c r="QXX21" s="292"/>
      <c r="QXY21" s="292"/>
      <c r="QXZ21" s="292"/>
      <c r="QYA21" s="292"/>
      <c r="QYB21" s="292"/>
      <c r="QYC21" s="292"/>
      <c r="QYD21" s="292"/>
      <c r="QYE21" s="292"/>
      <c r="QYF21" s="292"/>
      <c r="QYG21" s="292"/>
      <c r="QYH21" s="292"/>
      <c r="QYI21" s="292"/>
      <c r="QYJ21" s="292"/>
      <c r="QYK21" s="292"/>
      <c r="QYL21" s="292"/>
      <c r="QYM21" s="292"/>
      <c r="QYN21" s="292"/>
      <c r="QYO21" s="292"/>
      <c r="QYP21" s="292"/>
      <c r="QYQ21" s="292"/>
      <c r="QYR21" s="292"/>
      <c r="QYS21" s="292"/>
      <c r="QYT21" s="292"/>
      <c r="QYU21" s="292"/>
      <c r="QYV21" s="292"/>
      <c r="QYW21" s="292"/>
      <c r="QYX21" s="292"/>
      <c r="QYY21" s="292"/>
      <c r="QYZ21" s="292"/>
      <c r="QZA21" s="292"/>
      <c r="QZB21" s="292"/>
      <c r="QZC21" s="292"/>
      <c r="QZD21" s="292"/>
      <c r="QZE21" s="292"/>
      <c r="QZF21" s="292"/>
      <c r="QZG21" s="292"/>
      <c r="QZH21" s="292"/>
      <c r="QZI21" s="292"/>
      <c r="QZJ21" s="292"/>
      <c r="QZK21" s="292"/>
      <c r="QZL21" s="292"/>
      <c r="QZM21" s="292"/>
      <c r="QZN21" s="292"/>
      <c r="QZO21" s="292"/>
      <c r="QZP21" s="292"/>
      <c r="QZQ21" s="292"/>
      <c r="QZR21" s="292"/>
      <c r="QZS21" s="292"/>
      <c r="QZT21" s="292"/>
      <c r="QZU21" s="292"/>
      <c r="QZV21" s="292"/>
      <c r="QZW21" s="292"/>
      <c r="QZX21" s="292"/>
      <c r="QZY21" s="292"/>
      <c r="QZZ21" s="292"/>
      <c r="RAA21" s="292"/>
      <c r="RAB21" s="292"/>
      <c r="RAC21" s="292"/>
      <c r="RAD21" s="292"/>
      <c r="RAE21" s="292"/>
      <c r="RAF21" s="292"/>
      <c r="RAG21" s="292"/>
      <c r="RAH21" s="292"/>
      <c r="RAI21" s="292"/>
      <c r="RAJ21" s="292"/>
      <c r="RAK21" s="292"/>
      <c r="RAL21" s="292"/>
      <c r="RAM21" s="292"/>
      <c r="RAN21" s="292"/>
      <c r="RAO21" s="292"/>
      <c r="RAP21" s="292"/>
      <c r="RAQ21" s="292"/>
      <c r="RAR21" s="292"/>
      <c r="RAS21" s="292"/>
      <c r="RAT21" s="292"/>
      <c r="RAU21" s="292"/>
      <c r="RAV21" s="292"/>
      <c r="RAW21" s="292"/>
      <c r="RAX21" s="292"/>
      <c r="RAY21" s="292"/>
      <c r="RAZ21" s="292"/>
      <c r="RBA21" s="292"/>
      <c r="RBB21" s="292"/>
      <c r="RBC21" s="292"/>
      <c r="RBD21" s="292"/>
      <c r="RBE21" s="292"/>
      <c r="RBF21" s="292"/>
      <c r="RBG21" s="292"/>
      <c r="RBH21" s="292"/>
      <c r="RBI21" s="292"/>
      <c r="RBJ21" s="292"/>
      <c r="RBK21" s="292"/>
      <c r="RBL21" s="292"/>
      <c r="RBM21" s="292"/>
      <c r="RBN21" s="292"/>
      <c r="RBO21" s="292"/>
      <c r="RBP21" s="292"/>
      <c r="RBQ21" s="292"/>
      <c r="RBR21" s="292"/>
      <c r="RBS21" s="292"/>
      <c r="RBT21" s="292"/>
      <c r="RBU21" s="292"/>
      <c r="RBV21" s="292"/>
      <c r="RBW21" s="292"/>
      <c r="RBX21" s="292"/>
      <c r="RBY21" s="292"/>
      <c r="RBZ21" s="292"/>
      <c r="RCA21" s="292"/>
      <c r="RCB21" s="292"/>
      <c r="RCC21" s="292"/>
      <c r="RCD21" s="292"/>
      <c r="RCE21" s="292"/>
      <c r="RCF21" s="292"/>
      <c r="RCG21" s="292"/>
      <c r="RCH21" s="292"/>
      <c r="RCI21" s="292"/>
      <c r="RCJ21" s="292"/>
      <c r="RCK21" s="292"/>
      <c r="RCL21" s="292"/>
      <c r="RCM21" s="292"/>
      <c r="RCN21" s="292"/>
      <c r="RCO21" s="292"/>
      <c r="RCP21" s="292"/>
      <c r="RCQ21" s="292"/>
      <c r="RCR21" s="292"/>
      <c r="RCS21" s="292"/>
      <c r="RCT21" s="292"/>
      <c r="RCU21" s="292"/>
      <c r="RCV21" s="292"/>
      <c r="RCW21" s="292"/>
      <c r="RCX21" s="292"/>
      <c r="RCY21" s="292"/>
      <c r="RCZ21" s="292"/>
      <c r="RDA21" s="292"/>
      <c r="RDB21" s="292"/>
      <c r="RDC21" s="292"/>
      <c r="RDD21" s="292"/>
      <c r="RDE21" s="292"/>
      <c r="RDF21" s="292"/>
      <c r="RDG21" s="292"/>
      <c r="RDH21" s="292"/>
      <c r="RDI21" s="292"/>
      <c r="RDJ21" s="292"/>
      <c r="RDK21" s="292"/>
      <c r="RDL21" s="292"/>
      <c r="RDM21" s="292"/>
      <c r="RDN21" s="292"/>
      <c r="RDO21" s="292"/>
      <c r="RDP21" s="292"/>
      <c r="RDQ21" s="292"/>
      <c r="RDR21" s="292"/>
      <c r="RDS21" s="292"/>
      <c r="RDT21" s="292"/>
      <c r="RDU21" s="292"/>
      <c r="RDV21" s="292"/>
      <c r="RDW21" s="292"/>
      <c r="RDX21" s="292"/>
      <c r="RDY21" s="292"/>
      <c r="RDZ21" s="292"/>
      <c r="REA21" s="292"/>
      <c r="REB21" s="292"/>
      <c r="REC21" s="292"/>
      <c r="RED21" s="292"/>
      <c r="REE21" s="292"/>
      <c r="REF21" s="292"/>
      <c r="REG21" s="292"/>
      <c r="REH21" s="292"/>
      <c r="REI21" s="292"/>
      <c r="REJ21" s="292"/>
      <c r="REK21" s="292"/>
      <c r="REL21" s="292"/>
      <c r="REM21" s="292"/>
      <c r="REN21" s="292"/>
      <c r="REO21" s="292"/>
      <c r="REP21" s="292"/>
      <c r="REQ21" s="292"/>
      <c r="RER21" s="292"/>
      <c r="RES21" s="292"/>
      <c r="RET21" s="292"/>
      <c r="REU21" s="292"/>
      <c r="REV21" s="292"/>
      <c r="REW21" s="292"/>
      <c r="REX21" s="292"/>
      <c r="REY21" s="292"/>
      <c r="REZ21" s="292"/>
      <c r="RFA21" s="292"/>
      <c r="RFB21" s="292"/>
      <c r="RFC21" s="292"/>
      <c r="RFD21" s="292"/>
      <c r="RFE21" s="292"/>
      <c r="RFF21" s="292"/>
      <c r="RFG21" s="292"/>
      <c r="RFH21" s="292"/>
      <c r="RFI21" s="292"/>
      <c r="RFJ21" s="292"/>
      <c r="RFK21" s="292"/>
      <c r="RFL21" s="292"/>
      <c r="RFM21" s="292"/>
      <c r="RFN21" s="292"/>
      <c r="RFO21" s="292"/>
      <c r="RFP21" s="292"/>
      <c r="RFQ21" s="292"/>
      <c r="RFR21" s="292"/>
      <c r="RFS21" s="292"/>
      <c r="RFT21" s="292"/>
      <c r="RFU21" s="292"/>
      <c r="RFV21" s="292"/>
      <c r="RFW21" s="292"/>
      <c r="RFX21" s="292"/>
      <c r="RFY21" s="292"/>
      <c r="RFZ21" s="292"/>
      <c r="RGA21" s="292"/>
      <c r="RGB21" s="292"/>
      <c r="RGC21" s="292"/>
      <c r="RGD21" s="292"/>
      <c r="RGE21" s="292"/>
      <c r="RGF21" s="292"/>
      <c r="RGG21" s="292"/>
      <c r="RGH21" s="292"/>
      <c r="RGI21" s="292"/>
      <c r="RGJ21" s="292"/>
      <c r="RGK21" s="292"/>
      <c r="RGL21" s="292"/>
      <c r="RGM21" s="292"/>
      <c r="RGN21" s="292"/>
      <c r="RGO21" s="292"/>
      <c r="RGP21" s="292"/>
      <c r="RGQ21" s="292"/>
      <c r="RGR21" s="292"/>
      <c r="RGS21" s="292"/>
      <c r="RGT21" s="292"/>
      <c r="RGU21" s="292"/>
      <c r="RGV21" s="292"/>
      <c r="RGW21" s="292"/>
      <c r="RGX21" s="292"/>
      <c r="RGY21" s="292"/>
      <c r="RGZ21" s="292"/>
      <c r="RHA21" s="292"/>
      <c r="RHB21" s="292"/>
      <c r="RHC21" s="292"/>
      <c r="RHD21" s="292"/>
      <c r="RHE21" s="292"/>
      <c r="RHF21" s="292"/>
      <c r="RHG21" s="292"/>
      <c r="RHH21" s="292"/>
      <c r="RHI21" s="292"/>
      <c r="RHJ21" s="292"/>
      <c r="RHK21" s="292"/>
      <c r="RHL21" s="292"/>
      <c r="RHM21" s="292"/>
      <c r="RHN21" s="292"/>
      <c r="RHO21" s="292"/>
      <c r="RHP21" s="292"/>
      <c r="RHQ21" s="292"/>
      <c r="RHR21" s="292"/>
      <c r="RHS21" s="292"/>
      <c r="RHT21" s="292"/>
      <c r="RHU21" s="292"/>
      <c r="RHV21" s="292"/>
      <c r="RHW21" s="292"/>
      <c r="RHX21" s="292"/>
      <c r="RHY21" s="292"/>
      <c r="RHZ21" s="292"/>
      <c r="RIA21" s="292"/>
      <c r="RIB21" s="292"/>
      <c r="RIC21" s="292"/>
      <c r="RID21" s="292"/>
      <c r="RIE21" s="292"/>
      <c r="RIF21" s="292"/>
      <c r="RIG21" s="292"/>
      <c r="RIH21" s="292"/>
      <c r="RII21" s="292"/>
      <c r="RIJ21" s="292"/>
      <c r="RIK21" s="292"/>
      <c r="RIL21" s="292"/>
      <c r="RIM21" s="292"/>
      <c r="RIN21" s="292"/>
      <c r="RIO21" s="292"/>
      <c r="RIP21" s="292"/>
      <c r="RIQ21" s="292"/>
      <c r="RIR21" s="292"/>
      <c r="RIS21" s="292"/>
      <c r="RIT21" s="292"/>
      <c r="RIU21" s="292"/>
      <c r="RIV21" s="292"/>
      <c r="RIW21" s="292"/>
      <c r="RIX21" s="292"/>
      <c r="RIY21" s="292"/>
      <c r="RIZ21" s="292"/>
      <c r="RJA21" s="292"/>
      <c r="RJB21" s="292"/>
      <c r="RJC21" s="292"/>
      <c r="RJD21" s="292"/>
      <c r="RJE21" s="292"/>
      <c r="RJF21" s="292"/>
      <c r="RJG21" s="292"/>
      <c r="RJH21" s="292"/>
      <c r="RJI21" s="292"/>
      <c r="RJJ21" s="292"/>
      <c r="RJK21" s="292"/>
      <c r="RJL21" s="292"/>
      <c r="RJM21" s="292"/>
      <c r="RJN21" s="292"/>
      <c r="RJO21" s="292"/>
      <c r="RJP21" s="292"/>
      <c r="RJQ21" s="292"/>
      <c r="RJR21" s="292"/>
      <c r="RJS21" s="292"/>
      <c r="RJT21" s="292"/>
      <c r="RJU21" s="292"/>
      <c r="RJV21" s="292"/>
      <c r="RJW21" s="292"/>
      <c r="RJX21" s="292"/>
      <c r="RJY21" s="292"/>
      <c r="RJZ21" s="292"/>
      <c r="RKA21" s="292"/>
      <c r="RKB21" s="292"/>
      <c r="RKC21" s="292"/>
      <c r="RKD21" s="292"/>
      <c r="RKE21" s="292"/>
      <c r="RKF21" s="292"/>
      <c r="RKG21" s="292"/>
      <c r="RKH21" s="292"/>
      <c r="RKI21" s="292"/>
      <c r="RKJ21" s="292"/>
      <c r="RKK21" s="292"/>
      <c r="RKL21" s="292"/>
      <c r="RKM21" s="292"/>
      <c r="RKN21" s="292"/>
      <c r="RKO21" s="292"/>
      <c r="RKP21" s="292"/>
      <c r="RKQ21" s="292"/>
      <c r="RKR21" s="292"/>
      <c r="RKS21" s="292"/>
      <c r="RKT21" s="292"/>
      <c r="RKU21" s="292"/>
      <c r="RKV21" s="292"/>
      <c r="RKW21" s="292"/>
      <c r="RKX21" s="292"/>
      <c r="RKY21" s="292"/>
      <c r="RKZ21" s="292"/>
      <c r="RLA21" s="292"/>
      <c r="RLB21" s="292"/>
      <c r="RLC21" s="292"/>
      <c r="RLD21" s="292"/>
      <c r="RLE21" s="292"/>
      <c r="RLF21" s="292"/>
      <c r="RLG21" s="292"/>
      <c r="RLH21" s="292"/>
      <c r="RLI21" s="292"/>
      <c r="RLJ21" s="292"/>
      <c r="RLK21" s="292"/>
      <c r="RLL21" s="292"/>
      <c r="RLM21" s="292"/>
      <c r="RLN21" s="292"/>
      <c r="RLO21" s="292"/>
      <c r="RLP21" s="292"/>
      <c r="RLQ21" s="292"/>
      <c r="RLR21" s="292"/>
      <c r="RLS21" s="292"/>
      <c r="RLT21" s="292"/>
      <c r="RLU21" s="292"/>
      <c r="RLV21" s="292"/>
      <c r="RLW21" s="292"/>
      <c r="RLX21" s="292"/>
      <c r="RLY21" s="292"/>
      <c r="RLZ21" s="292"/>
      <c r="RMA21" s="292"/>
      <c r="RMB21" s="292"/>
      <c r="RMC21" s="292"/>
      <c r="RMD21" s="292"/>
      <c r="RME21" s="292"/>
      <c r="RMF21" s="292"/>
      <c r="RMG21" s="292"/>
      <c r="RMH21" s="292"/>
      <c r="RMI21" s="292"/>
      <c r="RMJ21" s="292"/>
      <c r="RMK21" s="292"/>
      <c r="RML21" s="292"/>
      <c r="RMM21" s="292"/>
      <c r="RMN21" s="292"/>
      <c r="RMO21" s="292"/>
      <c r="RMP21" s="292"/>
      <c r="RMQ21" s="292"/>
      <c r="RMR21" s="292"/>
      <c r="RMS21" s="292"/>
      <c r="RMT21" s="292"/>
      <c r="RMU21" s="292"/>
      <c r="RMV21" s="292"/>
      <c r="RMW21" s="292"/>
      <c r="RMX21" s="292"/>
      <c r="RMY21" s="292"/>
      <c r="RMZ21" s="292"/>
      <c r="RNA21" s="292"/>
      <c r="RNB21" s="292"/>
      <c r="RNC21" s="292"/>
      <c r="RND21" s="292"/>
      <c r="RNE21" s="292"/>
      <c r="RNF21" s="292"/>
      <c r="RNG21" s="292"/>
      <c r="RNH21" s="292"/>
      <c r="RNI21" s="292"/>
      <c r="RNJ21" s="292"/>
      <c r="RNK21" s="292"/>
      <c r="RNL21" s="292"/>
      <c r="RNM21" s="292"/>
      <c r="RNN21" s="292"/>
      <c r="RNO21" s="292"/>
      <c r="RNP21" s="292"/>
      <c r="RNQ21" s="292"/>
      <c r="RNR21" s="292"/>
      <c r="RNS21" s="292"/>
      <c r="RNT21" s="292"/>
      <c r="RNU21" s="292"/>
      <c r="RNV21" s="292"/>
      <c r="RNW21" s="292"/>
      <c r="RNX21" s="292"/>
      <c r="RNY21" s="292"/>
      <c r="RNZ21" s="292"/>
      <c r="ROA21" s="292"/>
      <c r="ROB21" s="292"/>
      <c r="ROC21" s="292"/>
      <c r="ROD21" s="292"/>
      <c r="ROE21" s="292"/>
      <c r="ROF21" s="292"/>
      <c r="ROG21" s="292"/>
      <c r="ROH21" s="292"/>
      <c r="ROI21" s="292"/>
      <c r="ROJ21" s="292"/>
      <c r="ROK21" s="292"/>
      <c r="ROL21" s="292"/>
      <c r="ROM21" s="292"/>
      <c r="RON21" s="292"/>
      <c r="ROO21" s="292"/>
      <c r="ROP21" s="292"/>
      <c r="ROQ21" s="292"/>
      <c r="ROR21" s="292"/>
      <c r="ROS21" s="292"/>
      <c r="ROT21" s="292"/>
      <c r="ROU21" s="292"/>
      <c r="ROV21" s="292"/>
      <c r="ROW21" s="292"/>
      <c r="ROX21" s="292"/>
      <c r="ROY21" s="292"/>
      <c r="ROZ21" s="292"/>
      <c r="RPA21" s="292"/>
      <c r="RPB21" s="292"/>
      <c r="RPC21" s="292"/>
      <c r="RPD21" s="292"/>
      <c r="RPE21" s="292"/>
      <c r="RPF21" s="292"/>
      <c r="RPG21" s="292"/>
      <c r="RPH21" s="292"/>
      <c r="RPI21" s="292"/>
      <c r="RPJ21" s="292"/>
      <c r="RPK21" s="292"/>
      <c r="RPL21" s="292"/>
      <c r="RPM21" s="292"/>
      <c r="RPN21" s="292"/>
      <c r="RPO21" s="292"/>
      <c r="RPP21" s="292"/>
      <c r="RPQ21" s="292"/>
      <c r="RPR21" s="292"/>
      <c r="RPS21" s="292"/>
      <c r="RPT21" s="292"/>
      <c r="RPU21" s="292"/>
      <c r="RPV21" s="292"/>
      <c r="RPW21" s="292"/>
      <c r="RPX21" s="292"/>
      <c r="RPY21" s="292"/>
      <c r="RPZ21" s="292"/>
      <c r="RQA21" s="292"/>
      <c r="RQB21" s="292"/>
      <c r="RQC21" s="292"/>
      <c r="RQD21" s="292"/>
      <c r="RQE21" s="292"/>
      <c r="RQF21" s="292"/>
      <c r="RQG21" s="292"/>
      <c r="RQH21" s="292"/>
      <c r="RQI21" s="292"/>
      <c r="RQJ21" s="292"/>
      <c r="RQK21" s="292"/>
      <c r="RQL21" s="292"/>
      <c r="RQM21" s="292"/>
      <c r="RQN21" s="292"/>
      <c r="RQO21" s="292"/>
      <c r="RQP21" s="292"/>
      <c r="RQQ21" s="292"/>
      <c r="RQR21" s="292"/>
      <c r="RQS21" s="292"/>
      <c r="RQT21" s="292"/>
      <c r="RQU21" s="292"/>
      <c r="RQV21" s="292"/>
      <c r="RQW21" s="292"/>
      <c r="RQX21" s="292"/>
      <c r="RQY21" s="292"/>
      <c r="RQZ21" s="292"/>
      <c r="RRA21" s="292"/>
      <c r="RRB21" s="292"/>
      <c r="RRC21" s="292"/>
      <c r="RRD21" s="292"/>
      <c r="RRE21" s="292"/>
      <c r="RRF21" s="292"/>
      <c r="RRG21" s="292"/>
      <c r="RRH21" s="292"/>
      <c r="RRI21" s="292"/>
      <c r="RRJ21" s="292"/>
      <c r="RRK21" s="292"/>
      <c r="RRL21" s="292"/>
      <c r="RRM21" s="292"/>
      <c r="RRN21" s="292"/>
      <c r="RRO21" s="292"/>
      <c r="RRP21" s="292"/>
      <c r="RRQ21" s="292"/>
      <c r="RRR21" s="292"/>
      <c r="RRS21" s="292"/>
      <c r="RRT21" s="292"/>
      <c r="RRU21" s="292"/>
      <c r="RRV21" s="292"/>
      <c r="RRW21" s="292"/>
      <c r="RRX21" s="292"/>
      <c r="RRY21" s="292"/>
      <c r="RRZ21" s="292"/>
      <c r="RSA21" s="292"/>
      <c r="RSB21" s="292"/>
      <c r="RSC21" s="292"/>
      <c r="RSD21" s="292"/>
      <c r="RSE21" s="292"/>
      <c r="RSF21" s="292"/>
      <c r="RSG21" s="292"/>
      <c r="RSH21" s="292"/>
      <c r="RSI21" s="292"/>
      <c r="RSJ21" s="292"/>
      <c r="RSK21" s="292"/>
      <c r="RSL21" s="292"/>
      <c r="RSM21" s="292"/>
      <c r="RSN21" s="292"/>
      <c r="RSO21" s="292"/>
      <c r="RSP21" s="292"/>
      <c r="RSQ21" s="292"/>
      <c r="RSR21" s="292"/>
      <c r="RSS21" s="292"/>
      <c r="RST21" s="292"/>
      <c r="RSU21" s="292"/>
      <c r="RSV21" s="292"/>
      <c r="RSW21" s="292"/>
      <c r="RSX21" s="292"/>
      <c r="RSY21" s="292"/>
      <c r="RSZ21" s="292"/>
      <c r="RTA21" s="292"/>
      <c r="RTB21" s="292"/>
      <c r="RTC21" s="292"/>
      <c r="RTD21" s="292"/>
      <c r="RTE21" s="292"/>
      <c r="RTF21" s="292"/>
      <c r="RTG21" s="292"/>
      <c r="RTH21" s="292"/>
      <c r="RTI21" s="292"/>
      <c r="RTJ21" s="292"/>
      <c r="RTK21" s="292"/>
      <c r="RTL21" s="292"/>
      <c r="RTM21" s="292"/>
      <c r="RTN21" s="292"/>
      <c r="RTO21" s="292"/>
      <c r="RTP21" s="292"/>
      <c r="RTQ21" s="292"/>
      <c r="RTR21" s="292"/>
      <c r="RTS21" s="292"/>
      <c r="RTT21" s="292"/>
      <c r="RTU21" s="292"/>
      <c r="RTV21" s="292"/>
      <c r="RTW21" s="292"/>
      <c r="RTX21" s="292"/>
      <c r="RTY21" s="292"/>
      <c r="RTZ21" s="292"/>
      <c r="RUA21" s="292"/>
      <c r="RUB21" s="292"/>
      <c r="RUC21" s="292"/>
      <c r="RUD21" s="292"/>
      <c r="RUE21" s="292"/>
      <c r="RUF21" s="292"/>
      <c r="RUG21" s="292"/>
      <c r="RUH21" s="292"/>
      <c r="RUI21" s="292"/>
      <c r="RUJ21" s="292"/>
      <c r="RUK21" s="292"/>
      <c r="RUL21" s="292"/>
      <c r="RUM21" s="292"/>
      <c r="RUN21" s="292"/>
      <c r="RUO21" s="292"/>
      <c r="RUP21" s="292"/>
      <c r="RUQ21" s="292"/>
      <c r="RUR21" s="292"/>
      <c r="RUS21" s="292"/>
      <c r="RUT21" s="292"/>
      <c r="RUU21" s="292"/>
      <c r="RUV21" s="292"/>
      <c r="RUW21" s="292"/>
      <c r="RUX21" s="292"/>
      <c r="RUY21" s="292"/>
      <c r="RUZ21" s="292"/>
      <c r="RVA21" s="292"/>
      <c r="RVB21" s="292"/>
      <c r="RVC21" s="292"/>
      <c r="RVD21" s="292"/>
      <c r="RVE21" s="292"/>
      <c r="RVF21" s="292"/>
      <c r="RVG21" s="292"/>
      <c r="RVH21" s="292"/>
      <c r="RVI21" s="292"/>
      <c r="RVJ21" s="292"/>
      <c r="RVK21" s="292"/>
      <c r="RVL21" s="292"/>
      <c r="RVM21" s="292"/>
      <c r="RVN21" s="292"/>
      <c r="RVO21" s="292"/>
      <c r="RVP21" s="292"/>
      <c r="RVQ21" s="292"/>
      <c r="RVR21" s="292"/>
      <c r="RVS21" s="292"/>
      <c r="RVT21" s="292"/>
      <c r="RVU21" s="292"/>
      <c r="RVV21" s="292"/>
      <c r="RVW21" s="292"/>
      <c r="RVX21" s="292"/>
      <c r="RVY21" s="292"/>
      <c r="RVZ21" s="292"/>
      <c r="RWA21" s="292"/>
      <c r="RWB21" s="292"/>
      <c r="RWC21" s="292"/>
      <c r="RWD21" s="292"/>
      <c r="RWE21" s="292"/>
      <c r="RWF21" s="292"/>
      <c r="RWG21" s="292"/>
      <c r="RWH21" s="292"/>
      <c r="RWI21" s="292"/>
      <c r="RWJ21" s="292"/>
      <c r="RWK21" s="292"/>
      <c r="RWL21" s="292"/>
      <c r="RWM21" s="292"/>
      <c r="RWN21" s="292"/>
      <c r="RWO21" s="292"/>
      <c r="RWP21" s="292"/>
      <c r="RWQ21" s="292"/>
      <c r="RWR21" s="292"/>
      <c r="RWS21" s="292"/>
      <c r="RWT21" s="292"/>
      <c r="RWU21" s="292"/>
      <c r="RWV21" s="292"/>
      <c r="RWW21" s="292"/>
      <c r="RWX21" s="292"/>
      <c r="RWY21" s="292"/>
      <c r="RWZ21" s="292"/>
      <c r="RXA21" s="292"/>
      <c r="RXB21" s="292"/>
      <c r="RXC21" s="292"/>
      <c r="RXD21" s="292"/>
      <c r="RXE21" s="292"/>
      <c r="RXF21" s="292"/>
      <c r="RXG21" s="292"/>
      <c r="RXH21" s="292"/>
      <c r="RXI21" s="292"/>
      <c r="RXJ21" s="292"/>
      <c r="RXK21" s="292"/>
      <c r="RXL21" s="292"/>
      <c r="RXM21" s="292"/>
      <c r="RXN21" s="292"/>
      <c r="RXO21" s="292"/>
      <c r="RXP21" s="292"/>
      <c r="RXQ21" s="292"/>
      <c r="RXR21" s="292"/>
      <c r="RXS21" s="292"/>
      <c r="RXT21" s="292"/>
      <c r="RXU21" s="292"/>
      <c r="RXV21" s="292"/>
      <c r="RXW21" s="292"/>
      <c r="RXX21" s="292"/>
      <c r="RXY21" s="292"/>
      <c r="RXZ21" s="292"/>
      <c r="RYA21" s="292"/>
      <c r="RYB21" s="292"/>
      <c r="RYC21" s="292"/>
      <c r="RYD21" s="292"/>
      <c r="RYE21" s="292"/>
      <c r="RYF21" s="292"/>
      <c r="RYG21" s="292"/>
      <c r="RYH21" s="292"/>
      <c r="RYI21" s="292"/>
      <c r="RYJ21" s="292"/>
      <c r="RYK21" s="292"/>
      <c r="RYL21" s="292"/>
      <c r="RYM21" s="292"/>
      <c r="RYN21" s="292"/>
      <c r="RYO21" s="292"/>
      <c r="RYP21" s="292"/>
      <c r="RYQ21" s="292"/>
      <c r="RYR21" s="292"/>
      <c r="RYS21" s="292"/>
      <c r="RYT21" s="292"/>
      <c r="RYU21" s="292"/>
      <c r="RYV21" s="292"/>
      <c r="RYW21" s="292"/>
      <c r="RYX21" s="292"/>
      <c r="RYY21" s="292"/>
      <c r="RYZ21" s="292"/>
      <c r="RZA21" s="292"/>
      <c r="RZB21" s="292"/>
      <c r="RZC21" s="292"/>
      <c r="RZD21" s="292"/>
      <c r="RZE21" s="292"/>
      <c r="RZF21" s="292"/>
      <c r="RZG21" s="292"/>
      <c r="RZH21" s="292"/>
      <c r="RZI21" s="292"/>
      <c r="RZJ21" s="292"/>
      <c r="RZK21" s="292"/>
      <c r="RZL21" s="292"/>
      <c r="RZM21" s="292"/>
      <c r="RZN21" s="292"/>
      <c r="RZO21" s="292"/>
      <c r="RZP21" s="292"/>
      <c r="RZQ21" s="292"/>
      <c r="RZR21" s="292"/>
      <c r="RZS21" s="292"/>
      <c r="RZT21" s="292"/>
      <c r="RZU21" s="292"/>
      <c r="RZV21" s="292"/>
      <c r="RZW21" s="292"/>
      <c r="RZX21" s="292"/>
      <c r="RZY21" s="292"/>
      <c r="RZZ21" s="292"/>
      <c r="SAA21" s="292"/>
      <c r="SAB21" s="292"/>
      <c r="SAC21" s="292"/>
      <c r="SAD21" s="292"/>
      <c r="SAE21" s="292"/>
      <c r="SAF21" s="292"/>
      <c r="SAG21" s="292"/>
      <c r="SAH21" s="292"/>
      <c r="SAI21" s="292"/>
      <c r="SAJ21" s="292"/>
      <c r="SAK21" s="292"/>
      <c r="SAL21" s="292"/>
      <c r="SAM21" s="292"/>
      <c r="SAN21" s="292"/>
      <c r="SAO21" s="292"/>
      <c r="SAP21" s="292"/>
      <c r="SAQ21" s="292"/>
      <c r="SAR21" s="292"/>
      <c r="SAS21" s="292"/>
      <c r="SAT21" s="292"/>
      <c r="SAU21" s="292"/>
      <c r="SAV21" s="292"/>
      <c r="SAW21" s="292"/>
      <c r="SAX21" s="292"/>
      <c r="SAY21" s="292"/>
      <c r="SAZ21" s="292"/>
      <c r="SBA21" s="292"/>
      <c r="SBB21" s="292"/>
      <c r="SBC21" s="292"/>
      <c r="SBD21" s="292"/>
      <c r="SBE21" s="292"/>
      <c r="SBF21" s="292"/>
      <c r="SBG21" s="292"/>
      <c r="SBH21" s="292"/>
      <c r="SBI21" s="292"/>
      <c r="SBJ21" s="292"/>
      <c r="SBK21" s="292"/>
      <c r="SBL21" s="292"/>
      <c r="SBM21" s="292"/>
      <c r="SBN21" s="292"/>
      <c r="SBO21" s="292"/>
      <c r="SBP21" s="292"/>
      <c r="SBQ21" s="292"/>
      <c r="SBR21" s="292"/>
      <c r="SBS21" s="292"/>
      <c r="SBT21" s="292"/>
      <c r="SBU21" s="292"/>
      <c r="SBV21" s="292"/>
      <c r="SBW21" s="292"/>
      <c r="SBX21" s="292"/>
      <c r="SBY21" s="292"/>
      <c r="SBZ21" s="292"/>
      <c r="SCA21" s="292"/>
      <c r="SCB21" s="292"/>
      <c r="SCC21" s="292"/>
      <c r="SCD21" s="292"/>
      <c r="SCE21" s="292"/>
      <c r="SCF21" s="292"/>
      <c r="SCG21" s="292"/>
      <c r="SCH21" s="292"/>
      <c r="SCI21" s="292"/>
      <c r="SCJ21" s="292"/>
      <c r="SCK21" s="292"/>
      <c r="SCL21" s="292"/>
      <c r="SCM21" s="292"/>
      <c r="SCN21" s="292"/>
      <c r="SCO21" s="292"/>
      <c r="SCP21" s="292"/>
      <c r="SCQ21" s="292"/>
      <c r="SCR21" s="292"/>
      <c r="SCS21" s="292"/>
      <c r="SCT21" s="292"/>
      <c r="SCU21" s="292"/>
      <c r="SCV21" s="292"/>
      <c r="SCW21" s="292"/>
      <c r="SCX21" s="292"/>
      <c r="SCY21" s="292"/>
      <c r="SCZ21" s="292"/>
      <c r="SDA21" s="292"/>
      <c r="SDB21" s="292"/>
      <c r="SDC21" s="292"/>
      <c r="SDD21" s="292"/>
      <c r="SDE21" s="292"/>
      <c r="SDF21" s="292"/>
      <c r="SDG21" s="292"/>
      <c r="SDH21" s="292"/>
      <c r="SDI21" s="292"/>
      <c r="SDJ21" s="292"/>
      <c r="SDK21" s="292"/>
      <c r="SDL21" s="292"/>
      <c r="SDM21" s="292"/>
      <c r="SDN21" s="292"/>
      <c r="SDO21" s="292"/>
      <c r="SDP21" s="292"/>
      <c r="SDQ21" s="292"/>
      <c r="SDR21" s="292"/>
      <c r="SDS21" s="292"/>
      <c r="SDT21" s="292"/>
      <c r="SDU21" s="292"/>
      <c r="SDV21" s="292"/>
      <c r="SDW21" s="292"/>
      <c r="SDX21" s="292"/>
      <c r="SDY21" s="292"/>
      <c r="SDZ21" s="292"/>
      <c r="SEA21" s="292"/>
      <c r="SEB21" s="292"/>
      <c r="SEC21" s="292"/>
      <c r="SED21" s="292"/>
      <c r="SEE21" s="292"/>
      <c r="SEF21" s="292"/>
      <c r="SEG21" s="292"/>
      <c r="SEH21" s="292"/>
      <c r="SEI21" s="292"/>
      <c r="SEJ21" s="292"/>
      <c r="SEK21" s="292"/>
      <c r="SEL21" s="292"/>
      <c r="SEM21" s="292"/>
      <c r="SEN21" s="292"/>
      <c r="SEO21" s="292"/>
      <c r="SEP21" s="292"/>
      <c r="SEQ21" s="292"/>
      <c r="SER21" s="292"/>
      <c r="SES21" s="292"/>
      <c r="SET21" s="292"/>
      <c r="SEU21" s="292"/>
      <c r="SEV21" s="292"/>
      <c r="SEW21" s="292"/>
      <c r="SEX21" s="292"/>
      <c r="SEY21" s="292"/>
      <c r="SEZ21" s="292"/>
      <c r="SFA21" s="292"/>
      <c r="SFB21" s="292"/>
      <c r="SFC21" s="292"/>
      <c r="SFD21" s="292"/>
      <c r="SFE21" s="292"/>
      <c r="SFF21" s="292"/>
      <c r="SFG21" s="292"/>
      <c r="SFH21" s="292"/>
      <c r="SFI21" s="292"/>
      <c r="SFJ21" s="292"/>
      <c r="SFK21" s="292"/>
      <c r="SFL21" s="292"/>
      <c r="SFM21" s="292"/>
      <c r="SFN21" s="292"/>
      <c r="SFO21" s="292"/>
      <c r="SFP21" s="292"/>
      <c r="SFQ21" s="292"/>
      <c r="SFR21" s="292"/>
      <c r="SFS21" s="292"/>
      <c r="SFT21" s="292"/>
      <c r="SFU21" s="292"/>
      <c r="SFV21" s="292"/>
      <c r="SFW21" s="292"/>
      <c r="SFX21" s="292"/>
      <c r="SFY21" s="292"/>
      <c r="SFZ21" s="292"/>
      <c r="SGA21" s="292"/>
      <c r="SGB21" s="292"/>
      <c r="SGC21" s="292"/>
      <c r="SGD21" s="292"/>
      <c r="SGE21" s="292"/>
      <c r="SGF21" s="292"/>
      <c r="SGG21" s="292"/>
      <c r="SGH21" s="292"/>
      <c r="SGI21" s="292"/>
      <c r="SGJ21" s="292"/>
      <c r="SGK21" s="292"/>
      <c r="SGL21" s="292"/>
      <c r="SGM21" s="292"/>
      <c r="SGN21" s="292"/>
      <c r="SGO21" s="292"/>
      <c r="SGP21" s="292"/>
      <c r="SGQ21" s="292"/>
      <c r="SGR21" s="292"/>
      <c r="SGS21" s="292"/>
      <c r="SGT21" s="292"/>
      <c r="SGU21" s="292"/>
      <c r="SGV21" s="292"/>
      <c r="SGW21" s="292"/>
      <c r="SGX21" s="292"/>
      <c r="SGY21" s="292"/>
      <c r="SGZ21" s="292"/>
      <c r="SHA21" s="292"/>
      <c r="SHB21" s="292"/>
      <c r="SHC21" s="292"/>
      <c r="SHD21" s="292"/>
      <c r="SHE21" s="292"/>
      <c r="SHF21" s="292"/>
      <c r="SHG21" s="292"/>
      <c r="SHH21" s="292"/>
      <c r="SHI21" s="292"/>
      <c r="SHJ21" s="292"/>
      <c r="SHK21" s="292"/>
      <c r="SHL21" s="292"/>
      <c r="SHM21" s="292"/>
      <c r="SHN21" s="292"/>
      <c r="SHO21" s="292"/>
      <c r="SHP21" s="292"/>
      <c r="SHQ21" s="292"/>
      <c r="SHR21" s="292"/>
      <c r="SHS21" s="292"/>
      <c r="SHT21" s="292"/>
      <c r="SHU21" s="292"/>
      <c r="SHV21" s="292"/>
      <c r="SHW21" s="292"/>
      <c r="SHX21" s="292"/>
      <c r="SHY21" s="292"/>
      <c r="SHZ21" s="292"/>
      <c r="SIA21" s="292"/>
      <c r="SIB21" s="292"/>
      <c r="SIC21" s="292"/>
      <c r="SID21" s="292"/>
      <c r="SIE21" s="292"/>
      <c r="SIF21" s="292"/>
      <c r="SIG21" s="292"/>
      <c r="SIH21" s="292"/>
      <c r="SII21" s="292"/>
      <c r="SIJ21" s="292"/>
      <c r="SIK21" s="292"/>
      <c r="SIL21" s="292"/>
      <c r="SIM21" s="292"/>
      <c r="SIN21" s="292"/>
      <c r="SIO21" s="292"/>
      <c r="SIP21" s="292"/>
      <c r="SIQ21" s="292"/>
      <c r="SIR21" s="292"/>
      <c r="SIS21" s="292"/>
      <c r="SIT21" s="292"/>
      <c r="SIU21" s="292"/>
      <c r="SIV21" s="292"/>
      <c r="SIW21" s="292"/>
      <c r="SIX21" s="292"/>
      <c r="SIY21" s="292"/>
      <c r="SIZ21" s="292"/>
      <c r="SJA21" s="292"/>
      <c r="SJB21" s="292"/>
      <c r="SJC21" s="292"/>
      <c r="SJD21" s="292"/>
      <c r="SJE21" s="292"/>
      <c r="SJF21" s="292"/>
      <c r="SJG21" s="292"/>
      <c r="SJH21" s="292"/>
      <c r="SJI21" s="292"/>
      <c r="SJJ21" s="292"/>
      <c r="SJK21" s="292"/>
      <c r="SJL21" s="292"/>
      <c r="SJM21" s="292"/>
      <c r="SJN21" s="292"/>
      <c r="SJO21" s="292"/>
      <c r="SJP21" s="292"/>
      <c r="SJQ21" s="292"/>
      <c r="SJR21" s="292"/>
      <c r="SJS21" s="292"/>
      <c r="SJT21" s="292"/>
      <c r="SJU21" s="292"/>
      <c r="SJV21" s="292"/>
      <c r="SJW21" s="292"/>
      <c r="SJX21" s="292"/>
      <c r="SJY21" s="292"/>
      <c r="SJZ21" s="292"/>
      <c r="SKA21" s="292"/>
      <c r="SKB21" s="292"/>
      <c r="SKC21" s="292"/>
      <c r="SKD21" s="292"/>
      <c r="SKE21" s="292"/>
      <c r="SKF21" s="292"/>
      <c r="SKG21" s="292"/>
      <c r="SKH21" s="292"/>
      <c r="SKI21" s="292"/>
      <c r="SKJ21" s="292"/>
      <c r="SKK21" s="292"/>
      <c r="SKL21" s="292"/>
      <c r="SKM21" s="292"/>
      <c r="SKN21" s="292"/>
      <c r="SKO21" s="292"/>
      <c r="SKP21" s="292"/>
      <c r="SKQ21" s="292"/>
      <c r="SKR21" s="292"/>
      <c r="SKS21" s="292"/>
      <c r="SKT21" s="292"/>
      <c r="SKU21" s="292"/>
      <c r="SKV21" s="292"/>
      <c r="SKW21" s="292"/>
      <c r="SKX21" s="292"/>
      <c r="SKY21" s="292"/>
      <c r="SKZ21" s="292"/>
      <c r="SLA21" s="292"/>
      <c r="SLB21" s="292"/>
      <c r="SLC21" s="292"/>
      <c r="SLD21" s="292"/>
      <c r="SLE21" s="292"/>
      <c r="SLF21" s="292"/>
      <c r="SLG21" s="292"/>
      <c r="SLH21" s="292"/>
      <c r="SLI21" s="292"/>
      <c r="SLJ21" s="292"/>
      <c r="SLK21" s="292"/>
      <c r="SLL21" s="292"/>
      <c r="SLM21" s="292"/>
      <c r="SLN21" s="292"/>
      <c r="SLO21" s="292"/>
      <c r="SLP21" s="292"/>
      <c r="SLQ21" s="292"/>
      <c r="SLR21" s="292"/>
      <c r="SLS21" s="292"/>
      <c r="SLT21" s="292"/>
      <c r="SLU21" s="292"/>
      <c r="SLV21" s="292"/>
      <c r="SLW21" s="292"/>
      <c r="SLX21" s="292"/>
      <c r="SLY21" s="292"/>
      <c r="SLZ21" s="292"/>
      <c r="SMA21" s="292"/>
      <c r="SMB21" s="292"/>
      <c r="SMC21" s="292"/>
      <c r="SMD21" s="292"/>
      <c r="SME21" s="292"/>
      <c r="SMF21" s="292"/>
      <c r="SMG21" s="292"/>
      <c r="SMH21" s="292"/>
      <c r="SMI21" s="292"/>
      <c r="SMJ21" s="292"/>
      <c r="SMK21" s="292"/>
      <c r="SML21" s="292"/>
      <c r="SMM21" s="292"/>
      <c r="SMN21" s="292"/>
      <c r="SMO21" s="292"/>
      <c r="SMP21" s="292"/>
      <c r="SMQ21" s="292"/>
      <c r="SMR21" s="292"/>
      <c r="SMS21" s="292"/>
      <c r="SMT21" s="292"/>
      <c r="SMU21" s="292"/>
      <c r="SMV21" s="292"/>
      <c r="SMW21" s="292"/>
      <c r="SMX21" s="292"/>
      <c r="SMY21" s="292"/>
      <c r="SMZ21" s="292"/>
      <c r="SNA21" s="292"/>
      <c r="SNB21" s="292"/>
      <c r="SNC21" s="292"/>
      <c r="SND21" s="292"/>
      <c r="SNE21" s="292"/>
      <c r="SNF21" s="292"/>
      <c r="SNG21" s="292"/>
      <c r="SNH21" s="292"/>
      <c r="SNI21" s="292"/>
      <c r="SNJ21" s="292"/>
      <c r="SNK21" s="292"/>
      <c r="SNL21" s="292"/>
      <c r="SNM21" s="292"/>
      <c r="SNN21" s="292"/>
      <c r="SNO21" s="292"/>
      <c r="SNP21" s="292"/>
      <c r="SNQ21" s="292"/>
      <c r="SNR21" s="292"/>
      <c r="SNS21" s="292"/>
      <c r="SNT21" s="292"/>
      <c r="SNU21" s="292"/>
      <c r="SNV21" s="292"/>
      <c r="SNW21" s="292"/>
      <c r="SNX21" s="292"/>
      <c r="SNY21" s="292"/>
      <c r="SNZ21" s="292"/>
      <c r="SOA21" s="292"/>
      <c r="SOB21" s="292"/>
      <c r="SOC21" s="292"/>
      <c r="SOD21" s="292"/>
      <c r="SOE21" s="292"/>
      <c r="SOF21" s="292"/>
      <c r="SOG21" s="292"/>
      <c r="SOH21" s="292"/>
      <c r="SOI21" s="292"/>
      <c r="SOJ21" s="292"/>
      <c r="SOK21" s="292"/>
      <c r="SOL21" s="292"/>
      <c r="SOM21" s="292"/>
      <c r="SON21" s="292"/>
      <c r="SOO21" s="292"/>
      <c r="SOP21" s="292"/>
      <c r="SOQ21" s="292"/>
      <c r="SOR21" s="292"/>
      <c r="SOS21" s="292"/>
      <c r="SOT21" s="292"/>
      <c r="SOU21" s="292"/>
      <c r="SOV21" s="292"/>
      <c r="SOW21" s="292"/>
      <c r="SOX21" s="292"/>
      <c r="SOY21" s="292"/>
      <c r="SOZ21" s="292"/>
      <c r="SPA21" s="292"/>
      <c r="SPB21" s="292"/>
      <c r="SPC21" s="292"/>
      <c r="SPD21" s="292"/>
      <c r="SPE21" s="292"/>
      <c r="SPF21" s="292"/>
      <c r="SPG21" s="292"/>
      <c r="SPH21" s="292"/>
      <c r="SPI21" s="292"/>
      <c r="SPJ21" s="292"/>
      <c r="SPK21" s="292"/>
      <c r="SPL21" s="292"/>
      <c r="SPM21" s="292"/>
      <c r="SPN21" s="292"/>
      <c r="SPO21" s="292"/>
      <c r="SPP21" s="292"/>
      <c r="SPQ21" s="292"/>
      <c r="SPR21" s="292"/>
      <c r="SPS21" s="292"/>
      <c r="SPT21" s="292"/>
      <c r="SPU21" s="292"/>
      <c r="SPV21" s="292"/>
      <c r="SPW21" s="292"/>
      <c r="SPX21" s="292"/>
      <c r="SPY21" s="292"/>
      <c r="SPZ21" s="292"/>
      <c r="SQA21" s="292"/>
      <c r="SQB21" s="292"/>
      <c r="SQC21" s="292"/>
      <c r="SQD21" s="292"/>
      <c r="SQE21" s="292"/>
      <c r="SQF21" s="292"/>
      <c r="SQG21" s="292"/>
      <c r="SQH21" s="292"/>
      <c r="SQI21" s="292"/>
      <c r="SQJ21" s="292"/>
      <c r="SQK21" s="292"/>
      <c r="SQL21" s="292"/>
      <c r="SQM21" s="292"/>
      <c r="SQN21" s="292"/>
      <c r="SQO21" s="292"/>
      <c r="SQP21" s="292"/>
      <c r="SQQ21" s="292"/>
      <c r="SQR21" s="292"/>
      <c r="SQS21" s="292"/>
      <c r="SQT21" s="292"/>
      <c r="SQU21" s="292"/>
      <c r="SQV21" s="292"/>
      <c r="SQW21" s="292"/>
      <c r="SQX21" s="292"/>
      <c r="SQY21" s="292"/>
      <c r="SQZ21" s="292"/>
      <c r="SRA21" s="292"/>
      <c r="SRB21" s="292"/>
      <c r="SRC21" s="292"/>
      <c r="SRD21" s="292"/>
      <c r="SRE21" s="292"/>
      <c r="SRF21" s="292"/>
      <c r="SRG21" s="292"/>
      <c r="SRH21" s="292"/>
      <c r="SRI21" s="292"/>
      <c r="SRJ21" s="292"/>
      <c r="SRK21" s="292"/>
      <c r="SRL21" s="292"/>
      <c r="SRM21" s="292"/>
      <c r="SRN21" s="292"/>
      <c r="SRO21" s="292"/>
      <c r="SRP21" s="292"/>
      <c r="SRQ21" s="292"/>
      <c r="SRR21" s="292"/>
      <c r="SRS21" s="292"/>
      <c r="SRT21" s="292"/>
      <c r="SRU21" s="292"/>
      <c r="SRV21" s="292"/>
      <c r="SRW21" s="292"/>
      <c r="SRX21" s="292"/>
      <c r="SRY21" s="292"/>
      <c r="SRZ21" s="292"/>
      <c r="SSA21" s="292"/>
      <c r="SSB21" s="292"/>
      <c r="SSC21" s="292"/>
      <c r="SSD21" s="292"/>
      <c r="SSE21" s="292"/>
      <c r="SSF21" s="292"/>
      <c r="SSG21" s="292"/>
      <c r="SSH21" s="292"/>
      <c r="SSI21" s="292"/>
      <c r="SSJ21" s="292"/>
      <c r="SSK21" s="292"/>
      <c r="SSL21" s="292"/>
      <c r="SSM21" s="292"/>
      <c r="SSN21" s="292"/>
      <c r="SSO21" s="292"/>
      <c r="SSP21" s="292"/>
      <c r="SSQ21" s="292"/>
      <c r="SSR21" s="292"/>
      <c r="SSS21" s="292"/>
      <c r="SST21" s="292"/>
      <c r="SSU21" s="292"/>
      <c r="SSV21" s="292"/>
      <c r="SSW21" s="292"/>
      <c r="SSX21" s="292"/>
      <c r="SSY21" s="292"/>
      <c r="SSZ21" s="292"/>
      <c r="STA21" s="292"/>
      <c r="STB21" s="292"/>
      <c r="STC21" s="292"/>
      <c r="STD21" s="292"/>
      <c r="STE21" s="292"/>
      <c r="STF21" s="292"/>
      <c r="STG21" s="292"/>
      <c r="STH21" s="292"/>
      <c r="STI21" s="292"/>
      <c r="STJ21" s="292"/>
      <c r="STK21" s="292"/>
      <c r="STL21" s="292"/>
      <c r="STM21" s="292"/>
      <c r="STN21" s="292"/>
      <c r="STO21" s="292"/>
      <c r="STP21" s="292"/>
      <c r="STQ21" s="292"/>
      <c r="STR21" s="292"/>
      <c r="STS21" s="292"/>
      <c r="STT21" s="292"/>
      <c r="STU21" s="292"/>
      <c r="STV21" s="292"/>
      <c r="STW21" s="292"/>
      <c r="STX21" s="292"/>
      <c r="STY21" s="292"/>
      <c r="STZ21" s="292"/>
      <c r="SUA21" s="292"/>
      <c r="SUB21" s="292"/>
      <c r="SUC21" s="292"/>
      <c r="SUD21" s="292"/>
      <c r="SUE21" s="292"/>
      <c r="SUF21" s="292"/>
      <c r="SUG21" s="292"/>
      <c r="SUH21" s="292"/>
      <c r="SUI21" s="292"/>
      <c r="SUJ21" s="292"/>
      <c r="SUK21" s="292"/>
      <c r="SUL21" s="292"/>
      <c r="SUM21" s="292"/>
      <c r="SUN21" s="292"/>
      <c r="SUO21" s="292"/>
      <c r="SUP21" s="292"/>
      <c r="SUQ21" s="292"/>
      <c r="SUR21" s="292"/>
      <c r="SUS21" s="292"/>
      <c r="SUT21" s="292"/>
      <c r="SUU21" s="292"/>
      <c r="SUV21" s="292"/>
      <c r="SUW21" s="292"/>
      <c r="SUX21" s="292"/>
      <c r="SUY21" s="292"/>
      <c r="SUZ21" s="292"/>
      <c r="SVA21" s="292"/>
      <c r="SVB21" s="292"/>
      <c r="SVC21" s="292"/>
      <c r="SVD21" s="292"/>
      <c r="SVE21" s="292"/>
      <c r="SVF21" s="292"/>
      <c r="SVG21" s="292"/>
      <c r="SVH21" s="292"/>
      <c r="SVI21" s="292"/>
      <c r="SVJ21" s="292"/>
      <c r="SVK21" s="292"/>
      <c r="SVL21" s="292"/>
      <c r="SVM21" s="292"/>
      <c r="SVN21" s="292"/>
      <c r="SVO21" s="292"/>
      <c r="SVP21" s="292"/>
      <c r="SVQ21" s="292"/>
      <c r="SVR21" s="292"/>
      <c r="SVS21" s="292"/>
      <c r="SVT21" s="292"/>
      <c r="SVU21" s="292"/>
      <c r="SVV21" s="292"/>
      <c r="SVW21" s="292"/>
      <c r="SVX21" s="292"/>
      <c r="SVY21" s="292"/>
      <c r="SVZ21" s="292"/>
      <c r="SWA21" s="292"/>
      <c r="SWB21" s="292"/>
      <c r="SWC21" s="292"/>
      <c r="SWD21" s="292"/>
      <c r="SWE21" s="292"/>
      <c r="SWF21" s="292"/>
      <c r="SWG21" s="292"/>
      <c r="SWH21" s="292"/>
      <c r="SWI21" s="292"/>
      <c r="SWJ21" s="292"/>
      <c r="SWK21" s="292"/>
      <c r="SWL21" s="292"/>
      <c r="SWM21" s="292"/>
      <c r="SWN21" s="292"/>
      <c r="SWO21" s="292"/>
      <c r="SWP21" s="292"/>
      <c r="SWQ21" s="292"/>
      <c r="SWR21" s="292"/>
      <c r="SWS21" s="292"/>
      <c r="SWT21" s="292"/>
      <c r="SWU21" s="292"/>
      <c r="SWV21" s="292"/>
      <c r="SWW21" s="292"/>
      <c r="SWX21" s="292"/>
      <c r="SWY21" s="292"/>
      <c r="SWZ21" s="292"/>
      <c r="SXA21" s="292"/>
      <c r="SXB21" s="292"/>
      <c r="SXC21" s="292"/>
      <c r="SXD21" s="292"/>
      <c r="SXE21" s="292"/>
      <c r="SXF21" s="292"/>
      <c r="SXG21" s="292"/>
      <c r="SXH21" s="292"/>
      <c r="SXI21" s="292"/>
      <c r="SXJ21" s="292"/>
      <c r="SXK21" s="292"/>
      <c r="SXL21" s="292"/>
      <c r="SXM21" s="292"/>
      <c r="SXN21" s="292"/>
      <c r="SXO21" s="292"/>
      <c r="SXP21" s="292"/>
      <c r="SXQ21" s="292"/>
      <c r="SXR21" s="292"/>
      <c r="SXS21" s="292"/>
      <c r="SXT21" s="292"/>
      <c r="SXU21" s="292"/>
      <c r="SXV21" s="292"/>
      <c r="SXW21" s="292"/>
      <c r="SXX21" s="292"/>
      <c r="SXY21" s="292"/>
      <c r="SXZ21" s="292"/>
      <c r="SYA21" s="292"/>
      <c r="SYB21" s="292"/>
      <c r="SYC21" s="292"/>
      <c r="SYD21" s="292"/>
      <c r="SYE21" s="292"/>
      <c r="SYF21" s="292"/>
      <c r="SYG21" s="292"/>
      <c r="SYH21" s="292"/>
      <c r="SYI21" s="292"/>
      <c r="SYJ21" s="292"/>
      <c r="SYK21" s="292"/>
      <c r="SYL21" s="292"/>
      <c r="SYM21" s="292"/>
      <c r="SYN21" s="292"/>
      <c r="SYO21" s="292"/>
      <c r="SYP21" s="292"/>
      <c r="SYQ21" s="292"/>
      <c r="SYR21" s="292"/>
      <c r="SYS21" s="292"/>
      <c r="SYT21" s="292"/>
      <c r="SYU21" s="292"/>
      <c r="SYV21" s="292"/>
      <c r="SYW21" s="292"/>
      <c r="SYX21" s="292"/>
      <c r="SYY21" s="292"/>
      <c r="SYZ21" s="292"/>
      <c r="SZA21" s="292"/>
      <c r="SZB21" s="292"/>
      <c r="SZC21" s="292"/>
      <c r="SZD21" s="292"/>
      <c r="SZE21" s="292"/>
      <c r="SZF21" s="292"/>
      <c r="SZG21" s="292"/>
      <c r="SZH21" s="292"/>
      <c r="SZI21" s="292"/>
      <c r="SZJ21" s="292"/>
      <c r="SZK21" s="292"/>
      <c r="SZL21" s="292"/>
      <c r="SZM21" s="292"/>
      <c r="SZN21" s="292"/>
      <c r="SZO21" s="292"/>
      <c r="SZP21" s="292"/>
      <c r="SZQ21" s="292"/>
      <c r="SZR21" s="292"/>
      <c r="SZS21" s="292"/>
      <c r="SZT21" s="292"/>
      <c r="SZU21" s="292"/>
      <c r="SZV21" s="292"/>
      <c r="SZW21" s="292"/>
      <c r="SZX21" s="292"/>
      <c r="SZY21" s="292"/>
      <c r="SZZ21" s="292"/>
      <c r="TAA21" s="292"/>
      <c r="TAB21" s="292"/>
      <c r="TAC21" s="292"/>
      <c r="TAD21" s="292"/>
      <c r="TAE21" s="292"/>
      <c r="TAF21" s="292"/>
      <c r="TAG21" s="292"/>
      <c r="TAH21" s="292"/>
      <c r="TAI21" s="292"/>
      <c r="TAJ21" s="292"/>
      <c r="TAK21" s="292"/>
      <c r="TAL21" s="292"/>
      <c r="TAM21" s="292"/>
      <c r="TAN21" s="292"/>
      <c r="TAO21" s="292"/>
      <c r="TAP21" s="292"/>
      <c r="TAQ21" s="292"/>
      <c r="TAR21" s="292"/>
      <c r="TAS21" s="292"/>
      <c r="TAT21" s="292"/>
      <c r="TAU21" s="292"/>
      <c r="TAV21" s="292"/>
      <c r="TAW21" s="292"/>
      <c r="TAX21" s="292"/>
      <c r="TAY21" s="292"/>
      <c r="TAZ21" s="292"/>
      <c r="TBA21" s="292"/>
      <c r="TBB21" s="292"/>
      <c r="TBC21" s="292"/>
      <c r="TBD21" s="292"/>
      <c r="TBE21" s="292"/>
      <c r="TBF21" s="292"/>
      <c r="TBG21" s="292"/>
      <c r="TBH21" s="292"/>
      <c r="TBI21" s="292"/>
      <c r="TBJ21" s="292"/>
      <c r="TBK21" s="292"/>
      <c r="TBL21" s="292"/>
      <c r="TBM21" s="292"/>
      <c r="TBN21" s="292"/>
      <c r="TBO21" s="292"/>
      <c r="TBP21" s="292"/>
      <c r="TBQ21" s="292"/>
      <c r="TBR21" s="292"/>
      <c r="TBS21" s="292"/>
      <c r="TBT21" s="292"/>
      <c r="TBU21" s="292"/>
      <c r="TBV21" s="292"/>
      <c r="TBW21" s="292"/>
      <c r="TBX21" s="292"/>
      <c r="TBY21" s="292"/>
      <c r="TBZ21" s="292"/>
      <c r="TCA21" s="292"/>
      <c r="TCB21" s="292"/>
      <c r="TCC21" s="292"/>
      <c r="TCD21" s="292"/>
      <c r="TCE21" s="292"/>
      <c r="TCF21" s="292"/>
      <c r="TCG21" s="292"/>
      <c r="TCH21" s="292"/>
      <c r="TCI21" s="292"/>
      <c r="TCJ21" s="292"/>
      <c r="TCK21" s="292"/>
      <c r="TCL21" s="292"/>
      <c r="TCM21" s="292"/>
      <c r="TCN21" s="292"/>
      <c r="TCO21" s="292"/>
      <c r="TCP21" s="292"/>
      <c r="TCQ21" s="292"/>
      <c r="TCR21" s="292"/>
      <c r="TCS21" s="292"/>
      <c r="TCT21" s="292"/>
      <c r="TCU21" s="292"/>
      <c r="TCV21" s="292"/>
      <c r="TCW21" s="292"/>
      <c r="TCX21" s="292"/>
      <c r="TCY21" s="292"/>
      <c r="TCZ21" s="292"/>
      <c r="TDA21" s="292"/>
      <c r="TDB21" s="292"/>
      <c r="TDC21" s="292"/>
      <c r="TDD21" s="292"/>
      <c r="TDE21" s="292"/>
      <c r="TDF21" s="292"/>
      <c r="TDG21" s="292"/>
      <c r="TDH21" s="292"/>
      <c r="TDI21" s="292"/>
      <c r="TDJ21" s="292"/>
      <c r="TDK21" s="292"/>
      <c r="TDL21" s="292"/>
      <c r="TDM21" s="292"/>
      <c r="TDN21" s="292"/>
      <c r="TDO21" s="292"/>
      <c r="TDP21" s="292"/>
      <c r="TDQ21" s="292"/>
      <c r="TDR21" s="292"/>
      <c r="TDS21" s="292"/>
      <c r="TDT21" s="292"/>
      <c r="TDU21" s="292"/>
      <c r="TDV21" s="292"/>
      <c r="TDW21" s="292"/>
      <c r="TDX21" s="292"/>
      <c r="TDY21" s="292"/>
      <c r="TDZ21" s="292"/>
      <c r="TEA21" s="292"/>
      <c r="TEB21" s="292"/>
      <c r="TEC21" s="292"/>
      <c r="TED21" s="292"/>
      <c r="TEE21" s="292"/>
      <c r="TEF21" s="292"/>
      <c r="TEG21" s="292"/>
      <c r="TEH21" s="292"/>
      <c r="TEI21" s="292"/>
      <c r="TEJ21" s="292"/>
      <c r="TEK21" s="292"/>
      <c r="TEL21" s="292"/>
      <c r="TEM21" s="292"/>
      <c r="TEN21" s="292"/>
      <c r="TEO21" s="292"/>
      <c r="TEP21" s="292"/>
      <c r="TEQ21" s="292"/>
      <c r="TER21" s="292"/>
      <c r="TES21" s="292"/>
      <c r="TET21" s="292"/>
      <c r="TEU21" s="292"/>
      <c r="TEV21" s="292"/>
      <c r="TEW21" s="292"/>
      <c r="TEX21" s="292"/>
      <c r="TEY21" s="292"/>
      <c r="TEZ21" s="292"/>
      <c r="TFA21" s="292"/>
      <c r="TFB21" s="292"/>
      <c r="TFC21" s="292"/>
      <c r="TFD21" s="292"/>
      <c r="TFE21" s="292"/>
      <c r="TFF21" s="292"/>
      <c r="TFG21" s="292"/>
      <c r="TFH21" s="292"/>
      <c r="TFI21" s="292"/>
      <c r="TFJ21" s="292"/>
      <c r="TFK21" s="292"/>
      <c r="TFL21" s="292"/>
      <c r="TFM21" s="292"/>
      <c r="TFN21" s="292"/>
      <c r="TFO21" s="292"/>
      <c r="TFP21" s="292"/>
      <c r="TFQ21" s="292"/>
      <c r="TFR21" s="292"/>
      <c r="TFS21" s="292"/>
      <c r="TFT21" s="292"/>
      <c r="TFU21" s="292"/>
      <c r="TFV21" s="292"/>
      <c r="TFW21" s="292"/>
      <c r="TFX21" s="292"/>
      <c r="TFY21" s="292"/>
      <c r="TFZ21" s="292"/>
      <c r="TGA21" s="292"/>
      <c r="TGB21" s="292"/>
      <c r="TGC21" s="292"/>
      <c r="TGD21" s="292"/>
      <c r="TGE21" s="292"/>
      <c r="TGF21" s="292"/>
      <c r="TGG21" s="292"/>
      <c r="TGH21" s="292"/>
      <c r="TGI21" s="292"/>
      <c r="TGJ21" s="292"/>
      <c r="TGK21" s="292"/>
      <c r="TGL21" s="292"/>
      <c r="TGM21" s="292"/>
      <c r="TGN21" s="292"/>
      <c r="TGO21" s="292"/>
      <c r="TGP21" s="292"/>
      <c r="TGQ21" s="292"/>
      <c r="TGR21" s="292"/>
      <c r="TGS21" s="292"/>
      <c r="TGT21" s="292"/>
      <c r="TGU21" s="292"/>
      <c r="TGV21" s="292"/>
      <c r="TGW21" s="292"/>
      <c r="TGX21" s="292"/>
      <c r="TGY21" s="292"/>
      <c r="TGZ21" s="292"/>
      <c r="THA21" s="292"/>
      <c r="THB21" s="292"/>
      <c r="THC21" s="292"/>
      <c r="THD21" s="292"/>
      <c r="THE21" s="292"/>
      <c r="THF21" s="292"/>
      <c r="THG21" s="292"/>
      <c r="THH21" s="292"/>
      <c r="THI21" s="292"/>
      <c r="THJ21" s="292"/>
      <c r="THK21" s="292"/>
      <c r="THL21" s="292"/>
      <c r="THM21" s="292"/>
      <c r="THN21" s="292"/>
      <c r="THO21" s="292"/>
      <c r="THP21" s="292"/>
      <c r="THQ21" s="292"/>
      <c r="THR21" s="292"/>
      <c r="THS21" s="292"/>
      <c r="THT21" s="292"/>
      <c r="THU21" s="292"/>
      <c r="THV21" s="292"/>
      <c r="THW21" s="292"/>
      <c r="THX21" s="292"/>
      <c r="THY21" s="292"/>
      <c r="THZ21" s="292"/>
      <c r="TIA21" s="292"/>
      <c r="TIB21" s="292"/>
      <c r="TIC21" s="292"/>
      <c r="TID21" s="292"/>
      <c r="TIE21" s="292"/>
      <c r="TIF21" s="292"/>
      <c r="TIG21" s="292"/>
      <c r="TIH21" s="292"/>
      <c r="TII21" s="292"/>
      <c r="TIJ21" s="292"/>
      <c r="TIK21" s="292"/>
      <c r="TIL21" s="292"/>
      <c r="TIM21" s="292"/>
      <c r="TIN21" s="292"/>
      <c r="TIO21" s="292"/>
      <c r="TIP21" s="292"/>
      <c r="TIQ21" s="292"/>
      <c r="TIR21" s="292"/>
      <c r="TIS21" s="292"/>
      <c r="TIT21" s="292"/>
      <c r="TIU21" s="292"/>
      <c r="TIV21" s="292"/>
      <c r="TIW21" s="292"/>
      <c r="TIX21" s="292"/>
      <c r="TIY21" s="292"/>
      <c r="TIZ21" s="292"/>
      <c r="TJA21" s="292"/>
      <c r="TJB21" s="292"/>
      <c r="TJC21" s="292"/>
      <c r="TJD21" s="292"/>
      <c r="TJE21" s="292"/>
      <c r="TJF21" s="292"/>
      <c r="TJG21" s="292"/>
      <c r="TJH21" s="292"/>
      <c r="TJI21" s="292"/>
      <c r="TJJ21" s="292"/>
      <c r="TJK21" s="292"/>
      <c r="TJL21" s="292"/>
      <c r="TJM21" s="292"/>
      <c r="TJN21" s="292"/>
      <c r="TJO21" s="292"/>
      <c r="TJP21" s="292"/>
      <c r="TJQ21" s="292"/>
      <c r="TJR21" s="292"/>
      <c r="TJS21" s="292"/>
      <c r="TJT21" s="292"/>
      <c r="TJU21" s="292"/>
      <c r="TJV21" s="292"/>
      <c r="TJW21" s="292"/>
      <c r="TJX21" s="292"/>
      <c r="TJY21" s="292"/>
      <c r="TJZ21" s="292"/>
      <c r="TKA21" s="292"/>
      <c r="TKB21" s="292"/>
      <c r="TKC21" s="292"/>
      <c r="TKD21" s="292"/>
      <c r="TKE21" s="292"/>
      <c r="TKF21" s="292"/>
      <c r="TKG21" s="292"/>
      <c r="TKH21" s="292"/>
      <c r="TKI21" s="292"/>
      <c r="TKJ21" s="292"/>
      <c r="TKK21" s="292"/>
      <c r="TKL21" s="292"/>
      <c r="TKM21" s="292"/>
      <c r="TKN21" s="292"/>
      <c r="TKO21" s="292"/>
      <c r="TKP21" s="292"/>
      <c r="TKQ21" s="292"/>
      <c r="TKR21" s="292"/>
      <c r="TKS21" s="292"/>
      <c r="TKT21" s="292"/>
      <c r="TKU21" s="292"/>
      <c r="TKV21" s="292"/>
      <c r="TKW21" s="292"/>
      <c r="TKX21" s="292"/>
      <c r="TKY21" s="292"/>
      <c r="TKZ21" s="292"/>
      <c r="TLA21" s="292"/>
      <c r="TLB21" s="292"/>
      <c r="TLC21" s="292"/>
      <c r="TLD21" s="292"/>
      <c r="TLE21" s="292"/>
      <c r="TLF21" s="292"/>
      <c r="TLG21" s="292"/>
      <c r="TLH21" s="292"/>
      <c r="TLI21" s="292"/>
      <c r="TLJ21" s="292"/>
      <c r="TLK21" s="292"/>
      <c r="TLL21" s="292"/>
      <c r="TLM21" s="292"/>
      <c r="TLN21" s="292"/>
      <c r="TLO21" s="292"/>
      <c r="TLP21" s="292"/>
      <c r="TLQ21" s="292"/>
      <c r="TLR21" s="292"/>
      <c r="TLS21" s="292"/>
      <c r="TLT21" s="292"/>
      <c r="TLU21" s="292"/>
      <c r="TLV21" s="292"/>
      <c r="TLW21" s="292"/>
      <c r="TLX21" s="292"/>
      <c r="TLY21" s="292"/>
      <c r="TLZ21" s="292"/>
      <c r="TMA21" s="292"/>
      <c r="TMB21" s="292"/>
      <c r="TMC21" s="292"/>
      <c r="TMD21" s="292"/>
      <c r="TME21" s="292"/>
      <c r="TMF21" s="292"/>
      <c r="TMG21" s="292"/>
      <c r="TMH21" s="292"/>
      <c r="TMI21" s="292"/>
      <c r="TMJ21" s="292"/>
      <c r="TMK21" s="292"/>
      <c r="TML21" s="292"/>
      <c r="TMM21" s="292"/>
      <c r="TMN21" s="292"/>
      <c r="TMO21" s="292"/>
      <c r="TMP21" s="292"/>
      <c r="TMQ21" s="292"/>
      <c r="TMR21" s="292"/>
      <c r="TMS21" s="292"/>
      <c r="TMT21" s="292"/>
      <c r="TMU21" s="292"/>
      <c r="TMV21" s="292"/>
      <c r="TMW21" s="292"/>
      <c r="TMX21" s="292"/>
      <c r="TMY21" s="292"/>
      <c r="TMZ21" s="292"/>
      <c r="TNA21" s="292"/>
      <c r="TNB21" s="292"/>
      <c r="TNC21" s="292"/>
      <c r="TND21" s="292"/>
      <c r="TNE21" s="292"/>
      <c r="TNF21" s="292"/>
      <c r="TNG21" s="292"/>
      <c r="TNH21" s="292"/>
      <c r="TNI21" s="292"/>
      <c r="TNJ21" s="292"/>
      <c r="TNK21" s="292"/>
      <c r="TNL21" s="292"/>
      <c r="TNM21" s="292"/>
      <c r="TNN21" s="292"/>
      <c r="TNO21" s="292"/>
      <c r="TNP21" s="292"/>
      <c r="TNQ21" s="292"/>
      <c r="TNR21" s="292"/>
      <c r="TNS21" s="292"/>
      <c r="TNT21" s="292"/>
      <c r="TNU21" s="292"/>
      <c r="TNV21" s="292"/>
      <c r="TNW21" s="292"/>
      <c r="TNX21" s="292"/>
      <c r="TNY21" s="292"/>
      <c r="TNZ21" s="292"/>
      <c r="TOA21" s="292"/>
      <c r="TOB21" s="292"/>
      <c r="TOC21" s="292"/>
      <c r="TOD21" s="292"/>
      <c r="TOE21" s="292"/>
      <c r="TOF21" s="292"/>
      <c r="TOG21" s="292"/>
      <c r="TOH21" s="292"/>
      <c r="TOI21" s="292"/>
      <c r="TOJ21" s="292"/>
      <c r="TOK21" s="292"/>
      <c r="TOL21" s="292"/>
      <c r="TOM21" s="292"/>
      <c r="TON21" s="292"/>
      <c r="TOO21" s="292"/>
      <c r="TOP21" s="292"/>
      <c r="TOQ21" s="292"/>
      <c r="TOR21" s="292"/>
      <c r="TOS21" s="292"/>
      <c r="TOT21" s="292"/>
      <c r="TOU21" s="292"/>
      <c r="TOV21" s="292"/>
      <c r="TOW21" s="292"/>
      <c r="TOX21" s="292"/>
      <c r="TOY21" s="292"/>
      <c r="TOZ21" s="292"/>
      <c r="TPA21" s="292"/>
      <c r="TPB21" s="292"/>
      <c r="TPC21" s="292"/>
      <c r="TPD21" s="292"/>
      <c r="TPE21" s="292"/>
      <c r="TPF21" s="292"/>
      <c r="TPG21" s="292"/>
      <c r="TPH21" s="292"/>
      <c r="TPI21" s="292"/>
      <c r="TPJ21" s="292"/>
      <c r="TPK21" s="292"/>
      <c r="TPL21" s="292"/>
      <c r="TPM21" s="292"/>
      <c r="TPN21" s="292"/>
      <c r="TPO21" s="292"/>
      <c r="TPP21" s="292"/>
      <c r="TPQ21" s="292"/>
      <c r="TPR21" s="292"/>
      <c r="TPS21" s="292"/>
      <c r="TPT21" s="292"/>
      <c r="TPU21" s="292"/>
      <c r="TPV21" s="292"/>
      <c r="TPW21" s="292"/>
      <c r="TPX21" s="292"/>
      <c r="TPY21" s="292"/>
      <c r="TPZ21" s="292"/>
      <c r="TQA21" s="292"/>
      <c r="TQB21" s="292"/>
      <c r="TQC21" s="292"/>
      <c r="TQD21" s="292"/>
      <c r="TQE21" s="292"/>
      <c r="TQF21" s="292"/>
      <c r="TQG21" s="292"/>
      <c r="TQH21" s="292"/>
      <c r="TQI21" s="292"/>
      <c r="TQJ21" s="292"/>
      <c r="TQK21" s="292"/>
      <c r="TQL21" s="292"/>
      <c r="TQM21" s="292"/>
      <c r="TQN21" s="292"/>
      <c r="TQO21" s="292"/>
      <c r="TQP21" s="292"/>
      <c r="TQQ21" s="292"/>
      <c r="TQR21" s="292"/>
      <c r="TQS21" s="292"/>
      <c r="TQT21" s="292"/>
      <c r="TQU21" s="292"/>
      <c r="TQV21" s="292"/>
      <c r="TQW21" s="292"/>
      <c r="TQX21" s="292"/>
      <c r="TQY21" s="292"/>
      <c r="TQZ21" s="292"/>
      <c r="TRA21" s="292"/>
      <c r="TRB21" s="292"/>
      <c r="TRC21" s="292"/>
      <c r="TRD21" s="292"/>
      <c r="TRE21" s="292"/>
      <c r="TRF21" s="292"/>
      <c r="TRG21" s="292"/>
      <c r="TRH21" s="292"/>
      <c r="TRI21" s="292"/>
      <c r="TRJ21" s="292"/>
      <c r="TRK21" s="292"/>
      <c r="TRL21" s="292"/>
      <c r="TRM21" s="292"/>
      <c r="TRN21" s="292"/>
      <c r="TRO21" s="292"/>
      <c r="TRP21" s="292"/>
      <c r="TRQ21" s="292"/>
      <c r="TRR21" s="292"/>
      <c r="TRS21" s="292"/>
      <c r="TRT21" s="292"/>
      <c r="TRU21" s="292"/>
      <c r="TRV21" s="292"/>
      <c r="TRW21" s="292"/>
      <c r="TRX21" s="292"/>
      <c r="TRY21" s="292"/>
      <c r="TRZ21" s="292"/>
      <c r="TSA21" s="292"/>
      <c r="TSB21" s="292"/>
      <c r="TSC21" s="292"/>
      <c r="TSD21" s="292"/>
      <c r="TSE21" s="292"/>
      <c r="TSF21" s="292"/>
      <c r="TSG21" s="292"/>
      <c r="TSH21" s="292"/>
      <c r="TSI21" s="292"/>
      <c r="TSJ21" s="292"/>
      <c r="TSK21" s="292"/>
      <c r="TSL21" s="292"/>
      <c r="TSM21" s="292"/>
      <c r="TSN21" s="292"/>
      <c r="TSO21" s="292"/>
      <c r="TSP21" s="292"/>
      <c r="TSQ21" s="292"/>
      <c r="TSR21" s="292"/>
      <c r="TSS21" s="292"/>
      <c r="TST21" s="292"/>
      <c r="TSU21" s="292"/>
      <c r="TSV21" s="292"/>
      <c r="TSW21" s="292"/>
      <c r="TSX21" s="292"/>
      <c r="TSY21" s="292"/>
      <c r="TSZ21" s="292"/>
      <c r="TTA21" s="292"/>
      <c r="TTB21" s="292"/>
      <c r="TTC21" s="292"/>
      <c r="TTD21" s="292"/>
      <c r="TTE21" s="292"/>
      <c r="TTF21" s="292"/>
      <c r="TTG21" s="292"/>
      <c r="TTH21" s="292"/>
      <c r="TTI21" s="292"/>
      <c r="TTJ21" s="292"/>
      <c r="TTK21" s="292"/>
      <c r="TTL21" s="292"/>
      <c r="TTM21" s="292"/>
      <c r="TTN21" s="292"/>
      <c r="TTO21" s="292"/>
      <c r="TTP21" s="292"/>
      <c r="TTQ21" s="292"/>
      <c r="TTR21" s="292"/>
      <c r="TTS21" s="292"/>
      <c r="TTT21" s="292"/>
      <c r="TTU21" s="292"/>
      <c r="TTV21" s="292"/>
      <c r="TTW21" s="292"/>
      <c r="TTX21" s="292"/>
      <c r="TTY21" s="292"/>
      <c r="TTZ21" s="292"/>
      <c r="TUA21" s="292"/>
      <c r="TUB21" s="292"/>
      <c r="TUC21" s="292"/>
      <c r="TUD21" s="292"/>
      <c r="TUE21" s="292"/>
      <c r="TUF21" s="292"/>
      <c r="TUG21" s="292"/>
      <c r="TUH21" s="292"/>
      <c r="TUI21" s="292"/>
      <c r="TUJ21" s="292"/>
      <c r="TUK21" s="292"/>
      <c r="TUL21" s="292"/>
      <c r="TUM21" s="292"/>
      <c r="TUN21" s="292"/>
      <c r="TUO21" s="292"/>
      <c r="TUP21" s="292"/>
      <c r="TUQ21" s="292"/>
      <c r="TUR21" s="292"/>
      <c r="TUS21" s="292"/>
      <c r="TUT21" s="292"/>
      <c r="TUU21" s="292"/>
      <c r="TUV21" s="292"/>
      <c r="TUW21" s="292"/>
      <c r="TUX21" s="292"/>
      <c r="TUY21" s="292"/>
      <c r="TUZ21" s="292"/>
      <c r="TVA21" s="292"/>
      <c r="TVB21" s="292"/>
      <c r="TVC21" s="292"/>
      <c r="TVD21" s="292"/>
      <c r="TVE21" s="292"/>
      <c r="TVF21" s="292"/>
      <c r="TVG21" s="292"/>
      <c r="TVH21" s="292"/>
      <c r="TVI21" s="292"/>
      <c r="TVJ21" s="292"/>
      <c r="TVK21" s="292"/>
      <c r="TVL21" s="292"/>
      <c r="TVM21" s="292"/>
      <c r="TVN21" s="292"/>
      <c r="TVO21" s="292"/>
      <c r="TVP21" s="292"/>
      <c r="TVQ21" s="292"/>
      <c r="TVR21" s="292"/>
      <c r="TVS21" s="292"/>
      <c r="TVT21" s="292"/>
      <c r="TVU21" s="292"/>
      <c r="TVV21" s="292"/>
      <c r="TVW21" s="292"/>
      <c r="TVX21" s="292"/>
      <c r="TVY21" s="292"/>
      <c r="TVZ21" s="292"/>
      <c r="TWA21" s="292"/>
      <c r="TWB21" s="292"/>
      <c r="TWC21" s="292"/>
      <c r="TWD21" s="292"/>
      <c r="TWE21" s="292"/>
      <c r="TWF21" s="292"/>
      <c r="TWG21" s="292"/>
      <c r="TWH21" s="292"/>
      <c r="TWI21" s="292"/>
      <c r="TWJ21" s="292"/>
      <c r="TWK21" s="292"/>
      <c r="TWL21" s="292"/>
      <c r="TWM21" s="292"/>
      <c r="TWN21" s="292"/>
      <c r="TWO21" s="292"/>
      <c r="TWP21" s="292"/>
      <c r="TWQ21" s="292"/>
      <c r="TWR21" s="292"/>
      <c r="TWS21" s="292"/>
      <c r="TWT21" s="292"/>
      <c r="TWU21" s="292"/>
      <c r="TWV21" s="292"/>
      <c r="TWW21" s="292"/>
      <c r="TWX21" s="292"/>
      <c r="TWY21" s="292"/>
      <c r="TWZ21" s="292"/>
      <c r="TXA21" s="292"/>
      <c r="TXB21" s="292"/>
      <c r="TXC21" s="292"/>
      <c r="TXD21" s="292"/>
      <c r="TXE21" s="292"/>
      <c r="TXF21" s="292"/>
      <c r="TXG21" s="292"/>
      <c r="TXH21" s="292"/>
      <c r="TXI21" s="292"/>
      <c r="TXJ21" s="292"/>
      <c r="TXK21" s="292"/>
      <c r="TXL21" s="292"/>
      <c r="TXM21" s="292"/>
      <c r="TXN21" s="292"/>
      <c r="TXO21" s="292"/>
      <c r="TXP21" s="292"/>
      <c r="TXQ21" s="292"/>
      <c r="TXR21" s="292"/>
      <c r="TXS21" s="292"/>
      <c r="TXT21" s="292"/>
      <c r="TXU21" s="292"/>
      <c r="TXV21" s="292"/>
      <c r="TXW21" s="292"/>
      <c r="TXX21" s="292"/>
      <c r="TXY21" s="292"/>
      <c r="TXZ21" s="292"/>
      <c r="TYA21" s="292"/>
      <c r="TYB21" s="292"/>
      <c r="TYC21" s="292"/>
      <c r="TYD21" s="292"/>
      <c r="TYE21" s="292"/>
      <c r="TYF21" s="292"/>
      <c r="TYG21" s="292"/>
      <c r="TYH21" s="292"/>
      <c r="TYI21" s="292"/>
      <c r="TYJ21" s="292"/>
      <c r="TYK21" s="292"/>
      <c r="TYL21" s="292"/>
      <c r="TYM21" s="292"/>
      <c r="TYN21" s="292"/>
      <c r="TYO21" s="292"/>
      <c r="TYP21" s="292"/>
      <c r="TYQ21" s="292"/>
      <c r="TYR21" s="292"/>
      <c r="TYS21" s="292"/>
      <c r="TYT21" s="292"/>
      <c r="TYU21" s="292"/>
      <c r="TYV21" s="292"/>
      <c r="TYW21" s="292"/>
      <c r="TYX21" s="292"/>
      <c r="TYY21" s="292"/>
      <c r="TYZ21" s="292"/>
      <c r="TZA21" s="292"/>
      <c r="TZB21" s="292"/>
      <c r="TZC21" s="292"/>
      <c r="TZD21" s="292"/>
      <c r="TZE21" s="292"/>
      <c r="TZF21" s="292"/>
      <c r="TZG21" s="292"/>
      <c r="TZH21" s="292"/>
      <c r="TZI21" s="292"/>
      <c r="TZJ21" s="292"/>
      <c r="TZK21" s="292"/>
      <c r="TZL21" s="292"/>
      <c r="TZM21" s="292"/>
      <c r="TZN21" s="292"/>
      <c r="TZO21" s="292"/>
      <c r="TZP21" s="292"/>
      <c r="TZQ21" s="292"/>
      <c r="TZR21" s="292"/>
      <c r="TZS21" s="292"/>
      <c r="TZT21" s="292"/>
      <c r="TZU21" s="292"/>
      <c r="TZV21" s="292"/>
      <c r="TZW21" s="292"/>
      <c r="TZX21" s="292"/>
      <c r="TZY21" s="292"/>
      <c r="TZZ21" s="292"/>
      <c r="UAA21" s="292"/>
      <c r="UAB21" s="292"/>
      <c r="UAC21" s="292"/>
      <c r="UAD21" s="292"/>
      <c r="UAE21" s="292"/>
      <c r="UAF21" s="292"/>
      <c r="UAG21" s="292"/>
      <c r="UAH21" s="292"/>
      <c r="UAI21" s="292"/>
      <c r="UAJ21" s="292"/>
      <c r="UAK21" s="292"/>
      <c r="UAL21" s="292"/>
      <c r="UAM21" s="292"/>
      <c r="UAN21" s="292"/>
      <c r="UAO21" s="292"/>
      <c r="UAP21" s="292"/>
      <c r="UAQ21" s="292"/>
      <c r="UAR21" s="292"/>
      <c r="UAS21" s="292"/>
      <c r="UAT21" s="292"/>
      <c r="UAU21" s="292"/>
      <c r="UAV21" s="292"/>
      <c r="UAW21" s="292"/>
      <c r="UAX21" s="292"/>
      <c r="UAY21" s="292"/>
      <c r="UAZ21" s="292"/>
      <c r="UBA21" s="292"/>
      <c r="UBB21" s="292"/>
      <c r="UBC21" s="292"/>
      <c r="UBD21" s="292"/>
      <c r="UBE21" s="292"/>
      <c r="UBF21" s="292"/>
      <c r="UBG21" s="292"/>
      <c r="UBH21" s="292"/>
      <c r="UBI21" s="292"/>
      <c r="UBJ21" s="292"/>
      <c r="UBK21" s="292"/>
      <c r="UBL21" s="292"/>
      <c r="UBM21" s="292"/>
      <c r="UBN21" s="292"/>
      <c r="UBO21" s="292"/>
      <c r="UBP21" s="292"/>
      <c r="UBQ21" s="292"/>
      <c r="UBR21" s="292"/>
      <c r="UBS21" s="292"/>
      <c r="UBT21" s="292"/>
      <c r="UBU21" s="292"/>
      <c r="UBV21" s="292"/>
      <c r="UBW21" s="292"/>
      <c r="UBX21" s="292"/>
      <c r="UBY21" s="292"/>
      <c r="UBZ21" s="292"/>
      <c r="UCA21" s="292"/>
      <c r="UCB21" s="292"/>
      <c r="UCC21" s="292"/>
      <c r="UCD21" s="292"/>
      <c r="UCE21" s="292"/>
      <c r="UCF21" s="292"/>
      <c r="UCG21" s="292"/>
      <c r="UCH21" s="292"/>
      <c r="UCI21" s="292"/>
      <c r="UCJ21" s="292"/>
      <c r="UCK21" s="292"/>
      <c r="UCL21" s="292"/>
      <c r="UCM21" s="292"/>
      <c r="UCN21" s="292"/>
      <c r="UCO21" s="292"/>
      <c r="UCP21" s="292"/>
      <c r="UCQ21" s="292"/>
      <c r="UCR21" s="292"/>
      <c r="UCS21" s="292"/>
      <c r="UCT21" s="292"/>
      <c r="UCU21" s="292"/>
      <c r="UCV21" s="292"/>
      <c r="UCW21" s="292"/>
      <c r="UCX21" s="292"/>
      <c r="UCY21" s="292"/>
      <c r="UCZ21" s="292"/>
      <c r="UDA21" s="292"/>
      <c r="UDB21" s="292"/>
      <c r="UDC21" s="292"/>
      <c r="UDD21" s="292"/>
      <c r="UDE21" s="292"/>
      <c r="UDF21" s="292"/>
      <c r="UDG21" s="292"/>
      <c r="UDH21" s="292"/>
      <c r="UDI21" s="292"/>
      <c r="UDJ21" s="292"/>
      <c r="UDK21" s="292"/>
      <c r="UDL21" s="292"/>
      <c r="UDM21" s="292"/>
      <c r="UDN21" s="292"/>
      <c r="UDO21" s="292"/>
      <c r="UDP21" s="292"/>
      <c r="UDQ21" s="292"/>
      <c r="UDR21" s="292"/>
      <c r="UDS21" s="292"/>
      <c r="UDT21" s="292"/>
      <c r="UDU21" s="292"/>
      <c r="UDV21" s="292"/>
      <c r="UDW21" s="292"/>
      <c r="UDX21" s="292"/>
      <c r="UDY21" s="292"/>
      <c r="UDZ21" s="292"/>
      <c r="UEA21" s="292"/>
      <c r="UEB21" s="292"/>
      <c r="UEC21" s="292"/>
      <c r="UED21" s="292"/>
      <c r="UEE21" s="292"/>
      <c r="UEF21" s="292"/>
      <c r="UEG21" s="292"/>
      <c r="UEH21" s="292"/>
      <c r="UEI21" s="292"/>
      <c r="UEJ21" s="292"/>
      <c r="UEK21" s="292"/>
      <c r="UEL21" s="292"/>
      <c r="UEM21" s="292"/>
      <c r="UEN21" s="292"/>
      <c r="UEO21" s="292"/>
      <c r="UEP21" s="292"/>
      <c r="UEQ21" s="292"/>
      <c r="UER21" s="292"/>
      <c r="UES21" s="292"/>
      <c r="UET21" s="292"/>
      <c r="UEU21" s="292"/>
      <c r="UEV21" s="292"/>
      <c r="UEW21" s="292"/>
      <c r="UEX21" s="292"/>
      <c r="UEY21" s="292"/>
      <c r="UEZ21" s="292"/>
      <c r="UFA21" s="292"/>
      <c r="UFB21" s="292"/>
      <c r="UFC21" s="292"/>
      <c r="UFD21" s="292"/>
      <c r="UFE21" s="292"/>
      <c r="UFF21" s="292"/>
      <c r="UFG21" s="292"/>
      <c r="UFH21" s="292"/>
      <c r="UFI21" s="292"/>
      <c r="UFJ21" s="292"/>
      <c r="UFK21" s="292"/>
      <c r="UFL21" s="292"/>
      <c r="UFM21" s="292"/>
      <c r="UFN21" s="292"/>
      <c r="UFO21" s="292"/>
      <c r="UFP21" s="292"/>
      <c r="UFQ21" s="292"/>
      <c r="UFR21" s="292"/>
      <c r="UFS21" s="292"/>
      <c r="UFT21" s="292"/>
      <c r="UFU21" s="292"/>
      <c r="UFV21" s="292"/>
      <c r="UFW21" s="292"/>
      <c r="UFX21" s="292"/>
      <c r="UFY21" s="292"/>
      <c r="UFZ21" s="292"/>
      <c r="UGA21" s="292"/>
      <c r="UGB21" s="292"/>
      <c r="UGC21" s="292"/>
      <c r="UGD21" s="292"/>
      <c r="UGE21" s="292"/>
      <c r="UGF21" s="292"/>
      <c r="UGG21" s="292"/>
      <c r="UGH21" s="292"/>
      <c r="UGI21" s="292"/>
      <c r="UGJ21" s="292"/>
      <c r="UGK21" s="292"/>
      <c r="UGL21" s="292"/>
      <c r="UGM21" s="292"/>
      <c r="UGN21" s="292"/>
      <c r="UGO21" s="292"/>
      <c r="UGP21" s="292"/>
      <c r="UGQ21" s="292"/>
      <c r="UGR21" s="292"/>
      <c r="UGS21" s="292"/>
      <c r="UGT21" s="292"/>
      <c r="UGU21" s="292"/>
      <c r="UGV21" s="292"/>
      <c r="UGW21" s="292"/>
      <c r="UGX21" s="292"/>
      <c r="UGY21" s="292"/>
      <c r="UGZ21" s="292"/>
      <c r="UHA21" s="292"/>
      <c r="UHB21" s="292"/>
      <c r="UHC21" s="292"/>
      <c r="UHD21" s="292"/>
      <c r="UHE21" s="292"/>
      <c r="UHF21" s="292"/>
      <c r="UHG21" s="292"/>
      <c r="UHH21" s="292"/>
      <c r="UHI21" s="292"/>
      <c r="UHJ21" s="292"/>
      <c r="UHK21" s="292"/>
      <c r="UHL21" s="292"/>
      <c r="UHM21" s="292"/>
      <c r="UHN21" s="292"/>
      <c r="UHO21" s="292"/>
      <c r="UHP21" s="292"/>
      <c r="UHQ21" s="292"/>
      <c r="UHR21" s="292"/>
      <c r="UHS21" s="292"/>
      <c r="UHT21" s="292"/>
      <c r="UHU21" s="292"/>
      <c r="UHV21" s="292"/>
      <c r="UHW21" s="292"/>
      <c r="UHX21" s="292"/>
      <c r="UHY21" s="292"/>
      <c r="UHZ21" s="292"/>
      <c r="UIA21" s="292"/>
      <c r="UIB21" s="292"/>
      <c r="UIC21" s="292"/>
      <c r="UID21" s="292"/>
      <c r="UIE21" s="292"/>
      <c r="UIF21" s="292"/>
      <c r="UIG21" s="292"/>
      <c r="UIH21" s="292"/>
      <c r="UII21" s="292"/>
      <c r="UIJ21" s="292"/>
      <c r="UIK21" s="292"/>
      <c r="UIL21" s="292"/>
      <c r="UIM21" s="292"/>
      <c r="UIN21" s="292"/>
      <c r="UIO21" s="292"/>
      <c r="UIP21" s="292"/>
      <c r="UIQ21" s="292"/>
      <c r="UIR21" s="292"/>
      <c r="UIS21" s="292"/>
      <c r="UIT21" s="292"/>
      <c r="UIU21" s="292"/>
      <c r="UIV21" s="292"/>
      <c r="UIW21" s="292"/>
      <c r="UIX21" s="292"/>
      <c r="UIY21" s="292"/>
      <c r="UIZ21" s="292"/>
      <c r="UJA21" s="292"/>
      <c r="UJB21" s="292"/>
      <c r="UJC21" s="292"/>
      <c r="UJD21" s="292"/>
      <c r="UJE21" s="292"/>
      <c r="UJF21" s="292"/>
      <c r="UJG21" s="292"/>
      <c r="UJH21" s="292"/>
      <c r="UJI21" s="292"/>
      <c r="UJJ21" s="292"/>
      <c r="UJK21" s="292"/>
      <c r="UJL21" s="292"/>
      <c r="UJM21" s="292"/>
      <c r="UJN21" s="292"/>
      <c r="UJO21" s="292"/>
      <c r="UJP21" s="292"/>
      <c r="UJQ21" s="292"/>
      <c r="UJR21" s="292"/>
      <c r="UJS21" s="292"/>
      <c r="UJT21" s="292"/>
      <c r="UJU21" s="292"/>
      <c r="UJV21" s="292"/>
      <c r="UJW21" s="292"/>
      <c r="UJX21" s="292"/>
      <c r="UJY21" s="292"/>
      <c r="UJZ21" s="292"/>
      <c r="UKA21" s="292"/>
      <c r="UKB21" s="292"/>
      <c r="UKC21" s="292"/>
      <c r="UKD21" s="292"/>
      <c r="UKE21" s="292"/>
      <c r="UKF21" s="292"/>
      <c r="UKG21" s="292"/>
      <c r="UKH21" s="292"/>
      <c r="UKI21" s="292"/>
      <c r="UKJ21" s="292"/>
      <c r="UKK21" s="292"/>
      <c r="UKL21" s="292"/>
      <c r="UKM21" s="292"/>
      <c r="UKN21" s="292"/>
      <c r="UKO21" s="292"/>
      <c r="UKP21" s="292"/>
      <c r="UKQ21" s="292"/>
      <c r="UKR21" s="292"/>
      <c r="UKS21" s="292"/>
      <c r="UKT21" s="292"/>
      <c r="UKU21" s="292"/>
      <c r="UKV21" s="292"/>
      <c r="UKW21" s="292"/>
      <c r="UKX21" s="292"/>
      <c r="UKY21" s="292"/>
      <c r="UKZ21" s="292"/>
      <c r="ULA21" s="292"/>
      <c r="ULB21" s="292"/>
      <c r="ULC21" s="292"/>
      <c r="ULD21" s="292"/>
      <c r="ULE21" s="292"/>
      <c r="ULF21" s="292"/>
      <c r="ULG21" s="292"/>
      <c r="ULH21" s="292"/>
      <c r="ULI21" s="292"/>
      <c r="ULJ21" s="292"/>
      <c r="ULK21" s="292"/>
      <c r="ULL21" s="292"/>
      <c r="ULM21" s="292"/>
      <c r="ULN21" s="292"/>
      <c r="ULO21" s="292"/>
      <c r="ULP21" s="292"/>
      <c r="ULQ21" s="292"/>
      <c r="ULR21" s="292"/>
      <c r="ULS21" s="292"/>
      <c r="ULT21" s="292"/>
      <c r="ULU21" s="292"/>
      <c r="ULV21" s="292"/>
      <c r="ULW21" s="292"/>
      <c r="ULX21" s="292"/>
      <c r="ULY21" s="292"/>
      <c r="ULZ21" s="292"/>
      <c r="UMA21" s="292"/>
      <c r="UMB21" s="292"/>
      <c r="UMC21" s="292"/>
      <c r="UMD21" s="292"/>
      <c r="UME21" s="292"/>
      <c r="UMF21" s="292"/>
      <c r="UMG21" s="292"/>
      <c r="UMH21" s="292"/>
      <c r="UMI21" s="292"/>
      <c r="UMJ21" s="292"/>
      <c r="UMK21" s="292"/>
      <c r="UML21" s="292"/>
      <c r="UMM21" s="292"/>
      <c r="UMN21" s="292"/>
      <c r="UMO21" s="292"/>
      <c r="UMP21" s="292"/>
      <c r="UMQ21" s="292"/>
      <c r="UMR21" s="292"/>
      <c r="UMS21" s="292"/>
      <c r="UMT21" s="292"/>
      <c r="UMU21" s="292"/>
      <c r="UMV21" s="292"/>
      <c r="UMW21" s="292"/>
      <c r="UMX21" s="292"/>
      <c r="UMY21" s="292"/>
      <c r="UMZ21" s="292"/>
      <c r="UNA21" s="292"/>
      <c r="UNB21" s="292"/>
      <c r="UNC21" s="292"/>
      <c r="UND21" s="292"/>
      <c r="UNE21" s="292"/>
      <c r="UNF21" s="292"/>
      <c r="UNG21" s="292"/>
      <c r="UNH21" s="292"/>
      <c r="UNI21" s="292"/>
      <c r="UNJ21" s="292"/>
      <c r="UNK21" s="292"/>
      <c r="UNL21" s="292"/>
      <c r="UNM21" s="292"/>
      <c r="UNN21" s="292"/>
      <c r="UNO21" s="292"/>
      <c r="UNP21" s="292"/>
      <c r="UNQ21" s="292"/>
      <c r="UNR21" s="292"/>
      <c r="UNS21" s="292"/>
      <c r="UNT21" s="292"/>
      <c r="UNU21" s="292"/>
      <c r="UNV21" s="292"/>
      <c r="UNW21" s="292"/>
      <c r="UNX21" s="292"/>
      <c r="UNY21" s="292"/>
      <c r="UNZ21" s="292"/>
      <c r="UOA21" s="292"/>
      <c r="UOB21" s="292"/>
      <c r="UOC21" s="292"/>
      <c r="UOD21" s="292"/>
      <c r="UOE21" s="292"/>
      <c r="UOF21" s="292"/>
      <c r="UOG21" s="292"/>
      <c r="UOH21" s="292"/>
      <c r="UOI21" s="292"/>
      <c r="UOJ21" s="292"/>
      <c r="UOK21" s="292"/>
      <c r="UOL21" s="292"/>
      <c r="UOM21" s="292"/>
      <c r="UON21" s="292"/>
      <c r="UOO21" s="292"/>
      <c r="UOP21" s="292"/>
      <c r="UOQ21" s="292"/>
      <c r="UOR21" s="292"/>
      <c r="UOS21" s="292"/>
      <c r="UOT21" s="292"/>
      <c r="UOU21" s="292"/>
      <c r="UOV21" s="292"/>
      <c r="UOW21" s="292"/>
      <c r="UOX21" s="292"/>
      <c r="UOY21" s="292"/>
      <c r="UOZ21" s="292"/>
      <c r="UPA21" s="292"/>
      <c r="UPB21" s="292"/>
      <c r="UPC21" s="292"/>
      <c r="UPD21" s="292"/>
      <c r="UPE21" s="292"/>
      <c r="UPF21" s="292"/>
      <c r="UPG21" s="292"/>
      <c r="UPH21" s="292"/>
      <c r="UPI21" s="292"/>
      <c r="UPJ21" s="292"/>
      <c r="UPK21" s="292"/>
      <c r="UPL21" s="292"/>
      <c r="UPM21" s="292"/>
      <c r="UPN21" s="292"/>
      <c r="UPO21" s="292"/>
      <c r="UPP21" s="292"/>
      <c r="UPQ21" s="292"/>
      <c r="UPR21" s="292"/>
      <c r="UPS21" s="292"/>
      <c r="UPT21" s="292"/>
      <c r="UPU21" s="292"/>
      <c r="UPV21" s="292"/>
      <c r="UPW21" s="292"/>
      <c r="UPX21" s="292"/>
      <c r="UPY21" s="292"/>
      <c r="UPZ21" s="292"/>
      <c r="UQA21" s="292"/>
      <c r="UQB21" s="292"/>
      <c r="UQC21" s="292"/>
      <c r="UQD21" s="292"/>
      <c r="UQE21" s="292"/>
      <c r="UQF21" s="292"/>
      <c r="UQG21" s="292"/>
      <c r="UQH21" s="292"/>
      <c r="UQI21" s="292"/>
      <c r="UQJ21" s="292"/>
      <c r="UQK21" s="292"/>
      <c r="UQL21" s="292"/>
      <c r="UQM21" s="292"/>
      <c r="UQN21" s="292"/>
      <c r="UQO21" s="292"/>
      <c r="UQP21" s="292"/>
      <c r="UQQ21" s="292"/>
      <c r="UQR21" s="292"/>
      <c r="UQS21" s="292"/>
      <c r="UQT21" s="292"/>
      <c r="UQU21" s="292"/>
      <c r="UQV21" s="292"/>
      <c r="UQW21" s="292"/>
      <c r="UQX21" s="292"/>
      <c r="UQY21" s="292"/>
      <c r="UQZ21" s="292"/>
      <c r="URA21" s="292"/>
      <c r="URB21" s="292"/>
      <c r="URC21" s="292"/>
      <c r="URD21" s="292"/>
      <c r="URE21" s="292"/>
      <c r="URF21" s="292"/>
      <c r="URG21" s="292"/>
      <c r="URH21" s="292"/>
      <c r="URI21" s="292"/>
      <c r="URJ21" s="292"/>
      <c r="URK21" s="292"/>
      <c r="URL21" s="292"/>
      <c r="URM21" s="292"/>
      <c r="URN21" s="292"/>
      <c r="URO21" s="292"/>
      <c r="URP21" s="292"/>
      <c r="URQ21" s="292"/>
      <c r="URR21" s="292"/>
      <c r="URS21" s="292"/>
      <c r="URT21" s="292"/>
      <c r="URU21" s="292"/>
      <c r="URV21" s="292"/>
      <c r="URW21" s="292"/>
      <c r="URX21" s="292"/>
      <c r="URY21" s="292"/>
      <c r="URZ21" s="292"/>
      <c r="USA21" s="292"/>
      <c r="USB21" s="292"/>
      <c r="USC21" s="292"/>
      <c r="USD21" s="292"/>
      <c r="USE21" s="292"/>
      <c r="USF21" s="292"/>
      <c r="USG21" s="292"/>
      <c r="USH21" s="292"/>
      <c r="USI21" s="292"/>
      <c r="USJ21" s="292"/>
      <c r="USK21" s="292"/>
      <c r="USL21" s="292"/>
      <c r="USM21" s="292"/>
      <c r="USN21" s="292"/>
      <c r="USO21" s="292"/>
      <c r="USP21" s="292"/>
      <c r="USQ21" s="292"/>
      <c r="USR21" s="292"/>
      <c r="USS21" s="292"/>
      <c r="UST21" s="292"/>
      <c r="USU21" s="292"/>
      <c r="USV21" s="292"/>
      <c r="USW21" s="292"/>
      <c r="USX21" s="292"/>
      <c r="USY21" s="292"/>
      <c r="USZ21" s="292"/>
      <c r="UTA21" s="292"/>
      <c r="UTB21" s="292"/>
      <c r="UTC21" s="292"/>
      <c r="UTD21" s="292"/>
      <c r="UTE21" s="292"/>
      <c r="UTF21" s="292"/>
      <c r="UTG21" s="292"/>
      <c r="UTH21" s="292"/>
      <c r="UTI21" s="292"/>
      <c r="UTJ21" s="292"/>
      <c r="UTK21" s="292"/>
      <c r="UTL21" s="292"/>
      <c r="UTM21" s="292"/>
      <c r="UTN21" s="292"/>
      <c r="UTO21" s="292"/>
      <c r="UTP21" s="292"/>
      <c r="UTQ21" s="292"/>
      <c r="UTR21" s="292"/>
      <c r="UTS21" s="292"/>
      <c r="UTT21" s="292"/>
      <c r="UTU21" s="292"/>
      <c r="UTV21" s="292"/>
      <c r="UTW21" s="292"/>
      <c r="UTX21" s="292"/>
      <c r="UTY21" s="292"/>
      <c r="UTZ21" s="292"/>
      <c r="UUA21" s="292"/>
      <c r="UUB21" s="292"/>
      <c r="UUC21" s="292"/>
      <c r="UUD21" s="292"/>
      <c r="UUE21" s="292"/>
      <c r="UUF21" s="292"/>
      <c r="UUG21" s="292"/>
      <c r="UUH21" s="292"/>
      <c r="UUI21" s="292"/>
      <c r="UUJ21" s="292"/>
      <c r="UUK21" s="292"/>
      <c r="UUL21" s="292"/>
      <c r="UUM21" s="292"/>
      <c r="UUN21" s="292"/>
      <c r="UUO21" s="292"/>
      <c r="UUP21" s="292"/>
      <c r="UUQ21" s="292"/>
      <c r="UUR21" s="292"/>
      <c r="UUS21" s="292"/>
      <c r="UUT21" s="292"/>
      <c r="UUU21" s="292"/>
      <c r="UUV21" s="292"/>
      <c r="UUW21" s="292"/>
      <c r="UUX21" s="292"/>
      <c r="UUY21" s="292"/>
      <c r="UUZ21" s="292"/>
      <c r="UVA21" s="292"/>
      <c r="UVB21" s="292"/>
      <c r="UVC21" s="292"/>
      <c r="UVD21" s="292"/>
      <c r="UVE21" s="292"/>
      <c r="UVF21" s="292"/>
      <c r="UVG21" s="292"/>
      <c r="UVH21" s="292"/>
      <c r="UVI21" s="292"/>
      <c r="UVJ21" s="292"/>
      <c r="UVK21" s="292"/>
      <c r="UVL21" s="292"/>
      <c r="UVM21" s="292"/>
      <c r="UVN21" s="292"/>
      <c r="UVO21" s="292"/>
      <c r="UVP21" s="292"/>
      <c r="UVQ21" s="292"/>
      <c r="UVR21" s="292"/>
      <c r="UVS21" s="292"/>
      <c r="UVT21" s="292"/>
      <c r="UVU21" s="292"/>
      <c r="UVV21" s="292"/>
      <c r="UVW21" s="292"/>
      <c r="UVX21" s="292"/>
      <c r="UVY21" s="292"/>
      <c r="UVZ21" s="292"/>
      <c r="UWA21" s="292"/>
      <c r="UWB21" s="292"/>
      <c r="UWC21" s="292"/>
      <c r="UWD21" s="292"/>
      <c r="UWE21" s="292"/>
      <c r="UWF21" s="292"/>
      <c r="UWG21" s="292"/>
      <c r="UWH21" s="292"/>
      <c r="UWI21" s="292"/>
      <c r="UWJ21" s="292"/>
      <c r="UWK21" s="292"/>
      <c r="UWL21" s="292"/>
      <c r="UWM21" s="292"/>
      <c r="UWN21" s="292"/>
      <c r="UWO21" s="292"/>
      <c r="UWP21" s="292"/>
      <c r="UWQ21" s="292"/>
      <c r="UWR21" s="292"/>
      <c r="UWS21" s="292"/>
      <c r="UWT21" s="292"/>
      <c r="UWU21" s="292"/>
      <c r="UWV21" s="292"/>
      <c r="UWW21" s="292"/>
      <c r="UWX21" s="292"/>
      <c r="UWY21" s="292"/>
      <c r="UWZ21" s="292"/>
      <c r="UXA21" s="292"/>
      <c r="UXB21" s="292"/>
      <c r="UXC21" s="292"/>
      <c r="UXD21" s="292"/>
      <c r="UXE21" s="292"/>
      <c r="UXF21" s="292"/>
      <c r="UXG21" s="292"/>
      <c r="UXH21" s="292"/>
      <c r="UXI21" s="292"/>
      <c r="UXJ21" s="292"/>
      <c r="UXK21" s="292"/>
      <c r="UXL21" s="292"/>
      <c r="UXM21" s="292"/>
      <c r="UXN21" s="292"/>
      <c r="UXO21" s="292"/>
      <c r="UXP21" s="292"/>
      <c r="UXQ21" s="292"/>
      <c r="UXR21" s="292"/>
      <c r="UXS21" s="292"/>
      <c r="UXT21" s="292"/>
      <c r="UXU21" s="292"/>
      <c r="UXV21" s="292"/>
      <c r="UXW21" s="292"/>
      <c r="UXX21" s="292"/>
      <c r="UXY21" s="292"/>
      <c r="UXZ21" s="292"/>
      <c r="UYA21" s="292"/>
      <c r="UYB21" s="292"/>
      <c r="UYC21" s="292"/>
      <c r="UYD21" s="292"/>
      <c r="UYE21" s="292"/>
      <c r="UYF21" s="292"/>
      <c r="UYG21" s="292"/>
      <c r="UYH21" s="292"/>
      <c r="UYI21" s="292"/>
      <c r="UYJ21" s="292"/>
      <c r="UYK21" s="292"/>
      <c r="UYL21" s="292"/>
      <c r="UYM21" s="292"/>
      <c r="UYN21" s="292"/>
      <c r="UYO21" s="292"/>
      <c r="UYP21" s="292"/>
      <c r="UYQ21" s="292"/>
      <c r="UYR21" s="292"/>
      <c r="UYS21" s="292"/>
      <c r="UYT21" s="292"/>
      <c r="UYU21" s="292"/>
      <c r="UYV21" s="292"/>
      <c r="UYW21" s="292"/>
      <c r="UYX21" s="292"/>
      <c r="UYY21" s="292"/>
      <c r="UYZ21" s="292"/>
      <c r="UZA21" s="292"/>
      <c r="UZB21" s="292"/>
      <c r="UZC21" s="292"/>
      <c r="UZD21" s="292"/>
      <c r="UZE21" s="292"/>
      <c r="UZF21" s="292"/>
      <c r="UZG21" s="292"/>
      <c r="UZH21" s="292"/>
      <c r="UZI21" s="292"/>
      <c r="UZJ21" s="292"/>
      <c r="UZK21" s="292"/>
      <c r="UZL21" s="292"/>
      <c r="UZM21" s="292"/>
      <c r="UZN21" s="292"/>
      <c r="UZO21" s="292"/>
      <c r="UZP21" s="292"/>
      <c r="UZQ21" s="292"/>
      <c r="UZR21" s="292"/>
      <c r="UZS21" s="292"/>
      <c r="UZT21" s="292"/>
      <c r="UZU21" s="292"/>
      <c r="UZV21" s="292"/>
      <c r="UZW21" s="292"/>
      <c r="UZX21" s="292"/>
      <c r="UZY21" s="292"/>
      <c r="UZZ21" s="292"/>
      <c r="VAA21" s="292"/>
      <c r="VAB21" s="292"/>
      <c r="VAC21" s="292"/>
      <c r="VAD21" s="292"/>
      <c r="VAE21" s="292"/>
      <c r="VAF21" s="292"/>
      <c r="VAG21" s="292"/>
      <c r="VAH21" s="292"/>
      <c r="VAI21" s="292"/>
      <c r="VAJ21" s="292"/>
      <c r="VAK21" s="292"/>
      <c r="VAL21" s="292"/>
      <c r="VAM21" s="292"/>
      <c r="VAN21" s="292"/>
      <c r="VAO21" s="292"/>
      <c r="VAP21" s="292"/>
      <c r="VAQ21" s="292"/>
      <c r="VAR21" s="292"/>
      <c r="VAS21" s="292"/>
      <c r="VAT21" s="292"/>
      <c r="VAU21" s="292"/>
      <c r="VAV21" s="292"/>
      <c r="VAW21" s="292"/>
      <c r="VAX21" s="292"/>
      <c r="VAY21" s="292"/>
      <c r="VAZ21" s="292"/>
      <c r="VBA21" s="292"/>
      <c r="VBB21" s="292"/>
      <c r="VBC21" s="292"/>
      <c r="VBD21" s="292"/>
      <c r="VBE21" s="292"/>
      <c r="VBF21" s="292"/>
      <c r="VBG21" s="292"/>
      <c r="VBH21" s="292"/>
      <c r="VBI21" s="292"/>
      <c r="VBJ21" s="292"/>
      <c r="VBK21" s="292"/>
      <c r="VBL21" s="292"/>
      <c r="VBM21" s="292"/>
      <c r="VBN21" s="292"/>
      <c r="VBO21" s="292"/>
      <c r="VBP21" s="292"/>
      <c r="VBQ21" s="292"/>
      <c r="VBR21" s="292"/>
      <c r="VBS21" s="292"/>
      <c r="VBT21" s="292"/>
      <c r="VBU21" s="292"/>
      <c r="VBV21" s="292"/>
      <c r="VBW21" s="292"/>
      <c r="VBX21" s="292"/>
      <c r="VBY21" s="292"/>
      <c r="VBZ21" s="292"/>
      <c r="VCA21" s="292"/>
      <c r="VCB21" s="292"/>
      <c r="VCC21" s="292"/>
      <c r="VCD21" s="292"/>
      <c r="VCE21" s="292"/>
      <c r="VCF21" s="292"/>
      <c r="VCG21" s="292"/>
      <c r="VCH21" s="292"/>
      <c r="VCI21" s="292"/>
      <c r="VCJ21" s="292"/>
      <c r="VCK21" s="292"/>
      <c r="VCL21" s="292"/>
      <c r="VCM21" s="292"/>
      <c r="VCN21" s="292"/>
      <c r="VCO21" s="292"/>
      <c r="VCP21" s="292"/>
      <c r="VCQ21" s="292"/>
      <c r="VCR21" s="292"/>
      <c r="VCS21" s="292"/>
      <c r="VCT21" s="292"/>
      <c r="VCU21" s="292"/>
      <c r="VCV21" s="292"/>
      <c r="VCW21" s="292"/>
      <c r="VCX21" s="292"/>
      <c r="VCY21" s="292"/>
      <c r="VCZ21" s="292"/>
      <c r="VDA21" s="292"/>
      <c r="VDB21" s="292"/>
      <c r="VDC21" s="292"/>
      <c r="VDD21" s="292"/>
      <c r="VDE21" s="292"/>
      <c r="VDF21" s="292"/>
      <c r="VDG21" s="292"/>
      <c r="VDH21" s="292"/>
      <c r="VDI21" s="292"/>
      <c r="VDJ21" s="292"/>
      <c r="VDK21" s="292"/>
      <c r="VDL21" s="292"/>
      <c r="VDM21" s="292"/>
      <c r="VDN21" s="292"/>
      <c r="VDO21" s="292"/>
      <c r="VDP21" s="292"/>
      <c r="VDQ21" s="292"/>
      <c r="VDR21" s="292"/>
      <c r="VDS21" s="292"/>
      <c r="VDT21" s="292"/>
      <c r="VDU21" s="292"/>
      <c r="VDV21" s="292"/>
      <c r="VDW21" s="292"/>
      <c r="VDX21" s="292"/>
      <c r="VDY21" s="292"/>
      <c r="VDZ21" s="292"/>
      <c r="VEA21" s="292"/>
      <c r="VEB21" s="292"/>
      <c r="VEC21" s="292"/>
      <c r="VED21" s="292"/>
      <c r="VEE21" s="292"/>
      <c r="VEF21" s="292"/>
      <c r="VEG21" s="292"/>
      <c r="VEH21" s="292"/>
      <c r="VEI21" s="292"/>
      <c r="VEJ21" s="292"/>
      <c r="VEK21" s="292"/>
      <c r="VEL21" s="292"/>
      <c r="VEM21" s="292"/>
      <c r="VEN21" s="292"/>
      <c r="VEO21" s="292"/>
      <c r="VEP21" s="292"/>
      <c r="VEQ21" s="292"/>
      <c r="VER21" s="292"/>
      <c r="VES21" s="292"/>
      <c r="VET21" s="292"/>
      <c r="VEU21" s="292"/>
      <c r="VEV21" s="292"/>
      <c r="VEW21" s="292"/>
      <c r="VEX21" s="292"/>
      <c r="VEY21" s="292"/>
      <c r="VEZ21" s="292"/>
      <c r="VFA21" s="292"/>
      <c r="VFB21" s="292"/>
      <c r="VFC21" s="292"/>
      <c r="VFD21" s="292"/>
      <c r="VFE21" s="292"/>
      <c r="VFF21" s="292"/>
      <c r="VFG21" s="292"/>
      <c r="VFH21" s="292"/>
      <c r="VFI21" s="292"/>
      <c r="VFJ21" s="292"/>
      <c r="VFK21" s="292"/>
      <c r="VFL21" s="292"/>
      <c r="VFM21" s="292"/>
      <c r="VFN21" s="292"/>
      <c r="VFO21" s="292"/>
      <c r="VFP21" s="292"/>
      <c r="VFQ21" s="292"/>
      <c r="VFR21" s="292"/>
      <c r="VFS21" s="292"/>
      <c r="VFT21" s="292"/>
      <c r="VFU21" s="292"/>
      <c r="VFV21" s="292"/>
      <c r="VFW21" s="292"/>
      <c r="VFX21" s="292"/>
      <c r="VFY21" s="292"/>
      <c r="VFZ21" s="292"/>
      <c r="VGA21" s="292"/>
      <c r="VGB21" s="292"/>
      <c r="VGC21" s="292"/>
      <c r="VGD21" s="292"/>
      <c r="VGE21" s="292"/>
      <c r="VGF21" s="292"/>
      <c r="VGG21" s="292"/>
      <c r="VGH21" s="292"/>
      <c r="VGI21" s="292"/>
      <c r="VGJ21" s="292"/>
      <c r="VGK21" s="292"/>
      <c r="VGL21" s="292"/>
      <c r="VGM21" s="292"/>
      <c r="VGN21" s="292"/>
      <c r="VGO21" s="292"/>
      <c r="VGP21" s="292"/>
      <c r="VGQ21" s="292"/>
      <c r="VGR21" s="292"/>
      <c r="VGS21" s="292"/>
      <c r="VGT21" s="292"/>
      <c r="VGU21" s="292"/>
      <c r="VGV21" s="292"/>
      <c r="VGW21" s="292"/>
      <c r="VGX21" s="292"/>
      <c r="VGY21" s="292"/>
      <c r="VGZ21" s="292"/>
      <c r="VHA21" s="292"/>
      <c r="VHB21" s="292"/>
      <c r="VHC21" s="292"/>
      <c r="VHD21" s="292"/>
      <c r="VHE21" s="292"/>
      <c r="VHF21" s="292"/>
      <c r="VHG21" s="292"/>
      <c r="VHH21" s="292"/>
      <c r="VHI21" s="292"/>
      <c r="VHJ21" s="292"/>
      <c r="VHK21" s="292"/>
      <c r="VHL21" s="292"/>
      <c r="VHM21" s="292"/>
      <c r="VHN21" s="292"/>
      <c r="VHO21" s="292"/>
      <c r="VHP21" s="292"/>
      <c r="VHQ21" s="292"/>
      <c r="VHR21" s="292"/>
      <c r="VHS21" s="292"/>
      <c r="VHT21" s="292"/>
      <c r="VHU21" s="292"/>
      <c r="VHV21" s="292"/>
      <c r="VHW21" s="292"/>
      <c r="VHX21" s="292"/>
      <c r="VHY21" s="292"/>
      <c r="VHZ21" s="292"/>
      <c r="VIA21" s="292"/>
      <c r="VIB21" s="292"/>
      <c r="VIC21" s="292"/>
      <c r="VID21" s="292"/>
      <c r="VIE21" s="292"/>
      <c r="VIF21" s="292"/>
      <c r="VIG21" s="292"/>
      <c r="VIH21" s="292"/>
      <c r="VII21" s="292"/>
      <c r="VIJ21" s="292"/>
      <c r="VIK21" s="292"/>
      <c r="VIL21" s="292"/>
      <c r="VIM21" s="292"/>
      <c r="VIN21" s="292"/>
      <c r="VIO21" s="292"/>
      <c r="VIP21" s="292"/>
      <c r="VIQ21" s="292"/>
      <c r="VIR21" s="292"/>
      <c r="VIS21" s="292"/>
      <c r="VIT21" s="292"/>
      <c r="VIU21" s="292"/>
      <c r="VIV21" s="292"/>
      <c r="VIW21" s="292"/>
      <c r="VIX21" s="292"/>
      <c r="VIY21" s="292"/>
      <c r="VIZ21" s="292"/>
      <c r="VJA21" s="292"/>
      <c r="VJB21" s="292"/>
      <c r="VJC21" s="292"/>
      <c r="VJD21" s="292"/>
      <c r="VJE21" s="292"/>
      <c r="VJF21" s="292"/>
      <c r="VJG21" s="292"/>
      <c r="VJH21" s="292"/>
      <c r="VJI21" s="292"/>
      <c r="VJJ21" s="292"/>
      <c r="VJK21" s="292"/>
      <c r="VJL21" s="292"/>
      <c r="VJM21" s="292"/>
      <c r="VJN21" s="292"/>
      <c r="VJO21" s="292"/>
      <c r="VJP21" s="292"/>
      <c r="VJQ21" s="292"/>
      <c r="VJR21" s="292"/>
      <c r="VJS21" s="292"/>
      <c r="VJT21" s="292"/>
      <c r="VJU21" s="292"/>
      <c r="VJV21" s="292"/>
      <c r="VJW21" s="292"/>
      <c r="VJX21" s="292"/>
      <c r="VJY21" s="292"/>
      <c r="VJZ21" s="292"/>
      <c r="VKA21" s="292"/>
      <c r="VKB21" s="292"/>
      <c r="VKC21" s="292"/>
      <c r="VKD21" s="292"/>
      <c r="VKE21" s="292"/>
      <c r="VKF21" s="292"/>
      <c r="VKG21" s="292"/>
      <c r="VKH21" s="292"/>
      <c r="VKI21" s="292"/>
      <c r="VKJ21" s="292"/>
      <c r="VKK21" s="292"/>
      <c r="VKL21" s="292"/>
      <c r="VKM21" s="292"/>
      <c r="VKN21" s="292"/>
      <c r="VKO21" s="292"/>
      <c r="VKP21" s="292"/>
      <c r="VKQ21" s="292"/>
      <c r="VKR21" s="292"/>
      <c r="VKS21" s="292"/>
      <c r="VKT21" s="292"/>
      <c r="VKU21" s="292"/>
      <c r="VKV21" s="292"/>
      <c r="VKW21" s="292"/>
      <c r="VKX21" s="292"/>
      <c r="VKY21" s="292"/>
      <c r="VKZ21" s="292"/>
      <c r="VLA21" s="292"/>
      <c r="VLB21" s="292"/>
      <c r="VLC21" s="292"/>
      <c r="VLD21" s="292"/>
      <c r="VLE21" s="292"/>
      <c r="VLF21" s="292"/>
      <c r="VLG21" s="292"/>
      <c r="VLH21" s="292"/>
      <c r="VLI21" s="292"/>
      <c r="VLJ21" s="292"/>
      <c r="VLK21" s="292"/>
      <c r="VLL21" s="292"/>
      <c r="VLM21" s="292"/>
      <c r="VLN21" s="292"/>
      <c r="VLO21" s="292"/>
      <c r="VLP21" s="292"/>
      <c r="VLQ21" s="292"/>
      <c r="VLR21" s="292"/>
      <c r="VLS21" s="292"/>
      <c r="VLT21" s="292"/>
      <c r="VLU21" s="292"/>
      <c r="VLV21" s="292"/>
      <c r="VLW21" s="292"/>
      <c r="VLX21" s="292"/>
      <c r="VLY21" s="292"/>
      <c r="VLZ21" s="292"/>
      <c r="VMA21" s="292"/>
      <c r="VMB21" s="292"/>
      <c r="VMC21" s="292"/>
      <c r="VMD21" s="292"/>
      <c r="VME21" s="292"/>
      <c r="VMF21" s="292"/>
      <c r="VMG21" s="292"/>
      <c r="VMH21" s="292"/>
      <c r="VMI21" s="292"/>
      <c r="VMJ21" s="292"/>
      <c r="VMK21" s="292"/>
      <c r="VML21" s="292"/>
      <c r="VMM21" s="292"/>
      <c r="VMN21" s="292"/>
      <c r="VMO21" s="292"/>
      <c r="VMP21" s="292"/>
      <c r="VMQ21" s="292"/>
      <c r="VMR21" s="292"/>
      <c r="VMS21" s="292"/>
      <c r="VMT21" s="292"/>
      <c r="VMU21" s="292"/>
      <c r="VMV21" s="292"/>
      <c r="VMW21" s="292"/>
      <c r="VMX21" s="292"/>
      <c r="VMY21" s="292"/>
      <c r="VMZ21" s="292"/>
      <c r="VNA21" s="292"/>
      <c r="VNB21" s="292"/>
      <c r="VNC21" s="292"/>
      <c r="VND21" s="292"/>
      <c r="VNE21" s="292"/>
      <c r="VNF21" s="292"/>
      <c r="VNG21" s="292"/>
      <c r="VNH21" s="292"/>
      <c r="VNI21" s="292"/>
      <c r="VNJ21" s="292"/>
      <c r="VNK21" s="292"/>
      <c r="VNL21" s="292"/>
      <c r="VNM21" s="292"/>
      <c r="VNN21" s="292"/>
      <c r="VNO21" s="292"/>
      <c r="VNP21" s="292"/>
      <c r="VNQ21" s="292"/>
      <c r="VNR21" s="292"/>
      <c r="VNS21" s="292"/>
      <c r="VNT21" s="292"/>
      <c r="VNU21" s="292"/>
      <c r="VNV21" s="292"/>
      <c r="VNW21" s="292"/>
      <c r="VNX21" s="292"/>
      <c r="VNY21" s="292"/>
      <c r="VNZ21" s="292"/>
      <c r="VOA21" s="292"/>
      <c r="VOB21" s="292"/>
      <c r="VOC21" s="292"/>
      <c r="VOD21" s="292"/>
      <c r="VOE21" s="292"/>
      <c r="VOF21" s="292"/>
      <c r="VOG21" s="292"/>
      <c r="VOH21" s="292"/>
      <c r="VOI21" s="292"/>
      <c r="VOJ21" s="292"/>
      <c r="VOK21" s="292"/>
      <c r="VOL21" s="292"/>
      <c r="VOM21" s="292"/>
      <c r="VON21" s="292"/>
      <c r="VOO21" s="292"/>
      <c r="VOP21" s="292"/>
      <c r="VOQ21" s="292"/>
      <c r="VOR21" s="292"/>
      <c r="VOS21" s="292"/>
      <c r="VOT21" s="292"/>
      <c r="VOU21" s="292"/>
      <c r="VOV21" s="292"/>
      <c r="VOW21" s="292"/>
      <c r="VOX21" s="292"/>
      <c r="VOY21" s="292"/>
      <c r="VOZ21" s="292"/>
      <c r="VPA21" s="292"/>
      <c r="VPB21" s="292"/>
      <c r="VPC21" s="292"/>
      <c r="VPD21" s="292"/>
      <c r="VPE21" s="292"/>
      <c r="VPF21" s="292"/>
      <c r="VPG21" s="292"/>
      <c r="VPH21" s="292"/>
      <c r="VPI21" s="292"/>
      <c r="VPJ21" s="292"/>
      <c r="VPK21" s="292"/>
      <c r="VPL21" s="292"/>
      <c r="VPM21" s="292"/>
      <c r="VPN21" s="292"/>
      <c r="VPO21" s="292"/>
      <c r="VPP21" s="292"/>
      <c r="VPQ21" s="292"/>
      <c r="VPR21" s="292"/>
      <c r="VPS21" s="292"/>
      <c r="VPT21" s="292"/>
      <c r="VPU21" s="292"/>
      <c r="VPV21" s="292"/>
      <c r="VPW21" s="292"/>
      <c r="VPX21" s="292"/>
      <c r="VPY21" s="292"/>
      <c r="VPZ21" s="292"/>
      <c r="VQA21" s="292"/>
      <c r="VQB21" s="292"/>
      <c r="VQC21" s="292"/>
      <c r="VQD21" s="292"/>
      <c r="VQE21" s="292"/>
      <c r="VQF21" s="292"/>
      <c r="VQG21" s="292"/>
      <c r="VQH21" s="292"/>
      <c r="VQI21" s="292"/>
      <c r="VQJ21" s="292"/>
      <c r="VQK21" s="292"/>
      <c r="VQL21" s="292"/>
      <c r="VQM21" s="292"/>
      <c r="VQN21" s="292"/>
      <c r="VQO21" s="292"/>
      <c r="VQP21" s="292"/>
      <c r="VQQ21" s="292"/>
      <c r="VQR21" s="292"/>
      <c r="VQS21" s="292"/>
      <c r="VQT21" s="292"/>
      <c r="VQU21" s="292"/>
      <c r="VQV21" s="292"/>
      <c r="VQW21" s="292"/>
      <c r="VQX21" s="292"/>
      <c r="VQY21" s="292"/>
      <c r="VQZ21" s="292"/>
      <c r="VRA21" s="292"/>
      <c r="VRB21" s="292"/>
      <c r="VRC21" s="292"/>
      <c r="VRD21" s="292"/>
      <c r="VRE21" s="292"/>
      <c r="VRF21" s="292"/>
      <c r="VRG21" s="292"/>
      <c r="VRH21" s="292"/>
      <c r="VRI21" s="292"/>
      <c r="VRJ21" s="292"/>
      <c r="VRK21" s="292"/>
      <c r="VRL21" s="292"/>
      <c r="VRM21" s="292"/>
      <c r="VRN21" s="292"/>
      <c r="VRO21" s="292"/>
      <c r="VRP21" s="292"/>
      <c r="VRQ21" s="292"/>
      <c r="VRR21" s="292"/>
      <c r="VRS21" s="292"/>
      <c r="VRT21" s="292"/>
      <c r="VRU21" s="292"/>
      <c r="VRV21" s="292"/>
      <c r="VRW21" s="292"/>
      <c r="VRX21" s="292"/>
      <c r="VRY21" s="292"/>
      <c r="VRZ21" s="292"/>
      <c r="VSA21" s="292"/>
      <c r="VSB21" s="292"/>
      <c r="VSC21" s="292"/>
      <c r="VSD21" s="292"/>
      <c r="VSE21" s="292"/>
      <c r="VSF21" s="292"/>
      <c r="VSG21" s="292"/>
      <c r="VSH21" s="292"/>
      <c r="VSI21" s="292"/>
      <c r="VSJ21" s="292"/>
      <c r="VSK21" s="292"/>
      <c r="VSL21" s="292"/>
      <c r="VSM21" s="292"/>
      <c r="VSN21" s="292"/>
      <c r="VSO21" s="292"/>
      <c r="VSP21" s="292"/>
      <c r="VSQ21" s="292"/>
      <c r="VSR21" s="292"/>
      <c r="VSS21" s="292"/>
      <c r="VST21" s="292"/>
      <c r="VSU21" s="292"/>
      <c r="VSV21" s="292"/>
      <c r="VSW21" s="292"/>
      <c r="VSX21" s="292"/>
      <c r="VSY21" s="292"/>
      <c r="VSZ21" s="292"/>
      <c r="VTA21" s="292"/>
      <c r="VTB21" s="292"/>
      <c r="VTC21" s="292"/>
      <c r="VTD21" s="292"/>
      <c r="VTE21" s="292"/>
      <c r="VTF21" s="292"/>
      <c r="VTG21" s="292"/>
      <c r="VTH21" s="292"/>
      <c r="VTI21" s="292"/>
      <c r="VTJ21" s="292"/>
      <c r="VTK21" s="292"/>
      <c r="VTL21" s="292"/>
      <c r="VTM21" s="292"/>
      <c r="VTN21" s="292"/>
      <c r="VTO21" s="292"/>
      <c r="VTP21" s="292"/>
      <c r="VTQ21" s="292"/>
      <c r="VTR21" s="292"/>
      <c r="VTS21" s="292"/>
      <c r="VTT21" s="292"/>
      <c r="VTU21" s="292"/>
      <c r="VTV21" s="292"/>
      <c r="VTW21" s="292"/>
      <c r="VTX21" s="292"/>
      <c r="VTY21" s="292"/>
      <c r="VTZ21" s="292"/>
      <c r="VUA21" s="292"/>
      <c r="VUB21" s="292"/>
      <c r="VUC21" s="292"/>
      <c r="VUD21" s="292"/>
      <c r="VUE21" s="292"/>
      <c r="VUF21" s="292"/>
      <c r="VUG21" s="292"/>
      <c r="VUH21" s="292"/>
      <c r="VUI21" s="292"/>
      <c r="VUJ21" s="292"/>
      <c r="VUK21" s="292"/>
      <c r="VUL21" s="292"/>
      <c r="VUM21" s="292"/>
      <c r="VUN21" s="292"/>
      <c r="VUO21" s="292"/>
      <c r="VUP21" s="292"/>
      <c r="VUQ21" s="292"/>
      <c r="VUR21" s="292"/>
      <c r="VUS21" s="292"/>
      <c r="VUT21" s="292"/>
      <c r="VUU21" s="292"/>
      <c r="VUV21" s="292"/>
      <c r="VUW21" s="292"/>
      <c r="VUX21" s="292"/>
      <c r="VUY21" s="292"/>
      <c r="VUZ21" s="292"/>
      <c r="VVA21" s="292"/>
      <c r="VVB21" s="292"/>
      <c r="VVC21" s="292"/>
      <c r="VVD21" s="292"/>
      <c r="VVE21" s="292"/>
      <c r="VVF21" s="292"/>
      <c r="VVG21" s="292"/>
      <c r="VVH21" s="292"/>
      <c r="VVI21" s="292"/>
      <c r="VVJ21" s="292"/>
      <c r="VVK21" s="292"/>
      <c r="VVL21" s="292"/>
      <c r="VVM21" s="292"/>
      <c r="VVN21" s="292"/>
      <c r="VVO21" s="292"/>
      <c r="VVP21" s="292"/>
      <c r="VVQ21" s="292"/>
      <c r="VVR21" s="292"/>
      <c r="VVS21" s="292"/>
      <c r="VVT21" s="292"/>
      <c r="VVU21" s="292"/>
      <c r="VVV21" s="292"/>
      <c r="VVW21" s="292"/>
      <c r="VVX21" s="292"/>
      <c r="VVY21" s="292"/>
      <c r="VVZ21" s="292"/>
      <c r="VWA21" s="292"/>
      <c r="VWB21" s="292"/>
      <c r="VWC21" s="292"/>
      <c r="VWD21" s="292"/>
      <c r="VWE21" s="292"/>
      <c r="VWF21" s="292"/>
      <c r="VWG21" s="292"/>
      <c r="VWH21" s="292"/>
      <c r="VWI21" s="292"/>
      <c r="VWJ21" s="292"/>
      <c r="VWK21" s="292"/>
      <c r="VWL21" s="292"/>
      <c r="VWM21" s="292"/>
      <c r="VWN21" s="292"/>
      <c r="VWO21" s="292"/>
      <c r="VWP21" s="292"/>
      <c r="VWQ21" s="292"/>
      <c r="VWR21" s="292"/>
      <c r="VWS21" s="292"/>
      <c r="VWT21" s="292"/>
      <c r="VWU21" s="292"/>
      <c r="VWV21" s="292"/>
      <c r="VWW21" s="292"/>
      <c r="VWX21" s="292"/>
      <c r="VWY21" s="292"/>
      <c r="VWZ21" s="292"/>
      <c r="VXA21" s="292"/>
      <c r="VXB21" s="292"/>
      <c r="VXC21" s="292"/>
      <c r="VXD21" s="292"/>
      <c r="VXE21" s="292"/>
      <c r="VXF21" s="292"/>
      <c r="VXG21" s="292"/>
      <c r="VXH21" s="292"/>
      <c r="VXI21" s="292"/>
      <c r="VXJ21" s="292"/>
      <c r="VXK21" s="292"/>
      <c r="VXL21" s="292"/>
      <c r="VXM21" s="292"/>
      <c r="VXN21" s="292"/>
      <c r="VXO21" s="292"/>
      <c r="VXP21" s="292"/>
      <c r="VXQ21" s="292"/>
      <c r="VXR21" s="292"/>
      <c r="VXS21" s="292"/>
      <c r="VXT21" s="292"/>
      <c r="VXU21" s="292"/>
      <c r="VXV21" s="292"/>
      <c r="VXW21" s="292"/>
      <c r="VXX21" s="292"/>
      <c r="VXY21" s="292"/>
      <c r="VXZ21" s="292"/>
      <c r="VYA21" s="292"/>
      <c r="VYB21" s="292"/>
      <c r="VYC21" s="292"/>
      <c r="VYD21" s="292"/>
      <c r="VYE21" s="292"/>
      <c r="VYF21" s="292"/>
      <c r="VYG21" s="292"/>
      <c r="VYH21" s="292"/>
      <c r="VYI21" s="292"/>
      <c r="VYJ21" s="292"/>
      <c r="VYK21" s="292"/>
      <c r="VYL21" s="292"/>
      <c r="VYM21" s="292"/>
      <c r="VYN21" s="292"/>
      <c r="VYO21" s="292"/>
      <c r="VYP21" s="292"/>
      <c r="VYQ21" s="292"/>
      <c r="VYR21" s="292"/>
      <c r="VYS21" s="292"/>
      <c r="VYT21" s="292"/>
      <c r="VYU21" s="292"/>
      <c r="VYV21" s="292"/>
      <c r="VYW21" s="292"/>
      <c r="VYX21" s="292"/>
      <c r="VYY21" s="292"/>
      <c r="VYZ21" s="292"/>
      <c r="VZA21" s="292"/>
      <c r="VZB21" s="292"/>
      <c r="VZC21" s="292"/>
      <c r="VZD21" s="292"/>
      <c r="VZE21" s="292"/>
      <c r="VZF21" s="292"/>
      <c r="VZG21" s="292"/>
      <c r="VZH21" s="292"/>
      <c r="VZI21" s="292"/>
      <c r="VZJ21" s="292"/>
      <c r="VZK21" s="292"/>
      <c r="VZL21" s="292"/>
      <c r="VZM21" s="292"/>
      <c r="VZN21" s="292"/>
      <c r="VZO21" s="292"/>
      <c r="VZP21" s="292"/>
      <c r="VZQ21" s="292"/>
      <c r="VZR21" s="292"/>
      <c r="VZS21" s="292"/>
      <c r="VZT21" s="292"/>
      <c r="VZU21" s="292"/>
      <c r="VZV21" s="292"/>
      <c r="VZW21" s="292"/>
      <c r="VZX21" s="292"/>
      <c r="VZY21" s="292"/>
      <c r="VZZ21" s="292"/>
      <c r="WAA21" s="292"/>
      <c r="WAB21" s="292"/>
      <c r="WAC21" s="292"/>
      <c r="WAD21" s="292"/>
      <c r="WAE21" s="292"/>
      <c r="WAF21" s="292"/>
      <c r="WAG21" s="292"/>
      <c r="WAH21" s="292"/>
      <c r="WAI21" s="292"/>
      <c r="WAJ21" s="292"/>
      <c r="WAK21" s="292"/>
      <c r="WAL21" s="292"/>
      <c r="WAM21" s="292"/>
      <c r="WAN21" s="292"/>
      <c r="WAO21" s="292"/>
      <c r="WAP21" s="292"/>
      <c r="WAQ21" s="292"/>
      <c r="WAR21" s="292"/>
      <c r="WAS21" s="292"/>
      <c r="WAT21" s="292"/>
      <c r="WAU21" s="292"/>
      <c r="WAV21" s="292"/>
      <c r="WAW21" s="292"/>
      <c r="WAX21" s="292"/>
      <c r="WAY21" s="292"/>
      <c r="WAZ21" s="292"/>
      <c r="WBA21" s="292"/>
      <c r="WBB21" s="292"/>
      <c r="WBC21" s="292"/>
      <c r="WBD21" s="292"/>
      <c r="WBE21" s="292"/>
      <c r="WBF21" s="292"/>
      <c r="WBG21" s="292"/>
      <c r="WBH21" s="292"/>
      <c r="WBI21" s="292"/>
      <c r="WBJ21" s="292"/>
      <c r="WBK21" s="292"/>
      <c r="WBL21" s="292"/>
      <c r="WBM21" s="292"/>
      <c r="WBN21" s="292"/>
      <c r="WBO21" s="292"/>
      <c r="WBP21" s="292"/>
      <c r="WBQ21" s="292"/>
      <c r="WBR21" s="292"/>
      <c r="WBS21" s="292"/>
      <c r="WBT21" s="292"/>
      <c r="WBU21" s="292"/>
      <c r="WBV21" s="292"/>
      <c r="WBW21" s="292"/>
      <c r="WBX21" s="292"/>
      <c r="WBY21" s="292"/>
      <c r="WBZ21" s="292"/>
      <c r="WCA21" s="292"/>
      <c r="WCB21" s="292"/>
      <c r="WCC21" s="292"/>
      <c r="WCD21" s="292"/>
      <c r="WCE21" s="292"/>
      <c r="WCF21" s="292"/>
      <c r="WCG21" s="292"/>
      <c r="WCH21" s="292"/>
      <c r="WCI21" s="292"/>
      <c r="WCJ21" s="292"/>
      <c r="WCK21" s="292"/>
      <c r="WCL21" s="292"/>
      <c r="WCM21" s="292"/>
      <c r="WCN21" s="292"/>
      <c r="WCO21" s="292"/>
      <c r="WCP21" s="292"/>
      <c r="WCQ21" s="292"/>
      <c r="WCR21" s="292"/>
      <c r="WCS21" s="292"/>
      <c r="WCT21" s="292"/>
      <c r="WCU21" s="292"/>
      <c r="WCV21" s="292"/>
      <c r="WCW21" s="292"/>
      <c r="WCX21" s="292"/>
      <c r="WCY21" s="292"/>
      <c r="WCZ21" s="292"/>
      <c r="WDA21" s="292"/>
      <c r="WDB21" s="292"/>
      <c r="WDC21" s="292"/>
      <c r="WDD21" s="292"/>
      <c r="WDE21" s="292"/>
      <c r="WDF21" s="292"/>
      <c r="WDG21" s="292"/>
      <c r="WDH21" s="292"/>
      <c r="WDI21" s="292"/>
      <c r="WDJ21" s="292"/>
      <c r="WDK21" s="292"/>
      <c r="WDL21" s="292"/>
      <c r="WDM21" s="292"/>
      <c r="WDN21" s="292"/>
      <c r="WDO21" s="292"/>
      <c r="WDP21" s="292"/>
      <c r="WDQ21" s="292"/>
      <c r="WDR21" s="292"/>
      <c r="WDS21" s="292"/>
      <c r="WDT21" s="292"/>
      <c r="WDU21" s="292"/>
      <c r="WDV21" s="292"/>
      <c r="WDW21" s="292"/>
      <c r="WDX21" s="292"/>
      <c r="WDY21" s="292"/>
      <c r="WDZ21" s="292"/>
      <c r="WEA21" s="292"/>
      <c r="WEB21" s="292"/>
      <c r="WEC21" s="292"/>
      <c r="WED21" s="292"/>
      <c r="WEE21" s="292"/>
      <c r="WEF21" s="292"/>
      <c r="WEG21" s="292"/>
      <c r="WEH21" s="292"/>
      <c r="WEI21" s="292"/>
      <c r="WEJ21" s="292"/>
      <c r="WEK21" s="292"/>
      <c r="WEL21" s="292"/>
      <c r="WEM21" s="292"/>
      <c r="WEN21" s="292"/>
      <c r="WEO21" s="292"/>
      <c r="WEP21" s="292"/>
      <c r="WEQ21" s="292"/>
      <c r="WER21" s="292"/>
      <c r="WES21" s="292"/>
      <c r="WET21" s="292"/>
      <c r="WEU21" s="292"/>
      <c r="WEV21" s="292"/>
      <c r="WEW21" s="292"/>
      <c r="WEX21" s="292"/>
      <c r="WEY21" s="292"/>
      <c r="WEZ21" s="292"/>
      <c r="WFA21" s="292"/>
      <c r="WFB21" s="292"/>
      <c r="WFC21" s="292"/>
      <c r="WFD21" s="292"/>
      <c r="WFE21" s="292"/>
      <c r="WFF21" s="292"/>
      <c r="WFG21" s="292"/>
      <c r="WFH21" s="292"/>
      <c r="WFI21" s="292"/>
      <c r="WFJ21" s="292"/>
      <c r="WFK21" s="292"/>
      <c r="WFL21" s="292"/>
      <c r="WFM21" s="292"/>
      <c r="WFN21" s="292"/>
      <c r="WFO21" s="292"/>
      <c r="WFP21" s="292"/>
      <c r="WFQ21" s="292"/>
      <c r="WFR21" s="292"/>
      <c r="WFS21" s="292"/>
      <c r="WFT21" s="292"/>
      <c r="WFU21" s="292"/>
      <c r="WFV21" s="292"/>
      <c r="WFW21" s="292"/>
      <c r="WFX21" s="292"/>
      <c r="WFY21" s="292"/>
      <c r="WFZ21" s="292"/>
      <c r="WGA21" s="292"/>
      <c r="WGB21" s="292"/>
      <c r="WGC21" s="292"/>
      <c r="WGD21" s="292"/>
      <c r="WGE21" s="292"/>
      <c r="WGF21" s="292"/>
      <c r="WGG21" s="292"/>
      <c r="WGH21" s="292"/>
      <c r="WGI21" s="292"/>
      <c r="WGJ21" s="292"/>
      <c r="WGK21" s="292"/>
      <c r="WGL21" s="292"/>
      <c r="WGM21" s="292"/>
      <c r="WGN21" s="292"/>
      <c r="WGO21" s="292"/>
      <c r="WGP21" s="292"/>
      <c r="WGQ21" s="292"/>
      <c r="WGR21" s="292"/>
      <c r="WGS21" s="292"/>
      <c r="WGT21" s="292"/>
      <c r="WGU21" s="292"/>
      <c r="WGV21" s="292"/>
      <c r="WGW21" s="292"/>
      <c r="WGX21" s="292"/>
      <c r="WGY21" s="292"/>
      <c r="WGZ21" s="292"/>
      <c r="WHA21" s="292"/>
      <c r="WHB21" s="292"/>
      <c r="WHC21" s="292"/>
      <c r="WHD21" s="292"/>
      <c r="WHE21" s="292"/>
      <c r="WHF21" s="292"/>
      <c r="WHG21" s="292"/>
      <c r="WHH21" s="292"/>
      <c r="WHI21" s="292"/>
      <c r="WHJ21" s="292"/>
      <c r="WHK21" s="292"/>
      <c r="WHL21" s="292"/>
      <c r="WHM21" s="292"/>
      <c r="WHN21" s="292"/>
      <c r="WHO21" s="292"/>
      <c r="WHP21" s="292"/>
      <c r="WHQ21" s="292"/>
      <c r="WHR21" s="292"/>
      <c r="WHS21" s="292"/>
      <c r="WHT21" s="292"/>
      <c r="WHU21" s="292"/>
      <c r="WHV21" s="292"/>
      <c r="WHW21" s="292"/>
      <c r="WHX21" s="292"/>
      <c r="WHY21" s="292"/>
      <c r="WHZ21" s="292"/>
      <c r="WIA21" s="292"/>
      <c r="WIB21" s="292"/>
      <c r="WIC21" s="292"/>
      <c r="WID21" s="292"/>
      <c r="WIE21" s="292"/>
      <c r="WIF21" s="292"/>
      <c r="WIG21" s="292"/>
      <c r="WIH21" s="292"/>
      <c r="WII21" s="292"/>
      <c r="WIJ21" s="292"/>
      <c r="WIK21" s="292"/>
      <c r="WIL21" s="292"/>
      <c r="WIM21" s="292"/>
      <c r="WIN21" s="292"/>
      <c r="WIO21" s="292"/>
      <c r="WIP21" s="292"/>
      <c r="WIQ21" s="292"/>
      <c r="WIR21" s="292"/>
      <c r="WIS21" s="292"/>
      <c r="WIT21" s="292"/>
      <c r="WIU21" s="292"/>
      <c r="WIV21" s="292"/>
      <c r="WIW21" s="292"/>
      <c r="WIX21" s="292"/>
      <c r="WIY21" s="292"/>
      <c r="WIZ21" s="292"/>
      <c r="WJA21" s="292"/>
      <c r="WJB21" s="292"/>
      <c r="WJC21" s="292"/>
      <c r="WJD21" s="292"/>
      <c r="WJE21" s="292"/>
      <c r="WJF21" s="292"/>
      <c r="WJG21" s="292"/>
      <c r="WJH21" s="292"/>
      <c r="WJI21" s="292"/>
      <c r="WJJ21" s="292"/>
      <c r="WJK21" s="292"/>
      <c r="WJL21" s="292"/>
      <c r="WJM21" s="292"/>
      <c r="WJN21" s="292"/>
      <c r="WJO21" s="292"/>
      <c r="WJP21" s="292"/>
      <c r="WJQ21" s="292"/>
      <c r="WJR21" s="292"/>
      <c r="WJS21" s="292"/>
      <c r="WJT21" s="292"/>
      <c r="WJU21" s="292"/>
      <c r="WJV21" s="292"/>
      <c r="WJW21" s="292"/>
      <c r="WJX21" s="292"/>
      <c r="WJY21" s="292"/>
      <c r="WJZ21" s="292"/>
      <c r="WKA21" s="292"/>
      <c r="WKB21" s="292"/>
      <c r="WKC21" s="292"/>
      <c r="WKD21" s="292"/>
      <c r="WKE21" s="292"/>
      <c r="WKF21" s="292"/>
      <c r="WKG21" s="292"/>
      <c r="WKH21" s="292"/>
      <c r="WKI21" s="292"/>
      <c r="WKJ21" s="292"/>
      <c r="WKK21" s="292"/>
      <c r="WKL21" s="292"/>
      <c r="WKM21" s="292"/>
      <c r="WKN21" s="292"/>
      <c r="WKO21" s="292"/>
      <c r="WKP21" s="292"/>
      <c r="WKQ21" s="292"/>
      <c r="WKR21" s="292"/>
      <c r="WKS21" s="292"/>
      <c r="WKT21" s="292"/>
      <c r="WKU21" s="292"/>
      <c r="WKV21" s="292"/>
      <c r="WKW21" s="292"/>
      <c r="WKX21" s="292"/>
      <c r="WKY21" s="292"/>
      <c r="WKZ21" s="292"/>
      <c r="WLA21" s="292"/>
      <c r="WLB21" s="292"/>
      <c r="WLC21" s="292"/>
      <c r="WLD21" s="292"/>
      <c r="WLE21" s="292"/>
      <c r="WLF21" s="292"/>
      <c r="WLG21" s="292"/>
      <c r="WLH21" s="292"/>
      <c r="WLI21" s="292"/>
      <c r="WLJ21" s="292"/>
      <c r="WLK21" s="292"/>
      <c r="WLL21" s="292"/>
      <c r="WLM21" s="292"/>
      <c r="WLN21" s="292"/>
      <c r="WLO21" s="292"/>
      <c r="WLP21" s="292"/>
      <c r="WLQ21" s="292"/>
      <c r="WLR21" s="292"/>
      <c r="WLS21" s="292"/>
      <c r="WLT21" s="292"/>
      <c r="WLU21" s="292"/>
      <c r="WLV21" s="292"/>
      <c r="WLW21" s="292"/>
      <c r="WLX21" s="292"/>
      <c r="WLY21" s="292"/>
      <c r="WLZ21" s="292"/>
      <c r="WMA21" s="292"/>
      <c r="WMB21" s="292"/>
      <c r="WMC21" s="292"/>
      <c r="WMD21" s="292"/>
      <c r="WME21" s="292"/>
      <c r="WMF21" s="292"/>
      <c r="WMG21" s="292"/>
      <c r="WMH21" s="292"/>
      <c r="WMI21" s="292"/>
      <c r="WMJ21" s="292"/>
      <c r="WMK21" s="292"/>
      <c r="WML21" s="292"/>
      <c r="WMM21" s="292"/>
      <c r="WMN21" s="292"/>
      <c r="WMO21" s="292"/>
      <c r="WMP21" s="292"/>
      <c r="WMQ21" s="292"/>
      <c r="WMR21" s="292"/>
      <c r="WMS21" s="292"/>
      <c r="WMT21" s="292"/>
      <c r="WMU21" s="292"/>
      <c r="WMV21" s="292"/>
      <c r="WMW21" s="292"/>
      <c r="WMX21" s="292"/>
      <c r="WMY21" s="292"/>
      <c r="WMZ21" s="292"/>
      <c r="WNA21" s="292"/>
      <c r="WNB21" s="292"/>
      <c r="WNC21" s="292"/>
      <c r="WND21" s="292"/>
      <c r="WNE21" s="292"/>
      <c r="WNF21" s="292"/>
      <c r="WNG21" s="292"/>
      <c r="WNH21" s="292"/>
      <c r="WNI21" s="292"/>
      <c r="WNJ21" s="292"/>
      <c r="WNK21" s="292"/>
      <c r="WNL21" s="292"/>
      <c r="WNM21" s="292"/>
      <c r="WNN21" s="292"/>
      <c r="WNO21" s="292"/>
      <c r="WNP21" s="292"/>
      <c r="WNQ21" s="292"/>
      <c r="WNR21" s="292"/>
      <c r="WNS21" s="292"/>
      <c r="WNT21" s="292"/>
      <c r="WNU21" s="292"/>
      <c r="WNV21" s="292"/>
      <c r="WNW21" s="292"/>
      <c r="WNX21" s="292"/>
      <c r="WNY21" s="292"/>
      <c r="WNZ21" s="292"/>
      <c r="WOA21" s="292"/>
      <c r="WOB21" s="292"/>
      <c r="WOC21" s="292"/>
      <c r="WOD21" s="292"/>
      <c r="WOE21" s="292"/>
      <c r="WOF21" s="292"/>
      <c r="WOG21" s="292"/>
      <c r="WOH21" s="292"/>
      <c r="WOI21" s="292"/>
      <c r="WOJ21" s="292"/>
      <c r="WOK21" s="292"/>
      <c r="WOL21" s="292"/>
      <c r="WOM21" s="292"/>
      <c r="WON21" s="292"/>
      <c r="WOO21" s="292"/>
      <c r="WOP21" s="292"/>
      <c r="WOQ21" s="292"/>
      <c r="WOR21" s="292"/>
      <c r="WOS21" s="292"/>
      <c r="WOT21" s="292"/>
      <c r="WOU21" s="292"/>
      <c r="WOV21" s="292"/>
      <c r="WOW21" s="292"/>
      <c r="WOX21" s="292"/>
      <c r="WOY21" s="292"/>
      <c r="WOZ21" s="292"/>
      <c r="WPA21" s="292"/>
      <c r="WPB21" s="292"/>
      <c r="WPC21" s="292"/>
      <c r="WPD21" s="292"/>
      <c r="WPE21" s="292"/>
      <c r="WPF21" s="292"/>
      <c r="WPG21" s="292"/>
      <c r="WPH21" s="292"/>
      <c r="WPI21" s="292"/>
      <c r="WPJ21" s="292"/>
      <c r="WPK21" s="292"/>
      <c r="WPL21" s="292"/>
      <c r="WPM21" s="292"/>
      <c r="WPN21" s="292"/>
      <c r="WPO21" s="292"/>
      <c r="WPP21" s="292"/>
      <c r="WPQ21" s="292"/>
      <c r="WPR21" s="292"/>
      <c r="WPS21" s="292"/>
      <c r="WPT21" s="292"/>
      <c r="WPU21" s="292"/>
      <c r="WPV21" s="292"/>
      <c r="WPW21" s="292"/>
      <c r="WPX21" s="292"/>
      <c r="WPY21" s="292"/>
      <c r="WPZ21" s="292"/>
      <c r="WQA21" s="292"/>
      <c r="WQB21" s="292"/>
      <c r="WQC21" s="292"/>
      <c r="WQD21" s="292"/>
      <c r="WQE21" s="292"/>
      <c r="WQF21" s="292"/>
      <c r="WQG21" s="292"/>
      <c r="WQH21" s="292"/>
      <c r="WQI21" s="292"/>
      <c r="WQJ21" s="292"/>
      <c r="WQK21" s="292"/>
      <c r="WQL21" s="292"/>
      <c r="WQM21" s="292"/>
      <c r="WQN21" s="292"/>
      <c r="WQO21" s="292"/>
      <c r="WQP21" s="292"/>
      <c r="WQQ21" s="292"/>
      <c r="WQR21" s="292"/>
      <c r="WQS21" s="292"/>
      <c r="WQT21" s="292"/>
      <c r="WQU21" s="292"/>
      <c r="WQV21" s="292"/>
      <c r="WQW21" s="292"/>
      <c r="WQX21" s="292"/>
      <c r="WQY21" s="292"/>
      <c r="WQZ21" s="292"/>
      <c r="WRA21" s="292"/>
      <c r="WRB21" s="292"/>
      <c r="WRC21" s="292"/>
      <c r="WRD21" s="292"/>
      <c r="WRE21" s="292"/>
      <c r="WRF21" s="292"/>
      <c r="WRG21" s="292"/>
      <c r="WRH21" s="292"/>
      <c r="WRI21" s="292"/>
      <c r="WRJ21" s="292"/>
      <c r="WRK21" s="292"/>
      <c r="WRL21" s="292"/>
      <c r="WRM21" s="292"/>
      <c r="WRN21" s="292"/>
      <c r="WRO21" s="292"/>
      <c r="WRP21" s="292"/>
      <c r="WRQ21" s="292"/>
      <c r="WRR21" s="292"/>
      <c r="WRS21" s="292"/>
      <c r="WRT21" s="292"/>
      <c r="WRU21" s="292"/>
      <c r="WRV21" s="292"/>
      <c r="WRW21" s="292"/>
      <c r="WRX21" s="292"/>
      <c r="WRY21" s="292"/>
      <c r="WRZ21" s="292"/>
      <c r="WSA21" s="292"/>
      <c r="WSB21" s="292"/>
      <c r="WSC21" s="292"/>
      <c r="WSD21" s="292"/>
      <c r="WSE21" s="292"/>
      <c r="WSF21" s="292"/>
      <c r="WSG21" s="292"/>
      <c r="WSH21" s="292"/>
      <c r="WSI21" s="292"/>
      <c r="WSJ21" s="292"/>
      <c r="WSK21" s="292"/>
      <c r="WSL21" s="292"/>
      <c r="WSM21" s="292"/>
      <c r="WSN21" s="292"/>
      <c r="WSO21" s="292"/>
      <c r="WSP21" s="292"/>
      <c r="WSQ21" s="292"/>
      <c r="WSR21" s="292"/>
      <c r="WSS21" s="292"/>
      <c r="WST21" s="292"/>
      <c r="WSU21" s="292"/>
      <c r="WSV21" s="292"/>
      <c r="WSW21" s="292"/>
      <c r="WSX21" s="292"/>
      <c r="WSY21" s="292"/>
      <c r="WSZ21" s="292"/>
      <c r="WTA21" s="292"/>
      <c r="WTB21" s="292"/>
      <c r="WTC21" s="292"/>
      <c r="WTD21" s="292"/>
      <c r="WTE21" s="292"/>
      <c r="WTF21" s="292"/>
      <c r="WTG21" s="292"/>
      <c r="WTH21" s="292"/>
      <c r="WTI21" s="292"/>
      <c r="WTJ21" s="292"/>
      <c r="WTK21" s="292"/>
      <c r="WTL21" s="292"/>
      <c r="WTM21" s="292"/>
      <c r="WTN21" s="292"/>
      <c r="WTO21" s="292"/>
      <c r="WTP21" s="292"/>
      <c r="WTQ21" s="292"/>
      <c r="WTR21" s="292"/>
      <c r="WTS21" s="292"/>
      <c r="WTT21" s="292"/>
      <c r="WTU21" s="292"/>
      <c r="WTV21" s="292"/>
      <c r="WTW21" s="292"/>
      <c r="WTX21" s="292"/>
      <c r="WTY21" s="292"/>
      <c r="WTZ21" s="292"/>
      <c r="WUA21" s="292"/>
      <c r="WUB21" s="292"/>
      <c r="WUC21" s="292"/>
      <c r="WUD21" s="292"/>
      <c r="WUE21" s="292"/>
      <c r="WUF21" s="292"/>
      <c r="WUG21" s="292"/>
      <c r="WUH21" s="292"/>
      <c r="WUI21" s="292"/>
      <c r="WUJ21" s="292"/>
      <c r="WUK21" s="292"/>
      <c r="WUL21" s="292"/>
      <c r="WUM21" s="292"/>
      <c r="WUN21" s="292"/>
      <c r="WUO21" s="292"/>
      <c r="WUP21" s="292"/>
      <c r="WUQ21" s="292"/>
      <c r="WUR21" s="292"/>
      <c r="WUS21" s="292"/>
      <c r="WUT21" s="292"/>
      <c r="WUU21" s="292"/>
      <c r="WUV21" s="292"/>
      <c r="WUW21" s="292"/>
      <c r="WUX21" s="292"/>
      <c r="WUY21" s="292"/>
      <c r="WUZ21" s="292"/>
      <c r="WVA21" s="292"/>
      <c r="WVB21" s="292"/>
      <c r="WVC21" s="292"/>
      <c r="WVD21" s="292"/>
      <c r="WVE21" s="292"/>
      <c r="WVF21" s="292"/>
      <c r="WVG21" s="292"/>
      <c r="WVH21" s="292"/>
      <c r="WVI21" s="292"/>
      <c r="WVJ21" s="292"/>
      <c r="WVK21" s="292"/>
      <c r="WVL21" s="292"/>
      <c r="WVM21" s="292"/>
      <c r="WVN21" s="292"/>
      <c r="WVO21" s="292"/>
      <c r="WVP21" s="292"/>
      <c r="WVQ21" s="292"/>
      <c r="WVR21" s="292"/>
      <c r="WVS21" s="292"/>
      <c r="WVT21" s="292"/>
      <c r="WVU21" s="292"/>
      <c r="WVV21" s="292"/>
      <c r="WVW21" s="292"/>
      <c r="WVX21" s="292"/>
      <c r="WVY21" s="292"/>
      <c r="WVZ21" s="292"/>
      <c r="WWA21" s="292"/>
      <c r="WWB21" s="292"/>
      <c r="WWC21" s="292"/>
      <c r="WWD21" s="292"/>
      <c r="WWE21" s="292"/>
      <c r="WWF21" s="292"/>
      <c r="WWG21" s="292"/>
      <c r="WWH21" s="292"/>
      <c r="WWI21" s="292"/>
      <c r="WWJ21" s="292"/>
      <c r="WWK21" s="292"/>
      <c r="WWL21" s="292"/>
      <c r="WWM21" s="292"/>
      <c r="WWN21" s="292"/>
      <c r="WWO21" s="292"/>
      <c r="WWP21" s="292"/>
      <c r="WWQ21" s="292"/>
      <c r="WWR21" s="292"/>
      <c r="WWS21" s="292"/>
      <c r="WWT21" s="292"/>
      <c r="WWU21" s="292"/>
      <c r="WWV21" s="292"/>
      <c r="WWW21" s="292"/>
      <c r="WWX21" s="292"/>
      <c r="WWY21" s="292"/>
      <c r="WWZ21" s="292"/>
      <c r="WXA21" s="292"/>
      <c r="WXB21" s="292"/>
      <c r="WXC21" s="292"/>
      <c r="WXD21" s="292"/>
      <c r="WXE21" s="292"/>
      <c r="WXF21" s="292"/>
      <c r="WXG21" s="292"/>
      <c r="WXH21" s="292"/>
      <c r="WXI21" s="292"/>
      <c r="WXJ21" s="292"/>
      <c r="WXK21" s="292"/>
      <c r="WXL21" s="292"/>
      <c r="WXM21" s="292"/>
      <c r="WXN21" s="292"/>
      <c r="WXO21" s="292"/>
      <c r="WXP21" s="292"/>
      <c r="WXQ21" s="292"/>
      <c r="WXR21" s="292"/>
      <c r="WXS21" s="292"/>
      <c r="WXT21" s="292"/>
      <c r="WXU21" s="292"/>
      <c r="WXV21" s="292"/>
      <c r="WXW21" s="292"/>
      <c r="WXX21" s="292"/>
      <c r="WXY21" s="292"/>
      <c r="WXZ21" s="292"/>
      <c r="WYA21" s="292"/>
      <c r="WYB21" s="292"/>
      <c r="WYC21" s="292"/>
      <c r="WYD21" s="292"/>
      <c r="WYE21" s="292"/>
      <c r="WYF21" s="292"/>
      <c r="WYG21" s="292"/>
      <c r="WYH21" s="292"/>
      <c r="WYI21" s="292"/>
      <c r="WYJ21" s="292"/>
      <c r="WYK21" s="292"/>
      <c r="WYL21" s="292"/>
      <c r="WYM21" s="292"/>
      <c r="WYN21" s="292"/>
      <c r="WYO21" s="292"/>
      <c r="WYP21" s="292"/>
      <c r="WYQ21" s="292"/>
      <c r="WYR21" s="292"/>
      <c r="WYS21" s="292"/>
      <c r="WYT21" s="292"/>
      <c r="WYU21" s="292"/>
      <c r="WYV21" s="292"/>
      <c r="WYW21" s="292"/>
      <c r="WYX21" s="292"/>
      <c r="WYY21" s="292"/>
      <c r="WYZ21" s="292"/>
      <c r="WZA21" s="292"/>
      <c r="WZB21" s="292"/>
      <c r="WZC21" s="292"/>
      <c r="WZD21" s="292"/>
      <c r="WZE21" s="292"/>
      <c r="WZF21" s="292"/>
      <c r="WZG21" s="292"/>
      <c r="WZH21" s="292"/>
      <c r="WZI21" s="292"/>
      <c r="WZJ21" s="292"/>
      <c r="WZK21" s="292"/>
      <c r="WZL21" s="292"/>
      <c r="WZM21" s="292"/>
      <c r="WZN21" s="292"/>
      <c r="WZO21" s="292"/>
      <c r="WZP21" s="292"/>
      <c r="WZQ21" s="292"/>
      <c r="WZR21" s="292"/>
      <c r="WZS21" s="292"/>
      <c r="WZT21" s="292"/>
      <c r="WZU21" s="292"/>
      <c r="WZV21" s="292"/>
      <c r="WZW21" s="292"/>
      <c r="WZX21" s="292"/>
      <c r="WZY21" s="292"/>
      <c r="WZZ21" s="292"/>
      <c r="XAA21" s="292"/>
      <c r="XAB21" s="292"/>
      <c r="XAC21" s="292"/>
      <c r="XAD21" s="292"/>
      <c r="XAE21" s="292"/>
      <c r="XAF21" s="292"/>
      <c r="XAG21" s="292"/>
      <c r="XAH21" s="292"/>
      <c r="XAI21" s="292"/>
      <c r="XAJ21" s="292"/>
      <c r="XAK21" s="292"/>
      <c r="XAL21" s="292"/>
      <c r="XAM21" s="292"/>
      <c r="XAN21" s="292"/>
      <c r="XAO21" s="292"/>
      <c r="XAP21" s="292"/>
      <c r="XAQ21" s="292"/>
      <c r="XAR21" s="292"/>
      <c r="XAS21" s="292"/>
      <c r="XAT21" s="292"/>
      <c r="XAU21" s="292"/>
      <c r="XAV21" s="292"/>
      <c r="XAW21" s="292"/>
      <c r="XAX21" s="292"/>
      <c r="XAY21" s="292"/>
      <c r="XAZ21" s="292"/>
      <c r="XBA21" s="292"/>
      <c r="XBB21" s="292"/>
      <c r="XBC21" s="292"/>
      <c r="XBD21" s="292"/>
      <c r="XBE21" s="292"/>
      <c r="XBF21" s="292"/>
      <c r="XBG21" s="292"/>
      <c r="XBH21" s="292"/>
      <c r="XBI21" s="292"/>
      <c r="XBJ21" s="292"/>
      <c r="XBK21" s="292"/>
      <c r="XBL21" s="292"/>
      <c r="XBM21" s="292"/>
      <c r="XBN21" s="292"/>
      <c r="XBO21" s="292"/>
      <c r="XBP21" s="292"/>
      <c r="XBQ21" s="292"/>
      <c r="XBR21" s="292"/>
      <c r="XBS21" s="292"/>
      <c r="XBT21" s="292"/>
      <c r="XBU21" s="292"/>
      <c r="XBV21" s="292"/>
      <c r="XBW21" s="292"/>
      <c r="XBX21" s="292"/>
      <c r="XBY21" s="292"/>
      <c r="XBZ21" s="292"/>
      <c r="XCA21" s="292"/>
      <c r="XCB21" s="292"/>
      <c r="XCC21" s="292"/>
      <c r="XCD21" s="292"/>
      <c r="XCE21" s="292"/>
      <c r="XCF21" s="292"/>
      <c r="XCG21" s="292"/>
      <c r="XCH21" s="292"/>
      <c r="XCI21" s="292"/>
      <c r="XCJ21" s="292"/>
      <c r="XCK21" s="292"/>
      <c r="XCL21" s="292"/>
      <c r="XCM21" s="292"/>
      <c r="XCN21" s="292"/>
      <c r="XCO21" s="292"/>
      <c r="XCP21" s="292"/>
      <c r="XCQ21" s="292"/>
      <c r="XCR21" s="292"/>
      <c r="XCS21" s="292"/>
      <c r="XCT21" s="292"/>
      <c r="XCU21" s="292"/>
      <c r="XCV21" s="292"/>
      <c r="XCW21" s="292"/>
      <c r="XCX21" s="292"/>
      <c r="XCY21" s="292"/>
      <c r="XCZ21" s="292"/>
      <c r="XDA21" s="292"/>
      <c r="XDB21" s="292"/>
      <c r="XDC21" s="292"/>
      <c r="XDD21" s="292"/>
      <c r="XDE21" s="292"/>
      <c r="XDF21" s="292"/>
      <c r="XDG21" s="292"/>
      <c r="XDH21" s="292"/>
      <c r="XDI21" s="292"/>
      <c r="XDJ21" s="292"/>
      <c r="XDK21" s="292"/>
      <c r="XDL21" s="292"/>
      <c r="XDM21" s="292"/>
      <c r="XDN21" s="292"/>
      <c r="XDO21" s="292"/>
      <c r="XDP21" s="292"/>
      <c r="XDQ21" s="292"/>
      <c r="XDR21" s="292"/>
      <c r="XDS21" s="292"/>
      <c r="XDT21" s="292"/>
      <c r="XDU21" s="292"/>
      <c r="XDV21" s="292"/>
      <c r="XDW21" s="292"/>
      <c r="XDX21" s="292"/>
      <c r="XDY21" s="292"/>
      <c r="XDZ21" s="292"/>
      <c r="XEA21" s="292"/>
      <c r="XEB21" s="292"/>
      <c r="XEC21" s="292"/>
      <c r="XED21" s="292"/>
      <c r="XEE21" s="292"/>
      <c r="XEF21" s="292"/>
      <c r="XEG21" s="292"/>
      <c r="XEH21" s="292"/>
      <c r="XEI21" s="292"/>
      <c r="XEJ21" s="292"/>
      <c r="XEK21" s="292"/>
      <c r="XEL21" s="292"/>
      <c r="XEM21" s="292"/>
      <c r="XEN21" s="292"/>
      <c r="XEO21" s="292"/>
      <c r="XEP21" s="292"/>
      <c r="XEQ21" s="292"/>
      <c r="XER21" s="292"/>
      <c r="XES21" s="292"/>
      <c r="XET21" s="292"/>
      <c r="XEU21" s="292"/>
      <c r="XEV21" s="292"/>
      <c r="XEW21" s="292"/>
      <c r="XEX21" s="292"/>
      <c r="XEY21" s="292"/>
      <c r="XEZ21" s="292"/>
      <c r="XFA21" s="292"/>
      <c r="XFB21" s="292"/>
      <c r="XFC21" s="292"/>
      <c r="XFD21" s="292"/>
    </row>
    <row r="22" ht="15.75" customHeight="1">
      <c r="D22" s="934" t="s">
        <v>672</v>
      </c>
      <c r="E22" s="939">
        <v>0.6</v>
      </c>
      <c r="H22" s="915"/>
      <c r="I22" s="292"/>
      <c r="J22" s="292"/>
    </row>
    <row r="23" ht="15.75" customHeight="1">
      <c r="D23" s="934" t="s">
        <v>673</v>
      </c>
      <c r="E23" s="863">
        <v>6000.0</v>
      </c>
      <c r="I23" s="292"/>
      <c r="J23" s="292"/>
      <c r="P23" s="852" t="s">
        <v>486</v>
      </c>
    </row>
    <row r="24" ht="15.75" customHeight="1">
      <c r="D24" s="934" t="s">
        <v>674</v>
      </c>
      <c r="E24" s="863">
        <v>2400.0</v>
      </c>
      <c r="F24" s="925"/>
      <c r="H24" s="925"/>
      <c r="I24" s="292"/>
      <c r="J24" s="292"/>
    </row>
    <row r="25" ht="15.75" customHeight="1">
      <c r="I25" s="292"/>
      <c r="J25" s="292"/>
      <c r="Q25" s="871">
        <v>0.0</v>
      </c>
      <c r="R25" s="871">
        <v>2360351.01435</v>
      </c>
      <c r="S25" s="871">
        <v>3776561.6229600003</v>
      </c>
      <c r="T25" s="871">
        <v>4720702.0287</v>
      </c>
      <c r="U25" s="871">
        <v>4720702.0287</v>
      </c>
    </row>
    <row r="26" ht="15.75" customHeight="1">
      <c r="I26" s="292"/>
      <c r="J26" s="292"/>
    </row>
    <row r="27" ht="15.75" customHeight="1">
      <c r="D27" s="292"/>
      <c r="I27" s="292"/>
      <c r="J27" s="292"/>
    </row>
    <row r="28" ht="15.75" customHeight="1">
      <c r="C28" s="292" t="s">
        <v>675</v>
      </c>
      <c r="D28" s="852" t="s">
        <v>676</v>
      </c>
      <c r="I28" s="292"/>
      <c r="J28" s="292"/>
      <c r="Q28" s="871">
        <v>0.0</v>
      </c>
      <c r="R28" s="871">
        <f t="shared" ref="R28:R32" si="15">Q28/1000</f>
        <v>0</v>
      </c>
      <c r="T28" s="871">
        <v>0.0</v>
      </c>
    </row>
    <row r="29" ht="15.75" customHeight="1">
      <c r="I29" s="292"/>
      <c r="J29" s="292"/>
      <c r="Q29" s="871">
        <v>2360351.01435</v>
      </c>
      <c r="R29" s="871">
        <f t="shared" si="15"/>
        <v>2360.351014</v>
      </c>
      <c r="T29" s="871">
        <v>2360.35101435</v>
      </c>
    </row>
    <row r="30" ht="15.75" customHeight="1">
      <c r="D30" s="934" t="s">
        <v>166</v>
      </c>
      <c r="E30" s="863">
        <v>4800.0</v>
      </c>
      <c r="F30" s="940" t="s">
        <v>283</v>
      </c>
      <c r="I30" s="292"/>
      <c r="J30" s="292"/>
      <c r="Q30" s="871">
        <v>3776561.6229600003</v>
      </c>
      <c r="R30" s="871">
        <f t="shared" si="15"/>
        <v>3776.561623</v>
      </c>
      <c r="T30" s="871">
        <v>3776.5616229600005</v>
      </c>
    </row>
    <row r="31" ht="15.75" customHeight="1">
      <c r="D31" s="934" t="s">
        <v>300</v>
      </c>
      <c r="E31" s="865">
        <f>15/60</f>
        <v>0.25</v>
      </c>
      <c r="F31" s="940" t="s">
        <v>346</v>
      </c>
      <c r="I31" s="292"/>
      <c r="J31" s="292"/>
      <c r="Q31" s="871">
        <v>4720702.0287</v>
      </c>
      <c r="R31" s="871">
        <f t="shared" si="15"/>
        <v>4720.702029</v>
      </c>
      <c r="T31" s="871">
        <v>4720.7020287</v>
      </c>
    </row>
    <row r="32" ht="15.75" customHeight="1">
      <c r="D32" s="934" t="s">
        <v>286</v>
      </c>
      <c r="E32" s="865">
        <v>15.75</v>
      </c>
      <c r="F32" s="940" t="s">
        <v>677</v>
      </c>
      <c r="I32" s="292"/>
      <c r="J32" s="292"/>
      <c r="Q32" s="871">
        <v>4720702.0287</v>
      </c>
      <c r="R32" s="871">
        <f t="shared" si="15"/>
        <v>4720.702029</v>
      </c>
      <c r="T32" s="871">
        <v>4720.7020287</v>
      </c>
    </row>
    <row r="33" ht="15.75" customHeight="1">
      <c r="I33" s="292"/>
      <c r="J33" s="292"/>
    </row>
    <row r="34" ht="15.75" customHeight="1">
      <c r="A34" s="292"/>
      <c r="B34" s="292"/>
      <c r="C34" s="292"/>
      <c r="D34" s="292"/>
      <c r="E34" s="925">
        <f>E30*E31*E32</f>
        <v>18900</v>
      </c>
      <c r="F34" s="292"/>
      <c r="G34" s="292"/>
      <c r="H34" s="292"/>
      <c r="I34" s="292"/>
      <c r="J34" s="292"/>
      <c r="K34" s="292"/>
      <c r="L34" s="292"/>
      <c r="M34" s="292"/>
      <c r="N34" s="292"/>
      <c r="O34" s="292"/>
      <c r="P34" s="292"/>
      <c r="Q34" s="292"/>
      <c r="R34" s="292"/>
      <c r="S34" s="292"/>
      <c r="T34" s="292"/>
      <c r="U34" s="292"/>
      <c r="V34" s="292"/>
      <c r="W34" s="292"/>
      <c r="X34" s="292"/>
      <c r="Y34" s="292"/>
      <c r="Z34" s="292"/>
      <c r="AA34" s="292"/>
      <c r="AB34" s="292"/>
      <c r="AC34" s="292"/>
      <c r="AD34" s="292"/>
      <c r="AE34" s="292"/>
      <c r="AF34" s="292"/>
      <c r="AG34" s="292"/>
      <c r="AH34" s="292"/>
      <c r="AI34" s="292"/>
      <c r="AJ34" s="292"/>
      <c r="AK34" s="292"/>
      <c r="AL34" s="292"/>
      <c r="AM34" s="292"/>
      <c r="AN34" s="292"/>
      <c r="AO34" s="292"/>
      <c r="AP34" s="292"/>
      <c r="AQ34" s="292"/>
      <c r="AR34" s="292"/>
      <c r="AS34" s="292"/>
      <c r="AT34" s="292"/>
      <c r="AU34" s="292"/>
      <c r="AV34" s="292"/>
      <c r="AW34" s="292"/>
      <c r="AX34" s="292"/>
      <c r="AY34" s="292"/>
      <c r="AZ34" s="292"/>
      <c r="BA34" s="292"/>
      <c r="BB34" s="292"/>
      <c r="BC34" s="292"/>
      <c r="BD34" s="292"/>
      <c r="BE34" s="292"/>
      <c r="BF34" s="292"/>
      <c r="BG34" s="292"/>
      <c r="BH34" s="292"/>
      <c r="BI34" s="292"/>
      <c r="BJ34" s="292"/>
      <c r="BK34" s="292"/>
      <c r="BL34" s="292"/>
      <c r="BM34" s="292"/>
      <c r="BN34" s="292"/>
      <c r="BO34" s="292"/>
      <c r="BP34" s="292"/>
      <c r="BQ34" s="292"/>
      <c r="BR34" s="292"/>
      <c r="BS34" s="292"/>
      <c r="BT34" s="292"/>
      <c r="BU34" s="292"/>
      <c r="BV34" s="292"/>
      <c r="BW34" s="292"/>
      <c r="BX34" s="292"/>
      <c r="BY34" s="292"/>
      <c r="BZ34" s="292"/>
      <c r="CA34" s="292"/>
      <c r="CB34" s="292"/>
      <c r="CC34" s="292"/>
      <c r="CD34" s="292"/>
      <c r="CE34" s="292"/>
      <c r="CF34" s="292"/>
      <c r="CG34" s="292"/>
      <c r="CH34" s="292"/>
      <c r="CI34" s="292"/>
      <c r="CJ34" s="292"/>
      <c r="CK34" s="292"/>
      <c r="CL34" s="292"/>
      <c r="CM34" s="292"/>
      <c r="CN34" s="292"/>
      <c r="CO34" s="292"/>
      <c r="CP34" s="292"/>
      <c r="CQ34" s="292"/>
      <c r="CR34" s="292"/>
      <c r="CS34" s="292"/>
      <c r="CT34" s="292"/>
      <c r="CU34" s="292"/>
      <c r="CV34" s="292"/>
      <c r="CW34" s="292"/>
      <c r="CX34" s="292"/>
      <c r="CY34" s="292"/>
      <c r="CZ34" s="292"/>
      <c r="DA34" s="292"/>
      <c r="DB34" s="292"/>
      <c r="DC34" s="292"/>
      <c r="DD34" s="292"/>
      <c r="DE34" s="292"/>
      <c r="DF34" s="292"/>
      <c r="DG34" s="292"/>
      <c r="DH34" s="292"/>
      <c r="DI34" s="292"/>
      <c r="DJ34" s="292"/>
      <c r="DK34" s="292"/>
      <c r="DL34" s="292"/>
      <c r="DM34" s="292"/>
      <c r="DN34" s="292"/>
      <c r="DO34" s="292"/>
      <c r="DP34" s="292"/>
      <c r="DQ34" s="292"/>
      <c r="DR34" s="292"/>
      <c r="DS34" s="292"/>
      <c r="DT34" s="292"/>
      <c r="DU34" s="292"/>
      <c r="DV34" s="292"/>
      <c r="DW34" s="292"/>
      <c r="DX34" s="292"/>
      <c r="DY34" s="292"/>
      <c r="DZ34" s="292"/>
      <c r="EA34" s="292"/>
      <c r="EB34" s="292"/>
      <c r="EC34" s="292"/>
      <c r="ED34" s="292"/>
      <c r="EE34" s="292"/>
      <c r="EF34" s="292"/>
      <c r="EG34" s="292"/>
      <c r="EH34" s="292"/>
      <c r="EI34" s="292"/>
      <c r="EJ34" s="292"/>
      <c r="EK34" s="292"/>
      <c r="EL34" s="292"/>
      <c r="EM34" s="292"/>
      <c r="EN34" s="292"/>
      <c r="EO34" s="292"/>
      <c r="EP34" s="292"/>
      <c r="EQ34" s="292"/>
      <c r="ER34" s="292"/>
      <c r="ES34" s="292"/>
      <c r="ET34" s="292"/>
      <c r="EU34" s="292"/>
      <c r="EV34" s="292"/>
      <c r="EW34" s="292"/>
      <c r="EX34" s="292"/>
      <c r="EY34" s="292"/>
      <c r="EZ34" s="292"/>
      <c r="FA34" s="292"/>
      <c r="FB34" s="292"/>
      <c r="FC34" s="292"/>
      <c r="FD34" s="292"/>
      <c r="FE34" s="292"/>
      <c r="FF34" s="292"/>
      <c r="FG34" s="292"/>
      <c r="FH34" s="292"/>
      <c r="FI34" s="292"/>
      <c r="FJ34" s="292"/>
      <c r="FK34" s="292"/>
      <c r="FL34" s="292"/>
      <c r="FM34" s="292"/>
      <c r="FN34" s="292"/>
      <c r="FO34" s="292"/>
      <c r="FP34" s="292"/>
      <c r="FQ34" s="292"/>
      <c r="FR34" s="292"/>
      <c r="FS34" s="292"/>
      <c r="FT34" s="292"/>
      <c r="FU34" s="292"/>
      <c r="FV34" s="292"/>
      <c r="FW34" s="292"/>
      <c r="FX34" s="292"/>
      <c r="FY34" s="292"/>
      <c r="FZ34" s="292"/>
      <c r="GA34" s="292"/>
      <c r="GB34" s="292"/>
      <c r="GC34" s="292"/>
      <c r="GD34" s="292"/>
      <c r="GE34" s="292"/>
      <c r="GF34" s="292"/>
      <c r="GG34" s="292"/>
      <c r="GH34" s="292"/>
      <c r="GI34" s="292"/>
      <c r="GJ34" s="292"/>
      <c r="GK34" s="292"/>
      <c r="GL34" s="292"/>
      <c r="GM34" s="292"/>
      <c r="GN34" s="292"/>
      <c r="GO34" s="292"/>
      <c r="GP34" s="292"/>
      <c r="GQ34" s="292"/>
      <c r="GR34" s="292"/>
      <c r="GS34" s="292"/>
      <c r="GT34" s="292"/>
      <c r="GU34" s="292"/>
      <c r="GV34" s="292"/>
      <c r="GW34" s="292"/>
      <c r="GX34" s="292"/>
      <c r="GY34" s="292"/>
      <c r="GZ34" s="292"/>
      <c r="HA34" s="292"/>
      <c r="HB34" s="292"/>
      <c r="HC34" s="292"/>
      <c r="HD34" s="292"/>
      <c r="HE34" s="292"/>
      <c r="HF34" s="292"/>
      <c r="HG34" s="292"/>
      <c r="HH34" s="292"/>
      <c r="HI34" s="292"/>
      <c r="HJ34" s="292"/>
      <c r="HK34" s="292"/>
      <c r="HL34" s="292"/>
      <c r="HM34" s="292"/>
      <c r="HN34" s="292"/>
      <c r="HO34" s="292"/>
      <c r="HP34" s="292"/>
      <c r="HQ34" s="292"/>
      <c r="HR34" s="292"/>
      <c r="HS34" s="292"/>
      <c r="HT34" s="292"/>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c r="SP34" s="292"/>
      <c r="SQ34" s="292"/>
      <c r="SR34" s="292"/>
      <c r="SS34" s="292"/>
      <c r="ST34" s="292"/>
      <c r="SU34" s="292"/>
      <c r="SV34" s="292"/>
      <c r="SW34" s="292"/>
      <c r="SX34" s="292"/>
      <c r="SY34" s="292"/>
      <c r="SZ34" s="292"/>
      <c r="TA34" s="292"/>
      <c r="TB34" s="292"/>
      <c r="TC34" s="292"/>
      <c r="TD34" s="292"/>
      <c r="TE34" s="292"/>
      <c r="TF34" s="292"/>
      <c r="TG34" s="292"/>
      <c r="TH34" s="292"/>
      <c r="TI34" s="292"/>
      <c r="TJ34" s="292"/>
      <c r="TK34" s="292"/>
      <c r="TL34" s="292"/>
      <c r="TM34" s="292"/>
      <c r="TN34" s="292"/>
      <c r="TO34" s="292"/>
      <c r="TP34" s="292"/>
      <c r="TQ34" s="292"/>
      <c r="TR34" s="292"/>
      <c r="TS34" s="292"/>
      <c r="TT34" s="292"/>
      <c r="TU34" s="292"/>
      <c r="TV34" s="292"/>
      <c r="TW34" s="292"/>
      <c r="TX34" s="292"/>
      <c r="TY34" s="292"/>
      <c r="TZ34" s="292"/>
      <c r="UA34" s="292"/>
      <c r="UB34" s="292"/>
      <c r="UC34" s="292"/>
      <c r="UD34" s="292"/>
      <c r="UE34" s="292"/>
      <c r="UF34" s="292"/>
      <c r="UG34" s="292"/>
      <c r="UH34" s="292"/>
      <c r="UI34" s="292"/>
      <c r="UJ34" s="292"/>
      <c r="UK34" s="292"/>
      <c r="UL34" s="292"/>
      <c r="UM34" s="292"/>
      <c r="UN34" s="292"/>
      <c r="UO34" s="292"/>
      <c r="UP34" s="292"/>
      <c r="UQ34" s="292"/>
      <c r="UR34" s="292"/>
      <c r="US34" s="292"/>
      <c r="UT34" s="292"/>
      <c r="UU34" s="292"/>
      <c r="UV34" s="292"/>
      <c r="UW34" s="292"/>
      <c r="UX34" s="292"/>
      <c r="UY34" s="292"/>
      <c r="UZ34" s="292"/>
      <c r="VA34" s="292"/>
      <c r="VB34" s="292"/>
      <c r="VC34" s="292"/>
      <c r="VD34" s="292"/>
      <c r="VE34" s="292"/>
      <c r="VF34" s="292"/>
      <c r="VG34" s="292"/>
      <c r="VH34" s="292"/>
      <c r="VI34" s="292"/>
      <c r="VJ34" s="292"/>
      <c r="VK34" s="292"/>
      <c r="VL34" s="292"/>
      <c r="VM34" s="292"/>
      <c r="VN34" s="292"/>
      <c r="VO34" s="292"/>
      <c r="VP34" s="292"/>
      <c r="VQ34" s="292"/>
      <c r="VR34" s="292"/>
      <c r="VS34" s="292"/>
      <c r="VT34" s="292"/>
      <c r="VU34" s="292"/>
      <c r="VV34" s="292"/>
      <c r="VW34" s="292"/>
      <c r="VX34" s="292"/>
      <c r="VY34" s="292"/>
      <c r="VZ34" s="292"/>
      <c r="WA34" s="292"/>
      <c r="WB34" s="292"/>
      <c r="WC34" s="292"/>
      <c r="WD34" s="292"/>
      <c r="WE34" s="292"/>
      <c r="WF34" s="292"/>
      <c r="WG34" s="292"/>
      <c r="WH34" s="292"/>
      <c r="WI34" s="292"/>
      <c r="WJ34" s="292"/>
      <c r="WK34" s="292"/>
      <c r="WL34" s="292"/>
      <c r="WM34" s="292"/>
      <c r="WN34" s="292"/>
      <c r="WO34" s="292"/>
      <c r="WP34" s="292"/>
      <c r="WQ34" s="292"/>
      <c r="WR34" s="292"/>
      <c r="WS34" s="292"/>
      <c r="WT34" s="292"/>
      <c r="WU34" s="292"/>
      <c r="WV34" s="292"/>
      <c r="WW34" s="292"/>
      <c r="WX34" s="292"/>
      <c r="WY34" s="292"/>
      <c r="WZ34" s="292"/>
      <c r="XA34" s="292"/>
      <c r="XB34" s="292"/>
      <c r="XC34" s="292"/>
      <c r="XD34" s="292"/>
      <c r="XE34" s="292"/>
      <c r="XF34" s="292"/>
      <c r="XG34" s="292"/>
      <c r="XH34" s="292"/>
      <c r="XI34" s="292"/>
      <c r="XJ34" s="292"/>
      <c r="XK34" s="292"/>
      <c r="XL34" s="292"/>
      <c r="XM34" s="292"/>
      <c r="XN34" s="292"/>
      <c r="XO34" s="292"/>
      <c r="XP34" s="292"/>
      <c r="XQ34" s="292"/>
      <c r="XR34" s="292"/>
      <c r="XS34" s="292"/>
      <c r="XT34" s="292"/>
      <c r="XU34" s="292"/>
      <c r="XV34" s="292"/>
      <c r="XW34" s="292"/>
      <c r="XX34" s="292"/>
      <c r="XY34" s="292"/>
      <c r="XZ34" s="292"/>
      <c r="YA34" s="292"/>
      <c r="YB34" s="292"/>
      <c r="YC34" s="292"/>
      <c r="YD34" s="292"/>
      <c r="YE34" s="292"/>
      <c r="YF34" s="292"/>
      <c r="YG34" s="292"/>
      <c r="YH34" s="292"/>
      <c r="YI34" s="292"/>
      <c r="YJ34" s="292"/>
      <c r="YK34" s="292"/>
      <c r="YL34" s="292"/>
      <c r="YM34" s="292"/>
      <c r="YN34" s="292"/>
      <c r="YO34" s="292"/>
      <c r="YP34" s="292"/>
      <c r="YQ34" s="292"/>
      <c r="YR34" s="292"/>
      <c r="YS34" s="292"/>
      <c r="YT34" s="292"/>
      <c r="YU34" s="292"/>
      <c r="YV34" s="292"/>
      <c r="YW34" s="292"/>
      <c r="YX34" s="292"/>
      <c r="YY34" s="292"/>
      <c r="YZ34" s="292"/>
      <c r="ZA34" s="292"/>
      <c r="ZB34" s="292"/>
      <c r="ZC34" s="292"/>
      <c r="ZD34" s="292"/>
      <c r="ZE34" s="292"/>
      <c r="ZF34" s="292"/>
      <c r="ZG34" s="292"/>
      <c r="ZH34" s="292"/>
      <c r="ZI34" s="292"/>
      <c r="ZJ34" s="292"/>
      <c r="ZK34" s="292"/>
      <c r="ZL34" s="292"/>
      <c r="ZM34" s="292"/>
      <c r="ZN34" s="292"/>
      <c r="ZO34" s="292"/>
      <c r="ZP34" s="292"/>
      <c r="ZQ34" s="292"/>
      <c r="ZR34" s="292"/>
      <c r="ZS34" s="292"/>
      <c r="ZT34" s="292"/>
      <c r="ZU34" s="292"/>
      <c r="ZV34" s="292"/>
      <c r="ZW34" s="292"/>
      <c r="ZX34" s="292"/>
      <c r="ZY34" s="292"/>
      <c r="ZZ34" s="292"/>
      <c r="AAA34" s="292"/>
      <c r="AAB34" s="292"/>
      <c r="AAC34" s="292"/>
      <c r="AAD34" s="292"/>
      <c r="AAE34" s="292"/>
      <c r="AAF34" s="292"/>
      <c r="AAG34" s="292"/>
      <c r="AAH34" s="292"/>
      <c r="AAI34" s="292"/>
      <c r="AAJ34" s="292"/>
      <c r="AAK34" s="292"/>
      <c r="AAL34" s="292"/>
      <c r="AAM34" s="292"/>
      <c r="AAN34" s="292"/>
      <c r="AAO34" s="292"/>
      <c r="AAP34" s="292"/>
      <c r="AAQ34" s="292"/>
      <c r="AAR34" s="292"/>
      <c r="AAS34" s="292"/>
      <c r="AAT34" s="292"/>
      <c r="AAU34" s="292"/>
      <c r="AAV34" s="292"/>
      <c r="AAW34" s="292"/>
      <c r="AAX34" s="292"/>
      <c r="AAY34" s="292"/>
      <c r="AAZ34" s="292"/>
      <c r="ABA34" s="292"/>
      <c r="ABB34" s="292"/>
      <c r="ABC34" s="292"/>
      <c r="ABD34" s="292"/>
      <c r="ABE34" s="292"/>
      <c r="ABF34" s="292"/>
      <c r="ABG34" s="292"/>
      <c r="ABH34" s="292"/>
      <c r="ABI34" s="292"/>
      <c r="ABJ34" s="292"/>
      <c r="ABK34" s="292"/>
      <c r="ABL34" s="292"/>
      <c r="ABM34" s="292"/>
      <c r="ABN34" s="292"/>
      <c r="ABO34" s="292"/>
      <c r="ABP34" s="292"/>
      <c r="ABQ34" s="292"/>
      <c r="ABR34" s="292"/>
      <c r="ABS34" s="292"/>
      <c r="ABT34" s="292"/>
      <c r="ABU34" s="292"/>
      <c r="ABV34" s="292"/>
      <c r="ABW34" s="292"/>
      <c r="ABX34" s="292"/>
      <c r="ABY34" s="292"/>
      <c r="ABZ34" s="292"/>
      <c r="ACA34" s="292"/>
      <c r="ACB34" s="292"/>
      <c r="ACC34" s="292"/>
      <c r="ACD34" s="292"/>
      <c r="ACE34" s="292"/>
      <c r="ACF34" s="292"/>
      <c r="ACG34" s="292"/>
      <c r="ACH34" s="292"/>
      <c r="ACI34" s="292"/>
      <c r="ACJ34" s="292"/>
      <c r="ACK34" s="292"/>
      <c r="ACL34" s="292"/>
      <c r="ACM34" s="292"/>
      <c r="ACN34" s="292"/>
      <c r="ACO34" s="292"/>
      <c r="ACP34" s="292"/>
      <c r="ACQ34" s="292"/>
      <c r="ACR34" s="292"/>
      <c r="ACS34" s="292"/>
      <c r="ACT34" s="292"/>
      <c r="ACU34" s="292"/>
      <c r="ACV34" s="292"/>
      <c r="ACW34" s="292"/>
      <c r="ACX34" s="292"/>
      <c r="ACY34" s="292"/>
      <c r="ACZ34" s="292"/>
      <c r="ADA34" s="292"/>
      <c r="ADB34" s="292"/>
      <c r="ADC34" s="292"/>
      <c r="ADD34" s="292"/>
      <c r="ADE34" s="292"/>
      <c r="ADF34" s="292"/>
      <c r="ADG34" s="292"/>
      <c r="ADH34" s="292"/>
      <c r="ADI34" s="292"/>
      <c r="ADJ34" s="292"/>
      <c r="ADK34" s="292"/>
      <c r="ADL34" s="292"/>
      <c r="ADM34" s="292"/>
      <c r="ADN34" s="292"/>
      <c r="ADO34" s="292"/>
      <c r="ADP34" s="292"/>
      <c r="ADQ34" s="292"/>
      <c r="ADR34" s="292"/>
      <c r="ADS34" s="292"/>
      <c r="ADT34" s="292"/>
      <c r="ADU34" s="292"/>
      <c r="ADV34" s="292"/>
      <c r="ADW34" s="292"/>
      <c r="ADX34" s="292"/>
      <c r="ADY34" s="292"/>
      <c r="ADZ34" s="292"/>
      <c r="AEA34" s="292"/>
      <c r="AEB34" s="292"/>
      <c r="AEC34" s="292"/>
      <c r="AED34" s="292"/>
      <c r="AEE34" s="292"/>
      <c r="AEF34" s="292"/>
      <c r="AEG34" s="292"/>
      <c r="AEH34" s="292"/>
      <c r="AEI34" s="292"/>
      <c r="AEJ34" s="292"/>
      <c r="AEK34" s="292"/>
      <c r="AEL34" s="292"/>
      <c r="AEM34" s="292"/>
      <c r="AEN34" s="292"/>
      <c r="AEO34" s="292"/>
      <c r="AEP34" s="292"/>
      <c r="AEQ34" s="292"/>
      <c r="AER34" s="292"/>
      <c r="AES34" s="292"/>
      <c r="AET34" s="292"/>
      <c r="AEU34" s="292"/>
      <c r="AEV34" s="292"/>
      <c r="AEW34" s="292"/>
      <c r="AEX34" s="292"/>
      <c r="AEY34" s="292"/>
      <c r="AEZ34" s="292"/>
      <c r="AFA34" s="292"/>
      <c r="AFB34" s="292"/>
      <c r="AFC34" s="292"/>
      <c r="AFD34" s="292"/>
      <c r="AFE34" s="292"/>
      <c r="AFF34" s="292"/>
      <c r="AFG34" s="292"/>
      <c r="AFH34" s="292"/>
      <c r="AFI34" s="292"/>
      <c r="AFJ34" s="292"/>
      <c r="AFK34" s="292"/>
      <c r="AFL34" s="292"/>
      <c r="AFM34" s="292"/>
      <c r="AFN34" s="292"/>
      <c r="AFO34" s="292"/>
      <c r="AFP34" s="292"/>
      <c r="AFQ34" s="292"/>
      <c r="AFR34" s="292"/>
      <c r="AFS34" s="292"/>
      <c r="AFT34" s="292"/>
      <c r="AFU34" s="292"/>
      <c r="AFV34" s="292"/>
      <c r="AFW34" s="292"/>
      <c r="AFX34" s="292"/>
      <c r="AFY34" s="292"/>
      <c r="AFZ34" s="292"/>
      <c r="AGA34" s="292"/>
      <c r="AGB34" s="292"/>
      <c r="AGC34" s="292"/>
      <c r="AGD34" s="292"/>
      <c r="AGE34" s="292"/>
      <c r="AGF34" s="292"/>
      <c r="AGG34" s="292"/>
      <c r="AGH34" s="292"/>
      <c r="AGI34" s="292"/>
      <c r="AGJ34" s="292"/>
      <c r="AGK34" s="292"/>
      <c r="AGL34" s="292"/>
      <c r="AGM34" s="292"/>
      <c r="AGN34" s="292"/>
      <c r="AGO34" s="292"/>
      <c r="AGP34" s="292"/>
      <c r="AGQ34" s="292"/>
      <c r="AGR34" s="292"/>
      <c r="AGS34" s="292"/>
      <c r="AGT34" s="292"/>
      <c r="AGU34" s="292"/>
      <c r="AGV34" s="292"/>
      <c r="AGW34" s="292"/>
      <c r="AGX34" s="292"/>
      <c r="AGY34" s="292"/>
      <c r="AGZ34" s="292"/>
      <c r="AHA34" s="292"/>
      <c r="AHB34" s="292"/>
      <c r="AHC34" s="292"/>
      <c r="AHD34" s="292"/>
      <c r="AHE34" s="292"/>
      <c r="AHF34" s="292"/>
      <c r="AHG34" s="292"/>
      <c r="AHH34" s="292"/>
      <c r="AHI34" s="292"/>
      <c r="AHJ34" s="292"/>
      <c r="AHK34" s="292"/>
      <c r="AHL34" s="292"/>
      <c r="AHM34" s="292"/>
      <c r="AHN34" s="292"/>
      <c r="AHO34" s="292"/>
      <c r="AHP34" s="292"/>
      <c r="AHQ34" s="292"/>
      <c r="AHR34" s="292"/>
      <c r="AHS34" s="292"/>
      <c r="AHT34" s="292"/>
      <c r="AHU34" s="292"/>
      <c r="AHV34" s="292"/>
      <c r="AHW34" s="292"/>
      <c r="AHX34" s="292"/>
      <c r="AHY34" s="292"/>
      <c r="AHZ34" s="292"/>
      <c r="AIA34" s="292"/>
      <c r="AIB34" s="292"/>
      <c r="AIC34" s="292"/>
      <c r="AID34" s="292"/>
      <c r="AIE34" s="292"/>
      <c r="AIF34" s="292"/>
      <c r="AIG34" s="292"/>
      <c r="AIH34" s="292"/>
      <c r="AII34" s="292"/>
      <c r="AIJ34" s="292"/>
      <c r="AIK34" s="292"/>
      <c r="AIL34" s="292"/>
      <c r="AIM34" s="292"/>
      <c r="AIN34" s="292"/>
      <c r="AIO34" s="292"/>
      <c r="AIP34" s="292"/>
      <c r="AIQ34" s="292"/>
      <c r="AIR34" s="292"/>
      <c r="AIS34" s="292"/>
      <c r="AIT34" s="292"/>
      <c r="AIU34" s="292"/>
      <c r="AIV34" s="292"/>
      <c r="AIW34" s="292"/>
      <c r="AIX34" s="292"/>
      <c r="AIY34" s="292"/>
      <c r="AIZ34" s="292"/>
      <c r="AJA34" s="292"/>
      <c r="AJB34" s="292"/>
      <c r="AJC34" s="292"/>
      <c r="AJD34" s="292"/>
      <c r="AJE34" s="292"/>
      <c r="AJF34" s="292"/>
      <c r="AJG34" s="292"/>
      <c r="AJH34" s="292"/>
      <c r="AJI34" s="292"/>
      <c r="AJJ34" s="292"/>
      <c r="AJK34" s="292"/>
      <c r="AJL34" s="292"/>
      <c r="AJM34" s="292"/>
      <c r="AJN34" s="292"/>
      <c r="AJO34" s="292"/>
      <c r="AJP34" s="292"/>
      <c r="AJQ34" s="292"/>
      <c r="AJR34" s="292"/>
      <c r="AJS34" s="292"/>
      <c r="AJT34" s="292"/>
      <c r="AJU34" s="292"/>
      <c r="AJV34" s="292"/>
      <c r="AJW34" s="292"/>
      <c r="AJX34" s="292"/>
      <c r="AJY34" s="292"/>
      <c r="AJZ34" s="292"/>
      <c r="AKA34" s="292"/>
      <c r="AKB34" s="292"/>
      <c r="AKC34" s="292"/>
      <c r="AKD34" s="292"/>
      <c r="AKE34" s="292"/>
      <c r="AKF34" s="292"/>
      <c r="AKG34" s="292"/>
      <c r="AKH34" s="292"/>
      <c r="AKI34" s="292"/>
      <c r="AKJ34" s="292"/>
      <c r="AKK34" s="292"/>
      <c r="AKL34" s="292"/>
      <c r="AKM34" s="292"/>
      <c r="AKN34" s="292"/>
      <c r="AKO34" s="292"/>
      <c r="AKP34" s="292"/>
      <c r="AKQ34" s="292"/>
      <c r="AKR34" s="292"/>
      <c r="AKS34" s="292"/>
      <c r="AKT34" s="292"/>
      <c r="AKU34" s="292"/>
      <c r="AKV34" s="292"/>
      <c r="AKW34" s="292"/>
      <c r="AKX34" s="292"/>
      <c r="AKY34" s="292"/>
      <c r="AKZ34" s="292"/>
      <c r="ALA34" s="292"/>
      <c r="ALB34" s="292"/>
      <c r="ALC34" s="292"/>
      <c r="ALD34" s="292"/>
      <c r="ALE34" s="292"/>
      <c r="ALF34" s="292"/>
      <c r="ALG34" s="292"/>
      <c r="ALH34" s="292"/>
      <c r="ALI34" s="292"/>
      <c r="ALJ34" s="292"/>
      <c r="ALK34" s="292"/>
      <c r="ALL34" s="292"/>
      <c r="ALM34" s="292"/>
      <c r="ALN34" s="292"/>
      <c r="ALO34" s="292"/>
      <c r="ALP34" s="292"/>
      <c r="ALQ34" s="292"/>
      <c r="ALR34" s="292"/>
      <c r="ALS34" s="292"/>
      <c r="ALT34" s="292"/>
      <c r="ALU34" s="292"/>
      <c r="ALV34" s="292"/>
      <c r="ALW34" s="292"/>
      <c r="ALX34" s="292"/>
      <c r="ALY34" s="292"/>
      <c r="ALZ34" s="292"/>
      <c r="AMA34" s="292"/>
      <c r="AMB34" s="292"/>
      <c r="AMC34" s="292"/>
      <c r="AMD34" s="292"/>
      <c r="AME34" s="292"/>
      <c r="AMF34" s="292"/>
      <c r="AMG34" s="292"/>
      <c r="AMH34" s="292"/>
      <c r="AMI34" s="292"/>
      <c r="AMJ34" s="292"/>
      <c r="AMK34" s="292"/>
      <c r="AML34" s="292"/>
      <c r="AMM34" s="292"/>
      <c r="AMN34" s="292"/>
      <c r="AMO34" s="292"/>
      <c r="AMP34" s="292"/>
      <c r="AMQ34" s="292"/>
      <c r="AMR34" s="292"/>
      <c r="AMS34" s="292"/>
      <c r="AMT34" s="292"/>
      <c r="AMU34" s="292"/>
      <c r="AMV34" s="292"/>
      <c r="AMW34" s="292"/>
      <c r="AMX34" s="292"/>
      <c r="AMY34" s="292"/>
      <c r="AMZ34" s="292"/>
      <c r="ANA34" s="292"/>
      <c r="ANB34" s="292"/>
      <c r="ANC34" s="292"/>
      <c r="AND34" s="292"/>
      <c r="ANE34" s="292"/>
      <c r="ANF34" s="292"/>
      <c r="ANG34" s="292"/>
      <c r="ANH34" s="292"/>
      <c r="ANI34" s="292"/>
      <c r="ANJ34" s="292"/>
      <c r="ANK34" s="292"/>
      <c r="ANL34" s="292"/>
      <c r="ANM34" s="292"/>
      <c r="ANN34" s="292"/>
      <c r="ANO34" s="292"/>
      <c r="ANP34" s="292"/>
      <c r="ANQ34" s="292"/>
      <c r="ANR34" s="292"/>
      <c r="ANS34" s="292"/>
      <c r="ANT34" s="292"/>
      <c r="ANU34" s="292"/>
      <c r="ANV34" s="292"/>
      <c r="ANW34" s="292"/>
      <c r="ANX34" s="292"/>
      <c r="ANY34" s="292"/>
      <c r="ANZ34" s="292"/>
      <c r="AOA34" s="292"/>
      <c r="AOB34" s="292"/>
      <c r="AOC34" s="292"/>
      <c r="AOD34" s="292"/>
      <c r="AOE34" s="292"/>
      <c r="AOF34" s="292"/>
      <c r="AOG34" s="292"/>
      <c r="AOH34" s="292"/>
      <c r="AOI34" s="292"/>
      <c r="AOJ34" s="292"/>
      <c r="AOK34" s="292"/>
      <c r="AOL34" s="292"/>
      <c r="AOM34" s="292"/>
      <c r="AON34" s="292"/>
      <c r="AOO34" s="292"/>
      <c r="AOP34" s="292"/>
      <c r="AOQ34" s="292"/>
      <c r="AOR34" s="292"/>
      <c r="AOS34" s="292"/>
      <c r="AOT34" s="292"/>
      <c r="AOU34" s="292"/>
      <c r="AOV34" s="292"/>
      <c r="AOW34" s="292"/>
      <c r="AOX34" s="292"/>
      <c r="AOY34" s="292"/>
      <c r="AOZ34" s="292"/>
      <c r="APA34" s="292"/>
      <c r="APB34" s="292"/>
      <c r="APC34" s="292"/>
      <c r="APD34" s="292"/>
      <c r="APE34" s="292"/>
      <c r="APF34" s="292"/>
      <c r="APG34" s="292"/>
      <c r="APH34" s="292"/>
      <c r="API34" s="292"/>
      <c r="APJ34" s="292"/>
      <c r="APK34" s="292"/>
      <c r="APL34" s="292"/>
      <c r="APM34" s="292"/>
      <c r="APN34" s="292"/>
      <c r="APO34" s="292"/>
      <c r="APP34" s="292"/>
      <c r="APQ34" s="292"/>
      <c r="APR34" s="292"/>
      <c r="APS34" s="292"/>
      <c r="APT34" s="292"/>
      <c r="APU34" s="292"/>
      <c r="APV34" s="292"/>
      <c r="APW34" s="292"/>
      <c r="APX34" s="292"/>
      <c r="APY34" s="292"/>
      <c r="APZ34" s="292"/>
      <c r="AQA34" s="292"/>
      <c r="AQB34" s="292"/>
      <c r="AQC34" s="292"/>
      <c r="AQD34" s="292"/>
      <c r="AQE34" s="292"/>
      <c r="AQF34" s="292"/>
      <c r="AQG34" s="292"/>
      <c r="AQH34" s="292"/>
      <c r="AQI34" s="292"/>
      <c r="AQJ34" s="292"/>
      <c r="AQK34" s="292"/>
      <c r="AQL34" s="292"/>
      <c r="AQM34" s="292"/>
      <c r="AQN34" s="292"/>
      <c r="AQO34" s="292"/>
      <c r="AQP34" s="292"/>
      <c r="AQQ34" s="292"/>
      <c r="AQR34" s="292"/>
      <c r="AQS34" s="292"/>
      <c r="AQT34" s="292"/>
      <c r="AQU34" s="292"/>
      <c r="AQV34" s="292"/>
      <c r="AQW34" s="292"/>
      <c r="AQX34" s="292"/>
      <c r="AQY34" s="292"/>
      <c r="AQZ34" s="292"/>
      <c r="ARA34" s="292"/>
      <c r="ARB34" s="292"/>
      <c r="ARC34" s="292"/>
      <c r="ARD34" s="292"/>
      <c r="ARE34" s="292"/>
      <c r="ARF34" s="292"/>
      <c r="ARG34" s="292"/>
      <c r="ARH34" s="292"/>
      <c r="ARI34" s="292"/>
      <c r="ARJ34" s="292"/>
      <c r="ARK34" s="292"/>
      <c r="ARL34" s="292"/>
      <c r="ARM34" s="292"/>
      <c r="ARN34" s="292"/>
      <c r="ARO34" s="292"/>
      <c r="ARP34" s="292"/>
      <c r="ARQ34" s="292"/>
      <c r="ARR34" s="292"/>
      <c r="ARS34" s="292"/>
      <c r="ART34" s="292"/>
      <c r="ARU34" s="292"/>
      <c r="ARV34" s="292"/>
      <c r="ARW34" s="292"/>
      <c r="ARX34" s="292"/>
      <c r="ARY34" s="292"/>
      <c r="ARZ34" s="292"/>
      <c r="ASA34" s="292"/>
      <c r="ASB34" s="292"/>
      <c r="ASC34" s="292"/>
      <c r="ASD34" s="292"/>
      <c r="ASE34" s="292"/>
      <c r="ASF34" s="292"/>
      <c r="ASG34" s="292"/>
      <c r="ASH34" s="292"/>
      <c r="ASI34" s="292"/>
      <c r="ASJ34" s="292"/>
      <c r="ASK34" s="292"/>
      <c r="ASL34" s="292"/>
      <c r="ASM34" s="292"/>
      <c r="ASN34" s="292"/>
      <c r="ASO34" s="292"/>
      <c r="ASP34" s="292"/>
      <c r="ASQ34" s="292"/>
      <c r="ASR34" s="292"/>
      <c r="ASS34" s="292"/>
      <c r="AST34" s="292"/>
      <c r="ASU34" s="292"/>
      <c r="ASV34" s="292"/>
      <c r="ASW34" s="292"/>
      <c r="ASX34" s="292"/>
      <c r="ASY34" s="292"/>
      <c r="ASZ34" s="292"/>
      <c r="ATA34" s="292"/>
      <c r="ATB34" s="292"/>
      <c r="ATC34" s="292"/>
      <c r="ATD34" s="292"/>
      <c r="ATE34" s="292"/>
      <c r="ATF34" s="292"/>
      <c r="ATG34" s="292"/>
      <c r="ATH34" s="292"/>
      <c r="ATI34" s="292"/>
      <c r="ATJ34" s="292"/>
      <c r="ATK34" s="292"/>
      <c r="ATL34" s="292"/>
      <c r="ATM34" s="292"/>
      <c r="ATN34" s="292"/>
      <c r="ATO34" s="292"/>
      <c r="ATP34" s="292"/>
      <c r="ATQ34" s="292"/>
      <c r="ATR34" s="292"/>
      <c r="ATS34" s="292"/>
      <c r="ATT34" s="292"/>
      <c r="ATU34" s="292"/>
      <c r="ATV34" s="292"/>
      <c r="ATW34" s="292"/>
      <c r="ATX34" s="292"/>
      <c r="ATY34" s="292"/>
      <c r="ATZ34" s="292"/>
      <c r="AUA34" s="292"/>
      <c r="AUB34" s="292"/>
      <c r="AUC34" s="292"/>
      <c r="AUD34" s="292"/>
      <c r="AUE34" s="292"/>
      <c r="AUF34" s="292"/>
      <c r="AUG34" s="292"/>
      <c r="AUH34" s="292"/>
      <c r="AUI34" s="292"/>
      <c r="AUJ34" s="292"/>
      <c r="AUK34" s="292"/>
      <c r="AUL34" s="292"/>
      <c r="AUM34" s="292"/>
      <c r="AUN34" s="292"/>
      <c r="AUO34" s="292"/>
      <c r="AUP34" s="292"/>
      <c r="AUQ34" s="292"/>
      <c r="AUR34" s="292"/>
      <c r="AUS34" s="292"/>
      <c r="AUT34" s="292"/>
      <c r="AUU34" s="292"/>
      <c r="AUV34" s="292"/>
      <c r="AUW34" s="292"/>
      <c r="AUX34" s="292"/>
      <c r="AUY34" s="292"/>
      <c r="AUZ34" s="292"/>
      <c r="AVA34" s="292"/>
      <c r="AVB34" s="292"/>
      <c r="AVC34" s="292"/>
      <c r="AVD34" s="292"/>
      <c r="AVE34" s="292"/>
      <c r="AVF34" s="292"/>
      <c r="AVG34" s="292"/>
      <c r="AVH34" s="292"/>
      <c r="AVI34" s="292"/>
      <c r="AVJ34" s="292"/>
      <c r="AVK34" s="292"/>
      <c r="AVL34" s="292"/>
      <c r="AVM34" s="292"/>
      <c r="AVN34" s="292"/>
      <c r="AVO34" s="292"/>
      <c r="AVP34" s="292"/>
      <c r="AVQ34" s="292"/>
      <c r="AVR34" s="292"/>
      <c r="AVS34" s="292"/>
      <c r="AVT34" s="292"/>
      <c r="AVU34" s="292"/>
      <c r="AVV34" s="292"/>
      <c r="AVW34" s="292"/>
      <c r="AVX34" s="292"/>
      <c r="AVY34" s="292"/>
      <c r="AVZ34" s="292"/>
      <c r="AWA34" s="292"/>
      <c r="AWB34" s="292"/>
      <c r="AWC34" s="292"/>
      <c r="AWD34" s="292"/>
      <c r="AWE34" s="292"/>
      <c r="AWF34" s="292"/>
      <c r="AWG34" s="292"/>
      <c r="AWH34" s="292"/>
      <c r="AWI34" s="292"/>
      <c r="AWJ34" s="292"/>
      <c r="AWK34" s="292"/>
      <c r="AWL34" s="292"/>
      <c r="AWM34" s="292"/>
      <c r="AWN34" s="292"/>
      <c r="AWO34" s="292"/>
      <c r="AWP34" s="292"/>
      <c r="AWQ34" s="292"/>
      <c r="AWR34" s="292"/>
      <c r="AWS34" s="292"/>
      <c r="AWT34" s="292"/>
      <c r="AWU34" s="292"/>
      <c r="AWV34" s="292"/>
      <c r="AWW34" s="292"/>
      <c r="AWX34" s="292"/>
      <c r="AWY34" s="292"/>
      <c r="AWZ34" s="292"/>
      <c r="AXA34" s="292"/>
      <c r="AXB34" s="292"/>
      <c r="AXC34" s="292"/>
      <c r="AXD34" s="292"/>
      <c r="AXE34" s="292"/>
      <c r="AXF34" s="292"/>
      <c r="AXG34" s="292"/>
      <c r="AXH34" s="292"/>
      <c r="AXI34" s="292"/>
      <c r="AXJ34" s="292"/>
      <c r="AXK34" s="292"/>
      <c r="AXL34" s="292"/>
      <c r="AXM34" s="292"/>
      <c r="AXN34" s="292"/>
      <c r="AXO34" s="292"/>
      <c r="AXP34" s="292"/>
      <c r="AXQ34" s="292"/>
      <c r="AXR34" s="292"/>
      <c r="AXS34" s="292"/>
      <c r="AXT34" s="292"/>
      <c r="AXU34" s="292"/>
      <c r="AXV34" s="292"/>
      <c r="AXW34" s="292"/>
      <c r="AXX34" s="292"/>
      <c r="AXY34" s="292"/>
      <c r="AXZ34" s="292"/>
      <c r="AYA34" s="292"/>
      <c r="AYB34" s="292"/>
      <c r="AYC34" s="292"/>
      <c r="AYD34" s="292"/>
      <c r="AYE34" s="292"/>
      <c r="AYF34" s="292"/>
      <c r="AYG34" s="292"/>
      <c r="AYH34" s="292"/>
      <c r="AYI34" s="292"/>
      <c r="AYJ34" s="292"/>
      <c r="AYK34" s="292"/>
      <c r="AYL34" s="292"/>
      <c r="AYM34" s="292"/>
      <c r="AYN34" s="292"/>
      <c r="AYO34" s="292"/>
      <c r="AYP34" s="292"/>
      <c r="AYQ34" s="292"/>
      <c r="AYR34" s="292"/>
      <c r="AYS34" s="292"/>
      <c r="AYT34" s="292"/>
      <c r="AYU34" s="292"/>
      <c r="AYV34" s="292"/>
      <c r="AYW34" s="292"/>
      <c r="AYX34" s="292"/>
      <c r="AYY34" s="292"/>
      <c r="AYZ34" s="292"/>
      <c r="AZA34" s="292"/>
      <c r="AZB34" s="292"/>
      <c r="AZC34" s="292"/>
      <c r="AZD34" s="292"/>
      <c r="AZE34" s="292"/>
      <c r="AZF34" s="292"/>
      <c r="AZG34" s="292"/>
      <c r="AZH34" s="292"/>
      <c r="AZI34" s="292"/>
      <c r="AZJ34" s="292"/>
      <c r="AZK34" s="292"/>
      <c r="AZL34" s="292"/>
      <c r="AZM34" s="292"/>
      <c r="AZN34" s="292"/>
      <c r="AZO34" s="292"/>
      <c r="AZP34" s="292"/>
      <c r="AZQ34" s="292"/>
      <c r="AZR34" s="292"/>
      <c r="AZS34" s="292"/>
      <c r="AZT34" s="292"/>
      <c r="AZU34" s="292"/>
      <c r="AZV34" s="292"/>
      <c r="AZW34" s="292"/>
      <c r="AZX34" s="292"/>
      <c r="AZY34" s="292"/>
      <c r="AZZ34" s="292"/>
      <c r="BAA34" s="292"/>
      <c r="BAB34" s="292"/>
      <c r="BAC34" s="292"/>
      <c r="BAD34" s="292"/>
      <c r="BAE34" s="292"/>
      <c r="BAF34" s="292"/>
      <c r="BAG34" s="292"/>
      <c r="BAH34" s="292"/>
      <c r="BAI34" s="292"/>
      <c r="BAJ34" s="292"/>
      <c r="BAK34" s="292"/>
      <c r="BAL34" s="292"/>
      <c r="BAM34" s="292"/>
      <c r="BAN34" s="292"/>
      <c r="BAO34" s="292"/>
      <c r="BAP34" s="292"/>
      <c r="BAQ34" s="292"/>
      <c r="BAR34" s="292"/>
      <c r="BAS34" s="292"/>
      <c r="BAT34" s="292"/>
      <c r="BAU34" s="292"/>
      <c r="BAV34" s="292"/>
      <c r="BAW34" s="292"/>
      <c r="BAX34" s="292"/>
      <c r="BAY34" s="292"/>
      <c r="BAZ34" s="292"/>
      <c r="BBA34" s="292"/>
      <c r="BBB34" s="292"/>
      <c r="BBC34" s="292"/>
      <c r="BBD34" s="292"/>
      <c r="BBE34" s="292"/>
      <c r="BBF34" s="292"/>
      <c r="BBG34" s="292"/>
      <c r="BBH34" s="292"/>
      <c r="BBI34" s="292"/>
      <c r="BBJ34" s="292"/>
      <c r="BBK34" s="292"/>
      <c r="BBL34" s="292"/>
      <c r="BBM34" s="292"/>
      <c r="BBN34" s="292"/>
      <c r="BBO34" s="292"/>
      <c r="BBP34" s="292"/>
      <c r="BBQ34" s="292"/>
      <c r="BBR34" s="292"/>
      <c r="BBS34" s="292"/>
      <c r="BBT34" s="292"/>
      <c r="BBU34" s="292"/>
      <c r="BBV34" s="292"/>
      <c r="BBW34" s="292"/>
      <c r="BBX34" s="292"/>
      <c r="BBY34" s="292"/>
      <c r="BBZ34" s="292"/>
      <c r="BCA34" s="292"/>
      <c r="BCB34" s="292"/>
      <c r="BCC34" s="292"/>
      <c r="BCD34" s="292"/>
      <c r="BCE34" s="292"/>
      <c r="BCF34" s="292"/>
      <c r="BCG34" s="292"/>
      <c r="BCH34" s="292"/>
      <c r="BCI34" s="292"/>
      <c r="BCJ34" s="292"/>
      <c r="BCK34" s="292"/>
      <c r="BCL34" s="292"/>
      <c r="BCM34" s="292"/>
      <c r="BCN34" s="292"/>
      <c r="BCO34" s="292"/>
      <c r="BCP34" s="292"/>
      <c r="BCQ34" s="292"/>
      <c r="BCR34" s="292"/>
      <c r="BCS34" s="292"/>
      <c r="BCT34" s="292"/>
      <c r="BCU34" s="292"/>
      <c r="BCV34" s="292"/>
      <c r="BCW34" s="292"/>
      <c r="BCX34" s="292"/>
      <c r="BCY34" s="292"/>
      <c r="BCZ34" s="292"/>
      <c r="BDA34" s="292"/>
      <c r="BDB34" s="292"/>
      <c r="BDC34" s="292"/>
      <c r="BDD34" s="292"/>
      <c r="BDE34" s="292"/>
      <c r="BDF34" s="292"/>
      <c r="BDG34" s="292"/>
      <c r="BDH34" s="292"/>
      <c r="BDI34" s="292"/>
      <c r="BDJ34" s="292"/>
      <c r="BDK34" s="292"/>
      <c r="BDL34" s="292"/>
      <c r="BDM34" s="292"/>
      <c r="BDN34" s="292"/>
      <c r="BDO34" s="292"/>
      <c r="BDP34" s="292"/>
      <c r="BDQ34" s="292"/>
      <c r="BDR34" s="292"/>
      <c r="BDS34" s="292"/>
      <c r="BDT34" s="292"/>
      <c r="BDU34" s="292"/>
      <c r="BDV34" s="292"/>
      <c r="BDW34" s="292"/>
      <c r="BDX34" s="292"/>
      <c r="BDY34" s="292"/>
      <c r="BDZ34" s="292"/>
      <c r="BEA34" s="292"/>
      <c r="BEB34" s="292"/>
      <c r="BEC34" s="292"/>
      <c r="BED34" s="292"/>
      <c r="BEE34" s="292"/>
      <c r="BEF34" s="292"/>
      <c r="BEG34" s="292"/>
      <c r="BEH34" s="292"/>
      <c r="BEI34" s="292"/>
      <c r="BEJ34" s="292"/>
      <c r="BEK34" s="292"/>
      <c r="BEL34" s="292"/>
      <c r="BEM34" s="292"/>
      <c r="BEN34" s="292"/>
      <c r="BEO34" s="292"/>
      <c r="BEP34" s="292"/>
      <c r="BEQ34" s="292"/>
      <c r="BER34" s="292"/>
      <c r="BES34" s="292"/>
      <c r="BET34" s="292"/>
      <c r="BEU34" s="292"/>
      <c r="BEV34" s="292"/>
      <c r="BEW34" s="292"/>
      <c r="BEX34" s="292"/>
      <c r="BEY34" s="292"/>
      <c r="BEZ34" s="292"/>
      <c r="BFA34" s="292"/>
      <c r="BFB34" s="292"/>
      <c r="BFC34" s="292"/>
      <c r="BFD34" s="292"/>
      <c r="BFE34" s="292"/>
      <c r="BFF34" s="292"/>
      <c r="BFG34" s="292"/>
      <c r="BFH34" s="292"/>
      <c r="BFI34" s="292"/>
      <c r="BFJ34" s="292"/>
      <c r="BFK34" s="292"/>
      <c r="BFL34" s="292"/>
      <c r="BFM34" s="292"/>
      <c r="BFN34" s="292"/>
      <c r="BFO34" s="292"/>
      <c r="BFP34" s="292"/>
      <c r="BFQ34" s="292"/>
      <c r="BFR34" s="292"/>
      <c r="BFS34" s="292"/>
      <c r="BFT34" s="292"/>
      <c r="BFU34" s="292"/>
      <c r="BFV34" s="292"/>
      <c r="BFW34" s="292"/>
      <c r="BFX34" s="292"/>
      <c r="BFY34" s="292"/>
      <c r="BFZ34" s="292"/>
      <c r="BGA34" s="292"/>
      <c r="BGB34" s="292"/>
      <c r="BGC34" s="292"/>
      <c r="BGD34" s="292"/>
      <c r="BGE34" s="292"/>
      <c r="BGF34" s="292"/>
      <c r="BGG34" s="292"/>
      <c r="BGH34" s="292"/>
      <c r="BGI34" s="292"/>
      <c r="BGJ34" s="292"/>
      <c r="BGK34" s="292"/>
      <c r="BGL34" s="292"/>
      <c r="BGM34" s="292"/>
      <c r="BGN34" s="292"/>
      <c r="BGO34" s="292"/>
      <c r="BGP34" s="292"/>
      <c r="BGQ34" s="292"/>
      <c r="BGR34" s="292"/>
      <c r="BGS34" s="292"/>
      <c r="BGT34" s="292"/>
      <c r="BGU34" s="292"/>
      <c r="BGV34" s="292"/>
      <c r="BGW34" s="292"/>
      <c r="BGX34" s="292"/>
      <c r="BGY34" s="292"/>
      <c r="BGZ34" s="292"/>
      <c r="BHA34" s="292"/>
      <c r="BHB34" s="292"/>
      <c r="BHC34" s="292"/>
      <c r="BHD34" s="292"/>
      <c r="BHE34" s="292"/>
      <c r="BHF34" s="292"/>
      <c r="BHG34" s="292"/>
      <c r="BHH34" s="292"/>
      <c r="BHI34" s="292"/>
      <c r="BHJ34" s="292"/>
      <c r="BHK34" s="292"/>
      <c r="BHL34" s="292"/>
      <c r="BHM34" s="292"/>
      <c r="BHN34" s="292"/>
      <c r="BHO34" s="292"/>
      <c r="BHP34" s="292"/>
      <c r="BHQ34" s="292"/>
      <c r="BHR34" s="292"/>
      <c r="BHS34" s="292"/>
      <c r="BHT34" s="292"/>
      <c r="BHU34" s="292"/>
      <c r="BHV34" s="292"/>
      <c r="BHW34" s="292"/>
      <c r="BHX34" s="292"/>
      <c r="BHY34" s="292"/>
      <c r="BHZ34" s="292"/>
      <c r="BIA34" s="292"/>
      <c r="BIB34" s="292"/>
      <c r="BIC34" s="292"/>
      <c r="BID34" s="292"/>
      <c r="BIE34" s="292"/>
      <c r="BIF34" s="292"/>
      <c r="BIG34" s="292"/>
      <c r="BIH34" s="292"/>
      <c r="BII34" s="292"/>
      <c r="BIJ34" s="292"/>
      <c r="BIK34" s="292"/>
      <c r="BIL34" s="292"/>
      <c r="BIM34" s="292"/>
      <c r="BIN34" s="292"/>
      <c r="BIO34" s="292"/>
      <c r="BIP34" s="292"/>
      <c r="BIQ34" s="292"/>
      <c r="BIR34" s="292"/>
      <c r="BIS34" s="292"/>
      <c r="BIT34" s="292"/>
      <c r="BIU34" s="292"/>
      <c r="BIV34" s="292"/>
      <c r="BIW34" s="292"/>
      <c r="BIX34" s="292"/>
      <c r="BIY34" s="292"/>
      <c r="BIZ34" s="292"/>
      <c r="BJA34" s="292"/>
      <c r="BJB34" s="292"/>
      <c r="BJC34" s="292"/>
      <c r="BJD34" s="292"/>
      <c r="BJE34" s="292"/>
      <c r="BJF34" s="292"/>
      <c r="BJG34" s="292"/>
      <c r="BJH34" s="292"/>
      <c r="BJI34" s="292"/>
      <c r="BJJ34" s="292"/>
      <c r="BJK34" s="292"/>
      <c r="BJL34" s="292"/>
      <c r="BJM34" s="292"/>
      <c r="BJN34" s="292"/>
      <c r="BJO34" s="292"/>
      <c r="BJP34" s="292"/>
      <c r="BJQ34" s="292"/>
      <c r="BJR34" s="292"/>
      <c r="BJS34" s="292"/>
      <c r="BJT34" s="292"/>
      <c r="BJU34" s="292"/>
      <c r="BJV34" s="292"/>
      <c r="BJW34" s="292"/>
      <c r="BJX34" s="292"/>
      <c r="BJY34" s="292"/>
      <c r="BJZ34" s="292"/>
      <c r="BKA34" s="292"/>
      <c r="BKB34" s="292"/>
      <c r="BKC34" s="292"/>
      <c r="BKD34" s="292"/>
      <c r="BKE34" s="292"/>
      <c r="BKF34" s="292"/>
      <c r="BKG34" s="292"/>
      <c r="BKH34" s="292"/>
      <c r="BKI34" s="292"/>
      <c r="BKJ34" s="292"/>
      <c r="BKK34" s="292"/>
      <c r="BKL34" s="292"/>
      <c r="BKM34" s="292"/>
      <c r="BKN34" s="292"/>
      <c r="BKO34" s="292"/>
      <c r="BKP34" s="292"/>
      <c r="BKQ34" s="292"/>
      <c r="BKR34" s="292"/>
      <c r="BKS34" s="292"/>
      <c r="BKT34" s="292"/>
      <c r="BKU34" s="292"/>
      <c r="BKV34" s="292"/>
      <c r="BKW34" s="292"/>
      <c r="BKX34" s="292"/>
      <c r="BKY34" s="292"/>
      <c r="BKZ34" s="292"/>
      <c r="BLA34" s="292"/>
      <c r="BLB34" s="292"/>
      <c r="BLC34" s="292"/>
      <c r="BLD34" s="292"/>
      <c r="BLE34" s="292"/>
      <c r="BLF34" s="292"/>
      <c r="BLG34" s="292"/>
      <c r="BLH34" s="292"/>
      <c r="BLI34" s="292"/>
      <c r="BLJ34" s="292"/>
      <c r="BLK34" s="292"/>
      <c r="BLL34" s="292"/>
      <c r="BLM34" s="292"/>
      <c r="BLN34" s="292"/>
      <c r="BLO34" s="292"/>
      <c r="BLP34" s="292"/>
      <c r="BLQ34" s="292"/>
      <c r="BLR34" s="292"/>
      <c r="BLS34" s="292"/>
      <c r="BLT34" s="292"/>
      <c r="BLU34" s="292"/>
      <c r="BLV34" s="292"/>
      <c r="BLW34" s="292"/>
      <c r="BLX34" s="292"/>
      <c r="BLY34" s="292"/>
      <c r="BLZ34" s="292"/>
      <c r="BMA34" s="292"/>
      <c r="BMB34" s="292"/>
      <c r="BMC34" s="292"/>
      <c r="BMD34" s="292"/>
      <c r="BME34" s="292"/>
      <c r="BMF34" s="292"/>
      <c r="BMG34" s="292"/>
      <c r="BMH34" s="292"/>
      <c r="BMI34" s="292"/>
      <c r="BMJ34" s="292"/>
      <c r="BMK34" s="292"/>
      <c r="BML34" s="292"/>
      <c r="BMM34" s="292"/>
      <c r="BMN34" s="292"/>
      <c r="BMO34" s="292"/>
      <c r="BMP34" s="292"/>
      <c r="BMQ34" s="292"/>
      <c r="BMR34" s="292"/>
      <c r="BMS34" s="292"/>
      <c r="BMT34" s="292"/>
      <c r="BMU34" s="292"/>
      <c r="BMV34" s="292"/>
      <c r="BMW34" s="292"/>
      <c r="BMX34" s="292"/>
      <c r="BMY34" s="292"/>
      <c r="BMZ34" s="292"/>
      <c r="BNA34" s="292"/>
      <c r="BNB34" s="292"/>
      <c r="BNC34" s="292"/>
      <c r="BND34" s="292"/>
      <c r="BNE34" s="292"/>
      <c r="BNF34" s="292"/>
      <c r="BNG34" s="292"/>
      <c r="BNH34" s="292"/>
      <c r="BNI34" s="292"/>
      <c r="BNJ34" s="292"/>
      <c r="BNK34" s="292"/>
      <c r="BNL34" s="292"/>
      <c r="BNM34" s="292"/>
      <c r="BNN34" s="292"/>
      <c r="BNO34" s="292"/>
      <c r="BNP34" s="292"/>
      <c r="BNQ34" s="292"/>
      <c r="BNR34" s="292"/>
      <c r="BNS34" s="292"/>
      <c r="BNT34" s="292"/>
      <c r="BNU34" s="292"/>
      <c r="BNV34" s="292"/>
      <c r="BNW34" s="292"/>
      <c r="BNX34" s="292"/>
      <c r="BNY34" s="292"/>
      <c r="BNZ34" s="292"/>
      <c r="BOA34" s="292"/>
      <c r="BOB34" s="292"/>
      <c r="BOC34" s="292"/>
      <c r="BOD34" s="292"/>
      <c r="BOE34" s="292"/>
      <c r="BOF34" s="292"/>
      <c r="BOG34" s="292"/>
      <c r="BOH34" s="292"/>
      <c r="BOI34" s="292"/>
      <c r="BOJ34" s="292"/>
      <c r="BOK34" s="292"/>
      <c r="BOL34" s="292"/>
      <c r="BOM34" s="292"/>
      <c r="BON34" s="292"/>
      <c r="BOO34" s="292"/>
      <c r="BOP34" s="292"/>
      <c r="BOQ34" s="292"/>
      <c r="BOR34" s="292"/>
      <c r="BOS34" s="292"/>
      <c r="BOT34" s="292"/>
      <c r="BOU34" s="292"/>
      <c r="BOV34" s="292"/>
      <c r="BOW34" s="292"/>
      <c r="BOX34" s="292"/>
      <c r="BOY34" s="292"/>
      <c r="BOZ34" s="292"/>
      <c r="BPA34" s="292"/>
      <c r="BPB34" s="292"/>
      <c r="BPC34" s="292"/>
      <c r="BPD34" s="292"/>
      <c r="BPE34" s="292"/>
      <c r="BPF34" s="292"/>
      <c r="BPG34" s="292"/>
      <c r="BPH34" s="292"/>
      <c r="BPI34" s="292"/>
      <c r="BPJ34" s="292"/>
      <c r="BPK34" s="292"/>
      <c r="BPL34" s="292"/>
      <c r="BPM34" s="292"/>
      <c r="BPN34" s="292"/>
      <c r="BPO34" s="292"/>
      <c r="BPP34" s="292"/>
      <c r="BPQ34" s="292"/>
      <c r="BPR34" s="292"/>
      <c r="BPS34" s="292"/>
      <c r="BPT34" s="292"/>
      <c r="BPU34" s="292"/>
      <c r="BPV34" s="292"/>
      <c r="BPW34" s="292"/>
      <c r="BPX34" s="292"/>
      <c r="BPY34" s="292"/>
      <c r="BPZ34" s="292"/>
      <c r="BQA34" s="292"/>
      <c r="BQB34" s="292"/>
      <c r="BQC34" s="292"/>
      <c r="BQD34" s="292"/>
      <c r="BQE34" s="292"/>
      <c r="BQF34" s="292"/>
      <c r="BQG34" s="292"/>
      <c r="BQH34" s="292"/>
      <c r="BQI34" s="292"/>
      <c r="BQJ34" s="292"/>
      <c r="BQK34" s="292"/>
      <c r="BQL34" s="292"/>
      <c r="BQM34" s="292"/>
      <c r="BQN34" s="292"/>
      <c r="BQO34" s="292"/>
      <c r="BQP34" s="292"/>
      <c r="BQQ34" s="292"/>
      <c r="BQR34" s="292"/>
      <c r="BQS34" s="292"/>
      <c r="BQT34" s="292"/>
      <c r="BQU34" s="292"/>
      <c r="BQV34" s="292"/>
      <c r="BQW34" s="292"/>
      <c r="BQX34" s="292"/>
      <c r="BQY34" s="292"/>
      <c r="BQZ34" s="292"/>
      <c r="BRA34" s="292"/>
      <c r="BRB34" s="292"/>
      <c r="BRC34" s="292"/>
      <c r="BRD34" s="292"/>
      <c r="BRE34" s="292"/>
      <c r="BRF34" s="292"/>
      <c r="BRG34" s="292"/>
      <c r="BRH34" s="292"/>
      <c r="BRI34" s="292"/>
      <c r="BRJ34" s="292"/>
      <c r="BRK34" s="292"/>
      <c r="BRL34" s="292"/>
      <c r="BRM34" s="292"/>
      <c r="BRN34" s="292"/>
      <c r="BRO34" s="292"/>
      <c r="BRP34" s="292"/>
      <c r="BRQ34" s="292"/>
      <c r="BRR34" s="292"/>
      <c r="BRS34" s="292"/>
      <c r="BRT34" s="292"/>
      <c r="BRU34" s="292"/>
      <c r="BRV34" s="292"/>
      <c r="BRW34" s="292"/>
      <c r="BRX34" s="292"/>
      <c r="BRY34" s="292"/>
      <c r="BRZ34" s="292"/>
      <c r="BSA34" s="292"/>
      <c r="BSB34" s="292"/>
      <c r="BSC34" s="292"/>
      <c r="BSD34" s="292"/>
      <c r="BSE34" s="292"/>
      <c r="BSF34" s="292"/>
      <c r="BSG34" s="292"/>
      <c r="BSH34" s="292"/>
      <c r="BSI34" s="292"/>
      <c r="BSJ34" s="292"/>
      <c r="BSK34" s="292"/>
      <c r="BSL34" s="292"/>
      <c r="BSM34" s="292"/>
      <c r="BSN34" s="292"/>
      <c r="BSO34" s="292"/>
      <c r="BSP34" s="292"/>
      <c r="BSQ34" s="292"/>
      <c r="BSR34" s="292"/>
      <c r="BSS34" s="292"/>
      <c r="BST34" s="292"/>
      <c r="BSU34" s="292"/>
      <c r="BSV34" s="292"/>
      <c r="BSW34" s="292"/>
      <c r="BSX34" s="292"/>
      <c r="BSY34" s="292"/>
      <c r="BSZ34" s="292"/>
      <c r="BTA34" s="292"/>
      <c r="BTB34" s="292"/>
      <c r="BTC34" s="292"/>
      <c r="BTD34" s="292"/>
      <c r="BTE34" s="292"/>
      <c r="BTF34" s="292"/>
      <c r="BTG34" s="292"/>
      <c r="BTH34" s="292"/>
      <c r="BTI34" s="292"/>
      <c r="BTJ34" s="292"/>
      <c r="BTK34" s="292"/>
      <c r="BTL34" s="292"/>
      <c r="BTM34" s="292"/>
      <c r="BTN34" s="292"/>
      <c r="BTO34" s="292"/>
      <c r="BTP34" s="292"/>
      <c r="BTQ34" s="292"/>
      <c r="BTR34" s="292"/>
      <c r="BTS34" s="292"/>
      <c r="BTT34" s="292"/>
      <c r="BTU34" s="292"/>
      <c r="BTV34" s="292"/>
      <c r="BTW34" s="292"/>
      <c r="BTX34" s="292"/>
      <c r="BTY34" s="292"/>
      <c r="BTZ34" s="292"/>
      <c r="BUA34" s="292"/>
      <c r="BUB34" s="292"/>
      <c r="BUC34" s="292"/>
      <c r="BUD34" s="292"/>
      <c r="BUE34" s="292"/>
      <c r="BUF34" s="292"/>
      <c r="BUG34" s="292"/>
      <c r="BUH34" s="292"/>
      <c r="BUI34" s="292"/>
      <c r="BUJ34" s="292"/>
      <c r="BUK34" s="292"/>
      <c r="BUL34" s="292"/>
      <c r="BUM34" s="292"/>
      <c r="BUN34" s="292"/>
      <c r="BUO34" s="292"/>
      <c r="BUP34" s="292"/>
      <c r="BUQ34" s="292"/>
      <c r="BUR34" s="292"/>
      <c r="BUS34" s="292"/>
      <c r="BUT34" s="292"/>
      <c r="BUU34" s="292"/>
      <c r="BUV34" s="292"/>
      <c r="BUW34" s="292"/>
      <c r="BUX34" s="292"/>
      <c r="BUY34" s="292"/>
      <c r="BUZ34" s="292"/>
      <c r="BVA34" s="292"/>
      <c r="BVB34" s="292"/>
      <c r="BVC34" s="292"/>
      <c r="BVD34" s="292"/>
      <c r="BVE34" s="292"/>
      <c r="BVF34" s="292"/>
      <c r="BVG34" s="292"/>
      <c r="BVH34" s="292"/>
      <c r="BVI34" s="292"/>
      <c r="BVJ34" s="292"/>
      <c r="BVK34" s="292"/>
      <c r="BVL34" s="292"/>
      <c r="BVM34" s="292"/>
      <c r="BVN34" s="292"/>
      <c r="BVO34" s="292"/>
      <c r="BVP34" s="292"/>
      <c r="BVQ34" s="292"/>
      <c r="BVR34" s="292"/>
      <c r="BVS34" s="292"/>
      <c r="BVT34" s="292"/>
      <c r="BVU34" s="292"/>
      <c r="BVV34" s="292"/>
      <c r="BVW34" s="292"/>
      <c r="BVX34" s="292"/>
      <c r="BVY34" s="292"/>
      <c r="BVZ34" s="292"/>
      <c r="BWA34" s="292"/>
      <c r="BWB34" s="292"/>
      <c r="BWC34" s="292"/>
      <c r="BWD34" s="292"/>
      <c r="BWE34" s="292"/>
      <c r="BWF34" s="292"/>
      <c r="BWG34" s="292"/>
      <c r="BWH34" s="292"/>
      <c r="BWI34" s="292"/>
      <c r="BWJ34" s="292"/>
      <c r="BWK34" s="292"/>
      <c r="BWL34" s="292"/>
      <c r="BWM34" s="292"/>
      <c r="BWN34" s="292"/>
      <c r="BWO34" s="292"/>
      <c r="BWP34" s="292"/>
      <c r="BWQ34" s="292"/>
      <c r="BWR34" s="292"/>
      <c r="BWS34" s="292"/>
      <c r="BWT34" s="292"/>
      <c r="BWU34" s="292"/>
      <c r="BWV34" s="292"/>
      <c r="BWW34" s="292"/>
      <c r="BWX34" s="292"/>
      <c r="BWY34" s="292"/>
      <c r="BWZ34" s="292"/>
      <c r="BXA34" s="292"/>
      <c r="BXB34" s="292"/>
      <c r="BXC34" s="292"/>
      <c r="BXD34" s="292"/>
      <c r="BXE34" s="292"/>
      <c r="BXF34" s="292"/>
      <c r="BXG34" s="292"/>
      <c r="BXH34" s="292"/>
      <c r="BXI34" s="292"/>
      <c r="BXJ34" s="292"/>
      <c r="BXK34" s="292"/>
      <c r="BXL34" s="292"/>
      <c r="BXM34" s="292"/>
      <c r="BXN34" s="292"/>
      <c r="BXO34" s="292"/>
      <c r="BXP34" s="292"/>
      <c r="BXQ34" s="292"/>
      <c r="BXR34" s="292"/>
      <c r="BXS34" s="292"/>
      <c r="BXT34" s="292"/>
      <c r="BXU34" s="292"/>
      <c r="BXV34" s="292"/>
      <c r="BXW34" s="292"/>
      <c r="BXX34" s="292"/>
      <c r="BXY34" s="292"/>
      <c r="BXZ34" s="292"/>
      <c r="BYA34" s="292"/>
      <c r="BYB34" s="292"/>
      <c r="BYC34" s="292"/>
      <c r="BYD34" s="292"/>
      <c r="BYE34" s="292"/>
      <c r="BYF34" s="292"/>
      <c r="BYG34" s="292"/>
      <c r="BYH34" s="292"/>
      <c r="BYI34" s="292"/>
      <c r="BYJ34" s="292"/>
      <c r="BYK34" s="292"/>
      <c r="BYL34" s="292"/>
      <c r="BYM34" s="292"/>
      <c r="BYN34" s="292"/>
      <c r="BYO34" s="292"/>
      <c r="BYP34" s="292"/>
      <c r="BYQ34" s="292"/>
      <c r="BYR34" s="292"/>
      <c r="BYS34" s="292"/>
      <c r="BYT34" s="292"/>
      <c r="BYU34" s="292"/>
      <c r="BYV34" s="292"/>
      <c r="BYW34" s="292"/>
      <c r="BYX34" s="292"/>
      <c r="BYY34" s="292"/>
      <c r="BYZ34" s="292"/>
      <c r="BZA34" s="292"/>
      <c r="BZB34" s="292"/>
      <c r="BZC34" s="292"/>
      <c r="BZD34" s="292"/>
      <c r="BZE34" s="292"/>
      <c r="BZF34" s="292"/>
      <c r="BZG34" s="292"/>
      <c r="BZH34" s="292"/>
      <c r="BZI34" s="292"/>
      <c r="BZJ34" s="292"/>
      <c r="BZK34" s="292"/>
      <c r="BZL34" s="292"/>
      <c r="BZM34" s="292"/>
      <c r="BZN34" s="292"/>
      <c r="BZO34" s="292"/>
      <c r="BZP34" s="292"/>
      <c r="BZQ34" s="292"/>
      <c r="BZR34" s="292"/>
      <c r="BZS34" s="292"/>
      <c r="BZT34" s="292"/>
      <c r="BZU34" s="292"/>
      <c r="BZV34" s="292"/>
      <c r="BZW34" s="292"/>
      <c r="BZX34" s="292"/>
      <c r="BZY34" s="292"/>
      <c r="BZZ34" s="292"/>
      <c r="CAA34" s="292"/>
      <c r="CAB34" s="292"/>
      <c r="CAC34" s="292"/>
      <c r="CAD34" s="292"/>
      <c r="CAE34" s="292"/>
      <c r="CAF34" s="292"/>
      <c r="CAG34" s="292"/>
      <c r="CAH34" s="292"/>
      <c r="CAI34" s="292"/>
      <c r="CAJ34" s="292"/>
      <c r="CAK34" s="292"/>
      <c r="CAL34" s="292"/>
      <c r="CAM34" s="292"/>
      <c r="CAN34" s="292"/>
      <c r="CAO34" s="292"/>
      <c r="CAP34" s="292"/>
      <c r="CAQ34" s="292"/>
      <c r="CAR34" s="292"/>
      <c r="CAS34" s="292"/>
      <c r="CAT34" s="292"/>
      <c r="CAU34" s="292"/>
      <c r="CAV34" s="292"/>
      <c r="CAW34" s="292"/>
      <c r="CAX34" s="292"/>
      <c r="CAY34" s="292"/>
      <c r="CAZ34" s="292"/>
      <c r="CBA34" s="292"/>
      <c r="CBB34" s="292"/>
      <c r="CBC34" s="292"/>
      <c r="CBD34" s="292"/>
      <c r="CBE34" s="292"/>
      <c r="CBF34" s="292"/>
      <c r="CBG34" s="292"/>
      <c r="CBH34" s="292"/>
      <c r="CBI34" s="292"/>
      <c r="CBJ34" s="292"/>
      <c r="CBK34" s="292"/>
      <c r="CBL34" s="292"/>
      <c r="CBM34" s="292"/>
      <c r="CBN34" s="292"/>
      <c r="CBO34" s="292"/>
      <c r="CBP34" s="292"/>
      <c r="CBQ34" s="292"/>
      <c r="CBR34" s="292"/>
      <c r="CBS34" s="292"/>
      <c r="CBT34" s="292"/>
      <c r="CBU34" s="292"/>
      <c r="CBV34" s="292"/>
      <c r="CBW34" s="292"/>
      <c r="CBX34" s="292"/>
      <c r="CBY34" s="292"/>
      <c r="CBZ34" s="292"/>
      <c r="CCA34" s="292"/>
      <c r="CCB34" s="292"/>
      <c r="CCC34" s="292"/>
      <c r="CCD34" s="292"/>
      <c r="CCE34" s="292"/>
      <c r="CCF34" s="292"/>
      <c r="CCG34" s="292"/>
      <c r="CCH34" s="292"/>
      <c r="CCI34" s="292"/>
      <c r="CCJ34" s="292"/>
      <c r="CCK34" s="292"/>
      <c r="CCL34" s="292"/>
      <c r="CCM34" s="292"/>
      <c r="CCN34" s="292"/>
      <c r="CCO34" s="292"/>
      <c r="CCP34" s="292"/>
      <c r="CCQ34" s="292"/>
      <c r="CCR34" s="292"/>
      <c r="CCS34" s="292"/>
      <c r="CCT34" s="292"/>
      <c r="CCU34" s="292"/>
      <c r="CCV34" s="292"/>
      <c r="CCW34" s="292"/>
      <c r="CCX34" s="292"/>
      <c r="CCY34" s="292"/>
      <c r="CCZ34" s="292"/>
      <c r="CDA34" s="292"/>
      <c r="CDB34" s="292"/>
      <c r="CDC34" s="292"/>
      <c r="CDD34" s="292"/>
      <c r="CDE34" s="292"/>
      <c r="CDF34" s="292"/>
      <c r="CDG34" s="292"/>
      <c r="CDH34" s="292"/>
      <c r="CDI34" s="292"/>
      <c r="CDJ34" s="292"/>
      <c r="CDK34" s="292"/>
      <c r="CDL34" s="292"/>
      <c r="CDM34" s="292"/>
      <c r="CDN34" s="292"/>
      <c r="CDO34" s="292"/>
      <c r="CDP34" s="292"/>
      <c r="CDQ34" s="292"/>
      <c r="CDR34" s="292"/>
      <c r="CDS34" s="292"/>
      <c r="CDT34" s="292"/>
      <c r="CDU34" s="292"/>
      <c r="CDV34" s="292"/>
      <c r="CDW34" s="292"/>
      <c r="CDX34" s="292"/>
      <c r="CDY34" s="292"/>
      <c r="CDZ34" s="292"/>
      <c r="CEA34" s="292"/>
      <c r="CEB34" s="292"/>
      <c r="CEC34" s="292"/>
      <c r="CED34" s="292"/>
      <c r="CEE34" s="292"/>
      <c r="CEF34" s="292"/>
      <c r="CEG34" s="292"/>
      <c r="CEH34" s="292"/>
      <c r="CEI34" s="292"/>
      <c r="CEJ34" s="292"/>
      <c r="CEK34" s="292"/>
      <c r="CEL34" s="292"/>
      <c r="CEM34" s="292"/>
      <c r="CEN34" s="292"/>
      <c r="CEO34" s="292"/>
      <c r="CEP34" s="292"/>
      <c r="CEQ34" s="292"/>
      <c r="CER34" s="292"/>
      <c r="CES34" s="292"/>
      <c r="CET34" s="292"/>
      <c r="CEU34" s="292"/>
      <c r="CEV34" s="292"/>
      <c r="CEW34" s="292"/>
      <c r="CEX34" s="292"/>
      <c r="CEY34" s="292"/>
      <c r="CEZ34" s="292"/>
      <c r="CFA34" s="292"/>
      <c r="CFB34" s="292"/>
      <c r="CFC34" s="292"/>
      <c r="CFD34" s="292"/>
      <c r="CFE34" s="292"/>
      <c r="CFF34" s="292"/>
      <c r="CFG34" s="292"/>
      <c r="CFH34" s="292"/>
      <c r="CFI34" s="292"/>
      <c r="CFJ34" s="292"/>
      <c r="CFK34" s="292"/>
      <c r="CFL34" s="292"/>
      <c r="CFM34" s="292"/>
      <c r="CFN34" s="292"/>
      <c r="CFO34" s="292"/>
      <c r="CFP34" s="292"/>
      <c r="CFQ34" s="292"/>
      <c r="CFR34" s="292"/>
      <c r="CFS34" s="292"/>
      <c r="CFT34" s="292"/>
      <c r="CFU34" s="292"/>
      <c r="CFV34" s="292"/>
      <c r="CFW34" s="292"/>
      <c r="CFX34" s="292"/>
      <c r="CFY34" s="292"/>
      <c r="CFZ34" s="292"/>
      <c r="CGA34" s="292"/>
      <c r="CGB34" s="292"/>
      <c r="CGC34" s="292"/>
      <c r="CGD34" s="292"/>
      <c r="CGE34" s="292"/>
      <c r="CGF34" s="292"/>
      <c r="CGG34" s="292"/>
      <c r="CGH34" s="292"/>
      <c r="CGI34" s="292"/>
      <c r="CGJ34" s="292"/>
      <c r="CGK34" s="292"/>
      <c r="CGL34" s="292"/>
      <c r="CGM34" s="292"/>
      <c r="CGN34" s="292"/>
      <c r="CGO34" s="292"/>
      <c r="CGP34" s="292"/>
      <c r="CGQ34" s="292"/>
      <c r="CGR34" s="292"/>
      <c r="CGS34" s="292"/>
      <c r="CGT34" s="292"/>
      <c r="CGU34" s="292"/>
      <c r="CGV34" s="292"/>
      <c r="CGW34" s="292"/>
      <c r="CGX34" s="292"/>
      <c r="CGY34" s="292"/>
      <c r="CGZ34" s="292"/>
      <c r="CHA34" s="292"/>
      <c r="CHB34" s="292"/>
      <c r="CHC34" s="292"/>
      <c r="CHD34" s="292"/>
      <c r="CHE34" s="292"/>
      <c r="CHF34" s="292"/>
      <c r="CHG34" s="292"/>
      <c r="CHH34" s="292"/>
      <c r="CHI34" s="292"/>
      <c r="CHJ34" s="292"/>
      <c r="CHK34" s="292"/>
      <c r="CHL34" s="292"/>
      <c r="CHM34" s="292"/>
      <c r="CHN34" s="292"/>
      <c r="CHO34" s="292"/>
      <c r="CHP34" s="292"/>
      <c r="CHQ34" s="292"/>
      <c r="CHR34" s="292"/>
      <c r="CHS34" s="292"/>
      <c r="CHT34" s="292"/>
      <c r="CHU34" s="292"/>
      <c r="CHV34" s="292"/>
      <c r="CHW34" s="292"/>
      <c r="CHX34" s="292"/>
      <c r="CHY34" s="292"/>
      <c r="CHZ34" s="292"/>
      <c r="CIA34" s="292"/>
      <c r="CIB34" s="292"/>
      <c r="CIC34" s="292"/>
      <c r="CID34" s="292"/>
      <c r="CIE34" s="292"/>
      <c r="CIF34" s="292"/>
      <c r="CIG34" s="292"/>
      <c r="CIH34" s="292"/>
      <c r="CII34" s="292"/>
      <c r="CIJ34" s="292"/>
      <c r="CIK34" s="292"/>
      <c r="CIL34" s="292"/>
      <c r="CIM34" s="292"/>
      <c r="CIN34" s="292"/>
      <c r="CIO34" s="292"/>
      <c r="CIP34" s="292"/>
      <c r="CIQ34" s="292"/>
      <c r="CIR34" s="292"/>
      <c r="CIS34" s="292"/>
      <c r="CIT34" s="292"/>
      <c r="CIU34" s="292"/>
      <c r="CIV34" s="292"/>
      <c r="CIW34" s="292"/>
      <c r="CIX34" s="292"/>
      <c r="CIY34" s="292"/>
      <c r="CIZ34" s="292"/>
      <c r="CJA34" s="292"/>
      <c r="CJB34" s="292"/>
      <c r="CJC34" s="292"/>
      <c r="CJD34" s="292"/>
      <c r="CJE34" s="292"/>
      <c r="CJF34" s="292"/>
      <c r="CJG34" s="292"/>
      <c r="CJH34" s="292"/>
      <c r="CJI34" s="292"/>
      <c r="CJJ34" s="292"/>
      <c r="CJK34" s="292"/>
      <c r="CJL34" s="292"/>
      <c r="CJM34" s="292"/>
      <c r="CJN34" s="292"/>
      <c r="CJO34" s="292"/>
      <c r="CJP34" s="292"/>
      <c r="CJQ34" s="292"/>
      <c r="CJR34" s="292"/>
      <c r="CJS34" s="292"/>
      <c r="CJT34" s="292"/>
      <c r="CJU34" s="292"/>
      <c r="CJV34" s="292"/>
      <c r="CJW34" s="292"/>
      <c r="CJX34" s="292"/>
      <c r="CJY34" s="292"/>
      <c r="CJZ34" s="292"/>
      <c r="CKA34" s="292"/>
      <c r="CKB34" s="292"/>
      <c r="CKC34" s="292"/>
      <c r="CKD34" s="292"/>
      <c r="CKE34" s="292"/>
      <c r="CKF34" s="292"/>
      <c r="CKG34" s="292"/>
      <c r="CKH34" s="292"/>
      <c r="CKI34" s="292"/>
      <c r="CKJ34" s="292"/>
      <c r="CKK34" s="292"/>
      <c r="CKL34" s="292"/>
      <c r="CKM34" s="292"/>
      <c r="CKN34" s="292"/>
      <c r="CKO34" s="292"/>
      <c r="CKP34" s="292"/>
      <c r="CKQ34" s="292"/>
      <c r="CKR34" s="292"/>
      <c r="CKS34" s="292"/>
      <c r="CKT34" s="292"/>
      <c r="CKU34" s="292"/>
      <c r="CKV34" s="292"/>
      <c r="CKW34" s="292"/>
      <c r="CKX34" s="292"/>
      <c r="CKY34" s="292"/>
      <c r="CKZ34" s="292"/>
      <c r="CLA34" s="292"/>
      <c r="CLB34" s="292"/>
      <c r="CLC34" s="292"/>
      <c r="CLD34" s="292"/>
      <c r="CLE34" s="292"/>
      <c r="CLF34" s="292"/>
      <c r="CLG34" s="292"/>
      <c r="CLH34" s="292"/>
      <c r="CLI34" s="292"/>
      <c r="CLJ34" s="292"/>
      <c r="CLK34" s="292"/>
      <c r="CLL34" s="292"/>
      <c r="CLM34" s="292"/>
      <c r="CLN34" s="292"/>
      <c r="CLO34" s="292"/>
      <c r="CLP34" s="292"/>
      <c r="CLQ34" s="292"/>
      <c r="CLR34" s="292"/>
      <c r="CLS34" s="292"/>
      <c r="CLT34" s="292"/>
      <c r="CLU34" s="292"/>
      <c r="CLV34" s="292"/>
      <c r="CLW34" s="292"/>
      <c r="CLX34" s="292"/>
      <c r="CLY34" s="292"/>
      <c r="CLZ34" s="292"/>
      <c r="CMA34" s="292"/>
      <c r="CMB34" s="292"/>
      <c r="CMC34" s="292"/>
      <c r="CMD34" s="292"/>
      <c r="CME34" s="292"/>
      <c r="CMF34" s="292"/>
      <c r="CMG34" s="292"/>
      <c r="CMH34" s="292"/>
      <c r="CMI34" s="292"/>
      <c r="CMJ34" s="292"/>
      <c r="CMK34" s="292"/>
      <c r="CML34" s="292"/>
      <c r="CMM34" s="292"/>
      <c r="CMN34" s="292"/>
      <c r="CMO34" s="292"/>
      <c r="CMP34" s="292"/>
      <c r="CMQ34" s="292"/>
      <c r="CMR34" s="292"/>
      <c r="CMS34" s="292"/>
      <c r="CMT34" s="292"/>
      <c r="CMU34" s="292"/>
      <c r="CMV34" s="292"/>
      <c r="CMW34" s="292"/>
      <c r="CMX34" s="292"/>
      <c r="CMY34" s="292"/>
      <c r="CMZ34" s="292"/>
      <c r="CNA34" s="292"/>
      <c r="CNB34" s="292"/>
      <c r="CNC34" s="292"/>
      <c r="CND34" s="292"/>
      <c r="CNE34" s="292"/>
      <c r="CNF34" s="292"/>
      <c r="CNG34" s="292"/>
      <c r="CNH34" s="292"/>
      <c r="CNI34" s="292"/>
      <c r="CNJ34" s="292"/>
      <c r="CNK34" s="292"/>
      <c r="CNL34" s="292"/>
      <c r="CNM34" s="292"/>
      <c r="CNN34" s="292"/>
      <c r="CNO34" s="292"/>
      <c r="CNP34" s="292"/>
      <c r="CNQ34" s="292"/>
      <c r="CNR34" s="292"/>
      <c r="CNS34" s="292"/>
      <c r="CNT34" s="292"/>
      <c r="CNU34" s="292"/>
      <c r="CNV34" s="292"/>
      <c r="CNW34" s="292"/>
      <c r="CNX34" s="292"/>
      <c r="CNY34" s="292"/>
      <c r="CNZ34" s="292"/>
      <c r="COA34" s="292"/>
      <c r="COB34" s="292"/>
      <c r="COC34" s="292"/>
      <c r="COD34" s="292"/>
      <c r="COE34" s="292"/>
      <c r="COF34" s="292"/>
      <c r="COG34" s="292"/>
      <c r="COH34" s="292"/>
      <c r="COI34" s="292"/>
      <c r="COJ34" s="292"/>
      <c r="COK34" s="292"/>
      <c r="COL34" s="292"/>
      <c r="COM34" s="292"/>
      <c r="CON34" s="292"/>
      <c r="COO34" s="292"/>
      <c r="COP34" s="292"/>
      <c r="COQ34" s="292"/>
      <c r="COR34" s="292"/>
      <c r="COS34" s="292"/>
      <c r="COT34" s="292"/>
      <c r="COU34" s="292"/>
      <c r="COV34" s="292"/>
      <c r="COW34" s="292"/>
      <c r="COX34" s="292"/>
      <c r="COY34" s="292"/>
      <c r="COZ34" s="292"/>
      <c r="CPA34" s="292"/>
      <c r="CPB34" s="292"/>
      <c r="CPC34" s="292"/>
      <c r="CPD34" s="292"/>
      <c r="CPE34" s="292"/>
      <c r="CPF34" s="292"/>
      <c r="CPG34" s="292"/>
      <c r="CPH34" s="292"/>
      <c r="CPI34" s="292"/>
      <c r="CPJ34" s="292"/>
      <c r="CPK34" s="292"/>
      <c r="CPL34" s="292"/>
      <c r="CPM34" s="292"/>
      <c r="CPN34" s="292"/>
      <c r="CPO34" s="292"/>
      <c r="CPP34" s="292"/>
      <c r="CPQ34" s="292"/>
      <c r="CPR34" s="292"/>
      <c r="CPS34" s="292"/>
      <c r="CPT34" s="292"/>
      <c r="CPU34" s="292"/>
      <c r="CPV34" s="292"/>
      <c r="CPW34" s="292"/>
      <c r="CPX34" s="292"/>
      <c r="CPY34" s="292"/>
      <c r="CPZ34" s="292"/>
      <c r="CQA34" s="292"/>
      <c r="CQB34" s="292"/>
      <c r="CQC34" s="292"/>
      <c r="CQD34" s="292"/>
      <c r="CQE34" s="292"/>
      <c r="CQF34" s="292"/>
      <c r="CQG34" s="292"/>
      <c r="CQH34" s="292"/>
      <c r="CQI34" s="292"/>
      <c r="CQJ34" s="292"/>
      <c r="CQK34" s="292"/>
      <c r="CQL34" s="292"/>
      <c r="CQM34" s="292"/>
      <c r="CQN34" s="292"/>
      <c r="CQO34" s="292"/>
      <c r="CQP34" s="292"/>
      <c r="CQQ34" s="292"/>
      <c r="CQR34" s="292"/>
      <c r="CQS34" s="292"/>
      <c r="CQT34" s="292"/>
      <c r="CQU34" s="292"/>
      <c r="CQV34" s="292"/>
      <c r="CQW34" s="292"/>
      <c r="CQX34" s="292"/>
      <c r="CQY34" s="292"/>
      <c r="CQZ34" s="292"/>
      <c r="CRA34" s="292"/>
      <c r="CRB34" s="292"/>
      <c r="CRC34" s="292"/>
      <c r="CRD34" s="292"/>
      <c r="CRE34" s="292"/>
      <c r="CRF34" s="292"/>
      <c r="CRG34" s="292"/>
      <c r="CRH34" s="292"/>
      <c r="CRI34" s="292"/>
      <c r="CRJ34" s="292"/>
      <c r="CRK34" s="292"/>
      <c r="CRL34" s="292"/>
      <c r="CRM34" s="292"/>
      <c r="CRN34" s="292"/>
      <c r="CRO34" s="292"/>
      <c r="CRP34" s="292"/>
      <c r="CRQ34" s="292"/>
      <c r="CRR34" s="292"/>
      <c r="CRS34" s="292"/>
      <c r="CRT34" s="292"/>
      <c r="CRU34" s="292"/>
      <c r="CRV34" s="292"/>
      <c r="CRW34" s="292"/>
      <c r="CRX34" s="292"/>
      <c r="CRY34" s="292"/>
      <c r="CRZ34" s="292"/>
      <c r="CSA34" s="292"/>
      <c r="CSB34" s="292"/>
      <c r="CSC34" s="292"/>
      <c r="CSD34" s="292"/>
      <c r="CSE34" s="292"/>
      <c r="CSF34" s="292"/>
      <c r="CSG34" s="292"/>
      <c r="CSH34" s="292"/>
      <c r="CSI34" s="292"/>
      <c r="CSJ34" s="292"/>
      <c r="CSK34" s="292"/>
      <c r="CSL34" s="292"/>
      <c r="CSM34" s="292"/>
      <c r="CSN34" s="292"/>
      <c r="CSO34" s="292"/>
      <c r="CSP34" s="292"/>
      <c r="CSQ34" s="292"/>
      <c r="CSR34" s="292"/>
      <c r="CSS34" s="292"/>
      <c r="CST34" s="292"/>
      <c r="CSU34" s="292"/>
      <c r="CSV34" s="292"/>
      <c r="CSW34" s="292"/>
      <c r="CSX34" s="292"/>
      <c r="CSY34" s="292"/>
      <c r="CSZ34" s="292"/>
      <c r="CTA34" s="292"/>
      <c r="CTB34" s="292"/>
      <c r="CTC34" s="292"/>
      <c r="CTD34" s="292"/>
      <c r="CTE34" s="292"/>
      <c r="CTF34" s="292"/>
      <c r="CTG34" s="292"/>
      <c r="CTH34" s="292"/>
      <c r="CTI34" s="292"/>
      <c r="CTJ34" s="292"/>
      <c r="CTK34" s="292"/>
      <c r="CTL34" s="292"/>
      <c r="CTM34" s="292"/>
      <c r="CTN34" s="292"/>
      <c r="CTO34" s="292"/>
      <c r="CTP34" s="292"/>
      <c r="CTQ34" s="292"/>
      <c r="CTR34" s="292"/>
      <c r="CTS34" s="292"/>
      <c r="CTT34" s="292"/>
      <c r="CTU34" s="292"/>
      <c r="CTV34" s="292"/>
      <c r="CTW34" s="292"/>
      <c r="CTX34" s="292"/>
      <c r="CTY34" s="292"/>
      <c r="CTZ34" s="292"/>
      <c r="CUA34" s="292"/>
      <c r="CUB34" s="292"/>
      <c r="CUC34" s="292"/>
      <c r="CUD34" s="292"/>
      <c r="CUE34" s="292"/>
      <c r="CUF34" s="292"/>
      <c r="CUG34" s="292"/>
      <c r="CUH34" s="292"/>
      <c r="CUI34" s="292"/>
      <c r="CUJ34" s="292"/>
      <c r="CUK34" s="292"/>
      <c r="CUL34" s="292"/>
      <c r="CUM34" s="292"/>
      <c r="CUN34" s="292"/>
      <c r="CUO34" s="292"/>
      <c r="CUP34" s="292"/>
      <c r="CUQ34" s="292"/>
      <c r="CUR34" s="292"/>
      <c r="CUS34" s="292"/>
      <c r="CUT34" s="292"/>
      <c r="CUU34" s="292"/>
      <c r="CUV34" s="292"/>
      <c r="CUW34" s="292"/>
      <c r="CUX34" s="292"/>
      <c r="CUY34" s="292"/>
      <c r="CUZ34" s="292"/>
      <c r="CVA34" s="292"/>
      <c r="CVB34" s="292"/>
      <c r="CVC34" s="292"/>
      <c r="CVD34" s="292"/>
      <c r="CVE34" s="292"/>
      <c r="CVF34" s="292"/>
      <c r="CVG34" s="292"/>
      <c r="CVH34" s="292"/>
      <c r="CVI34" s="292"/>
      <c r="CVJ34" s="292"/>
      <c r="CVK34" s="292"/>
      <c r="CVL34" s="292"/>
      <c r="CVM34" s="292"/>
      <c r="CVN34" s="292"/>
      <c r="CVO34" s="292"/>
      <c r="CVP34" s="292"/>
      <c r="CVQ34" s="292"/>
      <c r="CVR34" s="292"/>
      <c r="CVS34" s="292"/>
      <c r="CVT34" s="292"/>
      <c r="CVU34" s="292"/>
      <c r="CVV34" s="292"/>
      <c r="CVW34" s="292"/>
      <c r="CVX34" s="292"/>
      <c r="CVY34" s="292"/>
      <c r="CVZ34" s="292"/>
      <c r="CWA34" s="292"/>
      <c r="CWB34" s="292"/>
      <c r="CWC34" s="292"/>
      <c r="CWD34" s="292"/>
      <c r="CWE34" s="292"/>
      <c r="CWF34" s="292"/>
      <c r="CWG34" s="292"/>
      <c r="CWH34" s="292"/>
      <c r="CWI34" s="292"/>
      <c r="CWJ34" s="292"/>
      <c r="CWK34" s="292"/>
      <c r="CWL34" s="292"/>
      <c r="CWM34" s="292"/>
      <c r="CWN34" s="292"/>
      <c r="CWO34" s="292"/>
      <c r="CWP34" s="292"/>
      <c r="CWQ34" s="292"/>
      <c r="CWR34" s="292"/>
      <c r="CWS34" s="292"/>
      <c r="CWT34" s="292"/>
      <c r="CWU34" s="292"/>
      <c r="CWV34" s="292"/>
      <c r="CWW34" s="292"/>
      <c r="CWX34" s="292"/>
      <c r="CWY34" s="292"/>
      <c r="CWZ34" s="292"/>
      <c r="CXA34" s="292"/>
      <c r="CXB34" s="292"/>
      <c r="CXC34" s="292"/>
      <c r="CXD34" s="292"/>
      <c r="CXE34" s="292"/>
      <c r="CXF34" s="292"/>
      <c r="CXG34" s="292"/>
      <c r="CXH34" s="292"/>
      <c r="CXI34" s="292"/>
      <c r="CXJ34" s="292"/>
      <c r="CXK34" s="292"/>
      <c r="CXL34" s="292"/>
      <c r="CXM34" s="292"/>
      <c r="CXN34" s="292"/>
      <c r="CXO34" s="292"/>
      <c r="CXP34" s="292"/>
      <c r="CXQ34" s="292"/>
      <c r="CXR34" s="292"/>
      <c r="CXS34" s="292"/>
      <c r="CXT34" s="292"/>
      <c r="CXU34" s="292"/>
      <c r="CXV34" s="292"/>
      <c r="CXW34" s="292"/>
      <c r="CXX34" s="292"/>
      <c r="CXY34" s="292"/>
      <c r="CXZ34" s="292"/>
      <c r="CYA34" s="292"/>
      <c r="CYB34" s="292"/>
      <c r="CYC34" s="292"/>
      <c r="CYD34" s="292"/>
      <c r="CYE34" s="292"/>
      <c r="CYF34" s="292"/>
      <c r="CYG34" s="292"/>
      <c r="CYH34" s="292"/>
      <c r="CYI34" s="292"/>
      <c r="CYJ34" s="292"/>
      <c r="CYK34" s="292"/>
      <c r="CYL34" s="292"/>
      <c r="CYM34" s="292"/>
      <c r="CYN34" s="292"/>
      <c r="CYO34" s="292"/>
      <c r="CYP34" s="292"/>
      <c r="CYQ34" s="292"/>
      <c r="CYR34" s="292"/>
      <c r="CYS34" s="292"/>
      <c r="CYT34" s="292"/>
      <c r="CYU34" s="292"/>
      <c r="CYV34" s="292"/>
      <c r="CYW34" s="292"/>
      <c r="CYX34" s="292"/>
      <c r="CYY34" s="292"/>
      <c r="CYZ34" s="292"/>
      <c r="CZA34" s="292"/>
      <c r="CZB34" s="292"/>
      <c r="CZC34" s="292"/>
      <c r="CZD34" s="292"/>
      <c r="CZE34" s="292"/>
      <c r="CZF34" s="292"/>
      <c r="CZG34" s="292"/>
      <c r="CZH34" s="292"/>
      <c r="CZI34" s="292"/>
      <c r="CZJ34" s="292"/>
      <c r="CZK34" s="292"/>
      <c r="CZL34" s="292"/>
      <c r="CZM34" s="292"/>
      <c r="CZN34" s="292"/>
      <c r="CZO34" s="292"/>
      <c r="CZP34" s="292"/>
      <c r="CZQ34" s="292"/>
      <c r="CZR34" s="292"/>
      <c r="CZS34" s="292"/>
      <c r="CZT34" s="292"/>
      <c r="CZU34" s="292"/>
      <c r="CZV34" s="292"/>
      <c r="CZW34" s="292"/>
      <c r="CZX34" s="292"/>
      <c r="CZY34" s="292"/>
      <c r="CZZ34" s="292"/>
      <c r="DAA34" s="292"/>
      <c r="DAB34" s="292"/>
      <c r="DAC34" s="292"/>
      <c r="DAD34" s="292"/>
      <c r="DAE34" s="292"/>
      <c r="DAF34" s="292"/>
      <c r="DAG34" s="292"/>
      <c r="DAH34" s="292"/>
      <c r="DAI34" s="292"/>
      <c r="DAJ34" s="292"/>
      <c r="DAK34" s="292"/>
      <c r="DAL34" s="292"/>
      <c r="DAM34" s="292"/>
      <c r="DAN34" s="292"/>
      <c r="DAO34" s="292"/>
      <c r="DAP34" s="292"/>
      <c r="DAQ34" s="292"/>
      <c r="DAR34" s="292"/>
      <c r="DAS34" s="292"/>
      <c r="DAT34" s="292"/>
      <c r="DAU34" s="292"/>
      <c r="DAV34" s="292"/>
      <c r="DAW34" s="292"/>
      <c r="DAX34" s="292"/>
      <c r="DAY34" s="292"/>
      <c r="DAZ34" s="292"/>
      <c r="DBA34" s="292"/>
      <c r="DBB34" s="292"/>
      <c r="DBC34" s="292"/>
      <c r="DBD34" s="292"/>
      <c r="DBE34" s="292"/>
      <c r="DBF34" s="292"/>
      <c r="DBG34" s="292"/>
      <c r="DBH34" s="292"/>
      <c r="DBI34" s="292"/>
      <c r="DBJ34" s="292"/>
      <c r="DBK34" s="292"/>
      <c r="DBL34" s="292"/>
      <c r="DBM34" s="292"/>
      <c r="DBN34" s="292"/>
      <c r="DBO34" s="292"/>
      <c r="DBP34" s="292"/>
      <c r="DBQ34" s="292"/>
      <c r="DBR34" s="292"/>
      <c r="DBS34" s="292"/>
      <c r="DBT34" s="292"/>
      <c r="DBU34" s="292"/>
      <c r="DBV34" s="292"/>
      <c r="DBW34" s="292"/>
      <c r="DBX34" s="292"/>
      <c r="DBY34" s="292"/>
      <c r="DBZ34" s="292"/>
      <c r="DCA34" s="292"/>
      <c r="DCB34" s="292"/>
      <c r="DCC34" s="292"/>
      <c r="DCD34" s="292"/>
      <c r="DCE34" s="292"/>
      <c r="DCF34" s="292"/>
      <c r="DCG34" s="292"/>
      <c r="DCH34" s="292"/>
      <c r="DCI34" s="292"/>
      <c r="DCJ34" s="292"/>
      <c r="DCK34" s="292"/>
      <c r="DCL34" s="292"/>
      <c r="DCM34" s="292"/>
      <c r="DCN34" s="292"/>
      <c r="DCO34" s="292"/>
      <c r="DCP34" s="292"/>
      <c r="DCQ34" s="292"/>
      <c r="DCR34" s="292"/>
      <c r="DCS34" s="292"/>
      <c r="DCT34" s="292"/>
      <c r="DCU34" s="292"/>
      <c r="DCV34" s="292"/>
      <c r="DCW34" s="292"/>
      <c r="DCX34" s="292"/>
      <c r="DCY34" s="292"/>
      <c r="DCZ34" s="292"/>
      <c r="DDA34" s="292"/>
      <c r="DDB34" s="292"/>
      <c r="DDC34" s="292"/>
      <c r="DDD34" s="292"/>
      <c r="DDE34" s="292"/>
      <c r="DDF34" s="292"/>
      <c r="DDG34" s="292"/>
      <c r="DDH34" s="292"/>
      <c r="DDI34" s="292"/>
      <c r="DDJ34" s="292"/>
      <c r="DDK34" s="292"/>
      <c r="DDL34" s="292"/>
      <c r="DDM34" s="292"/>
      <c r="DDN34" s="292"/>
      <c r="DDO34" s="292"/>
      <c r="DDP34" s="292"/>
      <c r="DDQ34" s="292"/>
      <c r="DDR34" s="292"/>
      <c r="DDS34" s="292"/>
      <c r="DDT34" s="292"/>
      <c r="DDU34" s="292"/>
      <c r="DDV34" s="292"/>
      <c r="DDW34" s="292"/>
      <c r="DDX34" s="292"/>
      <c r="DDY34" s="292"/>
      <c r="DDZ34" s="292"/>
      <c r="DEA34" s="292"/>
      <c r="DEB34" s="292"/>
      <c r="DEC34" s="292"/>
      <c r="DED34" s="292"/>
      <c r="DEE34" s="292"/>
      <c r="DEF34" s="292"/>
      <c r="DEG34" s="292"/>
      <c r="DEH34" s="292"/>
      <c r="DEI34" s="292"/>
      <c r="DEJ34" s="292"/>
      <c r="DEK34" s="292"/>
      <c r="DEL34" s="292"/>
      <c r="DEM34" s="292"/>
      <c r="DEN34" s="292"/>
      <c r="DEO34" s="292"/>
      <c r="DEP34" s="292"/>
      <c r="DEQ34" s="292"/>
      <c r="DER34" s="292"/>
      <c r="DES34" s="292"/>
      <c r="DET34" s="292"/>
      <c r="DEU34" s="292"/>
      <c r="DEV34" s="292"/>
      <c r="DEW34" s="292"/>
      <c r="DEX34" s="292"/>
      <c r="DEY34" s="292"/>
      <c r="DEZ34" s="292"/>
      <c r="DFA34" s="292"/>
      <c r="DFB34" s="292"/>
      <c r="DFC34" s="292"/>
      <c r="DFD34" s="292"/>
      <c r="DFE34" s="292"/>
      <c r="DFF34" s="292"/>
      <c r="DFG34" s="292"/>
      <c r="DFH34" s="292"/>
      <c r="DFI34" s="292"/>
      <c r="DFJ34" s="292"/>
      <c r="DFK34" s="292"/>
      <c r="DFL34" s="292"/>
      <c r="DFM34" s="292"/>
      <c r="DFN34" s="292"/>
      <c r="DFO34" s="292"/>
      <c r="DFP34" s="292"/>
      <c r="DFQ34" s="292"/>
      <c r="DFR34" s="292"/>
      <c r="DFS34" s="292"/>
      <c r="DFT34" s="292"/>
      <c r="DFU34" s="292"/>
      <c r="DFV34" s="292"/>
      <c r="DFW34" s="292"/>
      <c r="DFX34" s="292"/>
      <c r="DFY34" s="292"/>
      <c r="DFZ34" s="292"/>
      <c r="DGA34" s="292"/>
      <c r="DGB34" s="292"/>
      <c r="DGC34" s="292"/>
      <c r="DGD34" s="292"/>
      <c r="DGE34" s="292"/>
      <c r="DGF34" s="292"/>
      <c r="DGG34" s="292"/>
      <c r="DGH34" s="292"/>
      <c r="DGI34" s="292"/>
      <c r="DGJ34" s="292"/>
      <c r="DGK34" s="292"/>
      <c r="DGL34" s="292"/>
      <c r="DGM34" s="292"/>
      <c r="DGN34" s="292"/>
      <c r="DGO34" s="292"/>
      <c r="DGP34" s="292"/>
      <c r="DGQ34" s="292"/>
      <c r="DGR34" s="292"/>
      <c r="DGS34" s="292"/>
      <c r="DGT34" s="292"/>
      <c r="DGU34" s="292"/>
      <c r="DGV34" s="292"/>
      <c r="DGW34" s="292"/>
      <c r="DGX34" s="292"/>
      <c r="DGY34" s="292"/>
      <c r="DGZ34" s="292"/>
      <c r="DHA34" s="292"/>
      <c r="DHB34" s="292"/>
      <c r="DHC34" s="292"/>
      <c r="DHD34" s="292"/>
      <c r="DHE34" s="292"/>
      <c r="DHF34" s="292"/>
      <c r="DHG34" s="292"/>
      <c r="DHH34" s="292"/>
      <c r="DHI34" s="292"/>
      <c r="DHJ34" s="292"/>
      <c r="DHK34" s="292"/>
      <c r="DHL34" s="292"/>
      <c r="DHM34" s="292"/>
      <c r="DHN34" s="292"/>
      <c r="DHO34" s="292"/>
      <c r="DHP34" s="292"/>
      <c r="DHQ34" s="292"/>
      <c r="DHR34" s="292"/>
      <c r="DHS34" s="292"/>
      <c r="DHT34" s="292"/>
      <c r="DHU34" s="292"/>
      <c r="DHV34" s="292"/>
      <c r="DHW34" s="292"/>
      <c r="DHX34" s="292"/>
      <c r="DHY34" s="292"/>
      <c r="DHZ34" s="292"/>
      <c r="DIA34" s="292"/>
      <c r="DIB34" s="292"/>
      <c r="DIC34" s="292"/>
      <c r="DID34" s="292"/>
      <c r="DIE34" s="292"/>
      <c r="DIF34" s="292"/>
      <c r="DIG34" s="292"/>
      <c r="DIH34" s="292"/>
      <c r="DII34" s="292"/>
      <c r="DIJ34" s="292"/>
      <c r="DIK34" s="292"/>
      <c r="DIL34" s="292"/>
      <c r="DIM34" s="292"/>
      <c r="DIN34" s="292"/>
      <c r="DIO34" s="292"/>
      <c r="DIP34" s="292"/>
      <c r="DIQ34" s="292"/>
      <c r="DIR34" s="292"/>
      <c r="DIS34" s="292"/>
      <c r="DIT34" s="292"/>
      <c r="DIU34" s="292"/>
      <c r="DIV34" s="292"/>
      <c r="DIW34" s="292"/>
      <c r="DIX34" s="292"/>
      <c r="DIY34" s="292"/>
      <c r="DIZ34" s="292"/>
      <c r="DJA34" s="292"/>
      <c r="DJB34" s="292"/>
      <c r="DJC34" s="292"/>
      <c r="DJD34" s="292"/>
      <c r="DJE34" s="292"/>
      <c r="DJF34" s="292"/>
      <c r="DJG34" s="292"/>
      <c r="DJH34" s="292"/>
      <c r="DJI34" s="292"/>
      <c r="DJJ34" s="292"/>
      <c r="DJK34" s="292"/>
      <c r="DJL34" s="292"/>
      <c r="DJM34" s="292"/>
      <c r="DJN34" s="292"/>
      <c r="DJO34" s="292"/>
      <c r="DJP34" s="292"/>
      <c r="DJQ34" s="292"/>
      <c r="DJR34" s="292"/>
      <c r="DJS34" s="292"/>
      <c r="DJT34" s="292"/>
      <c r="DJU34" s="292"/>
      <c r="DJV34" s="292"/>
      <c r="DJW34" s="292"/>
      <c r="DJX34" s="292"/>
      <c r="DJY34" s="292"/>
      <c r="DJZ34" s="292"/>
      <c r="DKA34" s="292"/>
      <c r="DKB34" s="292"/>
      <c r="DKC34" s="292"/>
      <c r="DKD34" s="292"/>
      <c r="DKE34" s="292"/>
      <c r="DKF34" s="292"/>
      <c r="DKG34" s="292"/>
      <c r="DKH34" s="292"/>
      <c r="DKI34" s="292"/>
      <c r="DKJ34" s="292"/>
      <c r="DKK34" s="292"/>
      <c r="DKL34" s="292"/>
      <c r="DKM34" s="292"/>
      <c r="DKN34" s="292"/>
      <c r="DKO34" s="292"/>
      <c r="DKP34" s="292"/>
      <c r="DKQ34" s="292"/>
      <c r="DKR34" s="292"/>
      <c r="DKS34" s="292"/>
      <c r="DKT34" s="292"/>
      <c r="DKU34" s="292"/>
      <c r="DKV34" s="292"/>
      <c r="DKW34" s="292"/>
      <c r="DKX34" s="292"/>
      <c r="DKY34" s="292"/>
      <c r="DKZ34" s="292"/>
      <c r="DLA34" s="292"/>
      <c r="DLB34" s="292"/>
      <c r="DLC34" s="292"/>
      <c r="DLD34" s="292"/>
      <c r="DLE34" s="292"/>
      <c r="DLF34" s="292"/>
      <c r="DLG34" s="292"/>
      <c r="DLH34" s="292"/>
      <c r="DLI34" s="292"/>
      <c r="DLJ34" s="292"/>
      <c r="DLK34" s="292"/>
      <c r="DLL34" s="292"/>
      <c r="DLM34" s="292"/>
      <c r="DLN34" s="292"/>
      <c r="DLO34" s="292"/>
      <c r="DLP34" s="292"/>
      <c r="DLQ34" s="292"/>
      <c r="DLR34" s="292"/>
      <c r="DLS34" s="292"/>
      <c r="DLT34" s="292"/>
      <c r="DLU34" s="292"/>
      <c r="DLV34" s="292"/>
      <c r="DLW34" s="292"/>
      <c r="DLX34" s="292"/>
      <c r="DLY34" s="292"/>
      <c r="DLZ34" s="292"/>
      <c r="DMA34" s="292"/>
      <c r="DMB34" s="292"/>
      <c r="DMC34" s="292"/>
      <c r="DMD34" s="292"/>
      <c r="DME34" s="292"/>
      <c r="DMF34" s="292"/>
      <c r="DMG34" s="292"/>
      <c r="DMH34" s="292"/>
      <c r="DMI34" s="292"/>
      <c r="DMJ34" s="292"/>
      <c r="DMK34" s="292"/>
      <c r="DML34" s="292"/>
      <c r="DMM34" s="292"/>
      <c r="DMN34" s="292"/>
      <c r="DMO34" s="292"/>
      <c r="DMP34" s="292"/>
      <c r="DMQ34" s="292"/>
      <c r="DMR34" s="292"/>
      <c r="DMS34" s="292"/>
      <c r="DMT34" s="292"/>
      <c r="DMU34" s="292"/>
      <c r="DMV34" s="292"/>
      <c r="DMW34" s="292"/>
      <c r="DMX34" s="292"/>
      <c r="DMY34" s="292"/>
      <c r="DMZ34" s="292"/>
      <c r="DNA34" s="292"/>
      <c r="DNB34" s="292"/>
      <c r="DNC34" s="292"/>
      <c r="DND34" s="292"/>
      <c r="DNE34" s="292"/>
      <c r="DNF34" s="292"/>
      <c r="DNG34" s="292"/>
      <c r="DNH34" s="292"/>
      <c r="DNI34" s="292"/>
      <c r="DNJ34" s="292"/>
      <c r="DNK34" s="292"/>
      <c r="DNL34" s="292"/>
      <c r="DNM34" s="292"/>
      <c r="DNN34" s="292"/>
      <c r="DNO34" s="292"/>
      <c r="DNP34" s="292"/>
      <c r="DNQ34" s="292"/>
      <c r="DNR34" s="292"/>
      <c r="DNS34" s="292"/>
      <c r="DNT34" s="292"/>
      <c r="DNU34" s="292"/>
      <c r="DNV34" s="292"/>
      <c r="DNW34" s="292"/>
      <c r="DNX34" s="292"/>
      <c r="DNY34" s="292"/>
      <c r="DNZ34" s="292"/>
      <c r="DOA34" s="292"/>
      <c r="DOB34" s="292"/>
      <c r="DOC34" s="292"/>
      <c r="DOD34" s="292"/>
      <c r="DOE34" s="292"/>
      <c r="DOF34" s="292"/>
      <c r="DOG34" s="292"/>
      <c r="DOH34" s="292"/>
      <c r="DOI34" s="292"/>
      <c r="DOJ34" s="292"/>
      <c r="DOK34" s="292"/>
      <c r="DOL34" s="292"/>
      <c r="DOM34" s="292"/>
      <c r="DON34" s="292"/>
      <c r="DOO34" s="292"/>
      <c r="DOP34" s="292"/>
      <c r="DOQ34" s="292"/>
      <c r="DOR34" s="292"/>
      <c r="DOS34" s="292"/>
      <c r="DOT34" s="292"/>
      <c r="DOU34" s="292"/>
      <c r="DOV34" s="292"/>
      <c r="DOW34" s="292"/>
      <c r="DOX34" s="292"/>
      <c r="DOY34" s="292"/>
      <c r="DOZ34" s="292"/>
      <c r="DPA34" s="292"/>
      <c r="DPB34" s="292"/>
      <c r="DPC34" s="292"/>
      <c r="DPD34" s="292"/>
      <c r="DPE34" s="292"/>
      <c r="DPF34" s="292"/>
      <c r="DPG34" s="292"/>
      <c r="DPH34" s="292"/>
      <c r="DPI34" s="292"/>
      <c r="DPJ34" s="292"/>
      <c r="DPK34" s="292"/>
      <c r="DPL34" s="292"/>
      <c r="DPM34" s="292"/>
      <c r="DPN34" s="292"/>
      <c r="DPO34" s="292"/>
      <c r="DPP34" s="292"/>
      <c r="DPQ34" s="292"/>
      <c r="DPR34" s="292"/>
      <c r="DPS34" s="292"/>
      <c r="DPT34" s="292"/>
      <c r="DPU34" s="292"/>
      <c r="DPV34" s="292"/>
      <c r="DPW34" s="292"/>
      <c r="DPX34" s="292"/>
      <c r="DPY34" s="292"/>
      <c r="DPZ34" s="292"/>
      <c r="DQA34" s="292"/>
      <c r="DQB34" s="292"/>
      <c r="DQC34" s="292"/>
      <c r="DQD34" s="292"/>
      <c r="DQE34" s="292"/>
      <c r="DQF34" s="292"/>
      <c r="DQG34" s="292"/>
      <c r="DQH34" s="292"/>
      <c r="DQI34" s="292"/>
      <c r="DQJ34" s="292"/>
      <c r="DQK34" s="292"/>
      <c r="DQL34" s="292"/>
      <c r="DQM34" s="292"/>
      <c r="DQN34" s="292"/>
      <c r="DQO34" s="292"/>
      <c r="DQP34" s="292"/>
      <c r="DQQ34" s="292"/>
      <c r="DQR34" s="292"/>
      <c r="DQS34" s="292"/>
      <c r="DQT34" s="292"/>
      <c r="DQU34" s="292"/>
      <c r="DQV34" s="292"/>
      <c r="DQW34" s="292"/>
      <c r="DQX34" s="292"/>
      <c r="DQY34" s="292"/>
      <c r="DQZ34" s="292"/>
      <c r="DRA34" s="292"/>
      <c r="DRB34" s="292"/>
      <c r="DRC34" s="292"/>
      <c r="DRD34" s="292"/>
      <c r="DRE34" s="292"/>
      <c r="DRF34" s="292"/>
      <c r="DRG34" s="292"/>
      <c r="DRH34" s="292"/>
      <c r="DRI34" s="292"/>
      <c r="DRJ34" s="292"/>
      <c r="DRK34" s="292"/>
      <c r="DRL34" s="292"/>
      <c r="DRM34" s="292"/>
      <c r="DRN34" s="292"/>
      <c r="DRO34" s="292"/>
      <c r="DRP34" s="292"/>
      <c r="DRQ34" s="292"/>
      <c r="DRR34" s="292"/>
      <c r="DRS34" s="292"/>
      <c r="DRT34" s="292"/>
      <c r="DRU34" s="292"/>
      <c r="DRV34" s="292"/>
      <c r="DRW34" s="292"/>
      <c r="DRX34" s="292"/>
      <c r="DRY34" s="292"/>
      <c r="DRZ34" s="292"/>
      <c r="DSA34" s="292"/>
      <c r="DSB34" s="292"/>
      <c r="DSC34" s="292"/>
      <c r="DSD34" s="292"/>
      <c r="DSE34" s="292"/>
      <c r="DSF34" s="292"/>
      <c r="DSG34" s="292"/>
      <c r="DSH34" s="292"/>
      <c r="DSI34" s="292"/>
      <c r="DSJ34" s="292"/>
      <c r="DSK34" s="292"/>
      <c r="DSL34" s="292"/>
      <c r="DSM34" s="292"/>
      <c r="DSN34" s="292"/>
      <c r="DSO34" s="292"/>
      <c r="DSP34" s="292"/>
      <c r="DSQ34" s="292"/>
      <c r="DSR34" s="292"/>
      <c r="DSS34" s="292"/>
      <c r="DST34" s="292"/>
      <c r="DSU34" s="292"/>
      <c r="DSV34" s="292"/>
      <c r="DSW34" s="292"/>
      <c r="DSX34" s="292"/>
      <c r="DSY34" s="292"/>
      <c r="DSZ34" s="292"/>
      <c r="DTA34" s="292"/>
      <c r="DTB34" s="292"/>
      <c r="DTC34" s="292"/>
      <c r="DTD34" s="292"/>
      <c r="DTE34" s="292"/>
      <c r="DTF34" s="292"/>
      <c r="DTG34" s="292"/>
      <c r="DTH34" s="292"/>
      <c r="DTI34" s="292"/>
      <c r="DTJ34" s="292"/>
      <c r="DTK34" s="292"/>
      <c r="DTL34" s="292"/>
      <c r="DTM34" s="292"/>
      <c r="DTN34" s="292"/>
      <c r="DTO34" s="292"/>
      <c r="DTP34" s="292"/>
      <c r="DTQ34" s="292"/>
      <c r="DTR34" s="292"/>
      <c r="DTS34" s="292"/>
      <c r="DTT34" s="292"/>
      <c r="DTU34" s="292"/>
      <c r="DTV34" s="292"/>
      <c r="DTW34" s="292"/>
      <c r="DTX34" s="292"/>
      <c r="DTY34" s="292"/>
      <c r="DTZ34" s="292"/>
      <c r="DUA34" s="292"/>
      <c r="DUB34" s="292"/>
      <c r="DUC34" s="292"/>
      <c r="DUD34" s="292"/>
      <c r="DUE34" s="292"/>
      <c r="DUF34" s="292"/>
      <c r="DUG34" s="292"/>
      <c r="DUH34" s="292"/>
      <c r="DUI34" s="292"/>
      <c r="DUJ34" s="292"/>
      <c r="DUK34" s="292"/>
      <c r="DUL34" s="292"/>
      <c r="DUM34" s="292"/>
      <c r="DUN34" s="292"/>
      <c r="DUO34" s="292"/>
      <c r="DUP34" s="292"/>
      <c r="DUQ34" s="292"/>
      <c r="DUR34" s="292"/>
      <c r="DUS34" s="292"/>
      <c r="DUT34" s="292"/>
      <c r="DUU34" s="292"/>
      <c r="DUV34" s="292"/>
      <c r="DUW34" s="292"/>
      <c r="DUX34" s="292"/>
      <c r="DUY34" s="292"/>
      <c r="DUZ34" s="292"/>
      <c r="DVA34" s="292"/>
      <c r="DVB34" s="292"/>
      <c r="DVC34" s="292"/>
      <c r="DVD34" s="292"/>
      <c r="DVE34" s="292"/>
      <c r="DVF34" s="292"/>
      <c r="DVG34" s="292"/>
      <c r="DVH34" s="292"/>
      <c r="DVI34" s="292"/>
      <c r="DVJ34" s="292"/>
      <c r="DVK34" s="292"/>
      <c r="DVL34" s="292"/>
      <c r="DVM34" s="292"/>
      <c r="DVN34" s="292"/>
      <c r="DVO34" s="292"/>
      <c r="DVP34" s="292"/>
      <c r="DVQ34" s="292"/>
      <c r="DVR34" s="292"/>
      <c r="DVS34" s="292"/>
      <c r="DVT34" s="292"/>
      <c r="DVU34" s="292"/>
      <c r="DVV34" s="292"/>
      <c r="DVW34" s="292"/>
      <c r="DVX34" s="292"/>
      <c r="DVY34" s="292"/>
      <c r="DVZ34" s="292"/>
      <c r="DWA34" s="292"/>
      <c r="DWB34" s="292"/>
      <c r="DWC34" s="292"/>
      <c r="DWD34" s="292"/>
      <c r="DWE34" s="292"/>
      <c r="DWF34" s="292"/>
      <c r="DWG34" s="292"/>
      <c r="DWH34" s="292"/>
      <c r="DWI34" s="292"/>
      <c r="DWJ34" s="292"/>
      <c r="DWK34" s="292"/>
      <c r="DWL34" s="292"/>
      <c r="DWM34" s="292"/>
      <c r="DWN34" s="292"/>
      <c r="DWO34" s="292"/>
      <c r="DWP34" s="292"/>
      <c r="DWQ34" s="292"/>
      <c r="DWR34" s="292"/>
      <c r="DWS34" s="292"/>
      <c r="DWT34" s="292"/>
      <c r="DWU34" s="292"/>
      <c r="DWV34" s="292"/>
      <c r="DWW34" s="292"/>
      <c r="DWX34" s="292"/>
      <c r="DWY34" s="292"/>
      <c r="DWZ34" s="292"/>
      <c r="DXA34" s="292"/>
      <c r="DXB34" s="292"/>
      <c r="DXC34" s="292"/>
      <c r="DXD34" s="292"/>
      <c r="DXE34" s="292"/>
      <c r="DXF34" s="292"/>
      <c r="DXG34" s="292"/>
      <c r="DXH34" s="292"/>
      <c r="DXI34" s="292"/>
      <c r="DXJ34" s="292"/>
      <c r="DXK34" s="292"/>
      <c r="DXL34" s="292"/>
      <c r="DXM34" s="292"/>
      <c r="DXN34" s="292"/>
      <c r="DXO34" s="292"/>
      <c r="DXP34" s="292"/>
      <c r="DXQ34" s="292"/>
      <c r="DXR34" s="292"/>
      <c r="DXS34" s="292"/>
      <c r="DXT34" s="292"/>
      <c r="DXU34" s="292"/>
      <c r="DXV34" s="292"/>
      <c r="DXW34" s="292"/>
      <c r="DXX34" s="292"/>
      <c r="DXY34" s="292"/>
      <c r="DXZ34" s="292"/>
      <c r="DYA34" s="292"/>
      <c r="DYB34" s="292"/>
      <c r="DYC34" s="292"/>
      <c r="DYD34" s="292"/>
      <c r="DYE34" s="292"/>
      <c r="DYF34" s="292"/>
      <c r="DYG34" s="292"/>
      <c r="DYH34" s="292"/>
      <c r="DYI34" s="292"/>
      <c r="DYJ34" s="292"/>
      <c r="DYK34" s="292"/>
      <c r="DYL34" s="292"/>
      <c r="DYM34" s="292"/>
      <c r="DYN34" s="292"/>
      <c r="DYO34" s="292"/>
      <c r="DYP34" s="292"/>
      <c r="DYQ34" s="292"/>
      <c r="DYR34" s="292"/>
      <c r="DYS34" s="292"/>
      <c r="DYT34" s="292"/>
      <c r="DYU34" s="292"/>
      <c r="DYV34" s="292"/>
      <c r="DYW34" s="292"/>
      <c r="DYX34" s="292"/>
      <c r="DYY34" s="292"/>
      <c r="DYZ34" s="292"/>
      <c r="DZA34" s="292"/>
      <c r="DZB34" s="292"/>
      <c r="DZC34" s="292"/>
      <c r="DZD34" s="292"/>
      <c r="DZE34" s="292"/>
      <c r="DZF34" s="292"/>
      <c r="DZG34" s="292"/>
      <c r="DZH34" s="292"/>
      <c r="DZI34" s="292"/>
      <c r="DZJ34" s="292"/>
      <c r="DZK34" s="292"/>
      <c r="DZL34" s="292"/>
      <c r="DZM34" s="292"/>
      <c r="DZN34" s="292"/>
      <c r="DZO34" s="292"/>
      <c r="DZP34" s="292"/>
      <c r="DZQ34" s="292"/>
      <c r="DZR34" s="292"/>
      <c r="DZS34" s="292"/>
      <c r="DZT34" s="292"/>
      <c r="DZU34" s="292"/>
      <c r="DZV34" s="292"/>
      <c r="DZW34" s="292"/>
      <c r="DZX34" s="292"/>
      <c r="DZY34" s="292"/>
      <c r="DZZ34" s="292"/>
      <c r="EAA34" s="292"/>
      <c r="EAB34" s="292"/>
      <c r="EAC34" s="292"/>
      <c r="EAD34" s="292"/>
      <c r="EAE34" s="292"/>
      <c r="EAF34" s="292"/>
      <c r="EAG34" s="292"/>
      <c r="EAH34" s="292"/>
      <c r="EAI34" s="292"/>
      <c r="EAJ34" s="292"/>
      <c r="EAK34" s="292"/>
      <c r="EAL34" s="292"/>
      <c r="EAM34" s="292"/>
      <c r="EAN34" s="292"/>
      <c r="EAO34" s="292"/>
      <c r="EAP34" s="292"/>
      <c r="EAQ34" s="292"/>
      <c r="EAR34" s="292"/>
      <c r="EAS34" s="292"/>
      <c r="EAT34" s="292"/>
      <c r="EAU34" s="292"/>
      <c r="EAV34" s="292"/>
      <c r="EAW34" s="292"/>
      <c r="EAX34" s="292"/>
      <c r="EAY34" s="292"/>
      <c r="EAZ34" s="292"/>
      <c r="EBA34" s="292"/>
      <c r="EBB34" s="292"/>
      <c r="EBC34" s="292"/>
      <c r="EBD34" s="292"/>
      <c r="EBE34" s="292"/>
      <c r="EBF34" s="292"/>
      <c r="EBG34" s="292"/>
      <c r="EBH34" s="292"/>
      <c r="EBI34" s="292"/>
      <c r="EBJ34" s="292"/>
      <c r="EBK34" s="292"/>
      <c r="EBL34" s="292"/>
      <c r="EBM34" s="292"/>
      <c r="EBN34" s="292"/>
      <c r="EBO34" s="292"/>
      <c r="EBP34" s="292"/>
      <c r="EBQ34" s="292"/>
      <c r="EBR34" s="292"/>
      <c r="EBS34" s="292"/>
      <c r="EBT34" s="292"/>
      <c r="EBU34" s="292"/>
      <c r="EBV34" s="292"/>
      <c r="EBW34" s="292"/>
      <c r="EBX34" s="292"/>
      <c r="EBY34" s="292"/>
      <c r="EBZ34" s="292"/>
      <c r="ECA34" s="292"/>
      <c r="ECB34" s="292"/>
      <c r="ECC34" s="292"/>
      <c r="ECD34" s="292"/>
      <c r="ECE34" s="292"/>
      <c r="ECF34" s="292"/>
      <c r="ECG34" s="292"/>
      <c r="ECH34" s="292"/>
      <c r="ECI34" s="292"/>
      <c r="ECJ34" s="292"/>
      <c r="ECK34" s="292"/>
      <c r="ECL34" s="292"/>
      <c r="ECM34" s="292"/>
      <c r="ECN34" s="292"/>
      <c r="ECO34" s="292"/>
      <c r="ECP34" s="292"/>
      <c r="ECQ34" s="292"/>
      <c r="ECR34" s="292"/>
      <c r="ECS34" s="292"/>
      <c r="ECT34" s="292"/>
      <c r="ECU34" s="292"/>
      <c r="ECV34" s="292"/>
      <c r="ECW34" s="292"/>
      <c r="ECX34" s="292"/>
      <c r="ECY34" s="292"/>
      <c r="ECZ34" s="292"/>
      <c r="EDA34" s="292"/>
      <c r="EDB34" s="292"/>
      <c r="EDC34" s="292"/>
      <c r="EDD34" s="292"/>
      <c r="EDE34" s="292"/>
      <c r="EDF34" s="292"/>
      <c r="EDG34" s="292"/>
      <c r="EDH34" s="292"/>
      <c r="EDI34" s="292"/>
      <c r="EDJ34" s="292"/>
      <c r="EDK34" s="292"/>
      <c r="EDL34" s="292"/>
      <c r="EDM34" s="292"/>
      <c r="EDN34" s="292"/>
      <c r="EDO34" s="292"/>
      <c r="EDP34" s="292"/>
      <c r="EDQ34" s="292"/>
      <c r="EDR34" s="292"/>
      <c r="EDS34" s="292"/>
      <c r="EDT34" s="292"/>
      <c r="EDU34" s="292"/>
      <c r="EDV34" s="292"/>
      <c r="EDW34" s="292"/>
      <c r="EDX34" s="292"/>
      <c r="EDY34" s="292"/>
      <c r="EDZ34" s="292"/>
      <c r="EEA34" s="292"/>
      <c r="EEB34" s="292"/>
      <c r="EEC34" s="292"/>
      <c r="EED34" s="292"/>
      <c r="EEE34" s="292"/>
      <c r="EEF34" s="292"/>
      <c r="EEG34" s="292"/>
      <c r="EEH34" s="292"/>
      <c r="EEI34" s="292"/>
      <c r="EEJ34" s="292"/>
      <c r="EEK34" s="292"/>
      <c r="EEL34" s="292"/>
      <c r="EEM34" s="292"/>
      <c r="EEN34" s="292"/>
      <c r="EEO34" s="292"/>
      <c r="EEP34" s="292"/>
      <c r="EEQ34" s="292"/>
      <c r="EER34" s="292"/>
      <c r="EES34" s="292"/>
      <c r="EET34" s="292"/>
      <c r="EEU34" s="292"/>
      <c r="EEV34" s="292"/>
      <c r="EEW34" s="292"/>
      <c r="EEX34" s="292"/>
      <c r="EEY34" s="292"/>
      <c r="EEZ34" s="292"/>
      <c r="EFA34" s="292"/>
      <c r="EFB34" s="292"/>
      <c r="EFC34" s="292"/>
      <c r="EFD34" s="292"/>
      <c r="EFE34" s="292"/>
      <c r="EFF34" s="292"/>
      <c r="EFG34" s="292"/>
      <c r="EFH34" s="292"/>
      <c r="EFI34" s="292"/>
      <c r="EFJ34" s="292"/>
      <c r="EFK34" s="292"/>
      <c r="EFL34" s="292"/>
      <c r="EFM34" s="292"/>
      <c r="EFN34" s="292"/>
      <c r="EFO34" s="292"/>
      <c r="EFP34" s="292"/>
      <c r="EFQ34" s="292"/>
      <c r="EFR34" s="292"/>
      <c r="EFS34" s="292"/>
      <c r="EFT34" s="292"/>
      <c r="EFU34" s="292"/>
      <c r="EFV34" s="292"/>
      <c r="EFW34" s="292"/>
      <c r="EFX34" s="292"/>
      <c r="EFY34" s="292"/>
      <c r="EFZ34" s="292"/>
      <c r="EGA34" s="292"/>
      <c r="EGB34" s="292"/>
      <c r="EGC34" s="292"/>
      <c r="EGD34" s="292"/>
      <c r="EGE34" s="292"/>
      <c r="EGF34" s="292"/>
      <c r="EGG34" s="292"/>
      <c r="EGH34" s="292"/>
      <c r="EGI34" s="292"/>
      <c r="EGJ34" s="292"/>
      <c r="EGK34" s="292"/>
      <c r="EGL34" s="292"/>
      <c r="EGM34" s="292"/>
      <c r="EGN34" s="292"/>
      <c r="EGO34" s="292"/>
      <c r="EGP34" s="292"/>
      <c r="EGQ34" s="292"/>
      <c r="EGR34" s="292"/>
      <c r="EGS34" s="292"/>
      <c r="EGT34" s="292"/>
      <c r="EGU34" s="292"/>
      <c r="EGV34" s="292"/>
      <c r="EGW34" s="292"/>
      <c r="EGX34" s="292"/>
      <c r="EGY34" s="292"/>
      <c r="EGZ34" s="292"/>
      <c r="EHA34" s="292"/>
      <c r="EHB34" s="292"/>
      <c r="EHC34" s="292"/>
      <c r="EHD34" s="292"/>
      <c r="EHE34" s="292"/>
      <c r="EHF34" s="292"/>
      <c r="EHG34" s="292"/>
      <c r="EHH34" s="292"/>
      <c r="EHI34" s="292"/>
      <c r="EHJ34" s="292"/>
      <c r="EHK34" s="292"/>
      <c r="EHL34" s="292"/>
      <c r="EHM34" s="292"/>
      <c r="EHN34" s="292"/>
      <c r="EHO34" s="292"/>
      <c r="EHP34" s="292"/>
      <c r="EHQ34" s="292"/>
      <c r="EHR34" s="292"/>
      <c r="EHS34" s="292"/>
      <c r="EHT34" s="292"/>
      <c r="EHU34" s="292"/>
      <c r="EHV34" s="292"/>
      <c r="EHW34" s="292"/>
      <c r="EHX34" s="292"/>
      <c r="EHY34" s="292"/>
      <c r="EHZ34" s="292"/>
      <c r="EIA34" s="292"/>
      <c r="EIB34" s="292"/>
      <c r="EIC34" s="292"/>
      <c r="EID34" s="292"/>
      <c r="EIE34" s="292"/>
      <c r="EIF34" s="292"/>
      <c r="EIG34" s="292"/>
      <c r="EIH34" s="292"/>
      <c r="EII34" s="292"/>
      <c r="EIJ34" s="292"/>
      <c r="EIK34" s="292"/>
      <c r="EIL34" s="292"/>
      <c r="EIM34" s="292"/>
      <c r="EIN34" s="292"/>
      <c r="EIO34" s="292"/>
      <c r="EIP34" s="292"/>
      <c r="EIQ34" s="292"/>
      <c r="EIR34" s="292"/>
      <c r="EIS34" s="292"/>
      <c r="EIT34" s="292"/>
      <c r="EIU34" s="292"/>
      <c r="EIV34" s="292"/>
      <c r="EIW34" s="292"/>
      <c r="EIX34" s="292"/>
      <c r="EIY34" s="292"/>
      <c r="EIZ34" s="292"/>
      <c r="EJA34" s="292"/>
      <c r="EJB34" s="292"/>
      <c r="EJC34" s="292"/>
      <c r="EJD34" s="292"/>
      <c r="EJE34" s="292"/>
      <c r="EJF34" s="292"/>
      <c r="EJG34" s="292"/>
      <c r="EJH34" s="292"/>
      <c r="EJI34" s="292"/>
      <c r="EJJ34" s="292"/>
      <c r="EJK34" s="292"/>
      <c r="EJL34" s="292"/>
      <c r="EJM34" s="292"/>
      <c r="EJN34" s="292"/>
      <c r="EJO34" s="292"/>
      <c r="EJP34" s="292"/>
      <c r="EJQ34" s="292"/>
      <c r="EJR34" s="292"/>
      <c r="EJS34" s="292"/>
      <c r="EJT34" s="292"/>
      <c r="EJU34" s="292"/>
      <c r="EJV34" s="292"/>
      <c r="EJW34" s="292"/>
      <c r="EJX34" s="292"/>
      <c r="EJY34" s="292"/>
      <c r="EJZ34" s="292"/>
      <c r="EKA34" s="292"/>
      <c r="EKB34" s="292"/>
      <c r="EKC34" s="292"/>
      <c r="EKD34" s="292"/>
      <c r="EKE34" s="292"/>
      <c r="EKF34" s="292"/>
      <c r="EKG34" s="292"/>
      <c r="EKH34" s="292"/>
      <c r="EKI34" s="292"/>
      <c r="EKJ34" s="292"/>
      <c r="EKK34" s="292"/>
      <c r="EKL34" s="292"/>
      <c r="EKM34" s="292"/>
      <c r="EKN34" s="292"/>
      <c r="EKO34" s="292"/>
      <c r="EKP34" s="292"/>
      <c r="EKQ34" s="292"/>
      <c r="EKR34" s="292"/>
      <c r="EKS34" s="292"/>
      <c r="EKT34" s="292"/>
      <c r="EKU34" s="292"/>
      <c r="EKV34" s="292"/>
      <c r="EKW34" s="292"/>
      <c r="EKX34" s="292"/>
      <c r="EKY34" s="292"/>
      <c r="EKZ34" s="292"/>
      <c r="ELA34" s="292"/>
      <c r="ELB34" s="292"/>
      <c r="ELC34" s="292"/>
      <c r="ELD34" s="292"/>
      <c r="ELE34" s="292"/>
      <c r="ELF34" s="292"/>
      <c r="ELG34" s="292"/>
      <c r="ELH34" s="292"/>
      <c r="ELI34" s="292"/>
      <c r="ELJ34" s="292"/>
      <c r="ELK34" s="292"/>
      <c r="ELL34" s="292"/>
      <c r="ELM34" s="292"/>
      <c r="ELN34" s="292"/>
      <c r="ELO34" s="292"/>
      <c r="ELP34" s="292"/>
      <c r="ELQ34" s="292"/>
      <c r="ELR34" s="292"/>
      <c r="ELS34" s="292"/>
      <c r="ELT34" s="292"/>
      <c r="ELU34" s="292"/>
      <c r="ELV34" s="292"/>
      <c r="ELW34" s="292"/>
      <c r="ELX34" s="292"/>
      <c r="ELY34" s="292"/>
      <c r="ELZ34" s="292"/>
      <c r="EMA34" s="292"/>
      <c r="EMB34" s="292"/>
      <c r="EMC34" s="292"/>
      <c r="EMD34" s="292"/>
      <c r="EME34" s="292"/>
      <c r="EMF34" s="292"/>
      <c r="EMG34" s="292"/>
      <c r="EMH34" s="292"/>
      <c r="EMI34" s="292"/>
      <c r="EMJ34" s="292"/>
      <c r="EMK34" s="292"/>
      <c r="EML34" s="292"/>
      <c r="EMM34" s="292"/>
      <c r="EMN34" s="292"/>
      <c r="EMO34" s="292"/>
      <c r="EMP34" s="292"/>
      <c r="EMQ34" s="292"/>
      <c r="EMR34" s="292"/>
      <c r="EMS34" s="292"/>
      <c r="EMT34" s="292"/>
      <c r="EMU34" s="292"/>
      <c r="EMV34" s="292"/>
      <c r="EMW34" s="292"/>
      <c r="EMX34" s="292"/>
      <c r="EMY34" s="292"/>
      <c r="EMZ34" s="292"/>
      <c r="ENA34" s="292"/>
      <c r="ENB34" s="292"/>
      <c r="ENC34" s="292"/>
      <c r="END34" s="292"/>
      <c r="ENE34" s="292"/>
      <c r="ENF34" s="292"/>
      <c r="ENG34" s="292"/>
      <c r="ENH34" s="292"/>
      <c r="ENI34" s="292"/>
      <c r="ENJ34" s="292"/>
      <c r="ENK34" s="292"/>
      <c r="ENL34" s="292"/>
      <c r="ENM34" s="292"/>
      <c r="ENN34" s="292"/>
      <c r="ENO34" s="292"/>
      <c r="ENP34" s="292"/>
      <c r="ENQ34" s="292"/>
      <c r="ENR34" s="292"/>
      <c r="ENS34" s="292"/>
      <c r="ENT34" s="292"/>
      <c r="ENU34" s="292"/>
      <c r="ENV34" s="292"/>
      <c r="ENW34" s="292"/>
      <c r="ENX34" s="292"/>
      <c r="ENY34" s="292"/>
      <c r="ENZ34" s="292"/>
      <c r="EOA34" s="292"/>
      <c r="EOB34" s="292"/>
      <c r="EOC34" s="292"/>
      <c r="EOD34" s="292"/>
      <c r="EOE34" s="292"/>
      <c r="EOF34" s="292"/>
      <c r="EOG34" s="292"/>
      <c r="EOH34" s="292"/>
      <c r="EOI34" s="292"/>
      <c r="EOJ34" s="292"/>
      <c r="EOK34" s="292"/>
      <c r="EOL34" s="292"/>
      <c r="EOM34" s="292"/>
      <c r="EON34" s="292"/>
      <c r="EOO34" s="292"/>
      <c r="EOP34" s="292"/>
      <c r="EOQ34" s="292"/>
      <c r="EOR34" s="292"/>
      <c r="EOS34" s="292"/>
      <c r="EOT34" s="292"/>
      <c r="EOU34" s="292"/>
      <c r="EOV34" s="292"/>
      <c r="EOW34" s="292"/>
      <c r="EOX34" s="292"/>
      <c r="EOY34" s="292"/>
      <c r="EOZ34" s="292"/>
      <c r="EPA34" s="292"/>
      <c r="EPB34" s="292"/>
      <c r="EPC34" s="292"/>
      <c r="EPD34" s="292"/>
      <c r="EPE34" s="292"/>
      <c r="EPF34" s="292"/>
      <c r="EPG34" s="292"/>
      <c r="EPH34" s="292"/>
      <c r="EPI34" s="292"/>
      <c r="EPJ34" s="292"/>
      <c r="EPK34" s="292"/>
      <c r="EPL34" s="292"/>
      <c r="EPM34" s="292"/>
      <c r="EPN34" s="292"/>
      <c r="EPO34" s="292"/>
      <c r="EPP34" s="292"/>
      <c r="EPQ34" s="292"/>
      <c r="EPR34" s="292"/>
      <c r="EPS34" s="292"/>
      <c r="EPT34" s="292"/>
      <c r="EPU34" s="292"/>
      <c r="EPV34" s="292"/>
      <c r="EPW34" s="292"/>
      <c r="EPX34" s="292"/>
      <c r="EPY34" s="292"/>
      <c r="EPZ34" s="292"/>
      <c r="EQA34" s="292"/>
      <c r="EQB34" s="292"/>
      <c r="EQC34" s="292"/>
      <c r="EQD34" s="292"/>
      <c r="EQE34" s="292"/>
      <c r="EQF34" s="292"/>
      <c r="EQG34" s="292"/>
      <c r="EQH34" s="292"/>
      <c r="EQI34" s="292"/>
      <c r="EQJ34" s="292"/>
      <c r="EQK34" s="292"/>
      <c r="EQL34" s="292"/>
      <c r="EQM34" s="292"/>
      <c r="EQN34" s="292"/>
      <c r="EQO34" s="292"/>
      <c r="EQP34" s="292"/>
      <c r="EQQ34" s="292"/>
      <c r="EQR34" s="292"/>
      <c r="EQS34" s="292"/>
      <c r="EQT34" s="292"/>
      <c r="EQU34" s="292"/>
      <c r="EQV34" s="292"/>
      <c r="EQW34" s="292"/>
      <c r="EQX34" s="292"/>
      <c r="EQY34" s="292"/>
      <c r="EQZ34" s="292"/>
      <c r="ERA34" s="292"/>
      <c r="ERB34" s="292"/>
      <c r="ERC34" s="292"/>
      <c r="ERD34" s="292"/>
      <c r="ERE34" s="292"/>
      <c r="ERF34" s="292"/>
      <c r="ERG34" s="292"/>
      <c r="ERH34" s="292"/>
      <c r="ERI34" s="292"/>
      <c r="ERJ34" s="292"/>
      <c r="ERK34" s="292"/>
      <c r="ERL34" s="292"/>
      <c r="ERM34" s="292"/>
      <c r="ERN34" s="292"/>
      <c r="ERO34" s="292"/>
      <c r="ERP34" s="292"/>
      <c r="ERQ34" s="292"/>
      <c r="ERR34" s="292"/>
      <c r="ERS34" s="292"/>
      <c r="ERT34" s="292"/>
      <c r="ERU34" s="292"/>
      <c r="ERV34" s="292"/>
      <c r="ERW34" s="292"/>
      <c r="ERX34" s="292"/>
      <c r="ERY34" s="292"/>
      <c r="ERZ34" s="292"/>
      <c r="ESA34" s="292"/>
      <c r="ESB34" s="292"/>
      <c r="ESC34" s="292"/>
      <c r="ESD34" s="292"/>
      <c r="ESE34" s="292"/>
      <c r="ESF34" s="292"/>
      <c r="ESG34" s="292"/>
      <c r="ESH34" s="292"/>
      <c r="ESI34" s="292"/>
      <c r="ESJ34" s="292"/>
      <c r="ESK34" s="292"/>
      <c r="ESL34" s="292"/>
      <c r="ESM34" s="292"/>
      <c r="ESN34" s="292"/>
      <c r="ESO34" s="292"/>
      <c r="ESP34" s="292"/>
      <c r="ESQ34" s="292"/>
      <c r="ESR34" s="292"/>
      <c r="ESS34" s="292"/>
      <c r="EST34" s="292"/>
      <c r="ESU34" s="292"/>
      <c r="ESV34" s="292"/>
      <c r="ESW34" s="292"/>
      <c r="ESX34" s="292"/>
      <c r="ESY34" s="292"/>
      <c r="ESZ34" s="292"/>
      <c r="ETA34" s="292"/>
      <c r="ETB34" s="292"/>
      <c r="ETC34" s="292"/>
      <c r="ETD34" s="292"/>
      <c r="ETE34" s="292"/>
      <c r="ETF34" s="292"/>
      <c r="ETG34" s="292"/>
      <c r="ETH34" s="292"/>
      <c r="ETI34" s="292"/>
      <c r="ETJ34" s="292"/>
      <c r="ETK34" s="292"/>
      <c r="ETL34" s="292"/>
      <c r="ETM34" s="292"/>
      <c r="ETN34" s="292"/>
      <c r="ETO34" s="292"/>
      <c r="ETP34" s="292"/>
      <c r="ETQ34" s="292"/>
      <c r="ETR34" s="292"/>
      <c r="ETS34" s="292"/>
      <c r="ETT34" s="292"/>
      <c r="ETU34" s="292"/>
      <c r="ETV34" s="292"/>
      <c r="ETW34" s="292"/>
      <c r="ETX34" s="292"/>
      <c r="ETY34" s="292"/>
      <c r="ETZ34" s="292"/>
      <c r="EUA34" s="292"/>
      <c r="EUB34" s="292"/>
      <c r="EUC34" s="292"/>
      <c r="EUD34" s="292"/>
      <c r="EUE34" s="292"/>
      <c r="EUF34" s="292"/>
      <c r="EUG34" s="292"/>
      <c r="EUH34" s="292"/>
      <c r="EUI34" s="292"/>
      <c r="EUJ34" s="292"/>
      <c r="EUK34" s="292"/>
      <c r="EUL34" s="292"/>
      <c r="EUM34" s="292"/>
      <c r="EUN34" s="292"/>
      <c r="EUO34" s="292"/>
      <c r="EUP34" s="292"/>
      <c r="EUQ34" s="292"/>
      <c r="EUR34" s="292"/>
      <c r="EUS34" s="292"/>
      <c r="EUT34" s="292"/>
      <c r="EUU34" s="292"/>
      <c r="EUV34" s="292"/>
      <c r="EUW34" s="292"/>
      <c r="EUX34" s="292"/>
      <c r="EUY34" s="292"/>
      <c r="EUZ34" s="292"/>
      <c r="EVA34" s="292"/>
      <c r="EVB34" s="292"/>
      <c r="EVC34" s="292"/>
      <c r="EVD34" s="292"/>
      <c r="EVE34" s="292"/>
      <c r="EVF34" s="292"/>
      <c r="EVG34" s="292"/>
      <c r="EVH34" s="292"/>
      <c r="EVI34" s="292"/>
      <c r="EVJ34" s="292"/>
      <c r="EVK34" s="292"/>
      <c r="EVL34" s="292"/>
      <c r="EVM34" s="292"/>
      <c r="EVN34" s="292"/>
      <c r="EVO34" s="292"/>
      <c r="EVP34" s="292"/>
      <c r="EVQ34" s="292"/>
      <c r="EVR34" s="292"/>
      <c r="EVS34" s="292"/>
      <c r="EVT34" s="292"/>
      <c r="EVU34" s="292"/>
      <c r="EVV34" s="292"/>
      <c r="EVW34" s="292"/>
      <c r="EVX34" s="292"/>
      <c r="EVY34" s="292"/>
      <c r="EVZ34" s="292"/>
      <c r="EWA34" s="292"/>
      <c r="EWB34" s="292"/>
      <c r="EWC34" s="292"/>
      <c r="EWD34" s="292"/>
      <c r="EWE34" s="292"/>
      <c r="EWF34" s="292"/>
      <c r="EWG34" s="292"/>
      <c r="EWH34" s="292"/>
      <c r="EWI34" s="292"/>
      <c r="EWJ34" s="292"/>
      <c r="EWK34" s="292"/>
      <c r="EWL34" s="292"/>
      <c r="EWM34" s="292"/>
      <c r="EWN34" s="292"/>
      <c r="EWO34" s="292"/>
      <c r="EWP34" s="292"/>
      <c r="EWQ34" s="292"/>
      <c r="EWR34" s="292"/>
      <c r="EWS34" s="292"/>
      <c r="EWT34" s="292"/>
      <c r="EWU34" s="292"/>
      <c r="EWV34" s="292"/>
      <c r="EWW34" s="292"/>
      <c r="EWX34" s="292"/>
      <c r="EWY34" s="292"/>
      <c r="EWZ34" s="292"/>
      <c r="EXA34" s="292"/>
      <c r="EXB34" s="292"/>
      <c r="EXC34" s="292"/>
      <c r="EXD34" s="292"/>
      <c r="EXE34" s="292"/>
      <c r="EXF34" s="292"/>
      <c r="EXG34" s="292"/>
      <c r="EXH34" s="292"/>
      <c r="EXI34" s="292"/>
      <c r="EXJ34" s="292"/>
      <c r="EXK34" s="292"/>
      <c r="EXL34" s="292"/>
      <c r="EXM34" s="292"/>
      <c r="EXN34" s="292"/>
      <c r="EXO34" s="292"/>
      <c r="EXP34" s="292"/>
      <c r="EXQ34" s="292"/>
      <c r="EXR34" s="292"/>
      <c r="EXS34" s="292"/>
      <c r="EXT34" s="292"/>
      <c r="EXU34" s="292"/>
      <c r="EXV34" s="292"/>
      <c r="EXW34" s="292"/>
      <c r="EXX34" s="292"/>
      <c r="EXY34" s="292"/>
      <c r="EXZ34" s="292"/>
      <c r="EYA34" s="292"/>
      <c r="EYB34" s="292"/>
      <c r="EYC34" s="292"/>
      <c r="EYD34" s="292"/>
      <c r="EYE34" s="292"/>
      <c r="EYF34" s="292"/>
      <c r="EYG34" s="292"/>
      <c r="EYH34" s="292"/>
      <c r="EYI34" s="292"/>
      <c r="EYJ34" s="292"/>
      <c r="EYK34" s="292"/>
      <c r="EYL34" s="292"/>
      <c r="EYM34" s="292"/>
      <c r="EYN34" s="292"/>
      <c r="EYO34" s="292"/>
      <c r="EYP34" s="292"/>
      <c r="EYQ34" s="292"/>
      <c r="EYR34" s="292"/>
      <c r="EYS34" s="292"/>
      <c r="EYT34" s="292"/>
      <c r="EYU34" s="292"/>
      <c r="EYV34" s="292"/>
      <c r="EYW34" s="292"/>
      <c r="EYX34" s="292"/>
      <c r="EYY34" s="292"/>
      <c r="EYZ34" s="292"/>
      <c r="EZA34" s="292"/>
      <c r="EZB34" s="292"/>
      <c r="EZC34" s="292"/>
      <c r="EZD34" s="292"/>
      <c r="EZE34" s="292"/>
      <c r="EZF34" s="292"/>
      <c r="EZG34" s="292"/>
      <c r="EZH34" s="292"/>
      <c r="EZI34" s="292"/>
      <c r="EZJ34" s="292"/>
      <c r="EZK34" s="292"/>
      <c r="EZL34" s="292"/>
      <c r="EZM34" s="292"/>
      <c r="EZN34" s="292"/>
      <c r="EZO34" s="292"/>
      <c r="EZP34" s="292"/>
      <c r="EZQ34" s="292"/>
      <c r="EZR34" s="292"/>
      <c r="EZS34" s="292"/>
      <c r="EZT34" s="292"/>
      <c r="EZU34" s="292"/>
      <c r="EZV34" s="292"/>
      <c r="EZW34" s="292"/>
      <c r="EZX34" s="292"/>
      <c r="EZY34" s="292"/>
      <c r="EZZ34" s="292"/>
      <c r="FAA34" s="292"/>
      <c r="FAB34" s="292"/>
      <c r="FAC34" s="292"/>
      <c r="FAD34" s="292"/>
      <c r="FAE34" s="292"/>
      <c r="FAF34" s="292"/>
      <c r="FAG34" s="292"/>
      <c r="FAH34" s="292"/>
      <c r="FAI34" s="292"/>
      <c r="FAJ34" s="292"/>
      <c r="FAK34" s="292"/>
      <c r="FAL34" s="292"/>
      <c r="FAM34" s="292"/>
      <c r="FAN34" s="292"/>
      <c r="FAO34" s="292"/>
      <c r="FAP34" s="292"/>
      <c r="FAQ34" s="292"/>
      <c r="FAR34" s="292"/>
      <c r="FAS34" s="292"/>
      <c r="FAT34" s="292"/>
      <c r="FAU34" s="292"/>
      <c r="FAV34" s="292"/>
      <c r="FAW34" s="292"/>
      <c r="FAX34" s="292"/>
      <c r="FAY34" s="292"/>
      <c r="FAZ34" s="292"/>
      <c r="FBA34" s="292"/>
      <c r="FBB34" s="292"/>
      <c r="FBC34" s="292"/>
      <c r="FBD34" s="292"/>
      <c r="FBE34" s="292"/>
      <c r="FBF34" s="292"/>
      <c r="FBG34" s="292"/>
      <c r="FBH34" s="292"/>
      <c r="FBI34" s="292"/>
      <c r="FBJ34" s="292"/>
      <c r="FBK34" s="292"/>
      <c r="FBL34" s="292"/>
      <c r="FBM34" s="292"/>
      <c r="FBN34" s="292"/>
      <c r="FBO34" s="292"/>
      <c r="FBP34" s="292"/>
      <c r="FBQ34" s="292"/>
      <c r="FBR34" s="292"/>
      <c r="FBS34" s="292"/>
      <c r="FBT34" s="292"/>
      <c r="FBU34" s="292"/>
      <c r="FBV34" s="292"/>
      <c r="FBW34" s="292"/>
      <c r="FBX34" s="292"/>
      <c r="FBY34" s="292"/>
      <c r="FBZ34" s="292"/>
      <c r="FCA34" s="292"/>
      <c r="FCB34" s="292"/>
      <c r="FCC34" s="292"/>
      <c r="FCD34" s="292"/>
      <c r="FCE34" s="292"/>
      <c r="FCF34" s="292"/>
      <c r="FCG34" s="292"/>
      <c r="FCH34" s="292"/>
      <c r="FCI34" s="292"/>
      <c r="FCJ34" s="292"/>
      <c r="FCK34" s="292"/>
      <c r="FCL34" s="292"/>
      <c r="FCM34" s="292"/>
      <c r="FCN34" s="292"/>
      <c r="FCO34" s="292"/>
      <c r="FCP34" s="292"/>
      <c r="FCQ34" s="292"/>
      <c r="FCR34" s="292"/>
      <c r="FCS34" s="292"/>
      <c r="FCT34" s="292"/>
      <c r="FCU34" s="292"/>
      <c r="FCV34" s="292"/>
      <c r="FCW34" s="292"/>
      <c r="FCX34" s="292"/>
      <c r="FCY34" s="292"/>
      <c r="FCZ34" s="292"/>
      <c r="FDA34" s="292"/>
      <c r="FDB34" s="292"/>
      <c r="FDC34" s="292"/>
      <c r="FDD34" s="292"/>
      <c r="FDE34" s="292"/>
      <c r="FDF34" s="292"/>
      <c r="FDG34" s="292"/>
      <c r="FDH34" s="292"/>
      <c r="FDI34" s="292"/>
      <c r="FDJ34" s="292"/>
      <c r="FDK34" s="292"/>
      <c r="FDL34" s="292"/>
      <c r="FDM34" s="292"/>
      <c r="FDN34" s="292"/>
      <c r="FDO34" s="292"/>
      <c r="FDP34" s="292"/>
      <c r="FDQ34" s="292"/>
      <c r="FDR34" s="292"/>
      <c r="FDS34" s="292"/>
      <c r="FDT34" s="292"/>
      <c r="FDU34" s="292"/>
      <c r="FDV34" s="292"/>
      <c r="FDW34" s="292"/>
      <c r="FDX34" s="292"/>
      <c r="FDY34" s="292"/>
      <c r="FDZ34" s="292"/>
      <c r="FEA34" s="292"/>
      <c r="FEB34" s="292"/>
      <c r="FEC34" s="292"/>
      <c r="FED34" s="292"/>
      <c r="FEE34" s="292"/>
      <c r="FEF34" s="292"/>
      <c r="FEG34" s="292"/>
      <c r="FEH34" s="292"/>
      <c r="FEI34" s="292"/>
      <c r="FEJ34" s="292"/>
      <c r="FEK34" s="292"/>
      <c r="FEL34" s="292"/>
      <c r="FEM34" s="292"/>
      <c r="FEN34" s="292"/>
      <c r="FEO34" s="292"/>
      <c r="FEP34" s="292"/>
      <c r="FEQ34" s="292"/>
      <c r="FER34" s="292"/>
      <c r="FES34" s="292"/>
      <c r="FET34" s="292"/>
      <c r="FEU34" s="292"/>
      <c r="FEV34" s="292"/>
      <c r="FEW34" s="292"/>
      <c r="FEX34" s="292"/>
      <c r="FEY34" s="292"/>
      <c r="FEZ34" s="292"/>
      <c r="FFA34" s="292"/>
      <c r="FFB34" s="292"/>
      <c r="FFC34" s="292"/>
      <c r="FFD34" s="292"/>
      <c r="FFE34" s="292"/>
      <c r="FFF34" s="292"/>
      <c r="FFG34" s="292"/>
      <c r="FFH34" s="292"/>
      <c r="FFI34" s="292"/>
      <c r="FFJ34" s="292"/>
      <c r="FFK34" s="292"/>
      <c r="FFL34" s="292"/>
      <c r="FFM34" s="292"/>
      <c r="FFN34" s="292"/>
      <c r="FFO34" s="292"/>
      <c r="FFP34" s="292"/>
      <c r="FFQ34" s="292"/>
      <c r="FFR34" s="292"/>
      <c r="FFS34" s="292"/>
      <c r="FFT34" s="292"/>
      <c r="FFU34" s="292"/>
      <c r="FFV34" s="292"/>
      <c r="FFW34" s="292"/>
      <c r="FFX34" s="292"/>
      <c r="FFY34" s="292"/>
      <c r="FFZ34" s="292"/>
      <c r="FGA34" s="292"/>
      <c r="FGB34" s="292"/>
      <c r="FGC34" s="292"/>
      <c r="FGD34" s="292"/>
      <c r="FGE34" s="292"/>
      <c r="FGF34" s="292"/>
      <c r="FGG34" s="292"/>
      <c r="FGH34" s="292"/>
      <c r="FGI34" s="292"/>
      <c r="FGJ34" s="292"/>
      <c r="FGK34" s="292"/>
      <c r="FGL34" s="292"/>
      <c r="FGM34" s="292"/>
      <c r="FGN34" s="292"/>
      <c r="FGO34" s="292"/>
      <c r="FGP34" s="292"/>
      <c r="FGQ34" s="292"/>
      <c r="FGR34" s="292"/>
      <c r="FGS34" s="292"/>
      <c r="FGT34" s="292"/>
      <c r="FGU34" s="292"/>
      <c r="FGV34" s="292"/>
      <c r="FGW34" s="292"/>
      <c r="FGX34" s="292"/>
      <c r="FGY34" s="292"/>
      <c r="FGZ34" s="292"/>
      <c r="FHA34" s="292"/>
      <c r="FHB34" s="292"/>
      <c r="FHC34" s="292"/>
      <c r="FHD34" s="292"/>
      <c r="FHE34" s="292"/>
      <c r="FHF34" s="292"/>
      <c r="FHG34" s="292"/>
      <c r="FHH34" s="292"/>
      <c r="FHI34" s="292"/>
      <c r="FHJ34" s="292"/>
      <c r="FHK34" s="292"/>
      <c r="FHL34" s="292"/>
      <c r="FHM34" s="292"/>
      <c r="FHN34" s="292"/>
      <c r="FHO34" s="292"/>
      <c r="FHP34" s="292"/>
      <c r="FHQ34" s="292"/>
      <c r="FHR34" s="292"/>
      <c r="FHS34" s="292"/>
      <c r="FHT34" s="292"/>
      <c r="FHU34" s="292"/>
      <c r="FHV34" s="292"/>
      <c r="FHW34" s="292"/>
      <c r="FHX34" s="292"/>
      <c r="FHY34" s="292"/>
      <c r="FHZ34" s="292"/>
      <c r="FIA34" s="292"/>
      <c r="FIB34" s="292"/>
      <c r="FIC34" s="292"/>
      <c r="FID34" s="292"/>
      <c r="FIE34" s="292"/>
      <c r="FIF34" s="292"/>
      <c r="FIG34" s="292"/>
      <c r="FIH34" s="292"/>
      <c r="FII34" s="292"/>
      <c r="FIJ34" s="292"/>
      <c r="FIK34" s="292"/>
      <c r="FIL34" s="292"/>
      <c r="FIM34" s="292"/>
      <c r="FIN34" s="292"/>
      <c r="FIO34" s="292"/>
      <c r="FIP34" s="292"/>
      <c r="FIQ34" s="292"/>
      <c r="FIR34" s="292"/>
      <c r="FIS34" s="292"/>
      <c r="FIT34" s="292"/>
      <c r="FIU34" s="292"/>
      <c r="FIV34" s="292"/>
      <c r="FIW34" s="292"/>
      <c r="FIX34" s="292"/>
      <c r="FIY34" s="292"/>
      <c r="FIZ34" s="292"/>
      <c r="FJA34" s="292"/>
      <c r="FJB34" s="292"/>
      <c r="FJC34" s="292"/>
      <c r="FJD34" s="292"/>
      <c r="FJE34" s="292"/>
      <c r="FJF34" s="292"/>
      <c r="FJG34" s="292"/>
      <c r="FJH34" s="292"/>
      <c r="FJI34" s="292"/>
      <c r="FJJ34" s="292"/>
      <c r="FJK34" s="292"/>
      <c r="FJL34" s="292"/>
      <c r="FJM34" s="292"/>
      <c r="FJN34" s="292"/>
      <c r="FJO34" s="292"/>
      <c r="FJP34" s="292"/>
      <c r="FJQ34" s="292"/>
      <c r="FJR34" s="292"/>
      <c r="FJS34" s="292"/>
      <c r="FJT34" s="292"/>
      <c r="FJU34" s="292"/>
      <c r="FJV34" s="292"/>
      <c r="FJW34" s="292"/>
      <c r="FJX34" s="292"/>
      <c r="FJY34" s="292"/>
      <c r="FJZ34" s="292"/>
      <c r="FKA34" s="292"/>
      <c r="FKB34" s="292"/>
      <c r="FKC34" s="292"/>
      <c r="FKD34" s="292"/>
      <c r="FKE34" s="292"/>
      <c r="FKF34" s="292"/>
      <c r="FKG34" s="292"/>
      <c r="FKH34" s="292"/>
      <c r="FKI34" s="292"/>
      <c r="FKJ34" s="292"/>
      <c r="FKK34" s="292"/>
      <c r="FKL34" s="292"/>
      <c r="FKM34" s="292"/>
      <c r="FKN34" s="292"/>
      <c r="FKO34" s="292"/>
      <c r="FKP34" s="292"/>
      <c r="FKQ34" s="292"/>
      <c r="FKR34" s="292"/>
      <c r="FKS34" s="292"/>
      <c r="FKT34" s="292"/>
      <c r="FKU34" s="292"/>
      <c r="FKV34" s="292"/>
      <c r="FKW34" s="292"/>
      <c r="FKX34" s="292"/>
      <c r="FKY34" s="292"/>
      <c r="FKZ34" s="292"/>
      <c r="FLA34" s="292"/>
      <c r="FLB34" s="292"/>
      <c r="FLC34" s="292"/>
      <c r="FLD34" s="292"/>
      <c r="FLE34" s="292"/>
      <c r="FLF34" s="292"/>
      <c r="FLG34" s="292"/>
      <c r="FLH34" s="292"/>
      <c r="FLI34" s="292"/>
      <c r="FLJ34" s="292"/>
      <c r="FLK34" s="292"/>
      <c r="FLL34" s="292"/>
      <c r="FLM34" s="292"/>
      <c r="FLN34" s="292"/>
      <c r="FLO34" s="292"/>
      <c r="FLP34" s="292"/>
      <c r="FLQ34" s="292"/>
      <c r="FLR34" s="292"/>
      <c r="FLS34" s="292"/>
      <c r="FLT34" s="292"/>
      <c r="FLU34" s="292"/>
      <c r="FLV34" s="292"/>
      <c r="FLW34" s="292"/>
      <c r="FLX34" s="292"/>
      <c r="FLY34" s="292"/>
      <c r="FLZ34" s="292"/>
      <c r="FMA34" s="292"/>
      <c r="FMB34" s="292"/>
      <c r="FMC34" s="292"/>
      <c r="FMD34" s="292"/>
      <c r="FME34" s="292"/>
      <c r="FMF34" s="292"/>
      <c r="FMG34" s="292"/>
      <c r="FMH34" s="292"/>
      <c r="FMI34" s="292"/>
      <c r="FMJ34" s="292"/>
      <c r="FMK34" s="292"/>
      <c r="FML34" s="292"/>
      <c r="FMM34" s="292"/>
      <c r="FMN34" s="292"/>
      <c r="FMO34" s="292"/>
      <c r="FMP34" s="292"/>
      <c r="FMQ34" s="292"/>
      <c r="FMR34" s="292"/>
      <c r="FMS34" s="292"/>
      <c r="FMT34" s="292"/>
      <c r="FMU34" s="292"/>
      <c r="FMV34" s="292"/>
      <c r="FMW34" s="292"/>
      <c r="FMX34" s="292"/>
      <c r="FMY34" s="292"/>
      <c r="FMZ34" s="292"/>
      <c r="FNA34" s="292"/>
      <c r="FNB34" s="292"/>
      <c r="FNC34" s="292"/>
      <c r="FND34" s="292"/>
      <c r="FNE34" s="292"/>
      <c r="FNF34" s="292"/>
      <c r="FNG34" s="292"/>
      <c r="FNH34" s="292"/>
      <c r="FNI34" s="292"/>
      <c r="FNJ34" s="292"/>
      <c r="FNK34" s="292"/>
      <c r="FNL34" s="292"/>
      <c r="FNM34" s="292"/>
      <c r="FNN34" s="292"/>
      <c r="FNO34" s="292"/>
      <c r="FNP34" s="292"/>
      <c r="FNQ34" s="292"/>
      <c r="FNR34" s="292"/>
      <c r="FNS34" s="292"/>
      <c r="FNT34" s="292"/>
      <c r="FNU34" s="292"/>
      <c r="FNV34" s="292"/>
      <c r="FNW34" s="292"/>
      <c r="FNX34" s="292"/>
      <c r="FNY34" s="292"/>
      <c r="FNZ34" s="292"/>
      <c r="FOA34" s="292"/>
      <c r="FOB34" s="292"/>
      <c r="FOC34" s="292"/>
      <c r="FOD34" s="292"/>
      <c r="FOE34" s="292"/>
      <c r="FOF34" s="292"/>
      <c r="FOG34" s="292"/>
      <c r="FOH34" s="292"/>
      <c r="FOI34" s="292"/>
      <c r="FOJ34" s="292"/>
      <c r="FOK34" s="292"/>
      <c r="FOL34" s="292"/>
      <c r="FOM34" s="292"/>
      <c r="FON34" s="292"/>
      <c r="FOO34" s="292"/>
      <c r="FOP34" s="292"/>
      <c r="FOQ34" s="292"/>
      <c r="FOR34" s="292"/>
      <c r="FOS34" s="292"/>
      <c r="FOT34" s="292"/>
      <c r="FOU34" s="292"/>
      <c r="FOV34" s="292"/>
      <c r="FOW34" s="292"/>
      <c r="FOX34" s="292"/>
      <c r="FOY34" s="292"/>
      <c r="FOZ34" s="292"/>
      <c r="FPA34" s="292"/>
      <c r="FPB34" s="292"/>
      <c r="FPC34" s="292"/>
      <c r="FPD34" s="292"/>
      <c r="FPE34" s="292"/>
      <c r="FPF34" s="292"/>
      <c r="FPG34" s="292"/>
      <c r="FPH34" s="292"/>
      <c r="FPI34" s="292"/>
      <c r="FPJ34" s="292"/>
      <c r="FPK34" s="292"/>
      <c r="FPL34" s="292"/>
      <c r="FPM34" s="292"/>
      <c r="FPN34" s="292"/>
      <c r="FPO34" s="292"/>
      <c r="FPP34" s="292"/>
      <c r="FPQ34" s="292"/>
      <c r="FPR34" s="292"/>
      <c r="FPS34" s="292"/>
      <c r="FPT34" s="292"/>
      <c r="FPU34" s="292"/>
      <c r="FPV34" s="292"/>
      <c r="FPW34" s="292"/>
      <c r="FPX34" s="292"/>
      <c r="FPY34" s="292"/>
      <c r="FPZ34" s="292"/>
      <c r="FQA34" s="292"/>
      <c r="FQB34" s="292"/>
      <c r="FQC34" s="292"/>
      <c r="FQD34" s="292"/>
      <c r="FQE34" s="292"/>
      <c r="FQF34" s="292"/>
      <c r="FQG34" s="292"/>
      <c r="FQH34" s="292"/>
      <c r="FQI34" s="292"/>
      <c r="FQJ34" s="292"/>
      <c r="FQK34" s="292"/>
      <c r="FQL34" s="292"/>
      <c r="FQM34" s="292"/>
      <c r="FQN34" s="292"/>
      <c r="FQO34" s="292"/>
      <c r="FQP34" s="292"/>
      <c r="FQQ34" s="292"/>
      <c r="FQR34" s="292"/>
      <c r="FQS34" s="292"/>
      <c r="FQT34" s="292"/>
      <c r="FQU34" s="292"/>
      <c r="FQV34" s="292"/>
      <c r="FQW34" s="292"/>
      <c r="FQX34" s="292"/>
      <c r="FQY34" s="292"/>
      <c r="FQZ34" s="292"/>
      <c r="FRA34" s="292"/>
      <c r="FRB34" s="292"/>
      <c r="FRC34" s="292"/>
      <c r="FRD34" s="292"/>
      <c r="FRE34" s="292"/>
      <c r="FRF34" s="292"/>
      <c r="FRG34" s="292"/>
      <c r="FRH34" s="292"/>
      <c r="FRI34" s="292"/>
      <c r="FRJ34" s="292"/>
      <c r="FRK34" s="292"/>
      <c r="FRL34" s="292"/>
      <c r="FRM34" s="292"/>
      <c r="FRN34" s="292"/>
      <c r="FRO34" s="292"/>
      <c r="FRP34" s="292"/>
      <c r="FRQ34" s="292"/>
      <c r="FRR34" s="292"/>
      <c r="FRS34" s="292"/>
      <c r="FRT34" s="292"/>
      <c r="FRU34" s="292"/>
      <c r="FRV34" s="292"/>
      <c r="FRW34" s="292"/>
      <c r="FRX34" s="292"/>
      <c r="FRY34" s="292"/>
      <c r="FRZ34" s="292"/>
      <c r="FSA34" s="292"/>
      <c r="FSB34" s="292"/>
      <c r="FSC34" s="292"/>
      <c r="FSD34" s="292"/>
      <c r="FSE34" s="292"/>
      <c r="FSF34" s="292"/>
      <c r="FSG34" s="292"/>
      <c r="FSH34" s="292"/>
      <c r="FSI34" s="292"/>
      <c r="FSJ34" s="292"/>
      <c r="FSK34" s="292"/>
      <c r="FSL34" s="292"/>
      <c r="FSM34" s="292"/>
      <c r="FSN34" s="292"/>
      <c r="FSO34" s="292"/>
      <c r="FSP34" s="292"/>
      <c r="FSQ34" s="292"/>
      <c r="FSR34" s="292"/>
      <c r="FSS34" s="292"/>
      <c r="FST34" s="292"/>
      <c r="FSU34" s="292"/>
      <c r="FSV34" s="292"/>
      <c r="FSW34" s="292"/>
      <c r="FSX34" s="292"/>
      <c r="FSY34" s="292"/>
      <c r="FSZ34" s="292"/>
      <c r="FTA34" s="292"/>
      <c r="FTB34" s="292"/>
      <c r="FTC34" s="292"/>
      <c r="FTD34" s="292"/>
      <c r="FTE34" s="292"/>
      <c r="FTF34" s="292"/>
      <c r="FTG34" s="292"/>
      <c r="FTH34" s="292"/>
      <c r="FTI34" s="292"/>
      <c r="FTJ34" s="292"/>
      <c r="FTK34" s="292"/>
      <c r="FTL34" s="292"/>
      <c r="FTM34" s="292"/>
      <c r="FTN34" s="292"/>
      <c r="FTO34" s="292"/>
      <c r="FTP34" s="292"/>
      <c r="FTQ34" s="292"/>
      <c r="FTR34" s="292"/>
      <c r="FTS34" s="292"/>
      <c r="FTT34" s="292"/>
      <c r="FTU34" s="292"/>
      <c r="FTV34" s="292"/>
      <c r="FTW34" s="292"/>
      <c r="FTX34" s="292"/>
      <c r="FTY34" s="292"/>
      <c r="FTZ34" s="292"/>
      <c r="FUA34" s="292"/>
      <c r="FUB34" s="292"/>
      <c r="FUC34" s="292"/>
      <c r="FUD34" s="292"/>
      <c r="FUE34" s="292"/>
      <c r="FUF34" s="292"/>
      <c r="FUG34" s="292"/>
      <c r="FUH34" s="292"/>
      <c r="FUI34" s="292"/>
      <c r="FUJ34" s="292"/>
      <c r="FUK34" s="292"/>
      <c r="FUL34" s="292"/>
      <c r="FUM34" s="292"/>
      <c r="FUN34" s="292"/>
      <c r="FUO34" s="292"/>
      <c r="FUP34" s="292"/>
      <c r="FUQ34" s="292"/>
      <c r="FUR34" s="292"/>
      <c r="FUS34" s="292"/>
      <c r="FUT34" s="292"/>
      <c r="FUU34" s="292"/>
      <c r="FUV34" s="292"/>
      <c r="FUW34" s="292"/>
      <c r="FUX34" s="292"/>
      <c r="FUY34" s="292"/>
      <c r="FUZ34" s="292"/>
      <c r="FVA34" s="292"/>
      <c r="FVB34" s="292"/>
      <c r="FVC34" s="292"/>
      <c r="FVD34" s="292"/>
      <c r="FVE34" s="292"/>
      <c r="FVF34" s="292"/>
      <c r="FVG34" s="292"/>
      <c r="FVH34" s="292"/>
      <c r="FVI34" s="292"/>
      <c r="FVJ34" s="292"/>
      <c r="FVK34" s="292"/>
      <c r="FVL34" s="292"/>
      <c r="FVM34" s="292"/>
      <c r="FVN34" s="292"/>
      <c r="FVO34" s="292"/>
      <c r="FVP34" s="292"/>
      <c r="FVQ34" s="292"/>
      <c r="FVR34" s="292"/>
      <c r="FVS34" s="292"/>
      <c r="FVT34" s="292"/>
      <c r="FVU34" s="292"/>
      <c r="FVV34" s="292"/>
      <c r="FVW34" s="292"/>
      <c r="FVX34" s="292"/>
      <c r="FVY34" s="292"/>
      <c r="FVZ34" s="292"/>
      <c r="FWA34" s="292"/>
      <c r="FWB34" s="292"/>
      <c r="FWC34" s="292"/>
      <c r="FWD34" s="292"/>
      <c r="FWE34" s="292"/>
      <c r="FWF34" s="292"/>
      <c r="FWG34" s="292"/>
      <c r="FWH34" s="292"/>
      <c r="FWI34" s="292"/>
      <c r="FWJ34" s="292"/>
      <c r="FWK34" s="292"/>
      <c r="FWL34" s="292"/>
      <c r="FWM34" s="292"/>
      <c r="FWN34" s="292"/>
      <c r="FWO34" s="292"/>
      <c r="FWP34" s="292"/>
      <c r="FWQ34" s="292"/>
      <c r="FWR34" s="292"/>
      <c r="FWS34" s="292"/>
      <c r="FWT34" s="292"/>
      <c r="FWU34" s="292"/>
      <c r="FWV34" s="292"/>
      <c r="FWW34" s="292"/>
      <c r="FWX34" s="292"/>
      <c r="FWY34" s="292"/>
      <c r="FWZ34" s="292"/>
      <c r="FXA34" s="292"/>
      <c r="FXB34" s="292"/>
      <c r="FXC34" s="292"/>
      <c r="FXD34" s="292"/>
      <c r="FXE34" s="292"/>
      <c r="FXF34" s="292"/>
      <c r="FXG34" s="292"/>
      <c r="FXH34" s="292"/>
      <c r="FXI34" s="292"/>
      <c r="FXJ34" s="292"/>
      <c r="FXK34" s="292"/>
      <c r="FXL34" s="292"/>
      <c r="FXM34" s="292"/>
      <c r="FXN34" s="292"/>
      <c r="FXO34" s="292"/>
      <c r="FXP34" s="292"/>
      <c r="FXQ34" s="292"/>
      <c r="FXR34" s="292"/>
      <c r="FXS34" s="292"/>
      <c r="FXT34" s="292"/>
      <c r="FXU34" s="292"/>
      <c r="FXV34" s="292"/>
      <c r="FXW34" s="292"/>
      <c r="FXX34" s="292"/>
      <c r="FXY34" s="292"/>
      <c r="FXZ34" s="292"/>
      <c r="FYA34" s="292"/>
      <c r="FYB34" s="292"/>
      <c r="FYC34" s="292"/>
      <c r="FYD34" s="292"/>
      <c r="FYE34" s="292"/>
      <c r="FYF34" s="292"/>
      <c r="FYG34" s="292"/>
      <c r="FYH34" s="292"/>
      <c r="FYI34" s="292"/>
      <c r="FYJ34" s="292"/>
      <c r="FYK34" s="292"/>
      <c r="FYL34" s="292"/>
      <c r="FYM34" s="292"/>
      <c r="FYN34" s="292"/>
      <c r="FYO34" s="292"/>
      <c r="FYP34" s="292"/>
      <c r="FYQ34" s="292"/>
      <c r="FYR34" s="292"/>
      <c r="FYS34" s="292"/>
      <c r="FYT34" s="292"/>
      <c r="FYU34" s="292"/>
      <c r="FYV34" s="292"/>
      <c r="FYW34" s="292"/>
      <c r="FYX34" s="292"/>
      <c r="FYY34" s="292"/>
      <c r="FYZ34" s="292"/>
      <c r="FZA34" s="292"/>
      <c r="FZB34" s="292"/>
      <c r="FZC34" s="292"/>
      <c r="FZD34" s="292"/>
      <c r="FZE34" s="292"/>
      <c r="FZF34" s="292"/>
      <c r="FZG34" s="292"/>
      <c r="FZH34" s="292"/>
      <c r="FZI34" s="292"/>
      <c r="FZJ34" s="292"/>
      <c r="FZK34" s="292"/>
      <c r="FZL34" s="292"/>
      <c r="FZM34" s="292"/>
      <c r="FZN34" s="292"/>
      <c r="FZO34" s="292"/>
      <c r="FZP34" s="292"/>
      <c r="FZQ34" s="292"/>
      <c r="FZR34" s="292"/>
      <c r="FZS34" s="292"/>
      <c r="FZT34" s="292"/>
      <c r="FZU34" s="292"/>
      <c r="FZV34" s="292"/>
      <c r="FZW34" s="292"/>
      <c r="FZX34" s="292"/>
      <c r="FZY34" s="292"/>
      <c r="FZZ34" s="292"/>
      <c r="GAA34" s="292"/>
      <c r="GAB34" s="292"/>
      <c r="GAC34" s="292"/>
      <c r="GAD34" s="292"/>
      <c r="GAE34" s="292"/>
      <c r="GAF34" s="292"/>
      <c r="GAG34" s="292"/>
      <c r="GAH34" s="292"/>
      <c r="GAI34" s="292"/>
      <c r="GAJ34" s="292"/>
      <c r="GAK34" s="292"/>
      <c r="GAL34" s="292"/>
      <c r="GAM34" s="292"/>
      <c r="GAN34" s="292"/>
      <c r="GAO34" s="292"/>
      <c r="GAP34" s="292"/>
      <c r="GAQ34" s="292"/>
      <c r="GAR34" s="292"/>
      <c r="GAS34" s="292"/>
      <c r="GAT34" s="292"/>
      <c r="GAU34" s="292"/>
      <c r="GAV34" s="292"/>
      <c r="GAW34" s="292"/>
      <c r="GAX34" s="292"/>
      <c r="GAY34" s="292"/>
      <c r="GAZ34" s="292"/>
      <c r="GBA34" s="292"/>
      <c r="GBB34" s="292"/>
      <c r="GBC34" s="292"/>
      <c r="GBD34" s="292"/>
      <c r="GBE34" s="292"/>
      <c r="GBF34" s="292"/>
      <c r="GBG34" s="292"/>
      <c r="GBH34" s="292"/>
      <c r="GBI34" s="292"/>
      <c r="GBJ34" s="292"/>
      <c r="GBK34" s="292"/>
      <c r="GBL34" s="292"/>
      <c r="GBM34" s="292"/>
      <c r="GBN34" s="292"/>
      <c r="GBO34" s="292"/>
      <c r="GBP34" s="292"/>
      <c r="GBQ34" s="292"/>
      <c r="GBR34" s="292"/>
      <c r="GBS34" s="292"/>
      <c r="GBT34" s="292"/>
      <c r="GBU34" s="292"/>
      <c r="GBV34" s="292"/>
      <c r="GBW34" s="292"/>
      <c r="GBX34" s="292"/>
      <c r="GBY34" s="292"/>
      <c r="GBZ34" s="292"/>
      <c r="GCA34" s="292"/>
      <c r="GCB34" s="292"/>
      <c r="GCC34" s="292"/>
      <c r="GCD34" s="292"/>
      <c r="GCE34" s="292"/>
      <c r="GCF34" s="292"/>
      <c r="GCG34" s="292"/>
      <c r="GCH34" s="292"/>
      <c r="GCI34" s="292"/>
      <c r="GCJ34" s="292"/>
      <c r="GCK34" s="292"/>
      <c r="GCL34" s="292"/>
      <c r="GCM34" s="292"/>
      <c r="GCN34" s="292"/>
      <c r="GCO34" s="292"/>
      <c r="GCP34" s="292"/>
      <c r="GCQ34" s="292"/>
      <c r="GCR34" s="292"/>
      <c r="GCS34" s="292"/>
      <c r="GCT34" s="292"/>
      <c r="GCU34" s="292"/>
      <c r="GCV34" s="292"/>
      <c r="GCW34" s="292"/>
      <c r="GCX34" s="292"/>
      <c r="GCY34" s="292"/>
      <c r="GCZ34" s="292"/>
      <c r="GDA34" s="292"/>
      <c r="GDB34" s="292"/>
      <c r="GDC34" s="292"/>
      <c r="GDD34" s="292"/>
      <c r="GDE34" s="292"/>
      <c r="GDF34" s="292"/>
      <c r="GDG34" s="292"/>
      <c r="GDH34" s="292"/>
      <c r="GDI34" s="292"/>
      <c r="GDJ34" s="292"/>
      <c r="GDK34" s="292"/>
      <c r="GDL34" s="292"/>
      <c r="GDM34" s="292"/>
      <c r="GDN34" s="292"/>
      <c r="GDO34" s="292"/>
      <c r="GDP34" s="292"/>
      <c r="GDQ34" s="292"/>
      <c r="GDR34" s="292"/>
      <c r="GDS34" s="292"/>
      <c r="GDT34" s="292"/>
      <c r="GDU34" s="292"/>
      <c r="GDV34" s="292"/>
      <c r="GDW34" s="292"/>
      <c r="GDX34" s="292"/>
      <c r="GDY34" s="292"/>
      <c r="GDZ34" s="292"/>
      <c r="GEA34" s="292"/>
      <c r="GEB34" s="292"/>
      <c r="GEC34" s="292"/>
      <c r="GED34" s="292"/>
      <c r="GEE34" s="292"/>
      <c r="GEF34" s="292"/>
      <c r="GEG34" s="292"/>
      <c r="GEH34" s="292"/>
      <c r="GEI34" s="292"/>
      <c r="GEJ34" s="292"/>
      <c r="GEK34" s="292"/>
      <c r="GEL34" s="292"/>
      <c r="GEM34" s="292"/>
      <c r="GEN34" s="292"/>
      <c r="GEO34" s="292"/>
      <c r="GEP34" s="292"/>
      <c r="GEQ34" s="292"/>
      <c r="GER34" s="292"/>
      <c r="GES34" s="292"/>
      <c r="GET34" s="292"/>
      <c r="GEU34" s="292"/>
      <c r="GEV34" s="292"/>
      <c r="GEW34" s="292"/>
      <c r="GEX34" s="292"/>
      <c r="GEY34" s="292"/>
      <c r="GEZ34" s="292"/>
      <c r="GFA34" s="292"/>
      <c r="GFB34" s="292"/>
      <c r="GFC34" s="292"/>
      <c r="GFD34" s="292"/>
      <c r="GFE34" s="292"/>
      <c r="GFF34" s="292"/>
      <c r="GFG34" s="292"/>
      <c r="GFH34" s="292"/>
      <c r="GFI34" s="292"/>
      <c r="GFJ34" s="292"/>
      <c r="GFK34" s="292"/>
      <c r="GFL34" s="292"/>
      <c r="GFM34" s="292"/>
      <c r="GFN34" s="292"/>
      <c r="GFO34" s="292"/>
      <c r="GFP34" s="292"/>
      <c r="GFQ34" s="292"/>
      <c r="GFR34" s="292"/>
      <c r="GFS34" s="292"/>
      <c r="GFT34" s="292"/>
      <c r="GFU34" s="292"/>
      <c r="GFV34" s="292"/>
      <c r="GFW34" s="292"/>
      <c r="GFX34" s="292"/>
      <c r="GFY34" s="292"/>
      <c r="GFZ34" s="292"/>
      <c r="GGA34" s="292"/>
      <c r="GGB34" s="292"/>
      <c r="GGC34" s="292"/>
      <c r="GGD34" s="292"/>
      <c r="GGE34" s="292"/>
      <c r="GGF34" s="292"/>
      <c r="GGG34" s="292"/>
      <c r="GGH34" s="292"/>
      <c r="GGI34" s="292"/>
      <c r="GGJ34" s="292"/>
      <c r="GGK34" s="292"/>
      <c r="GGL34" s="292"/>
      <c r="GGM34" s="292"/>
      <c r="GGN34" s="292"/>
      <c r="GGO34" s="292"/>
      <c r="GGP34" s="292"/>
      <c r="GGQ34" s="292"/>
      <c r="GGR34" s="292"/>
      <c r="GGS34" s="292"/>
      <c r="GGT34" s="292"/>
      <c r="GGU34" s="292"/>
      <c r="GGV34" s="292"/>
      <c r="GGW34" s="292"/>
      <c r="GGX34" s="292"/>
      <c r="GGY34" s="292"/>
      <c r="GGZ34" s="292"/>
      <c r="GHA34" s="292"/>
      <c r="GHB34" s="292"/>
      <c r="GHC34" s="292"/>
      <c r="GHD34" s="292"/>
      <c r="GHE34" s="292"/>
      <c r="GHF34" s="292"/>
      <c r="GHG34" s="292"/>
      <c r="GHH34" s="292"/>
      <c r="GHI34" s="292"/>
      <c r="GHJ34" s="292"/>
      <c r="GHK34" s="292"/>
      <c r="GHL34" s="292"/>
      <c r="GHM34" s="292"/>
      <c r="GHN34" s="292"/>
      <c r="GHO34" s="292"/>
      <c r="GHP34" s="292"/>
      <c r="GHQ34" s="292"/>
      <c r="GHR34" s="292"/>
      <c r="GHS34" s="292"/>
      <c r="GHT34" s="292"/>
      <c r="GHU34" s="292"/>
      <c r="GHV34" s="292"/>
      <c r="GHW34" s="292"/>
      <c r="GHX34" s="292"/>
      <c r="GHY34" s="292"/>
      <c r="GHZ34" s="292"/>
      <c r="GIA34" s="292"/>
      <c r="GIB34" s="292"/>
      <c r="GIC34" s="292"/>
      <c r="GID34" s="292"/>
      <c r="GIE34" s="292"/>
      <c r="GIF34" s="292"/>
      <c r="GIG34" s="292"/>
      <c r="GIH34" s="292"/>
      <c r="GII34" s="292"/>
      <c r="GIJ34" s="292"/>
      <c r="GIK34" s="292"/>
      <c r="GIL34" s="292"/>
      <c r="GIM34" s="292"/>
      <c r="GIN34" s="292"/>
      <c r="GIO34" s="292"/>
      <c r="GIP34" s="292"/>
      <c r="GIQ34" s="292"/>
      <c r="GIR34" s="292"/>
      <c r="GIS34" s="292"/>
      <c r="GIT34" s="292"/>
      <c r="GIU34" s="292"/>
      <c r="GIV34" s="292"/>
      <c r="GIW34" s="292"/>
      <c r="GIX34" s="292"/>
      <c r="GIY34" s="292"/>
      <c r="GIZ34" s="292"/>
      <c r="GJA34" s="292"/>
      <c r="GJB34" s="292"/>
      <c r="GJC34" s="292"/>
      <c r="GJD34" s="292"/>
      <c r="GJE34" s="292"/>
      <c r="GJF34" s="292"/>
      <c r="GJG34" s="292"/>
      <c r="GJH34" s="292"/>
      <c r="GJI34" s="292"/>
      <c r="GJJ34" s="292"/>
      <c r="GJK34" s="292"/>
      <c r="GJL34" s="292"/>
      <c r="GJM34" s="292"/>
      <c r="GJN34" s="292"/>
      <c r="GJO34" s="292"/>
      <c r="GJP34" s="292"/>
      <c r="GJQ34" s="292"/>
      <c r="GJR34" s="292"/>
      <c r="GJS34" s="292"/>
      <c r="GJT34" s="292"/>
      <c r="GJU34" s="292"/>
      <c r="GJV34" s="292"/>
      <c r="GJW34" s="292"/>
      <c r="GJX34" s="292"/>
      <c r="GJY34" s="292"/>
      <c r="GJZ34" s="292"/>
      <c r="GKA34" s="292"/>
      <c r="GKB34" s="292"/>
      <c r="GKC34" s="292"/>
      <c r="GKD34" s="292"/>
      <c r="GKE34" s="292"/>
      <c r="GKF34" s="292"/>
      <c r="GKG34" s="292"/>
      <c r="GKH34" s="292"/>
      <c r="GKI34" s="292"/>
      <c r="GKJ34" s="292"/>
      <c r="GKK34" s="292"/>
      <c r="GKL34" s="292"/>
      <c r="GKM34" s="292"/>
      <c r="GKN34" s="292"/>
      <c r="GKO34" s="292"/>
      <c r="GKP34" s="292"/>
      <c r="GKQ34" s="292"/>
      <c r="GKR34" s="292"/>
      <c r="GKS34" s="292"/>
      <c r="GKT34" s="292"/>
      <c r="GKU34" s="292"/>
      <c r="GKV34" s="292"/>
      <c r="GKW34" s="292"/>
      <c r="GKX34" s="292"/>
      <c r="GKY34" s="292"/>
      <c r="GKZ34" s="292"/>
      <c r="GLA34" s="292"/>
      <c r="GLB34" s="292"/>
      <c r="GLC34" s="292"/>
      <c r="GLD34" s="292"/>
      <c r="GLE34" s="292"/>
      <c r="GLF34" s="292"/>
      <c r="GLG34" s="292"/>
      <c r="GLH34" s="292"/>
      <c r="GLI34" s="292"/>
      <c r="GLJ34" s="292"/>
      <c r="GLK34" s="292"/>
      <c r="GLL34" s="292"/>
      <c r="GLM34" s="292"/>
      <c r="GLN34" s="292"/>
      <c r="GLO34" s="292"/>
      <c r="GLP34" s="292"/>
      <c r="GLQ34" s="292"/>
      <c r="GLR34" s="292"/>
      <c r="GLS34" s="292"/>
      <c r="GLT34" s="292"/>
      <c r="GLU34" s="292"/>
      <c r="GLV34" s="292"/>
      <c r="GLW34" s="292"/>
      <c r="GLX34" s="292"/>
      <c r="GLY34" s="292"/>
      <c r="GLZ34" s="292"/>
      <c r="GMA34" s="292"/>
      <c r="GMB34" s="292"/>
      <c r="GMC34" s="292"/>
      <c r="GMD34" s="292"/>
      <c r="GME34" s="292"/>
      <c r="GMF34" s="292"/>
      <c r="GMG34" s="292"/>
      <c r="GMH34" s="292"/>
      <c r="GMI34" s="292"/>
      <c r="GMJ34" s="292"/>
      <c r="GMK34" s="292"/>
      <c r="GML34" s="292"/>
      <c r="GMM34" s="292"/>
      <c r="GMN34" s="292"/>
      <c r="GMO34" s="292"/>
      <c r="GMP34" s="292"/>
      <c r="GMQ34" s="292"/>
      <c r="GMR34" s="292"/>
      <c r="GMS34" s="292"/>
      <c r="GMT34" s="292"/>
      <c r="GMU34" s="292"/>
      <c r="GMV34" s="292"/>
      <c r="GMW34" s="292"/>
      <c r="GMX34" s="292"/>
      <c r="GMY34" s="292"/>
      <c r="GMZ34" s="292"/>
      <c r="GNA34" s="292"/>
      <c r="GNB34" s="292"/>
      <c r="GNC34" s="292"/>
      <c r="GND34" s="292"/>
      <c r="GNE34" s="292"/>
      <c r="GNF34" s="292"/>
      <c r="GNG34" s="292"/>
      <c r="GNH34" s="292"/>
      <c r="GNI34" s="292"/>
      <c r="GNJ34" s="292"/>
      <c r="GNK34" s="292"/>
      <c r="GNL34" s="292"/>
      <c r="GNM34" s="292"/>
      <c r="GNN34" s="292"/>
      <c r="GNO34" s="292"/>
      <c r="GNP34" s="292"/>
      <c r="GNQ34" s="292"/>
      <c r="GNR34" s="292"/>
      <c r="GNS34" s="292"/>
      <c r="GNT34" s="292"/>
      <c r="GNU34" s="292"/>
      <c r="GNV34" s="292"/>
      <c r="GNW34" s="292"/>
      <c r="GNX34" s="292"/>
      <c r="GNY34" s="292"/>
      <c r="GNZ34" s="292"/>
      <c r="GOA34" s="292"/>
      <c r="GOB34" s="292"/>
      <c r="GOC34" s="292"/>
      <c r="GOD34" s="292"/>
      <c r="GOE34" s="292"/>
      <c r="GOF34" s="292"/>
      <c r="GOG34" s="292"/>
      <c r="GOH34" s="292"/>
      <c r="GOI34" s="292"/>
      <c r="GOJ34" s="292"/>
      <c r="GOK34" s="292"/>
      <c r="GOL34" s="292"/>
      <c r="GOM34" s="292"/>
      <c r="GON34" s="292"/>
      <c r="GOO34" s="292"/>
      <c r="GOP34" s="292"/>
      <c r="GOQ34" s="292"/>
      <c r="GOR34" s="292"/>
      <c r="GOS34" s="292"/>
      <c r="GOT34" s="292"/>
      <c r="GOU34" s="292"/>
      <c r="GOV34" s="292"/>
      <c r="GOW34" s="292"/>
      <c r="GOX34" s="292"/>
      <c r="GOY34" s="292"/>
      <c r="GOZ34" s="292"/>
      <c r="GPA34" s="292"/>
      <c r="GPB34" s="292"/>
      <c r="GPC34" s="292"/>
      <c r="GPD34" s="292"/>
      <c r="GPE34" s="292"/>
      <c r="GPF34" s="292"/>
      <c r="GPG34" s="292"/>
      <c r="GPH34" s="292"/>
      <c r="GPI34" s="292"/>
      <c r="GPJ34" s="292"/>
      <c r="GPK34" s="292"/>
      <c r="GPL34" s="292"/>
      <c r="GPM34" s="292"/>
      <c r="GPN34" s="292"/>
      <c r="GPO34" s="292"/>
      <c r="GPP34" s="292"/>
      <c r="GPQ34" s="292"/>
      <c r="GPR34" s="292"/>
      <c r="GPS34" s="292"/>
      <c r="GPT34" s="292"/>
      <c r="GPU34" s="292"/>
      <c r="GPV34" s="292"/>
      <c r="GPW34" s="292"/>
      <c r="GPX34" s="292"/>
      <c r="GPY34" s="292"/>
      <c r="GPZ34" s="292"/>
      <c r="GQA34" s="292"/>
      <c r="GQB34" s="292"/>
      <c r="GQC34" s="292"/>
      <c r="GQD34" s="292"/>
      <c r="GQE34" s="292"/>
      <c r="GQF34" s="292"/>
      <c r="GQG34" s="292"/>
      <c r="GQH34" s="292"/>
      <c r="GQI34" s="292"/>
      <c r="GQJ34" s="292"/>
      <c r="GQK34" s="292"/>
      <c r="GQL34" s="292"/>
      <c r="GQM34" s="292"/>
      <c r="GQN34" s="292"/>
      <c r="GQO34" s="292"/>
      <c r="GQP34" s="292"/>
      <c r="GQQ34" s="292"/>
      <c r="GQR34" s="292"/>
      <c r="GQS34" s="292"/>
      <c r="GQT34" s="292"/>
      <c r="GQU34" s="292"/>
      <c r="GQV34" s="292"/>
      <c r="GQW34" s="292"/>
      <c r="GQX34" s="292"/>
      <c r="GQY34" s="292"/>
      <c r="GQZ34" s="292"/>
      <c r="GRA34" s="292"/>
      <c r="GRB34" s="292"/>
      <c r="GRC34" s="292"/>
      <c r="GRD34" s="292"/>
      <c r="GRE34" s="292"/>
      <c r="GRF34" s="292"/>
      <c r="GRG34" s="292"/>
      <c r="GRH34" s="292"/>
      <c r="GRI34" s="292"/>
      <c r="GRJ34" s="292"/>
      <c r="GRK34" s="292"/>
      <c r="GRL34" s="292"/>
      <c r="GRM34" s="292"/>
      <c r="GRN34" s="292"/>
      <c r="GRO34" s="292"/>
      <c r="GRP34" s="292"/>
      <c r="GRQ34" s="292"/>
      <c r="GRR34" s="292"/>
      <c r="GRS34" s="292"/>
      <c r="GRT34" s="292"/>
      <c r="GRU34" s="292"/>
      <c r="GRV34" s="292"/>
      <c r="GRW34" s="292"/>
      <c r="GRX34" s="292"/>
      <c r="GRY34" s="292"/>
      <c r="GRZ34" s="292"/>
      <c r="GSA34" s="292"/>
      <c r="GSB34" s="292"/>
      <c r="GSC34" s="292"/>
      <c r="GSD34" s="292"/>
      <c r="GSE34" s="292"/>
      <c r="GSF34" s="292"/>
      <c r="GSG34" s="292"/>
      <c r="GSH34" s="292"/>
      <c r="GSI34" s="292"/>
      <c r="GSJ34" s="292"/>
      <c r="GSK34" s="292"/>
      <c r="GSL34" s="292"/>
      <c r="GSM34" s="292"/>
      <c r="GSN34" s="292"/>
      <c r="GSO34" s="292"/>
      <c r="GSP34" s="292"/>
      <c r="GSQ34" s="292"/>
      <c r="GSR34" s="292"/>
      <c r="GSS34" s="292"/>
      <c r="GST34" s="292"/>
      <c r="GSU34" s="292"/>
      <c r="GSV34" s="292"/>
      <c r="GSW34" s="292"/>
      <c r="GSX34" s="292"/>
      <c r="GSY34" s="292"/>
      <c r="GSZ34" s="292"/>
      <c r="GTA34" s="292"/>
      <c r="GTB34" s="292"/>
      <c r="GTC34" s="292"/>
      <c r="GTD34" s="292"/>
      <c r="GTE34" s="292"/>
      <c r="GTF34" s="292"/>
      <c r="GTG34" s="292"/>
      <c r="GTH34" s="292"/>
      <c r="GTI34" s="292"/>
      <c r="GTJ34" s="292"/>
      <c r="GTK34" s="292"/>
      <c r="GTL34" s="292"/>
      <c r="GTM34" s="292"/>
      <c r="GTN34" s="292"/>
      <c r="GTO34" s="292"/>
      <c r="GTP34" s="292"/>
      <c r="GTQ34" s="292"/>
      <c r="GTR34" s="292"/>
      <c r="GTS34" s="292"/>
      <c r="GTT34" s="292"/>
      <c r="GTU34" s="292"/>
      <c r="GTV34" s="292"/>
      <c r="GTW34" s="292"/>
      <c r="GTX34" s="292"/>
      <c r="GTY34" s="292"/>
      <c r="GTZ34" s="292"/>
      <c r="GUA34" s="292"/>
      <c r="GUB34" s="292"/>
      <c r="GUC34" s="292"/>
      <c r="GUD34" s="292"/>
      <c r="GUE34" s="292"/>
      <c r="GUF34" s="292"/>
      <c r="GUG34" s="292"/>
      <c r="GUH34" s="292"/>
      <c r="GUI34" s="292"/>
      <c r="GUJ34" s="292"/>
      <c r="GUK34" s="292"/>
      <c r="GUL34" s="292"/>
      <c r="GUM34" s="292"/>
      <c r="GUN34" s="292"/>
      <c r="GUO34" s="292"/>
      <c r="GUP34" s="292"/>
      <c r="GUQ34" s="292"/>
      <c r="GUR34" s="292"/>
      <c r="GUS34" s="292"/>
      <c r="GUT34" s="292"/>
      <c r="GUU34" s="292"/>
      <c r="GUV34" s="292"/>
      <c r="GUW34" s="292"/>
      <c r="GUX34" s="292"/>
      <c r="GUY34" s="292"/>
      <c r="GUZ34" s="292"/>
      <c r="GVA34" s="292"/>
      <c r="GVB34" s="292"/>
      <c r="GVC34" s="292"/>
      <c r="GVD34" s="292"/>
      <c r="GVE34" s="292"/>
      <c r="GVF34" s="292"/>
      <c r="GVG34" s="292"/>
      <c r="GVH34" s="292"/>
      <c r="GVI34" s="292"/>
      <c r="GVJ34" s="292"/>
      <c r="GVK34" s="292"/>
      <c r="GVL34" s="292"/>
      <c r="GVM34" s="292"/>
      <c r="GVN34" s="292"/>
      <c r="GVO34" s="292"/>
      <c r="GVP34" s="292"/>
      <c r="GVQ34" s="292"/>
      <c r="GVR34" s="292"/>
      <c r="GVS34" s="292"/>
      <c r="GVT34" s="292"/>
      <c r="GVU34" s="292"/>
      <c r="GVV34" s="292"/>
      <c r="GVW34" s="292"/>
      <c r="GVX34" s="292"/>
      <c r="GVY34" s="292"/>
      <c r="GVZ34" s="292"/>
      <c r="GWA34" s="292"/>
      <c r="GWB34" s="292"/>
      <c r="GWC34" s="292"/>
      <c r="GWD34" s="292"/>
      <c r="GWE34" s="292"/>
      <c r="GWF34" s="292"/>
      <c r="GWG34" s="292"/>
      <c r="GWH34" s="292"/>
      <c r="GWI34" s="292"/>
      <c r="GWJ34" s="292"/>
      <c r="GWK34" s="292"/>
      <c r="GWL34" s="292"/>
      <c r="GWM34" s="292"/>
      <c r="GWN34" s="292"/>
      <c r="GWO34" s="292"/>
      <c r="GWP34" s="292"/>
      <c r="GWQ34" s="292"/>
      <c r="GWR34" s="292"/>
      <c r="GWS34" s="292"/>
      <c r="GWT34" s="292"/>
      <c r="GWU34" s="292"/>
      <c r="GWV34" s="292"/>
      <c r="GWW34" s="292"/>
      <c r="GWX34" s="292"/>
      <c r="GWY34" s="292"/>
      <c r="GWZ34" s="292"/>
      <c r="GXA34" s="292"/>
      <c r="GXB34" s="292"/>
      <c r="GXC34" s="292"/>
      <c r="GXD34" s="292"/>
      <c r="GXE34" s="292"/>
      <c r="GXF34" s="292"/>
      <c r="GXG34" s="292"/>
      <c r="GXH34" s="292"/>
      <c r="GXI34" s="292"/>
      <c r="GXJ34" s="292"/>
      <c r="GXK34" s="292"/>
      <c r="GXL34" s="292"/>
      <c r="GXM34" s="292"/>
      <c r="GXN34" s="292"/>
      <c r="GXO34" s="292"/>
      <c r="GXP34" s="292"/>
      <c r="GXQ34" s="292"/>
      <c r="GXR34" s="292"/>
      <c r="GXS34" s="292"/>
      <c r="GXT34" s="292"/>
      <c r="GXU34" s="292"/>
      <c r="GXV34" s="292"/>
      <c r="GXW34" s="292"/>
      <c r="GXX34" s="292"/>
      <c r="GXY34" s="292"/>
      <c r="GXZ34" s="292"/>
      <c r="GYA34" s="292"/>
      <c r="GYB34" s="292"/>
      <c r="GYC34" s="292"/>
      <c r="GYD34" s="292"/>
      <c r="GYE34" s="292"/>
      <c r="GYF34" s="292"/>
      <c r="GYG34" s="292"/>
      <c r="GYH34" s="292"/>
      <c r="GYI34" s="292"/>
      <c r="GYJ34" s="292"/>
      <c r="GYK34" s="292"/>
      <c r="GYL34" s="292"/>
      <c r="GYM34" s="292"/>
      <c r="GYN34" s="292"/>
      <c r="GYO34" s="292"/>
      <c r="GYP34" s="292"/>
      <c r="GYQ34" s="292"/>
      <c r="GYR34" s="292"/>
      <c r="GYS34" s="292"/>
      <c r="GYT34" s="292"/>
      <c r="GYU34" s="292"/>
      <c r="GYV34" s="292"/>
      <c r="GYW34" s="292"/>
      <c r="GYX34" s="292"/>
      <c r="GYY34" s="292"/>
      <c r="GYZ34" s="292"/>
      <c r="GZA34" s="292"/>
      <c r="GZB34" s="292"/>
      <c r="GZC34" s="292"/>
      <c r="GZD34" s="292"/>
      <c r="GZE34" s="292"/>
      <c r="GZF34" s="292"/>
      <c r="GZG34" s="292"/>
      <c r="GZH34" s="292"/>
      <c r="GZI34" s="292"/>
      <c r="GZJ34" s="292"/>
      <c r="GZK34" s="292"/>
      <c r="GZL34" s="292"/>
      <c r="GZM34" s="292"/>
      <c r="GZN34" s="292"/>
      <c r="GZO34" s="292"/>
      <c r="GZP34" s="292"/>
      <c r="GZQ34" s="292"/>
      <c r="GZR34" s="292"/>
      <c r="GZS34" s="292"/>
      <c r="GZT34" s="292"/>
      <c r="GZU34" s="292"/>
      <c r="GZV34" s="292"/>
      <c r="GZW34" s="292"/>
      <c r="GZX34" s="292"/>
      <c r="GZY34" s="292"/>
      <c r="GZZ34" s="292"/>
      <c r="HAA34" s="292"/>
      <c r="HAB34" s="292"/>
      <c r="HAC34" s="292"/>
      <c r="HAD34" s="292"/>
      <c r="HAE34" s="292"/>
      <c r="HAF34" s="292"/>
      <c r="HAG34" s="292"/>
      <c r="HAH34" s="292"/>
      <c r="HAI34" s="292"/>
      <c r="HAJ34" s="292"/>
      <c r="HAK34" s="292"/>
      <c r="HAL34" s="292"/>
      <c r="HAM34" s="292"/>
      <c r="HAN34" s="292"/>
      <c r="HAO34" s="292"/>
      <c r="HAP34" s="292"/>
      <c r="HAQ34" s="292"/>
      <c r="HAR34" s="292"/>
      <c r="HAS34" s="292"/>
      <c r="HAT34" s="292"/>
      <c r="HAU34" s="292"/>
      <c r="HAV34" s="292"/>
      <c r="HAW34" s="292"/>
      <c r="HAX34" s="292"/>
      <c r="HAY34" s="292"/>
      <c r="HAZ34" s="292"/>
      <c r="HBA34" s="292"/>
      <c r="HBB34" s="292"/>
      <c r="HBC34" s="292"/>
      <c r="HBD34" s="292"/>
      <c r="HBE34" s="292"/>
      <c r="HBF34" s="292"/>
      <c r="HBG34" s="292"/>
      <c r="HBH34" s="292"/>
      <c r="HBI34" s="292"/>
      <c r="HBJ34" s="292"/>
      <c r="HBK34" s="292"/>
      <c r="HBL34" s="292"/>
      <c r="HBM34" s="292"/>
      <c r="HBN34" s="292"/>
      <c r="HBO34" s="292"/>
      <c r="HBP34" s="292"/>
      <c r="HBQ34" s="292"/>
      <c r="HBR34" s="292"/>
      <c r="HBS34" s="292"/>
      <c r="HBT34" s="292"/>
      <c r="HBU34" s="292"/>
      <c r="HBV34" s="292"/>
      <c r="HBW34" s="292"/>
      <c r="HBX34" s="292"/>
      <c r="HBY34" s="292"/>
      <c r="HBZ34" s="292"/>
      <c r="HCA34" s="292"/>
      <c r="HCB34" s="292"/>
      <c r="HCC34" s="292"/>
      <c r="HCD34" s="292"/>
      <c r="HCE34" s="292"/>
      <c r="HCF34" s="292"/>
      <c r="HCG34" s="292"/>
      <c r="HCH34" s="292"/>
      <c r="HCI34" s="292"/>
      <c r="HCJ34" s="292"/>
      <c r="HCK34" s="292"/>
      <c r="HCL34" s="292"/>
      <c r="HCM34" s="292"/>
      <c r="HCN34" s="292"/>
      <c r="HCO34" s="292"/>
      <c r="HCP34" s="292"/>
      <c r="HCQ34" s="292"/>
      <c r="HCR34" s="292"/>
      <c r="HCS34" s="292"/>
      <c r="HCT34" s="292"/>
      <c r="HCU34" s="292"/>
      <c r="HCV34" s="292"/>
      <c r="HCW34" s="292"/>
      <c r="HCX34" s="292"/>
      <c r="HCY34" s="292"/>
      <c r="HCZ34" s="292"/>
      <c r="HDA34" s="292"/>
      <c r="HDB34" s="292"/>
      <c r="HDC34" s="292"/>
      <c r="HDD34" s="292"/>
      <c r="HDE34" s="292"/>
      <c r="HDF34" s="292"/>
      <c r="HDG34" s="292"/>
      <c r="HDH34" s="292"/>
      <c r="HDI34" s="292"/>
      <c r="HDJ34" s="292"/>
      <c r="HDK34" s="292"/>
      <c r="HDL34" s="292"/>
      <c r="HDM34" s="292"/>
      <c r="HDN34" s="292"/>
      <c r="HDO34" s="292"/>
      <c r="HDP34" s="292"/>
      <c r="HDQ34" s="292"/>
      <c r="HDR34" s="292"/>
      <c r="HDS34" s="292"/>
      <c r="HDT34" s="292"/>
      <c r="HDU34" s="292"/>
      <c r="HDV34" s="292"/>
      <c r="HDW34" s="292"/>
      <c r="HDX34" s="292"/>
      <c r="HDY34" s="292"/>
      <c r="HDZ34" s="292"/>
      <c r="HEA34" s="292"/>
      <c r="HEB34" s="292"/>
      <c r="HEC34" s="292"/>
      <c r="HED34" s="292"/>
      <c r="HEE34" s="292"/>
      <c r="HEF34" s="292"/>
      <c r="HEG34" s="292"/>
      <c r="HEH34" s="292"/>
      <c r="HEI34" s="292"/>
      <c r="HEJ34" s="292"/>
      <c r="HEK34" s="292"/>
      <c r="HEL34" s="292"/>
      <c r="HEM34" s="292"/>
      <c r="HEN34" s="292"/>
      <c r="HEO34" s="292"/>
      <c r="HEP34" s="292"/>
      <c r="HEQ34" s="292"/>
      <c r="HER34" s="292"/>
      <c r="HES34" s="292"/>
      <c r="HET34" s="292"/>
      <c r="HEU34" s="292"/>
      <c r="HEV34" s="292"/>
      <c r="HEW34" s="292"/>
      <c r="HEX34" s="292"/>
      <c r="HEY34" s="292"/>
      <c r="HEZ34" s="292"/>
      <c r="HFA34" s="292"/>
      <c r="HFB34" s="292"/>
      <c r="HFC34" s="292"/>
      <c r="HFD34" s="292"/>
      <c r="HFE34" s="292"/>
      <c r="HFF34" s="292"/>
      <c r="HFG34" s="292"/>
      <c r="HFH34" s="292"/>
      <c r="HFI34" s="292"/>
      <c r="HFJ34" s="292"/>
      <c r="HFK34" s="292"/>
      <c r="HFL34" s="292"/>
      <c r="HFM34" s="292"/>
      <c r="HFN34" s="292"/>
      <c r="HFO34" s="292"/>
      <c r="HFP34" s="292"/>
      <c r="HFQ34" s="292"/>
      <c r="HFR34" s="292"/>
      <c r="HFS34" s="292"/>
      <c r="HFT34" s="292"/>
      <c r="HFU34" s="292"/>
      <c r="HFV34" s="292"/>
      <c r="HFW34" s="292"/>
      <c r="HFX34" s="292"/>
      <c r="HFY34" s="292"/>
      <c r="HFZ34" s="292"/>
      <c r="HGA34" s="292"/>
      <c r="HGB34" s="292"/>
      <c r="HGC34" s="292"/>
      <c r="HGD34" s="292"/>
      <c r="HGE34" s="292"/>
      <c r="HGF34" s="292"/>
      <c r="HGG34" s="292"/>
      <c r="HGH34" s="292"/>
      <c r="HGI34" s="292"/>
      <c r="HGJ34" s="292"/>
      <c r="HGK34" s="292"/>
      <c r="HGL34" s="292"/>
      <c r="HGM34" s="292"/>
      <c r="HGN34" s="292"/>
      <c r="HGO34" s="292"/>
      <c r="HGP34" s="292"/>
      <c r="HGQ34" s="292"/>
      <c r="HGR34" s="292"/>
      <c r="HGS34" s="292"/>
      <c r="HGT34" s="292"/>
      <c r="HGU34" s="292"/>
      <c r="HGV34" s="292"/>
      <c r="HGW34" s="292"/>
      <c r="HGX34" s="292"/>
      <c r="HGY34" s="292"/>
      <c r="HGZ34" s="292"/>
      <c r="HHA34" s="292"/>
      <c r="HHB34" s="292"/>
      <c r="HHC34" s="292"/>
      <c r="HHD34" s="292"/>
      <c r="HHE34" s="292"/>
      <c r="HHF34" s="292"/>
      <c r="HHG34" s="292"/>
      <c r="HHH34" s="292"/>
      <c r="HHI34" s="292"/>
      <c r="HHJ34" s="292"/>
      <c r="HHK34" s="292"/>
      <c r="HHL34" s="292"/>
      <c r="HHM34" s="292"/>
      <c r="HHN34" s="292"/>
      <c r="HHO34" s="292"/>
      <c r="HHP34" s="292"/>
      <c r="HHQ34" s="292"/>
      <c r="HHR34" s="292"/>
      <c r="HHS34" s="292"/>
      <c r="HHT34" s="292"/>
      <c r="HHU34" s="292"/>
      <c r="HHV34" s="292"/>
      <c r="HHW34" s="292"/>
      <c r="HHX34" s="292"/>
      <c r="HHY34" s="292"/>
      <c r="HHZ34" s="292"/>
      <c r="HIA34" s="292"/>
      <c r="HIB34" s="292"/>
      <c r="HIC34" s="292"/>
      <c r="HID34" s="292"/>
      <c r="HIE34" s="292"/>
      <c r="HIF34" s="292"/>
      <c r="HIG34" s="292"/>
      <c r="HIH34" s="292"/>
      <c r="HII34" s="292"/>
      <c r="HIJ34" s="292"/>
      <c r="HIK34" s="292"/>
      <c r="HIL34" s="292"/>
      <c r="HIM34" s="292"/>
      <c r="HIN34" s="292"/>
      <c r="HIO34" s="292"/>
      <c r="HIP34" s="292"/>
      <c r="HIQ34" s="292"/>
      <c r="HIR34" s="292"/>
      <c r="HIS34" s="292"/>
      <c r="HIT34" s="292"/>
      <c r="HIU34" s="292"/>
      <c r="HIV34" s="292"/>
      <c r="HIW34" s="292"/>
      <c r="HIX34" s="292"/>
      <c r="HIY34" s="292"/>
      <c r="HIZ34" s="292"/>
      <c r="HJA34" s="292"/>
      <c r="HJB34" s="292"/>
      <c r="HJC34" s="292"/>
      <c r="HJD34" s="292"/>
      <c r="HJE34" s="292"/>
      <c r="HJF34" s="292"/>
      <c r="HJG34" s="292"/>
      <c r="HJH34" s="292"/>
      <c r="HJI34" s="292"/>
      <c r="HJJ34" s="292"/>
      <c r="HJK34" s="292"/>
      <c r="HJL34" s="292"/>
      <c r="HJM34" s="292"/>
      <c r="HJN34" s="292"/>
      <c r="HJO34" s="292"/>
      <c r="HJP34" s="292"/>
      <c r="HJQ34" s="292"/>
      <c r="HJR34" s="292"/>
      <c r="HJS34" s="292"/>
      <c r="HJT34" s="292"/>
      <c r="HJU34" s="292"/>
      <c r="HJV34" s="292"/>
      <c r="HJW34" s="292"/>
      <c r="HJX34" s="292"/>
      <c r="HJY34" s="292"/>
      <c r="HJZ34" s="292"/>
      <c r="HKA34" s="292"/>
      <c r="HKB34" s="292"/>
      <c r="HKC34" s="292"/>
      <c r="HKD34" s="292"/>
      <c r="HKE34" s="292"/>
      <c r="HKF34" s="292"/>
      <c r="HKG34" s="292"/>
      <c r="HKH34" s="292"/>
      <c r="HKI34" s="292"/>
      <c r="HKJ34" s="292"/>
      <c r="HKK34" s="292"/>
      <c r="HKL34" s="292"/>
      <c r="HKM34" s="292"/>
      <c r="HKN34" s="292"/>
      <c r="HKO34" s="292"/>
      <c r="HKP34" s="292"/>
      <c r="HKQ34" s="292"/>
      <c r="HKR34" s="292"/>
      <c r="HKS34" s="292"/>
      <c r="HKT34" s="292"/>
      <c r="HKU34" s="292"/>
      <c r="HKV34" s="292"/>
      <c r="HKW34" s="292"/>
      <c r="HKX34" s="292"/>
      <c r="HKY34" s="292"/>
      <c r="HKZ34" s="292"/>
      <c r="HLA34" s="292"/>
      <c r="HLB34" s="292"/>
      <c r="HLC34" s="292"/>
      <c r="HLD34" s="292"/>
      <c r="HLE34" s="292"/>
      <c r="HLF34" s="292"/>
      <c r="HLG34" s="292"/>
      <c r="HLH34" s="292"/>
      <c r="HLI34" s="292"/>
      <c r="HLJ34" s="292"/>
      <c r="HLK34" s="292"/>
      <c r="HLL34" s="292"/>
      <c r="HLM34" s="292"/>
      <c r="HLN34" s="292"/>
      <c r="HLO34" s="292"/>
      <c r="HLP34" s="292"/>
      <c r="HLQ34" s="292"/>
      <c r="HLR34" s="292"/>
      <c r="HLS34" s="292"/>
      <c r="HLT34" s="292"/>
      <c r="HLU34" s="292"/>
      <c r="HLV34" s="292"/>
      <c r="HLW34" s="292"/>
      <c r="HLX34" s="292"/>
      <c r="HLY34" s="292"/>
      <c r="HLZ34" s="292"/>
      <c r="HMA34" s="292"/>
      <c r="HMB34" s="292"/>
      <c r="HMC34" s="292"/>
      <c r="HMD34" s="292"/>
      <c r="HME34" s="292"/>
      <c r="HMF34" s="292"/>
      <c r="HMG34" s="292"/>
      <c r="HMH34" s="292"/>
      <c r="HMI34" s="292"/>
      <c r="HMJ34" s="292"/>
      <c r="HMK34" s="292"/>
      <c r="HML34" s="292"/>
      <c r="HMM34" s="292"/>
      <c r="HMN34" s="292"/>
      <c r="HMO34" s="292"/>
      <c r="HMP34" s="292"/>
      <c r="HMQ34" s="292"/>
      <c r="HMR34" s="292"/>
      <c r="HMS34" s="292"/>
      <c r="HMT34" s="292"/>
      <c r="HMU34" s="292"/>
      <c r="HMV34" s="292"/>
      <c r="HMW34" s="292"/>
      <c r="HMX34" s="292"/>
      <c r="HMY34" s="292"/>
      <c r="HMZ34" s="292"/>
      <c r="HNA34" s="292"/>
      <c r="HNB34" s="292"/>
      <c r="HNC34" s="292"/>
      <c r="HND34" s="292"/>
      <c r="HNE34" s="292"/>
      <c r="HNF34" s="292"/>
      <c r="HNG34" s="292"/>
      <c r="HNH34" s="292"/>
      <c r="HNI34" s="292"/>
      <c r="HNJ34" s="292"/>
      <c r="HNK34" s="292"/>
      <c r="HNL34" s="292"/>
      <c r="HNM34" s="292"/>
      <c r="HNN34" s="292"/>
      <c r="HNO34" s="292"/>
      <c r="HNP34" s="292"/>
      <c r="HNQ34" s="292"/>
      <c r="HNR34" s="292"/>
      <c r="HNS34" s="292"/>
      <c r="HNT34" s="292"/>
      <c r="HNU34" s="292"/>
      <c r="HNV34" s="292"/>
      <c r="HNW34" s="292"/>
      <c r="HNX34" s="292"/>
      <c r="HNY34" s="292"/>
      <c r="HNZ34" s="292"/>
      <c r="HOA34" s="292"/>
      <c r="HOB34" s="292"/>
      <c r="HOC34" s="292"/>
      <c r="HOD34" s="292"/>
      <c r="HOE34" s="292"/>
      <c r="HOF34" s="292"/>
      <c r="HOG34" s="292"/>
      <c r="HOH34" s="292"/>
      <c r="HOI34" s="292"/>
      <c r="HOJ34" s="292"/>
      <c r="HOK34" s="292"/>
      <c r="HOL34" s="292"/>
      <c r="HOM34" s="292"/>
      <c r="HON34" s="292"/>
      <c r="HOO34" s="292"/>
      <c r="HOP34" s="292"/>
      <c r="HOQ34" s="292"/>
      <c r="HOR34" s="292"/>
      <c r="HOS34" s="292"/>
      <c r="HOT34" s="292"/>
      <c r="HOU34" s="292"/>
      <c r="HOV34" s="292"/>
      <c r="HOW34" s="292"/>
      <c r="HOX34" s="292"/>
      <c r="HOY34" s="292"/>
      <c r="HOZ34" s="292"/>
      <c r="HPA34" s="292"/>
      <c r="HPB34" s="292"/>
      <c r="HPC34" s="292"/>
      <c r="HPD34" s="292"/>
      <c r="HPE34" s="292"/>
      <c r="HPF34" s="292"/>
      <c r="HPG34" s="292"/>
      <c r="HPH34" s="292"/>
      <c r="HPI34" s="292"/>
      <c r="HPJ34" s="292"/>
      <c r="HPK34" s="292"/>
      <c r="HPL34" s="292"/>
      <c r="HPM34" s="292"/>
      <c r="HPN34" s="292"/>
      <c r="HPO34" s="292"/>
      <c r="HPP34" s="292"/>
      <c r="HPQ34" s="292"/>
      <c r="HPR34" s="292"/>
      <c r="HPS34" s="292"/>
      <c r="HPT34" s="292"/>
      <c r="HPU34" s="292"/>
      <c r="HPV34" s="292"/>
      <c r="HPW34" s="292"/>
      <c r="HPX34" s="292"/>
      <c r="HPY34" s="292"/>
      <c r="HPZ34" s="292"/>
      <c r="HQA34" s="292"/>
      <c r="HQB34" s="292"/>
      <c r="HQC34" s="292"/>
      <c r="HQD34" s="292"/>
      <c r="HQE34" s="292"/>
      <c r="HQF34" s="292"/>
      <c r="HQG34" s="292"/>
      <c r="HQH34" s="292"/>
      <c r="HQI34" s="292"/>
      <c r="HQJ34" s="292"/>
      <c r="HQK34" s="292"/>
      <c r="HQL34" s="292"/>
      <c r="HQM34" s="292"/>
      <c r="HQN34" s="292"/>
      <c r="HQO34" s="292"/>
      <c r="HQP34" s="292"/>
      <c r="HQQ34" s="292"/>
      <c r="HQR34" s="292"/>
      <c r="HQS34" s="292"/>
      <c r="HQT34" s="292"/>
      <c r="HQU34" s="292"/>
      <c r="HQV34" s="292"/>
      <c r="HQW34" s="292"/>
      <c r="HQX34" s="292"/>
      <c r="HQY34" s="292"/>
      <c r="HQZ34" s="292"/>
      <c r="HRA34" s="292"/>
      <c r="HRB34" s="292"/>
      <c r="HRC34" s="292"/>
      <c r="HRD34" s="292"/>
      <c r="HRE34" s="292"/>
      <c r="HRF34" s="292"/>
      <c r="HRG34" s="292"/>
      <c r="HRH34" s="292"/>
      <c r="HRI34" s="292"/>
      <c r="HRJ34" s="292"/>
      <c r="HRK34" s="292"/>
      <c r="HRL34" s="292"/>
      <c r="HRM34" s="292"/>
      <c r="HRN34" s="292"/>
      <c r="HRO34" s="292"/>
      <c r="HRP34" s="292"/>
      <c r="HRQ34" s="292"/>
      <c r="HRR34" s="292"/>
      <c r="HRS34" s="292"/>
      <c r="HRT34" s="292"/>
      <c r="HRU34" s="292"/>
      <c r="HRV34" s="292"/>
      <c r="HRW34" s="292"/>
      <c r="HRX34" s="292"/>
      <c r="HRY34" s="292"/>
      <c r="HRZ34" s="292"/>
      <c r="HSA34" s="292"/>
      <c r="HSB34" s="292"/>
      <c r="HSC34" s="292"/>
      <c r="HSD34" s="292"/>
      <c r="HSE34" s="292"/>
      <c r="HSF34" s="292"/>
      <c r="HSG34" s="292"/>
      <c r="HSH34" s="292"/>
      <c r="HSI34" s="292"/>
      <c r="HSJ34" s="292"/>
      <c r="HSK34" s="292"/>
      <c r="HSL34" s="292"/>
      <c r="HSM34" s="292"/>
      <c r="HSN34" s="292"/>
      <c r="HSO34" s="292"/>
      <c r="HSP34" s="292"/>
      <c r="HSQ34" s="292"/>
      <c r="HSR34" s="292"/>
      <c r="HSS34" s="292"/>
      <c r="HST34" s="292"/>
      <c r="HSU34" s="292"/>
      <c r="HSV34" s="292"/>
      <c r="HSW34" s="292"/>
      <c r="HSX34" s="292"/>
      <c r="HSY34" s="292"/>
      <c r="HSZ34" s="292"/>
      <c r="HTA34" s="292"/>
      <c r="HTB34" s="292"/>
      <c r="HTC34" s="292"/>
      <c r="HTD34" s="292"/>
      <c r="HTE34" s="292"/>
      <c r="HTF34" s="292"/>
      <c r="HTG34" s="292"/>
      <c r="HTH34" s="292"/>
      <c r="HTI34" s="292"/>
      <c r="HTJ34" s="292"/>
      <c r="HTK34" s="292"/>
      <c r="HTL34" s="292"/>
      <c r="HTM34" s="292"/>
      <c r="HTN34" s="292"/>
      <c r="HTO34" s="292"/>
      <c r="HTP34" s="292"/>
      <c r="HTQ34" s="292"/>
      <c r="HTR34" s="292"/>
      <c r="HTS34" s="292"/>
      <c r="HTT34" s="292"/>
      <c r="HTU34" s="292"/>
      <c r="HTV34" s="292"/>
      <c r="HTW34" s="292"/>
      <c r="HTX34" s="292"/>
      <c r="HTY34" s="292"/>
      <c r="HTZ34" s="292"/>
      <c r="HUA34" s="292"/>
      <c r="HUB34" s="292"/>
      <c r="HUC34" s="292"/>
      <c r="HUD34" s="292"/>
      <c r="HUE34" s="292"/>
      <c r="HUF34" s="292"/>
      <c r="HUG34" s="292"/>
      <c r="HUH34" s="292"/>
      <c r="HUI34" s="292"/>
      <c r="HUJ34" s="292"/>
      <c r="HUK34" s="292"/>
      <c r="HUL34" s="292"/>
      <c r="HUM34" s="292"/>
      <c r="HUN34" s="292"/>
      <c r="HUO34" s="292"/>
      <c r="HUP34" s="292"/>
      <c r="HUQ34" s="292"/>
      <c r="HUR34" s="292"/>
      <c r="HUS34" s="292"/>
      <c r="HUT34" s="292"/>
      <c r="HUU34" s="292"/>
      <c r="HUV34" s="292"/>
      <c r="HUW34" s="292"/>
      <c r="HUX34" s="292"/>
      <c r="HUY34" s="292"/>
      <c r="HUZ34" s="292"/>
      <c r="HVA34" s="292"/>
      <c r="HVB34" s="292"/>
      <c r="HVC34" s="292"/>
      <c r="HVD34" s="292"/>
      <c r="HVE34" s="292"/>
      <c r="HVF34" s="292"/>
      <c r="HVG34" s="292"/>
      <c r="HVH34" s="292"/>
      <c r="HVI34" s="292"/>
      <c r="HVJ34" s="292"/>
      <c r="HVK34" s="292"/>
      <c r="HVL34" s="292"/>
      <c r="HVM34" s="292"/>
      <c r="HVN34" s="292"/>
      <c r="HVO34" s="292"/>
      <c r="HVP34" s="292"/>
      <c r="HVQ34" s="292"/>
      <c r="HVR34" s="292"/>
      <c r="HVS34" s="292"/>
      <c r="HVT34" s="292"/>
      <c r="HVU34" s="292"/>
      <c r="HVV34" s="292"/>
      <c r="HVW34" s="292"/>
      <c r="HVX34" s="292"/>
      <c r="HVY34" s="292"/>
      <c r="HVZ34" s="292"/>
      <c r="HWA34" s="292"/>
      <c r="HWB34" s="292"/>
      <c r="HWC34" s="292"/>
      <c r="HWD34" s="292"/>
      <c r="HWE34" s="292"/>
      <c r="HWF34" s="292"/>
      <c r="HWG34" s="292"/>
      <c r="HWH34" s="292"/>
      <c r="HWI34" s="292"/>
      <c r="HWJ34" s="292"/>
      <c r="HWK34" s="292"/>
      <c r="HWL34" s="292"/>
      <c r="HWM34" s="292"/>
      <c r="HWN34" s="292"/>
      <c r="HWO34" s="292"/>
      <c r="HWP34" s="292"/>
      <c r="HWQ34" s="292"/>
      <c r="HWR34" s="292"/>
      <c r="HWS34" s="292"/>
      <c r="HWT34" s="292"/>
      <c r="HWU34" s="292"/>
      <c r="HWV34" s="292"/>
      <c r="HWW34" s="292"/>
      <c r="HWX34" s="292"/>
      <c r="HWY34" s="292"/>
      <c r="HWZ34" s="292"/>
      <c r="HXA34" s="292"/>
      <c r="HXB34" s="292"/>
      <c r="HXC34" s="292"/>
      <c r="HXD34" s="292"/>
      <c r="HXE34" s="292"/>
      <c r="HXF34" s="292"/>
      <c r="HXG34" s="292"/>
      <c r="HXH34" s="292"/>
      <c r="HXI34" s="292"/>
      <c r="HXJ34" s="292"/>
      <c r="HXK34" s="292"/>
      <c r="HXL34" s="292"/>
      <c r="HXM34" s="292"/>
      <c r="HXN34" s="292"/>
      <c r="HXO34" s="292"/>
      <c r="HXP34" s="292"/>
      <c r="HXQ34" s="292"/>
      <c r="HXR34" s="292"/>
      <c r="HXS34" s="292"/>
      <c r="HXT34" s="292"/>
      <c r="HXU34" s="292"/>
      <c r="HXV34" s="292"/>
      <c r="HXW34" s="292"/>
      <c r="HXX34" s="292"/>
      <c r="HXY34" s="292"/>
      <c r="HXZ34" s="292"/>
      <c r="HYA34" s="292"/>
      <c r="HYB34" s="292"/>
      <c r="HYC34" s="292"/>
      <c r="HYD34" s="292"/>
      <c r="HYE34" s="292"/>
      <c r="HYF34" s="292"/>
      <c r="HYG34" s="292"/>
      <c r="HYH34" s="292"/>
      <c r="HYI34" s="292"/>
      <c r="HYJ34" s="292"/>
      <c r="HYK34" s="292"/>
      <c r="HYL34" s="292"/>
      <c r="HYM34" s="292"/>
      <c r="HYN34" s="292"/>
      <c r="HYO34" s="292"/>
      <c r="HYP34" s="292"/>
      <c r="HYQ34" s="292"/>
      <c r="HYR34" s="292"/>
      <c r="HYS34" s="292"/>
      <c r="HYT34" s="292"/>
      <c r="HYU34" s="292"/>
      <c r="HYV34" s="292"/>
      <c r="HYW34" s="292"/>
      <c r="HYX34" s="292"/>
      <c r="HYY34" s="292"/>
      <c r="HYZ34" s="292"/>
      <c r="HZA34" s="292"/>
      <c r="HZB34" s="292"/>
      <c r="HZC34" s="292"/>
      <c r="HZD34" s="292"/>
      <c r="HZE34" s="292"/>
      <c r="HZF34" s="292"/>
      <c r="HZG34" s="292"/>
      <c r="HZH34" s="292"/>
      <c r="HZI34" s="292"/>
      <c r="HZJ34" s="292"/>
      <c r="HZK34" s="292"/>
      <c r="HZL34" s="292"/>
      <c r="HZM34" s="292"/>
      <c r="HZN34" s="292"/>
      <c r="HZO34" s="292"/>
      <c r="HZP34" s="292"/>
      <c r="HZQ34" s="292"/>
      <c r="HZR34" s="292"/>
      <c r="HZS34" s="292"/>
      <c r="HZT34" s="292"/>
      <c r="HZU34" s="292"/>
      <c r="HZV34" s="292"/>
      <c r="HZW34" s="292"/>
      <c r="HZX34" s="292"/>
      <c r="HZY34" s="292"/>
      <c r="HZZ34" s="292"/>
      <c r="IAA34" s="292"/>
      <c r="IAB34" s="292"/>
      <c r="IAC34" s="292"/>
      <c r="IAD34" s="292"/>
      <c r="IAE34" s="292"/>
      <c r="IAF34" s="292"/>
      <c r="IAG34" s="292"/>
      <c r="IAH34" s="292"/>
      <c r="IAI34" s="292"/>
      <c r="IAJ34" s="292"/>
      <c r="IAK34" s="292"/>
      <c r="IAL34" s="292"/>
      <c r="IAM34" s="292"/>
      <c r="IAN34" s="292"/>
      <c r="IAO34" s="292"/>
      <c r="IAP34" s="292"/>
      <c r="IAQ34" s="292"/>
      <c r="IAR34" s="292"/>
      <c r="IAS34" s="292"/>
      <c r="IAT34" s="292"/>
      <c r="IAU34" s="292"/>
      <c r="IAV34" s="292"/>
      <c r="IAW34" s="292"/>
      <c r="IAX34" s="292"/>
      <c r="IAY34" s="292"/>
      <c r="IAZ34" s="292"/>
      <c r="IBA34" s="292"/>
      <c r="IBB34" s="292"/>
      <c r="IBC34" s="292"/>
      <c r="IBD34" s="292"/>
      <c r="IBE34" s="292"/>
      <c r="IBF34" s="292"/>
      <c r="IBG34" s="292"/>
      <c r="IBH34" s="292"/>
      <c r="IBI34" s="292"/>
      <c r="IBJ34" s="292"/>
      <c r="IBK34" s="292"/>
      <c r="IBL34" s="292"/>
      <c r="IBM34" s="292"/>
      <c r="IBN34" s="292"/>
      <c r="IBO34" s="292"/>
      <c r="IBP34" s="292"/>
      <c r="IBQ34" s="292"/>
      <c r="IBR34" s="292"/>
      <c r="IBS34" s="292"/>
      <c r="IBT34" s="292"/>
      <c r="IBU34" s="292"/>
      <c r="IBV34" s="292"/>
      <c r="IBW34" s="292"/>
      <c r="IBX34" s="292"/>
      <c r="IBY34" s="292"/>
      <c r="IBZ34" s="292"/>
      <c r="ICA34" s="292"/>
      <c r="ICB34" s="292"/>
      <c r="ICC34" s="292"/>
      <c r="ICD34" s="292"/>
      <c r="ICE34" s="292"/>
      <c r="ICF34" s="292"/>
      <c r="ICG34" s="292"/>
      <c r="ICH34" s="292"/>
      <c r="ICI34" s="292"/>
      <c r="ICJ34" s="292"/>
      <c r="ICK34" s="292"/>
      <c r="ICL34" s="292"/>
      <c r="ICM34" s="292"/>
      <c r="ICN34" s="292"/>
      <c r="ICO34" s="292"/>
      <c r="ICP34" s="292"/>
      <c r="ICQ34" s="292"/>
      <c r="ICR34" s="292"/>
      <c r="ICS34" s="292"/>
      <c r="ICT34" s="292"/>
      <c r="ICU34" s="292"/>
      <c r="ICV34" s="292"/>
      <c r="ICW34" s="292"/>
      <c r="ICX34" s="292"/>
      <c r="ICY34" s="292"/>
      <c r="ICZ34" s="292"/>
      <c r="IDA34" s="292"/>
      <c r="IDB34" s="292"/>
      <c r="IDC34" s="292"/>
      <c r="IDD34" s="292"/>
      <c r="IDE34" s="292"/>
      <c r="IDF34" s="292"/>
      <c r="IDG34" s="292"/>
      <c r="IDH34" s="292"/>
      <c r="IDI34" s="292"/>
      <c r="IDJ34" s="292"/>
      <c r="IDK34" s="292"/>
      <c r="IDL34" s="292"/>
      <c r="IDM34" s="292"/>
      <c r="IDN34" s="292"/>
      <c r="IDO34" s="292"/>
      <c r="IDP34" s="292"/>
      <c r="IDQ34" s="292"/>
      <c r="IDR34" s="292"/>
      <c r="IDS34" s="292"/>
      <c r="IDT34" s="292"/>
      <c r="IDU34" s="292"/>
      <c r="IDV34" s="292"/>
      <c r="IDW34" s="292"/>
      <c r="IDX34" s="292"/>
      <c r="IDY34" s="292"/>
      <c r="IDZ34" s="292"/>
      <c r="IEA34" s="292"/>
      <c r="IEB34" s="292"/>
      <c r="IEC34" s="292"/>
      <c r="IED34" s="292"/>
      <c r="IEE34" s="292"/>
      <c r="IEF34" s="292"/>
      <c r="IEG34" s="292"/>
      <c r="IEH34" s="292"/>
      <c r="IEI34" s="292"/>
      <c r="IEJ34" s="292"/>
      <c r="IEK34" s="292"/>
      <c r="IEL34" s="292"/>
      <c r="IEM34" s="292"/>
      <c r="IEN34" s="292"/>
      <c r="IEO34" s="292"/>
      <c r="IEP34" s="292"/>
      <c r="IEQ34" s="292"/>
      <c r="IER34" s="292"/>
      <c r="IES34" s="292"/>
      <c r="IET34" s="292"/>
      <c r="IEU34" s="292"/>
      <c r="IEV34" s="292"/>
      <c r="IEW34" s="292"/>
      <c r="IEX34" s="292"/>
      <c r="IEY34" s="292"/>
      <c r="IEZ34" s="292"/>
      <c r="IFA34" s="292"/>
      <c r="IFB34" s="292"/>
      <c r="IFC34" s="292"/>
      <c r="IFD34" s="292"/>
      <c r="IFE34" s="292"/>
      <c r="IFF34" s="292"/>
      <c r="IFG34" s="292"/>
      <c r="IFH34" s="292"/>
      <c r="IFI34" s="292"/>
      <c r="IFJ34" s="292"/>
      <c r="IFK34" s="292"/>
      <c r="IFL34" s="292"/>
      <c r="IFM34" s="292"/>
      <c r="IFN34" s="292"/>
      <c r="IFO34" s="292"/>
      <c r="IFP34" s="292"/>
      <c r="IFQ34" s="292"/>
      <c r="IFR34" s="292"/>
      <c r="IFS34" s="292"/>
      <c r="IFT34" s="292"/>
      <c r="IFU34" s="292"/>
      <c r="IFV34" s="292"/>
      <c r="IFW34" s="292"/>
      <c r="IFX34" s="292"/>
      <c r="IFY34" s="292"/>
      <c r="IFZ34" s="292"/>
      <c r="IGA34" s="292"/>
      <c r="IGB34" s="292"/>
      <c r="IGC34" s="292"/>
      <c r="IGD34" s="292"/>
      <c r="IGE34" s="292"/>
      <c r="IGF34" s="292"/>
      <c r="IGG34" s="292"/>
      <c r="IGH34" s="292"/>
      <c r="IGI34" s="292"/>
      <c r="IGJ34" s="292"/>
      <c r="IGK34" s="292"/>
      <c r="IGL34" s="292"/>
      <c r="IGM34" s="292"/>
      <c r="IGN34" s="292"/>
      <c r="IGO34" s="292"/>
      <c r="IGP34" s="292"/>
      <c r="IGQ34" s="292"/>
      <c r="IGR34" s="292"/>
      <c r="IGS34" s="292"/>
      <c r="IGT34" s="292"/>
      <c r="IGU34" s="292"/>
      <c r="IGV34" s="292"/>
      <c r="IGW34" s="292"/>
      <c r="IGX34" s="292"/>
      <c r="IGY34" s="292"/>
      <c r="IGZ34" s="292"/>
      <c r="IHA34" s="292"/>
      <c r="IHB34" s="292"/>
      <c r="IHC34" s="292"/>
      <c r="IHD34" s="292"/>
      <c r="IHE34" s="292"/>
      <c r="IHF34" s="292"/>
      <c r="IHG34" s="292"/>
      <c r="IHH34" s="292"/>
      <c r="IHI34" s="292"/>
      <c r="IHJ34" s="292"/>
      <c r="IHK34" s="292"/>
      <c r="IHL34" s="292"/>
      <c r="IHM34" s="292"/>
      <c r="IHN34" s="292"/>
      <c r="IHO34" s="292"/>
      <c r="IHP34" s="292"/>
      <c r="IHQ34" s="292"/>
      <c r="IHR34" s="292"/>
      <c r="IHS34" s="292"/>
      <c r="IHT34" s="292"/>
      <c r="IHU34" s="292"/>
      <c r="IHV34" s="292"/>
      <c r="IHW34" s="292"/>
      <c r="IHX34" s="292"/>
      <c r="IHY34" s="292"/>
      <c r="IHZ34" s="292"/>
      <c r="IIA34" s="292"/>
      <c r="IIB34" s="292"/>
      <c r="IIC34" s="292"/>
      <c r="IID34" s="292"/>
      <c r="IIE34" s="292"/>
      <c r="IIF34" s="292"/>
      <c r="IIG34" s="292"/>
      <c r="IIH34" s="292"/>
      <c r="III34" s="292"/>
      <c r="IIJ34" s="292"/>
      <c r="IIK34" s="292"/>
      <c r="IIL34" s="292"/>
      <c r="IIM34" s="292"/>
      <c r="IIN34" s="292"/>
      <c r="IIO34" s="292"/>
      <c r="IIP34" s="292"/>
      <c r="IIQ34" s="292"/>
      <c r="IIR34" s="292"/>
      <c r="IIS34" s="292"/>
      <c r="IIT34" s="292"/>
      <c r="IIU34" s="292"/>
      <c r="IIV34" s="292"/>
      <c r="IIW34" s="292"/>
      <c r="IIX34" s="292"/>
      <c r="IIY34" s="292"/>
      <c r="IIZ34" s="292"/>
      <c r="IJA34" s="292"/>
      <c r="IJB34" s="292"/>
      <c r="IJC34" s="292"/>
      <c r="IJD34" s="292"/>
      <c r="IJE34" s="292"/>
      <c r="IJF34" s="292"/>
      <c r="IJG34" s="292"/>
      <c r="IJH34" s="292"/>
      <c r="IJI34" s="292"/>
      <c r="IJJ34" s="292"/>
      <c r="IJK34" s="292"/>
      <c r="IJL34" s="292"/>
      <c r="IJM34" s="292"/>
      <c r="IJN34" s="292"/>
      <c r="IJO34" s="292"/>
      <c r="IJP34" s="292"/>
      <c r="IJQ34" s="292"/>
      <c r="IJR34" s="292"/>
      <c r="IJS34" s="292"/>
      <c r="IJT34" s="292"/>
      <c r="IJU34" s="292"/>
      <c r="IJV34" s="292"/>
      <c r="IJW34" s="292"/>
      <c r="IJX34" s="292"/>
      <c r="IJY34" s="292"/>
      <c r="IJZ34" s="292"/>
      <c r="IKA34" s="292"/>
      <c r="IKB34" s="292"/>
      <c r="IKC34" s="292"/>
      <c r="IKD34" s="292"/>
      <c r="IKE34" s="292"/>
      <c r="IKF34" s="292"/>
      <c r="IKG34" s="292"/>
      <c r="IKH34" s="292"/>
      <c r="IKI34" s="292"/>
      <c r="IKJ34" s="292"/>
      <c r="IKK34" s="292"/>
      <c r="IKL34" s="292"/>
      <c r="IKM34" s="292"/>
      <c r="IKN34" s="292"/>
      <c r="IKO34" s="292"/>
      <c r="IKP34" s="292"/>
      <c r="IKQ34" s="292"/>
      <c r="IKR34" s="292"/>
      <c r="IKS34" s="292"/>
      <c r="IKT34" s="292"/>
      <c r="IKU34" s="292"/>
      <c r="IKV34" s="292"/>
      <c r="IKW34" s="292"/>
      <c r="IKX34" s="292"/>
      <c r="IKY34" s="292"/>
      <c r="IKZ34" s="292"/>
      <c r="ILA34" s="292"/>
      <c r="ILB34" s="292"/>
      <c r="ILC34" s="292"/>
      <c r="ILD34" s="292"/>
      <c r="ILE34" s="292"/>
      <c r="ILF34" s="292"/>
      <c r="ILG34" s="292"/>
      <c r="ILH34" s="292"/>
      <c r="ILI34" s="292"/>
      <c r="ILJ34" s="292"/>
      <c r="ILK34" s="292"/>
      <c r="ILL34" s="292"/>
      <c r="ILM34" s="292"/>
      <c r="ILN34" s="292"/>
      <c r="ILO34" s="292"/>
      <c r="ILP34" s="292"/>
      <c r="ILQ34" s="292"/>
      <c r="ILR34" s="292"/>
      <c r="ILS34" s="292"/>
      <c r="ILT34" s="292"/>
      <c r="ILU34" s="292"/>
      <c r="ILV34" s="292"/>
      <c r="ILW34" s="292"/>
      <c r="ILX34" s="292"/>
      <c r="ILY34" s="292"/>
      <c r="ILZ34" s="292"/>
      <c r="IMA34" s="292"/>
      <c r="IMB34" s="292"/>
      <c r="IMC34" s="292"/>
      <c r="IMD34" s="292"/>
      <c r="IME34" s="292"/>
      <c r="IMF34" s="292"/>
      <c r="IMG34" s="292"/>
      <c r="IMH34" s="292"/>
      <c r="IMI34" s="292"/>
      <c r="IMJ34" s="292"/>
      <c r="IMK34" s="292"/>
      <c r="IML34" s="292"/>
      <c r="IMM34" s="292"/>
      <c r="IMN34" s="292"/>
      <c r="IMO34" s="292"/>
      <c r="IMP34" s="292"/>
      <c r="IMQ34" s="292"/>
      <c r="IMR34" s="292"/>
      <c r="IMS34" s="292"/>
      <c r="IMT34" s="292"/>
      <c r="IMU34" s="292"/>
      <c r="IMV34" s="292"/>
      <c r="IMW34" s="292"/>
      <c r="IMX34" s="292"/>
      <c r="IMY34" s="292"/>
      <c r="IMZ34" s="292"/>
      <c r="INA34" s="292"/>
      <c r="INB34" s="292"/>
      <c r="INC34" s="292"/>
      <c r="IND34" s="292"/>
      <c r="INE34" s="292"/>
      <c r="INF34" s="292"/>
      <c r="ING34" s="292"/>
      <c r="INH34" s="292"/>
      <c r="INI34" s="292"/>
      <c r="INJ34" s="292"/>
      <c r="INK34" s="292"/>
      <c r="INL34" s="292"/>
      <c r="INM34" s="292"/>
      <c r="INN34" s="292"/>
      <c r="INO34" s="292"/>
      <c r="INP34" s="292"/>
      <c r="INQ34" s="292"/>
      <c r="INR34" s="292"/>
      <c r="INS34" s="292"/>
      <c r="INT34" s="292"/>
      <c r="INU34" s="292"/>
      <c r="INV34" s="292"/>
      <c r="INW34" s="292"/>
      <c r="INX34" s="292"/>
      <c r="INY34" s="292"/>
      <c r="INZ34" s="292"/>
      <c r="IOA34" s="292"/>
      <c r="IOB34" s="292"/>
      <c r="IOC34" s="292"/>
      <c r="IOD34" s="292"/>
      <c r="IOE34" s="292"/>
      <c r="IOF34" s="292"/>
      <c r="IOG34" s="292"/>
      <c r="IOH34" s="292"/>
      <c r="IOI34" s="292"/>
      <c r="IOJ34" s="292"/>
      <c r="IOK34" s="292"/>
      <c r="IOL34" s="292"/>
      <c r="IOM34" s="292"/>
      <c r="ION34" s="292"/>
      <c r="IOO34" s="292"/>
      <c r="IOP34" s="292"/>
      <c r="IOQ34" s="292"/>
      <c r="IOR34" s="292"/>
      <c r="IOS34" s="292"/>
      <c r="IOT34" s="292"/>
      <c r="IOU34" s="292"/>
      <c r="IOV34" s="292"/>
      <c r="IOW34" s="292"/>
      <c r="IOX34" s="292"/>
      <c r="IOY34" s="292"/>
      <c r="IOZ34" s="292"/>
      <c r="IPA34" s="292"/>
      <c r="IPB34" s="292"/>
      <c r="IPC34" s="292"/>
      <c r="IPD34" s="292"/>
      <c r="IPE34" s="292"/>
      <c r="IPF34" s="292"/>
      <c r="IPG34" s="292"/>
      <c r="IPH34" s="292"/>
      <c r="IPI34" s="292"/>
      <c r="IPJ34" s="292"/>
      <c r="IPK34" s="292"/>
      <c r="IPL34" s="292"/>
      <c r="IPM34" s="292"/>
      <c r="IPN34" s="292"/>
      <c r="IPO34" s="292"/>
      <c r="IPP34" s="292"/>
      <c r="IPQ34" s="292"/>
      <c r="IPR34" s="292"/>
      <c r="IPS34" s="292"/>
      <c r="IPT34" s="292"/>
      <c r="IPU34" s="292"/>
      <c r="IPV34" s="292"/>
      <c r="IPW34" s="292"/>
      <c r="IPX34" s="292"/>
      <c r="IPY34" s="292"/>
      <c r="IPZ34" s="292"/>
      <c r="IQA34" s="292"/>
      <c r="IQB34" s="292"/>
      <c r="IQC34" s="292"/>
      <c r="IQD34" s="292"/>
      <c r="IQE34" s="292"/>
      <c r="IQF34" s="292"/>
      <c r="IQG34" s="292"/>
      <c r="IQH34" s="292"/>
      <c r="IQI34" s="292"/>
      <c r="IQJ34" s="292"/>
      <c r="IQK34" s="292"/>
      <c r="IQL34" s="292"/>
      <c r="IQM34" s="292"/>
      <c r="IQN34" s="292"/>
      <c r="IQO34" s="292"/>
      <c r="IQP34" s="292"/>
      <c r="IQQ34" s="292"/>
      <c r="IQR34" s="292"/>
      <c r="IQS34" s="292"/>
      <c r="IQT34" s="292"/>
      <c r="IQU34" s="292"/>
      <c r="IQV34" s="292"/>
      <c r="IQW34" s="292"/>
      <c r="IQX34" s="292"/>
      <c r="IQY34" s="292"/>
      <c r="IQZ34" s="292"/>
      <c r="IRA34" s="292"/>
      <c r="IRB34" s="292"/>
      <c r="IRC34" s="292"/>
      <c r="IRD34" s="292"/>
      <c r="IRE34" s="292"/>
      <c r="IRF34" s="292"/>
      <c r="IRG34" s="292"/>
      <c r="IRH34" s="292"/>
      <c r="IRI34" s="292"/>
      <c r="IRJ34" s="292"/>
      <c r="IRK34" s="292"/>
      <c r="IRL34" s="292"/>
      <c r="IRM34" s="292"/>
      <c r="IRN34" s="292"/>
      <c r="IRO34" s="292"/>
      <c r="IRP34" s="292"/>
      <c r="IRQ34" s="292"/>
      <c r="IRR34" s="292"/>
      <c r="IRS34" s="292"/>
      <c r="IRT34" s="292"/>
      <c r="IRU34" s="292"/>
      <c r="IRV34" s="292"/>
      <c r="IRW34" s="292"/>
      <c r="IRX34" s="292"/>
      <c r="IRY34" s="292"/>
      <c r="IRZ34" s="292"/>
      <c r="ISA34" s="292"/>
      <c r="ISB34" s="292"/>
      <c r="ISC34" s="292"/>
      <c r="ISD34" s="292"/>
      <c r="ISE34" s="292"/>
      <c r="ISF34" s="292"/>
      <c r="ISG34" s="292"/>
      <c r="ISH34" s="292"/>
      <c r="ISI34" s="292"/>
      <c r="ISJ34" s="292"/>
      <c r="ISK34" s="292"/>
      <c r="ISL34" s="292"/>
      <c r="ISM34" s="292"/>
      <c r="ISN34" s="292"/>
      <c r="ISO34" s="292"/>
      <c r="ISP34" s="292"/>
      <c r="ISQ34" s="292"/>
      <c r="ISR34" s="292"/>
      <c r="ISS34" s="292"/>
      <c r="IST34" s="292"/>
      <c r="ISU34" s="292"/>
      <c r="ISV34" s="292"/>
      <c r="ISW34" s="292"/>
      <c r="ISX34" s="292"/>
      <c r="ISY34" s="292"/>
      <c r="ISZ34" s="292"/>
      <c r="ITA34" s="292"/>
      <c r="ITB34" s="292"/>
      <c r="ITC34" s="292"/>
      <c r="ITD34" s="292"/>
      <c r="ITE34" s="292"/>
      <c r="ITF34" s="292"/>
      <c r="ITG34" s="292"/>
      <c r="ITH34" s="292"/>
      <c r="ITI34" s="292"/>
      <c r="ITJ34" s="292"/>
      <c r="ITK34" s="292"/>
      <c r="ITL34" s="292"/>
      <c r="ITM34" s="292"/>
      <c r="ITN34" s="292"/>
      <c r="ITO34" s="292"/>
      <c r="ITP34" s="292"/>
      <c r="ITQ34" s="292"/>
      <c r="ITR34" s="292"/>
      <c r="ITS34" s="292"/>
      <c r="ITT34" s="292"/>
      <c r="ITU34" s="292"/>
      <c r="ITV34" s="292"/>
      <c r="ITW34" s="292"/>
      <c r="ITX34" s="292"/>
      <c r="ITY34" s="292"/>
      <c r="ITZ34" s="292"/>
      <c r="IUA34" s="292"/>
      <c r="IUB34" s="292"/>
      <c r="IUC34" s="292"/>
      <c r="IUD34" s="292"/>
      <c r="IUE34" s="292"/>
      <c r="IUF34" s="292"/>
      <c r="IUG34" s="292"/>
      <c r="IUH34" s="292"/>
      <c r="IUI34" s="292"/>
      <c r="IUJ34" s="292"/>
      <c r="IUK34" s="292"/>
      <c r="IUL34" s="292"/>
      <c r="IUM34" s="292"/>
      <c r="IUN34" s="292"/>
      <c r="IUO34" s="292"/>
      <c r="IUP34" s="292"/>
      <c r="IUQ34" s="292"/>
      <c r="IUR34" s="292"/>
      <c r="IUS34" s="292"/>
      <c r="IUT34" s="292"/>
      <c r="IUU34" s="292"/>
      <c r="IUV34" s="292"/>
      <c r="IUW34" s="292"/>
      <c r="IUX34" s="292"/>
      <c r="IUY34" s="292"/>
      <c r="IUZ34" s="292"/>
      <c r="IVA34" s="292"/>
      <c r="IVB34" s="292"/>
      <c r="IVC34" s="292"/>
      <c r="IVD34" s="292"/>
      <c r="IVE34" s="292"/>
      <c r="IVF34" s="292"/>
      <c r="IVG34" s="292"/>
      <c r="IVH34" s="292"/>
      <c r="IVI34" s="292"/>
      <c r="IVJ34" s="292"/>
      <c r="IVK34" s="292"/>
      <c r="IVL34" s="292"/>
      <c r="IVM34" s="292"/>
      <c r="IVN34" s="292"/>
      <c r="IVO34" s="292"/>
      <c r="IVP34" s="292"/>
      <c r="IVQ34" s="292"/>
      <c r="IVR34" s="292"/>
      <c r="IVS34" s="292"/>
      <c r="IVT34" s="292"/>
      <c r="IVU34" s="292"/>
      <c r="IVV34" s="292"/>
      <c r="IVW34" s="292"/>
      <c r="IVX34" s="292"/>
      <c r="IVY34" s="292"/>
      <c r="IVZ34" s="292"/>
      <c r="IWA34" s="292"/>
      <c r="IWB34" s="292"/>
      <c r="IWC34" s="292"/>
      <c r="IWD34" s="292"/>
      <c r="IWE34" s="292"/>
      <c r="IWF34" s="292"/>
      <c r="IWG34" s="292"/>
      <c r="IWH34" s="292"/>
      <c r="IWI34" s="292"/>
      <c r="IWJ34" s="292"/>
      <c r="IWK34" s="292"/>
      <c r="IWL34" s="292"/>
      <c r="IWM34" s="292"/>
      <c r="IWN34" s="292"/>
      <c r="IWO34" s="292"/>
      <c r="IWP34" s="292"/>
      <c r="IWQ34" s="292"/>
      <c r="IWR34" s="292"/>
      <c r="IWS34" s="292"/>
      <c r="IWT34" s="292"/>
      <c r="IWU34" s="292"/>
      <c r="IWV34" s="292"/>
      <c r="IWW34" s="292"/>
      <c r="IWX34" s="292"/>
      <c r="IWY34" s="292"/>
      <c r="IWZ34" s="292"/>
      <c r="IXA34" s="292"/>
      <c r="IXB34" s="292"/>
      <c r="IXC34" s="292"/>
      <c r="IXD34" s="292"/>
      <c r="IXE34" s="292"/>
      <c r="IXF34" s="292"/>
      <c r="IXG34" s="292"/>
      <c r="IXH34" s="292"/>
      <c r="IXI34" s="292"/>
      <c r="IXJ34" s="292"/>
      <c r="IXK34" s="292"/>
      <c r="IXL34" s="292"/>
      <c r="IXM34" s="292"/>
      <c r="IXN34" s="292"/>
      <c r="IXO34" s="292"/>
      <c r="IXP34" s="292"/>
      <c r="IXQ34" s="292"/>
      <c r="IXR34" s="292"/>
      <c r="IXS34" s="292"/>
      <c r="IXT34" s="292"/>
      <c r="IXU34" s="292"/>
      <c r="IXV34" s="292"/>
      <c r="IXW34" s="292"/>
      <c r="IXX34" s="292"/>
      <c r="IXY34" s="292"/>
      <c r="IXZ34" s="292"/>
      <c r="IYA34" s="292"/>
      <c r="IYB34" s="292"/>
      <c r="IYC34" s="292"/>
      <c r="IYD34" s="292"/>
      <c r="IYE34" s="292"/>
      <c r="IYF34" s="292"/>
      <c r="IYG34" s="292"/>
      <c r="IYH34" s="292"/>
      <c r="IYI34" s="292"/>
      <c r="IYJ34" s="292"/>
      <c r="IYK34" s="292"/>
      <c r="IYL34" s="292"/>
      <c r="IYM34" s="292"/>
      <c r="IYN34" s="292"/>
      <c r="IYO34" s="292"/>
      <c r="IYP34" s="292"/>
      <c r="IYQ34" s="292"/>
      <c r="IYR34" s="292"/>
      <c r="IYS34" s="292"/>
      <c r="IYT34" s="292"/>
      <c r="IYU34" s="292"/>
      <c r="IYV34" s="292"/>
      <c r="IYW34" s="292"/>
      <c r="IYX34" s="292"/>
      <c r="IYY34" s="292"/>
      <c r="IYZ34" s="292"/>
      <c r="IZA34" s="292"/>
      <c r="IZB34" s="292"/>
      <c r="IZC34" s="292"/>
      <c r="IZD34" s="292"/>
      <c r="IZE34" s="292"/>
      <c r="IZF34" s="292"/>
      <c r="IZG34" s="292"/>
      <c r="IZH34" s="292"/>
      <c r="IZI34" s="292"/>
      <c r="IZJ34" s="292"/>
      <c r="IZK34" s="292"/>
      <c r="IZL34" s="292"/>
      <c r="IZM34" s="292"/>
      <c r="IZN34" s="292"/>
      <c r="IZO34" s="292"/>
      <c r="IZP34" s="292"/>
      <c r="IZQ34" s="292"/>
      <c r="IZR34" s="292"/>
      <c r="IZS34" s="292"/>
      <c r="IZT34" s="292"/>
      <c r="IZU34" s="292"/>
      <c r="IZV34" s="292"/>
      <c r="IZW34" s="292"/>
      <c r="IZX34" s="292"/>
      <c r="IZY34" s="292"/>
      <c r="IZZ34" s="292"/>
      <c r="JAA34" s="292"/>
      <c r="JAB34" s="292"/>
      <c r="JAC34" s="292"/>
      <c r="JAD34" s="292"/>
      <c r="JAE34" s="292"/>
      <c r="JAF34" s="292"/>
      <c r="JAG34" s="292"/>
      <c r="JAH34" s="292"/>
      <c r="JAI34" s="292"/>
      <c r="JAJ34" s="292"/>
      <c r="JAK34" s="292"/>
      <c r="JAL34" s="292"/>
      <c r="JAM34" s="292"/>
      <c r="JAN34" s="292"/>
      <c r="JAO34" s="292"/>
      <c r="JAP34" s="292"/>
      <c r="JAQ34" s="292"/>
      <c r="JAR34" s="292"/>
      <c r="JAS34" s="292"/>
      <c r="JAT34" s="292"/>
      <c r="JAU34" s="292"/>
      <c r="JAV34" s="292"/>
      <c r="JAW34" s="292"/>
      <c r="JAX34" s="292"/>
      <c r="JAY34" s="292"/>
      <c r="JAZ34" s="292"/>
      <c r="JBA34" s="292"/>
      <c r="JBB34" s="292"/>
      <c r="JBC34" s="292"/>
      <c r="JBD34" s="292"/>
      <c r="JBE34" s="292"/>
      <c r="JBF34" s="292"/>
      <c r="JBG34" s="292"/>
      <c r="JBH34" s="292"/>
      <c r="JBI34" s="292"/>
      <c r="JBJ34" s="292"/>
      <c r="JBK34" s="292"/>
      <c r="JBL34" s="292"/>
      <c r="JBM34" s="292"/>
      <c r="JBN34" s="292"/>
      <c r="JBO34" s="292"/>
      <c r="JBP34" s="292"/>
      <c r="JBQ34" s="292"/>
      <c r="JBR34" s="292"/>
      <c r="JBS34" s="292"/>
      <c r="JBT34" s="292"/>
      <c r="JBU34" s="292"/>
      <c r="JBV34" s="292"/>
      <c r="JBW34" s="292"/>
      <c r="JBX34" s="292"/>
      <c r="JBY34" s="292"/>
      <c r="JBZ34" s="292"/>
      <c r="JCA34" s="292"/>
      <c r="JCB34" s="292"/>
      <c r="JCC34" s="292"/>
      <c r="JCD34" s="292"/>
      <c r="JCE34" s="292"/>
      <c r="JCF34" s="292"/>
      <c r="JCG34" s="292"/>
      <c r="JCH34" s="292"/>
      <c r="JCI34" s="292"/>
      <c r="JCJ34" s="292"/>
      <c r="JCK34" s="292"/>
      <c r="JCL34" s="292"/>
      <c r="JCM34" s="292"/>
      <c r="JCN34" s="292"/>
      <c r="JCO34" s="292"/>
      <c r="JCP34" s="292"/>
      <c r="JCQ34" s="292"/>
      <c r="JCR34" s="292"/>
      <c r="JCS34" s="292"/>
      <c r="JCT34" s="292"/>
      <c r="JCU34" s="292"/>
      <c r="JCV34" s="292"/>
      <c r="JCW34" s="292"/>
      <c r="JCX34" s="292"/>
      <c r="JCY34" s="292"/>
      <c r="JCZ34" s="292"/>
      <c r="JDA34" s="292"/>
      <c r="JDB34" s="292"/>
      <c r="JDC34" s="292"/>
      <c r="JDD34" s="292"/>
      <c r="JDE34" s="292"/>
      <c r="JDF34" s="292"/>
      <c r="JDG34" s="292"/>
      <c r="JDH34" s="292"/>
      <c r="JDI34" s="292"/>
      <c r="JDJ34" s="292"/>
      <c r="JDK34" s="292"/>
      <c r="JDL34" s="292"/>
      <c r="JDM34" s="292"/>
      <c r="JDN34" s="292"/>
      <c r="JDO34" s="292"/>
      <c r="JDP34" s="292"/>
      <c r="JDQ34" s="292"/>
      <c r="JDR34" s="292"/>
      <c r="JDS34" s="292"/>
      <c r="JDT34" s="292"/>
      <c r="JDU34" s="292"/>
      <c r="JDV34" s="292"/>
      <c r="JDW34" s="292"/>
      <c r="JDX34" s="292"/>
      <c r="JDY34" s="292"/>
      <c r="JDZ34" s="292"/>
      <c r="JEA34" s="292"/>
      <c r="JEB34" s="292"/>
      <c r="JEC34" s="292"/>
      <c r="JED34" s="292"/>
      <c r="JEE34" s="292"/>
      <c r="JEF34" s="292"/>
      <c r="JEG34" s="292"/>
      <c r="JEH34" s="292"/>
      <c r="JEI34" s="292"/>
      <c r="JEJ34" s="292"/>
      <c r="JEK34" s="292"/>
      <c r="JEL34" s="292"/>
      <c r="JEM34" s="292"/>
      <c r="JEN34" s="292"/>
      <c r="JEO34" s="292"/>
      <c r="JEP34" s="292"/>
      <c r="JEQ34" s="292"/>
      <c r="JER34" s="292"/>
      <c r="JES34" s="292"/>
      <c r="JET34" s="292"/>
      <c r="JEU34" s="292"/>
      <c r="JEV34" s="292"/>
      <c r="JEW34" s="292"/>
      <c r="JEX34" s="292"/>
      <c r="JEY34" s="292"/>
      <c r="JEZ34" s="292"/>
      <c r="JFA34" s="292"/>
      <c r="JFB34" s="292"/>
      <c r="JFC34" s="292"/>
      <c r="JFD34" s="292"/>
      <c r="JFE34" s="292"/>
      <c r="JFF34" s="292"/>
      <c r="JFG34" s="292"/>
      <c r="JFH34" s="292"/>
      <c r="JFI34" s="292"/>
      <c r="JFJ34" s="292"/>
      <c r="JFK34" s="292"/>
      <c r="JFL34" s="292"/>
      <c r="JFM34" s="292"/>
      <c r="JFN34" s="292"/>
      <c r="JFO34" s="292"/>
      <c r="JFP34" s="292"/>
      <c r="JFQ34" s="292"/>
      <c r="JFR34" s="292"/>
      <c r="JFS34" s="292"/>
      <c r="JFT34" s="292"/>
      <c r="JFU34" s="292"/>
      <c r="JFV34" s="292"/>
      <c r="JFW34" s="292"/>
      <c r="JFX34" s="292"/>
      <c r="JFY34" s="292"/>
      <c r="JFZ34" s="292"/>
      <c r="JGA34" s="292"/>
      <c r="JGB34" s="292"/>
      <c r="JGC34" s="292"/>
      <c r="JGD34" s="292"/>
      <c r="JGE34" s="292"/>
      <c r="JGF34" s="292"/>
      <c r="JGG34" s="292"/>
      <c r="JGH34" s="292"/>
      <c r="JGI34" s="292"/>
      <c r="JGJ34" s="292"/>
      <c r="JGK34" s="292"/>
      <c r="JGL34" s="292"/>
      <c r="JGM34" s="292"/>
      <c r="JGN34" s="292"/>
      <c r="JGO34" s="292"/>
      <c r="JGP34" s="292"/>
      <c r="JGQ34" s="292"/>
      <c r="JGR34" s="292"/>
      <c r="JGS34" s="292"/>
      <c r="JGT34" s="292"/>
      <c r="JGU34" s="292"/>
      <c r="JGV34" s="292"/>
      <c r="JGW34" s="292"/>
      <c r="JGX34" s="292"/>
      <c r="JGY34" s="292"/>
      <c r="JGZ34" s="292"/>
      <c r="JHA34" s="292"/>
      <c r="JHB34" s="292"/>
      <c r="JHC34" s="292"/>
      <c r="JHD34" s="292"/>
      <c r="JHE34" s="292"/>
      <c r="JHF34" s="292"/>
      <c r="JHG34" s="292"/>
      <c r="JHH34" s="292"/>
      <c r="JHI34" s="292"/>
      <c r="JHJ34" s="292"/>
      <c r="JHK34" s="292"/>
      <c r="JHL34" s="292"/>
      <c r="JHM34" s="292"/>
      <c r="JHN34" s="292"/>
      <c r="JHO34" s="292"/>
      <c r="JHP34" s="292"/>
      <c r="JHQ34" s="292"/>
      <c r="JHR34" s="292"/>
      <c r="JHS34" s="292"/>
      <c r="JHT34" s="292"/>
      <c r="JHU34" s="292"/>
      <c r="JHV34" s="292"/>
      <c r="JHW34" s="292"/>
      <c r="JHX34" s="292"/>
      <c r="JHY34" s="292"/>
      <c r="JHZ34" s="292"/>
      <c r="JIA34" s="292"/>
      <c r="JIB34" s="292"/>
      <c r="JIC34" s="292"/>
      <c r="JID34" s="292"/>
      <c r="JIE34" s="292"/>
      <c r="JIF34" s="292"/>
      <c r="JIG34" s="292"/>
      <c r="JIH34" s="292"/>
      <c r="JII34" s="292"/>
      <c r="JIJ34" s="292"/>
      <c r="JIK34" s="292"/>
      <c r="JIL34" s="292"/>
      <c r="JIM34" s="292"/>
      <c r="JIN34" s="292"/>
      <c r="JIO34" s="292"/>
      <c r="JIP34" s="292"/>
      <c r="JIQ34" s="292"/>
      <c r="JIR34" s="292"/>
      <c r="JIS34" s="292"/>
      <c r="JIT34" s="292"/>
      <c r="JIU34" s="292"/>
      <c r="JIV34" s="292"/>
      <c r="JIW34" s="292"/>
      <c r="JIX34" s="292"/>
      <c r="JIY34" s="292"/>
      <c r="JIZ34" s="292"/>
      <c r="JJA34" s="292"/>
      <c r="JJB34" s="292"/>
      <c r="JJC34" s="292"/>
      <c r="JJD34" s="292"/>
      <c r="JJE34" s="292"/>
      <c r="JJF34" s="292"/>
      <c r="JJG34" s="292"/>
      <c r="JJH34" s="292"/>
      <c r="JJI34" s="292"/>
      <c r="JJJ34" s="292"/>
      <c r="JJK34" s="292"/>
      <c r="JJL34" s="292"/>
      <c r="JJM34" s="292"/>
      <c r="JJN34" s="292"/>
      <c r="JJO34" s="292"/>
      <c r="JJP34" s="292"/>
      <c r="JJQ34" s="292"/>
      <c r="JJR34" s="292"/>
      <c r="JJS34" s="292"/>
      <c r="JJT34" s="292"/>
      <c r="JJU34" s="292"/>
      <c r="JJV34" s="292"/>
      <c r="JJW34" s="292"/>
      <c r="JJX34" s="292"/>
      <c r="JJY34" s="292"/>
      <c r="JJZ34" s="292"/>
      <c r="JKA34" s="292"/>
      <c r="JKB34" s="292"/>
      <c r="JKC34" s="292"/>
      <c r="JKD34" s="292"/>
      <c r="JKE34" s="292"/>
      <c r="JKF34" s="292"/>
      <c r="JKG34" s="292"/>
      <c r="JKH34" s="292"/>
      <c r="JKI34" s="292"/>
      <c r="JKJ34" s="292"/>
      <c r="JKK34" s="292"/>
      <c r="JKL34" s="292"/>
      <c r="JKM34" s="292"/>
      <c r="JKN34" s="292"/>
      <c r="JKO34" s="292"/>
      <c r="JKP34" s="292"/>
      <c r="JKQ34" s="292"/>
      <c r="JKR34" s="292"/>
      <c r="JKS34" s="292"/>
      <c r="JKT34" s="292"/>
      <c r="JKU34" s="292"/>
      <c r="JKV34" s="292"/>
      <c r="JKW34" s="292"/>
      <c r="JKX34" s="292"/>
      <c r="JKY34" s="292"/>
      <c r="JKZ34" s="292"/>
      <c r="JLA34" s="292"/>
      <c r="JLB34" s="292"/>
      <c r="JLC34" s="292"/>
      <c r="JLD34" s="292"/>
      <c r="JLE34" s="292"/>
      <c r="JLF34" s="292"/>
      <c r="JLG34" s="292"/>
      <c r="JLH34" s="292"/>
      <c r="JLI34" s="292"/>
      <c r="JLJ34" s="292"/>
      <c r="JLK34" s="292"/>
      <c r="JLL34" s="292"/>
      <c r="JLM34" s="292"/>
      <c r="JLN34" s="292"/>
      <c r="JLO34" s="292"/>
      <c r="JLP34" s="292"/>
      <c r="JLQ34" s="292"/>
      <c r="JLR34" s="292"/>
      <c r="JLS34" s="292"/>
      <c r="JLT34" s="292"/>
      <c r="JLU34" s="292"/>
      <c r="JLV34" s="292"/>
      <c r="JLW34" s="292"/>
      <c r="JLX34" s="292"/>
      <c r="JLY34" s="292"/>
      <c r="JLZ34" s="292"/>
      <c r="JMA34" s="292"/>
      <c r="JMB34" s="292"/>
      <c r="JMC34" s="292"/>
      <c r="JMD34" s="292"/>
      <c r="JME34" s="292"/>
      <c r="JMF34" s="292"/>
      <c r="JMG34" s="292"/>
      <c r="JMH34" s="292"/>
      <c r="JMI34" s="292"/>
      <c r="JMJ34" s="292"/>
      <c r="JMK34" s="292"/>
      <c r="JML34" s="292"/>
      <c r="JMM34" s="292"/>
      <c r="JMN34" s="292"/>
      <c r="JMO34" s="292"/>
      <c r="JMP34" s="292"/>
      <c r="JMQ34" s="292"/>
      <c r="JMR34" s="292"/>
      <c r="JMS34" s="292"/>
      <c r="JMT34" s="292"/>
      <c r="JMU34" s="292"/>
      <c r="JMV34" s="292"/>
      <c r="JMW34" s="292"/>
      <c r="JMX34" s="292"/>
      <c r="JMY34" s="292"/>
      <c r="JMZ34" s="292"/>
      <c r="JNA34" s="292"/>
      <c r="JNB34" s="292"/>
      <c r="JNC34" s="292"/>
      <c r="JND34" s="292"/>
      <c r="JNE34" s="292"/>
      <c r="JNF34" s="292"/>
      <c r="JNG34" s="292"/>
      <c r="JNH34" s="292"/>
      <c r="JNI34" s="292"/>
      <c r="JNJ34" s="292"/>
      <c r="JNK34" s="292"/>
      <c r="JNL34" s="292"/>
      <c r="JNM34" s="292"/>
      <c r="JNN34" s="292"/>
      <c r="JNO34" s="292"/>
      <c r="JNP34" s="292"/>
      <c r="JNQ34" s="292"/>
      <c r="JNR34" s="292"/>
      <c r="JNS34" s="292"/>
      <c r="JNT34" s="292"/>
      <c r="JNU34" s="292"/>
      <c r="JNV34" s="292"/>
      <c r="JNW34" s="292"/>
      <c r="JNX34" s="292"/>
      <c r="JNY34" s="292"/>
      <c r="JNZ34" s="292"/>
      <c r="JOA34" s="292"/>
      <c r="JOB34" s="292"/>
      <c r="JOC34" s="292"/>
      <c r="JOD34" s="292"/>
      <c r="JOE34" s="292"/>
      <c r="JOF34" s="292"/>
      <c r="JOG34" s="292"/>
      <c r="JOH34" s="292"/>
      <c r="JOI34" s="292"/>
      <c r="JOJ34" s="292"/>
      <c r="JOK34" s="292"/>
      <c r="JOL34" s="292"/>
      <c r="JOM34" s="292"/>
      <c r="JON34" s="292"/>
      <c r="JOO34" s="292"/>
      <c r="JOP34" s="292"/>
      <c r="JOQ34" s="292"/>
      <c r="JOR34" s="292"/>
      <c r="JOS34" s="292"/>
      <c r="JOT34" s="292"/>
      <c r="JOU34" s="292"/>
      <c r="JOV34" s="292"/>
      <c r="JOW34" s="292"/>
      <c r="JOX34" s="292"/>
      <c r="JOY34" s="292"/>
      <c r="JOZ34" s="292"/>
      <c r="JPA34" s="292"/>
      <c r="JPB34" s="292"/>
      <c r="JPC34" s="292"/>
      <c r="JPD34" s="292"/>
      <c r="JPE34" s="292"/>
      <c r="JPF34" s="292"/>
      <c r="JPG34" s="292"/>
      <c r="JPH34" s="292"/>
      <c r="JPI34" s="292"/>
      <c r="JPJ34" s="292"/>
      <c r="JPK34" s="292"/>
      <c r="JPL34" s="292"/>
      <c r="JPM34" s="292"/>
      <c r="JPN34" s="292"/>
      <c r="JPO34" s="292"/>
      <c r="JPP34" s="292"/>
      <c r="JPQ34" s="292"/>
      <c r="JPR34" s="292"/>
      <c r="JPS34" s="292"/>
      <c r="JPT34" s="292"/>
      <c r="JPU34" s="292"/>
      <c r="JPV34" s="292"/>
      <c r="JPW34" s="292"/>
      <c r="JPX34" s="292"/>
      <c r="JPY34" s="292"/>
      <c r="JPZ34" s="292"/>
      <c r="JQA34" s="292"/>
      <c r="JQB34" s="292"/>
      <c r="JQC34" s="292"/>
      <c r="JQD34" s="292"/>
      <c r="JQE34" s="292"/>
      <c r="JQF34" s="292"/>
      <c r="JQG34" s="292"/>
      <c r="JQH34" s="292"/>
      <c r="JQI34" s="292"/>
      <c r="JQJ34" s="292"/>
      <c r="JQK34" s="292"/>
      <c r="JQL34" s="292"/>
      <c r="JQM34" s="292"/>
      <c r="JQN34" s="292"/>
      <c r="JQO34" s="292"/>
      <c r="JQP34" s="292"/>
      <c r="JQQ34" s="292"/>
      <c r="JQR34" s="292"/>
      <c r="JQS34" s="292"/>
      <c r="JQT34" s="292"/>
      <c r="JQU34" s="292"/>
      <c r="JQV34" s="292"/>
      <c r="JQW34" s="292"/>
      <c r="JQX34" s="292"/>
      <c r="JQY34" s="292"/>
      <c r="JQZ34" s="292"/>
      <c r="JRA34" s="292"/>
      <c r="JRB34" s="292"/>
      <c r="JRC34" s="292"/>
      <c r="JRD34" s="292"/>
      <c r="JRE34" s="292"/>
      <c r="JRF34" s="292"/>
      <c r="JRG34" s="292"/>
      <c r="JRH34" s="292"/>
      <c r="JRI34" s="292"/>
      <c r="JRJ34" s="292"/>
      <c r="JRK34" s="292"/>
      <c r="JRL34" s="292"/>
      <c r="JRM34" s="292"/>
      <c r="JRN34" s="292"/>
      <c r="JRO34" s="292"/>
      <c r="JRP34" s="292"/>
      <c r="JRQ34" s="292"/>
      <c r="JRR34" s="292"/>
      <c r="JRS34" s="292"/>
      <c r="JRT34" s="292"/>
      <c r="JRU34" s="292"/>
      <c r="JRV34" s="292"/>
      <c r="JRW34" s="292"/>
      <c r="JRX34" s="292"/>
      <c r="JRY34" s="292"/>
      <c r="JRZ34" s="292"/>
      <c r="JSA34" s="292"/>
      <c r="JSB34" s="292"/>
      <c r="JSC34" s="292"/>
      <c r="JSD34" s="292"/>
      <c r="JSE34" s="292"/>
      <c r="JSF34" s="292"/>
      <c r="JSG34" s="292"/>
      <c r="JSH34" s="292"/>
      <c r="JSI34" s="292"/>
      <c r="JSJ34" s="292"/>
      <c r="JSK34" s="292"/>
      <c r="JSL34" s="292"/>
      <c r="JSM34" s="292"/>
      <c r="JSN34" s="292"/>
      <c r="JSO34" s="292"/>
      <c r="JSP34" s="292"/>
      <c r="JSQ34" s="292"/>
      <c r="JSR34" s="292"/>
      <c r="JSS34" s="292"/>
      <c r="JST34" s="292"/>
      <c r="JSU34" s="292"/>
      <c r="JSV34" s="292"/>
      <c r="JSW34" s="292"/>
      <c r="JSX34" s="292"/>
      <c r="JSY34" s="292"/>
      <c r="JSZ34" s="292"/>
      <c r="JTA34" s="292"/>
      <c r="JTB34" s="292"/>
      <c r="JTC34" s="292"/>
      <c r="JTD34" s="292"/>
      <c r="JTE34" s="292"/>
      <c r="JTF34" s="292"/>
      <c r="JTG34" s="292"/>
      <c r="JTH34" s="292"/>
      <c r="JTI34" s="292"/>
      <c r="JTJ34" s="292"/>
      <c r="JTK34" s="292"/>
      <c r="JTL34" s="292"/>
      <c r="JTM34" s="292"/>
      <c r="JTN34" s="292"/>
      <c r="JTO34" s="292"/>
      <c r="JTP34" s="292"/>
      <c r="JTQ34" s="292"/>
      <c r="JTR34" s="292"/>
      <c r="JTS34" s="292"/>
      <c r="JTT34" s="292"/>
      <c r="JTU34" s="292"/>
      <c r="JTV34" s="292"/>
      <c r="JTW34" s="292"/>
      <c r="JTX34" s="292"/>
      <c r="JTY34" s="292"/>
      <c r="JTZ34" s="292"/>
      <c r="JUA34" s="292"/>
      <c r="JUB34" s="292"/>
      <c r="JUC34" s="292"/>
      <c r="JUD34" s="292"/>
      <c r="JUE34" s="292"/>
      <c r="JUF34" s="292"/>
      <c r="JUG34" s="292"/>
      <c r="JUH34" s="292"/>
      <c r="JUI34" s="292"/>
      <c r="JUJ34" s="292"/>
      <c r="JUK34" s="292"/>
      <c r="JUL34" s="292"/>
      <c r="JUM34" s="292"/>
      <c r="JUN34" s="292"/>
      <c r="JUO34" s="292"/>
      <c r="JUP34" s="292"/>
      <c r="JUQ34" s="292"/>
      <c r="JUR34" s="292"/>
      <c r="JUS34" s="292"/>
      <c r="JUT34" s="292"/>
      <c r="JUU34" s="292"/>
      <c r="JUV34" s="292"/>
      <c r="JUW34" s="292"/>
      <c r="JUX34" s="292"/>
      <c r="JUY34" s="292"/>
      <c r="JUZ34" s="292"/>
      <c r="JVA34" s="292"/>
      <c r="JVB34" s="292"/>
      <c r="JVC34" s="292"/>
      <c r="JVD34" s="292"/>
      <c r="JVE34" s="292"/>
      <c r="JVF34" s="292"/>
      <c r="JVG34" s="292"/>
      <c r="JVH34" s="292"/>
      <c r="JVI34" s="292"/>
      <c r="JVJ34" s="292"/>
      <c r="JVK34" s="292"/>
      <c r="JVL34" s="292"/>
      <c r="JVM34" s="292"/>
      <c r="JVN34" s="292"/>
      <c r="JVO34" s="292"/>
      <c r="JVP34" s="292"/>
      <c r="JVQ34" s="292"/>
      <c r="JVR34" s="292"/>
      <c r="JVS34" s="292"/>
      <c r="JVT34" s="292"/>
      <c r="JVU34" s="292"/>
      <c r="JVV34" s="292"/>
      <c r="JVW34" s="292"/>
      <c r="JVX34" s="292"/>
      <c r="JVY34" s="292"/>
      <c r="JVZ34" s="292"/>
      <c r="JWA34" s="292"/>
      <c r="JWB34" s="292"/>
      <c r="JWC34" s="292"/>
      <c r="JWD34" s="292"/>
      <c r="JWE34" s="292"/>
      <c r="JWF34" s="292"/>
      <c r="JWG34" s="292"/>
      <c r="JWH34" s="292"/>
      <c r="JWI34" s="292"/>
      <c r="JWJ34" s="292"/>
      <c r="JWK34" s="292"/>
      <c r="JWL34" s="292"/>
      <c r="JWM34" s="292"/>
      <c r="JWN34" s="292"/>
      <c r="JWO34" s="292"/>
      <c r="JWP34" s="292"/>
      <c r="JWQ34" s="292"/>
      <c r="JWR34" s="292"/>
      <c r="JWS34" s="292"/>
      <c r="JWT34" s="292"/>
      <c r="JWU34" s="292"/>
      <c r="JWV34" s="292"/>
      <c r="JWW34" s="292"/>
      <c r="JWX34" s="292"/>
      <c r="JWY34" s="292"/>
      <c r="JWZ34" s="292"/>
      <c r="JXA34" s="292"/>
      <c r="JXB34" s="292"/>
      <c r="JXC34" s="292"/>
      <c r="JXD34" s="292"/>
      <c r="JXE34" s="292"/>
      <c r="JXF34" s="292"/>
      <c r="JXG34" s="292"/>
      <c r="JXH34" s="292"/>
      <c r="JXI34" s="292"/>
      <c r="JXJ34" s="292"/>
      <c r="JXK34" s="292"/>
      <c r="JXL34" s="292"/>
      <c r="JXM34" s="292"/>
      <c r="JXN34" s="292"/>
      <c r="JXO34" s="292"/>
      <c r="JXP34" s="292"/>
      <c r="JXQ34" s="292"/>
      <c r="JXR34" s="292"/>
      <c r="JXS34" s="292"/>
      <c r="JXT34" s="292"/>
      <c r="JXU34" s="292"/>
      <c r="JXV34" s="292"/>
      <c r="JXW34" s="292"/>
      <c r="JXX34" s="292"/>
      <c r="JXY34" s="292"/>
      <c r="JXZ34" s="292"/>
      <c r="JYA34" s="292"/>
      <c r="JYB34" s="292"/>
      <c r="JYC34" s="292"/>
      <c r="JYD34" s="292"/>
      <c r="JYE34" s="292"/>
      <c r="JYF34" s="292"/>
      <c r="JYG34" s="292"/>
      <c r="JYH34" s="292"/>
      <c r="JYI34" s="292"/>
      <c r="JYJ34" s="292"/>
      <c r="JYK34" s="292"/>
      <c r="JYL34" s="292"/>
      <c r="JYM34" s="292"/>
      <c r="JYN34" s="292"/>
      <c r="JYO34" s="292"/>
      <c r="JYP34" s="292"/>
      <c r="JYQ34" s="292"/>
      <c r="JYR34" s="292"/>
      <c r="JYS34" s="292"/>
      <c r="JYT34" s="292"/>
      <c r="JYU34" s="292"/>
      <c r="JYV34" s="292"/>
      <c r="JYW34" s="292"/>
      <c r="JYX34" s="292"/>
      <c r="JYY34" s="292"/>
      <c r="JYZ34" s="292"/>
      <c r="JZA34" s="292"/>
      <c r="JZB34" s="292"/>
      <c r="JZC34" s="292"/>
      <c r="JZD34" s="292"/>
      <c r="JZE34" s="292"/>
      <c r="JZF34" s="292"/>
      <c r="JZG34" s="292"/>
      <c r="JZH34" s="292"/>
      <c r="JZI34" s="292"/>
      <c r="JZJ34" s="292"/>
      <c r="JZK34" s="292"/>
      <c r="JZL34" s="292"/>
      <c r="JZM34" s="292"/>
      <c r="JZN34" s="292"/>
      <c r="JZO34" s="292"/>
      <c r="JZP34" s="292"/>
      <c r="JZQ34" s="292"/>
      <c r="JZR34" s="292"/>
      <c r="JZS34" s="292"/>
      <c r="JZT34" s="292"/>
      <c r="JZU34" s="292"/>
      <c r="JZV34" s="292"/>
      <c r="JZW34" s="292"/>
      <c r="JZX34" s="292"/>
      <c r="JZY34" s="292"/>
      <c r="JZZ34" s="292"/>
      <c r="KAA34" s="292"/>
      <c r="KAB34" s="292"/>
      <c r="KAC34" s="292"/>
      <c r="KAD34" s="292"/>
      <c r="KAE34" s="292"/>
      <c r="KAF34" s="292"/>
      <c r="KAG34" s="292"/>
      <c r="KAH34" s="292"/>
      <c r="KAI34" s="292"/>
      <c r="KAJ34" s="292"/>
      <c r="KAK34" s="292"/>
      <c r="KAL34" s="292"/>
      <c r="KAM34" s="292"/>
      <c r="KAN34" s="292"/>
      <c r="KAO34" s="292"/>
      <c r="KAP34" s="292"/>
      <c r="KAQ34" s="292"/>
      <c r="KAR34" s="292"/>
      <c r="KAS34" s="292"/>
      <c r="KAT34" s="292"/>
      <c r="KAU34" s="292"/>
      <c r="KAV34" s="292"/>
      <c r="KAW34" s="292"/>
      <c r="KAX34" s="292"/>
      <c r="KAY34" s="292"/>
      <c r="KAZ34" s="292"/>
      <c r="KBA34" s="292"/>
      <c r="KBB34" s="292"/>
      <c r="KBC34" s="292"/>
      <c r="KBD34" s="292"/>
      <c r="KBE34" s="292"/>
      <c r="KBF34" s="292"/>
      <c r="KBG34" s="292"/>
      <c r="KBH34" s="292"/>
      <c r="KBI34" s="292"/>
      <c r="KBJ34" s="292"/>
      <c r="KBK34" s="292"/>
      <c r="KBL34" s="292"/>
      <c r="KBM34" s="292"/>
      <c r="KBN34" s="292"/>
      <c r="KBO34" s="292"/>
      <c r="KBP34" s="292"/>
      <c r="KBQ34" s="292"/>
      <c r="KBR34" s="292"/>
      <c r="KBS34" s="292"/>
      <c r="KBT34" s="292"/>
      <c r="KBU34" s="292"/>
      <c r="KBV34" s="292"/>
      <c r="KBW34" s="292"/>
      <c r="KBX34" s="292"/>
      <c r="KBY34" s="292"/>
      <c r="KBZ34" s="292"/>
      <c r="KCA34" s="292"/>
      <c r="KCB34" s="292"/>
      <c r="KCC34" s="292"/>
      <c r="KCD34" s="292"/>
      <c r="KCE34" s="292"/>
      <c r="KCF34" s="292"/>
      <c r="KCG34" s="292"/>
      <c r="KCH34" s="292"/>
      <c r="KCI34" s="292"/>
      <c r="KCJ34" s="292"/>
      <c r="KCK34" s="292"/>
      <c r="KCL34" s="292"/>
      <c r="KCM34" s="292"/>
      <c r="KCN34" s="292"/>
      <c r="KCO34" s="292"/>
      <c r="KCP34" s="292"/>
      <c r="KCQ34" s="292"/>
      <c r="KCR34" s="292"/>
      <c r="KCS34" s="292"/>
      <c r="KCT34" s="292"/>
      <c r="KCU34" s="292"/>
      <c r="KCV34" s="292"/>
      <c r="KCW34" s="292"/>
      <c r="KCX34" s="292"/>
      <c r="KCY34" s="292"/>
      <c r="KCZ34" s="292"/>
      <c r="KDA34" s="292"/>
      <c r="KDB34" s="292"/>
      <c r="KDC34" s="292"/>
      <c r="KDD34" s="292"/>
      <c r="KDE34" s="292"/>
      <c r="KDF34" s="292"/>
      <c r="KDG34" s="292"/>
      <c r="KDH34" s="292"/>
      <c r="KDI34" s="292"/>
      <c r="KDJ34" s="292"/>
      <c r="KDK34" s="292"/>
      <c r="KDL34" s="292"/>
      <c r="KDM34" s="292"/>
      <c r="KDN34" s="292"/>
      <c r="KDO34" s="292"/>
      <c r="KDP34" s="292"/>
      <c r="KDQ34" s="292"/>
      <c r="KDR34" s="292"/>
      <c r="KDS34" s="292"/>
      <c r="KDT34" s="292"/>
      <c r="KDU34" s="292"/>
      <c r="KDV34" s="292"/>
      <c r="KDW34" s="292"/>
      <c r="KDX34" s="292"/>
      <c r="KDY34" s="292"/>
      <c r="KDZ34" s="292"/>
      <c r="KEA34" s="292"/>
      <c r="KEB34" s="292"/>
      <c r="KEC34" s="292"/>
      <c r="KED34" s="292"/>
      <c r="KEE34" s="292"/>
      <c r="KEF34" s="292"/>
      <c r="KEG34" s="292"/>
      <c r="KEH34" s="292"/>
      <c r="KEI34" s="292"/>
      <c r="KEJ34" s="292"/>
      <c r="KEK34" s="292"/>
      <c r="KEL34" s="292"/>
      <c r="KEM34" s="292"/>
      <c r="KEN34" s="292"/>
      <c r="KEO34" s="292"/>
      <c r="KEP34" s="292"/>
      <c r="KEQ34" s="292"/>
      <c r="KER34" s="292"/>
      <c r="KES34" s="292"/>
      <c r="KET34" s="292"/>
      <c r="KEU34" s="292"/>
      <c r="KEV34" s="292"/>
      <c r="KEW34" s="292"/>
      <c r="KEX34" s="292"/>
      <c r="KEY34" s="292"/>
      <c r="KEZ34" s="292"/>
      <c r="KFA34" s="292"/>
      <c r="KFB34" s="292"/>
      <c r="KFC34" s="292"/>
      <c r="KFD34" s="292"/>
      <c r="KFE34" s="292"/>
      <c r="KFF34" s="292"/>
      <c r="KFG34" s="292"/>
      <c r="KFH34" s="292"/>
      <c r="KFI34" s="292"/>
      <c r="KFJ34" s="292"/>
      <c r="KFK34" s="292"/>
      <c r="KFL34" s="292"/>
      <c r="KFM34" s="292"/>
      <c r="KFN34" s="292"/>
      <c r="KFO34" s="292"/>
      <c r="KFP34" s="292"/>
      <c r="KFQ34" s="292"/>
      <c r="KFR34" s="292"/>
      <c r="KFS34" s="292"/>
      <c r="KFT34" s="292"/>
      <c r="KFU34" s="292"/>
      <c r="KFV34" s="292"/>
      <c r="KFW34" s="292"/>
      <c r="KFX34" s="292"/>
      <c r="KFY34" s="292"/>
      <c r="KFZ34" s="292"/>
      <c r="KGA34" s="292"/>
      <c r="KGB34" s="292"/>
      <c r="KGC34" s="292"/>
      <c r="KGD34" s="292"/>
      <c r="KGE34" s="292"/>
      <c r="KGF34" s="292"/>
      <c r="KGG34" s="292"/>
      <c r="KGH34" s="292"/>
      <c r="KGI34" s="292"/>
      <c r="KGJ34" s="292"/>
      <c r="KGK34" s="292"/>
      <c r="KGL34" s="292"/>
      <c r="KGM34" s="292"/>
      <c r="KGN34" s="292"/>
      <c r="KGO34" s="292"/>
      <c r="KGP34" s="292"/>
      <c r="KGQ34" s="292"/>
      <c r="KGR34" s="292"/>
      <c r="KGS34" s="292"/>
      <c r="KGT34" s="292"/>
      <c r="KGU34" s="292"/>
      <c r="KGV34" s="292"/>
      <c r="KGW34" s="292"/>
      <c r="KGX34" s="292"/>
      <c r="KGY34" s="292"/>
      <c r="KGZ34" s="292"/>
      <c r="KHA34" s="292"/>
      <c r="KHB34" s="292"/>
      <c r="KHC34" s="292"/>
      <c r="KHD34" s="292"/>
      <c r="KHE34" s="292"/>
      <c r="KHF34" s="292"/>
      <c r="KHG34" s="292"/>
      <c r="KHH34" s="292"/>
      <c r="KHI34" s="292"/>
      <c r="KHJ34" s="292"/>
      <c r="KHK34" s="292"/>
      <c r="KHL34" s="292"/>
      <c r="KHM34" s="292"/>
      <c r="KHN34" s="292"/>
      <c r="KHO34" s="292"/>
      <c r="KHP34" s="292"/>
      <c r="KHQ34" s="292"/>
      <c r="KHR34" s="292"/>
      <c r="KHS34" s="292"/>
      <c r="KHT34" s="292"/>
      <c r="KHU34" s="292"/>
      <c r="KHV34" s="292"/>
      <c r="KHW34" s="292"/>
      <c r="KHX34" s="292"/>
      <c r="KHY34" s="292"/>
      <c r="KHZ34" s="292"/>
      <c r="KIA34" s="292"/>
      <c r="KIB34" s="292"/>
      <c r="KIC34" s="292"/>
      <c r="KID34" s="292"/>
      <c r="KIE34" s="292"/>
      <c r="KIF34" s="292"/>
      <c r="KIG34" s="292"/>
      <c r="KIH34" s="292"/>
      <c r="KII34" s="292"/>
      <c r="KIJ34" s="292"/>
      <c r="KIK34" s="292"/>
      <c r="KIL34" s="292"/>
      <c r="KIM34" s="292"/>
      <c r="KIN34" s="292"/>
      <c r="KIO34" s="292"/>
      <c r="KIP34" s="292"/>
      <c r="KIQ34" s="292"/>
      <c r="KIR34" s="292"/>
      <c r="KIS34" s="292"/>
      <c r="KIT34" s="292"/>
      <c r="KIU34" s="292"/>
      <c r="KIV34" s="292"/>
      <c r="KIW34" s="292"/>
      <c r="KIX34" s="292"/>
      <c r="KIY34" s="292"/>
      <c r="KIZ34" s="292"/>
      <c r="KJA34" s="292"/>
      <c r="KJB34" s="292"/>
      <c r="KJC34" s="292"/>
      <c r="KJD34" s="292"/>
      <c r="KJE34" s="292"/>
      <c r="KJF34" s="292"/>
      <c r="KJG34" s="292"/>
      <c r="KJH34" s="292"/>
      <c r="KJI34" s="292"/>
      <c r="KJJ34" s="292"/>
      <c r="KJK34" s="292"/>
      <c r="KJL34" s="292"/>
      <c r="KJM34" s="292"/>
      <c r="KJN34" s="292"/>
      <c r="KJO34" s="292"/>
      <c r="KJP34" s="292"/>
      <c r="KJQ34" s="292"/>
      <c r="KJR34" s="292"/>
      <c r="KJS34" s="292"/>
      <c r="KJT34" s="292"/>
      <c r="KJU34" s="292"/>
      <c r="KJV34" s="292"/>
      <c r="KJW34" s="292"/>
      <c r="KJX34" s="292"/>
      <c r="KJY34" s="292"/>
      <c r="KJZ34" s="292"/>
      <c r="KKA34" s="292"/>
      <c r="KKB34" s="292"/>
      <c r="KKC34" s="292"/>
      <c r="KKD34" s="292"/>
      <c r="KKE34" s="292"/>
      <c r="KKF34" s="292"/>
      <c r="KKG34" s="292"/>
      <c r="KKH34" s="292"/>
      <c r="KKI34" s="292"/>
      <c r="KKJ34" s="292"/>
      <c r="KKK34" s="292"/>
      <c r="KKL34" s="292"/>
      <c r="KKM34" s="292"/>
      <c r="KKN34" s="292"/>
      <c r="KKO34" s="292"/>
      <c r="KKP34" s="292"/>
      <c r="KKQ34" s="292"/>
      <c r="KKR34" s="292"/>
      <c r="KKS34" s="292"/>
      <c r="KKT34" s="292"/>
      <c r="KKU34" s="292"/>
      <c r="KKV34" s="292"/>
      <c r="KKW34" s="292"/>
      <c r="KKX34" s="292"/>
      <c r="KKY34" s="292"/>
      <c r="KKZ34" s="292"/>
      <c r="KLA34" s="292"/>
      <c r="KLB34" s="292"/>
      <c r="KLC34" s="292"/>
      <c r="KLD34" s="292"/>
      <c r="KLE34" s="292"/>
      <c r="KLF34" s="292"/>
      <c r="KLG34" s="292"/>
      <c r="KLH34" s="292"/>
      <c r="KLI34" s="292"/>
      <c r="KLJ34" s="292"/>
      <c r="KLK34" s="292"/>
      <c r="KLL34" s="292"/>
      <c r="KLM34" s="292"/>
      <c r="KLN34" s="292"/>
      <c r="KLO34" s="292"/>
      <c r="KLP34" s="292"/>
      <c r="KLQ34" s="292"/>
      <c r="KLR34" s="292"/>
      <c r="KLS34" s="292"/>
      <c r="KLT34" s="292"/>
      <c r="KLU34" s="292"/>
      <c r="KLV34" s="292"/>
      <c r="KLW34" s="292"/>
      <c r="KLX34" s="292"/>
      <c r="KLY34" s="292"/>
      <c r="KLZ34" s="292"/>
      <c r="KMA34" s="292"/>
      <c r="KMB34" s="292"/>
      <c r="KMC34" s="292"/>
      <c r="KMD34" s="292"/>
      <c r="KME34" s="292"/>
      <c r="KMF34" s="292"/>
      <c r="KMG34" s="292"/>
      <c r="KMH34" s="292"/>
      <c r="KMI34" s="292"/>
      <c r="KMJ34" s="292"/>
      <c r="KMK34" s="292"/>
      <c r="KML34" s="292"/>
      <c r="KMM34" s="292"/>
      <c r="KMN34" s="292"/>
      <c r="KMO34" s="292"/>
      <c r="KMP34" s="292"/>
      <c r="KMQ34" s="292"/>
      <c r="KMR34" s="292"/>
      <c r="KMS34" s="292"/>
      <c r="KMT34" s="292"/>
      <c r="KMU34" s="292"/>
      <c r="KMV34" s="292"/>
      <c r="KMW34" s="292"/>
      <c r="KMX34" s="292"/>
      <c r="KMY34" s="292"/>
      <c r="KMZ34" s="292"/>
      <c r="KNA34" s="292"/>
      <c r="KNB34" s="292"/>
      <c r="KNC34" s="292"/>
      <c r="KND34" s="292"/>
      <c r="KNE34" s="292"/>
      <c r="KNF34" s="292"/>
      <c r="KNG34" s="292"/>
      <c r="KNH34" s="292"/>
      <c r="KNI34" s="292"/>
      <c r="KNJ34" s="292"/>
      <c r="KNK34" s="292"/>
      <c r="KNL34" s="292"/>
      <c r="KNM34" s="292"/>
      <c r="KNN34" s="292"/>
      <c r="KNO34" s="292"/>
      <c r="KNP34" s="292"/>
      <c r="KNQ34" s="292"/>
      <c r="KNR34" s="292"/>
      <c r="KNS34" s="292"/>
      <c r="KNT34" s="292"/>
      <c r="KNU34" s="292"/>
      <c r="KNV34" s="292"/>
      <c r="KNW34" s="292"/>
      <c r="KNX34" s="292"/>
      <c r="KNY34" s="292"/>
      <c r="KNZ34" s="292"/>
      <c r="KOA34" s="292"/>
      <c r="KOB34" s="292"/>
      <c r="KOC34" s="292"/>
      <c r="KOD34" s="292"/>
      <c r="KOE34" s="292"/>
      <c r="KOF34" s="292"/>
      <c r="KOG34" s="292"/>
      <c r="KOH34" s="292"/>
      <c r="KOI34" s="292"/>
      <c r="KOJ34" s="292"/>
      <c r="KOK34" s="292"/>
      <c r="KOL34" s="292"/>
      <c r="KOM34" s="292"/>
      <c r="KON34" s="292"/>
      <c r="KOO34" s="292"/>
      <c r="KOP34" s="292"/>
      <c r="KOQ34" s="292"/>
      <c r="KOR34" s="292"/>
      <c r="KOS34" s="292"/>
      <c r="KOT34" s="292"/>
      <c r="KOU34" s="292"/>
      <c r="KOV34" s="292"/>
      <c r="KOW34" s="292"/>
      <c r="KOX34" s="292"/>
      <c r="KOY34" s="292"/>
      <c r="KOZ34" s="292"/>
      <c r="KPA34" s="292"/>
      <c r="KPB34" s="292"/>
      <c r="KPC34" s="292"/>
      <c r="KPD34" s="292"/>
      <c r="KPE34" s="292"/>
      <c r="KPF34" s="292"/>
      <c r="KPG34" s="292"/>
      <c r="KPH34" s="292"/>
      <c r="KPI34" s="292"/>
      <c r="KPJ34" s="292"/>
      <c r="KPK34" s="292"/>
      <c r="KPL34" s="292"/>
      <c r="KPM34" s="292"/>
      <c r="KPN34" s="292"/>
      <c r="KPO34" s="292"/>
      <c r="KPP34" s="292"/>
      <c r="KPQ34" s="292"/>
      <c r="KPR34" s="292"/>
      <c r="KPS34" s="292"/>
      <c r="KPT34" s="292"/>
      <c r="KPU34" s="292"/>
      <c r="KPV34" s="292"/>
      <c r="KPW34" s="292"/>
      <c r="KPX34" s="292"/>
      <c r="KPY34" s="292"/>
      <c r="KPZ34" s="292"/>
      <c r="KQA34" s="292"/>
      <c r="KQB34" s="292"/>
      <c r="KQC34" s="292"/>
      <c r="KQD34" s="292"/>
      <c r="KQE34" s="292"/>
      <c r="KQF34" s="292"/>
      <c r="KQG34" s="292"/>
      <c r="KQH34" s="292"/>
      <c r="KQI34" s="292"/>
      <c r="KQJ34" s="292"/>
      <c r="KQK34" s="292"/>
      <c r="KQL34" s="292"/>
      <c r="KQM34" s="292"/>
      <c r="KQN34" s="292"/>
      <c r="KQO34" s="292"/>
      <c r="KQP34" s="292"/>
      <c r="KQQ34" s="292"/>
      <c r="KQR34" s="292"/>
      <c r="KQS34" s="292"/>
      <c r="KQT34" s="292"/>
      <c r="KQU34" s="292"/>
      <c r="KQV34" s="292"/>
      <c r="KQW34" s="292"/>
      <c r="KQX34" s="292"/>
      <c r="KQY34" s="292"/>
      <c r="KQZ34" s="292"/>
      <c r="KRA34" s="292"/>
      <c r="KRB34" s="292"/>
      <c r="KRC34" s="292"/>
      <c r="KRD34" s="292"/>
      <c r="KRE34" s="292"/>
      <c r="KRF34" s="292"/>
      <c r="KRG34" s="292"/>
      <c r="KRH34" s="292"/>
      <c r="KRI34" s="292"/>
      <c r="KRJ34" s="292"/>
      <c r="KRK34" s="292"/>
      <c r="KRL34" s="292"/>
      <c r="KRM34" s="292"/>
      <c r="KRN34" s="292"/>
      <c r="KRO34" s="292"/>
      <c r="KRP34" s="292"/>
      <c r="KRQ34" s="292"/>
      <c r="KRR34" s="292"/>
      <c r="KRS34" s="292"/>
      <c r="KRT34" s="292"/>
      <c r="KRU34" s="292"/>
      <c r="KRV34" s="292"/>
      <c r="KRW34" s="292"/>
      <c r="KRX34" s="292"/>
      <c r="KRY34" s="292"/>
      <c r="KRZ34" s="292"/>
      <c r="KSA34" s="292"/>
      <c r="KSB34" s="292"/>
      <c r="KSC34" s="292"/>
      <c r="KSD34" s="292"/>
      <c r="KSE34" s="292"/>
      <c r="KSF34" s="292"/>
      <c r="KSG34" s="292"/>
      <c r="KSH34" s="292"/>
      <c r="KSI34" s="292"/>
      <c r="KSJ34" s="292"/>
      <c r="KSK34" s="292"/>
      <c r="KSL34" s="292"/>
      <c r="KSM34" s="292"/>
      <c r="KSN34" s="292"/>
      <c r="KSO34" s="292"/>
      <c r="KSP34" s="292"/>
      <c r="KSQ34" s="292"/>
      <c r="KSR34" s="292"/>
      <c r="KSS34" s="292"/>
      <c r="KST34" s="292"/>
      <c r="KSU34" s="292"/>
      <c r="KSV34" s="292"/>
      <c r="KSW34" s="292"/>
      <c r="KSX34" s="292"/>
      <c r="KSY34" s="292"/>
      <c r="KSZ34" s="292"/>
      <c r="KTA34" s="292"/>
      <c r="KTB34" s="292"/>
      <c r="KTC34" s="292"/>
      <c r="KTD34" s="292"/>
      <c r="KTE34" s="292"/>
      <c r="KTF34" s="292"/>
      <c r="KTG34" s="292"/>
      <c r="KTH34" s="292"/>
      <c r="KTI34" s="292"/>
      <c r="KTJ34" s="292"/>
      <c r="KTK34" s="292"/>
      <c r="KTL34" s="292"/>
      <c r="KTM34" s="292"/>
      <c r="KTN34" s="292"/>
      <c r="KTO34" s="292"/>
      <c r="KTP34" s="292"/>
      <c r="KTQ34" s="292"/>
      <c r="KTR34" s="292"/>
      <c r="KTS34" s="292"/>
      <c r="KTT34" s="292"/>
      <c r="KTU34" s="292"/>
      <c r="KTV34" s="292"/>
      <c r="KTW34" s="292"/>
      <c r="KTX34" s="292"/>
      <c r="KTY34" s="292"/>
      <c r="KTZ34" s="292"/>
      <c r="KUA34" s="292"/>
      <c r="KUB34" s="292"/>
      <c r="KUC34" s="292"/>
      <c r="KUD34" s="292"/>
      <c r="KUE34" s="292"/>
      <c r="KUF34" s="292"/>
      <c r="KUG34" s="292"/>
      <c r="KUH34" s="292"/>
      <c r="KUI34" s="292"/>
      <c r="KUJ34" s="292"/>
      <c r="KUK34" s="292"/>
      <c r="KUL34" s="292"/>
      <c r="KUM34" s="292"/>
      <c r="KUN34" s="292"/>
      <c r="KUO34" s="292"/>
      <c r="KUP34" s="292"/>
      <c r="KUQ34" s="292"/>
      <c r="KUR34" s="292"/>
      <c r="KUS34" s="292"/>
      <c r="KUT34" s="292"/>
      <c r="KUU34" s="292"/>
      <c r="KUV34" s="292"/>
      <c r="KUW34" s="292"/>
      <c r="KUX34" s="292"/>
      <c r="KUY34" s="292"/>
      <c r="KUZ34" s="292"/>
      <c r="KVA34" s="292"/>
      <c r="KVB34" s="292"/>
      <c r="KVC34" s="292"/>
      <c r="KVD34" s="292"/>
      <c r="KVE34" s="292"/>
      <c r="KVF34" s="292"/>
      <c r="KVG34" s="292"/>
      <c r="KVH34" s="292"/>
      <c r="KVI34" s="292"/>
      <c r="KVJ34" s="292"/>
      <c r="KVK34" s="292"/>
      <c r="KVL34" s="292"/>
      <c r="KVM34" s="292"/>
      <c r="KVN34" s="292"/>
      <c r="KVO34" s="292"/>
      <c r="KVP34" s="292"/>
      <c r="KVQ34" s="292"/>
      <c r="KVR34" s="292"/>
      <c r="KVS34" s="292"/>
      <c r="KVT34" s="292"/>
      <c r="KVU34" s="292"/>
      <c r="KVV34" s="292"/>
      <c r="KVW34" s="292"/>
      <c r="KVX34" s="292"/>
      <c r="KVY34" s="292"/>
      <c r="KVZ34" s="292"/>
      <c r="KWA34" s="292"/>
      <c r="KWB34" s="292"/>
      <c r="KWC34" s="292"/>
      <c r="KWD34" s="292"/>
      <c r="KWE34" s="292"/>
      <c r="KWF34" s="292"/>
      <c r="KWG34" s="292"/>
      <c r="KWH34" s="292"/>
      <c r="KWI34" s="292"/>
      <c r="KWJ34" s="292"/>
      <c r="KWK34" s="292"/>
      <c r="KWL34" s="292"/>
      <c r="KWM34" s="292"/>
      <c r="KWN34" s="292"/>
      <c r="KWO34" s="292"/>
      <c r="KWP34" s="292"/>
      <c r="KWQ34" s="292"/>
      <c r="KWR34" s="292"/>
      <c r="KWS34" s="292"/>
      <c r="KWT34" s="292"/>
      <c r="KWU34" s="292"/>
      <c r="KWV34" s="292"/>
      <c r="KWW34" s="292"/>
      <c r="KWX34" s="292"/>
      <c r="KWY34" s="292"/>
      <c r="KWZ34" s="292"/>
      <c r="KXA34" s="292"/>
      <c r="KXB34" s="292"/>
      <c r="KXC34" s="292"/>
      <c r="KXD34" s="292"/>
      <c r="KXE34" s="292"/>
      <c r="KXF34" s="292"/>
      <c r="KXG34" s="292"/>
      <c r="KXH34" s="292"/>
      <c r="KXI34" s="292"/>
      <c r="KXJ34" s="292"/>
      <c r="KXK34" s="292"/>
      <c r="KXL34" s="292"/>
      <c r="KXM34" s="292"/>
      <c r="KXN34" s="292"/>
      <c r="KXO34" s="292"/>
      <c r="KXP34" s="292"/>
      <c r="KXQ34" s="292"/>
      <c r="KXR34" s="292"/>
      <c r="KXS34" s="292"/>
      <c r="KXT34" s="292"/>
      <c r="KXU34" s="292"/>
      <c r="KXV34" s="292"/>
      <c r="KXW34" s="292"/>
      <c r="KXX34" s="292"/>
      <c r="KXY34" s="292"/>
      <c r="KXZ34" s="292"/>
      <c r="KYA34" s="292"/>
      <c r="KYB34" s="292"/>
      <c r="KYC34" s="292"/>
      <c r="KYD34" s="292"/>
      <c r="KYE34" s="292"/>
      <c r="KYF34" s="292"/>
      <c r="KYG34" s="292"/>
      <c r="KYH34" s="292"/>
      <c r="KYI34" s="292"/>
      <c r="KYJ34" s="292"/>
      <c r="KYK34" s="292"/>
      <c r="KYL34" s="292"/>
      <c r="KYM34" s="292"/>
      <c r="KYN34" s="292"/>
      <c r="KYO34" s="292"/>
      <c r="KYP34" s="292"/>
      <c r="KYQ34" s="292"/>
      <c r="KYR34" s="292"/>
      <c r="KYS34" s="292"/>
      <c r="KYT34" s="292"/>
      <c r="KYU34" s="292"/>
      <c r="KYV34" s="292"/>
      <c r="KYW34" s="292"/>
      <c r="KYX34" s="292"/>
      <c r="KYY34" s="292"/>
      <c r="KYZ34" s="292"/>
      <c r="KZA34" s="292"/>
      <c r="KZB34" s="292"/>
      <c r="KZC34" s="292"/>
      <c r="KZD34" s="292"/>
      <c r="KZE34" s="292"/>
      <c r="KZF34" s="292"/>
      <c r="KZG34" s="292"/>
      <c r="KZH34" s="292"/>
      <c r="KZI34" s="292"/>
      <c r="KZJ34" s="292"/>
      <c r="KZK34" s="292"/>
      <c r="KZL34" s="292"/>
      <c r="KZM34" s="292"/>
      <c r="KZN34" s="292"/>
      <c r="KZO34" s="292"/>
      <c r="KZP34" s="292"/>
      <c r="KZQ34" s="292"/>
      <c r="KZR34" s="292"/>
      <c r="KZS34" s="292"/>
      <c r="KZT34" s="292"/>
      <c r="KZU34" s="292"/>
      <c r="KZV34" s="292"/>
      <c r="KZW34" s="292"/>
      <c r="KZX34" s="292"/>
      <c r="KZY34" s="292"/>
      <c r="KZZ34" s="292"/>
      <c r="LAA34" s="292"/>
      <c r="LAB34" s="292"/>
      <c r="LAC34" s="292"/>
      <c r="LAD34" s="292"/>
      <c r="LAE34" s="292"/>
      <c r="LAF34" s="292"/>
      <c r="LAG34" s="292"/>
      <c r="LAH34" s="292"/>
      <c r="LAI34" s="292"/>
      <c r="LAJ34" s="292"/>
      <c r="LAK34" s="292"/>
      <c r="LAL34" s="292"/>
      <c r="LAM34" s="292"/>
      <c r="LAN34" s="292"/>
      <c r="LAO34" s="292"/>
      <c r="LAP34" s="292"/>
      <c r="LAQ34" s="292"/>
      <c r="LAR34" s="292"/>
      <c r="LAS34" s="292"/>
      <c r="LAT34" s="292"/>
      <c r="LAU34" s="292"/>
      <c r="LAV34" s="292"/>
      <c r="LAW34" s="292"/>
      <c r="LAX34" s="292"/>
      <c r="LAY34" s="292"/>
      <c r="LAZ34" s="292"/>
      <c r="LBA34" s="292"/>
      <c r="LBB34" s="292"/>
      <c r="LBC34" s="292"/>
      <c r="LBD34" s="292"/>
      <c r="LBE34" s="292"/>
      <c r="LBF34" s="292"/>
      <c r="LBG34" s="292"/>
      <c r="LBH34" s="292"/>
      <c r="LBI34" s="292"/>
      <c r="LBJ34" s="292"/>
      <c r="LBK34" s="292"/>
      <c r="LBL34" s="292"/>
      <c r="LBM34" s="292"/>
      <c r="LBN34" s="292"/>
      <c r="LBO34" s="292"/>
      <c r="LBP34" s="292"/>
      <c r="LBQ34" s="292"/>
      <c r="LBR34" s="292"/>
      <c r="LBS34" s="292"/>
      <c r="LBT34" s="292"/>
      <c r="LBU34" s="292"/>
      <c r="LBV34" s="292"/>
      <c r="LBW34" s="292"/>
      <c r="LBX34" s="292"/>
      <c r="LBY34" s="292"/>
      <c r="LBZ34" s="292"/>
      <c r="LCA34" s="292"/>
      <c r="LCB34" s="292"/>
      <c r="LCC34" s="292"/>
      <c r="LCD34" s="292"/>
      <c r="LCE34" s="292"/>
      <c r="LCF34" s="292"/>
      <c r="LCG34" s="292"/>
      <c r="LCH34" s="292"/>
      <c r="LCI34" s="292"/>
      <c r="LCJ34" s="292"/>
      <c r="LCK34" s="292"/>
      <c r="LCL34" s="292"/>
      <c r="LCM34" s="292"/>
      <c r="LCN34" s="292"/>
      <c r="LCO34" s="292"/>
      <c r="LCP34" s="292"/>
      <c r="LCQ34" s="292"/>
      <c r="LCR34" s="292"/>
      <c r="LCS34" s="292"/>
      <c r="LCT34" s="292"/>
      <c r="LCU34" s="292"/>
      <c r="LCV34" s="292"/>
      <c r="LCW34" s="292"/>
      <c r="LCX34" s="292"/>
      <c r="LCY34" s="292"/>
      <c r="LCZ34" s="292"/>
      <c r="LDA34" s="292"/>
      <c r="LDB34" s="292"/>
      <c r="LDC34" s="292"/>
      <c r="LDD34" s="292"/>
      <c r="LDE34" s="292"/>
      <c r="LDF34" s="292"/>
      <c r="LDG34" s="292"/>
      <c r="LDH34" s="292"/>
      <c r="LDI34" s="292"/>
      <c r="LDJ34" s="292"/>
      <c r="LDK34" s="292"/>
      <c r="LDL34" s="292"/>
      <c r="LDM34" s="292"/>
      <c r="LDN34" s="292"/>
      <c r="LDO34" s="292"/>
      <c r="LDP34" s="292"/>
      <c r="LDQ34" s="292"/>
      <c r="LDR34" s="292"/>
      <c r="LDS34" s="292"/>
      <c r="LDT34" s="292"/>
      <c r="LDU34" s="292"/>
      <c r="LDV34" s="292"/>
      <c r="LDW34" s="292"/>
      <c r="LDX34" s="292"/>
      <c r="LDY34" s="292"/>
      <c r="LDZ34" s="292"/>
      <c r="LEA34" s="292"/>
      <c r="LEB34" s="292"/>
      <c r="LEC34" s="292"/>
      <c r="LED34" s="292"/>
      <c r="LEE34" s="292"/>
      <c r="LEF34" s="292"/>
      <c r="LEG34" s="292"/>
      <c r="LEH34" s="292"/>
      <c r="LEI34" s="292"/>
      <c r="LEJ34" s="292"/>
      <c r="LEK34" s="292"/>
      <c r="LEL34" s="292"/>
      <c r="LEM34" s="292"/>
      <c r="LEN34" s="292"/>
      <c r="LEO34" s="292"/>
      <c r="LEP34" s="292"/>
      <c r="LEQ34" s="292"/>
      <c r="LER34" s="292"/>
      <c r="LES34" s="292"/>
      <c r="LET34" s="292"/>
      <c r="LEU34" s="292"/>
      <c r="LEV34" s="292"/>
      <c r="LEW34" s="292"/>
      <c r="LEX34" s="292"/>
      <c r="LEY34" s="292"/>
      <c r="LEZ34" s="292"/>
      <c r="LFA34" s="292"/>
      <c r="LFB34" s="292"/>
      <c r="LFC34" s="292"/>
      <c r="LFD34" s="292"/>
      <c r="LFE34" s="292"/>
      <c r="LFF34" s="292"/>
      <c r="LFG34" s="292"/>
      <c r="LFH34" s="292"/>
      <c r="LFI34" s="292"/>
      <c r="LFJ34" s="292"/>
      <c r="LFK34" s="292"/>
      <c r="LFL34" s="292"/>
      <c r="LFM34" s="292"/>
      <c r="LFN34" s="292"/>
      <c r="LFO34" s="292"/>
      <c r="LFP34" s="292"/>
      <c r="LFQ34" s="292"/>
      <c r="LFR34" s="292"/>
      <c r="LFS34" s="292"/>
      <c r="LFT34" s="292"/>
      <c r="LFU34" s="292"/>
      <c r="LFV34" s="292"/>
      <c r="LFW34" s="292"/>
      <c r="LFX34" s="292"/>
      <c r="LFY34" s="292"/>
      <c r="LFZ34" s="292"/>
      <c r="LGA34" s="292"/>
      <c r="LGB34" s="292"/>
      <c r="LGC34" s="292"/>
      <c r="LGD34" s="292"/>
      <c r="LGE34" s="292"/>
      <c r="LGF34" s="292"/>
      <c r="LGG34" s="292"/>
      <c r="LGH34" s="292"/>
      <c r="LGI34" s="292"/>
      <c r="LGJ34" s="292"/>
      <c r="LGK34" s="292"/>
      <c r="LGL34" s="292"/>
      <c r="LGM34" s="292"/>
      <c r="LGN34" s="292"/>
      <c r="LGO34" s="292"/>
      <c r="LGP34" s="292"/>
      <c r="LGQ34" s="292"/>
      <c r="LGR34" s="292"/>
      <c r="LGS34" s="292"/>
      <c r="LGT34" s="292"/>
      <c r="LGU34" s="292"/>
      <c r="LGV34" s="292"/>
      <c r="LGW34" s="292"/>
      <c r="LGX34" s="292"/>
      <c r="LGY34" s="292"/>
      <c r="LGZ34" s="292"/>
      <c r="LHA34" s="292"/>
      <c r="LHB34" s="292"/>
      <c r="LHC34" s="292"/>
      <c r="LHD34" s="292"/>
      <c r="LHE34" s="292"/>
      <c r="LHF34" s="292"/>
      <c r="LHG34" s="292"/>
      <c r="LHH34" s="292"/>
      <c r="LHI34" s="292"/>
      <c r="LHJ34" s="292"/>
      <c r="LHK34" s="292"/>
      <c r="LHL34" s="292"/>
      <c r="LHM34" s="292"/>
      <c r="LHN34" s="292"/>
      <c r="LHO34" s="292"/>
      <c r="LHP34" s="292"/>
      <c r="LHQ34" s="292"/>
      <c r="LHR34" s="292"/>
      <c r="LHS34" s="292"/>
      <c r="LHT34" s="292"/>
      <c r="LHU34" s="292"/>
      <c r="LHV34" s="292"/>
      <c r="LHW34" s="292"/>
      <c r="LHX34" s="292"/>
      <c r="LHY34" s="292"/>
      <c r="LHZ34" s="292"/>
      <c r="LIA34" s="292"/>
      <c r="LIB34" s="292"/>
      <c r="LIC34" s="292"/>
      <c r="LID34" s="292"/>
      <c r="LIE34" s="292"/>
      <c r="LIF34" s="292"/>
      <c r="LIG34" s="292"/>
      <c r="LIH34" s="292"/>
      <c r="LII34" s="292"/>
      <c r="LIJ34" s="292"/>
      <c r="LIK34" s="292"/>
      <c r="LIL34" s="292"/>
      <c r="LIM34" s="292"/>
      <c r="LIN34" s="292"/>
      <c r="LIO34" s="292"/>
      <c r="LIP34" s="292"/>
      <c r="LIQ34" s="292"/>
      <c r="LIR34" s="292"/>
      <c r="LIS34" s="292"/>
      <c r="LIT34" s="292"/>
      <c r="LIU34" s="292"/>
      <c r="LIV34" s="292"/>
      <c r="LIW34" s="292"/>
      <c r="LIX34" s="292"/>
      <c r="LIY34" s="292"/>
      <c r="LIZ34" s="292"/>
      <c r="LJA34" s="292"/>
      <c r="LJB34" s="292"/>
      <c r="LJC34" s="292"/>
      <c r="LJD34" s="292"/>
      <c r="LJE34" s="292"/>
      <c r="LJF34" s="292"/>
      <c r="LJG34" s="292"/>
      <c r="LJH34" s="292"/>
      <c r="LJI34" s="292"/>
      <c r="LJJ34" s="292"/>
      <c r="LJK34" s="292"/>
      <c r="LJL34" s="292"/>
      <c r="LJM34" s="292"/>
      <c r="LJN34" s="292"/>
      <c r="LJO34" s="292"/>
      <c r="LJP34" s="292"/>
      <c r="LJQ34" s="292"/>
      <c r="LJR34" s="292"/>
      <c r="LJS34" s="292"/>
      <c r="LJT34" s="292"/>
      <c r="LJU34" s="292"/>
      <c r="LJV34" s="292"/>
      <c r="LJW34" s="292"/>
      <c r="LJX34" s="292"/>
      <c r="LJY34" s="292"/>
      <c r="LJZ34" s="292"/>
      <c r="LKA34" s="292"/>
      <c r="LKB34" s="292"/>
      <c r="LKC34" s="292"/>
      <c r="LKD34" s="292"/>
      <c r="LKE34" s="292"/>
      <c r="LKF34" s="292"/>
      <c r="LKG34" s="292"/>
      <c r="LKH34" s="292"/>
      <c r="LKI34" s="292"/>
      <c r="LKJ34" s="292"/>
      <c r="LKK34" s="292"/>
      <c r="LKL34" s="292"/>
      <c r="LKM34" s="292"/>
      <c r="LKN34" s="292"/>
      <c r="LKO34" s="292"/>
      <c r="LKP34" s="292"/>
      <c r="LKQ34" s="292"/>
      <c r="LKR34" s="292"/>
      <c r="LKS34" s="292"/>
      <c r="LKT34" s="292"/>
      <c r="LKU34" s="292"/>
      <c r="LKV34" s="292"/>
      <c r="LKW34" s="292"/>
      <c r="LKX34" s="292"/>
      <c r="LKY34" s="292"/>
      <c r="LKZ34" s="292"/>
      <c r="LLA34" s="292"/>
      <c r="LLB34" s="292"/>
      <c r="LLC34" s="292"/>
      <c r="LLD34" s="292"/>
      <c r="LLE34" s="292"/>
      <c r="LLF34" s="292"/>
      <c r="LLG34" s="292"/>
      <c r="LLH34" s="292"/>
      <c r="LLI34" s="292"/>
      <c r="LLJ34" s="292"/>
      <c r="LLK34" s="292"/>
      <c r="LLL34" s="292"/>
      <c r="LLM34" s="292"/>
      <c r="LLN34" s="292"/>
      <c r="LLO34" s="292"/>
      <c r="LLP34" s="292"/>
      <c r="LLQ34" s="292"/>
      <c r="LLR34" s="292"/>
      <c r="LLS34" s="292"/>
      <c r="LLT34" s="292"/>
      <c r="LLU34" s="292"/>
      <c r="LLV34" s="292"/>
      <c r="LLW34" s="292"/>
      <c r="LLX34" s="292"/>
      <c r="LLY34" s="292"/>
      <c r="LLZ34" s="292"/>
      <c r="LMA34" s="292"/>
      <c r="LMB34" s="292"/>
      <c r="LMC34" s="292"/>
      <c r="LMD34" s="292"/>
      <c r="LME34" s="292"/>
      <c r="LMF34" s="292"/>
      <c r="LMG34" s="292"/>
      <c r="LMH34" s="292"/>
      <c r="LMI34" s="292"/>
      <c r="LMJ34" s="292"/>
      <c r="LMK34" s="292"/>
      <c r="LML34" s="292"/>
      <c r="LMM34" s="292"/>
      <c r="LMN34" s="292"/>
      <c r="LMO34" s="292"/>
      <c r="LMP34" s="292"/>
      <c r="LMQ34" s="292"/>
      <c r="LMR34" s="292"/>
      <c r="LMS34" s="292"/>
      <c r="LMT34" s="292"/>
      <c r="LMU34" s="292"/>
      <c r="LMV34" s="292"/>
      <c r="LMW34" s="292"/>
      <c r="LMX34" s="292"/>
      <c r="LMY34" s="292"/>
      <c r="LMZ34" s="292"/>
      <c r="LNA34" s="292"/>
      <c r="LNB34" s="292"/>
      <c r="LNC34" s="292"/>
      <c r="LND34" s="292"/>
      <c r="LNE34" s="292"/>
      <c r="LNF34" s="292"/>
      <c r="LNG34" s="292"/>
      <c r="LNH34" s="292"/>
      <c r="LNI34" s="292"/>
      <c r="LNJ34" s="292"/>
      <c r="LNK34" s="292"/>
      <c r="LNL34" s="292"/>
      <c r="LNM34" s="292"/>
      <c r="LNN34" s="292"/>
      <c r="LNO34" s="292"/>
      <c r="LNP34" s="292"/>
      <c r="LNQ34" s="292"/>
      <c r="LNR34" s="292"/>
      <c r="LNS34" s="292"/>
      <c r="LNT34" s="292"/>
      <c r="LNU34" s="292"/>
      <c r="LNV34" s="292"/>
      <c r="LNW34" s="292"/>
      <c r="LNX34" s="292"/>
      <c r="LNY34" s="292"/>
      <c r="LNZ34" s="292"/>
      <c r="LOA34" s="292"/>
      <c r="LOB34" s="292"/>
      <c r="LOC34" s="292"/>
      <c r="LOD34" s="292"/>
      <c r="LOE34" s="292"/>
      <c r="LOF34" s="292"/>
      <c r="LOG34" s="292"/>
      <c r="LOH34" s="292"/>
      <c r="LOI34" s="292"/>
      <c r="LOJ34" s="292"/>
      <c r="LOK34" s="292"/>
      <c r="LOL34" s="292"/>
      <c r="LOM34" s="292"/>
      <c r="LON34" s="292"/>
      <c r="LOO34" s="292"/>
      <c r="LOP34" s="292"/>
      <c r="LOQ34" s="292"/>
      <c r="LOR34" s="292"/>
      <c r="LOS34" s="292"/>
      <c r="LOT34" s="292"/>
      <c r="LOU34" s="292"/>
      <c r="LOV34" s="292"/>
      <c r="LOW34" s="292"/>
      <c r="LOX34" s="292"/>
      <c r="LOY34" s="292"/>
      <c r="LOZ34" s="292"/>
      <c r="LPA34" s="292"/>
      <c r="LPB34" s="292"/>
      <c r="LPC34" s="292"/>
      <c r="LPD34" s="292"/>
      <c r="LPE34" s="292"/>
      <c r="LPF34" s="292"/>
      <c r="LPG34" s="292"/>
      <c r="LPH34" s="292"/>
      <c r="LPI34" s="292"/>
      <c r="LPJ34" s="292"/>
      <c r="LPK34" s="292"/>
      <c r="LPL34" s="292"/>
      <c r="LPM34" s="292"/>
      <c r="LPN34" s="292"/>
      <c r="LPO34" s="292"/>
      <c r="LPP34" s="292"/>
      <c r="LPQ34" s="292"/>
      <c r="LPR34" s="292"/>
      <c r="LPS34" s="292"/>
      <c r="LPT34" s="292"/>
      <c r="LPU34" s="292"/>
      <c r="LPV34" s="292"/>
      <c r="LPW34" s="292"/>
      <c r="LPX34" s="292"/>
      <c r="LPY34" s="292"/>
      <c r="LPZ34" s="292"/>
      <c r="LQA34" s="292"/>
      <c r="LQB34" s="292"/>
      <c r="LQC34" s="292"/>
      <c r="LQD34" s="292"/>
      <c r="LQE34" s="292"/>
      <c r="LQF34" s="292"/>
      <c r="LQG34" s="292"/>
      <c r="LQH34" s="292"/>
      <c r="LQI34" s="292"/>
      <c r="LQJ34" s="292"/>
      <c r="LQK34" s="292"/>
      <c r="LQL34" s="292"/>
      <c r="LQM34" s="292"/>
      <c r="LQN34" s="292"/>
      <c r="LQO34" s="292"/>
      <c r="LQP34" s="292"/>
      <c r="LQQ34" s="292"/>
      <c r="LQR34" s="292"/>
      <c r="LQS34" s="292"/>
      <c r="LQT34" s="292"/>
      <c r="LQU34" s="292"/>
      <c r="LQV34" s="292"/>
      <c r="LQW34" s="292"/>
      <c r="LQX34" s="292"/>
      <c r="LQY34" s="292"/>
      <c r="LQZ34" s="292"/>
      <c r="LRA34" s="292"/>
      <c r="LRB34" s="292"/>
      <c r="LRC34" s="292"/>
      <c r="LRD34" s="292"/>
      <c r="LRE34" s="292"/>
      <c r="LRF34" s="292"/>
      <c r="LRG34" s="292"/>
      <c r="LRH34" s="292"/>
      <c r="LRI34" s="292"/>
      <c r="LRJ34" s="292"/>
      <c r="LRK34" s="292"/>
      <c r="LRL34" s="292"/>
      <c r="LRM34" s="292"/>
      <c r="LRN34" s="292"/>
      <c r="LRO34" s="292"/>
      <c r="LRP34" s="292"/>
      <c r="LRQ34" s="292"/>
      <c r="LRR34" s="292"/>
      <c r="LRS34" s="292"/>
      <c r="LRT34" s="292"/>
      <c r="LRU34" s="292"/>
      <c r="LRV34" s="292"/>
      <c r="LRW34" s="292"/>
      <c r="LRX34" s="292"/>
      <c r="LRY34" s="292"/>
      <c r="LRZ34" s="292"/>
      <c r="LSA34" s="292"/>
      <c r="LSB34" s="292"/>
      <c r="LSC34" s="292"/>
      <c r="LSD34" s="292"/>
      <c r="LSE34" s="292"/>
      <c r="LSF34" s="292"/>
      <c r="LSG34" s="292"/>
      <c r="LSH34" s="292"/>
      <c r="LSI34" s="292"/>
      <c r="LSJ34" s="292"/>
      <c r="LSK34" s="292"/>
      <c r="LSL34" s="292"/>
      <c r="LSM34" s="292"/>
      <c r="LSN34" s="292"/>
      <c r="LSO34" s="292"/>
      <c r="LSP34" s="292"/>
      <c r="LSQ34" s="292"/>
      <c r="LSR34" s="292"/>
      <c r="LSS34" s="292"/>
      <c r="LST34" s="292"/>
      <c r="LSU34" s="292"/>
      <c r="LSV34" s="292"/>
      <c r="LSW34" s="292"/>
      <c r="LSX34" s="292"/>
      <c r="LSY34" s="292"/>
      <c r="LSZ34" s="292"/>
      <c r="LTA34" s="292"/>
      <c r="LTB34" s="292"/>
      <c r="LTC34" s="292"/>
      <c r="LTD34" s="292"/>
      <c r="LTE34" s="292"/>
      <c r="LTF34" s="292"/>
      <c r="LTG34" s="292"/>
      <c r="LTH34" s="292"/>
      <c r="LTI34" s="292"/>
      <c r="LTJ34" s="292"/>
      <c r="LTK34" s="292"/>
      <c r="LTL34" s="292"/>
      <c r="LTM34" s="292"/>
      <c r="LTN34" s="292"/>
      <c r="LTO34" s="292"/>
      <c r="LTP34" s="292"/>
      <c r="LTQ34" s="292"/>
      <c r="LTR34" s="292"/>
      <c r="LTS34" s="292"/>
      <c r="LTT34" s="292"/>
      <c r="LTU34" s="292"/>
      <c r="LTV34" s="292"/>
      <c r="LTW34" s="292"/>
      <c r="LTX34" s="292"/>
      <c r="LTY34" s="292"/>
      <c r="LTZ34" s="292"/>
      <c r="LUA34" s="292"/>
      <c r="LUB34" s="292"/>
      <c r="LUC34" s="292"/>
      <c r="LUD34" s="292"/>
      <c r="LUE34" s="292"/>
      <c r="LUF34" s="292"/>
      <c r="LUG34" s="292"/>
      <c r="LUH34" s="292"/>
      <c r="LUI34" s="292"/>
      <c r="LUJ34" s="292"/>
      <c r="LUK34" s="292"/>
      <c r="LUL34" s="292"/>
      <c r="LUM34" s="292"/>
      <c r="LUN34" s="292"/>
      <c r="LUO34" s="292"/>
      <c r="LUP34" s="292"/>
      <c r="LUQ34" s="292"/>
      <c r="LUR34" s="292"/>
      <c r="LUS34" s="292"/>
      <c r="LUT34" s="292"/>
      <c r="LUU34" s="292"/>
      <c r="LUV34" s="292"/>
      <c r="LUW34" s="292"/>
      <c r="LUX34" s="292"/>
      <c r="LUY34" s="292"/>
      <c r="LUZ34" s="292"/>
      <c r="LVA34" s="292"/>
      <c r="LVB34" s="292"/>
      <c r="LVC34" s="292"/>
      <c r="LVD34" s="292"/>
      <c r="LVE34" s="292"/>
      <c r="LVF34" s="292"/>
      <c r="LVG34" s="292"/>
      <c r="LVH34" s="292"/>
      <c r="LVI34" s="292"/>
      <c r="LVJ34" s="292"/>
      <c r="LVK34" s="292"/>
      <c r="LVL34" s="292"/>
      <c r="LVM34" s="292"/>
      <c r="LVN34" s="292"/>
      <c r="LVO34" s="292"/>
      <c r="LVP34" s="292"/>
      <c r="LVQ34" s="292"/>
      <c r="LVR34" s="292"/>
      <c r="LVS34" s="292"/>
      <c r="LVT34" s="292"/>
      <c r="LVU34" s="292"/>
      <c r="LVV34" s="292"/>
      <c r="LVW34" s="292"/>
      <c r="LVX34" s="292"/>
      <c r="LVY34" s="292"/>
      <c r="LVZ34" s="292"/>
      <c r="LWA34" s="292"/>
      <c r="LWB34" s="292"/>
      <c r="LWC34" s="292"/>
      <c r="LWD34" s="292"/>
      <c r="LWE34" s="292"/>
      <c r="LWF34" s="292"/>
      <c r="LWG34" s="292"/>
      <c r="LWH34" s="292"/>
      <c r="LWI34" s="292"/>
      <c r="LWJ34" s="292"/>
      <c r="LWK34" s="292"/>
      <c r="LWL34" s="292"/>
      <c r="LWM34" s="292"/>
      <c r="LWN34" s="292"/>
      <c r="LWO34" s="292"/>
      <c r="LWP34" s="292"/>
      <c r="LWQ34" s="292"/>
      <c r="LWR34" s="292"/>
      <c r="LWS34" s="292"/>
      <c r="LWT34" s="292"/>
      <c r="LWU34" s="292"/>
      <c r="LWV34" s="292"/>
      <c r="LWW34" s="292"/>
      <c r="LWX34" s="292"/>
      <c r="LWY34" s="292"/>
      <c r="LWZ34" s="292"/>
      <c r="LXA34" s="292"/>
      <c r="LXB34" s="292"/>
      <c r="LXC34" s="292"/>
      <c r="LXD34" s="292"/>
      <c r="LXE34" s="292"/>
      <c r="LXF34" s="292"/>
      <c r="LXG34" s="292"/>
      <c r="LXH34" s="292"/>
      <c r="LXI34" s="292"/>
      <c r="LXJ34" s="292"/>
      <c r="LXK34" s="292"/>
      <c r="LXL34" s="292"/>
      <c r="LXM34" s="292"/>
      <c r="LXN34" s="292"/>
      <c r="LXO34" s="292"/>
      <c r="LXP34" s="292"/>
      <c r="LXQ34" s="292"/>
      <c r="LXR34" s="292"/>
      <c r="LXS34" s="292"/>
      <c r="LXT34" s="292"/>
      <c r="LXU34" s="292"/>
      <c r="LXV34" s="292"/>
      <c r="LXW34" s="292"/>
      <c r="LXX34" s="292"/>
      <c r="LXY34" s="292"/>
      <c r="LXZ34" s="292"/>
      <c r="LYA34" s="292"/>
      <c r="LYB34" s="292"/>
      <c r="LYC34" s="292"/>
      <c r="LYD34" s="292"/>
      <c r="LYE34" s="292"/>
      <c r="LYF34" s="292"/>
      <c r="LYG34" s="292"/>
      <c r="LYH34" s="292"/>
      <c r="LYI34" s="292"/>
      <c r="LYJ34" s="292"/>
      <c r="LYK34" s="292"/>
      <c r="LYL34" s="292"/>
      <c r="LYM34" s="292"/>
      <c r="LYN34" s="292"/>
      <c r="LYO34" s="292"/>
      <c r="LYP34" s="292"/>
      <c r="LYQ34" s="292"/>
      <c r="LYR34" s="292"/>
      <c r="LYS34" s="292"/>
      <c r="LYT34" s="292"/>
      <c r="LYU34" s="292"/>
      <c r="LYV34" s="292"/>
      <c r="LYW34" s="292"/>
      <c r="LYX34" s="292"/>
      <c r="LYY34" s="292"/>
      <c r="LYZ34" s="292"/>
      <c r="LZA34" s="292"/>
      <c r="LZB34" s="292"/>
      <c r="LZC34" s="292"/>
      <c r="LZD34" s="292"/>
      <c r="LZE34" s="292"/>
      <c r="LZF34" s="292"/>
      <c r="LZG34" s="292"/>
      <c r="LZH34" s="292"/>
      <c r="LZI34" s="292"/>
      <c r="LZJ34" s="292"/>
      <c r="LZK34" s="292"/>
      <c r="LZL34" s="292"/>
      <c r="LZM34" s="292"/>
      <c r="LZN34" s="292"/>
      <c r="LZO34" s="292"/>
      <c r="LZP34" s="292"/>
      <c r="LZQ34" s="292"/>
      <c r="LZR34" s="292"/>
      <c r="LZS34" s="292"/>
      <c r="LZT34" s="292"/>
      <c r="LZU34" s="292"/>
      <c r="LZV34" s="292"/>
      <c r="LZW34" s="292"/>
      <c r="LZX34" s="292"/>
      <c r="LZY34" s="292"/>
      <c r="LZZ34" s="292"/>
      <c r="MAA34" s="292"/>
      <c r="MAB34" s="292"/>
      <c r="MAC34" s="292"/>
      <c r="MAD34" s="292"/>
      <c r="MAE34" s="292"/>
      <c r="MAF34" s="292"/>
      <c r="MAG34" s="292"/>
      <c r="MAH34" s="292"/>
      <c r="MAI34" s="292"/>
      <c r="MAJ34" s="292"/>
      <c r="MAK34" s="292"/>
      <c r="MAL34" s="292"/>
      <c r="MAM34" s="292"/>
      <c r="MAN34" s="292"/>
      <c r="MAO34" s="292"/>
      <c r="MAP34" s="292"/>
      <c r="MAQ34" s="292"/>
      <c r="MAR34" s="292"/>
      <c r="MAS34" s="292"/>
      <c r="MAT34" s="292"/>
      <c r="MAU34" s="292"/>
      <c r="MAV34" s="292"/>
      <c r="MAW34" s="292"/>
      <c r="MAX34" s="292"/>
      <c r="MAY34" s="292"/>
      <c r="MAZ34" s="292"/>
      <c r="MBA34" s="292"/>
      <c r="MBB34" s="292"/>
      <c r="MBC34" s="292"/>
      <c r="MBD34" s="292"/>
      <c r="MBE34" s="292"/>
      <c r="MBF34" s="292"/>
      <c r="MBG34" s="292"/>
      <c r="MBH34" s="292"/>
      <c r="MBI34" s="292"/>
      <c r="MBJ34" s="292"/>
      <c r="MBK34" s="292"/>
      <c r="MBL34" s="292"/>
      <c r="MBM34" s="292"/>
      <c r="MBN34" s="292"/>
      <c r="MBO34" s="292"/>
      <c r="MBP34" s="292"/>
      <c r="MBQ34" s="292"/>
      <c r="MBR34" s="292"/>
      <c r="MBS34" s="292"/>
      <c r="MBT34" s="292"/>
      <c r="MBU34" s="292"/>
      <c r="MBV34" s="292"/>
      <c r="MBW34" s="292"/>
      <c r="MBX34" s="292"/>
      <c r="MBY34" s="292"/>
      <c r="MBZ34" s="292"/>
      <c r="MCA34" s="292"/>
      <c r="MCB34" s="292"/>
      <c r="MCC34" s="292"/>
      <c r="MCD34" s="292"/>
      <c r="MCE34" s="292"/>
      <c r="MCF34" s="292"/>
      <c r="MCG34" s="292"/>
      <c r="MCH34" s="292"/>
      <c r="MCI34" s="292"/>
      <c r="MCJ34" s="292"/>
      <c r="MCK34" s="292"/>
      <c r="MCL34" s="292"/>
      <c r="MCM34" s="292"/>
      <c r="MCN34" s="292"/>
      <c r="MCO34" s="292"/>
      <c r="MCP34" s="292"/>
      <c r="MCQ34" s="292"/>
      <c r="MCR34" s="292"/>
      <c r="MCS34" s="292"/>
      <c r="MCT34" s="292"/>
      <c r="MCU34" s="292"/>
      <c r="MCV34" s="292"/>
      <c r="MCW34" s="292"/>
      <c r="MCX34" s="292"/>
      <c r="MCY34" s="292"/>
      <c r="MCZ34" s="292"/>
      <c r="MDA34" s="292"/>
      <c r="MDB34" s="292"/>
      <c r="MDC34" s="292"/>
      <c r="MDD34" s="292"/>
      <c r="MDE34" s="292"/>
      <c r="MDF34" s="292"/>
      <c r="MDG34" s="292"/>
      <c r="MDH34" s="292"/>
      <c r="MDI34" s="292"/>
      <c r="MDJ34" s="292"/>
      <c r="MDK34" s="292"/>
      <c r="MDL34" s="292"/>
      <c r="MDM34" s="292"/>
      <c r="MDN34" s="292"/>
      <c r="MDO34" s="292"/>
      <c r="MDP34" s="292"/>
      <c r="MDQ34" s="292"/>
      <c r="MDR34" s="292"/>
      <c r="MDS34" s="292"/>
      <c r="MDT34" s="292"/>
      <c r="MDU34" s="292"/>
      <c r="MDV34" s="292"/>
      <c r="MDW34" s="292"/>
      <c r="MDX34" s="292"/>
      <c r="MDY34" s="292"/>
      <c r="MDZ34" s="292"/>
      <c r="MEA34" s="292"/>
      <c r="MEB34" s="292"/>
      <c r="MEC34" s="292"/>
      <c r="MED34" s="292"/>
      <c r="MEE34" s="292"/>
      <c r="MEF34" s="292"/>
      <c r="MEG34" s="292"/>
      <c r="MEH34" s="292"/>
      <c r="MEI34" s="292"/>
      <c r="MEJ34" s="292"/>
      <c r="MEK34" s="292"/>
      <c r="MEL34" s="292"/>
      <c r="MEM34" s="292"/>
      <c r="MEN34" s="292"/>
      <c r="MEO34" s="292"/>
      <c r="MEP34" s="292"/>
      <c r="MEQ34" s="292"/>
      <c r="MER34" s="292"/>
      <c r="MES34" s="292"/>
      <c r="MET34" s="292"/>
      <c r="MEU34" s="292"/>
      <c r="MEV34" s="292"/>
      <c r="MEW34" s="292"/>
      <c r="MEX34" s="292"/>
      <c r="MEY34" s="292"/>
      <c r="MEZ34" s="292"/>
      <c r="MFA34" s="292"/>
      <c r="MFB34" s="292"/>
      <c r="MFC34" s="292"/>
      <c r="MFD34" s="292"/>
      <c r="MFE34" s="292"/>
      <c r="MFF34" s="292"/>
      <c r="MFG34" s="292"/>
      <c r="MFH34" s="292"/>
      <c r="MFI34" s="292"/>
      <c r="MFJ34" s="292"/>
      <c r="MFK34" s="292"/>
      <c r="MFL34" s="292"/>
      <c r="MFM34" s="292"/>
      <c r="MFN34" s="292"/>
      <c r="MFO34" s="292"/>
      <c r="MFP34" s="292"/>
      <c r="MFQ34" s="292"/>
      <c r="MFR34" s="292"/>
      <c r="MFS34" s="292"/>
      <c r="MFT34" s="292"/>
      <c r="MFU34" s="292"/>
      <c r="MFV34" s="292"/>
      <c r="MFW34" s="292"/>
      <c r="MFX34" s="292"/>
      <c r="MFY34" s="292"/>
      <c r="MFZ34" s="292"/>
      <c r="MGA34" s="292"/>
      <c r="MGB34" s="292"/>
      <c r="MGC34" s="292"/>
      <c r="MGD34" s="292"/>
      <c r="MGE34" s="292"/>
      <c r="MGF34" s="292"/>
      <c r="MGG34" s="292"/>
      <c r="MGH34" s="292"/>
      <c r="MGI34" s="292"/>
      <c r="MGJ34" s="292"/>
      <c r="MGK34" s="292"/>
      <c r="MGL34" s="292"/>
      <c r="MGM34" s="292"/>
      <c r="MGN34" s="292"/>
      <c r="MGO34" s="292"/>
      <c r="MGP34" s="292"/>
      <c r="MGQ34" s="292"/>
      <c r="MGR34" s="292"/>
      <c r="MGS34" s="292"/>
      <c r="MGT34" s="292"/>
      <c r="MGU34" s="292"/>
      <c r="MGV34" s="292"/>
      <c r="MGW34" s="292"/>
      <c r="MGX34" s="292"/>
      <c r="MGY34" s="292"/>
      <c r="MGZ34" s="292"/>
      <c r="MHA34" s="292"/>
      <c r="MHB34" s="292"/>
      <c r="MHC34" s="292"/>
      <c r="MHD34" s="292"/>
      <c r="MHE34" s="292"/>
      <c r="MHF34" s="292"/>
      <c r="MHG34" s="292"/>
      <c r="MHH34" s="292"/>
      <c r="MHI34" s="292"/>
      <c r="MHJ34" s="292"/>
      <c r="MHK34" s="292"/>
      <c r="MHL34" s="292"/>
      <c r="MHM34" s="292"/>
      <c r="MHN34" s="292"/>
      <c r="MHO34" s="292"/>
      <c r="MHP34" s="292"/>
      <c r="MHQ34" s="292"/>
      <c r="MHR34" s="292"/>
      <c r="MHS34" s="292"/>
      <c r="MHT34" s="292"/>
      <c r="MHU34" s="292"/>
      <c r="MHV34" s="292"/>
      <c r="MHW34" s="292"/>
      <c r="MHX34" s="292"/>
      <c r="MHY34" s="292"/>
      <c r="MHZ34" s="292"/>
      <c r="MIA34" s="292"/>
      <c r="MIB34" s="292"/>
      <c r="MIC34" s="292"/>
      <c r="MID34" s="292"/>
      <c r="MIE34" s="292"/>
      <c r="MIF34" s="292"/>
      <c r="MIG34" s="292"/>
      <c r="MIH34" s="292"/>
      <c r="MII34" s="292"/>
      <c r="MIJ34" s="292"/>
      <c r="MIK34" s="292"/>
      <c r="MIL34" s="292"/>
      <c r="MIM34" s="292"/>
      <c r="MIN34" s="292"/>
      <c r="MIO34" s="292"/>
      <c r="MIP34" s="292"/>
      <c r="MIQ34" s="292"/>
      <c r="MIR34" s="292"/>
      <c r="MIS34" s="292"/>
      <c r="MIT34" s="292"/>
      <c r="MIU34" s="292"/>
      <c r="MIV34" s="292"/>
      <c r="MIW34" s="292"/>
      <c r="MIX34" s="292"/>
      <c r="MIY34" s="292"/>
      <c r="MIZ34" s="292"/>
      <c r="MJA34" s="292"/>
      <c r="MJB34" s="292"/>
      <c r="MJC34" s="292"/>
      <c r="MJD34" s="292"/>
      <c r="MJE34" s="292"/>
      <c r="MJF34" s="292"/>
      <c r="MJG34" s="292"/>
      <c r="MJH34" s="292"/>
      <c r="MJI34" s="292"/>
      <c r="MJJ34" s="292"/>
      <c r="MJK34" s="292"/>
      <c r="MJL34" s="292"/>
      <c r="MJM34" s="292"/>
      <c r="MJN34" s="292"/>
      <c r="MJO34" s="292"/>
      <c r="MJP34" s="292"/>
      <c r="MJQ34" s="292"/>
      <c r="MJR34" s="292"/>
      <c r="MJS34" s="292"/>
      <c r="MJT34" s="292"/>
      <c r="MJU34" s="292"/>
      <c r="MJV34" s="292"/>
      <c r="MJW34" s="292"/>
      <c r="MJX34" s="292"/>
      <c r="MJY34" s="292"/>
      <c r="MJZ34" s="292"/>
      <c r="MKA34" s="292"/>
      <c r="MKB34" s="292"/>
      <c r="MKC34" s="292"/>
      <c r="MKD34" s="292"/>
      <c r="MKE34" s="292"/>
      <c r="MKF34" s="292"/>
      <c r="MKG34" s="292"/>
      <c r="MKH34" s="292"/>
      <c r="MKI34" s="292"/>
      <c r="MKJ34" s="292"/>
      <c r="MKK34" s="292"/>
      <c r="MKL34" s="292"/>
      <c r="MKM34" s="292"/>
      <c r="MKN34" s="292"/>
      <c r="MKO34" s="292"/>
      <c r="MKP34" s="292"/>
      <c r="MKQ34" s="292"/>
      <c r="MKR34" s="292"/>
      <c r="MKS34" s="292"/>
      <c r="MKT34" s="292"/>
      <c r="MKU34" s="292"/>
      <c r="MKV34" s="292"/>
      <c r="MKW34" s="292"/>
      <c r="MKX34" s="292"/>
      <c r="MKY34" s="292"/>
      <c r="MKZ34" s="292"/>
      <c r="MLA34" s="292"/>
      <c r="MLB34" s="292"/>
      <c r="MLC34" s="292"/>
      <c r="MLD34" s="292"/>
      <c r="MLE34" s="292"/>
      <c r="MLF34" s="292"/>
      <c r="MLG34" s="292"/>
      <c r="MLH34" s="292"/>
      <c r="MLI34" s="292"/>
      <c r="MLJ34" s="292"/>
      <c r="MLK34" s="292"/>
      <c r="MLL34" s="292"/>
      <c r="MLM34" s="292"/>
      <c r="MLN34" s="292"/>
      <c r="MLO34" s="292"/>
      <c r="MLP34" s="292"/>
      <c r="MLQ34" s="292"/>
      <c r="MLR34" s="292"/>
      <c r="MLS34" s="292"/>
      <c r="MLT34" s="292"/>
      <c r="MLU34" s="292"/>
      <c r="MLV34" s="292"/>
      <c r="MLW34" s="292"/>
      <c r="MLX34" s="292"/>
      <c r="MLY34" s="292"/>
      <c r="MLZ34" s="292"/>
      <c r="MMA34" s="292"/>
      <c r="MMB34" s="292"/>
      <c r="MMC34" s="292"/>
      <c r="MMD34" s="292"/>
      <c r="MME34" s="292"/>
      <c r="MMF34" s="292"/>
      <c r="MMG34" s="292"/>
      <c r="MMH34" s="292"/>
      <c r="MMI34" s="292"/>
      <c r="MMJ34" s="292"/>
      <c r="MMK34" s="292"/>
      <c r="MML34" s="292"/>
      <c r="MMM34" s="292"/>
      <c r="MMN34" s="292"/>
      <c r="MMO34" s="292"/>
      <c r="MMP34" s="292"/>
      <c r="MMQ34" s="292"/>
      <c r="MMR34" s="292"/>
      <c r="MMS34" s="292"/>
      <c r="MMT34" s="292"/>
      <c r="MMU34" s="292"/>
      <c r="MMV34" s="292"/>
      <c r="MMW34" s="292"/>
      <c r="MMX34" s="292"/>
      <c r="MMY34" s="292"/>
      <c r="MMZ34" s="292"/>
      <c r="MNA34" s="292"/>
      <c r="MNB34" s="292"/>
      <c r="MNC34" s="292"/>
      <c r="MND34" s="292"/>
      <c r="MNE34" s="292"/>
      <c r="MNF34" s="292"/>
      <c r="MNG34" s="292"/>
      <c r="MNH34" s="292"/>
      <c r="MNI34" s="292"/>
      <c r="MNJ34" s="292"/>
      <c r="MNK34" s="292"/>
      <c r="MNL34" s="292"/>
      <c r="MNM34" s="292"/>
      <c r="MNN34" s="292"/>
      <c r="MNO34" s="292"/>
      <c r="MNP34" s="292"/>
      <c r="MNQ34" s="292"/>
      <c r="MNR34" s="292"/>
      <c r="MNS34" s="292"/>
      <c r="MNT34" s="292"/>
      <c r="MNU34" s="292"/>
      <c r="MNV34" s="292"/>
      <c r="MNW34" s="292"/>
      <c r="MNX34" s="292"/>
      <c r="MNY34" s="292"/>
      <c r="MNZ34" s="292"/>
      <c r="MOA34" s="292"/>
      <c r="MOB34" s="292"/>
      <c r="MOC34" s="292"/>
      <c r="MOD34" s="292"/>
      <c r="MOE34" s="292"/>
      <c r="MOF34" s="292"/>
      <c r="MOG34" s="292"/>
      <c r="MOH34" s="292"/>
      <c r="MOI34" s="292"/>
      <c r="MOJ34" s="292"/>
      <c r="MOK34" s="292"/>
      <c r="MOL34" s="292"/>
      <c r="MOM34" s="292"/>
      <c r="MON34" s="292"/>
      <c r="MOO34" s="292"/>
      <c r="MOP34" s="292"/>
      <c r="MOQ34" s="292"/>
      <c r="MOR34" s="292"/>
      <c r="MOS34" s="292"/>
      <c r="MOT34" s="292"/>
      <c r="MOU34" s="292"/>
      <c r="MOV34" s="292"/>
      <c r="MOW34" s="292"/>
      <c r="MOX34" s="292"/>
      <c r="MOY34" s="292"/>
      <c r="MOZ34" s="292"/>
      <c r="MPA34" s="292"/>
      <c r="MPB34" s="292"/>
      <c r="MPC34" s="292"/>
      <c r="MPD34" s="292"/>
      <c r="MPE34" s="292"/>
      <c r="MPF34" s="292"/>
      <c r="MPG34" s="292"/>
      <c r="MPH34" s="292"/>
      <c r="MPI34" s="292"/>
      <c r="MPJ34" s="292"/>
      <c r="MPK34" s="292"/>
      <c r="MPL34" s="292"/>
      <c r="MPM34" s="292"/>
      <c r="MPN34" s="292"/>
      <c r="MPO34" s="292"/>
      <c r="MPP34" s="292"/>
      <c r="MPQ34" s="292"/>
      <c r="MPR34" s="292"/>
      <c r="MPS34" s="292"/>
      <c r="MPT34" s="292"/>
      <c r="MPU34" s="292"/>
      <c r="MPV34" s="292"/>
      <c r="MPW34" s="292"/>
      <c r="MPX34" s="292"/>
      <c r="MPY34" s="292"/>
      <c r="MPZ34" s="292"/>
      <c r="MQA34" s="292"/>
      <c r="MQB34" s="292"/>
      <c r="MQC34" s="292"/>
      <c r="MQD34" s="292"/>
      <c r="MQE34" s="292"/>
      <c r="MQF34" s="292"/>
      <c r="MQG34" s="292"/>
      <c r="MQH34" s="292"/>
      <c r="MQI34" s="292"/>
      <c r="MQJ34" s="292"/>
      <c r="MQK34" s="292"/>
      <c r="MQL34" s="292"/>
      <c r="MQM34" s="292"/>
      <c r="MQN34" s="292"/>
      <c r="MQO34" s="292"/>
      <c r="MQP34" s="292"/>
      <c r="MQQ34" s="292"/>
      <c r="MQR34" s="292"/>
      <c r="MQS34" s="292"/>
      <c r="MQT34" s="292"/>
      <c r="MQU34" s="292"/>
      <c r="MQV34" s="292"/>
      <c r="MQW34" s="292"/>
      <c r="MQX34" s="292"/>
      <c r="MQY34" s="292"/>
      <c r="MQZ34" s="292"/>
      <c r="MRA34" s="292"/>
      <c r="MRB34" s="292"/>
      <c r="MRC34" s="292"/>
      <c r="MRD34" s="292"/>
      <c r="MRE34" s="292"/>
      <c r="MRF34" s="292"/>
      <c r="MRG34" s="292"/>
      <c r="MRH34" s="292"/>
      <c r="MRI34" s="292"/>
      <c r="MRJ34" s="292"/>
      <c r="MRK34" s="292"/>
      <c r="MRL34" s="292"/>
      <c r="MRM34" s="292"/>
      <c r="MRN34" s="292"/>
      <c r="MRO34" s="292"/>
      <c r="MRP34" s="292"/>
      <c r="MRQ34" s="292"/>
      <c r="MRR34" s="292"/>
      <c r="MRS34" s="292"/>
      <c r="MRT34" s="292"/>
      <c r="MRU34" s="292"/>
      <c r="MRV34" s="292"/>
      <c r="MRW34" s="292"/>
      <c r="MRX34" s="292"/>
      <c r="MRY34" s="292"/>
      <c r="MRZ34" s="292"/>
      <c r="MSA34" s="292"/>
      <c r="MSB34" s="292"/>
      <c r="MSC34" s="292"/>
      <c r="MSD34" s="292"/>
      <c r="MSE34" s="292"/>
      <c r="MSF34" s="292"/>
      <c r="MSG34" s="292"/>
      <c r="MSH34" s="292"/>
      <c r="MSI34" s="292"/>
      <c r="MSJ34" s="292"/>
      <c r="MSK34" s="292"/>
      <c r="MSL34" s="292"/>
      <c r="MSM34" s="292"/>
      <c r="MSN34" s="292"/>
      <c r="MSO34" s="292"/>
      <c r="MSP34" s="292"/>
      <c r="MSQ34" s="292"/>
      <c r="MSR34" s="292"/>
      <c r="MSS34" s="292"/>
      <c r="MST34" s="292"/>
      <c r="MSU34" s="292"/>
      <c r="MSV34" s="292"/>
      <c r="MSW34" s="292"/>
      <c r="MSX34" s="292"/>
      <c r="MSY34" s="292"/>
      <c r="MSZ34" s="292"/>
      <c r="MTA34" s="292"/>
      <c r="MTB34" s="292"/>
      <c r="MTC34" s="292"/>
      <c r="MTD34" s="292"/>
      <c r="MTE34" s="292"/>
      <c r="MTF34" s="292"/>
      <c r="MTG34" s="292"/>
      <c r="MTH34" s="292"/>
      <c r="MTI34" s="292"/>
      <c r="MTJ34" s="292"/>
      <c r="MTK34" s="292"/>
      <c r="MTL34" s="292"/>
      <c r="MTM34" s="292"/>
      <c r="MTN34" s="292"/>
      <c r="MTO34" s="292"/>
      <c r="MTP34" s="292"/>
      <c r="MTQ34" s="292"/>
      <c r="MTR34" s="292"/>
      <c r="MTS34" s="292"/>
      <c r="MTT34" s="292"/>
      <c r="MTU34" s="292"/>
      <c r="MTV34" s="292"/>
      <c r="MTW34" s="292"/>
      <c r="MTX34" s="292"/>
      <c r="MTY34" s="292"/>
      <c r="MTZ34" s="292"/>
      <c r="MUA34" s="292"/>
      <c r="MUB34" s="292"/>
      <c r="MUC34" s="292"/>
      <c r="MUD34" s="292"/>
      <c r="MUE34" s="292"/>
      <c r="MUF34" s="292"/>
      <c r="MUG34" s="292"/>
      <c r="MUH34" s="292"/>
      <c r="MUI34" s="292"/>
      <c r="MUJ34" s="292"/>
      <c r="MUK34" s="292"/>
      <c r="MUL34" s="292"/>
      <c r="MUM34" s="292"/>
      <c r="MUN34" s="292"/>
      <c r="MUO34" s="292"/>
      <c r="MUP34" s="292"/>
      <c r="MUQ34" s="292"/>
      <c r="MUR34" s="292"/>
      <c r="MUS34" s="292"/>
      <c r="MUT34" s="292"/>
      <c r="MUU34" s="292"/>
      <c r="MUV34" s="292"/>
      <c r="MUW34" s="292"/>
      <c r="MUX34" s="292"/>
      <c r="MUY34" s="292"/>
      <c r="MUZ34" s="292"/>
      <c r="MVA34" s="292"/>
      <c r="MVB34" s="292"/>
      <c r="MVC34" s="292"/>
      <c r="MVD34" s="292"/>
      <c r="MVE34" s="292"/>
      <c r="MVF34" s="292"/>
      <c r="MVG34" s="292"/>
      <c r="MVH34" s="292"/>
      <c r="MVI34" s="292"/>
      <c r="MVJ34" s="292"/>
      <c r="MVK34" s="292"/>
      <c r="MVL34" s="292"/>
      <c r="MVM34" s="292"/>
      <c r="MVN34" s="292"/>
      <c r="MVO34" s="292"/>
      <c r="MVP34" s="292"/>
      <c r="MVQ34" s="292"/>
      <c r="MVR34" s="292"/>
      <c r="MVS34" s="292"/>
      <c r="MVT34" s="292"/>
      <c r="MVU34" s="292"/>
      <c r="MVV34" s="292"/>
      <c r="MVW34" s="292"/>
      <c r="MVX34" s="292"/>
      <c r="MVY34" s="292"/>
      <c r="MVZ34" s="292"/>
      <c r="MWA34" s="292"/>
      <c r="MWB34" s="292"/>
      <c r="MWC34" s="292"/>
      <c r="MWD34" s="292"/>
      <c r="MWE34" s="292"/>
      <c r="MWF34" s="292"/>
      <c r="MWG34" s="292"/>
      <c r="MWH34" s="292"/>
      <c r="MWI34" s="292"/>
      <c r="MWJ34" s="292"/>
      <c r="MWK34" s="292"/>
      <c r="MWL34" s="292"/>
      <c r="MWM34" s="292"/>
      <c r="MWN34" s="292"/>
      <c r="MWO34" s="292"/>
      <c r="MWP34" s="292"/>
      <c r="MWQ34" s="292"/>
      <c r="MWR34" s="292"/>
      <c r="MWS34" s="292"/>
      <c r="MWT34" s="292"/>
      <c r="MWU34" s="292"/>
      <c r="MWV34" s="292"/>
      <c r="MWW34" s="292"/>
      <c r="MWX34" s="292"/>
      <c r="MWY34" s="292"/>
      <c r="MWZ34" s="292"/>
      <c r="MXA34" s="292"/>
      <c r="MXB34" s="292"/>
      <c r="MXC34" s="292"/>
      <c r="MXD34" s="292"/>
      <c r="MXE34" s="292"/>
      <c r="MXF34" s="292"/>
      <c r="MXG34" s="292"/>
      <c r="MXH34" s="292"/>
      <c r="MXI34" s="292"/>
      <c r="MXJ34" s="292"/>
      <c r="MXK34" s="292"/>
      <c r="MXL34" s="292"/>
      <c r="MXM34" s="292"/>
      <c r="MXN34" s="292"/>
      <c r="MXO34" s="292"/>
      <c r="MXP34" s="292"/>
      <c r="MXQ34" s="292"/>
      <c r="MXR34" s="292"/>
      <c r="MXS34" s="292"/>
      <c r="MXT34" s="292"/>
      <c r="MXU34" s="292"/>
      <c r="MXV34" s="292"/>
      <c r="MXW34" s="292"/>
      <c r="MXX34" s="292"/>
      <c r="MXY34" s="292"/>
      <c r="MXZ34" s="292"/>
      <c r="MYA34" s="292"/>
      <c r="MYB34" s="292"/>
      <c r="MYC34" s="292"/>
      <c r="MYD34" s="292"/>
      <c r="MYE34" s="292"/>
      <c r="MYF34" s="292"/>
      <c r="MYG34" s="292"/>
      <c r="MYH34" s="292"/>
      <c r="MYI34" s="292"/>
      <c r="MYJ34" s="292"/>
      <c r="MYK34" s="292"/>
      <c r="MYL34" s="292"/>
      <c r="MYM34" s="292"/>
      <c r="MYN34" s="292"/>
      <c r="MYO34" s="292"/>
      <c r="MYP34" s="292"/>
      <c r="MYQ34" s="292"/>
      <c r="MYR34" s="292"/>
      <c r="MYS34" s="292"/>
      <c r="MYT34" s="292"/>
      <c r="MYU34" s="292"/>
      <c r="MYV34" s="292"/>
      <c r="MYW34" s="292"/>
      <c r="MYX34" s="292"/>
      <c r="MYY34" s="292"/>
      <c r="MYZ34" s="292"/>
      <c r="MZA34" s="292"/>
      <c r="MZB34" s="292"/>
      <c r="MZC34" s="292"/>
      <c r="MZD34" s="292"/>
      <c r="MZE34" s="292"/>
      <c r="MZF34" s="292"/>
      <c r="MZG34" s="292"/>
      <c r="MZH34" s="292"/>
      <c r="MZI34" s="292"/>
      <c r="MZJ34" s="292"/>
      <c r="MZK34" s="292"/>
      <c r="MZL34" s="292"/>
      <c r="MZM34" s="292"/>
      <c r="MZN34" s="292"/>
      <c r="MZO34" s="292"/>
      <c r="MZP34" s="292"/>
      <c r="MZQ34" s="292"/>
      <c r="MZR34" s="292"/>
      <c r="MZS34" s="292"/>
      <c r="MZT34" s="292"/>
      <c r="MZU34" s="292"/>
      <c r="MZV34" s="292"/>
      <c r="MZW34" s="292"/>
      <c r="MZX34" s="292"/>
      <c r="MZY34" s="292"/>
      <c r="MZZ34" s="292"/>
      <c r="NAA34" s="292"/>
      <c r="NAB34" s="292"/>
      <c r="NAC34" s="292"/>
      <c r="NAD34" s="292"/>
      <c r="NAE34" s="292"/>
      <c r="NAF34" s="292"/>
      <c r="NAG34" s="292"/>
      <c r="NAH34" s="292"/>
      <c r="NAI34" s="292"/>
      <c r="NAJ34" s="292"/>
      <c r="NAK34" s="292"/>
      <c r="NAL34" s="292"/>
      <c r="NAM34" s="292"/>
      <c r="NAN34" s="292"/>
      <c r="NAO34" s="292"/>
      <c r="NAP34" s="292"/>
      <c r="NAQ34" s="292"/>
      <c r="NAR34" s="292"/>
      <c r="NAS34" s="292"/>
      <c r="NAT34" s="292"/>
      <c r="NAU34" s="292"/>
      <c r="NAV34" s="292"/>
      <c r="NAW34" s="292"/>
      <c r="NAX34" s="292"/>
      <c r="NAY34" s="292"/>
      <c r="NAZ34" s="292"/>
      <c r="NBA34" s="292"/>
      <c r="NBB34" s="292"/>
      <c r="NBC34" s="292"/>
      <c r="NBD34" s="292"/>
      <c r="NBE34" s="292"/>
      <c r="NBF34" s="292"/>
      <c r="NBG34" s="292"/>
      <c r="NBH34" s="292"/>
      <c r="NBI34" s="292"/>
      <c r="NBJ34" s="292"/>
      <c r="NBK34" s="292"/>
      <c r="NBL34" s="292"/>
      <c r="NBM34" s="292"/>
      <c r="NBN34" s="292"/>
      <c r="NBO34" s="292"/>
      <c r="NBP34" s="292"/>
      <c r="NBQ34" s="292"/>
      <c r="NBR34" s="292"/>
      <c r="NBS34" s="292"/>
      <c r="NBT34" s="292"/>
      <c r="NBU34" s="292"/>
      <c r="NBV34" s="292"/>
      <c r="NBW34" s="292"/>
      <c r="NBX34" s="292"/>
      <c r="NBY34" s="292"/>
      <c r="NBZ34" s="292"/>
      <c r="NCA34" s="292"/>
      <c r="NCB34" s="292"/>
      <c r="NCC34" s="292"/>
      <c r="NCD34" s="292"/>
      <c r="NCE34" s="292"/>
      <c r="NCF34" s="292"/>
      <c r="NCG34" s="292"/>
      <c r="NCH34" s="292"/>
      <c r="NCI34" s="292"/>
      <c r="NCJ34" s="292"/>
      <c r="NCK34" s="292"/>
      <c r="NCL34" s="292"/>
      <c r="NCM34" s="292"/>
      <c r="NCN34" s="292"/>
      <c r="NCO34" s="292"/>
      <c r="NCP34" s="292"/>
      <c r="NCQ34" s="292"/>
      <c r="NCR34" s="292"/>
      <c r="NCS34" s="292"/>
      <c r="NCT34" s="292"/>
      <c r="NCU34" s="292"/>
      <c r="NCV34" s="292"/>
      <c r="NCW34" s="292"/>
      <c r="NCX34" s="292"/>
      <c r="NCY34" s="292"/>
      <c r="NCZ34" s="292"/>
      <c r="NDA34" s="292"/>
      <c r="NDB34" s="292"/>
      <c r="NDC34" s="292"/>
      <c r="NDD34" s="292"/>
      <c r="NDE34" s="292"/>
      <c r="NDF34" s="292"/>
      <c r="NDG34" s="292"/>
      <c r="NDH34" s="292"/>
      <c r="NDI34" s="292"/>
      <c r="NDJ34" s="292"/>
      <c r="NDK34" s="292"/>
      <c r="NDL34" s="292"/>
      <c r="NDM34" s="292"/>
      <c r="NDN34" s="292"/>
      <c r="NDO34" s="292"/>
      <c r="NDP34" s="292"/>
      <c r="NDQ34" s="292"/>
      <c r="NDR34" s="292"/>
      <c r="NDS34" s="292"/>
      <c r="NDT34" s="292"/>
      <c r="NDU34" s="292"/>
      <c r="NDV34" s="292"/>
      <c r="NDW34" s="292"/>
      <c r="NDX34" s="292"/>
      <c r="NDY34" s="292"/>
      <c r="NDZ34" s="292"/>
      <c r="NEA34" s="292"/>
      <c r="NEB34" s="292"/>
      <c r="NEC34" s="292"/>
      <c r="NED34" s="292"/>
      <c r="NEE34" s="292"/>
      <c r="NEF34" s="292"/>
      <c r="NEG34" s="292"/>
      <c r="NEH34" s="292"/>
      <c r="NEI34" s="292"/>
      <c r="NEJ34" s="292"/>
      <c r="NEK34" s="292"/>
      <c r="NEL34" s="292"/>
      <c r="NEM34" s="292"/>
      <c r="NEN34" s="292"/>
      <c r="NEO34" s="292"/>
      <c r="NEP34" s="292"/>
      <c r="NEQ34" s="292"/>
      <c r="NER34" s="292"/>
      <c r="NES34" s="292"/>
      <c r="NET34" s="292"/>
      <c r="NEU34" s="292"/>
      <c r="NEV34" s="292"/>
      <c r="NEW34" s="292"/>
      <c r="NEX34" s="292"/>
      <c r="NEY34" s="292"/>
      <c r="NEZ34" s="292"/>
      <c r="NFA34" s="292"/>
      <c r="NFB34" s="292"/>
      <c r="NFC34" s="292"/>
      <c r="NFD34" s="292"/>
      <c r="NFE34" s="292"/>
      <c r="NFF34" s="292"/>
      <c r="NFG34" s="292"/>
      <c r="NFH34" s="292"/>
      <c r="NFI34" s="292"/>
      <c r="NFJ34" s="292"/>
      <c r="NFK34" s="292"/>
      <c r="NFL34" s="292"/>
      <c r="NFM34" s="292"/>
      <c r="NFN34" s="292"/>
      <c r="NFO34" s="292"/>
      <c r="NFP34" s="292"/>
      <c r="NFQ34" s="292"/>
      <c r="NFR34" s="292"/>
      <c r="NFS34" s="292"/>
      <c r="NFT34" s="292"/>
      <c r="NFU34" s="292"/>
      <c r="NFV34" s="292"/>
      <c r="NFW34" s="292"/>
      <c r="NFX34" s="292"/>
      <c r="NFY34" s="292"/>
      <c r="NFZ34" s="292"/>
      <c r="NGA34" s="292"/>
      <c r="NGB34" s="292"/>
      <c r="NGC34" s="292"/>
      <c r="NGD34" s="292"/>
      <c r="NGE34" s="292"/>
      <c r="NGF34" s="292"/>
      <c r="NGG34" s="292"/>
      <c r="NGH34" s="292"/>
      <c r="NGI34" s="292"/>
      <c r="NGJ34" s="292"/>
      <c r="NGK34" s="292"/>
      <c r="NGL34" s="292"/>
      <c r="NGM34" s="292"/>
      <c r="NGN34" s="292"/>
      <c r="NGO34" s="292"/>
      <c r="NGP34" s="292"/>
      <c r="NGQ34" s="292"/>
      <c r="NGR34" s="292"/>
      <c r="NGS34" s="292"/>
      <c r="NGT34" s="292"/>
      <c r="NGU34" s="292"/>
      <c r="NGV34" s="292"/>
      <c r="NGW34" s="292"/>
      <c r="NGX34" s="292"/>
      <c r="NGY34" s="292"/>
      <c r="NGZ34" s="292"/>
      <c r="NHA34" s="292"/>
      <c r="NHB34" s="292"/>
      <c r="NHC34" s="292"/>
      <c r="NHD34" s="292"/>
      <c r="NHE34" s="292"/>
      <c r="NHF34" s="292"/>
      <c r="NHG34" s="292"/>
      <c r="NHH34" s="292"/>
      <c r="NHI34" s="292"/>
      <c r="NHJ34" s="292"/>
      <c r="NHK34" s="292"/>
      <c r="NHL34" s="292"/>
      <c r="NHM34" s="292"/>
      <c r="NHN34" s="292"/>
      <c r="NHO34" s="292"/>
      <c r="NHP34" s="292"/>
      <c r="NHQ34" s="292"/>
      <c r="NHR34" s="292"/>
      <c r="NHS34" s="292"/>
      <c r="NHT34" s="292"/>
      <c r="NHU34" s="292"/>
      <c r="NHV34" s="292"/>
      <c r="NHW34" s="292"/>
      <c r="NHX34" s="292"/>
      <c r="NHY34" s="292"/>
      <c r="NHZ34" s="292"/>
      <c r="NIA34" s="292"/>
      <c r="NIB34" s="292"/>
      <c r="NIC34" s="292"/>
      <c r="NID34" s="292"/>
      <c r="NIE34" s="292"/>
      <c r="NIF34" s="292"/>
      <c r="NIG34" s="292"/>
      <c r="NIH34" s="292"/>
      <c r="NII34" s="292"/>
      <c r="NIJ34" s="292"/>
      <c r="NIK34" s="292"/>
      <c r="NIL34" s="292"/>
      <c r="NIM34" s="292"/>
      <c r="NIN34" s="292"/>
      <c r="NIO34" s="292"/>
      <c r="NIP34" s="292"/>
      <c r="NIQ34" s="292"/>
      <c r="NIR34" s="292"/>
      <c r="NIS34" s="292"/>
      <c r="NIT34" s="292"/>
      <c r="NIU34" s="292"/>
      <c r="NIV34" s="292"/>
      <c r="NIW34" s="292"/>
      <c r="NIX34" s="292"/>
      <c r="NIY34" s="292"/>
      <c r="NIZ34" s="292"/>
      <c r="NJA34" s="292"/>
      <c r="NJB34" s="292"/>
      <c r="NJC34" s="292"/>
      <c r="NJD34" s="292"/>
      <c r="NJE34" s="292"/>
      <c r="NJF34" s="292"/>
      <c r="NJG34" s="292"/>
      <c r="NJH34" s="292"/>
      <c r="NJI34" s="292"/>
      <c r="NJJ34" s="292"/>
      <c r="NJK34" s="292"/>
      <c r="NJL34" s="292"/>
      <c r="NJM34" s="292"/>
      <c r="NJN34" s="292"/>
      <c r="NJO34" s="292"/>
      <c r="NJP34" s="292"/>
      <c r="NJQ34" s="292"/>
      <c r="NJR34" s="292"/>
      <c r="NJS34" s="292"/>
      <c r="NJT34" s="292"/>
      <c r="NJU34" s="292"/>
      <c r="NJV34" s="292"/>
      <c r="NJW34" s="292"/>
      <c r="NJX34" s="292"/>
      <c r="NJY34" s="292"/>
      <c r="NJZ34" s="292"/>
      <c r="NKA34" s="292"/>
      <c r="NKB34" s="292"/>
      <c r="NKC34" s="292"/>
      <c r="NKD34" s="292"/>
      <c r="NKE34" s="292"/>
      <c r="NKF34" s="292"/>
      <c r="NKG34" s="292"/>
      <c r="NKH34" s="292"/>
      <c r="NKI34" s="292"/>
      <c r="NKJ34" s="292"/>
      <c r="NKK34" s="292"/>
      <c r="NKL34" s="292"/>
      <c r="NKM34" s="292"/>
      <c r="NKN34" s="292"/>
      <c r="NKO34" s="292"/>
      <c r="NKP34" s="292"/>
      <c r="NKQ34" s="292"/>
      <c r="NKR34" s="292"/>
      <c r="NKS34" s="292"/>
      <c r="NKT34" s="292"/>
      <c r="NKU34" s="292"/>
      <c r="NKV34" s="292"/>
      <c r="NKW34" s="292"/>
      <c r="NKX34" s="292"/>
      <c r="NKY34" s="292"/>
      <c r="NKZ34" s="292"/>
      <c r="NLA34" s="292"/>
      <c r="NLB34" s="292"/>
      <c r="NLC34" s="292"/>
      <c r="NLD34" s="292"/>
      <c r="NLE34" s="292"/>
      <c r="NLF34" s="292"/>
      <c r="NLG34" s="292"/>
      <c r="NLH34" s="292"/>
      <c r="NLI34" s="292"/>
      <c r="NLJ34" s="292"/>
      <c r="NLK34" s="292"/>
      <c r="NLL34" s="292"/>
      <c r="NLM34" s="292"/>
      <c r="NLN34" s="292"/>
      <c r="NLO34" s="292"/>
      <c r="NLP34" s="292"/>
      <c r="NLQ34" s="292"/>
      <c r="NLR34" s="292"/>
      <c r="NLS34" s="292"/>
      <c r="NLT34" s="292"/>
      <c r="NLU34" s="292"/>
      <c r="NLV34" s="292"/>
      <c r="NLW34" s="292"/>
      <c r="NLX34" s="292"/>
      <c r="NLY34" s="292"/>
      <c r="NLZ34" s="292"/>
      <c r="NMA34" s="292"/>
      <c r="NMB34" s="292"/>
      <c r="NMC34" s="292"/>
      <c r="NMD34" s="292"/>
      <c r="NME34" s="292"/>
      <c r="NMF34" s="292"/>
      <c r="NMG34" s="292"/>
      <c r="NMH34" s="292"/>
      <c r="NMI34" s="292"/>
      <c r="NMJ34" s="292"/>
      <c r="NMK34" s="292"/>
      <c r="NML34" s="292"/>
      <c r="NMM34" s="292"/>
      <c r="NMN34" s="292"/>
      <c r="NMO34" s="292"/>
      <c r="NMP34" s="292"/>
      <c r="NMQ34" s="292"/>
      <c r="NMR34" s="292"/>
      <c r="NMS34" s="292"/>
      <c r="NMT34" s="292"/>
      <c r="NMU34" s="292"/>
      <c r="NMV34" s="292"/>
      <c r="NMW34" s="292"/>
      <c r="NMX34" s="292"/>
      <c r="NMY34" s="292"/>
      <c r="NMZ34" s="292"/>
      <c r="NNA34" s="292"/>
      <c r="NNB34" s="292"/>
      <c r="NNC34" s="292"/>
      <c r="NND34" s="292"/>
      <c r="NNE34" s="292"/>
      <c r="NNF34" s="292"/>
      <c r="NNG34" s="292"/>
      <c r="NNH34" s="292"/>
      <c r="NNI34" s="292"/>
      <c r="NNJ34" s="292"/>
      <c r="NNK34" s="292"/>
      <c r="NNL34" s="292"/>
      <c r="NNM34" s="292"/>
      <c r="NNN34" s="292"/>
      <c r="NNO34" s="292"/>
      <c r="NNP34" s="292"/>
      <c r="NNQ34" s="292"/>
      <c r="NNR34" s="292"/>
      <c r="NNS34" s="292"/>
      <c r="NNT34" s="292"/>
      <c r="NNU34" s="292"/>
      <c r="NNV34" s="292"/>
      <c r="NNW34" s="292"/>
      <c r="NNX34" s="292"/>
      <c r="NNY34" s="292"/>
      <c r="NNZ34" s="292"/>
      <c r="NOA34" s="292"/>
      <c r="NOB34" s="292"/>
      <c r="NOC34" s="292"/>
      <c r="NOD34" s="292"/>
      <c r="NOE34" s="292"/>
      <c r="NOF34" s="292"/>
      <c r="NOG34" s="292"/>
      <c r="NOH34" s="292"/>
      <c r="NOI34" s="292"/>
      <c r="NOJ34" s="292"/>
      <c r="NOK34" s="292"/>
      <c r="NOL34" s="292"/>
      <c r="NOM34" s="292"/>
      <c r="NON34" s="292"/>
      <c r="NOO34" s="292"/>
      <c r="NOP34" s="292"/>
      <c r="NOQ34" s="292"/>
      <c r="NOR34" s="292"/>
      <c r="NOS34" s="292"/>
      <c r="NOT34" s="292"/>
      <c r="NOU34" s="292"/>
      <c r="NOV34" s="292"/>
      <c r="NOW34" s="292"/>
      <c r="NOX34" s="292"/>
      <c r="NOY34" s="292"/>
      <c r="NOZ34" s="292"/>
      <c r="NPA34" s="292"/>
      <c r="NPB34" s="292"/>
      <c r="NPC34" s="292"/>
      <c r="NPD34" s="292"/>
      <c r="NPE34" s="292"/>
      <c r="NPF34" s="292"/>
      <c r="NPG34" s="292"/>
      <c r="NPH34" s="292"/>
      <c r="NPI34" s="292"/>
      <c r="NPJ34" s="292"/>
      <c r="NPK34" s="292"/>
      <c r="NPL34" s="292"/>
      <c r="NPM34" s="292"/>
      <c r="NPN34" s="292"/>
      <c r="NPO34" s="292"/>
      <c r="NPP34" s="292"/>
      <c r="NPQ34" s="292"/>
      <c r="NPR34" s="292"/>
      <c r="NPS34" s="292"/>
      <c r="NPT34" s="292"/>
      <c r="NPU34" s="292"/>
      <c r="NPV34" s="292"/>
      <c r="NPW34" s="292"/>
      <c r="NPX34" s="292"/>
      <c r="NPY34" s="292"/>
      <c r="NPZ34" s="292"/>
      <c r="NQA34" s="292"/>
      <c r="NQB34" s="292"/>
      <c r="NQC34" s="292"/>
      <c r="NQD34" s="292"/>
      <c r="NQE34" s="292"/>
      <c r="NQF34" s="292"/>
      <c r="NQG34" s="292"/>
      <c r="NQH34" s="292"/>
      <c r="NQI34" s="292"/>
      <c r="NQJ34" s="292"/>
      <c r="NQK34" s="292"/>
      <c r="NQL34" s="292"/>
      <c r="NQM34" s="292"/>
      <c r="NQN34" s="292"/>
      <c r="NQO34" s="292"/>
      <c r="NQP34" s="292"/>
      <c r="NQQ34" s="292"/>
      <c r="NQR34" s="292"/>
      <c r="NQS34" s="292"/>
      <c r="NQT34" s="292"/>
      <c r="NQU34" s="292"/>
      <c r="NQV34" s="292"/>
      <c r="NQW34" s="292"/>
      <c r="NQX34" s="292"/>
      <c r="NQY34" s="292"/>
      <c r="NQZ34" s="292"/>
      <c r="NRA34" s="292"/>
      <c r="NRB34" s="292"/>
      <c r="NRC34" s="292"/>
      <c r="NRD34" s="292"/>
      <c r="NRE34" s="292"/>
      <c r="NRF34" s="292"/>
      <c r="NRG34" s="292"/>
      <c r="NRH34" s="292"/>
      <c r="NRI34" s="292"/>
      <c r="NRJ34" s="292"/>
      <c r="NRK34" s="292"/>
      <c r="NRL34" s="292"/>
      <c r="NRM34" s="292"/>
      <c r="NRN34" s="292"/>
      <c r="NRO34" s="292"/>
      <c r="NRP34" s="292"/>
      <c r="NRQ34" s="292"/>
      <c r="NRR34" s="292"/>
      <c r="NRS34" s="292"/>
      <c r="NRT34" s="292"/>
      <c r="NRU34" s="292"/>
      <c r="NRV34" s="292"/>
      <c r="NRW34" s="292"/>
      <c r="NRX34" s="292"/>
      <c r="NRY34" s="292"/>
      <c r="NRZ34" s="292"/>
      <c r="NSA34" s="292"/>
      <c r="NSB34" s="292"/>
      <c r="NSC34" s="292"/>
      <c r="NSD34" s="292"/>
      <c r="NSE34" s="292"/>
      <c r="NSF34" s="292"/>
      <c r="NSG34" s="292"/>
      <c r="NSH34" s="292"/>
      <c r="NSI34" s="292"/>
      <c r="NSJ34" s="292"/>
      <c r="NSK34" s="292"/>
      <c r="NSL34" s="292"/>
      <c r="NSM34" s="292"/>
      <c r="NSN34" s="292"/>
      <c r="NSO34" s="292"/>
      <c r="NSP34" s="292"/>
      <c r="NSQ34" s="292"/>
      <c r="NSR34" s="292"/>
      <c r="NSS34" s="292"/>
      <c r="NST34" s="292"/>
      <c r="NSU34" s="292"/>
      <c r="NSV34" s="292"/>
      <c r="NSW34" s="292"/>
      <c r="NSX34" s="292"/>
      <c r="NSY34" s="292"/>
      <c r="NSZ34" s="292"/>
      <c r="NTA34" s="292"/>
      <c r="NTB34" s="292"/>
      <c r="NTC34" s="292"/>
      <c r="NTD34" s="292"/>
      <c r="NTE34" s="292"/>
      <c r="NTF34" s="292"/>
      <c r="NTG34" s="292"/>
      <c r="NTH34" s="292"/>
      <c r="NTI34" s="292"/>
      <c r="NTJ34" s="292"/>
      <c r="NTK34" s="292"/>
      <c r="NTL34" s="292"/>
      <c r="NTM34" s="292"/>
      <c r="NTN34" s="292"/>
      <c r="NTO34" s="292"/>
      <c r="NTP34" s="292"/>
      <c r="NTQ34" s="292"/>
      <c r="NTR34" s="292"/>
      <c r="NTS34" s="292"/>
      <c r="NTT34" s="292"/>
      <c r="NTU34" s="292"/>
      <c r="NTV34" s="292"/>
      <c r="NTW34" s="292"/>
      <c r="NTX34" s="292"/>
      <c r="NTY34" s="292"/>
      <c r="NTZ34" s="292"/>
      <c r="NUA34" s="292"/>
      <c r="NUB34" s="292"/>
      <c r="NUC34" s="292"/>
      <c r="NUD34" s="292"/>
      <c r="NUE34" s="292"/>
      <c r="NUF34" s="292"/>
      <c r="NUG34" s="292"/>
      <c r="NUH34" s="292"/>
      <c r="NUI34" s="292"/>
      <c r="NUJ34" s="292"/>
      <c r="NUK34" s="292"/>
      <c r="NUL34" s="292"/>
      <c r="NUM34" s="292"/>
      <c r="NUN34" s="292"/>
      <c r="NUO34" s="292"/>
      <c r="NUP34" s="292"/>
      <c r="NUQ34" s="292"/>
      <c r="NUR34" s="292"/>
      <c r="NUS34" s="292"/>
      <c r="NUT34" s="292"/>
      <c r="NUU34" s="292"/>
      <c r="NUV34" s="292"/>
      <c r="NUW34" s="292"/>
      <c r="NUX34" s="292"/>
      <c r="NUY34" s="292"/>
      <c r="NUZ34" s="292"/>
      <c r="NVA34" s="292"/>
      <c r="NVB34" s="292"/>
      <c r="NVC34" s="292"/>
      <c r="NVD34" s="292"/>
      <c r="NVE34" s="292"/>
      <c r="NVF34" s="292"/>
      <c r="NVG34" s="292"/>
      <c r="NVH34" s="292"/>
      <c r="NVI34" s="292"/>
      <c r="NVJ34" s="292"/>
      <c r="NVK34" s="292"/>
      <c r="NVL34" s="292"/>
      <c r="NVM34" s="292"/>
      <c r="NVN34" s="292"/>
      <c r="NVO34" s="292"/>
      <c r="NVP34" s="292"/>
      <c r="NVQ34" s="292"/>
      <c r="NVR34" s="292"/>
      <c r="NVS34" s="292"/>
      <c r="NVT34" s="292"/>
      <c r="NVU34" s="292"/>
      <c r="NVV34" s="292"/>
      <c r="NVW34" s="292"/>
      <c r="NVX34" s="292"/>
      <c r="NVY34" s="292"/>
      <c r="NVZ34" s="292"/>
      <c r="NWA34" s="292"/>
      <c r="NWB34" s="292"/>
      <c r="NWC34" s="292"/>
      <c r="NWD34" s="292"/>
      <c r="NWE34" s="292"/>
      <c r="NWF34" s="292"/>
      <c r="NWG34" s="292"/>
      <c r="NWH34" s="292"/>
      <c r="NWI34" s="292"/>
      <c r="NWJ34" s="292"/>
      <c r="NWK34" s="292"/>
      <c r="NWL34" s="292"/>
      <c r="NWM34" s="292"/>
      <c r="NWN34" s="292"/>
      <c r="NWO34" s="292"/>
      <c r="NWP34" s="292"/>
      <c r="NWQ34" s="292"/>
      <c r="NWR34" s="292"/>
      <c r="NWS34" s="292"/>
      <c r="NWT34" s="292"/>
      <c r="NWU34" s="292"/>
      <c r="NWV34" s="292"/>
      <c r="NWW34" s="292"/>
      <c r="NWX34" s="292"/>
      <c r="NWY34" s="292"/>
      <c r="NWZ34" s="292"/>
      <c r="NXA34" s="292"/>
      <c r="NXB34" s="292"/>
      <c r="NXC34" s="292"/>
      <c r="NXD34" s="292"/>
      <c r="NXE34" s="292"/>
      <c r="NXF34" s="292"/>
      <c r="NXG34" s="292"/>
      <c r="NXH34" s="292"/>
      <c r="NXI34" s="292"/>
      <c r="NXJ34" s="292"/>
      <c r="NXK34" s="292"/>
      <c r="NXL34" s="292"/>
      <c r="NXM34" s="292"/>
      <c r="NXN34" s="292"/>
      <c r="NXO34" s="292"/>
      <c r="NXP34" s="292"/>
      <c r="NXQ34" s="292"/>
      <c r="NXR34" s="292"/>
      <c r="NXS34" s="292"/>
      <c r="NXT34" s="292"/>
      <c r="NXU34" s="292"/>
      <c r="NXV34" s="292"/>
      <c r="NXW34" s="292"/>
      <c r="NXX34" s="292"/>
      <c r="NXY34" s="292"/>
      <c r="NXZ34" s="292"/>
      <c r="NYA34" s="292"/>
      <c r="NYB34" s="292"/>
      <c r="NYC34" s="292"/>
      <c r="NYD34" s="292"/>
      <c r="NYE34" s="292"/>
      <c r="NYF34" s="292"/>
      <c r="NYG34" s="292"/>
      <c r="NYH34" s="292"/>
      <c r="NYI34" s="292"/>
      <c r="NYJ34" s="292"/>
      <c r="NYK34" s="292"/>
      <c r="NYL34" s="292"/>
      <c r="NYM34" s="292"/>
      <c r="NYN34" s="292"/>
      <c r="NYO34" s="292"/>
      <c r="NYP34" s="292"/>
      <c r="NYQ34" s="292"/>
      <c r="NYR34" s="292"/>
      <c r="NYS34" s="292"/>
      <c r="NYT34" s="292"/>
      <c r="NYU34" s="292"/>
      <c r="NYV34" s="292"/>
      <c r="NYW34" s="292"/>
      <c r="NYX34" s="292"/>
      <c r="NYY34" s="292"/>
      <c r="NYZ34" s="292"/>
      <c r="NZA34" s="292"/>
      <c r="NZB34" s="292"/>
      <c r="NZC34" s="292"/>
      <c r="NZD34" s="292"/>
      <c r="NZE34" s="292"/>
      <c r="NZF34" s="292"/>
      <c r="NZG34" s="292"/>
      <c r="NZH34" s="292"/>
      <c r="NZI34" s="292"/>
      <c r="NZJ34" s="292"/>
      <c r="NZK34" s="292"/>
      <c r="NZL34" s="292"/>
      <c r="NZM34" s="292"/>
      <c r="NZN34" s="292"/>
      <c r="NZO34" s="292"/>
      <c r="NZP34" s="292"/>
      <c r="NZQ34" s="292"/>
      <c r="NZR34" s="292"/>
      <c r="NZS34" s="292"/>
      <c r="NZT34" s="292"/>
      <c r="NZU34" s="292"/>
      <c r="NZV34" s="292"/>
      <c r="NZW34" s="292"/>
      <c r="NZX34" s="292"/>
      <c r="NZY34" s="292"/>
      <c r="NZZ34" s="292"/>
      <c r="OAA34" s="292"/>
      <c r="OAB34" s="292"/>
      <c r="OAC34" s="292"/>
      <c r="OAD34" s="292"/>
      <c r="OAE34" s="292"/>
      <c r="OAF34" s="292"/>
      <c r="OAG34" s="292"/>
      <c r="OAH34" s="292"/>
      <c r="OAI34" s="292"/>
      <c r="OAJ34" s="292"/>
      <c r="OAK34" s="292"/>
      <c r="OAL34" s="292"/>
      <c r="OAM34" s="292"/>
      <c r="OAN34" s="292"/>
      <c r="OAO34" s="292"/>
      <c r="OAP34" s="292"/>
      <c r="OAQ34" s="292"/>
      <c r="OAR34" s="292"/>
      <c r="OAS34" s="292"/>
      <c r="OAT34" s="292"/>
      <c r="OAU34" s="292"/>
      <c r="OAV34" s="292"/>
      <c r="OAW34" s="292"/>
      <c r="OAX34" s="292"/>
      <c r="OAY34" s="292"/>
      <c r="OAZ34" s="292"/>
      <c r="OBA34" s="292"/>
      <c r="OBB34" s="292"/>
      <c r="OBC34" s="292"/>
      <c r="OBD34" s="292"/>
      <c r="OBE34" s="292"/>
      <c r="OBF34" s="292"/>
      <c r="OBG34" s="292"/>
      <c r="OBH34" s="292"/>
      <c r="OBI34" s="292"/>
      <c r="OBJ34" s="292"/>
      <c r="OBK34" s="292"/>
      <c r="OBL34" s="292"/>
      <c r="OBM34" s="292"/>
      <c r="OBN34" s="292"/>
      <c r="OBO34" s="292"/>
      <c r="OBP34" s="292"/>
      <c r="OBQ34" s="292"/>
      <c r="OBR34" s="292"/>
      <c r="OBS34" s="292"/>
      <c r="OBT34" s="292"/>
      <c r="OBU34" s="292"/>
      <c r="OBV34" s="292"/>
      <c r="OBW34" s="292"/>
      <c r="OBX34" s="292"/>
      <c r="OBY34" s="292"/>
      <c r="OBZ34" s="292"/>
      <c r="OCA34" s="292"/>
      <c r="OCB34" s="292"/>
      <c r="OCC34" s="292"/>
      <c r="OCD34" s="292"/>
      <c r="OCE34" s="292"/>
      <c r="OCF34" s="292"/>
      <c r="OCG34" s="292"/>
      <c r="OCH34" s="292"/>
      <c r="OCI34" s="292"/>
      <c r="OCJ34" s="292"/>
      <c r="OCK34" s="292"/>
      <c r="OCL34" s="292"/>
      <c r="OCM34" s="292"/>
      <c r="OCN34" s="292"/>
      <c r="OCO34" s="292"/>
      <c r="OCP34" s="292"/>
      <c r="OCQ34" s="292"/>
      <c r="OCR34" s="292"/>
      <c r="OCS34" s="292"/>
      <c r="OCT34" s="292"/>
      <c r="OCU34" s="292"/>
      <c r="OCV34" s="292"/>
      <c r="OCW34" s="292"/>
      <c r="OCX34" s="292"/>
      <c r="OCY34" s="292"/>
      <c r="OCZ34" s="292"/>
      <c r="ODA34" s="292"/>
      <c r="ODB34" s="292"/>
      <c r="ODC34" s="292"/>
      <c r="ODD34" s="292"/>
      <c r="ODE34" s="292"/>
      <c r="ODF34" s="292"/>
      <c r="ODG34" s="292"/>
      <c r="ODH34" s="292"/>
      <c r="ODI34" s="292"/>
      <c r="ODJ34" s="292"/>
      <c r="ODK34" s="292"/>
      <c r="ODL34" s="292"/>
      <c r="ODM34" s="292"/>
      <c r="ODN34" s="292"/>
      <c r="ODO34" s="292"/>
      <c r="ODP34" s="292"/>
      <c r="ODQ34" s="292"/>
      <c r="ODR34" s="292"/>
      <c r="ODS34" s="292"/>
      <c r="ODT34" s="292"/>
      <c r="ODU34" s="292"/>
      <c r="ODV34" s="292"/>
      <c r="ODW34" s="292"/>
      <c r="ODX34" s="292"/>
      <c r="ODY34" s="292"/>
      <c r="ODZ34" s="292"/>
      <c r="OEA34" s="292"/>
      <c r="OEB34" s="292"/>
      <c r="OEC34" s="292"/>
      <c r="OED34" s="292"/>
      <c r="OEE34" s="292"/>
      <c r="OEF34" s="292"/>
      <c r="OEG34" s="292"/>
      <c r="OEH34" s="292"/>
      <c r="OEI34" s="292"/>
      <c r="OEJ34" s="292"/>
      <c r="OEK34" s="292"/>
      <c r="OEL34" s="292"/>
      <c r="OEM34" s="292"/>
      <c r="OEN34" s="292"/>
      <c r="OEO34" s="292"/>
      <c r="OEP34" s="292"/>
      <c r="OEQ34" s="292"/>
      <c r="OER34" s="292"/>
      <c r="OES34" s="292"/>
      <c r="OET34" s="292"/>
      <c r="OEU34" s="292"/>
      <c r="OEV34" s="292"/>
      <c r="OEW34" s="292"/>
      <c r="OEX34" s="292"/>
      <c r="OEY34" s="292"/>
      <c r="OEZ34" s="292"/>
      <c r="OFA34" s="292"/>
      <c r="OFB34" s="292"/>
      <c r="OFC34" s="292"/>
      <c r="OFD34" s="292"/>
      <c r="OFE34" s="292"/>
      <c r="OFF34" s="292"/>
      <c r="OFG34" s="292"/>
      <c r="OFH34" s="292"/>
      <c r="OFI34" s="292"/>
      <c r="OFJ34" s="292"/>
      <c r="OFK34" s="292"/>
      <c r="OFL34" s="292"/>
      <c r="OFM34" s="292"/>
      <c r="OFN34" s="292"/>
      <c r="OFO34" s="292"/>
      <c r="OFP34" s="292"/>
      <c r="OFQ34" s="292"/>
      <c r="OFR34" s="292"/>
      <c r="OFS34" s="292"/>
      <c r="OFT34" s="292"/>
      <c r="OFU34" s="292"/>
      <c r="OFV34" s="292"/>
      <c r="OFW34" s="292"/>
      <c r="OFX34" s="292"/>
      <c r="OFY34" s="292"/>
      <c r="OFZ34" s="292"/>
      <c r="OGA34" s="292"/>
      <c r="OGB34" s="292"/>
      <c r="OGC34" s="292"/>
      <c r="OGD34" s="292"/>
      <c r="OGE34" s="292"/>
      <c r="OGF34" s="292"/>
      <c r="OGG34" s="292"/>
      <c r="OGH34" s="292"/>
      <c r="OGI34" s="292"/>
      <c r="OGJ34" s="292"/>
      <c r="OGK34" s="292"/>
      <c r="OGL34" s="292"/>
      <c r="OGM34" s="292"/>
      <c r="OGN34" s="292"/>
      <c r="OGO34" s="292"/>
      <c r="OGP34" s="292"/>
      <c r="OGQ34" s="292"/>
      <c r="OGR34" s="292"/>
      <c r="OGS34" s="292"/>
      <c r="OGT34" s="292"/>
      <c r="OGU34" s="292"/>
      <c r="OGV34" s="292"/>
      <c r="OGW34" s="292"/>
      <c r="OGX34" s="292"/>
      <c r="OGY34" s="292"/>
      <c r="OGZ34" s="292"/>
      <c r="OHA34" s="292"/>
      <c r="OHB34" s="292"/>
      <c r="OHC34" s="292"/>
      <c r="OHD34" s="292"/>
      <c r="OHE34" s="292"/>
      <c r="OHF34" s="292"/>
      <c r="OHG34" s="292"/>
      <c r="OHH34" s="292"/>
      <c r="OHI34" s="292"/>
      <c r="OHJ34" s="292"/>
      <c r="OHK34" s="292"/>
      <c r="OHL34" s="292"/>
      <c r="OHM34" s="292"/>
      <c r="OHN34" s="292"/>
      <c r="OHO34" s="292"/>
      <c r="OHP34" s="292"/>
      <c r="OHQ34" s="292"/>
      <c r="OHR34" s="292"/>
      <c r="OHS34" s="292"/>
      <c r="OHT34" s="292"/>
      <c r="OHU34" s="292"/>
      <c r="OHV34" s="292"/>
      <c r="OHW34" s="292"/>
      <c r="OHX34" s="292"/>
      <c r="OHY34" s="292"/>
      <c r="OHZ34" s="292"/>
      <c r="OIA34" s="292"/>
      <c r="OIB34" s="292"/>
      <c r="OIC34" s="292"/>
      <c r="OID34" s="292"/>
      <c r="OIE34" s="292"/>
      <c r="OIF34" s="292"/>
      <c r="OIG34" s="292"/>
      <c r="OIH34" s="292"/>
      <c r="OII34" s="292"/>
      <c r="OIJ34" s="292"/>
      <c r="OIK34" s="292"/>
      <c r="OIL34" s="292"/>
      <c r="OIM34" s="292"/>
      <c r="OIN34" s="292"/>
      <c r="OIO34" s="292"/>
      <c r="OIP34" s="292"/>
      <c r="OIQ34" s="292"/>
      <c r="OIR34" s="292"/>
      <c r="OIS34" s="292"/>
      <c r="OIT34" s="292"/>
      <c r="OIU34" s="292"/>
      <c r="OIV34" s="292"/>
      <c r="OIW34" s="292"/>
      <c r="OIX34" s="292"/>
      <c r="OIY34" s="292"/>
      <c r="OIZ34" s="292"/>
      <c r="OJA34" s="292"/>
      <c r="OJB34" s="292"/>
      <c r="OJC34" s="292"/>
      <c r="OJD34" s="292"/>
      <c r="OJE34" s="292"/>
      <c r="OJF34" s="292"/>
      <c r="OJG34" s="292"/>
      <c r="OJH34" s="292"/>
      <c r="OJI34" s="292"/>
      <c r="OJJ34" s="292"/>
      <c r="OJK34" s="292"/>
      <c r="OJL34" s="292"/>
      <c r="OJM34" s="292"/>
      <c r="OJN34" s="292"/>
      <c r="OJO34" s="292"/>
      <c r="OJP34" s="292"/>
      <c r="OJQ34" s="292"/>
      <c r="OJR34" s="292"/>
      <c r="OJS34" s="292"/>
      <c r="OJT34" s="292"/>
      <c r="OJU34" s="292"/>
      <c r="OJV34" s="292"/>
      <c r="OJW34" s="292"/>
      <c r="OJX34" s="292"/>
      <c r="OJY34" s="292"/>
      <c r="OJZ34" s="292"/>
      <c r="OKA34" s="292"/>
      <c r="OKB34" s="292"/>
      <c r="OKC34" s="292"/>
      <c r="OKD34" s="292"/>
      <c r="OKE34" s="292"/>
      <c r="OKF34" s="292"/>
      <c r="OKG34" s="292"/>
      <c r="OKH34" s="292"/>
      <c r="OKI34" s="292"/>
      <c r="OKJ34" s="292"/>
      <c r="OKK34" s="292"/>
      <c r="OKL34" s="292"/>
      <c r="OKM34" s="292"/>
      <c r="OKN34" s="292"/>
      <c r="OKO34" s="292"/>
      <c r="OKP34" s="292"/>
      <c r="OKQ34" s="292"/>
      <c r="OKR34" s="292"/>
      <c r="OKS34" s="292"/>
      <c r="OKT34" s="292"/>
      <c r="OKU34" s="292"/>
      <c r="OKV34" s="292"/>
      <c r="OKW34" s="292"/>
      <c r="OKX34" s="292"/>
      <c r="OKY34" s="292"/>
      <c r="OKZ34" s="292"/>
      <c r="OLA34" s="292"/>
      <c r="OLB34" s="292"/>
      <c r="OLC34" s="292"/>
      <c r="OLD34" s="292"/>
      <c r="OLE34" s="292"/>
      <c r="OLF34" s="292"/>
      <c r="OLG34" s="292"/>
      <c r="OLH34" s="292"/>
      <c r="OLI34" s="292"/>
      <c r="OLJ34" s="292"/>
      <c r="OLK34" s="292"/>
      <c r="OLL34" s="292"/>
      <c r="OLM34" s="292"/>
      <c r="OLN34" s="292"/>
      <c r="OLO34" s="292"/>
      <c r="OLP34" s="292"/>
      <c r="OLQ34" s="292"/>
      <c r="OLR34" s="292"/>
      <c r="OLS34" s="292"/>
      <c r="OLT34" s="292"/>
      <c r="OLU34" s="292"/>
      <c r="OLV34" s="292"/>
      <c r="OLW34" s="292"/>
      <c r="OLX34" s="292"/>
      <c r="OLY34" s="292"/>
      <c r="OLZ34" s="292"/>
      <c r="OMA34" s="292"/>
      <c r="OMB34" s="292"/>
      <c r="OMC34" s="292"/>
      <c r="OMD34" s="292"/>
      <c r="OME34" s="292"/>
      <c r="OMF34" s="292"/>
      <c r="OMG34" s="292"/>
      <c r="OMH34" s="292"/>
      <c r="OMI34" s="292"/>
      <c r="OMJ34" s="292"/>
      <c r="OMK34" s="292"/>
      <c r="OML34" s="292"/>
      <c r="OMM34" s="292"/>
      <c r="OMN34" s="292"/>
      <c r="OMO34" s="292"/>
      <c r="OMP34" s="292"/>
      <c r="OMQ34" s="292"/>
      <c r="OMR34" s="292"/>
      <c r="OMS34" s="292"/>
      <c r="OMT34" s="292"/>
      <c r="OMU34" s="292"/>
      <c r="OMV34" s="292"/>
      <c r="OMW34" s="292"/>
      <c r="OMX34" s="292"/>
      <c r="OMY34" s="292"/>
      <c r="OMZ34" s="292"/>
      <c r="ONA34" s="292"/>
      <c r="ONB34" s="292"/>
      <c r="ONC34" s="292"/>
      <c r="OND34" s="292"/>
      <c r="ONE34" s="292"/>
      <c r="ONF34" s="292"/>
      <c r="ONG34" s="292"/>
      <c r="ONH34" s="292"/>
      <c r="ONI34" s="292"/>
      <c r="ONJ34" s="292"/>
      <c r="ONK34" s="292"/>
      <c r="ONL34" s="292"/>
      <c r="ONM34" s="292"/>
      <c r="ONN34" s="292"/>
      <c r="ONO34" s="292"/>
      <c r="ONP34" s="292"/>
      <c r="ONQ34" s="292"/>
      <c r="ONR34" s="292"/>
      <c r="ONS34" s="292"/>
      <c r="ONT34" s="292"/>
      <c r="ONU34" s="292"/>
      <c r="ONV34" s="292"/>
      <c r="ONW34" s="292"/>
      <c r="ONX34" s="292"/>
      <c r="ONY34" s="292"/>
      <c r="ONZ34" s="292"/>
      <c r="OOA34" s="292"/>
      <c r="OOB34" s="292"/>
      <c r="OOC34" s="292"/>
      <c r="OOD34" s="292"/>
      <c r="OOE34" s="292"/>
      <c r="OOF34" s="292"/>
      <c r="OOG34" s="292"/>
      <c r="OOH34" s="292"/>
      <c r="OOI34" s="292"/>
      <c r="OOJ34" s="292"/>
      <c r="OOK34" s="292"/>
      <c r="OOL34" s="292"/>
      <c r="OOM34" s="292"/>
      <c r="OON34" s="292"/>
      <c r="OOO34" s="292"/>
      <c r="OOP34" s="292"/>
      <c r="OOQ34" s="292"/>
      <c r="OOR34" s="292"/>
      <c r="OOS34" s="292"/>
      <c r="OOT34" s="292"/>
      <c r="OOU34" s="292"/>
      <c r="OOV34" s="292"/>
      <c r="OOW34" s="292"/>
      <c r="OOX34" s="292"/>
      <c r="OOY34" s="292"/>
      <c r="OOZ34" s="292"/>
      <c r="OPA34" s="292"/>
      <c r="OPB34" s="292"/>
      <c r="OPC34" s="292"/>
      <c r="OPD34" s="292"/>
      <c r="OPE34" s="292"/>
      <c r="OPF34" s="292"/>
      <c r="OPG34" s="292"/>
      <c r="OPH34" s="292"/>
      <c r="OPI34" s="292"/>
      <c r="OPJ34" s="292"/>
      <c r="OPK34" s="292"/>
      <c r="OPL34" s="292"/>
      <c r="OPM34" s="292"/>
      <c r="OPN34" s="292"/>
      <c r="OPO34" s="292"/>
      <c r="OPP34" s="292"/>
      <c r="OPQ34" s="292"/>
      <c r="OPR34" s="292"/>
      <c r="OPS34" s="292"/>
      <c r="OPT34" s="292"/>
      <c r="OPU34" s="292"/>
      <c r="OPV34" s="292"/>
      <c r="OPW34" s="292"/>
      <c r="OPX34" s="292"/>
      <c r="OPY34" s="292"/>
      <c r="OPZ34" s="292"/>
      <c r="OQA34" s="292"/>
      <c r="OQB34" s="292"/>
      <c r="OQC34" s="292"/>
      <c r="OQD34" s="292"/>
      <c r="OQE34" s="292"/>
      <c r="OQF34" s="292"/>
      <c r="OQG34" s="292"/>
      <c r="OQH34" s="292"/>
      <c r="OQI34" s="292"/>
      <c r="OQJ34" s="292"/>
      <c r="OQK34" s="292"/>
      <c r="OQL34" s="292"/>
      <c r="OQM34" s="292"/>
      <c r="OQN34" s="292"/>
      <c r="OQO34" s="292"/>
      <c r="OQP34" s="292"/>
      <c r="OQQ34" s="292"/>
      <c r="OQR34" s="292"/>
      <c r="OQS34" s="292"/>
      <c r="OQT34" s="292"/>
      <c r="OQU34" s="292"/>
      <c r="OQV34" s="292"/>
      <c r="OQW34" s="292"/>
      <c r="OQX34" s="292"/>
      <c r="OQY34" s="292"/>
      <c r="OQZ34" s="292"/>
      <c r="ORA34" s="292"/>
      <c r="ORB34" s="292"/>
      <c r="ORC34" s="292"/>
      <c r="ORD34" s="292"/>
      <c r="ORE34" s="292"/>
      <c r="ORF34" s="292"/>
      <c r="ORG34" s="292"/>
      <c r="ORH34" s="292"/>
      <c r="ORI34" s="292"/>
      <c r="ORJ34" s="292"/>
      <c r="ORK34" s="292"/>
      <c r="ORL34" s="292"/>
      <c r="ORM34" s="292"/>
      <c r="ORN34" s="292"/>
      <c r="ORO34" s="292"/>
      <c r="ORP34" s="292"/>
      <c r="ORQ34" s="292"/>
      <c r="ORR34" s="292"/>
      <c r="ORS34" s="292"/>
      <c r="ORT34" s="292"/>
      <c r="ORU34" s="292"/>
      <c r="ORV34" s="292"/>
      <c r="ORW34" s="292"/>
      <c r="ORX34" s="292"/>
      <c r="ORY34" s="292"/>
      <c r="ORZ34" s="292"/>
      <c r="OSA34" s="292"/>
      <c r="OSB34" s="292"/>
      <c r="OSC34" s="292"/>
      <c r="OSD34" s="292"/>
      <c r="OSE34" s="292"/>
      <c r="OSF34" s="292"/>
      <c r="OSG34" s="292"/>
      <c r="OSH34" s="292"/>
      <c r="OSI34" s="292"/>
      <c r="OSJ34" s="292"/>
      <c r="OSK34" s="292"/>
      <c r="OSL34" s="292"/>
      <c r="OSM34" s="292"/>
      <c r="OSN34" s="292"/>
      <c r="OSO34" s="292"/>
      <c r="OSP34" s="292"/>
      <c r="OSQ34" s="292"/>
      <c r="OSR34" s="292"/>
      <c r="OSS34" s="292"/>
      <c r="OST34" s="292"/>
      <c r="OSU34" s="292"/>
      <c r="OSV34" s="292"/>
      <c r="OSW34" s="292"/>
      <c r="OSX34" s="292"/>
      <c r="OSY34" s="292"/>
      <c r="OSZ34" s="292"/>
      <c r="OTA34" s="292"/>
      <c r="OTB34" s="292"/>
      <c r="OTC34" s="292"/>
      <c r="OTD34" s="292"/>
      <c r="OTE34" s="292"/>
      <c r="OTF34" s="292"/>
      <c r="OTG34" s="292"/>
      <c r="OTH34" s="292"/>
      <c r="OTI34" s="292"/>
      <c r="OTJ34" s="292"/>
      <c r="OTK34" s="292"/>
      <c r="OTL34" s="292"/>
      <c r="OTM34" s="292"/>
      <c r="OTN34" s="292"/>
      <c r="OTO34" s="292"/>
      <c r="OTP34" s="292"/>
      <c r="OTQ34" s="292"/>
      <c r="OTR34" s="292"/>
      <c r="OTS34" s="292"/>
      <c r="OTT34" s="292"/>
      <c r="OTU34" s="292"/>
      <c r="OTV34" s="292"/>
      <c r="OTW34" s="292"/>
      <c r="OTX34" s="292"/>
      <c r="OTY34" s="292"/>
      <c r="OTZ34" s="292"/>
      <c r="OUA34" s="292"/>
      <c r="OUB34" s="292"/>
      <c r="OUC34" s="292"/>
      <c r="OUD34" s="292"/>
      <c r="OUE34" s="292"/>
      <c r="OUF34" s="292"/>
      <c r="OUG34" s="292"/>
      <c r="OUH34" s="292"/>
      <c r="OUI34" s="292"/>
      <c r="OUJ34" s="292"/>
      <c r="OUK34" s="292"/>
      <c r="OUL34" s="292"/>
      <c r="OUM34" s="292"/>
      <c r="OUN34" s="292"/>
      <c r="OUO34" s="292"/>
      <c r="OUP34" s="292"/>
      <c r="OUQ34" s="292"/>
      <c r="OUR34" s="292"/>
      <c r="OUS34" s="292"/>
      <c r="OUT34" s="292"/>
      <c r="OUU34" s="292"/>
      <c r="OUV34" s="292"/>
      <c r="OUW34" s="292"/>
      <c r="OUX34" s="292"/>
      <c r="OUY34" s="292"/>
      <c r="OUZ34" s="292"/>
      <c r="OVA34" s="292"/>
      <c r="OVB34" s="292"/>
      <c r="OVC34" s="292"/>
      <c r="OVD34" s="292"/>
      <c r="OVE34" s="292"/>
      <c r="OVF34" s="292"/>
      <c r="OVG34" s="292"/>
      <c r="OVH34" s="292"/>
      <c r="OVI34" s="292"/>
      <c r="OVJ34" s="292"/>
      <c r="OVK34" s="292"/>
      <c r="OVL34" s="292"/>
      <c r="OVM34" s="292"/>
      <c r="OVN34" s="292"/>
      <c r="OVO34" s="292"/>
      <c r="OVP34" s="292"/>
      <c r="OVQ34" s="292"/>
      <c r="OVR34" s="292"/>
      <c r="OVS34" s="292"/>
      <c r="OVT34" s="292"/>
      <c r="OVU34" s="292"/>
      <c r="OVV34" s="292"/>
      <c r="OVW34" s="292"/>
      <c r="OVX34" s="292"/>
      <c r="OVY34" s="292"/>
      <c r="OVZ34" s="292"/>
      <c r="OWA34" s="292"/>
      <c r="OWB34" s="292"/>
      <c r="OWC34" s="292"/>
      <c r="OWD34" s="292"/>
      <c r="OWE34" s="292"/>
      <c r="OWF34" s="292"/>
      <c r="OWG34" s="292"/>
      <c r="OWH34" s="292"/>
      <c r="OWI34" s="292"/>
      <c r="OWJ34" s="292"/>
      <c r="OWK34" s="292"/>
      <c r="OWL34" s="292"/>
      <c r="OWM34" s="292"/>
      <c r="OWN34" s="292"/>
      <c r="OWO34" s="292"/>
      <c r="OWP34" s="292"/>
      <c r="OWQ34" s="292"/>
      <c r="OWR34" s="292"/>
      <c r="OWS34" s="292"/>
      <c r="OWT34" s="292"/>
      <c r="OWU34" s="292"/>
      <c r="OWV34" s="292"/>
      <c r="OWW34" s="292"/>
      <c r="OWX34" s="292"/>
      <c r="OWY34" s="292"/>
      <c r="OWZ34" s="292"/>
      <c r="OXA34" s="292"/>
      <c r="OXB34" s="292"/>
      <c r="OXC34" s="292"/>
      <c r="OXD34" s="292"/>
      <c r="OXE34" s="292"/>
      <c r="OXF34" s="292"/>
      <c r="OXG34" s="292"/>
      <c r="OXH34" s="292"/>
      <c r="OXI34" s="292"/>
      <c r="OXJ34" s="292"/>
      <c r="OXK34" s="292"/>
      <c r="OXL34" s="292"/>
      <c r="OXM34" s="292"/>
      <c r="OXN34" s="292"/>
      <c r="OXO34" s="292"/>
      <c r="OXP34" s="292"/>
      <c r="OXQ34" s="292"/>
      <c r="OXR34" s="292"/>
      <c r="OXS34" s="292"/>
      <c r="OXT34" s="292"/>
      <c r="OXU34" s="292"/>
      <c r="OXV34" s="292"/>
      <c r="OXW34" s="292"/>
      <c r="OXX34" s="292"/>
      <c r="OXY34" s="292"/>
      <c r="OXZ34" s="292"/>
      <c r="OYA34" s="292"/>
      <c r="OYB34" s="292"/>
      <c r="OYC34" s="292"/>
      <c r="OYD34" s="292"/>
      <c r="OYE34" s="292"/>
      <c r="OYF34" s="292"/>
      <c r="OYG34" s="292"/>
      <c r="OYH34" s="292"/>
      <c r="OYI34" s="292"/>
      <c r="OYJ34" s="292"/>
      <c r="OYK34" s="292"/>
      <c r="OYL34" s="292"/>
      <c r="OYM34" s="292"/>
      <c r="OYN34" s="292"/>
      <c r="OYO34" s="292"/>
      <c r="OYP34" s="292"/>
      <c r="OYQ34" s="292"/>
      <c r="OYR34" s="292"/>
      <c r="OYS34" s="292"/>
      <c r="OYT34" s="292"/>
      <c r="OYU34" s="292"/>
      <c r="OYV34" s="292"/>
      <c r="OYW34" s="292"/>
      <c r="OYX34" s="292"/>
      <c r="OYY34" s="292"/>
      <c r="OYZ34" s="292"/>
      <c r="OZA34" s="292"/>
      <c r="OZB34" s="292"/>
      <c r="OZC34" s="292"/>
      <c r="OZD34" s="292"/>
      <c r="OZE34" s="292"/>
      <c r="OZF34" s="292"/>
      <c r="OZG34" s="292"/>
      <c r="OZH34" s="292"/>
      <c r="OZI34" s="292"/>
      <c r="OZJ34" s="292"/>
      <c r="OZK34" s="292"/>
      <c r="OZL34" s="292"/>
      <c r="OZM34" s="292"/>
      <c r="OZN34" s="292"/>
      <c r="OZO34" s="292"/>
      <c r="OZP34" s="292"/>
      <c r="OZQ34" s="292"/>
      <c r="OZR34" s="292"/>
      <c r="OZS34" s="292"/>
      <c r="OZT34" s="292"/>
      <c r="OZU34" s="292"/>
      <c r="OZV34" s="292"/>
      <c r="OZW34" s="292"/>
      <c r="OZX34" s="292"/>
      <c r="OZY34" s="292"/>
      <c r="OZZ34" s="292"/>
      <c r="PAA34" s="292"/>
      <c r="PAB34" s="292"/>
      <c r="PAC34" s="292"/>
      <c r="PAD34" s="292"/>
      <c r="PAE34" s="292"/>
      <c r="PAF34" s="292"/>
      <c r="PAG34" s="292"/>
      <c r="PAH34" s="292"/>
      <c r="PAI34" s="292"/>
      <c r="PAJ34" s="292"/>
      <c r="PAK34" s="292"/>
      <c r="PAL34" s="292"/>
      <c r="PAM34" s="292"/>
      <c r="PAN34" s="292"/>
      <c r="PAO34" s="292"/>
      <c r="PAP34" s="292"/>
      <c r="PAQ34" s="292"/>
      <c r="PAR34" s="292"/>
      <c r="PAS34" s="292"/>
      <c r="PAT34" s="292"/>
      <c r="PAU34" s="292"/>
      <c r="PAV34" s="292"/>
      <c r="PAW34" s="292"/>
      <c r="PAX34" s="292"/>
      <c r="PAY34" s="292"/>
      <c r="PAZ34" s="292"/>
      <c r="PBA34" s="292"/>
      <c r="PBB34" s="292"/>
      <c r="PBC34" s="292"/>
      <c r="PBD34" s="292"/>
      <c r="PBE34" s="292"/>
      <c r="PBF34" s="292"/>
      <c r="PBG34" s="292"/>
      <c r="PBH34" s="292"/>
      <c r="PBI34" s="292"/>
      <c r="PBJ34" s="292"/>
      <c r="PBK34" s="292"/>
      <c r="PBL34" s="292"/>
      <c r="PBM34" s="292"/>
      <c r="PBN34" s="292"/>
      <c r="PBO34" s="292"/>
      <c r="PBP34" s="292"/>
      <c r="PBQ34" s="292"/>
      <c r="PBR34" s="292"/>
      <c r="PBS34" s="292"/>
      <c r="PBT34" s="292"/>
      <c r="PBU34" s="292"/>
      <c r="PBV34" s="292"/>
      <c r="PBW34" s="292"/>
      <c r="PBX34" s="292"/>
      <c r="PBY34" s="292"/>
      <c r="PBZ34" s="292"/>
      <c r="PCA34" s="292"/>
      <c r="PCB34" s="292"/>
      <c r="PCC34" s="292"/>
      <c r="PCD34" s="292"/>
      <c r="PCE34" s="292"/>
      <c r="PCF34" s="292"/>
      <c r="PCG34" s="292"/>
      <c r="PCH34" s="292"/>
      <c r="PCI34" s="292"/>
      <c r="PCJ34" s="292"/>
      <c r="PCK34" s="292"/>
      <c r="PCL34" s="292"/>
      <c r="PCM34" s="292"/>
      <c r="PCN34" s="292"/>
      <c r="PCO34" s="292"/>
      <c r="PCP34" s="292"/>
      <c r="PCQ34" s="292"/>
      <c r="PCR34" s="292"/>
      <c r="PCS34" s="292"/>
      <c r="PCT34" s="292"/>
      <c r="PCU34" s="292"/>
      <c r="PCV34" s="292"/>
      <c r="PCW34" s="292"/>
      <c r="PCX34" s="292"/>
      <c r="PCY34" s="292"/>
      <c r="PCZ34" s="292"/>
      <c r="PDA34" s="292"/>
      <c r="PDB34" s="292"/>
      <c r="PDC34" s="292"/>
      <c r="PDD34" s="292"/>
      <c r="PDE34" s="292"/>
      <c r="PDF34" s="292"/>
      <c r="PDG34" s="292"/>
      <c r="PDH34" s="292"/>
      <c r="PDI34" s="292"/>
      <c r="PDJ34" s="292"/>
      <c r="PDK34" s="292"/>
      <c r="PDL34" s="292"/>
      <c r="PDM34" s="292"/>
      <c r="PDN34" s="292"/>
      <c r="PDO34" s="292"/>
      <c r="PDP34" s="292"/>
      <c r="PDQ34" s="292"/>
      <c r="PDR34" s="292"/>
      <c r="PDS34" s="292"/>
      <c r="PDT34" s="292"/>
      <c r="PDU34" s="292"/>
      <c r="PDV34" s="292"/>
      <c r="PDW34" s="292"/>
      <c r="PDX34" s="292"/>
      <c r="PDY34" s="292"/>
      <c r="PDZ34" s="292"/>
      <c r="PEA34" s="292"/>
      <c r="PEB34" s="292"/>
      <c r="PEC34" s="292"/>
      <c r="PED34" s="292"/>
      <c r="PEE34" s="292"/>
      <c r="PEF34" s="292"/>
      <c r="PEG34" s="292"/>
      <c r="PEH34" s="292"/>
      <c r="PEI34" s="292"/>
      <c r="PEJ34" s="292"/>
      <c r="PEK34" s="292"/>
      <c r="PEL34" s="292"/>
      <c r="PEM34" s="292"/>
      <c r="PEN34" s="292"/>
      <c r="PEO34" s="292"/>
      <c r="PEP34" s="292"/>
      <c r="PEQ34" s="292"/>
      <c r="PER34" s="292"/>
      <c r="PES34" s="292"/>
      <c r="PET34" s="292"/>
      <c r="PEU34" s="292"/>
      <c r="PEV34" s="292"/>
      <c r="PEW34" s="292"/>
      <c r="PEX34" s="292"/>
      <c r="PEY34" s="292"/>
      <c r="PEZ34" s="292"/>
      <c r="PFA34" s="292"/>
      <c r="PFB34" s="292"/>
      <c r="PFC34" s="292"/>
      <c r="PFD34" s="292"/>
      <c r="PFE34" s="292"/>
      <c r="PFF34" s="292"/>
      <c r="PFG34" s="292"/>
      <c r="PFH34" s="292"/>
      <c r="PFI34" s="292"/>
      <c r="PFJ34" s="292"/>
      <c r="PFK34" s="292"/>
      <c r="PFL34" s="292"/>
      <c r="PFM34" s="292"/>
      <c r="PFN34" s="292"/>
      <c r="PFO34" s="292"/>
      <c r="PFP34" s="292"/>
      <c r="PFQ34" s="292"/>
      <c r="PFR34" s="292"/>
      <c r="PFS34" s="292"/>
      <c r="PFT34" s="292"/>
      <c r="PFU34" s="292"/>
      <c r="PFV34" s="292"/>
      <c r="PFW34" s="292"/>
      <c r="PFX34" s="292"/>
      <c r="PFY34" s="292"/>
      <c r="PFZ34" s="292"/>
      <c r="PGA34" s="292"/>
      <c r="PGB34" s="292"/>
      <c r="PGC34" s="292"/>
      <c r="PGD34" s="292"/>
      <c r="PGE34" s="292"/>
      <c r="PGF34" s="292"/>
      <c r="PGG34" s="292"/>
      <c r="PGH34" s="292"/>
      <c r="PGI34" s="292"/>
      <c r="PGJ34" s="292"/>
      <c r="PGK34" s="292"/>
      <c r="PGL34" s="292"/>
      <c r="PGM34" s="292"/>
      <c r="PGN34" s="292"/>
      <c r="PGO34" s="292"/>
      <c r="PGP34" s="292"/>
      <c r="PGQ34" s="292"/>
      <c r="PGR34" s="292"/>
      <c r="PGS34" s="292"/>
      <c r="PGT34" s="292"/>
      <c r="PGU34" s="292"/>
      <c r="PGV34" s="292"/>
      <c r="PGW34" s="292"/>
      <c r="PGX34" s="292"/>
      <c r="PGY34" s="292"/>
      <c r="PGZ34" s="292"/>
      <c r="PHA34" s="292"/>
      <c r="PHB34" s="292"/>
      <c r="PHC34" s="292"/>
      <c r="PHD34" s="292"/>
      <c r="PHE34" s="292"/>
      <c r="PHF34" s="292"/>
      <c r="PHG34" s="292"/>
      <c r="PHH34" s="292"/>
      <c r="PHI34" s="292"/>
      <c r="PHJ34" s="292"/>
      <c r="PHK34" s="292"/>
      <c r="PHL34" s="292"/>
      <c r="PHM34" s="292"/>
      <c r="PHN34" s="292"/>
      <c r="PHO34" s="292"/>
      <c r="PHP34" s="292"/>
      <c r="PHQ34" s="292"/>
      <c r="PHR34" s="292"/>
      <c r="PHS34" s="292"/>
      <c r="PHT34" s="292"/>
      <c r="PHU34" s="292"/>
      <c r="PHV34" s="292"/>
      <c r="PHW34" s="292"/>
      <c r="PHX34" s="292"/>
      <c r="PHY34" s="292"/>
      <c r="PHZ34" s="292"/>
      <c r="PIA34" s="292"/>
      <c r="PIB34" s="292"/>
      <c r="PIC34" s="292"/>
      <c r="PID34" s="292"/>
      <c r="PIE34" s="292"/>
      <c r="PIF34" s="292"/>
      <c r="PIG34" s="292"/>
      <c r="PIH34" s="292"/>
      <c r="PII34" s="292"/>
      <c r="PIJ34" s="292"/>
      <c r="PIK34" s="292"/>
      <c r="PIL34" s="292"/>
      <c r="PIM34" s="292"/>
      <c r="PIN34" s="292"/>
      <c r="PIO34" s="292"/>
      <c r="PIP34" s="292"/>
      <c r="PIQ34" s="292"/>
      <c r="PIR34" s="292"/>
      <c r="PIS34" s="292"/>
      <c r="PIT34" s="292"/>
      <c r="PIU34" s="292"/>
      <c r="PIV34" s="292"/>
      <c r="PIW34" s="292"/>
      <c r="PIX34" s="292"/>
      <c r="PIY34" s="292"/>
      <c r="PIZ34" s="292"/>
      <c r="PJA34" s="292"/>
      <c r="PJB34" s="292"/>
      <c r="PJC34" s="292"/>
      <c r="PJD34" s="292"/>
      <c r="PJE34" s="292"/>
      <c r="PJF34" s="292"/>
      <c r="PJG34" s="292"/>
      <c r="PJH34" s="292"/>
      <c r="PJI34" s="292"/>
      <c r="PJJ34" s="292"/>
      <c r="PJK34" s="292"/>
      <c r="PJL34" s="292"/>
      <c r="PJM34" s="292"/>
      <c r="PJN34" s="292"/>
      <c r="PJO34" s="292"/>
      <c r="PJP34" s="292"/>
      <c r="PJQ34" s="292"/>
      <c r="PJR34" s="292"/>
      <c r="PJS34" s="292"/>
      <c r="PJT34" s="292"/>
      <c r="PJU34" s="292"/>
      <c r="PJV34" s="292"/>
      <c r="PJW34" s="292"/>
      <c r="PJX34" s="292"/>
      <c r="PJY34" s="292"/>
      <c r="PJZ34" s="292"/>
      <c r="PKA34" s="292"/>
      <c r="PKB34" s="292"/>
      <c r="PKC34" s="292"/>
      <c r="PKD34" s="292"/>
      <c r="PKE34" s="292"/>
      <c r="PKF34" s="292"/>
      <c r="PKG34" s="292"/>
      <c r="PKH34" s="292"/>
      <c r="PKI34" s="292"/>
      <c r="PKJ34" s="292"/>
      <c r="PKK34" s="292"/>
      <c r="PKL34" s="292"/>
      <c r="PKM34" s="292"/>
      <c r="PKN34" s="292"/>
      <c r="PKO34" s="292"/>
      <c r="PKP34" s="292"/>
      <c r="PKQ34" s="292"/>
      <c r="PKR34" s="292"/>
      <c r="PKS34" s="292"/>
      <c r="PKT34" s="292"/>
      <c r="PKU34" s="292"/>
      <c r="PKV34" s="292"/>
      <c r="PKW34" s="292"/>
      <c r="PKX34" s="292"/>
      <c r="PKY34" s="292"/>
      <c r="PKZ34" s="292"/>
      <c r="PLA34" s="292"/>
      <c r="PLB34" s="292"/>
      <c r="PLC34" s="292"/>
      <c r="PLD34" s="292"/>
      <c r="PLE34" s="292"/>
      <c r="PLF34" s="292"/>
      <c r="PLG34" s="292"/>
      <c r="PLH34" s="292"/>
      <c r="PLI34" s="292"/>
      <c r="PLJ34" s="292"/>
      <c r="PLK34" s="292"/>
      <c r="PLL34" s="292"/>
      <c r="PLM34" s="292"/>
      <c r="PLN34" s="292"/>
      <c r="PLO34" s="292"/>
      <c r="PLP34" s="292"/>
      <c r="PLQ34" s="292"/>
      <c r="PLR34" s="292"/>
      <c r="PLS34" s="292"/>
      <c r="PLT34" s="292"/>
      <c r="PLU34" s="292"/>
      <c r="PLV34" s="292"/>
      <c r="PLW34" s="292"/>
      <c r="PLX34" s="292"/>
      <c r="PLY34" s="292"/>
      <c r="PLZ34" s="292"/>
      <c r="PMA34" s="292"/>
      <c r="PMB34" s="292"/>
      <c r="PMC34" s="292"/>
      <c r="PMD34" s="292"/>
      <c r="PME34" s="292"/>
      <c r="PMF34" s="292"/>
      <c r="PMG34" s="292"/>
      <c r="PMH34" s="292"/>
      <c r="PMI34" s="292"/>
      <c r="PMJ34" s="292"/>
      <c r="PMK34" s="292"/>
      <c r="PML34" s="292"/>
      <c r="PMM34" s="292"/>
      <c r="PMN34" s="292"/>
      <c r="PMO34" s="292"/>
      <c r="PMP34" s="292"/>
      <c r="PMQ34" s="292"/>
      <c r="PMR34" s="292"/>
      <c r="PMS34" s="292"/>
      <c r="PMT34" s="292"/>
      <c r="PMU34" s="292"/>
      <c r="PMV34" s="292"/>
      <c r="PMW34" s="292"/>
      <c r="PMX34" s="292"/>
      <c r="PMY34" s="292"/>
      <c r="PMZ34" s="292"/>
      <c r="PNA34" s="292"/>
      <c r="PNB34" s="292"/>
      <c r="PNC34" s="292"/>
      <c r="PND34" s="292"/>
      <c r="PNE34" s="292"/>
      <c r="PNF34" s="292"/>
      <c r="PNG34" s="292"/>
      <c r="PNH34" s="292"/>
      <c r="PNI34" s="292"/>
      <c r="PNJ34" s="292"/>
      <c r="PNK34" s="292"/>
      <c r="PNL34" s="292"/>
      <c r="PNM34" s="292"/>
      <c r="PNN34" s="292"/>
      <c r="PNO34" s="292"/>
      <c r="PNP34" s="292"/>
      <c r="PNQ34" s="292"/>
      <c r="PNR34" s="292"/>
      <c r="PNS34" s="292"/>
      <c r="PNT34" s="292"/>
      <c r="PNU34" s="292"/>
      <c r="PNV34" s="292"/>
      <c r="PNW34" s="292"/>
      <c r="PNX34" s="292"/>
      <c r="PNY34" s="292"/>
      <c r="PNZ34" s="292"/>
      <c r="POA34" s="292"/>
      <c r="POB34" s="292"/>
      <c r="POC34" s="292"/>
      <c r="POD34" s="292"/>
      <c r="POE34" s="292"/>
      <c r="POF34" s="292"/>
      <c r="POG34" s="292"/>
      <c r="POH34" s="292"/>
      <c r="POI34" s="292"/>
      <c r="POJ34" s="292"/>
      <c r="POK34" s="292"/>
      <c r="POL34" s="292"/>
      <c r="POM34" s="292"/>
      <c r="PON34" s="292"/>
      <c r="POO34" s="292"/>
      <c r="POP34" s="292"/>
      <c r="POQ34" s="292"/>
      <c r="POR34" s="292"/>
      <c r="POS34" s="292"/>
      <c r="POT34" s="292"/>
      <c r="POU34" s="292"/>
      <c r="POV34" s="292"/>
      <c r="POW34" s="292"/>
      <c r="POX34" s="292"/>
      <c r="POY34" s="292"/>
      <c r="POZ34" s="292"/>
      <c r="PPA34" s="292"/>
      <c r="PPB34" s="292"/>
      <c r="PPC34" s="292"/>
      <c r="PPD34" s="292"/>
      <c r="PPE34" s="292"/>
      <c r="PPF34" s="292"/>
      <c r="PPG34" s="292"/>
      <c r="PPH34" s="292"/>
      <c r="PPI34" s="292"/>
      <c r="PPJ34" s="292"/>
      <c r="PPK34" s="292"/>
      <c r="PPL34" s="292"/>
      <c r="PPM34" s="292"/>
      <c r="PPN34" s="292"/>
      <c r="PPO34" s="292"/>
      <c r="PPP34" s="292"/>
      <c r="PPQ34" s="292"/>
      <c r="PPR34" s="292"/>
      <c r="PPS34" s="292"/>
      <c r="PPT34" s="292"/>
      <c r="PPU34" s="292"/>
      <c r="PPV34" s="292"/>
      <c r="PPW34" s="292"/>
      <c r="PPX34" s="292"/>
      <c r="PPY34" s="292"/>
      <c r="PPZ34" s="292"/>
      <c r="PQA34" s="292"/>
      <c r="PQB34" s="292"/>
      <c r="PQC34" s="292"/>
      <c r="PQD34" s="292"/>
      <c r="PQE34" s="292"/>
      <c r="PQF34" s="292"/>
      <c r="PQG34" s="292"/>
      <c r="PQH34" s="292"/>
      <c r="PQI34" s="292"/>
      <c r="PQJ34" s="292"/>
      <c r="PQK34" s="292"/>
      <c r="PQL34" s="292"/>
      <c r="PQM34" s="292"/>
      <c r="PQN34" s="292"/>
      <c r="PQO34" s="292"/>
      <c r="PQP34" s="292"/>
      <c r="PQQ34" s="292"/>
      <c r="PQR34" s="292"/>
      <c r="PQS34" s="292"/>
      <c r="PQT34" s="292"/>
      <c r="PQU34" s="292"/>
      <c r="PQV34" s="292"/>
      <c r="PQW34" s="292"/>
      <c r="PQX34" s="292"/>
      <c r="PQY34" s="292"/>
      <c r="PQZ34" s="292"/>
      <c r="PRA34" s="292"/>
      <c r="PRB34" s="292"/>
      <c r="PRC34" s="292"/>
      <c r="PRD34" s="292"/>
      <c r="PRE34" s="292"/>
      <c r="PRF34" s="292"/>
      <c r="PRG34" s="292"/>
      <c r="PRH34" s="292"/>
      <c r="PRI34" s="292"/>
      <c r="PRJ34" s="292"/>
      <c r="PRK34" s="292"/>
      <c r="PRL34" s="292"/>
      <c r="PRM34" s="292"/>
      <c r="PRN34" s="292"/>
      <c r="PRO34" s="292"/>
      <c r="PRP34" s="292"/>
      <c r="PRQ34" s="292"/>
      <c r="PRR34" s="292"/>
      <c r="PRS34" s="292"/>
      <c r="PRT34" s="292"/>
      <c r="PRU34" s="292"/>
      <c r="PRV34" s="292"/>
      <c r="PRW34" s="292"/>
      <c r="PRX34" s="292"/>
      <c r="PRY34" s="292"/>
      <c r="PRZ34" s="292"/>
      <c r="PSA34" s="292"/>
      <c r="PSB34" s="292"/>
      <c r="PSC34" s="292"/>
      <c r="PSD34" s="292"/>
      <c r="PSE34" s="292"/>
      <c r="PSF34" s="292"/>
      <c r="PSG34" s="292"/>
      <c r="PSH34" s="292"/>
      <c r="PSI34" s="292"/>
      <c r="PSJ34" s="292"/>
      <c r="PSK34" s="292"/>
      <c r="PSL34" s="292"/>
      <c r="PSM34" s="292"/>
      <c r="PSN34" s="292"/>
      <c r="PSO34" s="292"/>
      <c r="PSP34" s="292"/>
      <c r="PSQ34" s="292"/>
      <c r="PSR34" s="292"/>
      <c r="PSS34" s="292"/>
      <c r="PST34" s="292"/>
      <c r="PSU34" s="292"/>
      <c r="PSV34" s="292"/>
      <c r="PSW34" s="292"/>
      <c r="PSX34" s="292"/>
      <c r="PSY34" s="292"/>
      <c r="PSZ34" s="292"/>
      <c r="PTA34" s="292"/>
      <c r="PTB34" s="292"/>
      <c r="PTC34" s="292"/>
      <c r="PTD34" s="292"/>
      <c r="PTE34" s="292"/>
      <c r="PTF34" s="292"/>
      <c r="PTG34" s="292"/>
      <c r="PTH34" s="292"/>
      <c r="PTI34" s="292"/>
      <c r="PTJ34" s="292"/>
      <c r="PTK34" s="292"/>
      <c r="PTL34" s="292"/>
      <c r="PTM34" s="292"/>
      <c r="PTN34" s="292"/>
      <c r="PTO34" s="292"/>
      <c r="PTP34" s="292"/>
      <c r="PTQ34" s="292"/>
      <c r="PTR34" s="292"/>
      <c r="PTS34" s="292"/>
      <c r="PTT34" s="292"/>
      <c r="PTU34" s="292"/>
      <c r="PTV34" s="292"/>
      <c r="PTW34" s="292"/>
      <c r="PTX34" s="292"/>
      <c r="PTY34" s="292"/>
      <c r="PTZ34" s="292"/>
      <c r="PUA34" s="292"/>
      <c r="PUB34" s="292"/>
      <c r="PUC34" s="292"/>
      <c r="PUD34" s="292"/>
      <c r="PUE34" s="292"/>
      <c r="PUF34" s="292"/>
      <c r="PUG34" s="292"/>
      <c r="PUH34" s="292"/>
      <c r="PUI34" s="292"/>
      <c r="PUJ34" s="292"/>
      <c r="PUK34" s="292"/>
      <c r="PUL34" s="292"/>
      <c r="PUM34" s="292"/>
      <c r="PUN34" s="292"/>
      <c r="PUO34" s="292"/>
      <c r="PUP34" s="292"/>
      <c r="PUQ34" s="292"/>
      <c r="PUR34" s="292"/>
      <c r="PUS34" s="292"/>
      <c r="PUT34" s="292"/>
      <c r="PUU34" s="292"/>
      <c r="PUV34" s="292"/>
      <c r="PUW34" s="292"/>
      <c r="PUX34" s="292"/>
      <c r="PUY34" s="292"/>
      <c r="PUZ34" s="292"/>
      <c r="PVA34" s="292"/>
      <c r="PVB34" s="292"/>
      <c r="PVC34" s="292"/>
      <c r="PVD34" s="292"/>
      <c r="PVE34" s="292"/>
      <c r="PVF34" s="292"/>
      <c r="PVG34" s="292"/>
      <c r="PVH34" s="292"/>
      <c r="PVI34" s="292"/>
      <c r="PVJ34" s="292"/>
      <c r="PVK34" s="292"/>
      <c r="PVL34" s="292"/>
      <c r="PVM34" s="292"/>
      <c r="PVN34" s="292"/>
      <c r="PVO34" s="292"/>
      <c r="PVP34" s="292"/>
      <c r="PVQ34" s="292"/>
      <c r="PVR34" s="292"/>
      <c r="PVS34" s="292"/>
      <c r="PVT34" s="292"/>
      <c r="PVU34" s="292"/>
      <c r="PVV34" s="292"/>
      <c r="PVW34" s="292"/>
      <c r="PVX34" s="292"/>
      <c r="PVY34" s="292"/>
      <c r="PVZ34" s="292"/>
      <c r="PWA34" s="292"/>
      <c r="PWB34" s="292"/>
      <c r="PWC34" s="292"/>
      <c r="PWD34" s="292"/>
      <c r="PWE34" s="292"/>
      <c r="PWF34" s="292"/>
      <c r="PWG34" s="292"/>
      <c r="PWH34" s="292"/>
      <c r="PWI34" s="292"/>
      <c r="PWJ34" s="292"/>
      <c r="PWK34" s="292"/>
      <c r="PWL34" s="292"/>
      <c r="PWM34" s="292"/>
      <c r="PWN34" s="292"/>
      <c r="PWO34" s="292"/>
      <c r="PWP34" s="292"/>
      <c r="PWQ34" s="292"/>
      <c r="PWR34" s="292"/>
      <c r="PWS34" s="292"/>
      <c r="PWT34" s="292"/>
      <c r="PWU34" s="292"/>
      <c r="PWV34" s="292"/>
      <c r="PWW34" s="292"/>
      <c r="PWX34" s="292"/>
      <c r="PWY34" s="292"/>
      <c r="PWZ34" s="292"/>
      <c r="PXA34" s="292"/>
      <c r="PXB34" s="292"/>
      <c r="PXC34" s="292"/>
      <c r="PXD34" s="292"/>
      <c r="PXE34" s="292"/>
      <c r="PXF34" s="292"/>
      <c r="PXG34" s="292"/>
      <c r="PXH34" s="292"/>
      <c r="PXI34" s="292"/>
      <c r="PXJ34" s="292"/>
      <c r="PXK34" s="292"/>
      <c r="PXL34" s="292"/>
      <c r="PXM34" s="292"/>
      <c r="PXN34" s="292"/>
      <c r="PXO34" s="292"/>
      <c r="PXP34" s="292"/>
      <c r="PXQ34" s="292"/>
      <c r="PXR34" s="292"/>
      <c r="PXS34" s="292"/>
      <c r="PXT34" s="292"/>
      <c r="PXU34" s="292"/>
      <c r="PXV34" s="292"/>
      <c r="PXW34" s="292"/>
      <c r="PXX34" s="292"/>
      <c r="PXY34" s="292"/>
      <c r="PXZ34" s="292"/>
      <c r="PYA34" s="292"/>
      <c r="PYB34" s="292"/>
      <c r="PYC34" s="292"/>
      <c r="PYD34" s="292"/>
      <c r="PYE34" s="292"/>
      <c r="PYF34" s="292"/>
      <c r="PYG34" s="292"/>
      <c r="PYH34" s="292"/>
      <c r="PYI34" s="292"/>
      <c r="PYJ34" s="292"/>
      <c r="PYK34" s="292"/>
      <c r="PYL34" s="292"/>
      <c r="PYM34" s="292"/>
      <c r="PYN34" s="292"/>
      <c r="PYO34" s="292"/>
      <c r="PYP34" s="292"/>
      <c r="PYQ34" s="292"/>
      <c r="PYR34" s="292"/>
      <c r="PYS34" s="292"/>
      <c r="PYT34" s="292"/>
      <c r="PYU34" s="292"/>
      <c r="PYV34" s="292"/>
      <c r="PYW34" s="292"/>
      <c r="PYX34" s="292"/>
      <c r="PYY34" s="292"/>
      <c r="PYZ34" s="292"/>
      <c r="PZA34" s="292"/>
      <c r="PZB34" s="292"/>
      <c r="PZC34" s="292"/>
      <c r="PZD34" s="292"/>
      <c r="PZE34" s="292"/>
      <c r="PZF34" s="292"/>
      <c r="PZG34" s="292"/>
      <c r="PZH34" s="292"/>
      <c r="PZI34" s="292"/>
      <c r="PZJ34" s="292"/>
      <c r="PZK34" s="292"/>
      <c r="PZL34" s="292"/>
      <c r="PZM34" s="292"/>
      <c r="PZN34" s="292"/>
      <c r="PZO34" s="292"/>
      <c r="PZP34" s="292"/>
      <c r="PZQ34" s="292"/>
      <c r="PZR34" s="292"/>
      <c r="PZS34" s="292"/>
      <c r="PZT34" s="292"/>
      <c r="PZU34" s="292"/>
      <c r="PZV34" s="292"/>
      <c r="PZW34" s="292"/>
      <c r="PZX34" s="292"/>
      <c r="PZY34" s="292"/>
      <c r="PZZ34" s="292"/>
      <c r="QAA34" s="292"/>
      <c r="QAB34" s="292"/>
      <c r="QAC34" s="292"/>
      <c r="QAD34" s="292"/>
      <c r="QAE34" s="292"/>
      <c r="QAF34" s="292"/>
      <c r="QAG34" s="292"/>
      <c r="QAH34" s="292"/>
      <c r="QAI34" s="292"/>
      <c r="QAJ34" s="292"/>
      <c r="QAK34" s="292"/>
      <c r="QAL34" s="292"/>
      <c r="QAM34" s="292"/>
      <c r="QAN34" s="292"/>
      <c r="QAO34" s="292"/>
      <c r="QAP34" s="292"/>
      <c r="QAQ34" s="292"/>
      <c r="QAR34" s="292"/>
      <c r="QAS34" s="292"/>
      <c r="QAT34" s="292"/>
      <c r="QAU34" s="292"/>
      <c r="QAV34" s="292"/>
      <c r="QAW34" s="292"/>
      <c r="QAX34" s="292"/>
      <c r="QAY34" s="292"/>
      <c r="QAZ34" s="292"/>
      <c r="QBA34" s="292"/>
      <c r="QBB34" s="292"/>
      <c r="QBC34" s="292"/>
      <c r="QBD34" s="292"/>
      <c r="QBE34" s="292"/>
      <c r="QBF34" s="292"/>
      <c r="QBG34" s="292"/>
      <c r="QBH34" s="292"/>
      <c r="QBI34" s="292"/>
      <c r="QBJ34" s="292"/>
      <c r="QBK34" s="292"/>
      <c r="QBL34" s="292"/>
      <c r="QBM34" s="292"/>
      <c r="QBN34" s="292"/>
      <c r="QBO34" s="292"/>
      <c r="QBP34" s="292"/>
      <c r="QBQ34" s="292"/>
      <c r="QBR34" s="292"/>
      <c r="QBS34" s="292"/>
      <c r="QBT34" s="292"/>
      <c r="QBU34" s="292"/>
      <c r="QBV34" s="292"/>
      <c r="QBW34" s="292"/>
      <c r="QBX34" s="292"/>
      <c r="QBY34" s="292"/>
      <c r="QBZ34" s="292"/>
      <c r="QCA34" s="292"/>
      <c r="QCB34" s="292"/>
      <c r="QCC34" s="292"/>
      <c r="QCD34" s="292"/>
      <c r="QCE34" s="292"/>
      <c r="QCF34" s="292"/>
      <c r="QCG34" s="292"/>
      <c r="QCH34" s="292"/>
      <c r="QCI34" s="292"/>
      <c r="QCJ34" s="292"/>
      <c r="QCK34" s="292"/>
      <c r="QCL34" s="292"/>
      <c r="QCM34" s="292"/>
      <c r="QCN34" s="292"/>
      <c r="QCO34" s="292"/>
      <c r="QCP34" s="292"/>
      <c r="QCQ34" s="292"/>
      <c r="QCR34" s="292"/>
      <c r="QCS34" s="292"/>
      <c r="QCT34" s="292"/>
      <c r="QCU34" s="292"/>
      <c r="QCV34" s="292"/>
      <c r="QCW34" s="292"/>
      <c r="QCX34" s="292"/>
      <c r="QCY34" s="292"/>
      <c r="QCZ34" s="292"/>
      <c r="QDA34" s="292"/>
      <c r="QDB34" s="292"/>
      <c r="QDC34" s="292"/>
      <c r="QDD34" s="292"/>
      <c r="QDE34" s="292"/>
      <c r="QDF34" s="292"/>
      <c r="QDG34" s="292"/>
      <c r="QDH34" s="292"/>
      <c r="QDI34" s="292"/>
      <c r="QDJ34" s="292"/>
      <c r="QDK34" s="292"/>
      <c r="QDL34" s="292"/>
      <c r="QDM34" s="292"/>
      <c r="QDN34" s="292"/>
      <c r="QDO34" s="292"/>
      <c r="QDP34" s="292"/>
      <c r="QDQ34" s="292"/>
      <c r="QDR34" s="292"/>
      <c r="QDS34" s="292"/>
      <c r="QDT34" s="292"/>
      <c r="QDU34" s="292"/>
      <c r="QDV34" s="292"/>
      <c r="QDW34" s="292"/>
      <c r="QDX34" s="292"/>
      <c r="QDY34" s="292"/>
      <c r="QDZ34" s="292"/>
      <c r="QEA34" s="292"/>
      <c r="QEB34" s="292"/>
      <c r="QEC34" s="292"/>
      <c r="QED34" s="292"/>
      <c r="QEE34" s="292"/>
      <c r="QEF34" s="292"/>
      <c r="QEG34" s="292"/>
      <c r="QEH34" s="292"/>
      <c r="QEI34" s="292"/>
      <c r="QEJ34" s="292"/>
      <c r="QEK34" s="292"/>
      <c r="QEL34" s="292"/>
      <c r="QEM34" s="292"/>
      <c r="QEN34" s="292"/>
      <c r="QEO34" s="292"/>
      <c r="QEP34" s="292"/>
      <c r="QEQ34" s="292"/>
      <c r="QER34" s="292"/>
      <c r="QES34" s="292"/>
      <c r="QET34" s="292"/>
      <c r="QEU34" s="292"/>
      <c r="QEV34" s="292"/>
      <c r="QEW34" s="292"/>
      <c r="QEX34" s="292"/>
      <c r="QEY34" s="292"/>
      <c r="QEZ34" s="292"/>
      <c r="QFA34" s="292"/>
      <c r="QFB34" s="292"/>
      <c r="QFC34" s="292"/>
      <c r="QFD34" s="292"/>
      <c r="QFE34" s="292"/>
      <c r="QFF34" s="292"/>
      <c r="QFG34" s="292"/>
      <c r="QFH34" s="292"/>
      <c r="QFI34" s="292"/>
      <c r="QFJ34" s="292"/>
      <c r="QFK34" s="292"/>
      <c r="QFL34" s="292"/>
      <c r="QFM34" s="292"/>
      <c r="QFN34" s="292"/>
      <c r="QFO34" s="292"/>
      <c r="QFP34" s="292"/>
      <c r="QFQ34" s="292"/>
      <c r="QFR34" s="292"/>
      <c r="QFS34" s="292"/>
      <c r="QFT34" s="292"/>
      <c r="QFU34" s="292"/>
      <c r="QFV34" s="292"/>
      <c r="QFW34" s="292"/>
      <c r="QFX34" s="292"/>
      <c r="QFY34" s="292"/>
      <c r="QFZ34" s="292"/>
      <c r="QGA34" s="292"/>
      <c r="QGB34" s="292"/>
      <c r="QGC34" s="292"/>
      <c r="QGD34" s="292"/>
      <c r="QGE34" s="292"/>
      <c r="QGF34" s="292"/>
      <c r="QGG34" s="292"/>
      <c r="QGH34" s="292"/>
      <c r="QGI34" s="292"/>
      <c r="QGJ34" s="292"/>
      <c r="QGK34" s="292"/>
      <c r="QGL34" s="292"/>
      <c r="QGM34" s="292"/>
      <c r="QGN34" s="292"/>
      <c r="QGO34" s="292"/>
      <c r="QGP34" s="292"/>
      <c r="QGQ34" s="292"/>
      <c r="QGR34" s="292"/>
      <c r="QGS34" s="292"/>
      <c r="QGT34" s="292"/>
      <c r="QGU34" s="292"/>
      <c r="QGV34" s="292"/>
      <c r="QGW34" s="292"/>
      <c r="QGX34" s="292"/>
      <c r="QGY34" s="292"/>
      <c r="QGZ34" s="292"/>
      <c r="QHA34" s="292"/>
      <c r="QHB34" s="292"/>
      <c r="QHC34" s="292"/>
      <c r="QHD34" s="292"/>
      <c r="QHE34" s="292"/>
      <c r="QHF34" s="292"/>
      <c r="QHG34" s="292"/>
      <c r="QHH34" s="292"/>
      <c r="QHI34" s="292"/>
      <c r="QHJ34" s="292"/>
      <c r="QHK34" s="292"/>
      <c r="QHL34" s="292"/>
      <c r="QHM34" s="292"/>
      <c r="QHN34" s="292"/>
      <c r="QHO34" s="292"/>
      <c r="QHP34" s="292"/>
      <c r="QHQ34" s="292"/>
      <c r="QHR34" s="292"/>
      <c r="QHS34" s="292"/>
      <c r="QHT34" s="292"/>
      <c r="QHU34" s="292"/>
      <c r="QHV34" s="292"/>
      <c r="QHW34" s="292"/>
      <c r="QHX34" s="292"/>
      <c r="QHY34" s="292"/>
      <c r="QHZ34" s="292"/>
      <c r="QIA34" s="292"/>
      <c r="QIB34" s="292"/>
      <c r="QIC34" s="292"/>
      <c r="QID34" s="292"/>
      <c r="QIE34" s="292"/>
      <c r="QIF34" s="292"/>
      <c r="QIG34" s="292"/>
      <c r="QIH34" s="292"/>
      <c r="QII34" s="292"/>
      <c r="QIJ34" s="292"/>
      <c r="QIK34" s="292"/>
      <c r="QIL34" s="292"/>
      <c r="QIM34" s="292"/>
      <c r="QIN34" s="292"/>
      <c r="QIO34" s="292"/>
      <c r="QIP34" s="292"/>
      <c r="QIQ34" s="292"/>
      <c r="QIR34" s="292"/>
      <c r="QIS34" s="292"/>
      <c r="QIT34" s="292"/>
      <c r="QIU34" s="292"/>
      <c r="QIV34" s="292"/>
      <c r="QIW34" s="292"/>
      <c r="QIX34" s="292"/>
      <c r="QIY34" s="292"/>
      <c r="QIZ34" s="292"/>
      <c r="QJA34" s="292"/>
      <c r="QJB34" s="292"/>
      <c r="QJC34" s="292"/>
      <c r="QJD34" s="292"/>
      <c r="QJE34" s="292"/>
      <c r="QJF34" s="292"/>
      <c r="QJG34" s="292"/>
      <c r="QJH34" s="292"/>
      <c r="QJI34" s="292"/>
      <c r="QJJ34" s="292"/>
      <c r="QJK34" s="292"/>
      <c r="QJL34" s="292"/>
      <c r="QJM34" s="292"/>
      <c r="QJN34" s="292"/>
      <c r="QJO34" s="292"/>
      <c r="QJP34" s="292"/>
      <c r="QJQ34" s="292"/>
      <c r="QJR34" s="292"/>
      <c r="QJS34" s="292"/>
      <c r="QJT34" s="292"/>
      <c r="QJU34" s="292"/>
      <c r="QJV34" s="292"/>
      <c r="QJW34" s="292"/>
      <c r="QJX34" s="292"/>
      <c r="QJY34" s="292"/>
      <c r="QJZ34" s="292"/>
      <c r="QKA34" s="292"/>
      <c r="QKB34" s="292"/>
      <c r="QKC34" s="292"/>
      <c r="QKD34" s="292"/>
      <c r="QKE34" s="292"/>
      <c r="QKF34" s="292"/>
      <c r="QKG34" s="292"/>
      <c r="QKH34" s="292"/>
      <c r="QKI34" s="292"/>
      <c r="QKJ34" s="292"/>
      <c r="QKK34" s="292"/>
      <c r="QKL34" s="292"/>
      <c r="QKM34" s="292"/>
      <c r="QKN34" s="292"/>
      <c r="QKO34" s="292"/>
      <c r="QKP34" s="292"/>
      <c r="QKQ34" s="292"/>
      <c r="QKR34" s="292"/>
      <c r="QKS34" s="292"/>
      <c r="QKT34" s="292"/>
      <c r="QKU34" s="292"/>
      <c r="QKV34" s="292"/>
      <c r="QKW34" s="292"/>
      <c r="QKX34" s="292"/>
      <c r="QKY34" s="292"/>
      <c r="QKZ34" s="292"/>
      <c r="QLA34" s="292"/>
      <c r="QLB34" s="292"/>
      <c r="QLC34" s="292"/>
      <c r="QLD34" s="292"/>
      <c r="QLE34" s="292"/>
      <c r="QLF34" s="292"/>
      <c r="QLG34" s="292"/>
      <c r="QLH34" s="292"/>
      <c r="QLI34" s="292"/>
      <c r="QLJ34" s="292"/>
      <c r="QLK34" s="292"/>
      <c r="QLL34" s="292"/>
      <c r="QLM34" s="292"/>
      <c r="QLN34" s="292"/>
      <c r="QLO34" s="292"/>
      <c r="QLP34" s="292"/>
      <c r="QLQ34" s="292"/>
      <c r="QLR34" s="292"/>
      <c r="QLS34" s="292"/>
      <c r="QLT34" s="292"/>
      <c r="QLU34" s="292"/>
      <c r="QLV34" s="292"/>
      <c r="QLW34" s="292"/>
      <c r="QLX34" s="292"/>
      <c r="QLY34" s="292"/>
      <c r="QLZ34" s="292"/>
      <c r="QMA34" s="292"/>
      <c r="QMB34" s="292"/>
      <c r="QMC34" s="292"/>
      <c r="QMD34" s="292"/>
      <c r="QME34" s="292"/>
      <c r="QMF34" s="292"/>
      <c r="QMG34" s="292"/>
      <c r="QMH34" s="292"/>
      <c r="QMI34" s="292"/>
      <c r="QMJ34" s="292"/>
      <c r="QMK34" s="292"/>
      <c r="QML34" s="292"/>
      <c r="QMM34" s="292"/>
      <c r="QMN34" s="292"/>
      <c r="QMO34" s="292"/>
      <c r="QMP34" s="292"/>
      <c r="QMQ34" s="292"/>
      <c r="QMR34" s="292"/>
      <c r="QMS34" s="292"/>
      <c r="QMT34" s="292"/>
      <c r="QMU34" s="292"/>
      <c r="QMV34" s="292"/>
      <c r="QMW34" s="292"/>
      <c r="QMX34" s="292"/>
      <c r="QMY34" s="292"/>
      <c r="QMZ34" s="292"/>
      <c r="QNA34" s="292"/>
      <c r="QNB34" s="292"/>
      <c r="QNC34" s="292"/>
      <c r="QND34" s="292"/>
      <c r="QNE34" s="292"/>
      <c r="QNF34" s="292"/>
      <c r="QNG34" s="292"/>
      <c r="QNH34" s="292"/>
      <c r="QNI34" s="292"/>
      <c r="QNJ34" s="292"/>
      <c r="QNK34" s="292"/>
      <c r="QNL34" s="292"/>
      <c r="QNM34" s="292"/>
      <c r="QNN34" s="292"/>
      <c r="QNO34" s="292"/>
      <c r="QNP34" s="292"/>
      <c r="QNQ34" s="292"/>
      <c r="QNR34" s="292"/>
      <c r="QNS34" s="292"/>
      <c r="QNT34" s="292"/>
      <c r="QNU34" s="292"/>
      <c r="QNV34" s="292"/>
      <c r="QNW34" s="292"/>
      <c r="QNX34" s="292"/>
      <c r="QNY34" s="292"/>
      <c r="QNZ34" s="292"/>
      <c r="QOA34" s="292"/>
      <c r="QOB34" s="292"/>
      <c r="QOC34" s="292"/>
      <c r="QOD34" s="292"/>
      <c r="QOE34" s="292"/>
      <c r="QOF34" s="292"/>
      <c r="QOG34" s="292"/>
      <c r="QOH34" s="292"/>
      <c r="QOI34" s="292"/>
      <c r="QOJ34" s="292"/>
      <c r="QOK34" s="292"/>
      <c r="QOL34" s="292"/>
      <c r="QOM34" s="292"/>
      <c r="QON34" s="292"/>
      <c r="QOO34" s="292"/>
      <c r="QOP34" s="292"/>
      <c r="QOQ34" s="292"/>
      <c r="QOR34" s="292"/>
      <c r="QOS34" s="292"/>
      <c r="QOT34" s="292"/>
      <c r="QOU34" s="292"/>
      <c r="QOV34" s="292"/>
      <c r="QOW34" s="292"/>
      <c r="QOX34" s="292"/>
      <c r="QOY34" s="292"/>
      <c r="QOZ34" s="292"/>
      <c r="QPA34" s="292"/>
      <c r="QPB34" s="292"/>
      <c r="QPC34" s="292"/>
      <c r="QPD34" s="292"/>
      <c r="QPE34" s="292"/>
      <c r="QPF34" s="292"/>
      <c r="QPG34" s="292"/>
      <c r="QPH34" s="292"/>
      <c r="QPI34" s="292"/>
      <c r="QPJ34" s="292"/>
      <c r="QPK34" s="292"/>
      <c r="QPL34" s="292"/>
      <c r="QPM34" s="292"/>
      <c r="QPN34" s="292"/>
      <c r="QPO34" s="292"/>
      <c r="QPP34" s="292"/>
      <c r="QPQ34" s="292"/>
      <c r="QPR34" s="292"/>
      <c r="QPS34" s="292"/>
      <c r="QPT34" s="292"/>
      <c r="QPU34" s="292"/>
      <c r="QPV34" s="292"/>
      <c r="QPW34" s="292"/>
      <c r="QPX34" s="292"/>
      <c r="QPY34" s="292"/>
      <c r="QPZ34" s="292"/>
      <c r="QQA34" s="292"/>
      <c r="QQB34" s="292"/>
      <c r="QQC34" s="292"/>
      <c r="QQD34" s="292"/>
      <c r="QQE34" s="292"/>
      <c r="QQF34" s="292"/>
      <c r="QQG34" s="292"/>
      <c r="QQH34" s="292"/>
      <c r="QQI34" s="292"/>
      <c r="QQJ34" s="292"/>
      <c r="QQK34" s="292"/>
      <c r="QQL34" s="292"/>
      <c r="QQM34" s="292"/>
      <c r="QQN34" s="292"/>
      <c r="QQO34" s="292"/>
      <c r="QQP34" s="292"/>
      <c r="QQQ34" s="292"/>
      <c r="QQR34" s="292"/>
      <c r="QQS34" s="292"/>
      <c r="QQT34" s="292"/>
      <c r="QQU34" s="292"/>
      <c r="QQV34" s="292"/>
      <c r="QQW34" s="292"/>
      <c r="QQX34" s="292"/>
      <c r="QQY34" s="292"/>
      <c r="QQZ34" s="292"/>
      <c r="QRA34" s="292"/>
      <c r="QRB34" s="292"/>
      <c r="QRC34" s="292"/>
      <c r="QRD34" s="292"/>
      <c r="QRE34" s="292"/>
      <c r="QRF34" s="292"/>
      <c r="QRG34" s="292"/>
      <c r="QRH34" s="292"/>
      <c r="QRI34" s="292"/>
      <c r="QRJ34" s="292"/>
      <c r="QRK34" s="292"/>
      <c r="QRL34" s="292"/>
      <c r="QRM34" s="292"/>
      <c r="QRN34" s="292"/>
      <c r="QRO34" s="292"/>
      <c r="QRP34" s="292"/>
      <c r="QRQ34" s="292"/>
      <c r="QRR34" s="292"/>
      <c r="QRS34" s="292"/>
      <c r="QRT34" s="292"/>
      <c r="QRU34" s="292"/>
      <c r="QRV34" s="292"/>
      <c r="QRW34" s="292"/>
      <c r="QRX34" s="292"/>
      <c r="QRY34" s="292"/>
      <c r="QRZ34" s="292"/>
      <c r="QSA34" s="292"/>
      <c r="QSB34" s="292"/>
      <c r="QSC34" s="292"/>
      <c r="QSD34" s="292"/>
      <c r="QSE34" s="292"/>
      <c r="QSF34" s="292"/>
      <c r="QSG34" s="292"/>
      <c r="QSH34" s="292"/>
      <c r="QSI34" s="292"/>
      <c r="QSJ34" s="292"/>
      <c r="QSK34" s="292"/>
      <c r="QSL34" s="292"/>
      <c r="QSM34" s="292"/>
      <c r="QSN34" s="292"/>
      <c r="QSO34" s="292"/>
      <c r="QSP34" s="292"/>
      <c r="QSQ34" s="292"/>
      <c r="QSR34" s="292"/>
      <c r="QSS34" s="292"/>
      <c r="QST34" s="292"/>
      <c r="QSU34" s="292"/>
      <c r="QSV34" s="292"/>
      <c r="QSW34" s="292"/>
      <c r="QSX34" s="292"/>
      <c r="QSY34" s="292"/>
      <c r="QSZ34" s="292"/>
      <c r="QTA34" s="292"/>
      <c r="QTB34" s="292"/>
      <c r="QTC34" s="292"/>
      <c r="QTD34" s="292"/>
      <c r="QTE34" s="292"/>
      <c r="QTF34" s="292"/>
      <c r="QTG34" s="292"/>
      <c r="QTH34" s="292"/>
      <c r="QTI34" s="292"/>
      <c r="QTJ34" s="292"/>
      <c r="QTK34" s="292"/>
      <c r="QTL34" s="292"/>
      <c r="QTM34" s="292"/>
      <c r="QTN34" s="292"/>
      <c r="QTO34" s="292"/>
      <c r="QTP34" s="292"/>
      <c r="QTQ34" s="292"/>
      <c r="QTR34" s="292"/>
      <c r="QTS34" s="292"/>
      <c r="QTT34" s="292"/>
      <c r="QTU34" s="292"/>
      <c r="QTV34" s="292"/>
      <c r="QTW34" s="292"/>
      <c r="QTX34" s="292"/>
      <c r="QTY34" s="292"/>
      <c r="QTZ34" s="292"/>
      <c r="QUA34" s="292"/>
      <c r="QUB34" s="292"/>
      <c r="QUC34" s="292"/>
      <c r="QUD34" s="292"/>
      <c r="QUE34" s="292"/>
      <c r="QUF34" s="292"/>
      <c r="QUG34" s="292"/>
      <c r="QUH34" s="292"/>
      <c r="QUI34" s="292"/>
      <c r="QUJ34" s="292"/>
      <c r="QUK34" s="292"/>
      <c r="QUL34" s="292"/>
      <c r="QUM34" s="292"/>
      <c r="QUN34" s="292"/>
      <c r="QUO34" s="292"/>
      <c r="QUP34" s="292"/>
      <c r="QUQ34" s="292"/>
      <c r="QUR34" s="292"/>
      <c r="QUS34" s="292"/>
      <c r="QUT34" s="292"/>
      <c r="QUU34" s="292"/>
      <c r="QUV34" s="292"/>
      <c r="QUW34" s="292"/>
      <c r="QUX34" s="292"/>
      <c r="QUY34" s="292"/>
      <c r="QUZ34" s="292"/>
      <c r="QVA34" s="292"/>
      <c r="QVB34" s="292"/>
      <c r="QVC34" s="292"/>
      <c r="QVD34" s="292"/>
      <c r="QVE34" s="292"/>
      <c r="QVF34" s="292"/>
      <c r="QVG34" s="292"/>
      <c r="QVH34" s="292"/>
      <c r="QVI34" s="292"/>
      <c r="QVJ34" s="292"/>
      <c r="QVK34" s="292"/>
      <c r="QVL34" s="292"/>
      <c r="QVM34" s="292"/>
      <c r="QVN34" s="292"/>
      <c r="QVO34" s="292"/>
      <c r="QVP34" s="292"/>
      <c r="QVQ34" s="292"/>
      <c r="QVR34" s="292"/>
      <c r="QVS34" s="292"/>
      <c r="QVT34" s="292"/>
      <c r="QVU34" s="292"/>
      <c r="QVV34" s="292"/>
      <c r="QVW34" s="292"/>
      <c r="QVX34" s="292"/>
      <c r="QVY34" s="292"/>
      <c r="QVZ34" s="292"/>
      <c r="QWA34" s="292"/>
      <c r="QWB34" s="292"/>
      <c r="QWC34" s="292"/>
      <c r="QWD34" s="292"/>
      <c r="QWE34" s="292"/>
      <c r="QWF34" s="292"/>
      <c r="QWG34" s="292"/>
      <c r="QWH34" s="292"/>
      <c r="QWI34" s="292"/>
      <c r="QWJ34" s="292"/>
      <c r="QWK34" s="292"/>
      <c r="QWL34" s="292"/>
      <c r="QWM34" s="292"/>
      <c r="QWN34" s="292"/>
      <c r="QWO34" s="292"/>
      <c r="QWP34" s="292"/>
      <c r="QWQ34" s="292"/>
      <c r="QWR34" s="292"/>
      <c r="QWS34" s="292"/>
      <c r="QWT34" s="292"/>
      <c r="QWU34" s="292"/>
      <c r="QWV34" s="292"/>
      <c r="QWW34" s="292"/>
      <c r="QWX34" s="292"/>
      <c r="QWY34" s="292"/>
      <c r="QWZ34" s="292"/>
      <c r="QXA34" s="292"/>
      <c r="QXB34" s="292"/>
      <c r="QXC34" s="292"/>
      <c r="QXD34" s="292"/>
      <c r="QXE34" s="292"/>
      <c r="QXF34" s="292"/>
      <c r="QXG34" s="292"/>
      <c r="QXH34" s="292"/>
      <c r="QXI34" s="292"/>
      <c r="QXJ34" s="292"/>
      <c r="QXK34" s="292"/>
      <c r="QXL34" s="292"/>
      <c r="QXM34" s="292"/>
      <c r="QXN34" s="292"/>
      <c r="QXO34" s="292"/>
      <c r="QXP34" s="292"/>
      <c r="QXQ34" s="292"/>
      <c r="QXR34" s="292"/>
      <c r="QXS34" s="292"/>
      <c r="QXT34" s="292"/>
      <c r="QXU34" s="292"/>
      <c r="QXV34" s="292"/>
      <c r="QXW34" s="292"/>
      <c r="QXX34" s="292"/>
      <c r="QXY34" s="292"/>
      <c r="QXZ34" s="292"/>
      <c r="QYA34" s="292"/>
      <c r="QYB34" s="292"/>
      <c r="QYC34" s="292"/>
      <c r="QYD34" s="292"/>
      <c r="QYE34" s="292"/>
      <c r="QYF34" s="292"/>
      <c r="QYG34" s="292"/>
      <c r="QYH34" s="292"/>
      <c r="QYI34" s="292"/>
      <c r="QYJ34" s="292"/>
      <c r="QYK34" s="292"/>
      <c r="QYL34" s="292"/>
      <c r="QYM34" s="292"/>
      <c r="QYN34" s="292"/>
      <c r="QYO34" s="292"/>
      <c r="QYP34" s="292"/>
      <c r="QYQ34" s="292"/>
      <c r="QYR34" s="292"/>
      <c r="QYS34" s="292"/>
      <c r="QYT34" s="292"/>
      <c r="QYU34" s="292"/>
      <c r="QYV34" s="292"/>
      <c r="QYW34" s="292"/>
      <c r="QYX34" s="292"/>
      <c r="QYY34" s="292"/>
      <c r="QYZ34" s="292"/>
      <c r="QZA34" s="292"/>
      <c r="QZB34" s="292"/>
      <c r="QZC34" s="292"/>
      <c r="QZD34" s="292"/>
      <c r="QZE34" s="292"/>
      <c r="QZF34" s="292"/>
      <c r="QZG34" s="292"/>
      <c r="QZH34" s="292"/>
      <c r="QZI34" s="292"/>
      <c r="QZJ34" s="292"/>
      <c r="QZK34" s="292"/>
      <c r="QZL34" s="292"/>
      <c r="QZM34" s="292"/>
      <c r="QZN34" s="292"/>
      <c r="QZO34" s="292"/>
      <c r="QZP34" s="292"/>
      <c r="QZQ34" s="292"/>
      <c r="QZR34" s="292"/>
      <c r="QZS34" s="292"/>
      <c r="QZT34" s="292"/>
      <c r="QZU34" s="292"/>
      <c r="QZV34" s="292"/>
      <c r="QZW34" s="292"/>
      <c r="QZX34" s="292"/>
      <c r="QZY34" s="292"/>
      <c r="QZZ34" s="292"/>
      <c r="RAA34" s="292"/>
      <c r="RAB34" s="292"/>
      <c r="RAC34" s="292"/>
      <c r="RAD34" s="292"/>
      <c r="RAE34" s="292"/>
      <c r="RAF34" s="292"/>
      <c r="RAG34" s="292"/>
      <c r="RAH34" s="292"/>
      <c r="RAI34" s="292"/>
      <c r="RAJ34" s="292"/>
      <c r="RAK34" s="292"/>
      <c r="RAL34" s="292"/>
      <c r="RAM34" s="292"/>
      <c r="RAN34" s="292"/>
      <c r="RAO34" s="292"/>
      <c r="RAP34" s="292"/>
      <c r="RAQ34" s="292"/>
      <c r="RAR34" s="292"/>
      <c r="RAS34" s="292"/>
      <c r="RAT34" s="292"/>
      <c r="RAU34" s="292"/>
      <c r="RAV34" s="292"/>
      <c r="RAW34" s="292"/>
      <c r="RAX34" s="292"/>
      <c r="RAY34" s="292"/>
      <c r="RAZ34" s="292"/>
      <c r="RBA34" s="292"/>
      <c r="RBB34" s="292"/>
      <c r="RBC34" s="292"/>
      <c r="RBD34" s="292"/>
      <c r="RBE34" s="292"/>
      <c r="RBF34" s="292"/>
      <c r="RBG34" s="292"/>
      <c r="RBH34" s="292"/>
      <c r="RBI34" s="292"/>
      <c r="RBJ34" s="292"/>
      <c r="RBK34" s="292"/>
      <c r="RBL34" s="292"/>
      <c r="RBM34" s="292"/>
      <c r="RBN34" s="292"/>
      <c r="RBO34" s="292"/>
      <c r="RBP34" s="292"/>
      <c r="RBQ34" s="292"/>
      <c r="RBR34" s="292"/>
      <c r="RBS34" s="292"/>
      <c r="RBT34" s="292"/>
      <c r="RBU34" s="292"/>
      <c r="RBV34" s="292"/>
      <c r="RBW34" s="292"/>
      <c r="RBX34" s="292"/>
      <c r="RBY34" s="292"/>
      <c r="RBZ34" s="292"/>
      <c r="RCA34" s="292"/>
      <c r="RCB34" s="292"/>
      <c r="RCC34" s="292"/>
      <c r="RCD34" s="292"/>
      <c r="RCE34" s="292"/>
      <c r="RCF34" s="292"/>
      <c r="RCG34" s="292"/>
      <c r="RCH34" s="292"/>
      <c r="RCI34" s="292"/>
      <c r="RCJ34" s="292"/>
      <c r="RCK34" s="292"/>
      <c r="RCL34" s="292"/>
      <c r="RCM34" s="292"/>
      <c r="RCN34" s="292"/>
      <c r="RCO34" s="292"/>
      <c r="RCP34" s="292"/>
      <c r="RCQ34" s="292"/>
      <c r="RCR34" s="292"/>
      <c r="RCS34" s="292"/>
      <c r="RCT34" s="292"/>
      <c r="RCU34" s="292"/>
      <c r="RCV34" s="292"/>
      <c r="RCW34" s="292"/>
      <c r="RCX34" s="292"/>
      <c r="RCY34" s="292"/>
      <c r="RCZ34" s="292"/>
      <c r="RDA34" s="292"/>
      <c r="RDB34" s="292"/>
      <c r="RDC34" s="292"/>
      <c r="RDD34" s="292"/>
      <c r="RDE34" s="292"/>
      <c r="RDF34" s="292"/>
      <c r="RDG34" s="292"/>
      <c r="RDH34" s="292"/>
      <c r="RDI34" s="292"/>
      <c r="RDJ34" s="292"/>
      <c r="RDK34" s="292"/>
      <c r="RDL34" s="292"/>
      <c r="RDM34" s="292"/>
      <c r="RDN34" s="292"/>
      <c r="RDO34" s="292"/>
      <c r="RDP34" s="292"/>
      <c r="RDQ34" s="292"/>
      <c r="RDR34" s="292"/>
      <c r="RDS34" s="292"/>
      <c r="RDT34" s="292"/>
      <c r="RDU34" s="292"/>
      <c r="RDV34" s="292"/>
      <c r="RDW34" s="292"/>
      <c r="RDX34" s="292"/>
      <c r="RDY34" s="292"/>
      <c r="RDZ34" s="292"/>
      <c r="REA34" s="292"/>
      <c r="REB34" s="292"/>
      <c r="REC34" s="292"/>
      <c r="RED34" s="292"/>
      <c r="REE34" s="292"/>
      <c r="REF34" s="292"/>
      <c r="REG34" s="292"/>
      <c r="REH34" s="292"/>
      <c r="REI34" s="292"/>
      <c r="REJ34" s="292"/>
      <c r="REK34" s="292"/>
      <c r="REL34" s="292"/>
      <c r="REM34" s="292"/>
      <c r="REN34" s="292"/>
      <c r="REO34" s="292"/>
      <c r="REP34" s="292"/>
      <c r="REQ34" s="292"/>
      <c r="RER34" s="292"/>
      <c r="RES34" s="292"/>
      <c r="RET34" s="292"/>
      <c r="REU34" s="292"/>
      <c r="REV34" s="292"/>
      <c r="REW34" s="292"/>
      <c r="REX34" s="292"/>
      <c r="REY34" s="292"/>
      <c r="REZ34" s="292"/>
      <c r="RFA34" s="292"/>
      <c r="RFB34" s="292"/>
      <c r="RFC34" s="292"/>
      <c r="RFD34" s="292"/>
      <c r="RFE34" s="292"/>
      <c r="RFF34" s="292"/>
      <c r="RFG34" s="292"/>
      <c r="RFH34" s="292"/>
      <c r="RFI34" s="292"/>
      <c r="RFJ34" s="292"/>
      <c r="RFK34" s="292"/>
      <c r="RFL34" s="292"/>
      <c r="RFM34" s="292"/>
      <c r="RFN34" s="292"/>
      <c r="RFO34" s="292"/>
      <c r="RFP34" s="292"/>
      <c r="RFQ34" s="292"/>
      <c r="RFR34" s="292"/>
      <c r="RFS34" s="292"/>
      <c r="RFT34" s="292"/>
      <c r="RFU34" s="292"/>
      <c r="RFV34" s="292"/>
      <c r="RFW34" s="292"/>
      <c r="RFX34" s="292"/>
      <c r="RFY34" s="292"/>
      <c r="RFZ34" s="292"/>
      <c r="RGA34" s="292"/>
      <c r="RGB34" s="292"/>
      <c r="RGC34" s="292"/>
      <c r="RGD34" s="292"/>
      <c r="RGE34" s="292"/>
      <c r="RGF34" s="292"/>
      <c r="RGG34" s="292"/>
      <c r="RGH34" s="292"/>
      <c r="RGI34" s="292"/>
      <c r="RGJ34" s="292"/>
      <c r="RGK34" s="292"/>
      <c r="RGL34" s="292"/>
      <c r="RGM34" s="292"/>
      <c r="RGN34" s="292"/>
      <c r="RGO34" s="292"/>
      <c r="RGP34" s="292"/>
      <c r="RGQ34" s="292"/>
      <c r="RGR34" s="292"/>
      <c r="RGS34" s="292"/>
      <c r="RGT34" s="292"/>
      <c r="RGU34" s="292"/>
      <c r="RGV34" s="292"/>
      <c r="RGW34" s="292"/>
      <c r="RGX34" s="292"/>
      <c r="RGY34" s="292"/>
      <c r="RGZ34" s="292"/>
      <c r="RHA34" s="292"/>
      <c r="RHB34" s="292"/>
      <c r="RHC34" s="292"/>
      <c r="RHD34" s="292"/>
      <c r="RHE34" s="292"/>
      <c r="RHF34" s="292"/>
      <c r="RHG34" s="292"/>
      <c r="RHH34" s="292"/>
      <c r="RHI34" s="292"/>
      <c r="RHJ34" s="292"/>
      <c r="RHK34" s="292"/>
      <c r="RHL34" s="292"/>
      <c r="RHM34" s="292"/>
      <c r="RHN34" s="292"/>
      <c r="RHO34" s="292"/>
      <c r="RHP34" s="292"/>
      <c r="RHQ34" s="292"/>
      <c r="RHR34" s="292"/>
      <c r="RHS34" s="292"/>
      <c r="RHT34" s="292"/>
      <c r="RHU34" s="292"/>
      <c r="RHV34" s="292"/>
      <c r="RHW34" s="292"/>
      <c r="RHX34" s="292"/>
      <c r="RHY34" s="292"/>
      <c r="RHZ34" s="292"/>
      <c r="RIA34" s="292"/>
      <c r="RIB34" s="292"/>
      <c r="RIC34" s="292"/>
      <c r="RID34" s="292"/>
      <c r="RIE34" s="292"/>
      <c r="RIF34" s="292"/>
      <c r="RIG34" s="292"/>
      <c r="RIH34" s="292"/>
      <c r="RII34" s="292"/>
      <c r="RIJ34" s="292"/>
      <c r="RIK34" s="292"/>
      <c r="RIL34" s="292"/>
      <c r="RIM34" s="292"/>
      <c r="RIN34" s="292"/>
      <c r="RIO34" s="292"/>
      <c r="RIP34" s="292"/>
      <c r="RIQ34" s="292"/>
      <c r="RIR34" s="292"/>
      <c r="RIS34" s="292"/>
      <c r="RIT34" s="292"/>
      <c r="RIU34" s="292"/>
      <c r="RIV34" s="292"/>
      <c r="RIW34" s="292"/>
      <c r="RIX34" s="292"/>
      <c r="RIY34" s="292"/>
      <c r="RIZ34" s="292"/>
      <c r="RJA34" s="292"/>
      <c r="RJB34" s="292"/>
      <c r="RJC34" s="292"/>
      <c r="RJD34" s="292"/>
      <c r="RJE34" s="292"/>
      <c r="RJF34" s="292"/>
      <c r="RJG34" s="292"/>
      <c r="RJH34" s="292"/>
      <c r="RJI34" s="292"/>
      <c r="RJJ34" s="292"/>
      <c r="RJK34" s="292"/>
      <c r="RJL34" s="292"/>
      <c r="RJM34" s="292"/>
      <c r="RJN34" s="292"/>
      <c r="RJO34" s="292"/>
      <c r="RJP34" s="292"/>
      <c r="RJQ34" s="292"/>
      <c r="RJR34" s="292"/>
      <c r="RJS34" s="292"/>
      <c r="RJT34" s="292"/>
      <c r="RJU34" s="292"/>
      <c r="RJV34" s="292"/>
      <c r="RJW34" s="292"/>
      <c r="RJX34" s="292"/>
      <c r="RJY34" s="292"/>
      <c r="RJZ34" s="292"/>
      <c r="RKA34" s="292"/>
      <c r="RKB34" s="292"/>
      <c r="RKC34" s="292"/>
      <c r="RKD34" s="292"/>
      <c r="RKE34" s="292"/>
      <c r="RKF34" s="292"/>
      <c r="RKG34" s="292"/>
      <c r="RKH34" s="292"/>
      <c r="RKI34" s="292"/>
      <c r="RKJ34" s="292"/>
      <c r="RKK34" s="292"/>
      <c r="RKL34" s="292"/>
      <c r="RKM34" s="292"/>
      <c r="RKN34" s="292"/>
      <c r="RKO34" s="292"/>
      <c r="RKP34" s="292"/>
      <c r="RKQ34" s="292"/>
      <c r="RKR34" s="292"/>
      <c r="RKS34" s="292"/>
      <c r="RKT34" s="292"/>
      <c r="RKU34" s="292"/>
      <c r="RKV34" s="292"/>
      <c r="RKW34" s="292"/>
      <c r="RKX34" s="292"/>
      <c r="RKY34" s="292"/>
      <c r="RKZ34" s="292"/>
      <c r="RLA34" s="292"/>
      <c r="RLB34" s="292"/>
      <c r="RLC34" s="292"/>
      <c r="RLD34" s="292"/>
      <c r="RLE34" s="292"/>
      <c r="RLF34" s="292"/>
      <c r="RLG34" s="292"/>
      <c r="RLH34" s="292"/>
      <c r="RLI34" s="292"/>
      <c r="RLJ34" s="292"/>
      <c r="RLK34" s="292"/>
      <c r="RLL34" s="292"/>
      <c r="RLM34" s="292"/>
      <c r="RLN34" s="292"/>
      <c r="RLO34" s="292"/>
      <c r="RLP34" s="292"/>
      <c r="RLQ34" s="292"/>
      <c r="RLR34" s="292"/>
      <c r="RLS34" s="292"/>
      <c r="RLT34" s="292"/>
      <c r="RLU34" s="292"/>
      <c r="RLV34" s="292"/>
      <c r="RLW34" s="292"/>
      <c r="RLX34" s="292"/>
      <c r="RLY34" s="292"/>
      <c r="RLZ34" s="292"/>
      <c r="RMA34" s="292"/>
      <c r="RMB34" s="292"/>
      <c r="RMC34" s="292"/>
      <c r="RMD34" s="292"/>
      <c r="RME34" s="292"/>
      <c r="RMF34" s="292"/>
      <c r="RMG34" s="292"/>
      <c r="RMH34" s="292"/>
      <c r="RMI34" s="292"/>
      <c r="RMJ34" s="292"/>
      <c r="RMK34" s="292"/>
      <c r="RML34" s="292"/>
      <c r="RMM34" s="292"/>
      <c r="RMN34" s="292"/>
      <c r="RMO34" s="292"/>
      <c r="RMP34" s="292"/>
      <c r="RMQ34" s="292"/>
      <c r="RMR34" s="292"/>
      <c r="RMS34" s="292"/>
      <c r="RMT34" s="292"/>
      <c r="RMU34" s="292"/>
      <c r="RMV34" s="292"/>
      <c r="RMW34" s="292"/>
      <c r="RMX34" s="292"/>
      <c r="RMY34" s="292"/>
      <c r="RMZ34" s="292"/>
      <c r="RNA34" s="292"/>
      <c r="RNB34" s="292"/>
      <c r="RNC34" s="292"/>
      <c r="RND34" s="292"/>
      <c r="RNE34" s="292"/>
      <c r="RNF34" s="292"/>
      <c r="RNG34" s="292"/>
      <c r="RNH34" s="292"/>
      <c r="RNI34" s="292"/>
      <c r="RNJ34" s="292"/>
      <c r="RNK34" s="292"/>
      <c r="RNL34" s="292"/>
      <c r="RNM34" s="292"/>
      <c r="RNN34" s="292"/>
      <c r="RNO34" s="292"/>
      <c r="RNP34" s="292"/>
      <c r="RNQ34" s="292"/>
      <c r="RNR34" s="292"/>
      <c r="RNS34" s="292"/>
      <c r="RNT34" s="292"/>
      <c r="RNU34" s="292"/>
      <c r="RNV34" s="292"/>
      <c r="RNW34" s="292"/>
      <c r="RNX34" s="292"/>
      <c r="RNY34" s="292"/>
      <c r="RNZ34" s="292"/>
      <c r="ROA34" s="292"/>
      <c r="ROB34" s="292"/>
      <c r="ROC34" s="292"/>
      <c r="ROD34" s="292"/>
      <c r="ROE34" s="292"/>
      <c r="ROF34" s="292"/>
      <c r="ROG34" s="292"/>
      <c r="ROH34" s="292"/>
      <c r="ROI34" s="292"/>
      <c r="ROJ34" s="292"/>
      <c r="ROK34" s="292"/>
      <c r="ROL34" s="292"/>
      <c r="ROM34" s="292"/>
      <c r="RON34" s="292"/>
      <c r="ROO34" s="292"/>
      <c r="ROP34" s="292"/>
      <c r="ROQ34" s="292"/>
      <c r="ROR34" s="292"/>
      <c r="ROS34" s="292"/>
      <c r="ROT34" s="292"/>
      <c r="ROU34" s="292"/>
      <c r="ROV34" s="292"/>
      <c r="ROW34" s="292"/>
      <c r="ROX34" s="292"/>
      <c r="ROY34" s="292"/>
      <c r="ROZ34" s="292"/>
      <c r="RPA34" s="292"/>
      <c r="RPB34" s="292"/>
      <c r="RPC34" s="292"/>
      <c r="RPD34" s="292"/>
      <c r="RPE34" s="292"/>
      <c r="RPF34" s="292"/>
      <c r="RPG34" s="292"/>
      <c r="RPH34" s="292"/>
      <c r="RPI34" s="292"/>
      <c r="RPJ34" s="292"/>
      <c r="RPK34" s="292"/>
      <c r="RPL34" s="292"/>
      <c r="RPM34" s="292"/>
      <c r="RPN34" s="292"/>
      <c r="RPO34" s="292"/>
      <c r="RPP34" s="292"/>
      <c r="RPQ34" s="292"/>
      <c r="RPR34" s="292"/>
      <c r="RPS34" s="292"/>
      <c r="RPT34" s="292"/>
      <c r="RPU34" s="292"/>
      <c r="RPV34" s="292"/>
      <c r="RPW34" s="292"/>
      <c r="RPX34" s="292"/>
      <c r="RPY34" s="292"/>
      <c r="RPZ34" s="292"/>
      <c r="RQA34" s="292"/>
      <c r="RQB34" s="292"/>
      <c r="RQC34" s="292"/>
      <c r="RQD34" s="292"/>
      <c r="RQE34" s="292"/>
      <c r="RQF34" s="292"/>
      <c r="RQG34" s="292"/>
      <c r="RQH34" s="292"/>
      <c r="RQI34" s="292"/>
      <c r="RQJ34" s="292"/>
      <c r="RQK34" s="292"/>
      <c r="RQL34" s="292"/>
      <c r="RQM34" s="292"/>
      <c r="RQN34" s="292"/>
      <c r="RQO34" s="292"/>
      <c r="RQP34" s="292"/>
      <c r="RQQ34" s="292"/>
      <c r="RQR34" s="292"/>
      <c r="RQS34" s="292"/>
      <c r="RQT34" s="292"/>
      <c r="RQU34" s="292"/>
      <c r="RQV34" s="292"/>
      <c r="RQW34" s="292"/>
      <c r="RQX34" s="292"/>
      <c r="RQY34" s="292"/>
      <c r="RQZ34" s="292"/>
      <c r="RRA34" s="292"/>
      <c r="RRB34" s="292"/>
      <c r="RRC34" s="292"/>
      <c r="RRD34" s="292"/>
      <c r="RRE34" s="292"/>
      <c r="RRF34" s="292"/>
      <c r="RRG34" s="292"/>
      <c r="RRH34" s="292"/>
      <c r="RRI34" s="292"/>
      <c r="RRJ34" s="292"/>
      <c r="RRK34" s="292"/>
      <c r="RRL34" s="292"/>
      <c r="RRM34" s="292"/>
      <c r="RRN34" s="292"/>
      <c r="RRO34" s="292"/>
      <c r="RRP34" s="292"/>
      <c r="RRQ34" s="292"/>
      <c r="RRR34" s="292"/>
      <c r="RRS34" s="292"/>
      <c r="RRT34" s="292"/>
      <c r="RRU34" s="292"/>
      <c r="RRV34" s="292"/>
      <c r="RRW34" s="292"/>
      <c r="RRX34" s="292"/>
      <c r="RRY34" s="292"/>
      <c r="RRZ34" s="292"/>
      <c r="RSA34" s="292"/>
      <c r="RSB34" s="292"/>
      <c r="RSC34" s="292"/>
      <c r="RSD34" s="292"/>
      <c r="RSE34" s="292"/>
      <c r="RSF34" s="292"/>
      <c r="RSG34" s="292"/>
      <c r="RSH34" s="292"/>
      <c r="RSI34" s="292"/>
      <c r="RSJ34" s="292"/>
      <c r="RSK34" s="292"/>
      <c r="RSL34" s="292"/>
      <c r="RSM34" s="292"/>
      <c r="RSN34" s="292"/>
      <c r="RSO34" s="292"/>
      <c r="RSP34" s="292"/>
      <c r="RSQ34" s="292"/>
      <c r="RSR34" s="292"/>
      <c r="RSS34" s="292"/>
      <c r="RST34" s="292"/>
      <c r="RSU34" s="292"/>
      <c r="RSV34" s="292"/>
      <c r="RSW34" s="292"/>
      <c r="RSX34" s="292"/>
      <c r="RSY34" s="292"/>
      <c r="RSZ34" s="292"/>
      <c r="RTA34" s="292"/>
      <c r="RTB34" s="292"/>
      <c r="RTC34" s="292"/>
      <c r="RTD34" s="292"/>
      <c r="RTE34" s="292"/>
      <c r="RTF34" s="292"/>
      <c r="RTG34" s="292"/>
      <c r="RTH34" s="292"/>
      <c r="RTI34" s="292"/>
      <c r="RTJ34" s="292"/>
      <c r="RTK34" s="292"/>
      <c r="RTL34" s="292"/>
      <c r="RTM34" s="292"/>
      <c r="RTN34" s="292"/>
      <c r="RTO34" s="292"/>
      <c r="RTP34" s="292"/>
      <c r="RTQ34" s="292"/>
      <c r="RTR34" s="292"/>
      <c r="RTS34" s="292"/>
      <c r="RTT34" s="292"/>
      <c r="RTU34" s="292"/>
      <c r="RTV34" s="292"/>
      <c r="RTW34" s="292"/>
      <c r="RTX34" s="292"/>
      <c r="RTY34" s="292"/>
      <c r="RTZ34" s="292"/>
      <c r="RUA34" s="292"/>
      <c r="RUB34" s="292"/>
      <c r="RUC34" s="292"/>
      <c r="RUD34" s="292"/>
      <c r="RUE34" s="292"/>
      <c r="RUF34" s="292"/>
      <c r="RUG34" s="292"/>
      <c r="RUH34" s="292"/>
      <c r="RUI34" s="292"/>
      <c r="RUJ34" s="292"/>
      <c r="RUK34" s="292"/>
      <c r="RUL34" s="292"/>
      <c r="RUM34" s="292"/>
      <c r="RUN34" s="292"/>
      <c r="RUO34" s="292"/>
      <c r="RUP34" s="292"/>
      <c r="RUQ34" s="292"/>
      <c r="RUR34" s="292"/>
      <c r="RUS34" s="292"/>
      <c r="RUT34" s="292"/>
      <c r="RUU34" s="292"/>
      <c r="RUV34" s="292"/>
      <c r="RUW34" s="292"/>
      <c r="RUX34" s="292"/>
      <c r="RUY34" s="292"/>
      <c r="RUZ34" s="292"/>
      <c r="RVA34" s="292"/>
      <c r="RVB34" s="292"/>
      <c r="RVC34" s="292"/>
      <c r="RVD34" s="292"/>
      <c r="RVE34" s="292"/>
      <c r="RVF34" s="292"/>
      <c r="RVG34" s="292"/>
      <c r="RVH34" s="292"/>
      <c r="RVI34" s="292"/>
      <c r="RVJ34" s="292"/>
      <c r="RVK34" s="292"/>
      <c r="RVL34" s="292"/>
      <c r="RVM34" s="292"/>
      <c r="RVN34" s="292"/>
      <c r="RVO34" s="292"/>
      <c r="RVP34" s="292"/>
      <c r="RVQ34" s="292"/>
      <c r="RVR34" s="292"/>
      <c r="RVS34" s="292"/>
      <c r="RVT34" s="292"/>
      <c r="RVU34" s="292"/>
      <c r="RVV34" s="292"/>
      <c r="RVW34" s="292"/>
      <c r="RVX34" s="292"/>
      <c r="RVY34" s="292"/>
      <c r="RVZ34" s="292"/>
      <c r="RWA34" s="292"/>
      <c r="RWB34" s="292"/>
      <c r="RWC34" s="292"/>
      <c r="RWD34" s="292"/>
      <c r="RWE34" s="292"/>
      <c r="RWF34" s="292"/>
      <c r="RWG34" s="292"/>
      <c r="RWH34" s="292"/>
      <c r="RWI34" s="292"/>
      <c r="RWJ34" s="292"/>
      <c r="RWK34" s="292"/>
      <c r="RWL34" s="292"/>
      <c r="RWM34" s="292"/>
      <c r="RWN34" s="292"/>
      <c r="RWO34" s="292"/>
      <c r="RWP34" s="292"/>
      <c r="RWQ34" s="292"/>
      <c r="RWR34" s="292"/>
      <c r="RWS34" s="292"/>
      <c r="RWT34" s="292"/>
      <c r="RWU34" s="292"/>
      <c r="RWV34" s="292"/>
      <c r="RWW34" s="292"/>
      <c r="RWX34" s="292"/>
      <c r="RWY34" s="292"/>
      <c r="RWZ34" s="292"/>
      <c r="RXA34" s="292"/>
      <c r="RXB34" s="292"/>
      <c r="RXC34" s="292"/>
      <c r="RXD34" s="292"/>
      <c r="RXE34" s="292"/>
      <c r="RXF34" s="292"/>
      <c r="RXG34" s="292"/>
      <c r="RXH34" s="292"/>
      <c r="RXI34" s="292"/>
      <c r="RXJ34" s="292"/>
      <c r="RXK34" s="292"/>
      <c r="RXL34" s="292"/>
      <c r="RXM34" s="292"/>
      <c r="RXN34" s="292"/>
      <c r="RXO34" s="292"/>
      <c r="RXP34" s="292"/>
      <c r="RXQ34" s="292"/>
      <c r="RXR34" s="292"/>
      <c r="RXS34" s="292"/>
      <c r="RXT34" s="292"/>
      <c r="RXU34" s="292"/>
      <c r="RXV34" s="292"/>
      <c r="RXW34" s="292"/>
      <c r="RXX34" s="292"/>
      <c r="RXY34" s="292"/>
      <c r="RXZ34" s="292"/>
      <c r="RYA34" s="292"/>
      <c r="RYB34" s="292"/>
      <c r="RYC34" s="292"/>
      <c r="RYD34" s="292"/>
      <c r="RYE34" s="292"/>
      <c r="RYF34" s="292"/>
      <c r="RYG34" s="292"/>
      <c r="RYH34" s="292"/>
      <c r="RYI34" s="292"/>
      <c r="RYJ34" s="292"/>
      <c r="RYK34" s="292"/>
      <c r="RYL34" s="292"/>
      <c r="RYM34" s="292"/>
      <c r="RYN34" s="292"/>
      <c r="RYO34" s="292"/>
      <c r="RYP34" s="292"/>
      <c r="RYQ34" s="292"/>
      <c r="RYR34" s="292"/>
      <c r="RYS34" s="292"/>
      <c r="RYT34" s="292"/>
      <c r="RYU34" s="292"/>
      <c r="RYV34" s="292"/>
      <c r="RYW34" s="292"/>
      <c r="RYX34" s="292"/>
      <c r="RYY34" s="292"/>
      <c r="RYZ34" s="292"/>
      <c r="RZA34" s="292"/>
      <c r="RZB34" s="292"/>
      <c r="RZC34" s="292"/>
      <c r="RZD34" s="292"/>
      <c r="RZE34" s="292"/>
      <c r="RZF34" s="292"/>
      <c r="RZG34" s="292"/>
      <c r="RZH34" s="292"/>
      <c r="RZI34" s="292"/>
      <c r="RZJ34" s="292"/>
      <c r="RZK34" s="292"/>
      <c r="RZL34" s="292"/>
      <c r="RZM34" s="292"/>
      <c r="RZN34" s="292"/>
      <c r="RZO34" s="292"/>
      <c r="RZP34" s="292"/>
      <c r="RZQ34" s="292"/>
      <c r="RZR34" s="292"/>
      <c r="RZS34" s="292"/>
      <c r="RZT34" s="292"/>
      <c r="RZU34" s="292"/>
      <c r="RZV34" s="292"/>
      <c r="RZW34" s="292"/>
      <c r="RZX34" s="292"/>
      <c r="RZY34" s="292"/>
      <c r="RZZ34" s="292"/>
      <c r="SAA34" s="292"/>
      <c r="SAB34" s="292"/>
      <c r="SAC34" s="292"/>
      <c r="SAD34" s="292"/>
      <c r="SAE34" s="292"/>
      <c r="SAF34" s="292"/>
      <c r="SAG34" s="292"/>
      <c r="SAH34" s="292"/>
      <c r="SAI34" s="292"/>
      <c r="SAJ34" s="292"/>
      <c r="SAK34" s="292"/>
      <c r="SAL34" s="292"/>
      <c r="SAM34" s="292"/>
      <c r="SAN34" s="292"/>
      <c r="SAO34" s="292"/>
      <c r="SAP34" s="292"/>
      <c r="SAQ34" s="292"/>
      <c r="SAR34" s="292"/>
      <c r="SAS34" s="292"/>
      <c r="SAT34" s="292"/>
      <c r="SAU34" s="292"/>
      <c r="SAV34" s="292"/>
      <c r="SAW34" s="292"/>
      <c r="SAX34" s="292"/>
      <c r="SAY34" s="292"/>
      <c r="SAZ34" s="292"/>
      <c r="SBA34" s="292"/>
      <c r="SBB34" s="292"/>
      <c r="SBC34" s="292"/>
      <c r="SBD34" s="292"/>
      <c r="SBE34" s="292"/>
      <c r="SBF34" s="292"/>
      <c r="SBG34" s="292"/>
      <c r="SBH34" s="292"/>
      <c r="SBI34" s="292"/>
      <c r="SBJ34" s="292"/>
      <c r="SBK34" s="292"/>
      <c r="SBL34" s="292"/>
      <c r="SBM34" s="292"/>
      <c r="SBN34" s="292"/>
      <c r="SBO34" s="292"/>
      <c r="SBP34" s="292"/>
      <c r="SBQ34" s="292"/>
      <c r="SBR34" s="292"/>
      <c r="SBS34" s="292"/>
      <c r="SBT34" s="292"/>
      <c r="SBU34" s="292"/>
      <c r="SBV34" s="292"/>
      <c r="SBW34" s="292"/>
      <c r="SBX34" s="292"/>
      <c r="SBY34" s="292"/>
      <c r="SBZ34" s="292"/>
      <c r="SCA34" s="292"/>
      <c r="SCB34" s="292"/>
      <c r="SCC34" s="292"/>
      <c r="SCD34" s="292"/>
      <c r="SCE34" s="292"/>
      <c r="SCF34" s="292"/>
      <c r="SCG34" s="292"/>
      <c r="SCH34" s="292"/>
      <c r="SCI34" s="292"/>
      <c r="SCJ34" s="292"/>
      <c r="SCK34" s="292"/>
      <c r="SCL34" s="292"/>
      <c r="SCM34" s="292"/>
      <c r="SCN34" s="292"/>
      <c r="SCO34" s="292"/>
      <c r="SCP34" s="292"/>
      <c r="SCQ34" s="292"/>
      <c r="SCR34" s="292"/>
      <c r="SCS34" s="292"/>
      <c r="SCT34" s="292"/>
      <c r="SCU34" s="292"/>
      <c r="SCV34" s="292"/>
      <c r="SCW34" s="292"/>
      <c r="SCX34" s="292"/>
      <c r="SCY34" s="292"/>
      <c r="SCZ34" s="292"/>
      <c r="SDA34" s="292"/>
      <c r="SDB34" s="292"/>
      <c r="SDC34" s="292"/>
      <c r="SDD34" s="292"/>
      <c r="SDE34" s="292"/>
      <c r="SDF34" s="292"/>
      <c r="SDG34" s="292"/>
      <c r="SDH34" s="292"/>
      <c r="SDI34" s="292"/>
      <c r="SDJ34" s="292"/>
      <c r="SDK34" s="292"/>
      <c r="SDL34" s="292"/>
      <c r="SDM34" s="292"/>
      <c r="SDN34" s="292"/>
      <c r="SDO34" s="292"/>
      <c r="SDP34" s="292"/>
      <c r="SDQ34" s="292"/>
      <c r="SDR34" s="292"/>
      <c r="SDS34" s="292"/>
      <c r="SDT34" s="292"/>
      <c r="SDU34" s="292"/>
      <c r="SDV34" s="292"/>
      <c r="SDW34" s="292"/>
      <c r="SDX34" s="292"/>
      <c r="SDY34" s="292"/>
      <c r="SDZ34" s="292"/>
      <c r="SEA34" s="292"/>
      <c r="SEB34" s="292"/>
      <c r="SEC34" s="292"/>
      <c r="SED34" s="292"/>
      <c r="SEE34" s="292"/>
      <c r="SEF34" s="292"/>
      <c r="SEG34" s="292"/>
      <c r="SEH34" s="292"/>
      <c r="SEI34" s="292"/>
      <c r="SEJ34" s="292"/>
      <c r="SEK34" s="292"/>
      <c r="SEL34" s="292"/>
      <c r="SEM34" s="292"/>
      <c r="SEN34" s="292"/>
      <c r="SEO34" s="292"/>
      <c r="SEP34" s="292"/>
      <c r="SEQ34" s="292"/>
      <c r="SER34" s="292"/>
      <c r="SES34" s="292"/>
      <c r="SET34" s="292"/>
      <c r="SEU34" s="292"/>
      <c r="SEV34" s="292"/>
      <c r="SEW34" s="292"/>
      <c r="SEX34" s="292"/>
      <c r="SEY34" s="292"/>
      <c r="SEZ34" s="292"/>
      <c r="SFA34" s="292"/>
      <c r="SFB34" s="292"/>
      <c r="SFC34" s="292"/>
      <c r="SFD34" s="292"/>
      <c r="SFE34" s="292"/>
      <c r="SFF34" s="292"/>
      <c r="SFG34" s="292"/>
      <c r="SFH34" s="292"/>
      <c r="SFI34" s="292"/>
      <c r="SFJ34" s="292"/>
      <c r="SFK34" s="292"/>
      <c r="SFL34" s="292"/>
      <c r="SFM34" s="292"/>
      <c r="SFN34" s="292"/>
      <c r="SFO34" s="292"/>
      <c r="SFP34" s="292"/>
      <c r="SFQ34" s="292"/>
      <c r="SFR34" s="292"/>
      <c r="SFS34" s="292"/>
      <c r="SFT34" s="292"/>
      <c r="SFU34" s="292"/>
      <c r="SFV34" s="292"/>
      <c r="SFW34" s="292"/>
      <c r="SFX34" s="292"/>
      <c r="SFY34" s="292"/>
      <c r="SFZ34" s="292"/>
      <c r="SGA34" s="292"/>
      <c r="SGB34" s="292"/>
      <c r="SGC34" s="292"/>
      <c r="SGD34" s="292"/>
      <c r="SGE34" s="292"/>
      <c r="SGF34" s="292"/>
      <c r="SGG34" s="292"/>
      <c r="SGH34" s="292"/>
      <c r="SGI34" s="292"/>
      <c r="SGJ34" s="292"/>
      <c r="SGK34" s="292"/>
      <c r="SGL34" s="292"/>
      <c r="SGM34" s="292"/>
      <c r="SGN34" s="292"/>
      <c r="SGO34" s="292"/>
      <c r="SGP34" s="292"/>
      <c r="SGQ34" s="292"/>
      <c r="SGR34" s="292"/>
      <c r="SGS34" s="292"/>
      <c r="SGT34" s="292"/>
      <c r="SGU34" s="292"/>
      <c r="SGV34" s="292"/>
      <c r="SGW34" s="292"/>
      <c r="SGX34" s="292"/>
      <c r="SGY34" s="292"/>
      <c r="SGZ34" s="292"/>
      <c r="SHA34" s="292"/>
      <c r="SHB34" s="292"/>
      <c r="SHC34" s="292"/>
      <c r="SHD34" s="292"/>
      <c r="SHE34" s="292"/>
      <c r="SHF34" s="292"/>
      <c r="SHG34" s="292"/>
      <c r="SHH34" s="292"/>
      <c r="SHI34" s="292"/>
      <c r="SHJ34" s="292"/>
      <c r="SHK34" s="292"/>
      <c r="SHL34" s="292"/>
      <c r="SHM34" s="292"/>
      <c r="SHN34" s="292"/>
      <c r="SHO34" s="292"/>
      <c r="SHP34" s="292"/>
      <c r="SHQ34" s="292"/>
      <c r="SHR34" s="292"/>
      <c r="SHS34" s="292"/>
      <c r="SHT34" s="292"/>
      <c r="SHU34" s="292"/>
      <c r="SHV34" s="292"/>
      <c r="SHW34" s="292"/>
      <c r="SHX34" s="292"/>
      <c r="SHY34" s="292"/>
      <c r="SHZ34" s="292"/>
      <c r="SIA34" s="292"/>
      <c r="SIB34" s="292"/>
      <c r="SIC34" s="292"/>
      <c r="SID34" s="292"/>
      <c r="SIE34" s="292"/>
      <c r="SIF34" s="292"/>
      <c r="SIG34" s="292"/>
      <c r="SIH34" s="292"/>
      <c r="SII34" s="292"/>
      <c r="SIJ34" s="292"/>
      <c r="SIK34" s="292"/>
      <c r="SIL34" s="292"/>
      <c r="SIM34" s="292"/>
      <c r="SIN34" s="292"/>
      <c r="SIO34" s="292"/>
      <c r="SIP34" s="292"/>
      <c r="SIQ34" s="292"/>
      <c r="SIR34" s="292"/>
      <c r="SIS34" s="292"/>
      <c r="SIT34" s="292"/>
      <c r="SIU34" s="292"/>
      <c r="SIV34" s="292"/>
      <c r="SIW34" s="292"/>
      <c r="SIX34" s="292"/>
      <c r="SIY34" s="292"/>
      <c r="SIZ34" s="292"/>
      <c r="SJA34" s="292"/>
      <c r="SJB34" s="292"/>
      <c r="SJC34" s="292"/>
      <c r="SJD34" s="292"/>
      <c r="SJE34" s="292"/>
      <c r="SJF34" s="292"/>
      <c r="SJG34" s="292"/>
      <c r="SJH34" s="292"/>
      <c r="SJI34" s="292"/>
      <c r="SJJ34" s="292"/>
      <c r="SJK34" s="292"/>
      <c r="SJL34" s="292"/>
      <c r="SJM34" s="292"/>
      <c r="SJN34" s="292"/>
      <c r="SJO34" s="292"/>
      <c r="SJP34" s="292"/>
      <c r="SJQ34" s="292"/>
      <c r="SJR34" s="292"/>
      <c r="SJS34" s="292"/>
      <c r="SJT34" s="292"/>
      <c r="SJU34" s="292"/>
      <c r="SJV34" s="292"/>
      <c r="SJW34" s="292"/>
      <c r="SJX34" s="292"/>
      <c r="SJY34" s="292"/>
      <c r="SJZ34" s="292"/>
      <c r="SKA34" s="292"/>
      <c r="SKB34" s="292"/>
      <c r="SKC34" s="292"/>
      <c r="SKD34" s="292"/>
      <c r="SKE34" s="292"/>
      <c r="SKF34" s="292"/>
      <c r="SKG34" s="292"/>
      <c r="SKH34" s="292"/>
      <c r="SKI34" s="292"/>
      <c r="SKJ34" s="292"/>
      <c r="SKK34" s="292"/>
      <c r="SKL34" s="292"/>
      <c r="SKM34" s="292"/>
      <c r="SKN34" s="292"/>
      <c r="SKO34" s="292"/>
      <c r="SKP34" s="292"/>
      <c r="SKQ34" s="292"/>
      <c r="SKR34" s="292"/>
      <c r="SKS34" s="292"/>
      <c r="SKT34" s="292"/>
      <c r="SKU34" s="292"/>
      <c r="SKV34" s="292"/>
      <c r="SKW34" s="292"/>
      <c r="SKX34" s="292"/>
      <c r="SKY34" s="292"/>
      <c r="SKZ34" s="292"/>
      <c r="SLA34" s="292"/>
      <c r="SLB34" s="292"/>
      <c r="SLC34" s="292"/>
      <c r="SLD34" s="292"/>
      <c r="SLE34" s="292"/>
      <c r="SLF34" s="292"/>
      <c r="SLG34" s="292"/>
      <c r="SLH34" s="292"/>
      <c r="SLI34" s="292"/>
      <c r="SLJ34" s="292"/>
      <c r="SLK34" s="292"/>
      <c r="SLL34" s="292"/>
      <c r="SLM34" s="292"/>
      <c r="SLN34" s="292"/>
      <c r="SLO34" s="292"/>
      <c r="SLP34" s="292"/>
      <c r="SLQ34" s="292"/>
      <c r="SLR34" s="292"/>
      <c r="SLS34" s="292"/>
      <c r="SLT34" s="292"/>
      <c r="SLU34" s="292"/>
      <c r="SLV34" s="292"/>
      <c r="SLW34" s="292"/>
      <c r="SLX34" s="292"/>
      <c r="SLY34" s="292"/>
      <c r="SLZ34" s="292"/>
      <c r="SMA34" s="292"/>
      <c r="SMB34" s="292"/>
      <c r="SMC34" s="292"/>
      <c r="SMD34" s="292"/>
      <c r="SME34" s="292"/>
      <c r="SMF34" s="292"/>
      <c r="SMG34" s="292"/>
      <c r="SMH34" s="292"/>
      <c r="SMI34" s="292"/>
      <c r="SMJ34" s="292"/>
      <c r="SMK34" s="292"/>
      <c r="SML34" s="292"/>
      <c r="SMM34" s="292"/>
      <c r="SMN34" s="292"/>
      <c r="SMO34" s="292"/>
      <c r="SMP34" s="292"/>
      <c r="SMQ34" s="292"/>
      <c r="SMR34" s="292"/>
      <c r="SMS34" s="292"/>
      <c r="SMT34" s="292"/>
      <c r="SMU34" s="292"/>
      <c r="SMV34" s="292"/>
      <c r="SMW34" s="292"/>
      <c r="SMX34" s="292"/>
      <c r="SMY34" s="292"/>
      <c r="SMZ34" s="292"/>
      <c r="SNA34" s="292"/>
      <c r="SNB34" s="292"/>
      <c r="SNC34" s="292"/>
      <c r="SND34" s="292"/>
      <c r="SNE34" s="292"/>
      <c r="SNF34" s="292"/>
      <c r="SNG34" s="292"/>
      <c r="SNH34" s="292"/>
      <c r="SNI34" s="292"/>
      <c r="SNJ34" s="292"/>
      <c r="SNK34" s="292"/>
      <c r="SNL34" s="292"/>
      <c r="SNM34" s="292"/>
      <c r="SNN34" s="292"/>
      <c r="SNO34" s="292"/>
      <c r="SNP34" s="292"/>
      <c r="SNQ34" s="292"/>
      <c r="SNR34" s="292"/>
      <c r="SNS34" s="292"/>
      <c r="SNT34" s="292"/>
      <c r="SNU34" s="292"/>
      <c r="SNV34" s="292"/>
      <c r="SNW34" s="292"/>
      <c r="SNX34" s="292"/>
      <c r="SNY34" s="292"/>
      <c r="SNZ34" s="292"/>
      <c r="SOA34" s="292"/>
      <c r="SOB34" s="292"/>
      <c r="SOC34" s="292"/>
      <c r="SOD34" s="292"/>
      <c r="SOE34" s="292"/>
      <c r="SOF34" s="292"/>
      <c r="SOG34" s="292"/>
      <c r="SOH34" s="292"/>
      <c r="SOI34" s="292"/>
      <c r="SOJ34" s="292"/>
      <c r="SOK34" s="292"/>
      <c r="SOL34" s="292"/>
      <c r="SOM34" s="292"/>
      <c r="SON34" s="292"/>
      <c r="SOO34" s="292"/>
      <c r="SOP34" s="292"/>
      <c r="SOQ34" s="292"/>
      <c r="SOR34" s="292"/>
      <c r="SOS34" s="292"/>
      <c r="SOT34" s="292"/>
      <c r="SOU34" s="292"/>
      <c r="SOV34" s="292"/>
      <c r="SOW34" s="292"/>
      <c r="SOX34" s="292"/>
      <c r="SOY34" s="292"/>
      <c r="SOZ34" s="292"/>
      <c r="SPA34" s="292"/>
      <c r="SPB34" s="292"/>
      <c r="SPC34" s="292"/>
      <c r="SPD34" s="292"/>
      <c r="SPE34" s="292"/>
      <c r="SPF34" s="292"/>
      <c r="SPG34" s="292"/>
      <c r="SPH34" s="292"/>
      <c r="SPI34" s="292"/>
      <c r="SPJ34" s="292"/>
      <c r="SPK34" s="292"/>
      <c r="SPL34" s="292"/>
      <c r="SPM34" s="292"/>
      <c r="SPN34" s="292"/>
      <c r="SPO34" s="292"/>
      <c r="SPP34" s="292"/>
      <c r="SPQ34" s="292"/>
      <c r="SPR34" s="292"/>
      <c r="SPS34" s="292"/>
      <c r="SPT34" s="292"/>
      <c r="SPU34" s="292"/>
      <c r="SPV34" s="292"/>
      <c r="SPW34" s="292"/>
      <c r="SPX34" s="292"/>
      <c r="SPY34" s="292"/>
      <c r="SPZ34" s="292"/>
      <c r="SQA34" s="292"/>
      <c r="SQB34" s="292"/>
      <c r="SQC34" s="292"/>
      <c r="SQD34" s="292"/>
      <c r="SQE34" s="292"/>
      <c r="SQF34" s="292"/>
      <c r="SQG34" s="292"/>
      <c r="SQH34" s="292"/>
      <c r="SQI34" s="292"/>
      <c r="SQJ34" s="292"/>
      <c r="SQK34" s="292"/>
      <c r="SQL34" s="292"/>
      <c r="SQM34" s="292"/>
      <c r="SQN34" s="292"/>
      <c r="SQO34" s="292"/>
      <c r="SQP34" s="292"/>
      <c r="SQQ34" s="292"/>
      <c r="SQR34" s="292"/>
      <c r="SQS34" s="292"/>
      <c r="SQT34" s="292"/>
      <c r="SQU34" s="292"/>
      <c r="SQV34" s="292"/>
      <c r="SQW34" s="292"/>
      <c r="SQX34" s="292"/>
      <c r="SQY34" s="292"/>
      <c r="SQZ34" s="292"/>
      <c r="SRA34" s="292"/>
      <c r="SRB34" s="292"/>
      <c r="SRC34" s="292"/>
      <c r="SRD34" s="292"/>
      <c r="SRE34" s="292"/>
      <c r="SRF34" s="292"/>
      <c r="SRG34" s="292"/>
      <c r="SRH34" s="292"/>
      <c r="SRI34" s="292"/>
      <c r="SRJ34" s="292"/>
      <c r="SRK34" s="292"/>
      <c r="SRL34" s="292"/>
      <c r="SRM34" s="292"/>
      <c r="SRN34" s="292"/>
      <c r="SRO34" s="292"/>
      <c r="SRP34" s="292"/>
      <c r="SRQ34" s="292"/>
      <c r="SRR34" s="292"/>
      <c r="SRS34" s="292"/>
      <c r="SRT34" s="292"/>
      <c r="SRU34" s="292"/>
      <c r="SRV34" s="292"/>
      <c r="SRW34" s="292"/>
      <c r="SRX34" s="292"/>
      <c r="SRY34" s="292"/>
      <c r="SRZ34" s="292"/>
      <c r="SSA34" s="292"/>
      <c r="SSB34" s="292"/>
      <c r="SSC34" s="292"/>
      <c r="SSD34" s="292"/>
      <c r="SSE34" s="292"/>
      <c r="SSF34" s="292"/>
      <c r="SSG34" s="292"/>
      <c r="SSH34" s="292"/>
      <c r="SSI34" s="292"/>
      <c r="SSJ34" s="292"/>
      <c r="SSK34" s="292"/>
      <c r="SSL34" s="292"/>
      <c r="SSM34" s="292"/>
      <c r="SSN34" s="292"/>
      <c r="SSO34" s="292"/>
      <c r="SSP34" s="292"/>
      <c r="SSQ34" s="292"/>
      <c r="SSR34" s="292"/>
      <c r="SSS34" s="292"/>
      <c r="SST34" s="292"/>
      <c r="SSU34" s="292"/>
      <c r="SSV34" s="292"/>
      <c r="SSW34" s="292"/>
      <c r="SSX34" s="292"/>
      <c r="SSY34" s="292"/>
      <c r="SSZ34" s="292"/>
      <c r="STA34" s="292"/>
      <c r="STB34" s="292"/>
      <c r="STC34" s="292"/>
      <c r="STD34" s="292"/>
      <c r="STE34" s="292"/>
      <c r="STF34" s="292"/>
      <c r="STG34" s="292"/>
      <c r="STH34" s="292"/>
      <c r="STI34" s="292"/>
      <c r="STJ34" s="292"/>
      <c r="STK34" s="292"/>
      <c r="STL34" s="292"/>
      <c r="STM34" s="292"/>
      <c r="STN34" s="292"/>
      <c r="STO34" s="292"/>
      <c r="STP34" s="292"/>
      <c r="STQ34" s="292"/>
      <c r="STR34" s="292"/>
      <c r="STS34" s="292"/>
      <c r="STT34" s="292"/>
      <c r="STU34" s="292"/>
      <c r="STV34" s="292"/>
      <c r="STW34" s="292"/>
      <c r="STX34" s="292"/>
      <c r="STY34" s="292"/>
      <c r="STZ34" s="292"/>
      <c r="SUA34" s="292"/>
      <c r="SUB34" s="292"/>
      <c r="SUC34" s="292"/>
      <c r="SUD34" s="292"/>
      <c r="SUE34" s="292"/>
      <c r="SUF34" s="292"/>
      <c r="SUG34" s="292"/>
      <c r="SUH34" s="292"/>
      <c r="SUI34" s="292"/>
      <c r="SUJ34" s="292"/>
      <c r="SUK34" s="292"/>
      <c r="SUL34" s="292"/>
      <c r="SUM34" s="292"/>
      <c r="SUN34" s="292"/>
      <c r="SUO34" s="292"/>
      <c r="SUP34" s="292"/>
      <c r="SUQ34" s="292"/>
      <c r="SUR34" s="292"/>
      <c r="SUS34" s="292"/>
      <c r="SUT34" s="292"/>
      <c r="SUU34" s="292"/>
      <c r="SUV34" s="292"/>
      <c r="SUW34" s="292"/>
      <c r="SUX34" s="292"/>
      <c r="SUY34" s="292"/>
      <c r="SUZ34" s="292"/>
      <c r="SVA34" s="292"/>
      <c r="SVB34" s="292"/>
      <c r="SVC34" s="292"/>
      <c r="SVD34" s="292"/>
      <c r="SVE34" s="292"/>
      <c r="SVF34" s="292"/>
      <c r="SVG34" s="292"/>
      <c r="SVH34" s="292"/>
      <c r="SVI34" s="292"/>
      <c r="SVJ34" s="292"/>
      <c r="SVK34" s="292"/>
      <c r="SVL34" s="292"/>
      <c r="SVM34" s="292"/>
      <c r="SVN34" s="292"/>
      <c r="SVO34" s="292"/>
      <c r="SVP34" s="292"/>
      <c r="SVQ34" s="292"/>
      <c r="SVR34" s="292"/>
      <c r="SVS34" s="292"/>
      <c r="SVT34" s="292"/>
      <c r="SVU34" s="292"/>
      <c r="SVV34" s="292"/>
      <c r="SVW34" s="292"/>
      <c r="SVX34" s="292"/>
      <c r="SVY34" s="292"/>
      <c r="SVZ34" s="292"/>
      <c r="SWA34" s="292"/>
      <c r="SWB34" s="292"/>
      <c r="SWC34" s="292"/>
      <c r="SWD34" s="292"/>
      <c r="SWE34" s="292"/>
      <c r="SWF34" s="292"/>
      <c r="SWG34" s="292"/>
      <c r="SWH34" s="292"/>
      <c r="SWI34" s="292"/>
      <c r="SWJ34" s="292"/>
      <c r="SWK34" s="292"/>
      <c r="SWL34" s="292"/>
      <c r="SWM34" s="292"/>
      <c r="SWN34" s="292"/>
      <c r="SWO34" s="292"/>
      <c r="SWP34" s="292"/>
      <c r="SWQ34" s="292"/>
      <c r="SWR34" s="292"/>
      <c r="SWS34" s="292"/>
      <c r="SWT34" s="292"/>
      <c r="SWU34" s="292"/>
      <c r="SWV34" s="292"/>
      <c r="SWW34" s="292"/>
      <c r="SWX34" s="292"/>
      <c r="SWY34" s="292"/>
      <c r="SWZ34" s="292"/>
      <c r="SXA34" s="292"/>
      <c r="SXB34" s="292"/>
      <c r="SXC34" s="292"/>
      <c r="SXD34" s="292"/>
      <c r="SXE34" s="292"/>
      <c r="SXF34" s="292"/>
      <c r="SXG34" s="292"/>
      <c r="SXH34" s="292"/>
      <c r="SXI34" s="292"/>
      <c r="SXJ34" s="292"/>
      <c r="SXK34" s="292"/>
      <c r="SXL34" s="292"/>
      <c r="SXM34" s="292"/>
      <c r="SXN34" s="292"/>
      <c r="SXO34" s="292"/>
      <c r="SXP34" s="292"/>
      <c r="SXQ34" s="292"/>
      <c r="SXR34" s="292"/>
      <c r="SXS34" s="292"/>
      <c r="SXT34" s="292"/>
      <c r="SXU34" s="292"/>
      <c r="SXV34" s="292"/>
      <c r="SXW34" s="292"/>
      <c r="SXX34" s="292"/>
      <c r="SXY34" s="292"/>
      <c r="SXZ34" s="292"/>
      <c r="SYA34" s="292"/>
      <c r="SYB34" s="292"/>
      <c r="SYC34" s="292"/>
      <c r="SYD34" s="292"/>
      <c r="SYE34" s="292"/>
      <c r="SYF34" s="292"/>
      <c r="SYG34" s="292"/>
      <c r="SYH34" s="292"/>
      <c r="SYI34" s="292"/>
      <c r="SYJ34" s="292"/>
      <c r="SYK34" s="292"/>
      <c r="SYL34" s="292"/>
      <c r="SYM34" s="292"/>
      <c r="SYN34" s="292"/>
      <c r="SYO34" s="292"/>
      <c r="SYP34" s="292"/>
      <c r="SYQ34" s="292"/>
      <c r="SYR34" s="292"/>
      <c r="SYS34" s="292"/>
      <c r="SYT34" s="292"/>
      <c r="SYU34" s="292"/>
      <c r="SYV34" s="292"/>
      <c r="SYW34" s="292"/>
      <c r="SYX34" s="292"/>
      <c r="SYY34" s="292"/>
      <c r="SYZ34" s="292"/>
      <c r="SZA34" s="292"/>
      <c r="SZB34" s="292"/>
      <c r="SZC34" s="292"/>
      <c r="SZD34" s="292"/>
      <c r="SZE34" s="292"/>
      <c r="SZF34" s="292"/>
      <c r="SZG34" s="292"/>
      <c r="SZH34" s="292"/>
      <c r="SZI34" s="292"/>
      <c r="SZJ34" s="292"/>
      <c r="SZK34" s="292"/>
      <c r="SZL34" s="292"/>
      <c r="SZM34" s="292"/>
      <c r="SZN34" s="292"/>
      <c r="SZO34" s="292"/>
      <c r="SZP34" s="292"/>
      <c r="SZQ34" s="292"/>
      <c r="SZR34" s="292"/>
      <c r="SZS34" s="292"/>
      <c r="SZT34" s="292"/>
      <c r="SZU34" s="292"/>
      <c r="SZV34" s="292"/>
      <c r="SZW34" s="292"/>
      <c r="SZX34" s="292"/>
      <c r="SZY34" s="292"/>
      <c r="SZZ34" s="292"/>
      <c r="TAA34" s="292"/>
      <c r="TAB34" s="292"/>
      <c r="TAC34" s="292"/>
      <c r="TAD34" s="292"/>
      <c r="TAE34" s="292"/>
      <c r="TAF34" s="292"/>
      <c r="TAG34" s="292"/>
      <c r="TAH34" s="292"/>
      <c r="TAI34" s="292"/>
      <c r="TAJ34" s="292"/>
      <c r="TAK34" s="292"/>
      <c r="TAL34" s="292"/>
      <c r="TAM34" s="292"/>
      <c r="TAN34" s="292"/>
      <c r="TAO34" s="292"/>
      <c r="TAP34" s="292"/>
      <c r="TAQ34" s="292"/>
      <c r="TAR34" s="292"/>
      <c r="TAS34" s="292"/>
      <c r="TAT34" s="292"/>
      <c r="TAU34" s="292"/>
      <c r="TAV34" s="292"/>
      <c r="TAW34" s="292"/>
      <c r="TAX34" s="292"/>
      <c r="TAY34" s="292"/>
      <c r="TAZ34" s="292"/>
      <c r="TBA34" s="292"/>
      <c r="TBB34" s="292"/>
      <c r="TBC34" s="292"/>
      <c r="TBD34" s="292"/>
      <c r="TBE34" s="292"/>
      <c r="TBF34" s="292"/>
      <c r="TBG34" s="292"/>
      <c r="TBH34" s="292"/>
      <c r="TBI34" s="292"/>
      <c r="TBJ34" s="292"/>
      <c r="TBK34" s="292"/>
      <c r="TBL34" s="292"/>
      <c r="TBM34" s="292"/>
      <c r="TBN34" s="292"/>
      <c r="TBO34" s="292"/>
      <c r="TBP34" s="292"/>
      <c r="TBQ34" s="292"/>
      <c r="TBR34" s="292"/>
      <c r="TBS34" s="292"/>
      <c r="TBT34" s="292"/>
      <c r="TBU34" s="292"/>
      <c r="TBV34" s="292"/>
      <c r="TBW34" s="292"/>
      <c r="TBX34" s="292"/>
      <c r="TBY34" s="292"/>
      <c r="TBZ34" s="292"/>
      <c r="TCA34" s="292"/>
      <c r="TCB34" s="292"/>
      <c r="TCC34" s="292"/>
      <c r="TCD34" s="292"/>
      <c r="TCE34" s="292"/>
      <c r="TCF34" s="292"/>
      <c r="TCG34" s="292"/>
      <c r="TCH34" s="292"/>
      <c r="TCI34" s="292"/>
      <c r="TCJ34" s="292"/>
      <c r="TCK34" s="292"/>
      <c r="TCL34" s="292"/>
      <c r="TCM34" s="292"/>
      <c r="TCN34" s="292"/>
      <c r="TCO34" s="292"/>
      <c r="TCP34" s="292"/>
      <c r="TCQ34" s="292"/>
      <c r="TCR34" s="292"/>
      <c r="TCS34" s="292"/>
      <c r="TCT34" s="292"/>
      <c r="TCU34" s="292"/>
      <c r="TCV34" s="292"/>
      <c r="TCW34" s="292"/>
      <c r="TCX34" s="292"/>
      <c r="TCY34" s="292"/>
      <c r="TCZ34" s="292"/>
      <c r="TDA34" s="292"/>
      <c r="TDB34" s="292"/>
      <c r="TDC34" s="292"/>
      <c r="TDD34" s="292"/>
      <c r="TDE34" s="292"/>
      <c r="TDF34" s="292"/>
      <c r="TDG34" s="292"/>
      <c r="TDH34" s="292"/>
      <c r="TDI34" s="292"/>
      <c r="TDJ34" s="292"/>
      <c r="TDK34" s="292"/>
      <c r="TDL34" s="292"/>
      <c r="TDM34" s="292"/>
      <c r="TDN34" s="292"/>
      <c r="TDO34" s="292"/>
      <c r="TDP34" s="292"/>
      <c r="TDQ34" s="292"/>
      <c r="TDR34" s="292"/>
      <c r="TDS34" s="292"/>
      <c r="TDT34" s="292"/>
      <c r="TDU34" s="292"/>
      <c r="TDV34" s="292"/>
      <c r="TDW34" s="292"/>
      <c r="TDX34" s="292"/>
      <c r="TDY34" s="292"/>
      <c r="TDZ34" s="292"/>
      <c r="TEA34" s="292"/>
      <c r="TEB34" s="292"/>
      <c r="TEC34" s="292"/>
      <c r="TED34" s="292"/>
      <c r="TEE34" s="292"/>
      <c r="TEF34" s="292"/>
      <c r="TEG34" s="292"/>
      <c r="TEH34" s="292"/>
      <c r="TEI34" s="292"/>
      <c r="TEJ34" s="292"/>
      <c r="TEK34" s="292"/>
      <c r="TEL34" s="292"/>
      <c r="TEM34" s="292"/>
      <c r="TEN34" s="292"/>
      <c r="TEO34" s="292"/>
      <c r="TEP34" s="292"/>
      <c r="TEQ34" s="292"/>
      <c r="TER34" s="292"/>
      <c r="TES34" s="292"/>
      <c r="TET34" s="292"/>
      <c r="TEU34" s="292"/>
      <c r="TEV34" s="292"/>
      <c r="TEW34" s="292"/>
      <c r="TEX34" s="292"/>
      <c r="TEY34" s="292"/>
      <c r="TEZ34" s="292"/>
      <c r="TFA34" s="292"/>
      <c r="TFB34" s="292"/>
      <c r="TFC34" s="292"/>
      <c r="TFD34" s="292"/>
      <c r="TFE34" s="292"/>
      <c r="TFF34" s="292"/>
      <c r="TFG34" s="292"/>
      <c r="TFH34" s="292"/>
      <c r="TFI34" s="292"/>
      <c r="TFJ34" s="292"/>
      <c r="TFK34" s="292"/>
      <c r="TFL34" s="292"/>
      <c r="TFM34" s="292"/>
      <c r="TFN34" s="292"/>
      <c r="TFO34" s="292"/>
      <c r="TFP34" s="292"/>
      <c r="TFQ34" s="292"/>
      <c r="TFR34" s="292"/>
      <c r="TFS34" s="292"/>
      <c r="TFT34" s="292"/>
      <c r="TFU34" s="292"/>
      <c r="TFV34" s="292"/>
      <c r="TFW34" s="292"/>
      <c r="TFX34" s="292"/>
      <c r="TFY34" s="292"/>
      <c r="TFZ34" s="292"/>
      <c r="TGA34" s="292"/>
      <c r="TGB34" s="292"/>
      <c r="TGC34" s="292"/>
      <c r="TGD34" s="292"/>
      <c r="TGE34" s="292"/>
      <c r="TGF34" s="292"/>
      <c r="TGG34" s="292"/>
      <c r="TGH34" s="292"/>
      <c r="TGI34" s="292"/>
      <c r="TGJ34" s="292"/>
      <c r="TGK34" s="292"/>
      <c r="TGL34" s="292"/>
      <c r="TGM34" s="292"/>
      <c r="TGN34" s="292"/>
      <c r="TGO34" s="292"/>
      <c r="TGP34" s="292"/>
      <c r="TGQ34" s="292"/>
      <c r="TGR34" s="292"/>
      <c r="TGS34" s="292"/>
      <c r="TGT34" s="292"/>
      <c r="TGU34" s="292"/>
      <c r="TGV34" s="292"/>
      <c r="TGW34" s="292"/>
      <c r="TGX34" s="292"/>
      <c r="TGY34" s="292"/>
      <c r="TGZ34" s="292"/>
      <c r="THA34" s="292"/>
      <c r="THB34" s="292"/>
      <c r="THC34" s="292"/>
      <c r="THD34" s="292"/>
      <c r="THE34" s="292"/>
      <c r="THF34" s="292"/>
      <c r="THG34" s="292"/>
      <c r="THH34" s="292"/>
      <c r="THI34" s="292"/>
      <c r="THJ34" s="292"/>
      <c r="THK34" s="292"/>
      <c r="THL34" s="292"/>
      <c r="THM34" s="292"/>
      <c r="THN34" s="292"/>
      <c r="THO34" s="292"/>
      <c r="THP34" s="292"/>
      <c r="THQ34" s="292"/>
      <c r="THR34" s="292"/>
      <c r="THS34" s="292"/>
      <c r="THT34" s="292"/>
      <c r="THU34" s="292"/>
      <c r="THV34" s="292"/>
      <c r="THW34" s="292"/>
      <c r="THX34" s="292"/>
      <c r="THY34" s="292"/>
      <c r="THZ34" s="292"/>
      <c r="TIA34" s="292"/>
      <c r="TIB34" s="292"/>
      <c r="TIC34" s="292"/>
      <c r="TID34" s="292"/>
      <c r="TIE34" s="292"/>
      <c r="TIF34" s="292"/>
      <c r="TIG34" s="292"/>
      <c r="TIH34" s="292"/>
      <c r="TII34" s="292"/>
      <c r="TIJ34" s="292"/>
      <c r="TIK34" s="292"/>
      <c r="TIL34" s="292"/>
      <c r="TIM34" s="292"/>
      <c r="TIN34" s="292"/>
      <c r="TIO34" s="292"/>
      <c r="TIP34" s="292"/>
      <c r="TIQ34" s="292"/>
      <c r="TIR34" s="292"/>
      <c r="TIS34" s="292"/>
      <c r="TIT34" s="292"/>
      <c r="TIU34" s="292"/>
      <c r="TIV34" s="292"/>
      <c r="TIW34" s="292"/>
      <c r="TIX34" s="292"/>
      <c r="TIY34" s="292"/>
      <c r="TIZ34" s="292"/>
      <c r="TJA34" s="292"/>
      <c r="TJB34" s="292"/>
      <c r="TJC34" s="292"/>
      <c r="TJD34" s="292"/>
      <c r="TJE34" s="292"/>
      <c r="TJF34" s="292"/>
      <c r="TJG34" s="292"/>
      <c r="TJH34" s="292"/>
      <c r="TJI34" s="292"/>
      <c r="TJJ34" s="292"/>
      <c r="TJK34" s="292"/>
      <c r="TJL34" s="292"/>
      <c r="TJM34" s="292"/>
      <c r="TJN34" s="292"/>
      <c r="TJO34" s="292"/>
      <c r="TJP34" s="292"/>
      <c r="TJQ34" s="292"/>
      <c r="TJR34" s="292"/>
      <c r="TJS34" s="292"/>
      <c r="TJT34" s="292"/>
      <c r="TJU34" s="292"/>
      <c r="TJV34" s="292"/>
      <c r="TJW34" s="292"/>
      <c r="TJX34" s="292"/>
      <c r="TJY34" s="292"/>
      <c r="TJZ34" s="292"/>
      <c r="TKA34" s="292"/>
      <c r="TKB34" s="292"/>
      <c r="TKC34" s="292"/>
      <c r="TKD34" s="292"/>
      <c r="TKE34" s="292"/>
      <c r="TKF34" s="292"/>
      <c r="TKG34" s="292"/>
      <c r="TKH34" s="292"/>
      <c r="TKI34" s="292"/>
      <c r="TKJ34" s="292"/>
      <c r="TKK34" s="292"/>
      <c r="TKL34" s="292"/>
      <c r="TKM34" s="292"/>
      <c r="TKN34" s="292"/>
      <c r="TKO34" s="292"/>
      <c r="TKP34" s="292"/>
      <c r="TKQ34" s="292"/>
      <c r="TKR34" s="292"/>
      <c r="TKS34" s="292"/>
      <c r="TKT34" s="292"/>
      <c r="TKU34" s="292"/>
      <c r="TKV34" s="292"/>
      <c r="TKW34" s="292"/>
      <c r="TKX34" s="292"/>
      <c r="TKY34" s="292"/>
      <c r="TKZ34" s="292"/>
      <c r="TLA34" s="292"/>
      <c r="TLB34" s="292"/>
      <c r="TLC34" s="292"/>
      <c r="TLD34" s="292"/>
      <c r="TLE34" s="292"/>
      <c r="TLF34" s="292"/>
      <c r="TLG34" s="292"/>
      <c r="TLH34" s="292"/>
      <c r="TLI34" s="292"/>
      <c r="TLJ34" s="292"/>
      <c r="TLK34" s="292"/>
      <c r="TLL34" s="292"/>
      <c r="TLM34" s="292"/>
      <c r="TLN34" s="292"/>
      <c r="TLO34" s="292"/>
      <c r="TLP34" s="292"/>
      <c r="TLQ34" s="292"/>
      <c r="TLR34" s="292"/>
      <c r="TLS34" s="292"/>
      <c r="TLT34" s="292"/>
      <c r="TLU34" s="292"/>
      <c r="TLV34" s="292"/>
      <c r="TLW34" s="292"/>
      <c r="TLX34" s="292"/>
      <c r="TLY34" s="292"/>
      <c r="TLZ34" s="292"/>
      <c r="TMA34" s="292"/>
      <c r="TMB34" s="292"/>
      <c r="TMC34" s="292"/>
      <c r="TMD34" s="292"/>
      <c r="TME34" s="292"/>
      <c r="TMF34" s="292"/>
      <c r="TMG34" s="292"/>
      <c r="TMH34" s="292"/>
      <c r="TMI34" s="292"/>
      <c r="TMJ34" s="292"/>
      <c r="TMK34" s="292"/>
      <c r="TML34" s="292"/>
      <c r="TMM34" s="292"/>
      <c r="TMN34" s="292"/>
      <c r="TMO34" s="292"/>
      <c r="TMP34" s="292"/>
      <c r="TMQ34" s="292"/>
      <c r="TMR34" s="292"/>
      <c r="TMS34" s="292"/>
      <c r="TMT34" s="292"/>
      <c r="TMU34" s="292"/>
      <c r="TMV34" s="292"/>
      <c r="TMW34" s="292"/>
      <c r="TMX34" s="292"/>
      <c r="TMY34" s="292"/>
      <c r="TMZ34" s="292"/>
      <c r="TNA34" s="292"/>
      <c r="TNB34" s="292"/>
      <c r="TNC34" s="292"/>
      <c r="TND34" s="292"/>
      <c r="TNE34" s="292"/>
      <c r="TNF34" s="292"/>
      <c r="TNG34" s="292"/>
      <c r="TNH34" s="292"/>
      <c r="TNI34" s="292"/>
      <c r="TNJ34" s="292"/>
      <c r="TNK34" s="292"/>
      <c r="TNL34" s="292"/>
      <c r="TNM34" s="292"/>
      <c r="TNN34" s="292"/>
      <c r="TNO34" s="292"/>
      <c r="TNP34" s="292"/>
      <c r="TNQ34" s="292"/>
      <c r="TNR34" s="292"/>
      <c r="TNS34" s="292"/>
      <c r="TNT34" s="292"/>
      <c r="TNU34" s="292"/>
      <c r="TNV34" s="292"/>
      <c r="TNW34" s="292"/>
      <c r="TNX34" s="292"/>
      <c r="TNY34" s="292"/>
      <c r="TNZ34" s="292"/>
      <c r="TOA34" s="292"/>
      <c r="TOB34" s="292"/>
      <c r="TOC34" s="292"/>
      <c r="TOD34" s="292"/>
      <c r="TOE34" s="292"/>
      <c r="TOF34" s="292"/>
      <c r="TOG34" s="292"/>
      <c r="TOH34" s="292"/>
      <c r="TOI34" s="292"/>
      <c r="TOJ34" s="292"/>
      <c r="TOK34" s="292"/>
      <c r="TOL34" s="292"/>
      <c r="TOM34" s="292"/>
      <c r="TON34" s="292"/>
      <c r="TOO34" s="292"/>
      <c r="TOP34" s="292"/>
      <c r="TOQ34" s="292"/>
      <c r="TOR34" s="292"/>
      <c r="TOS34" s="292"/>
      <c r="TOT34" s="292"/>
      <c r="TOU34" s="292"/>
      <c r="TOV34" s="292"/>
      <c r="TOW34" s="292"/>
      <c r="TOX34" s="292"/>
      <c r="TOY34" s="292"/>
      <c r="TOZ34" s="292"/>
      <c r="TPA34" s="292"/>
      <c r="TPB34" s="292"/>
      <c r="TPC34" s="292"/>
      <c r="TPD34" s="292"/>
      <c r="TPE34" s="292"/>
      <c r="TPF34" s="292"/>
      <c r="TPG34" s="292"/>
      <c r="TPH34" s="292"/>
      <c r="TPI34" s="292"/>
      <c r="TPJ34" s="292"/>
      <c r="TPK34" s="292"/>
      <c r="TPL34" s="292"/>
      <c r="TPM34" s="292"/>
      <c r="TPN34" s="292"/>
      <c r="TPO34" s="292"/>
      <c r="TPP34" s="292"/>
      <c r="TPQ34" s="292"/>
      <c r="TPR34" s="292"/>
      <c r="TPS34" s="292"/>
      <c r="TPT34" s="292"/>
      <c r="TPU34" s="292"/>
      <c r="TPV34" s="292"/>
      <c r="TPW34" s="292"/>
      <c r="TPX34" s="292"/>
      <c r="TPY34" s="292"/>
      <c r="TPZ34" s="292"/>
      <c r="TQA34" s="292"/>
      <c r="TQB34" s="292"/>
      <c r="TQC34" s="292"/>
      <c r="TQD34" s="292"/>
      <c r="TQE34" s="292"/>
      <c r="TQF34" s="292"/>
      <c r="TQG34" s="292"/>
      <c r="TQH34" s="292"/>
      <c r="TQI34" s="292"/>
      <c r="TQJ34" s="292"/>
      <c r="TQK34" s="292"/>
      <c r="TQL34" s="292"/>
      <c r="TQM34" s="292"/>
      <c r="TQN34" s="292"/>
      <c r="TQO34" s="292"/>
      <c r="TQP34" s="292"/>
      <c r="TQQ34" s="292"/>
      <c r="TQR34" s="292"/>
      <c r="TQS34" s="292"/>
      <c r="TQT34" s="292"/>
      <c r="TQU34" s="292"/>
      <c r="TQV34" s="292"/>
      <c r="TQW34" s="292"/>
      <c r="TQX34" s="292"/>
      <c r="TQY34" s="292"/>
      <c r="TQZ34" s="292"/>
      <c r="TRA34" s="292"/>
      <c r="TRB34" s="292"/>
      <c r="TRC34" s="292"/>
      <c r="TRD34" s="292"/>
      <c r="TRE34" s="292"/>
      <c r="TRF34" s="292"/>
      <c r="TRG34" s="292"/>
      <c r="TRH34" s="292"/>
      <c r="TRI34" s="292"/>
      <c r="TRJ34" s="292"/>
      <c r="TRK34" s="292"/>
      <c r="TRL34" s="292"/>
      <c r="TRM34" s="292"/>
      <c r="TRN34" s="292"/>
      <c r="TRO34" s="292"/>
      <c r="TRP34" s="292"/>
      <c r="TRQ34" s="292"/>
      <c r="TRR34" s="292"/>
      <c r="TRS34" s="292"/>
      <c r="TRT34" s="292"/>
      <c r="TRU34" s="292"/>
      <c r="TRV34" s="292"/>
      <c r="TRW34" s="292"/>
      <c r="TRX34" s="292"/>
      <c r="TRY34" s="292"/>
      <c r="TRZ34" s="292"/>
      <c r="TSA34" s="292"/>
      <c r="TSB34" s="292"/>
      <c r="TSC34" s="292"/>
      <c r="TSD34" s="292"/>
      <c r="TSE34" s="292"/>
      <c r="TSF34" s="292"/>
      <c r="TSG34" s="292"/>
      <c r="TSH34" s="292"/>
      <c r="TSI34" s="292"/>
      <c r="TSJ34" s="292"/>
      <c r="TSK34" s="292"/>
      <c r="TSL34" s="292"/>
      <c r="TSM34" s="292"/>
      <c r="TSN34" s="292"/>
      <c r="TSO34" s="292"/>
      <c r="TSP34" s="292"/>
      <c r="TSQ34" s="292"/>
      <c r="TSR34" s="292"/>
      <c r="TSS34" s="292"/>
      <c r="TST34" s="292"/>
      <c r="TSU34" s="292"/>
      <c r="TSV34" s="292"/>
      <c r="TSW34" s="292"/>
      <c r="TSX34" s="292"/>
      <c r="TSY34" s="292"/>
      <c r="TSZ34" s="292"/>
      <c r="TTA34" s="292"/>
      <c r="TTB34" s="292"/>
      <c r="TTC34" s="292"/>
      <c r="TTD34" s="292"/>
      <c r="TTE34" s="292"/>
      <c r="TTF34" s="292"/>
      <c r="TTG34" s="292"/>
      <c r="TTH34" s="292"/>
      <c r="TTI34" s="292"/>
      <c r="TTJ34" s="292"/>
      <c r="TTK34" s="292"/>
      <c r="TTL34" s="292"/>
      <c r="TTM34" s="292"/>
      <c r="TTN34" s="292"/>
      <c r="TTO34" s="292"/>
      <c r="TTP34" s="292"/>
      <c r="TTQ34" s="292"/>
      <c r="TTR34" s="292"/>
      <c r="TTS34" s="292"/>
      <c r="TTT34" s="292"/>
      <c r="TTU34" s="292"/>
      <c r="TTV34" s="292"/>
      <c r="TTW34" s="292"/>
      <c r="TTX34" s="292"/>
      <c r="TTY34" s="292"/>
      <c r="TTZ34" s="292"/>
      <c r="TUA34" s="292"/>
      <c r="TUB34" s="292"/>
      <c r="TUC34" s="292"/>
      <c r="TUD34" s="292"/>
      <c r="TUE34" s="292"/>
      <c r="TUF34" s="292"/>
      <c r="TUG34" s="292"/>
      <c r="TUH34" s="292"/>
      <c r="TUI34" s="292"/>
      <c r="TUJ34" s="292"/>
      <c r="TUK34" s="292"/>
      <c r="TUL34" s="292"/>
      <c r="TUM34" s="292"/>
      <c r="TUN34" s="292"/>
      <c r="TUO34" s="292"/>
      <c r="TUP34" s="292"/>
      <c r="TUQ34" s="292"/>
      <c r="TUR34" s="292"/>
      <c r="TUS34" s="292"/>
      <c r="TUT34" s="292"/>
      <c r="TUU34" s="292"/>
      <c r="TUV34" s="292"/>
      <c r="TUW34" s="292"/>
      <c r="TUX34" s="292"/>
      <c r="TUY34" s="292"/>
      <c r="TUZ34" s="292"/>
      <c r="TVA34" s="292"/>
      <c r="TVB34" s="292"/>
      <c r="TVC34" s="292"/>
      <c r="TVD34" s="292"/>
      <c r="TVE34" s="292"/>
      <c r="TVF34" s="292"/>
      <c r="TVG34" s="292"/>
      <c r="TVH34" s="292"/>
      <c r="TVI34" s="292"/>
      <c r="TVJ34" s="292"/>
      <c r="TVK34" s="292"/>
      <c r="TVL34" s="292"/>
      <c r="TVM34" s="292"/>
      <c r="TVN34" s="292"/>
      <c r="TVO34" s="292"/>
      <c r="TVP34" s="292"/>
      <c r="TVQ34" s="292"/>
      <c r="TVR34" s="292"/>
      <c r="TVS34" s="292"/>
      <c r="TVT34" s="292"/>
      <c r="TVU34" s="292"/>
      <c r="TVV34" s="292"/>
      <c r="TVW34" s="292"/>
      <c r="TVX34" s="292"/>
      <c r="TVY34" s="292"/>
      <c r="TVZ34" s="292"/>
      <c r="TWA34" s="292"/>
      <c r="TWB34" s="292"/>
      <c r="TWC34" s="292"/>
      <c r="TWD34" s="292"/>
      <c r="TWE34" s="292"/>
      <c r="TWF34" s="292"/>
      <c r="TWG34" s="292"/>
      <c r="TWH34" s="292"/>
      <c r="TWI34" s="292"/>
      <c r="TWJ34" s="292"/>
      <c r="TWK34" s="292"/>
      <c r="TWL34" s="292"/>
      <c r="TWM34" s="292"/>
      <c r="TWN34" s="292"/>
      <c r="TWO34" s="292"/>
      <c r="TWP34" s="292"/>
      <c r="TWQ34" s="292"/>
      <c r="TWR34" s="292"/>
      <c r="TWS34" s="292"/>
      <c r="TWT34" s="292"/>
      <c r="TWU34" s="292"/>
      <c r="TWV34" s="292"/>
      <c r="TWW34" s="292"/>
      <c r="TWX34" s="292"/>
      <c r="TWY34" s="292"/>
      <c r="TWZ34" s="292"/>
      <c r="TXA34" s="292"/>
      <c r="TXB34" s="292"/>
      <c r="TXC34" s="292"/>
      <c r="TXD34" s="292"/>
      <c r="TXE34" s="292"/>
      <c r="TXF34" s="292"/>
      <c r="TXG34" s="292"/>
      <c r="TXH34" s="292"/>
      <c r="TXI34" s="292"/>
      <c r="TXJ34" s="292"/>
      <c r="TXK34" s="292"/>
      <c r="TXL34" s="292"/>
      <c r="TXM34" s="292"/>
      <c r="TXN34" s="292"/>
      <c r="TXO34" s="292"/>
      <c r="TXP34" s="292"/>
      <c r="TXQ34" s="292"/>
      <c r="TXR34" s="292"/>
      <c r="TXS34" s="292"/>
      <c r="TXT34" s="292"/>
      <c r="TXU34" s="292"/>
      <c r="TXV34" s="292"/>
      <c r="TXW34" s="292"/>
      <c r="TXX34" s="292"/>
      <c r="TXY34" s="292"/>
      <c r="TXZ34" s="292"/>
      <c r="TYA34" s="292"/>
      <c r="TYB34" s="292"/>
      <c r="TYC34" s="292"/>
      <c r="TYD34" s="292"/>
      <c r="TYE34" s="292"/>
      <c r="TYF34" s="292"/>
      <c r="TYG34" s="292"/>
      <c r="TYH34" s="292"/>
      <c r="TYI34" s="292"/>
      <c r="TYJ34" s="292"/>
      <c r="TYK34" s="292"/>
      <c r="TYL34" s="292"/>
      <c r="TYM34" s="292"/>
      <c r="TYN34" s="292"/>
      <c r="TYO34" s="292"/>
      <c r="TYP34" s="292"/>
      <c r="TYQ34" s="292"/>
      <c r="TYR34" s="292"/>
      <c r="TYS34" s="292"/>
      <c r="TYT34" s="292"/>
      <c r="TYU34" s="292"/>
      <c r="TYV34" s="292"/>
      <c r="TYW34" s="292"/>
      <c r="TYX34" s="292"/>
      <c r="TYY34" s="292"/>
      <c r="TYZ34" s="292"/>
      <c r="TZA34" s="292"/>
      <c r="TZB34" s="292"/>
      <c r="TZC34" s="292"/>
      <c r="TZD34" s="292"/>
      <c r="TZE34" s="292"/>
      <c r="TZF34" s="292"/>
      <c r="TZG34" s="292"/>
      <c r="TZH34" s="292"/>
      <c r="TZI34" s="292"/>
      <c r="TZJ34" s="292"/>
      <c r="TZK34" s="292"/>
      <c r="TZL34" s="292"/>
      <c r="TZM34" s="292"/>
      <c r="TZN34" s="292"/>
      <c r="TZO34" s="292"/>
      <c r="TZP34" s="292"/>
      <c r="TZQ34" s="292"/>
      <c r="TZR34" s="292"/>
      <c r="TZS34" s="292"/>
      <c r="TZT34" s="292"/>
      <c r="TZU34" s="292"/>
      <c r="TZV34" s="292"/>
      <c r="TZW34" s="292"/>
      <c r="TZX34" s="292"/>
      <c r="TZY34" s="292"/>
      <c r="TZZ34" s="292"/>
      <c r="UAA34" s="292"/>
      <c r="UAB34" s="292"/>
      <c r="UAC34" s="292"/>
      <c r="UAD34" s="292"/>
      <c r="UAE34" s="292"/>
      <c r="UAF34" s="292"/>
      <c r="UAG34" s="292"/>
      <c r="UAH34" s="292"/>
      <c r="UAI34" s="292"/>
      <c r="UAJ34" s="292"/>
      <c r="UAK34" s="292"/>
      <c r="UAL34" s="292"/>
      <c r="UAM34" s="292"/>
      <c r="UAN34" s="292"/>
      <c r="UAO34" s="292"/>
      <c r="UAP34" s="292"/>
      <c r="UAQ34" s="292"/>
      <c r="UAR34" s="292"/>
      <c r="UAS34" s="292"/>
      <c r="UAT34" s="292"/>
      <c r="UAU34" s="292"/>
      <c r="UAV34" s="292"/>
      <c r="UAW34" s="292"/>
      <c r="UAX34" s="292"/>
      <c r="UAY34" s="292"/>
      <c r="UAZ34" s="292"/>
      <c r="UBA34" s="292"/>
      <c r="UBB34" s="292"/>
      <c r="UBC34" s="292"/>
      <c r="UBD34" s="292"/>
      <c r="UBE34" s="292"/>
      <c r="UBF34" s="292"/>
      <c r="UBG34" s="292"/>
      <c r="UBH34" s="292"/>
      <c r="UBI34" s="292"/>
      <c r="UBJ34" s="292"/>
      <c r="UBK34" s="292"/>
      <c r="UBL34" s="292"/>
      <c r="UBM34" s="292"/>
      <c r="UBN34" s="292"/>
      <c r="UBO34" s="292"/>
      <c r="UBP34" s="292"/>
      <c r="UBQ34" s="292"/>
      <c r="UBR34" s="292"/>
      <c r="UBS34" s="292"/>
      <c r="UBT34" s="292"/>
      <c r="UBU34" s="292"/>
      <c r="UBV34" s="292"/>
      <c r="UBW34" s="292"/>
      <c r="UBX34" s="292"/>
      <c r="UBY34" s="292"/>
      <c r="UBZ34" s="292"/>
      <c r="UCA34" s="292"/>
      <c r="UCB34" s="292"/>
      <c r="UCC34" s="292"/>
      <c r="UCD34" s="292"/>
      <c r="UCE34" s="292"/>
      <c r="UCF34" s="292"/>
      <c r="UCG34" s="292"/>
      <c r="UCH34" s="292"/>
      <c r="UCI34" s="292"/>
      <c r="UCJ34" s="292"/>
      <c r="UCK34" s="292"/>
      <c r="UCL34" s="292"/>
      <c r="UCM34" s="292"/>
      <c r="UCN34" s="292"/>
      <c r="UCO34" s="292"/>
      <c r="UCP34" s="292"/>
      <c r="UCQ34" s="292"/>
      <c r="UCR34" s="292"/>
      <c r="UCS34" s="292"/>
      <c r="UCT34" s="292"/>
      <c r="UCU34" s="292"/>
      <c r="UCV34" s="292"/>
      <c r="UCW34" s="292"/>
      <c r="UCX34" s="292"/>
      <c r="UCY34" s="292"/>
      <c r="UCZ34" s="292"/>
      <c r="UDA34" s="292"/>
      <c r="UDB34" s="292"/>
      <c r="UDC34" s="292"/>
      <c r="UDD34" s="292"/>
      <c r="UDE34" s="292"/>
      <c r="UDF34" s="292"/>
      <c r="UDG34" s="292"/>
      <c r="UDH34" s="292"/>
      <c r="UDI34" s="292"/>
      <c r="UDJ34" s="292"/>
      <c r="UDK34" s="292"/>
      <c r="UDL34" s="292"/>
      <c r="UDM34" s="292"/>
      <c r="UDN34" s="292"/>
      <c r="UDO34" s="292"/>
      <c r="UDP34" s="292"/>
      <c r="UDQ34" s="292"/>
      <c r="UDR34" s="292"/>
      <c r="UDS34" s="292"/>
      <c r="UDT34" s="292"/>
      <c r="UDU34" s="292"/>
      <c r="UDV34" s="292"/>
      <c r="UDW34" s="292"/>
      <c r="UDX34" s="292"/>
      <c r="UDY34" s="292"/>
      <c r="UDZ34" s="292"/>
      <c r="UEA34" s="292"/>
      <c r="UEB34" s="292"/>
      <c r="UEC34" s="292"/>
      <c r="UED34" s="292"/>
      <c r="UEE34" s="292"/>
      <c r="UEF34" s="292"/>
      <c r="UEG34" s="292"/>
      <c r="UEH34" s="292"/>
      <c r="UEI34" s="292"/>
      <c r="UEJ34" s="292"/>
      <c r="UEK34" s="292"/>
      <c r="UEL34" s="292"/>
      <c r="UEM34" s="292"/>
      <c r="UEN34" s="292"/>
      <c r="UEO34" s="292"/>
      <c r="UEP34" s="292"/>
      <c r="UEQ34" s="292"/>
      <c r="UER34" s="292"/>
      <c r="UES34" s="292"/>
      <c r="UET34" s="292"/>
      <c r="UEU34" s="292"/>
      <c r="UEV34" s="292"/>
      <c r="UEW34" s="292"/>
      <c r="UEX34" s="292"/>
      <c r="UEY34" s="292"/>
      <c r="UEZ34" s="292"/>
      <c r="UFA34" s="292"/>
      <c r="UFB34" s="292"/>
      <c r="UFC34" s="292"/>
      <c r="UFD34" s="292"/>
      <c r="UFE34" s="292"/>
      <c r="UFF34" s="292"/>
      <c r="UFG34" s="292"/>
      <c r="UFH34" s="292"/>
      <c r="UFI34" s="292"/>
      <c r="UFJ34" s="292"/>
      <c r="UFK34" s="292"/>
      <c r="UFL34" s="292"/>
      <c r="UFM34" s="292"/>
      <c r="UFN34" s="292"/>
      <c r="UFO34" s="292"/>
      <c r="UFP34" s="292"/>
      <c r="UFQ34" s="292"/>
      <c r="UFR34" s="292"/>
      <c r="UFS34" s="292"/>
      <c r="UFT34" s="292"/>
      <c r="UFU34" s="292"/>
      <c r="UFV34" s="292"/>
      <c r="UFW34" s="292"/>
      <c r="UFX34" s="292"/>
      <c r="UFY34" s="292"/>
      <c r="UFZ34" s="292"/>
      <c r="UGA34" s="292"/>
      <c r="UGB34" s="292"/>
      <c r="UGC34" s="292"/>
      <c r="UGD34" s="292"/>
      <c r="UGE34" s="292"/>
      <c r="UGF34" s="292"/>
      <c r="UGG34" s="292"/>
      <c r="UGH34" s="292"/>
      <c r="UGI34" s="292"/>
      <c r="UGJ34" s="292"/>
      <c r="UGK34" s="292"/>
      <c r="UGL34" s="292"/>
      <c r="UGM34" s="292"/>
      <c r="UGN34" s="292"/>
      <c r="UGO34" s="292"/>
      <c r="UGP34" s="292"/>
      <c r="UGQ34" s="292"/>
      <c r="UGR34" s="292"/>
      <c r="UGS34" s="292"/>
      <c r="UGT34" s="292"/>
      <c r="UGU34" s="292"/>
      <c r="UGV34" s="292"/>
      <c r="UGW34" s="292"/>
      <c r="UGX34" s="292"/>
      <c r="UGY34" s="292"/>
      <c r="UGZ34" s="292"/>
      <c r="UHA34" s="292"/>
      <c r="UHB34" s="292"/>
      <c r="UHC34" s="292"/>
      <c r="UHD34" s="292"/>
      <c r="UHE34" s="292"/>
      <c r="UHF34" s="292"/>
      <c r="UHG34" s="292"/>
      <c r="UHH34" s="292"/>
      <c r="UHI34" s="292"/>
      <c r="UHJ34" s="292"/>
      <c r="UHK34" s="292"/>
      <c r="UHL34" s="292"/>
      <c r="UHM34" s="292"/>
      <c r="UHN34" s="292"/>
      <c r="UHO34" s="292"/>
      <c r="UHP34" s="292"/>
      <c r="UHQ34" s="292"/>
      <c r="UHR34" s="292"/>
      <c r="UHS34" s="292"/>
      <c r="UHT34" s="292"/>
      <c r="UHU34" s="292"/>
      <c r="UHV34" s="292"/>
      <c r="UHW34" s="292"/>
      <c r="UHX34" s="292"/>
      <c r="UHY34" s="292"/>
      <c r="UHZ34" s="292"/>
      <c r="UIA34" s="292"/>
      <c r="UIB34" s="292"/>
      <c r="UIC34" s="292"/>
      <c r="UID34" s="292"/>
      <c r="UIE34" s="292"/>
      <c r="UIF34" s="292"/>
      <c r="UIG34" s="292"/>
      <c r="UIH34" s="292"/>
      <c r="UII34" s="292"/>
      <c r="UIJ34" s="292"/>
      <c r="UIK34" s="292"/>
      <c r="UIL34" s="292"/>
      <c r="UIM34" s="292"/>
      <c r="UIN34" s="292"/>
      <c r="UIO34" s="292"/>
      <c r="UIP34" s="292"/>
      <c r="UIQ34" s="292"/>
      <c r="UIR34" s="292"/>
      <c r="UIS34" s="292"/>
      <c r="UIT34" s="292"/>
      <c r="UIU34" s="292"/>
      <c r="UIV34" s="292"/>
      <c r="UIW34" s="292"/>
      <c r="UIX34" s="292"/>
      <c r="UIY34" s="292"/>
      <c r="UIZ34" s="292"/>
      <c r="UJA34" s="292"/>
      <c r="UJB34" s="292"/>
      <c r="UJC34" s="292"/>
      <c r="UJD34" s="292"/>
      <c r="UJE34" s="292"/>
      <c r="UJF34" s="292"/>
      <c r="UJG34" s="292"/>
      <c r="UJH34" s="292"/>
      <c r="UJI34" s="292"/>
      <c r="UJJ34" s="292"/>
      <c r="UJK34" s="292"/>
      <c r="UJL34" s="292"/>
      <c r="UJM34" s="292"/>
      <c r="UJN34" s="292"/>
      <c r="UJO34" s="292"/>
      <c r="UJP34" s="292"/>
      <c r="UJQ34" s="292"/>
      <c r="UJR34" s="292"/>
      <c r="UJS34" s="292"/>
      <c r="UJT34" s="292"/>
      <c r="UJU34" s="292"/>
      <c r="UJV34" s="292"/>
      <c r="UJW34" s="292"/>
      <c r="UJX34" s="292"/>
      <c r="UJY34" s="292"/>
      <c r="UJZ34" s="292"/>
      <c r="UKA34" s="292"/>
      <c r="UKB34" s="292"/>
      <c r="UKC34" s="292"/>
      <c r="UKD34" s="292"/>
      <c r="UKE34" s="292"/>
      <c r="UKF34" s="292"/>
      <c r="UKG34" s="292"/>
      <c r="UKH34" s="292"/>
      <c r="UKI34" s="292"/>
      <c r="UKJ34" s="292"/>
      <c r="UKK34" s="292"/>
      <c r="UKL34" s="292"/>
      <c r="UKM34" s="292"/>
      <c r="UKN34" s="292"/>
      <c r="UKO34" s="292"/>
      <c r="UKP34" s="292"/>
      <c r="UKQ34" s="292"/>
      <c r="UKR34" s="292"/>
      <c r="UKS34" s="292"/>
      <c r="UKT34" s="292"/>
      <c r="UKU34" s="292"/>
      <c r="UKV34" s="292"/>
      <c r="UKW34" s="292"/>
      <c r="UKX34" s="292"/>
      <c r="UKY34" s="292"/>
      <c r="UKZ34" s="292"/>
      <c r="ULA34" s="292"/>
      <c r="ULB34" s="292"/>
      <c r="ULC34" s="292"/>
      <c r="ULD34" s="292"/>
      <c r="ULE34" s="292"/>
      <c r="ULF34" s="292"/>
      <c r="ULG34" s="292"/>
      <c r="ULH34" s="292"/>
      <c r="ULI34" s="292"/>
      <c r="ULJ34" s="292"/>
      <c r="ULK34" s="292"/>
      <c r="ULL34" s="292"/>
      <c r="ULM34" s="292"/>
      <c r="ULN34" s="292"/>
      <c r="ULO34" s="292"/>
      <c r="ULP34" s="292"/>
      <c r="ULQ34" s="292"/>
      <c r="ULR34" s="292"/>
      <c r="ULS34" s="292"/>
      <c r="ULT34" s="292"/>
      <c r="ULU34" s="292"/>
      <c r="ULV34" s="292"/>
      <c r="ULW34" s="292"/>
      <c r="ULX34" s="292"/>
      <c r="ULY34" s="292"/>
      <c r="ULZ34" s="292"/>
      <c r="UMA34" s="292"/>
      <c r="UMB34" s="292"/>
      <c r="UMC34" s="292"/>
      <c r="UMD34" s="292"/>
      <c r="UME34" s="292"/>
      <c r="UMF34" s="292"/>
      <c r="UMG34" s="292"/>
      <c r="UMH34" s="292"/>
      <c r="UMI34" s="292"/>
      <c r="UMJ34" s="292"/>
      <c r="UMK34" s="292"/>
      <c r="UML34" s="292"/>
      <c r="UMM34" s="292"/>
      <c r="UMN34" s="292"/>
      <c r="UMO34" s="292"/>
      <c r="UMP34" s="292"/>
      <c r="UMQ34" s="292"/>
      <c r="UMR34" s="292"/>
      <c r="UMS34" s="292"/>
      <c r="UMT34" s="292"/>
      <c r="UMU34" s="292"/>
      <c r="UMV34" s="292"/>
      <c r="UMW34" s="292"/>
      <c r="UMX34" s="292"/>
      <c r="UMY34" s="292"/>
      <c r="UMZ34" s="292"/>
      <c r="UNA34" s="292"/>
      <c r="UNB34" s="292"/>
      <c r="UNC34" s="292"/>
      <c r="UND34" s="292"/>
      <c r="UNE34" s="292"/>
      <c r="UNF34" s="292"/>
      <c r="UNG34" s="292"/>
      <c r="UNH34" s="292"/>
      <c r="UNI34" s="292"/>
      <c r="UNJ34" s="292"/>
      <c r="UNK34" s="292"/>
      <c r="UNL34" s="292"/>
      <c r="UNM34" s="292"/>
      <c r="UNN34" s="292"/>
      <c r="UNO34" s="292"/>
      <c r="UNP34" s="292"/>
      <c r="UNQ34" s="292"/>
      <c r="UNR34" s="292"/>
      <c r="UNS34" s="292"/>
      <c r="UNT34" s="292"/>
      <c r="UNU34" s="292"/>
      <c r="UNV34" s="292"/>
      <c r="UNW34" s="292"/>
      <c r="UNX34" s="292"/>
      <c r="UNY34" s="292"/>
      <c r="UNZ34" s="292"/>
      <c r="UOA34" s="292"/>
      <c r="UOB34" s="292"/>
      <c r="UOC34" s="292"/>
      <c r="UOD34" s="292"/>
      <c r="UOE34" s="292"/>
      <c r="UOF34" s="292"/>
      <c r="UOG34" s="292"/>
      <c r="UOH34" s="292"/>
      <c r="UOI34" s="292"/>
      <c r="UOJ34" s="292"/>
      <c r="UOK34" s="292"/>
      <c r="UOL34" s="292"/>
      <c r="UOM34" s="292"/>
      <c r="UON34" s="292"/>
      <c r="UOO34" s="292"/>
      <c r="UOP34" s="292"/>
      <c r="UOQ34" s="292"/>
      <c r="UOR34" s="292"/>
      <c r="UOS34" s="292"/>
      <c r="UOT34" s="292"/>
      <c r="UOU34" s="292"/>
      <c r="UOV34" s="292"/>
      <c r="UOW34" s="292"/>
      <c r="UOX34" s="292"/>
      <c r="UOY34" s="292"/>
      <c r="UOZ34" s="292"/>
      <c r="UPA34" s="292"/>
      <c r="UPB34" s="292"/>
      <c r="UPC34" s="292"/>
      <c r="UPD34" s="292"/>
      <c r="UPE34" s="292"/>
      <c r="UPF34" s="292"/>
      <c r="UPG34" s="292"/>
      <c r="UPH34" s="292"/>
      <c r="UPI34" s="292"/>
      <c r="UPJ34" s="292"/>
      <c r="UPK34" s="292"/>
      <c r="UPL34" s="292"/>
      <c r="UPM34" s="292"/>
      <c r="UPN34" s="292"/>
      <c r="UPO34" s="292"/>
      <c r="UPP34" s="292"/>
      <c r="UPQ34" s="292"/>
      <c r="UPR34" s="292"/>
      <c r="UPS34" s="292"/>
      <c r="UPT34" s="292"/>
      <c r="UPU34" s="292"/>
      <c r="UPV34" s="292"/>
      <c r="UPW34" s="292"/>
      <c r="UPX34" s="292"/>
      <c r="UPY34" s="292"/>
      <c r="UPZ34" s="292"/>
      <c r="UQA34" s="292"/>
      <c r="UQB34" s="292"/>
      <c r="UQC34" s="292"/>
      <c r="UQD34" s="292"/>
      <c r="UQE34" s="292"/>
      <c r="UQF34" s="292"/>
      <c r="UQG34" s="292"/>
      <c r="UQH34" s="292"/>
      <c r="UQI34" s="292"/>
      <c r="UQJ34" s="292"/>
      <c r="UQK34" s="292"/>
      <c r="UQL34" s="292"/>
      <c r="UQM34" s="292"/>
      <c r="UQN34" s="292"/>
      <c r="UQO34" s="292"/>
      <c r="UQP34" s="292"/>
      <c r="UQQ34" s="292"/>
      <c r="UQR34" s="292"/>
      <c r="UQS34" s="292"/>
      <c r="UQT34" s="292"/>
      <c r="UQU34" s="292"/>
      <c r="UQV34" s="292"/>
      <c r="UQW34" s="292"/>
      <c r="UQX34" s="292"/>
      <c r="UQY34" s="292"/>
      <c r="UQZ34" s="292"/>
      <c r="URA34" s="292"/>
      <c r="URB34" s="292"/>
      <c r="URC34" s="292"/>
      <c r="URD34" s="292"/>
      <c r="URE34" s="292"/>
      <c r="URF34" s="292"/>
      <c r="URG34" s="292"/>
      <c r="URH34" s="292"/>
      <c r="URI34" s="292"/>
      <c r="URJ34" s="292"/>
      <c r="URK34" s="292"/>
      <c r="URL34" s="292"/>
      <c r="URM34" s="292"/>
      <c r="URN34" s="292"/>
      <c r="URO34" s="292"/>
      <c r="URP34" s="292"/>
      <c r="URQ34" s="292"/>
      <c r="URR34" s="292"/>
      <c r="URS34" s="292"/>
      <c r="URT34" s="292"/>
      <c r="URU34" s="292"/>
      <c r="URV34" s="292"/>
      <c r="URW34" s="292"/>
      <c r="URX34" s="292"/>
      <c r="URY34" s="292"/>
      <c r="URZ34" s="292"/>
      <c r="USA34" s="292"/>
      <c r="USB34" s="292"/>
      <c r="USC34" s="292"/>
      <c r="USD34" s="292"/>
      <c r="USE34" s="292"/>
      <c r="USF34" s="292"/>
      <c r="USG34" s="292"/>
      <c r="USH34" s="292"/>
      <c r="USI34" s="292"/>
      <c r="USJ34" s="292"/>
      <c r="USK34" s="292"/>
      <c r="USL34" s="292"/>
      <c r="USM34" s="292"/>
      <c r="USN34" s="292"/>
      <c r="USO34" s="292"/>
      <c r="USP34" s="292"/>
      <c r="USQ34" s="292"/>
      <c r="USR34" s="292"/>
      <c r="USS34" s="292"/>
      <c r="UST34" s="292"/>
      <c r="USU34" s="292"/>
      <c r="USV34" s="292"/>
      <c r="USW34" s="292"/>
      <c r="USX34" s="292"/>
      <c r="USY34" s="292"/>
      <c r="USZ34" s="292"/>
      <c r="UTA34" s="292"/>
      <c r="UTB34" s="292"/>
      <c r="UTC34" s="292"/>
      <c r="UTD34" s="292"/>
      <c r="UTE34" s="292"/>
      <c r="UTF34" s="292"/>
      <c r="UTG34" s="292"/>
      <c r="UTH34" s="292"/>
      <c r="UTI34" s="292"/>
      <c r="UTJ34" s="292"/>
      <c r="UTK34" s="292"/>
      <c r="UTL34" s="292"/>
      <c r="UTM34" s="292"/>
      <c r="UTN34" s="292"/>
      <c r="UTO34" s="292"/>
      <c r="UTP34" s="292"/>
      <c r="UTQ34" s="292"/>
      <c r="UTR34" s="292"/>
      <c r="UTS34" s="292"/>
      <c r="UTT34" s="292"/>
      <c r="UTU34" s="292"/>
      <c r="UTV34" s="292"/>
      <c r="UTW34" s="292"/>
      <c r="UTX34" s="292"/>
      <c r="UTY34" s="292"/>
      <c r="UTZ34" s="292"/>
      <c r="UUA34" s="292"/>
      <c r="UUB34" s="292"/>
      <c r="UUC34" s="292"/>
      <c r="UUD34" s="292"/>
      <c r="UUE34" s="292"/>
      <c r="UUF34" s="292"/>
      <c r="UUG34" s="292"/>
      <c r="UUH34" s="292"/>
      <c r="UUI34" s="292"/>
      <c r="UUJ34" s="292"/>
      <c r="UUK34" s="292"/>
      <c r="UUL34" s="292"/>
      <c r="UUM34" s="292"/>
      <c r="UUN34" s="292"/>
      <c r="UUO34" s="292"/>
      <c r="UUP34" s="292"/>
      <c r="UUQ34" s="292"/>
      <c r="UUR34" s="292"/>
      <c r="UUS34" s="292"/>
      <c r="UUT34" s="292"/>
      <c r="UUU34" s="292"/>
      <c r="UUV34" s="292"/>
      <c r="UUW34" s="292"/>
      <c r="UUX34" s="292"/>
      <c r="UUY34" s="292"/>
      <c r="UUZ34" s="292"/>
      <c r="UVA34" s="292"/>
      <c r="UVB34" s="292"/>
      <c r="UVC34" s="292"/>
      <c r="UVD34" s="292"/>
      <c r="UVE34" s="292"/>
      <c r="UVF34" s="292"/>
      <c r="UVG34" s="292"/>
      <c r="UVH34" s="292"/>
      <c r="UVI34" s="292"/>
      <c r="UVJ34" s="292"/>
      <c r="UVK34" s="292"/>
      <c r="UVL34" s="292"/>
      <c r="UVM34" s="292"/>
      <c r="UVN34" s="292"/>
      <c r="UVO34" s="292"/>
      <c r="UVP34" s="292"/>
      <c r="UVQ34" s="292"/>
      <c r="UVR34" s="292"/>
      <c r="UVS34" s="292"/>
      <c r="UVT34" s="292"/>
      <c r="UVU34" s="292"/>
      <c r="UVV34" s="292"/>
      <c r="UVW34" s="292"/>
      <c r="UVX34" s="292"/>
      <c r="UVY34" s="292"/>
      <c r="UVZ34" s="292"/>
      <c r="UWA34" s="292"/>
      <c r="UWB34" s="292"/>
      <c r="UWC34" s="292"/>
      <c r="UWD34" s="292"/>
      <c r="UWE34" s="292"/>
      <c r="UWF34" s="292"/>
      <c r="UWG34" s="292"/>
      <c r="UWH34" s="292"/>
      <c r="UWI34" s="292"/>
      <c r="UWJ34" s="292"/>
      <c r="UWK34" s="292"/>
      <c r="UWL34" s="292"/>
      <c r="UWM34" s="292"/>
      <c r="UWN34" s="292"/>
      <c r="UWO34" s="292"/>
      <c r="UWP34" s="292"/>
      <c r="UWQ34" s="292"/>
      <c r="UWR34" s="292"/>
      <c r="UWS34" s="292"/>
      <c r="UWT34" s="292"/>
      <c r="UWU34" s="292"/>
      <c r="UWV34" s="292"/>
      <c r="UWW34" s="292"/>
      <c r="UWX34" s="292"/>
      <c r="UWY34" s="292"/>
      <c r="UWZ34" s="292"/>
      <c r="UXA34" s="292"/>
      <c r="UXB34" s="292"/>
      <c r="UXC34" s="292"/>
      <c r="UXD34" s="292"/>
      <c r="UXE34" s="292"/>
      <c r="UXF34" s="292"/>
      <c r="UXG34" s="292"/>
      <c r="UXH34" s="292"/>
      <c r="UXI34" s="292"/>
      <c r="UXJ34" s="292"/>
      <c r="UXK34" s="292"/>
      <c r="UXL34" s="292"/>
      <c r="UXM34" s="292"/>
      <c r="UXN34" s="292"/>
      <c r="UXO34" s="292"/>
      <c r="UXP34" s="292"/>
      <c r="UXQ34" s="292"/>
      <c r="UXR34" s="292"/>
      <c r="UXS34" s="292"/>
      <c r="UXT34" s="292"/>
      <c r="UXU34" s="292"/>
      <c r="UXV34" s="292"/>
      <c r="UXW34" s="292"/>
      <c r="UXX34" s="292"/>
      <c r="UXY34" s="292"/>
      <c r="UXZ34" s="292"/>
      <c r="UYA34" s="292"/>
      <c r="UYB34" s="292"/>
      <c r="UYC34" s="292"/>
      <c r="UYD34" s="292"/>
      <c r="UYE34" s="292"/>
      <c r="UYF34" s="292"/>
      <c r="UYG34" s="292"/>
      <c r="UYH34" s="292"/>
      <c r="UYI34" s="292"/>
      <c r="UYJ34" s="292"/>
      <c r="UYK34" s="292"/>
      <c r="UYL34" s="292"/>
      <c r="UYM34" s="292"/>
      <c r="UYN34" s="292"/>
      <c r="UYO34" s="292"/>
      <c r="UYP34" s="292"/>
      <c r="UYQ34" s="292"/>
      <c r="UYR34" s="292"/>
      <c r="UYS34" s="292"/>
      <c r="UYT34" s="292"/>
      <c r="UYU34" s="292"/>
      <c r="UYV34" s="292"/>
      <c r="UYW34" s="292"/>
      <c r="UYX34" s="292"/>
      <c r="UYY34" s="292"/>
      <c r="UYZ34" s="292"/>
      <c r="UZA34" s="292"/>
      <c r="UZB34" s="292"/>
      <c r="UZC34" s="292"/>
      <c r="UZD34" s="292"/>
      <c r="UZE34" s="292"/>
      <c r="UZF34" s="292"/>
      <c r="UZG34" s="292"/>
      <c r="UZH34" s="292"/>
      <c r="UZI34" s="292"/>
      <c r="UZJ34" s="292"/>
      <c r="UZK34" s="292"/>
      <c r="UZL34" s="292"/>
      <c r="UZM34" s="292"/>
      <c r="UZN34" s="292"/>
      <c r="UZO34" s="292"/>
      <c r="UZP34" s="292"/>
      <c r="UZQ34" s="292"/>
      <c r="UZR34" s="292"/>
      <c r="UZS34" s="292"/>
      <c r="UZT34" s="292"/>
      <c r="UZU34" s="292"/>
      <c r="UZV34" s="292"/>
      <c r="UZW34" s="292"/>
      <c r="UZX34" s="292"/>
      <c r="UZY34" s="292"/>
      <c r="UZZ34" s="292"/>
      <c r="VAA34" s="292"/>
      <c r="VAB34" s="292"/>
      <c r="VAC34" s="292"/>
      <c r="VAD34" s="292"/>
      <c r="VAE34" s="292"/>
      <c r="VAF34" s="292"/>
      <c r="VAG34" s="292"/>
      <c r="VAH34" s="292"/>
      <c r="VAI34" s="292"/>
      <c r="VAJ34" s="292"/>
      <c r="VAK34" s="292"/>
      <c r="VAL34" s="292"/>
      <c r="VAM34" s="292"/>
      <c r="VAN34" s="292"/>
      <c r="VAO34" s="292"/>
      <c r="VAP34" s="292"/>
      <c r="VAQ34" s="292"/>
      <c r="VAR34" s="292"/>
      <c r="VAS34" s="292"/>
      <c r="VAT34" s="292"/>
      <c r="VAU34" s="292"/>
      <c r="VAV34" s="292"/>
      <c r="VAW34" s="292"/>
      <c r="VAX34" s="292"/>
      <c r="VAY34" s="292"/>
      <c r="VAZ34" s="292"/>
      <c r="VBA34" s="292"/>
      <c r="VBB34" s="292"/>
      <c r="VBC34" s="292"/>
      <c r="VBD34" s="292"/>
      <c r="VBE34" s="292"/>
      <c r="VBF34" s="292"/>
      <c r="VBG34" s="292"/>
      <c r="VBH34" s="292"/>
      <c r="VBI34" s="292"/>
      <c r="VBJ34" s="292"/>
      <c r="VBK34" s="292"/>
      <c r="VBL34" s="292"/>
      <c r="VBM34" s="292"/>
      <c r="VBN34" s="292"/>
      <c r="VBO34" s="292"/>
      <c r="VBP34" s="292"/>
      <c r="VBQ34" s="292"/>
      <c r="VBR34" s="292"/>
      <c r="VBS34" s="292"/>
      <c r="VBT34" s="292"/>
      <c r="VBU34" s="292"/>
      <c r="VBV34" s="292"/>
      <c r="VBW34" s="292"/>
      <c r="VBX34" s="292"/>
      <c r="VBY34" s="292"/>
      <c r="VBZ34" s="292"/>
      <c r="VCA34" s="292"/>
      <c r="VCB34" s="292"/>
      <c r="VCC34" s="292"/>
      <c r="VCD34" s="292"/>
      <c r="VCE34" s="292"/>
      <c r="VCF34" s="292"/>
      <c r="VCG34" s="292"/>
      <c r="VCH34" s="292"/>
      <c r="VCI34" s="292"/>
      <c r="VCJ34" s="292"/>
      <c r="VCK34" s="292"/>
      <c r="VCL34" s="292"/>
      <c r="VCM34" s="292"/>
      <c r="VCN34" s="292"/>
      <c r="VCO34" s="292"/>
      <c r="VCP34" s="292"/>
      <c r="VCQ34" s="292"/>
      <c r="VCR34" s="292"/>
      <c r="VCS34" s="292"/>
      <c r="VCT34" s="292"/>
      <c r="VCU34" s="292"/>
      <c r="VCV34" s="292"/>
      <c r="VCW34" s="292"/>
      <c r="VCX34" s="292"/>
      <c r="VCY34" s="292"/>
      <c r="VCZ34" s="292"/>
      <c r="VDA34" s="292"/>
      <c r="VDB34" s="292"/>
      <c r="VDC34" s="292"/>
      <c r="VDD34" s="292"/>
      <c r="VDE34" s="292"/>
      <c r="VDF34" s="292"/>
      <c r="VDG34" s="292"/>
      <c r="VDH34" s="292"/>
      <c r="VDI34" s="292"/>
      <c r="VDJ34" s="292"/>
      <c r="VDK34" s="292"/>
      <c r="VDL34" s="292"/>
      <c r="VDM34" s="292"/>
      <c r="VDN34" s="292"/>
      <c r="VDO34" s="292"/>
      <c r="VDP34" s="292"/>
      <c r="VDQ34" s="292"/>
      <c r="VDR34" s="292"/>
      <c r="VDS34" s="292"/>
      <c r="VDT34" s="292"/>
      <c r="VDU34" s="292"/>
      <c r="VDV34" s="292"/>
      <c r="VDW34" s="292"/>
      <c r="VDX34" s="292"/>
      <c r="VDY34" s="292"/>
      <c r="VDZ34" s="292"/>
      <c r="VEA34" s="292"/>
      <c r="VEB34" s="292"/>
      <c r="VEC34" s="292"/>
      <c r="VED34" s="292"/>
      <c r="VEE34" s="292"/>
      <c r="VEF34" s="292"/>
      <c r="VEG34" s="292"/>
      <c r="VEH34" s="292"/>
      <c r="VEI34" s="292"/>
      <c r="VEJ34" s="292"/>
      <c r="VEK34" s="292"/>
      <c r="VEL34" s="292"/>
      <c r="VEM34" s="292"/>
      <c r="VEN34" s="292"/>
      <c r="VEO34" s="292"/>
      <c r="VEP34" s="292"/>
      <c r="VEQ34" s="292"/>
      <c r="VER34" s="292"/>
      <c r="VES34" s="292"/>
      <c r="VET34" s="292"/>
      <c r="VEU34" s="292"/>
      <c r="VEV34" s="292"/>
      <c r="VEW34" s="292"/>
      <c r="VEX34" s="292"/>
      <c r="VEY34" s="292"/>
      <c r="VEZ34" s="292"/>
      <c r="VFA34" s="292"/>
      <c r="VFB34" s="292"/>
      <c r="VFC34" s="292"/>
      <c r="VFD34" s="292"/>
      <c r="VFE34" s="292"/>
      <c r="VFF34" s="292"/>
      <c r="VFG34" s="292"/>
      <c r="VFH34" s="292"/>
      <c r="VFI34" s="292"/>
      <c r="VFJ34" s="292"/>
      <c r="VFK34" s="292"/>
      <c r="VFL34" s="292"/>
      <c r="VFM34" s="292"/>
      <c r="VFN34" s="292"/>
      <c r="VFO34" s="292"/>
      <c r="VFP34" s="292"/>
      <c r="VFQ34" s="292"/>
      <c r="VFR34" s="292"/>
      <c r="VFS34" s="292"/>
      <c r="VFT34" s="292"/>
      <c r="VFU34" s="292"/>
      <c r="VFV34" s="292"/>
      <c r="VFW34" s="292"/>
      <c r="VFX34" s="292"/>
      <c r="VFY34" s="292"/>
      <c r="VFZ34" s="292"/>
      <c r="VGA34" s="292"/>
      <c r="VGB34" s="292"/>
      <c r="VGC34" s="292"/>
      <c r="VGD34" s="292"/>
      <c r="VGE34" s="292"/>
      <c r="VGF34" s="292"/>
      <c r="VGG34" s="292"/>
      <c r="VGH34" s="292"/>
      <c r="VGI34" s="292"/>
      <c r="VGJ34" s="292"/>
      <c r="VGK34" s="292"/>
      <c r="VGL34" s="292"/>
      <c r="VGM34" s="292"/>
      <c r="VGN34" s="292"/>
      <c r="VGO34" s="292"/>
      <c r="VGP34" s="292"/>
      <c r="VGQ34" s="292"/>
      <c r="VGR34" s="292"/>
      <c r="VGS34" s="292"/>
      <c r="VGT34" s="292"/>
      <c r="VGU34" s="292"/>
      <c r="VGV34" s="292"/>
      <c r="VGW34" s="292"/>
      <c r="VGX34" s="292"/>
      <c r="VGY34" s="292"/>
      <c r="VGZ34" s="292"/>
      <c r="VHA34" s="292"/>
      <c r="VHB34" s="292"/>
      <c r="VHC34" s="292"/>
      <c r="VHD34" s="292"/>
      <c r="VHE34" s="292"/>
      <c r="VHF34" s="292"/>
      <c r="VHG34" s="292"/>
      <c r="VHH34" s="292"/>
      <c r="VHI34" s="292"/>
      <c r="VHJ34" s="292"/>
      <c r="VHK34" s="292"/>
      <c r="VHL34" s="292"/>
      <c r="VHM34" s="292"/>
      <c r="VHN34" s="292"/>
      <c r="VHO34" s="292"/>
      <c r="VHP34" s="292"/>
      <c r="VHQ34" s="292"/>
      <c r="VHR34" s="292"/>
      <c r="VHS34" s="292"/>
      <c r="VHT34" s="292"/>
      <c r="VHU34" s="292"/>
      <c r="VHV34" s="292"/>
      <c r="VHW34" s="292"/>
      <c r="VHX34" s="292"/>
      <c r="VHY34" s="292"/>
      <c r="VHZ34" s="292"/>
      <c r="VIA34" s="292"/>
      <c r="VIB34" s="292"/>
      <c r="VIC34" s="292"/>
      <c r="VID34" s="292"/>
      <c r="VIE34" s="292"/>
      <c r="VIF34" s="292"/>
      <c r="VIG34" s="292"/>
      <c r="VIH34" s="292"/>
      <c r="VII34" s="292"/>
      <c r="VIJ34" s="292"/>
      <c r="VIK34" s="292"/>
      <c r="VIL34" s="292"/>
      <c r="VIM34" s="292"/>
      <c r="VIN34" s="292"/>
      <c r="VIO34" s="292"/>
      <c r="VIP34" s="292"/>
      <c r="VIQ34" s="292"/>
      <c r="VIR34" s="292"/>
      <c r="VIS34" s="292"/>
      <c r="VIT34" s="292"/>
      <c r="VIU34" s="292"/>
      <c r="VIV34" s="292"/>
      <c r="VIW34" s="292"/>
      <c r="VIX34" s="292"/>
      <c r="VIY34" s="292"/>
      <c r="VIZ34" s="292"/>
      <c r="VJA34" s="292"/>
      <c r="VJB34" s="292"/>
      <c r="VJC34" s="292"/>
      <c r="VJD34" s="292"/>
      <c r="VJE34" s="292"/>
      <c r="VJF34" s="292"/>
      <c r="VJG34" s="292"/>
      <c r="VJH34" s="292"/>
      <c r="VJI34" s="292"/>
      <c r="VJJ34" s="292"/>
      <c r="VJK34" s="292"/>
      <c r="VJL34" s="292"/>
      <c r="VJM34" s="292"/>
      <c r="VJN34" s="292"/>
      <c r="VJO34" s="292"/>
      <c r="VJP34" s="292"/>
      <c r="VJQ34" s="292"/>
      <c r="VJR34" s="292"/>
      <c r="VJS34" s="292"/>
      <c r="VJT34" s="292"/>
      <c r="VJU34" s="292"/>
      <c r="VJV34" s="292"/>
      <c r="VJW34" s="292"/>
      <c r="VJX34" s="292"/>
      <c r="VJY34" s="292"/>
      <c r="VJZ34" s="292"/>
      <c r="VKA34" s="292"/>
      <c r="VKB34" s="292"/>
      <c r="VKC34" s="292"/>
      <c r="VKD34" s="292"/>
      <c r="VKE34" s="292"/>
      <c r="VKF34" s="292"/>
      <c r="VKG34" s="292"/>
      <c r="VKH34" s="292"/>
      <c r="VKI34" s="292"/>
      <c r="VKJ34" s="292"/>
      <c r="VKK34" s="292"/>
      <c r="VKL34" s="292"/>
      <c r="VKM34" s="292"/>
      <c r="VKN34" s="292"/>
      <c r="VKO34" s="292"/>
      <c r="VKP34" s="292"/>
      <c r="VKQ34" s="292"/>
      <c r="VKR34" s="292"/>
      <c r="VKS34" s="292"/>
      <c r="VKT34" s="292"/>
      <c r="VKU34" s="292"/>
      <c r="VKV34" s="292"/>
      <c r="VKW34" s="292"/>
      <c r="VKX34" s="292"/>
      <c r="VKY34" s="292"/>
      <c r="VKZ34" s="292"/>
      <c r="VLA34" s="292"/>
      <c r="VLB34" s="292"/>
      <c r="VLC34" s="292"/>
      <c r="VLD34" s="292"/>
      <c r="VLE34" s="292"/>
      <c r="VLF34" s="292"/>
      <c r="VLG34" s="292"/>
      <c r="VLH34" s="292"/>
      <c r="VLI34" s="292"/>
      <c r="VLJ34" s="292"/>
      <c r="VLK34" s="292"/>
      <c r="VLL34" s="292"/>
      <c r="VLM34" s="292"/>
      <c r="VLN34" s="292"/>
      <c r="VLO34" s="292"/>
      <c r="VLP34" s="292"/>
      <c r="VLQ34" s="292"/>
      <c r="VLR34" s="292"/>
      <c r="VLS34" s="292"/>
      <c r="VLT34" s="292"/>
      <c r="VLU34" s="292"/>
      <c r="VLV34" s="292"/>
      <c r="VLW34" s="292"/>
      <c r="VLX34" s="292"/>
      <c r="VLY34" s="292"/>
      <c r="VLZ34" s="292"/>
      <c r="VMA34" s="292"/>
      <c r="VMB34" s="292"/>
      <c r="VMC34" s="292"/>
      <c r="VMD34" s="292"/>
      <c r="VME34" s="292"/>
      <c r="VMF34" s="292"/>
      <c r="VMG34" s="292"/>
      <c r="VMH34" s="292"/>
      <c r="VMI34" s="292"/>
      <c r="VMJ34" s="292"/>
      <c r="VMK34" s="292"/>
      <c r="VML34" s="292"/>
      <c r="VMM34" s="292"/>
      <c r="VMN34" s="292"/>
      <c r="VMO34" s="292"/>
      <c r="VMP34" s="292"/>
      <c r="VMQ34" s="292"/>
      <c r="VMR34" s="292"/>
      <c r="VMS34" s="292"/>
      <c r="VMT34" s="292"/>
      <c r="VMU34" s="292"/>
      <c r="VMV34" s="292"/>
      <c r="VMW34" s="292"/>
      <c r="VMX34" s="292"/>
      <c r="VMY34" s="292"/>
      <c r="VMZ34" s="292"/>
      <c r="VNA34" s="292"/>
      <c r="VNB34" s="292"/>
      <c r="VNC34" s="292"/>
      <c r="VND34" s="292"/>
      <c r="VNE34" s="292"/>
      <c r="VNF34" s="292"/>
      <c r="VNG34" s="292"/>
      <c r="VNH34" s="292"/>
      <c r="VNI34" s="292"/>
      <c r="VNJ34" s="292"/>
      <c r="VNK34" s="292"/>
      <c r="VNL34" s="292"/>
      <c r="VNM34" s="292"/>
      <c r="VNN34" s="292"/>
      <c r="VNO34" s="292"/>
      <c r="VNP34" s="292"/>
      <c r="VNQ34" s="292"/>
      <c r="VNR34" s="292"/>
      <c r="VNS34" s="292"/>
      <c r="VNT34" s="292"/>
      <c r="VNU34" s="292"/>
      <c r="VNV34" s="292"/>
      <c r="VNW34" s="292"/>
      <c r="VNX34" s="292"/>
      <c r="VNY34" s="292"/>
      <c r="VNZ34" s="292"/>
      <c r="VOA34" s="292"/>
      <c r="VOB34" s="292"/>
      <c r="VOC34" s="292"/>
      <c r="VOD34" s="292"/>
      <c r="VOE34" s="292"/>
      <c r="VOF34" s="292"/>
      <c r="VOG34" s="292"/>
      <c r="VOH34" s="292"/>
      <c r="VOI34" s="292"/>
      <c r="VOJ34" s="292"/>
      <c r="VOK34" s="292"/>
      <c r="VOL34" s="292"/>
      <c r="VOM34" s="292"/>
      <c r="VON34" s="292"/>
      <c r="VOO34" s="292"/>
      <c r="VOP34" s="292"/>
      <c r="VOQ34" s="292"/>
      <c r="VOR34" s="292"/>
      <c r="VOS34" s="292"/>
      <c r="VOT34" s="292"/>
      <c r="VOU34" s="292"/>
      <c r="VOV34" s="292"/>
      <c r="VOW34" s="292"/>
      <c r="VOX34" s="292"/>
      <c r="VOY34" s="292"/>
      <c r="VOZ34" s="292"/>
      <c r="VPA34" s="292"/>
      <c r="VPB34" s="292"/>
      <c r="VPC34" s="292"/>
      <c r="VPD34" s="292"/>
      <c r="VPE34" s="292"/>
      <c r="VPF34" s="292"/>
      <c r="VPG34" s="292"/>
      <c r="VPH34" s="292"/>
      <c r="VPI34" s="292"/>
      <c r="VPJ34" s="292"/>
      <c r="VPK34" s="292"/>
      <c r="VPL34" s="292"/>
      <c r="VPM34" s="292"/>
      <c r="VPN34" s="292"/>
      <c r="VPO34" s="292"/>
      <c r="VPP34" s="292"/>
      <c r="VPQ34" s="292"/>
      <c r="VPR34" s="292"/>
      <c r="VPS34" s="292"/>
      <c r="VPT34" s="292"/>
      <c r="VPU34" s="292"/>
      <c r="VPV34" s="292"/>
      <c r="VPW34" s="292"/>
      <c r="VPX34" s="292"/>
      <c r="VPY34" s="292"/>
      <c r="VPZ34" s="292"/>
      <c r="VQA34" s="292"/>
      <c r="VQB34" s="292"/>
      <c r="VQC34" s="292"/>
      <c r="VQD34" s="292"/>
      <c r="VQE34" s="292"/>
      <c r="VQF34" s="292"/>
      <c r="VQG34" s="292"/>
      <c r="VQH34" s="292"/>
      <c r="VQI34" s="292"/>
      <c r="VQJ34" s="292"/>
      <c r="VQK34" s="292"/>
      <c r="VQL34" s="292"/>
      <c r="VQM34" s="292"/>
      <c r="VQN34" s="292"/>
      <c r="VQO34" s="292"/>
      <c r="VQP34" s="292"/>
      <c r="VQQ34" s="292"/>
      <c r="VQR34" s="292"/>
      <c r="VQS34" s="292"/>
      <c r="VQT34" s="292"/>
      <c r="VQU34" s="292"/>
      <c r="VQV34" s="292"/>
      <c r="VQW34" s="292"/>
      <c r="VQX34" s="292"/>
      <c r="VQY34" s="292"/>
      <c r="VQZ34" s="292"/>
      <c r="VRA34" s="292"/>
      <c r="VRB34" s="292"/>
      <c r="VRC34" s="292"/>
      <c r="VRD34" s="292"/>
      <c r="VRE34" s="292"/>
      <c r="VRF34" s="292"/>
      <c r="VRG34" s="292"/>
      <c r="VRH34" s="292"/>
      <c r="VRI34" s="292"/>
      <c r="VRJ34" s="292"/>
      <c r="VRK34" s="292"/>
      <c r="VRL34" s="292"/>
      <c r="VRM34" s="292"/>
      <c r="VRN34" s="292"/>
      <c r="VRO34" s="292"/>
      <c r="VRP34" s="292"/>
      <c r="VRQ34" s="292"/>
      <c r="VRR34" s="292"/>
      <c r="VRS34" s="292"/>
      <c r="VRT34" s="292"/>
      <c r="VRU34" s="292"/>
      <c r="VRV34" s="292"/>
      <c r="VRW34" s="292"/>
      <c r="VRX34" s="292"/>
      <c r="VRY34" s="292"/>
      <c r="VRZ34" s="292"/>
      <c r="VSA34" s="292"/>
      <c r="VSB34" s="292"/>
      <c r="VSC34" s="292"/>
      <c r="VSD34" s="292"/>
      <c r="VSE34" s="292"/>
      <c r="VSF34" s="292"/>
      <c r="VSG34" s="292"/>
      <c r="VSH34" s="292"/>
      <c r="VSI34" s="292"/>
      <c r="VSJ34" s="292"/>
      <c r="VSK34" s="292"/>
      <c r="VSL34" s="292"/>
      <c r="VSM34" s="292"/>
      <c r="VSN34" s="292"/>
      <c r="VSO34" s="292"/>
      <c r="VSP34" s="292"/>
      <c r="VSQ34" s="292"/>
      <c r="VSR34" s="292"/>
      <c r="VSS34" s="292"/>
      <c r="VST34" s="292"/>
      <c r="VSU34" s="292"/>
      <c r="VSV34" s="292"/>
      <c r="VSW34" s="292"/>
      <c r="VSX34" s="292"/>
      <c r="VSY34" s="292"/>
      <c r="VSZ34" s="292"/>
      <c r="VTA34" s="292"/>
      <c r="VTB34" s="292"/>
      <c r="VTC34" s="292"/>
      <c r="VTD34" s="292"/>
      <c r="VTE34" s="292"/>
      <c r="VTF34" s="292"/>
      <c r="VTG34" s="292"/>
      <c r="VTH34" s="292"/>
      <c r="VTI34" s="292"/>
      <c r="VTJ34" s="292"/>
      <c r="VTK34" s="292"/>
      <c r="VTL34" s="292"/>
      <c r="VTM34" s="292"/>
      <c r="VTN34" s="292"/>
      <c r="VTO34" s="292"/>
      <c r="VTP34" s="292"/>
      <c r="VTQ34" s="292"/>
      <c r="VTR34" s="292"/>
      <c r="VTS34" s="292"/>
      <c r="VTT34" s="292"/>
      <c r="VTU34" s="292"/>
      <c r="VTV34" s="292"/>
      <c r="VTW34" s="292"/>
      <c r="VTX34" s="292"/>
      <c r="VTY34" s="292"/>
      <c r="VTZ34" s="292"/>
      <c r="VUA34" s="292"/>
      <c r="VUB34" s="292"/>
      <c r="VUC34" s="292"/>
      <c r="VUD34" s="292"/>
      <c r="VUE34" s="292"/>
      <c r="VUF34" s="292"/>
      <c r="VUG34" s="292"/>
      <c r="VUH34" s="292"/>
      <c r="VUI34" s="292"/>
      <c r="VUJ34" s="292"/>
      <c r="VUK34" s="292"/>
      <c r="VUL34" s="292"/>
      <c r="VUM34" s="292"/>
      <c r="VUN34" s="292"/>
      <c r="VUO34" s="292"/>
      <c r="VUP34" s="292"/>
      <c r="VUQ34" s="292"/>
      <c r="VUR34" s="292"/>
      <c r="VUS34" s="292"/>
      <c r="VUT34" s="292"/>
      <c r="VUU34" s="292"/>
      <c r="VUV34" s="292"/>
      <c r="VUW34" s="292"/>
      <c r="VUX34" s="292"/>
      <c r="VUY34" s="292"/>
      <c r="VUZ34" s="292"/>
      <c r="VVA34" s="292"/>
      <c r="VVB34" s="292"/>
      <c r="VVC34" s="292"/>
      <c r="VVD34" s="292"/>
      <c r="VVE34" s="292"/>
      <c r="VVF34" s="292"/>
      <c r="VVG34" s="292"/>
      <c r="VVH34" s="292"/>
      <c r="VVI34" s="292"/>
      <c r="VVJ34" s="292"/>
      <c r="VVK34" s="292"/>
      <c r="VVL34" s="292"/>
      <c r="VVM34" s="292"/>
      <c r="VVN34" s="292"/>
      <c r="VVO34" s="292"/>
      <c r="VVP34" s="292"/>
      <c r="VVQ34" s="292"/>
      <c r="VVR34" s="292"/>
      <c r="VVS34" s="292"/>
      <c r="VVT34" s="292"/>
      <c r="VVU34" s="292"/>
      <c r="VVV34" s="292"/>
      <c r="VVW34" s="292"/>
      <c r="VVX34" s="292"/>
      <c r="VVY34" s="292"/>
      <c r="VVZ34" s="292"/>
      <c r="VWA34" s="292"/>
      <c r="VWB34" s="292"/>
      <c r="VWC34" s="292"/>
      <c r="VWD34" s="292"/>
      <c r="VWE34" s="292"/>
      <c r="VWF34" s="292"/>
      <c r="VWG34" s="292"/>
      <c r="VWH34" s="292"/>
      <c r="VWI34" s="292"/>
      <c r="VWJ34" s="292"/>
      <c r="VWK34" s="292"/>
      <c r="VWL34" s="292"/>
      <c r="VWM34" s="292"/>
      <c r="VWN34" s="292"/>
      <c r="VWO34" s="292"/>
      <c r="VWP34" s="292"/>
      <c r="VWQ34" s="292"/>
      <c r="VWR34" s="292"/>
      <c r="VWS34" s="292"/>
      <c r="VWT34" s="292"/>
      <c r="VWU34" s="292"/>
      <c r="VWV34" s="292"/>
      <c r="VWW34" s="292"/>
      <c r="VWX34" s="292"/>
      <c r="VWY34" s="292"/>
      <c r="VWZ34" s="292"/>
      <c r="VXA34" s="292"/>
      <c r="VXB34" s="292"/>
      <c r="VXC34" s="292"/>
      <c r="VXD34" s="292"/>
      <c r="VXE34" s="292"/>
      <c r="VXF34" s="292"/>
      <c r="VXG34" s="292"/>
      <c r="VXH34" s="292"/>
      <c r="VXI34" s="292"/>
      <c r="VXJ34" s="292"/>
      <c r="VXK34" s="292"/>
      <c r="VXL34" s="292"/>
      <c r="VXM34" s="292"/>
      <c r="VXN34" s="292"/>
      <c r="VXO34" s="292"/>
      <c r="VXP34" s="292"/>
      <c r="VXQ34" s="292"/>
      <c r="VXR34" s="292"/>
      <c r="VXS34" s="292"/>
      <c r="VXT34" s="292"/>
      <c r="VXU34" s="292"/>
      <c r="VXV34" s="292"/>
      <c r="VXW34" s="292"/>
      <c r="VXX34" s="292"/>
      <c r="VXY34" s="292"/>
      <c r="VXZ34" s="292"/>
      <c r="VYA34" s="292"/>
      <c r="VYB34" s="292"/>
      <c r="VYC34" s="292"/>
      <c r="VYD34" s="292"/>
      <c r="VYE34" s="292"/>
      <c r="VYF34" s="292"/>
      <c r="VYG34" s="292"/>
      <c r="VYH34" s="292"/>
      <c r="VYI34" s="292"/>
      <c r="VYJ34" s="292"/>
      <c r="VYK34" s="292"/>
      <c r="VYL34" s="292"/>
      <c r="VYM34" s="292"/>
      <c r="VYN34" s="292"/>
      <c r="VYO34" s="292"/>
      <c r="VYP34" s="292"/>
      <c r="VYQ34" s="292"/>
      <c r="VYR34" s="292"/>
      <c r="VYS34" s="292"/>
      <c r="VYT34" s="292"/>
      <c r="VYU34" s="292"/>
      <c r="VYV34" s="292"/>
      <c r="VYW34" s="292"/>
      <c r="VYX34" s="292"/>
      <c r="VYY34" s="292"/>
      <c r="VYZ34" s="292"/>
      <c r="VZA34" s="292"/>
      <c r="VZB34" s="292"/>
      <c r="VZC34" s="292"/>
      <c r="VZD34" s="292"/>
      <c r="VZE34" s="292"/>
      <c r="VZF34" s="292"/>
      <c r="VZG34" s="292"/>
      <c r="VZH34" s="292"/>
      <c r="VZI34" s="292"/>
      <c r="VZJ34" s="292"/>
      <c r="VZK34" s="292"/>
      <c r="VZL34" s="292"/>
      <c r="VZM34" s="292"/>
      <c r="VZN34" s="292"/>
      <c r="VZO34" s="292"/>
      <c r="VZP34" s="292"/>
      <c r="VZQ34" s="292"/>
      <c r="VZR34" s="292"/>
      <c r="VZS34" s="292"/>
      <c r="VZT34" s="292"/>
      <c r="VZU34" s="292"/>
      <c r="VZV34" s="292"/>
      <c r="VZW34" s="292"/>
      <c r="VZX34" s="292"/>
      <c r="VZY34" s="292"/>
      <c r="VZZ34" s="292"/>
      <c r="WAA34" s="292"/>
      <c r="WAB34" s="292"/>
      <c r="WAC34" s="292"/>
      <c r="WAD34" s="292"/>
      <c r="WAE34" s="292"/>
      <c r="WAF34" s="292"/>
      <c r="WAG34" s="292"/>
      <c r="WAH34" s="292"/>
      <c r="WAI34" s="292"/>
      <c r="WAJ34" s="292"/>
      <c r="WAK34" s="292"/>
      <c r="WAL34" s="292"/>
      <c r="WAM34" s="292"/>
      <c r="WAN34" s="292"/>
      <c r="WAO34" s="292"/>
      <c r="WAP34" s="292"/>
      <c r="WAQ34" s="292"/>
      <c r="WAR34" s="292"/>
      <c r="WAS34" s="292"/>
      <c r="WAT34" s="292"/>
      <c r="WAU34" s="292"/>
      <c r="WAV34" s="292"/>
      <c r="WAW34" s="292"/>
      <c r="WAX34" s="292"/>
      <c r="WAY34" s="292"/>
      <c r="WAZ34" s="292"/>
      <c r="WBA34" s="292"/>
      <c r="WBB34" s="292"/>
      <c r="WBC34" s="292"/>
      <c r="WBD34" s="292"/>
      <c r="WBE34" s="292"/>
      <c r="WBF34" s="292"/>
      <c r="WBG34" s="292"/>
      <c r="WBH34" s="292"/>
      <c r="WBI34" s="292"/>
      <c r="WBJ34" s="292"/>
      <c r="WBK34" s="292"/>
      <c r="WBL34" s="292"/>
      <c r="WBM34" s="292"/>
      <c r="WBN34" s="292"/>
      <c r="WBO34" s="292"/>
      <c r="WBP34" s="292"/>
      <c r="WBQ34" s="292"/>
      <c r="WBR34" s="292"/>
      <c r="WBS34" s="292"/>
      <c r="WBT34" s="292"/>
      <c r="WBU34" s="292"/>
      <c r="WBV34" s="292"/>
      <c r="WBW34" s="292"/>
      <c r="WBX34" s="292"/>
      <c r="WBY34" s="292"/>
      <c r="WBZ34" s="292"/>
      <c r="WCA34" s="292"/>
      <c r="WCB34" s="292"/>
      <c r="WCC34" s="292"/>
      <c r="WCD34" s="292"/>
      <c r="WCE34" s="292"/>
      <c r="WCF34" s="292"/>
      <c r="WCG34" s="292"/>
      <c r="WCH34" s="292"/>
      <c r="WCI34" s="292"/>
      <c r="WCJ34" s="292"/>
      <c r="WCK34" s="292"/>
      <c r="WCL34" s="292"/>
      <c r="WCM34" s="292"/>
      <c r="WCN34" s="292"/>
      <c r="WCO34" s="292"/>
      <c r="WCP34" s="292"/>
      <c r="WCQ34" s="292"/>
      <c r="WCR34" s="292"/>
      <c r="WCS34" s="292"/>
      <c r="WCT34" s="292"/>
      <c r="WCU34" s="292"/>
      <c r="WCV34" s="292"/>
      <c r="WCW34" s="292"/>
      <c r="WCX34" s="292"/>
      <c r="WCY34" s="292"/>
      <c r="WCZ34" s="292"/>
      <c r="WDA34" s="292"/>
      <c r="WDB34" s="292"/>
      <c r="WDC34" s="292"/>
      <c r="WDD34" s="292"/>
      <c r="WDE34" s="292"/>
      <c r="WDF34" s="292"/>
      <c r="WDG34" s="292"/>
      <c r="WDH34" s="292"/>
      <c r="WDI34" s="292"/>
      <c r="WDJ34" s="292"/>
      <c r="WDK34" s="292"/>
      <c r="WDL34" s="292"/>
      <c r="WDM34" s="292"/>
      <c r="WDN34" s="292"/>
      <c r="WDO34" s="292"/>
      <c r="WDP34" s="292"/>
      <c r="WDQ34" s="292"/>
      <c r="WDR34" s="292"/>
      <c r="WDS34" s="292"/>
      <c r="WDT34" s="292"/>
      <c r="WDU34" s="292"/>
      <c r="WDV34" s="292"/>
      <c r="WDW34" s="292"/>
      <c r="WDX34" s="292"/>
      <c r="WDY34" s="292"/>
      <c r="WDZ34" s="292"/>
      <c r="WEA34" s="292"/>
      <c r="WEB34" s="292"/>
      <c r="WEC34" s="292"/>
      <c r="WED34" s="292"/>
      <c r="WEE34" s="292"/>
      <c r="WEF34" s="292"/>
      <c r="WEG34" s="292"/>
      <c r="WEH34" s="292"/>
      <c r="WEI34" s="292"/>
      <c r="WEJ34" s="292"/>
      <c r="WEK34" s="292"/>
      <c r="WEL34" s="292"/>
      <c r="WEM34" s="292"/>
      <c r="WEN34" s="292"/>
      <c r="WEO34" s="292"/>
      <c r="WEP34" s="292"/>
      <c r="WEQ34" s="292"/>
      <c r="WER34" s="292"/>
      <c r="WES34" s="292"/>
      <c r="WET34" s="292"/>
      <c r="WEU34" s="292"/>
      <c r="WEV34" s="292"/>
      <c r="WEW34" s="292"/>
      <c r="WEX34" s="292"/>
      <c r="WEY34" s="292"/>
      <c r="WEZ34" s="292"/>
      <c r="WFA34" s="292"/>
      <c r="WFB34" s="292"/>
      <c r="WFC34" s="292"/>
      <c r="WFD34" s="292"/>
      <c r="WFE34" s="292"/>
      <c r="WFF34" s="292"/>
      <c r="WFG34" s="292"/>
      <c r="WFH34" s="292"/>
      <c r="WFI34" s="292"/>
      <c r="WFJ34" s="292"/>
      <c r="WFK34" s="292"/>
      <c r="WFL34" s="292"/>
      <c r="WFM34" s="292"/>
      <c r="WFN34" s="292"/>
      <c r="WFO34" s="292"/>
      <c r="WFP34" s="292"/>
      <c r="WFQ34" s="292"/>
      <c r="WFR34" s="292"/>
      <c r="WFS34" s="292"/>
      <c r="WFT34" s="292"/>
      <c r="WFU34" s="292"/>
      <c r="WFV34" s="292"/>
      <c r="WFW34" s="292"/>
      <c r="WFX34" s="292"/>
      <c r="WFY34" s="292"/>
      <c r="WFZ34" s="292"/>
      <c r="WGA34" s="292"/>
      <c r="WGB34" s="292"/>
      <c r="WGC34" s="292"/>
      <c r="WGD34" s="292"/>
      <c r="WGE34" s="292"/>
      <c r="WGF34" s="292"/>
      <c r="WGG34" s="292"/>
      <c r="WGH34" s="292"/>
      <c r="WGI34" s="292"/>
      <c r="WGJ34" s="292"/>
      <c r="WGK34" s="292"/>
      <c r="WGL34" s="292"/>
      <c r="WGM34" s="292"/>
      <c r="WGN34" s="292"/>
      <c r="WGO34" s="292"/>
      <c r="WGP34" s="292"/>
      <c r="WGQ34" s="292"/>
      <c r="WGR34" s="292"/>
      <c r="WGS34" s="292"/>
      <c r="WGT34" s="292"/>
      <c r="WGU34" s="292"/>
      <c r="WGV34" s="292"/>
      <c r="WGW34" s="292"/>
      <c r="WGX34" s="292"/>
      <c r="WGY34" s="292"/>
      <c r="WGZ34" s="292"/>
      <c r="WHA34" s="292"/>
      <c r="WHB34" s="292"/>
      <c r="WHC34" s="292"/>
      <c r="WHD34" s="292"/>
      <c r="WHE34" s="292"/>
      <c r="WHF34" s="292"/>
      <c r="WHG34" s="292"/>
      <c r="WHH34" s="292"/>
      <c r="WHI34" s="292"/>
      <c r="WHJ34" s="292"/>
      <c r="WHK34" s="292"/>
      <c r="WHL34" s="292"/>
      <c r="WHM34" s="292"/>
      <c r="WHN34" s="292"/>
      <c r="WHO34" s="292"/>
      <c r="WHP34" s="292"/>
      <c r="WHQ34" s="292"/>
      <c r="WHR34" s="292"/>
      <c r="WHS34" s="292"/>
      <c r="WHT34" s="292"/>
      <c r="WHU34" s="292"/>
      <c r="WHV34" s="292"/>
      <c r="WHW34" s="292"/>
      <c r="WHX34" s="292"/>
      <c r="WHY34" s="292"/>
      <c r="WHZ34" s="292"/>
      <c r="WIA34" s="292"/>
      <c r="WIB34" s="292"/>
      <c r="WIC34" s="292"/>
      <c r="WID34" s="292"/>
      <c r="WIE34" s="292"/>
      <c r="WIF34" s="292"/>
      <c r="WIG34" s="292"/>
      <c r="WIH34" s="292"/>
      <c r="WII34" s="292"/>
      <c r="WIJ34" s="292"/>
      <c r="WIK34" s="292"/>
      <c r="WIL34" s="292"/>
      <c r="WIM34" s="292"/>
      <c r="WIN34" s="292"/>
      <c r="WIO34" s="292"/>
      <c r="WIP34" s="292"/>
      <c r="WIQ34" s="292"/>
      <c r="WIR34" s="292"/>
      <c r="WIS34" s="292"/>
      <c r="WIT34" s="292"/>
      <c r="WIU34" s="292"/>
      <c r="WIV34" s="292"/>
      <c r="WIW34" s="292"/>
      <c r="WIX34" s="292"/>
      <c r="WIY34" s="292"/>
      <c r="WIZ34" s="292"/>
      <c r="WJA34" s="292"/>
      <c r="WJB34" s="292"/>
      <c r="WJC34" s="292"/>
      <c r="WJD34" s="292"/>
      <c r="WJE34" s="292"/>
      <c r="WJF34" s="292"/>
      <c r="WJG34" s="292"/>
      <c r="WJH34" s="292"/>
      <c r="WJI34" s="292"/>
      <c r="WJJ34" s="292"/>
      <c r="WJK34" s="292"/>
      <c r="WJL34" s="292"/>
      <c r="WJM34" s="292"/>
      <c r="WJN34" s="292"/>
      <c r="WJO34" s="292"/>
      <c r="WJP34" s="292"/>
      <c r="WJQ34" s="292"/>
      <c r="WJR34" s="292"/>
      <c r="WJS34" s="292"/>
      <c r="WJT34" s="292"/>
      <c r="WJU34" s="292"/>
      <c r="WJV34" s="292"/>
      <c r="WJW34" s="292"/>
      <c r="WJX34" s="292"/>
      <c r="WJY34" s="292"/>
      <c r="WJZ34" s="292"/>
      <c r="WKA34" s="292"/>
      <c r="WKB34" s="292"/>
      <c r="WKC34" s="292"/>
      <c r="WKD34" s="292"/>
      <c r="WKE34" s="292"/>
      <c r="WKF34" s="292"/>
      <c r="WKG34" s="292"/>
      <c r="WKH34" s="292"/>
      <c r="WKI34" s="292"/>
      <c r="WKJ34" s="292"/>
      <c r="WKK34" s="292"/>
      <c r="WKL34" s="292"/>
      <c r="WKM34" s="292"/>
      <c r="WKN34" s="292"/>
      <c r="WKO34" s="292"/>
      <c r="WKP34" s="292"/>
      <c r="WKQ34" s="292"/>
      <c r="WKR34" s="292"/>
      <c r="WKS34" s="292"/>
      <c r="WKT34" s="292"/>
      <c r="WKU34" s="292"/>
      <c r="WKV34" s="292"/>
      <c r="WKW34" s="292"/>
      <c r="WKX34" s="292"/>
      <c r="WKY34" s="292"/>
      <c r="WKZ34" s="292"/>
      <c r="WLA34" s="292"/>
      <c r="WLB34" s="292"/>
      <c r="WLC34" s="292"/>
      <c r="WLD34" s="292"/>
      <c r="WLE34" s="292"/>
      <c r="WLF34" s="292"/>
      <c r="WLG34" s="292"/>
      <c r="WLH34" s="292"/>
      <c r="WLI34" s="292"/>
      <c r="WLJ34" s="292"/>
      <c r="WLK34" s="292"/>
      <c r="WLL34" s="292"/>
      <c r="WLM34" s="292"/>
      <c r="WLN34" s="292"/>
      <c r="WLO34" s="292"/>
      <c r="WLP34" s="292"/>
      <c r="WLQ34" s="292"/>
      <c r="WLR34" s="292"/>
      <c r="WLS34" s="292"/>
      <c r="WLT34" s="292"/>
      <c r="WLU34" s="292"/>
      <c r="WLV34" s="292"/>
      <c r="WLW34" s="292"/>
      <c r="WLX34" s="292"/>
      <c r="WLY34" s="292"/>
      <c r="WLZ34" s="292"/>
      <c r="WMA34" s="292"/>
      <c r="WMB34" s="292"/>
      <c r="WMC34" s="292"/>
      <c r="WMD34" s="292"/>
      <c r="WME34" s="292"/>
      <c r="WMF34" s="292"/>
      <c r="WMG34" s="292"/>
      <c r="WMH34" s="292"/>
      <c r="WMI34" s="292"/>
      <c r="WMJ34" s="292"/>
      <c r="WMK34" s="292"/>
      <c r="WML34" s="292"/>
      <c r="WMM34" s="292"/>
      <c r="WMN34" s="292"/>
      <c r="WMO34" s="292"/>
      <c r="WMP34" s="292"/>
      <c r="WMQ34" s="292"/>
      <c r="WMR34" s="292"/>
      <c r="WMS34" s="292"/>
      <c r="WMT34" s="292"/>
      <c r="WMU34" s="292"/>
      <c r="WMV34" s="292"/>
      <c r="WMW34" s="292"/>
      <c r="WMX34" s="292"/>
      <c r="WMY34" s="292"/>
      <c r="WMZ34" s="292"/>
      <c r="WNA34" s="292"/>
      <c r="WNB34" s="292"/>
      <c r="WNC34" s="292"/>
      <c r="WND34" s="292"/>
      <c r="WNE34" s="292"/>
      <c r="WNF34" s="292"/>
      <c r="WNG34" s="292"/>
      <c r="WNH34" s="292"/>
      <c r="WNI34" s="292"/>
      <c r="WNJ34" s="292"/>
      <c r="WNK34" s="292"/>
      <c r="WNL34" s="292"/>
      <c r="WNM34" s="292"/>
      <c r="WNN34" s="292"/>
      <c r="WNO34" s="292"/>
      <c r="WNP34" s="292"/>
      <c r="WNQ34" s="292"/>
      <c r="WNR34" s="292"/>
      <c r="WNS34" s="292"/>
      <c r="WNT34" s="292"/>
      <c r="WNU34" s="292"/>
      <c r="WNV34" s="292"/>
      <c r="WNW34" s="292"/>
      <c r="WNX34" s="292"/>
      <c r="WNY34" s="292"/>
      <c r="WNZ34" s="292"/>
      <c r="WOA34" s="292"/>
      <c r="WOB34" s="292"/>
      <c r="WOC34" s="292"/>
      <c r="WOD34" s="292"/>
      <c r="WOE34" s="292"/>
      <c r="WOF34" s="292"/>
      <c r="WOG34" s="292"/>
      <c r="WOH34" s="292"/>
      <c r="WOI34" s="292"/>
      <c r="WOJ34" s="292"/>
      <c r="WOK34" s="292"/>
      <c r="WOL34" s="292"/>
      <c r="WOM34" s="292"/>
      <c r="WON34" s="292"/>
      <c r="WOO34" s="292"/>
      <c r="WOP34" s="292"/>
      <c r="WOQ34" s="292"/>
      <c r="WOR34" s="292"/>
      <c r="WOS34" s="292"/>
      <c r="WOT34" s="292"/>
      <c r="WOU34" s="292"/>
      <c r="WOV34" s="292"/>
      <c r="WOW34" s="292"/>
      <c r="WOX34" s="292"/>
      <c r="WOY34" s="292"/>
      <c r="WOZ34" s="292"/>
      <c r="WPA34" s="292"/>
      <c r="WPB34" s="292"/>
      <c r="WPC34" s="292"/>
      <c r="WPD34" s="292"/>
      <c r="WPE34" s="292"/>
      <c r="WPF34" s="292"/>
      <c r="WPG34" s="292"/>
      <c r="WPH34" s="292"/>
      <c r="WPI34" s="292"/>
      <c r="WPJ34" s="292"/>
      <c r="WPK34" s="292"/>
      <c r="WPL34" s="292"/>
      <c r="WPM34" s="292"/>
      <c r="WPN34" s="292"/>
      <c r="WPO34" s="292"/>
      <c r="WPP34" s="292"/>
      <c r="WPQ34" s="292"/>
      <c r="WPR34" s="292"/>
      <c r="WPS34" s="292"/>
      <c r="WPT34" s="292"/>
      <c r="WPU34" s="292"/>
      <c r="WPV34" s="292"/>
      <c r="WPW34" s="292"/>
      <c r="WPX34" s="292"/>
      <c r="WPY34" s="292"/>
      <c r="WPZ34" s="292"/>
      <c r="WQA34" s="292"/>
      <c r="WQB34" s="292"/>
      <c r="WQC34" s="292"/>
      <c r="WQD34" s="292"/>
      <c r="WQE34" s="292"/>
      <c r="WQF34" s="292"/>
      <c r="WQG34" s="292"/>
      <c r="WQH34" s="292"/>
      <c r="WQI34" s="292"/>
      <c r="WQJ34" s="292"/>
      <c r="WQK34" s="292"/>
      <c r="WQL34" s="292"/>
      <c r="WQM34" s="292"/>
      <c r="WQN34" s="292"/>
      <c r="WQO34" s="292"/>
      <c r="WQP34" s="292"/>
      <c r="WQQ34" s="292"/>
      <c r="WQR34" s="292"/>
      <c r="WQS34" s="292"/>
      <c r="WQT34" s="292"/>
      <c r="WQU34" s="292"/>
      <c r="WQV34" s="292"/>
      <c r="WQW34" s="292"/>
      <c r="WQX34" s="292"/>
      <c r="WQY34" s="292"/>
      <c r="WQZ34" s="292"/>
      <c r="WRA34" s="292"/>
      <c r="WRB34" s="292"/>
      <c r="WRC34" s="292"/>
      <c r="WRD34" s="292"/>
      <c r="WRE34" s="292"/>
      <c r="WRF34" s="292"/>
      <c r="WRG34" s="292"/>
      <c r="WRH34" s="292"/>
      <c r="WRI34" s="292"/>
      <c r="WRJ34" s="292"/>
      <c r="WRK34" s="292"/>
      <c r="WRL34" s="292"/>
      <c r="WRM34" s="292"/>
      <c r="WRN34" s="292"/>
      <c r="WRO34" s="292"/>
      <c r="WRP34" s="292"/>
      <c r="WRQ34" s="292"/>
      <c r="WRR34" s="292"/>
      <c r="WRS34" s="292"/>
      <c r="WRT34" s="292"/>
      <c r="WRU34" s="292"/>
      <c r="WRV34" s="292"/>
      <c r="WRW34" s="292"/>
      <c r="WRX34" s="292"/>
      <c r="WRY34" s="292"/>
      <c r="WRZ34" s="292"/>
      <c r="WSA34" s="292"/>
      <c r="WSB34" s="292"/>
      <c r="WSC34" s="292"/>
      <c r="WSD34" s="292"/>
      <c r="WSE34" s="292"/>
      <c r="WSF34" s="292"/>
      <c r="WSG34" s="292"/>
      <c r="WSH34" s="292"/>
      <c r="WSI34" s="292"/>
      <c r="WSJ34" s="292"/>
      <c r="WSK34" s="292"/>
      <c r="WSL34" s="292"/>
      <c r="WSM34" s="292"/>
      <c r="WSN34" s="292"/>
      <c r="WSO34" s="292"/>
      <c r="WSP34" s="292"/>
      <c r="WSQ34" s="292"/>
      <c r="WSR34" s="292"/>
      <c r="WSS34" s="292"/>
      <c r="WST34" s="292"/>
      <c r="WSU34" s="292"/>
      <c r="WSV34" s="292"/>
      <c r="WSW34" s="292"/>
      <c r="WSX34" s="292"/>
      <c r="WSY34" s="292"/>
      <c r="WSZ34" s="292"/>
      <c r="WTA34" s="292"/>
      <c r="WTB34" s="292"/>
      <c r="WTC34" s="292"/>
      <c r="WTD34" s="292"/>
      <c r="WTE34" s="292"/>
      <c r="WTF34" s="292"/>
      <c r="WTG34" s="292"/>
      <c r="WTH34" s="292"/>
      <c r="WTI34" s="292"/>
      <c r="WTJ34" s="292"/>
      <c r="WTK34" s="292"/>
      <c r="WTL34" s="292"/>
      <c r="WTM34" s="292"/>
      <c r="WTN34" s="292"/>
      <c r="WTO34" s="292"/>
      <c r="WTP34" s="292"/>
      <c r="WTQ34" s="292"/>
      <c r="WTR34" s="292"/>
      <c r="WTS34" s="292"/>
      <c r="WTT34" s="292"/>
      <c r="WTU34" s="292"/>
      <c r="WTV34" s="292"/>
      <c r="WTW34" s="292"/>
      <c r="WTX34" s="292"/>
      <c r="WTY34" s="292"/>
      <c r="WTZ34" s="292"/>
      <c r="WUA34" s="292"/>
      <c r="WUB34" s="292"/>
      <c r="WUC34" s="292"/>
      <c r="WUD34" s="292"/>
      <c r="WUE34" s="292"/>
      <c r="WUF34" s="292"/>
      <c r="WUG34" s="292"/>
      <c r="WUH34" s="292"/>
      <c r="WUI34" s="292"/>
      <c r="WUJ34" s="292"/>
      <c r="WUK34" s="292"/>
      <c r="WUL34" s="292"/>
      <c r="WUM34" s="292"/>
      <c r="WUN34" s="292"/>
      <c r="WUO34" s="292"/>
      <c r="WUP34" s="292"/>
      <c r="WUQ34" s="292"/>
      <c r="WUR34" s="292"/>
      <c r="WUS34" s="292"/>
      <c r="WUT34" s="292"/>
      <c r="WUU34" s="292"/>
      <c r="WUV34" s="292"/>
      <c r="WUW34" s="292"/>
      <c r="WUX34" s="292"/>
      <c r="WUY34" s="292"/>
      <c r="WUZ34" s="292"/>
      <c r="WVA34" s="292"/>
      <c r="WVB34" s="292"/>
      <c r="WVC34" s="292"/>
      <c r="WVD34" s="292"/>
      <c r="WVE34" s="292"/>
      <c r="WVF34" s="292"/>
      <c r="WVG34" s="292"/>
      <c r="WVH34" s="292"/>
      <c r="WVI34" s="292"/>
      <c r="WVJ34" s="292"/>
      <c r="WVK34" s="292"/>
      <c r="WVL34" s="292"/>
      <c r="WVM34" s="292"/>
      <c r="WVN34" s="292"/>
      <c r="WVO34" s="292"/>
      <c r="WVP34" s="292"/>
      <c r="WVQ34" s="292"/>
      <c r="WVR34" s="292"/>
      <c r="WVS34" s="292"/>
      <c r="WVT34" s="292"/>
      <c r="WVU34" s="292"/>
      <c r="WVV34" s="292"/>
      <c r="WVW34" s="292"/>
      <c r="WVX34" s="292"/>
      <c r="WVY34" s="292"/>
      <c r="WVZ34" s="292"/>
      <c r="WWA34" s="292"/>
      <c r="WWB34" s="292"/>
      <c r="WWC34" s="292"/>
      <c r="WWD34" s="292"/>
      <c r="WWE34" s="292"/>
      <c r="WWF34" s="292"/>
      <c r="WWG34" s="292"/>
      <c r="WWH34" s="292"/>
      <c r="WWI34" s="292"/>
      <c r="WWJ34" s="292"/>
      <c r="WWK34" s="292"/>
      <c r="WWL34" s="292"/>
      <c r="WWM34" s="292"/>
      <c r="WWN34" s="292"/>
      <c r="WWO34" s="292"/>
      <c r="WWP34" s="292"/>
      <c r="WWQ34" s="292"/>
      <c r="WWR34" s="292"/>
      <c r="WWS34" s="292"/>
      <c r="WWT34" s="292"/>
      <c r="WWU34" s="292"/>
      <c r="WWV34" s="292"/>
      <c r="WWW34" s="292"/>
      <c r="WWX34" s="292"/>
      <c r="WWY34" s="292"/>
      <c r="WWZ34" s="292"/>
      <c r="WXA34" s="292"/>
      <c r="WXB34" s="292"/>
      <c r="WXC34" s="292"/>
      <c r="WXD34" s="292"/>
      <c r="WXE34" s="292"/>
      <c r="WXF34" s="292"/>
      <c r="WXG34" s="292"/>
      <c r="WXH34" s="292"/>
      <c r="WXI34" s="292"/>
      <c r="WXJ34" s="292"/>
      <c r="WXK34" s="292"/>
      <c r="WXL34" s="292"/>
      <c r="WXM34" s="292"/>
      <c r="WXN34" s="292"/>
      <c r="WXO34" s="292"/>
      <c r="WXP34" s="292"/>
      <c r="WXQ34" s="292"/>
      <c r="WXR34" s="292"/>
      <c r="WXS34" s="292"/>
      <c r="WXT34" s="292"/>
      <c r="WXU34" s="292"/>
      <c r="WXV34" s="292"/>
      <c r="WXW34" s="292"/>
      <c r="WXX34" s="292"/>
      <c r="WXY34" s="292"/>
      <c r="WXZ34" s="292"/>
      <c r="WYA34" s="292"/>
      <c r="WYB34" s="292"/>
      <c r="WYC34" s="292"/>
      <c r="WYD34" s="292"/>
      <c r="WYE34" s="292"/>
      <c r="WYF34" s="292"/>
      <c r="WYG34" s="292"/>
      <c r="WYH34" s="292"/>
      <c r="WYI34" s="292"/>
      <c r="WYJ34" s="292"/>
      <c r="WYK34" s="292"/>
      <c r="WYL34" s="292"/>
      <c r="WYM34" s="292"/>
      <c r="WYN34" s="292"/>
      <c r="WYO34" s="292"/>
      <c r="WYP34" s="292"/>
      <c r="WYQ34" s="292"/>
      <c r="WYR34" s="292"/>
      <c r="WYS34" s="292"/>
      <c r="WYT34" s="292"/>
      <c r="WYU34" s="292"/>
      <c r="WYV34" s="292"/>
      <c r="WYW34" s="292"/>
      <c r="WYX34" s="292"/>
      <c r="WYY34" s="292"/>
      <c r="WYZ34" s="292"/>
      <c r="WZA34" s="292"/>
      <c r="WZB34" s="292"/>
      <c r="WZC34" s="292"/>
      <c r="WZD34" s="292"/>
      <c r="WZE34" s="292"/>
      <c r="WZF34" s="292"/>
      <c r="WZG34" s="292"/>
      <c r="WZH34" s="292"/>
      <c r="WZI34" s="292"/>
      <c r="WZJ34" s="292"/>
      <c r="WZK34" s="292"/>
      <c r="WZL34" s="292"/>
      <c r="WZM34" s="292"/>
      <c r="WZN34" s="292"/>
      <c r="WZO34" s="292"/>
      <c r="WZP34" s="292"/>
      <c r="WZQ34" s="292"/>
      <c r="WZR34" s="292"/>
      <c r="WZS34" s="292"/>
      <c r="WZT34" s="292"/>
      <c r="WZU34" s="292"/>
      <c r="WZV34" s="292"/>
      <c r="WZW34" s="292"/>
      <c r="WZX34" s="292"/>
      <c r="WZY34" s="292"/>
      <c r="WZZ34" s="292"/>
      <c r="XAA34" s="292"/>
      <c r="XAB34" s="292"/>
      <c r="XAC34" s="292"/>
      <c r="XAD34" s="292"/>
      <c r="XAE34" s="292"/>
      <c r="XAF34" s="292"/>
      <c r="XAG34" s="292"/>
      <c r="XAH34" s="292"/>
      <c r="XAI34" s="292"/>
      <c r="XAJ34" s="292"/>
      <c r="XAK34" s="292"/>
      <c r="XAL34" s="292"/>
      <c r="XAM34" s="292"/>
      <c r="XAN34" s="292"/>
      <c r="XAO34" s="292"/>
      <c r="XAP34" s="292"/>
      <c r="XAQ34" s="292"/>
      <c r="XAR34" s="292"/>
      <c r="XAS34" s="292"/>
      <c r="XAT34" s="292"/>
      <c r="XAU34" s="292"/>
      <c r="XAV34" s="292"/>
      <c r="XAW34" s="292"/>
      <c r="XAX34" s="292"/>
      <c r="XAY34" s="292"/>
      <c r="XAZ34" s="292"/>
      <c r="XBA34" s="292"/>
      <c r="XBB34" s="292"/>
      <c r="XBC34" s="292"/>
      <c r="XBD34" s="292"/>
      <c r="XBE34" s="292"/>
      <c r="XBF34" s="292"/>
      <c r="XBG34" s="292"/>
      <c r="XBH34" s="292"/>
      <c r="XBI34" s="292"/>
      <c r="XBJ34" s="292"/>
      <c r="XBK34" s="292"/>
      <c r="XBL34" s="292"/>
      <c r="XBM34" s="292"/>
      <c r="XBN34" s="292"/>
      <c r="XBO34" s="292"/>
      <c r="XBP34" s="292"/>
      <c r="XBQ34" s="292"/>
      <c r="XBR34" s="292"/>
      <c r="XBS34" s="292"/>
      <c r="XBT34" s="292"/>
      <c r="XBU34" s="292"/>
      <c r="XBV34" s="292"/>
      <c r="XBW34" s="292"/>
      <c r="XBX34" s="292"/>
      <c r="XBY34" s="292"/>
      <c r="XBZ34" s="292"/>
      <c r="XCA34" s="292"/>
      <c r="XCB34" s="292"/>
      <c r="XCC34" s="292"/>
      <c r="XCD34" s="292"/>
      <c r="XCE34" s="292"/>
      <c r="XCF34" s="292"/>
      <c r="XCG34" s="292"/>
      <c r="XCH34" s="292"/>
      <c r="XCI34" s="292"/>
      <c r="XCJ34" s="292"/>
      <c r="XCK34" s="292"/>
      <c r="XCL34" s="292"/>
      <c r="XCM34" s="292"/>
      <c r="XCN34" s="292"/>
      <c r="XCO34" s="292"/>
      <c r="XCP34" s="292"/>
      <c r="XCQ34" s="292"/>
      <c r="XCR34" s="292"/>
      <c r="XCS34" s="292"/>
      <c r="XCT34" s="292"/>
      <c r="XCU34" s="292"/>
      <c r="XCV34" s="292"/>
      <c r="XCW34" s="292"/>
      <c r="XCX34" s="292"/>
      <c r="XCY34" s="292"/>
      <c r="XCZ34" s="292"/>
      <c r="XDA34" s="292"/>
      <c r="XDB34" s="292"/>
      <c r="XDC34" s="292"/>
      <c r="XDD34" s="292"/>
      <c r="XDE34" s="292"/>
      <c r="XDF34" s="292"/>
      <c r="XDG34" s="292"/>
      <c r="XDH34" s="292"/>
      <c r="XDI34" s="292"/>
      <c r="XDJ34" s="292"/>
      <c r="XDK34" s="292"/>
      <c r="XDL34" s="292"/>
      <c r="XDM34" s="292"/>
      <c r="XDN34" s="292"/>
      <c r="XDO34" s="292"/>
      <c r="XDP34" s="292"/>
      <c r="XDQ34" s="292"/>
      <c r="XDR34" s="292"/>
      <c r="XDS34" s="292"/>
      <c r="XDT34" s="292"/>
      <c r="XDU34" s="292"/>
      <c r="XDV34" s="292"/>
      <c r="XDW34" s="292"/>
      <c r="XDX34" s="292"/>
      <c r="XDY34" s="292"/>
      <c r="XDZ34" s="292"/>
      <c r="XEA34" s="292"/>
      <c r="XEB34" s="292"/>
      <c r="XEC34" s="292"/>
      <c r="XED34" s="292"/>
      <c r="XEE34" s="292"/>
      <c r="XEF34" s="292"/>
      <c r="XEG34" s="292"/>
      <c r="XEH34" s="292"/>
      <c r="XEI34" s="292"/>
      <c r="XEJ34" s="292"/>
      <c r="XEK34" s="292"/>
      <c r="XEL34" s="292"/>
      <c r="XEM34" s="292"/>
      <c r="XEN34" s="292"/>
      <c r="XEO34" s="292"/>
      <c r="XEP34" s="292"/>
      <c r="XEQ34" s="292"/>
      <c r="XER34" s="292"/>
      <c r="XES34" s="292"/>
      <c r="XET34" s="292"/>
      <c r="XEU34" s="292"/>
      <c r="XEV34" s="292"/>
      <c r="XEW34" s="292"/>
      <c r="XEX34" s="292"/>
      <c r="XEY34" s="292"/>
      <c r="XEZ34" s="292"/>
      <c r="XFA34" s="292"/>
      <c r="XFB34" s="292"/>
      <c r="XFC34" s="292"/>
      <c r="XFD34" s="292"/>
    </row>
    <row r="35" ht="15.75" customHeight="1">
      <c r="A35" s="292"/>
      <c r="B35" s="292"/>
      <c r="C35" s="292"/>
      <c r="D35" s="292"/>
      <c r="E35" s="292"/>
      <c r="F35" s="292"/>
      <c r="G35" s="292"/>
      <c r="H35" s="292"/>
      <c r="I35" s="292"/>
      <c r="J35" s="292"/>
      <c r="K35" s="292"/>
      <c r="L35" s="292"/>
      <c r="M35" s="292"/>
      <c r="N35" s="292"/>
      <c r="O35" s="292"/>
      <c r="P35" s="292"/>
      <c r="Q35" s="292"/>
      <c r="R35" s="292"/>
      <c r="S35" s="292"/>
      <c r="T35" s="292"/>
      <c r="U35" s="292"/>
      <c r="V35" s="292"/>
      <c r="W35" s="292"/>
      <c r="X35" s="292"/>
      <c r="Y35" s="292"/>
      <c r="Z35" s="292"/>
      <c r="AA35" s="292"/>
      <c r="AB35" s="292"/>
      <c r="AC35" s="292"/>
      <c r="AD35" s="292"/>
      <c r="AE35" s="292"/>
      <c r="AF35" s="292"/>
      <c r="AG35" s="292"/>
      <c r="AH35" s="292"/>
      <c r="AI35" s="292"/>
      <c r="AJ35" s="292"/>
      <c r="AK35" s="292"/>
      <c r="AL35" s="292"/>
      <c r="AM35" s="292"/>
      <c r="AN35" s="292"/>
      <c r="AO35" s="292"/>
      <c r="AP35" s="292"/>
      <c r="AQ35" s="292"/>
      <c r="AR35" s="292"/>
      <c r="AS35" s="292"/>
      <c r="AT35" s="292"/>
      <c r="AU35" s="292"/>
      <c r="AV35" s="292"/>
      <c r="AW35" s="292"/>
      <c r="AX35" s="292"/>
      <c r="AY35" s="292"/>
      <c r="AZ35" s="292"/>
      <c r="BA35" s="292"/>
      <c r="BB35" s="292"/>
      <c r="BC35" s="292"/>
      <c r="BD35" s="292"/>
      <c r="BE35" s="292"/>
      <c r="BF35" s="292"/>
      <c r="BG35" s="292"/>
      <c r="BH35" s="292"/>
      <c r="BI35" s="292"/>
      <c r="BJ35" s="292"/>
      <c r="BK35" s="292"/>
      <c r="BL35" s="292"/>
      <c r="BM35" s="292"/>
      <c r="BN35" s="292"/>
      <c r="BO35" s="292"/>
      <c r="BP35" s="292"/>
      <c r="BQ35" s="292"/>
      <c r="BR35" s="292"/>
      <c r="BS35" s="292"/>
      <c r="BT35" s="292"/>
      <c r="BU35" s="292"/>
      <c r="BV35" s="292"/>
      <c r="BW35" s="292"/>
      <c r="BX35" s="292"/>
      <c r="BY35" s="292"/>
      <c r="BZ35" s="292"/>
      <c r="CA35" s="292"/>
      <c r="CB35" s="292"/>
      <c r="CC35" s="292"/>
      <c r="CD35" s="292"/>
      <c r="CE35" s="292"/>
      <c r="CF35" s="292"/>
      <c r="CG35" s="292"/>
      <c r="CH35" s="292"/>
      <c r="CI35" s="292"/>
      <c r="CJ35" s="292"/>
      <c r="CK35" s="292"/>
      <c r="CL35" s="292"/>
      <c r="CM35" s="292"/>
      <c r="CN35" s="292"/>
      <c r="CO35" s="292"/>
      <c r="CP35" s="292"/>
      <c r="CQ35" s="292"/>
      <c r="CR35" s="292"/>
      <c r="CS35" s="292"/>
      <c r="CT35" s="292"/>
      <c r="CU35" s="292"/>
      <c r="CV35" s="292"/>
      <c r="CW35" s="292"/>
      <c r="CX35" s="292"/>
      <c r="CY35" s="292"/>
      <c r="CZ35" s="292"/>
      <c r="DA35" s="292"/>
      <c r="DB35" s="292"/>
      <c r="DC35" s="292"/>
      <c r="DD35" s="292"/>
      <c r="DE35" s="292"/>
      <c r="DF35" s="292"/>
      <c r="DG35" s="292"/>
      <c r="DH35" s="292"/>
      <c r="DI35" s="292"/>
      <c r="DJ35" s="292"/>
      <c r="DK35" s="292"/>
      <c r="DL35" s="292"/>
      <c r="DM35" s="292"/>
      <c r="DN35" s="292"/>
      <c r="DO35" s="292"/>
      <c r="DP35" s="292"/>
      <c r="DQ35" s="292"/>
      <c r="DR35" s="292"/>
      <c r="DS35" s="292"/>
      <c r="DT35" s="292"/>
      <c r="DU35" s="292"/>
      <c r="DV35" s="292"/>
      <c r="DW35" s="292"/>
      <c r="DX35" s="292"/>
      <c r="DY35" s="292"/>
      <c r="DZ35" s="292"/>
      <c r="EA35" s="292"/>
      <c r="EB35" s="292"/>
      <c r="EC35" s="292"/>
      <c r="ED35" s="292"/>
      <c r="EE35" s="292"/>
      <c r="EF35" s="292"/>
      <c r="EG35" s="292"/>
      <c r="EH35" s="292"/>
      <c r="EI35" s="292"/>
      <c r="EJ35" s="292"/>
      <c r="EK35" s="292"/>
      <c r="EL35" s="292"/>
      <c r="EM35" s="292"/>
      <c r="EN35" s="292"/>
      <c r="EO35" s="292"/>
      <c r="EP35" s="292"/>
      <c r="EQ35" s="292"/>
      <c r="ER35" s="292"/>
      <c r="ES35" s="292"/>
      <c r="ET35" s="292"/>
      <c r="EU35" s="292"/>
      <c r="EV35" s="292"/>
      <c r="EW35" s="292"/>
      <c r="EX35" s="292"/>
      <c r="EY35" s="292"/>
      <c r="EZ35" s="292"/>
      <c r="FA35" s="292"/>
      <c r="FB35" s="292"/>
      <c r="FC35" s="292"/>
      <c r="FD35" s="292"/>
      <c r="FE35" s="292"/>
      <c r="FF35" s="292"/>
      <c r="FG35" s="292"/>
      <c r="FH35" s="292"/>
      <c r="FI35" s="292"/>
      <c r="FJ35" s="292"/>
      <c r="FK35" s="292"/>
      <c r="FL35" s="292"/>
      <c r="FM35" s="292"/>
      <c r="FN35" s="292"/>
      <c r="FO35" s="292"/>
      <c r="FP35" s="292"/>
      <c r="FQ35" s="292"/>
      <c r="FR35" s="292"/>
      <c r="FS35" s="292"/>
      <c r="FT35" s="292"/>
      <c r="FU35" s="292"/>
      <c r="FV35" s="292"/>
      <c r="FW35" s="292"/>
      <c r="FX35" s="292"/>
      <c r="FY35" s="292"/>
      <c r="FZ35" s="292"/>
      <c r="GA35" s="292"/>
      <c r="GB35" s="292"/>
      <c r="GC35" s="292"/>
      <c r="GD35" s="292"/>
      <c r="GE35" s="292"/>
      <c r="GF35" s="292"/>
      <c r="GG35" s="292"/>
      <c r="GH35" s="292"/>
      <c r="GI35" s="292"/>
      <c r="GJ35" s="292"/>
      <c r="GK35" s="292"/>
      <c r="GL35" s="292"/>
      <c r="GM35" s="292"/>
      <c r="GN35" s="292"/>
      <c r="GO35" s="292"/>
      <c r="GP35" s="292"/>
      <c r="GQ35" s="292"/>
      <c r="GR35" s="292"/>
      <c r="GS35" s="292"/>
      <c r="GT35" s="292"/>
      <c r="GU35" s="292"/>
      <c r="GV35" s="292"/>
      <c r="GW35" s="292"/>
      <c r="GX35" s="292"/>
      <c r="GY35" s="292"/>
      <c r="GZ35" s="292"/>
      <c r="HA35" s="292"/>
      <c r="HB35" s="292"/>
      <c r="HC35" s="292"/>
      <c r="HD35" s="292"/>
      <c r="HE35" s="292"/>
      <c r="HF35" s="292"/>
      <c r="HG35" s="292"/>
      <c r="HH35" s="292"/>
      <c r="HI35" s="292"/>
      <c r="HJ35" s="292"/>
      <c r="HK35" s="292"/>
      <c r="HL35" s="292"/>
      <c r="HM35" s="292"/>
      <c r="HN35" s="292"/>
      <c r="HO35" s="292"/>
      <c r="HP35" s="292"/>
      <c r="HQ35" s="292"/>
      <c r="HR35" s="292"/>
      <c r="HS35" s="292"/>
      <c r="HT35" s="292"/>
      <c r="HU35" s="292"/>
      <c r="HV35" s="292"/>
      <c r="HW35" s="292"/>
      <c r="HX35" s="292"/>
      <c r="HY35" s="292"/>
      <c r="HZ35" s="292"/>
      <c r="IA35" s="292"/>
      <c r="IB35" s="292"/>
      <c r="IC35" s="292"/>
      <c r="ID35" s="292"/>
      <c r="IE35" s="292"/>
      <c r="IF35" s="292"/>
      <c r="IG35" s="292"/>
      <c r="IH35" s="292"/>
      <c r="II35" s="292"/>
      <c r="IJ35" s="292"/>
      <c r="IK35" s="292"/>
      <c r="IL35" s="292"/>
      <c r="IM35" s="292"/>
      <c r="IN35" s="292"/>
      <c r="IO35" s="292"/>
      <c r="IP35" s="292"/>
      <c r="IQ35" s="292"/>
      <c r="IR35" s="292"/>
      <c r="IS35" s="292"/>
      <c r="IT35" s="292"/>
      <c r="IU35" s="292"/>
      <c r="IV35" s="292"/>
      <c r="IW35" s="292"/>
      <c r="IX35" s="292"/>
      <c r="IY35" s="292"/>
      <c r="IZ35" s="292"/>
      <c r="JA35" s="292"/>
      <c r="JB35" s="292"/>
      <c r="JC35" s="292"/>
      <c r="JD35" s="292"/>
      <c r="JE35" s="292"/>
      <c r="JF35" s="292"/>
      <c r="JG35" s="292"/>
      <c r="JH35" s="292"/>
      <c r="JI35" s="292"/>
      <c r="JJ35" s="292"/>
      <c r="JK35" s="292"/>
      <c r="JL35" s="292"/>
      <c r="JM35" s="292"/>
      <c r="JN35" s="292"/>
      <c r="JO35" s="292"/>
      <c r="JP35" s="292"/>
      <c r="JQ35" s="292"/>
      <c r="JR35" s="292"/>
      <c r="JS35" s="292"/>
      <c r="JT35" s="292"/>
      <c r="JU35" s="292"/>
      <c r="JV35" s="292"/>
      <c r="JW35" s="292"/>
      <c r="JX35" s="292"/>
      <c r="JY35" s="292"/>
      <c r="JZ35" s="292"/>
      <c r="KA35" s="292"/>
      <c r="KB35" s="292"/>
      <c r="KC35" s="292"/>
      <c r="KD35" s="292"/>
      <c r="KE35" s="292"/>
      <c r="KF35" s="292"/>
      <c r="KG35" s="292"/>
      <c r="KH35" s="292"/>
      <c r="KI35" s="292"/>
      <c r="KJ35" s="292"/>
      <c r="KK35" s="292"/>
      <c r="KL35" s="292"/>
      <c r="KM35" s="292"/>
      <c r="KN35" s="292"/>
      <c r="KO35" s="292"/>
      <c r="KP35" s="292"/>
      <c r="KQ35" s="292"/>
      <c r="KR35" s="292"/>
      <c r="KS35" s="292"/>
      <c r="KT35" s="292"/>
      <c r="KU35" s="292"/>
      <c r="KV35" s="292"/>
      <c r="KW35" s="292"/>
      <c r="KX35" s="292"/>
      <c r="KY35" s="292"/>
      <c r="KZ35" s="292"/>
      <c r="LA35" s="292"/>
      <c r="LB35" s="292"/>
      <c r="LC35" s="292"/>
      <c r="LD35" s="292"/>
      <c r="LE35" s="292"/>
      <c r="LF35" s="292"/>
      <c r="LG35" s="292"/>
      <c r="LH35" s="292"/>
      <c r="LI35" s="292"/>
      <c r="LJ35" s="292"/>
      <c r="LK35" s="292"/>
      <c r="LL35" s="292"/>
      <c r="LM35" s="292"/>
      <c r="LN35" s="292"/>
      <c r="LO35" s="292"/>
      <c r="LP35" s="292"/>
      <c r="LQ35" s="292"/>
      <c r="LR35" s="292"/>
      <c r="LS35" s="292"/>
      <c r="LT35" s="292"/>
      <c r="LU35" s="292"/>
      <c r="LV35" s="292"/>
      <c r="LW35" s="292"/>
      <c r="LX35" s="292"/>
      <c r="LY35" s="292"/>
      <c r="LZ35" s="292"/>
      <c r="MA35" s="292"/>
      <c r="MB35" s="292"/>
      <c r="MC35" s="292"/>
      <c r="MD35" s="292"/>
      <c r="ME35" s="292"/>
      <c r="MF35" s="292"/>
      <c r="MG35" s="292"/>
      <c r="MH35" s="292"/>
      <c r="MI35" s="292"/>
      <c r="MJ35" s="292"/>
      <c r="MK35" s="292"/>
      <c r="ML35" s="292"/>
      <c r="MM35" s="292"/>
      <c r="MN35" s="292"/>
      <c r="MO35" s="292"/>
      <c r="MP35" s="292"/>
      <c r="MQ35" s="292"/>
      <c r="MR35" s="292"/>
      <c r="MS35" s="292"/>
      <c r="MT35" s="292"/>
      <c r="MU35" s="292"/>
      <c r="MV35" s="292"/>
      <c r="MW35" s="292"/>
      <c r="MX35" s="292"/>
      <c r="MY35" s="292"/>
      <c r="MZ35" s="292"/>
      <c r="NA35" s="292"/>
      <c r="NB35" s="292"/>
      <c r="NC35" s="292"/>
      <c r="ND35" s="292"/>
      <c r="NE35" s="292"/>
      <c r="NF35" s="292"/>
      <c r="NG35" s="292"/>
      <c r="NH35" s="292"/>
      <c r="NI35" s="292"/>
      <c r="NJ35" s="292"/>
      <c r="NK35" s="292"/>
      <c r="NL35" s="292"/>
      <c r="NM35" s="292"/>
      <c r="NN35" s="292"/>
      <c r="NO35" s="292"/>
      <c r="NP35" s="292"/>
      <c r="NQ35" s="292"/>
      <c r="NR35" s="292"/>
      <c r="NS35" s="292"/>
      <c r="NT35" s="292"/>
      <c r="NU35" s="292"/>
      <c r="NV35" s="292"/>
      <c r="NW35" s="292"/>
      <c r="NX35" s="292"/>
      <c r="NY35" s="292"/>
      <c r="NZ35" s="292"/>
      <c r="OA35" s="292"/>
      <c r="OB35" s="292"/>
      <c r="OC35" s="292"/>
      <c r="OD35" s="292"/>
      <c r="OE35" s="292"/>
      <c r="OF35" s="292"/>
      <c r="OG35" s="292"/>
      <c r="OH35" s="292"/>
      <c r="OI35" s="292"/>
      <c r="OJ35" s="292"/>
      <c r="OK35" s="292"/>
      <c r="OL35" s="292"/>
      <c r="OM35" s="292"/>
      <c r="ON35" s="292"/>
      <c r="OO35" s="292"/>
      <c r="OP35" s="292"/>
      <c r="OQ35" s="292"/>
      <c r="OR35" s="292"/>
      <c r="OS35" s="292"/>
      <c r="OT35" s="292"/>
      <c r="OU35" s="292"/>
      <c r="OV35" s="292"/>
      <c r="OW35" s="292"/>
      <c r="OX35" s="292"/>
      <c r="OY35" s="292"/>
      <c r="OZ35" s="292"/>
      <c r="PA35" s="292"/>
      <c r="PB35" s="292"/>
      <c r="PC35" s="292"/>
      <c r="PD35" s="292"/>
      <c r="PE35" s="292"/>
      <c r="PF35" s="292"/>
      <c r="PG35" s="292"/>
      <c r="PH35" s="292"/>
      <c r="PI35" s="292"/>
      <c r="PJ35" s="292"/>
      <c r="PK35" s="292"/>
      <c r="PL35" s="292"/>
      <c r="PM35" s="292"/>
      <c r="PN35" s="292"/>
      <c r="PO35" s="292"/>
      <c r="PP35" s="292"/>
      <c r="PQ35" s="292"/>
      <c r="PR35" s="292"/>
      <c r="PS35" s="292"/>
      <c r="PT35" s="292"/>
      <c r="PU35" s="292"/>
      <c r="PV35" s="292"/>
      <c r="PW35" s="292"/>
      <c r="PX35" s="292"/>
      <c r="PY35" s="292"/>
      <c r="PZ35" s="292"/>
      <c r="QA35" s="292"/>
      <c r="QB35" s="292"/>
      <c r="QC35" s="292"/>
      <c r="QD35" s="292"/>
      <c r="QE35" s="292"/>
      <c r="QF35" s="292"/>
      <c r="QG35" s="292"/>
      <c r="QH35" s="292"/>
      <c r="QI35" s="292"/>
      <c r="QJ35" s="292"/>
      <c r="QK35" s="292"/>
      <c r="QL35" s="292"/>
      <c r="QM35" s="292"/>
      <c r="QN35" s="292"/>
      <c r="QO35" s="292"/>
      <c r="QP35" s="292"/>
      <c r="QQ35" s="292"/>
      <c r="QR35" s="292"/>
      <c r="QS35" s="292"/>
      <c r="QT35" s="292"/>
      <c r="QU35" s="292"/>
      <c r="QV35" s="292"/>
      <c r="QW35" s="292"/>
      <c r="QX35" s="292"/>
      <c r="QY35" s="292"/>
      <c r="QZ35" s="292"/>
      <c r="RA35" s="292"/>
      <c r="RB35" s="292"/>
      <c r="RC35" s="292"/>
      <c r="RD35" s="292"/>
      <c r="RE35" s="292"/>
      <c r="RF35" s="292"/>
      <c r="RG35" s="292"/>
      <c r="RH35" s="292"/>
      <c r="RI35" s="292"/>
      <c r="RJ35" s="292"/>
      <c r="RK35" s="292"/>
      <c r="RL35" s="292"/>
      <c r="RM35" s="292"/>
      <c r="RN35" s="292"/>
      <c r="RO35" s="292"/>
      <c r="RP35" s="292"/>
      <c r="RQ35" s="292"/>
      <c r="RR35" s="292"/>
      <c r="RS35" s="292"/>
      <c r="RT35" s="292"/>
      <c r="RU35" s="292"/>
      <c r="RV35" s="292"/>
      <c r="RW35" s="292"/>
      <c r="RX35" s="292"/>
      <c r="RY35" s="292"/>
      <c r="RZ35" s="292"/>
      <c r="SA35" s="292"/>
      <c r="SB35" s="292"/>
      <c r="SC35" s="292"/>
      <c r="SD35" s="292"/>
      <c r="SE35" s="292"/>
      <c r="SF35" s="292"/>
      <c r="SG35" s="292"/>
      <c r="SH35" s="292"/>
      <c r="SI35" s="292"/>
      <c r="SJ35" s="292"/>
      <c r="SK35" s="292"/>
      <c r="SL35" s="292"/>
      <c r="SM35" s="292"/>
      <c r="SN35" s="292"/>
      <c r="SO35" s="292"/>
      <c r="SP35" s="292"/>
      <c r="SQ35" s="292"/>
      <c r="SR35" s="292"/>
      <c r="SS35" s="292"/>
      <c r="ST35" s="292"/>
      <c r="SU35" s="292"/>
      <c r="SV35" s="292"/>
      <c r="SW35" s="292"/>
      <c r="SX35" s="292"/>
      <c r="SY35" s="292"/>
      <c r="SZ35" s="292"/>
      <c r="TA35" s="292"/>
      <c r="TB35" s="292"/>
      <c r="TC35" s="292"/>
      <c r="TD35" s="292"/>
      <c r="TE35" s="292"/>
      <c r="TF35" s="292"/>
      <c r="TG35" s="292"/>
      <c r="TH35" s="292"/>
      <c r="TI35" s="292"/>
      <c r="TJ35" s="292"/>
      <c r="TK35" s="292"/>
      <c r="TL35" s="292"/>
      <c r="TM35" s="292"/>
      <c r="TN35" s="292"/>
      <c r="TO35" s="292"/>
      <c r="TP35" s="292"/>
      <c r="TQ35" s="292"/>
      <c r="TR35" s="292"/>
      <c r="TS35" s="292"/>
      <c r="TT35" s="292"/>
      <c r="TU35" s="292"/>
      <c r="TV35" s="292"/>
      <c r="TW35" s="292"/>
      <c r="TX35" s="292"/>
      <c r="TY35" s="292"/>
      <c r="TZ35" s="292"/>
      <c r="UA35" s="292"/>
      <c r="UB35" s="292"/>
      <c r="UC35" s="292"/>
      <c r="UD35" s="292"/>
      <c r="UE35" s="292"/>
      <c r="UF35" s="292"/>
      <c r="UG35" s="292"/>
      <c r="UH35" s="292"/>
      <c r="UI35" s="292"/>
      <c r="UJ35" s="292"/>
      <c r="UK35" s="292"/>
      <c r="UL35" s="292"/>
      <c r="UM35" s="292"/>
      <c r="UN35" s="292"/>
      <c r="UO35" s="292"/>
      <c r="UP35" s="292"/>
      <c r="UQ35" s="292"/>
      <c r="UR35" s="292"/>
      <c r="US35" s="292"/>
      <c r="UT35" s="292"/>
      <c r="UU35" s="292"/>
      <c r="UV35" s="292"/>
      <c r="UW35" s="292"/>
      <c r="UX35" s="292"/>
      <c r="UY35" s="292"/>
      <c r="UZ35" s="292"/>
      <c r="VA35" s="292"/>
      <c r="VB35" s="292"/>
      <c r="VC35" s="292"/>
      <c r="VD35" s="292"/>
      <c r="VE35" s="292"/>
      <c r="VF35" s="292"/>
      <c r="VG35" s="292"/>
      <c r="VH35" s="292"/>
      <c r="VI35" s="292"/>
      <c r="VJ35" s="292"/>
      <c r="VK35" s="292"/>
      <c r="VL35" s="292"/>
      <c r="VM35" s="292"/>
      <c r="VN35" s="292"/>
      <c r="VO35" s="292"/>
      <c r="VP35" s="292"/>
      <c r="VQ35" s="292"/>
      <c r="VR35" s="292"/>
      <c r="VS35" s="292"/>
      <c r="VT35" s="292"/>
      <c r="VU35" s="292"/>
      <c r="VV35" s="292"/>
      <c r="VW35" s="292"/>
      <c r="VX35" s="292"/>
      <c r="VY35" s="292"/>
      <c r="VZ35" s="292"/>
      <c r="WA35" s="292"/>
      <c r="WB35" s="292"/>
      <c r="WC35" s="292"/>
      <c r="WD35" s="292"/>
      <c r="WE35" s="292"/>
      <c r="WF35" s="292"/>
      <c r="WG35" s="292"/>
      <c r="WH35" s="292"/>
      <c r="WI35" s="292"/>
      <c r="WJ35" s="292"/>
      <c r="WK35" s="292"/>
      <c r="WL35" s="292"/>
      <c r="WM35" s="292"/>
      <c r="WN35" s="292"/>
      <c r="WO35" s="292"/>
      <c r="WP35" s="292"/>
      <c r="WQ35" s="292"/>
      <c r="WR35" s="292"/>
      <c r="WS35" s="292"/>
      <c r="WT35" s="292"/>
      <c r="WU35" s="292"/>
      <c r="WV35" s="292"/>
      <c r="WW35" s="292"/>
      <c r="WX35" s="292"/>
      <c r="WY35" s="292"/>
      <c r="WZ35" s="292"/>
      <c r="XA35" s="292"/>
      <c r="XB35" s="292"/>
      <c r="XC35" s="292"/>
      <c r="XD35" s="292"/>
      <c r="XE35" s="292"/>
      <c r="XF35" s="292"/>
      <c r="XG35" s="292"/>
      <c r="XH35" s="292"/>
      <c r="XI35" s="292"/>
      <c r="XJ35" s="292"/>
      <c r="XK35" s="292"/>
      <c r="XL35" s="292"/>
      <c r="XM35" s="292"/>
      <c r="XN35" s="292"/>
      <c r="XO35" s="292"/>
      <c r="XP35" s="292"/>
      <c r="XQ35" s="292"/>
      <c r="XR35" s="292"/>
      <c r="XS35" s="292"/>
      <c r="XT35" s="292"/>
      <c r="XU35" s="292"/>
      <c r="XV35" s="292"/>
      <c r="XW35" s="292"/>
      <c r="XX35" s="292"/>
      <c r="XY35" s="292"/>
      <c r="XZ35" s="292"/>
      <c r="YA35" s="292"/>
      <c r="YB35" s="292"/>
      <c r="YC35" s="292"/>
      <c r="YD35" s="292"/>
      <c r="YE35" s="292"/>
      <c r="YF35" s="292"/>
      <c r="YG35" s="292"/>
      <c r="YH35" s="292"/>
      <c r="YI35" s="292"/>
      <c r="YJ35" s="292"/>
      <c r="YK35" s="292"/>
      <c r="YL35" s="292"/>
      <c r="YM35" s="292"/>
      <c r="YN35" s="292"/>
      <c r="YO35" s="292"/>
      <c r="YP35" s="292"/>
      <c r="YQ35" s="292"/>
      <c r="YR35" s="292"/>
      <c r="YS35" s="292"/>
      <c r="YT35" s="292"/>
      <c r="YU35" s="292"/>
      <c r="YV35" s="292"/>
      <c r="YW35" s="292"/>
      <c r="YX35" s="292"/>
      <c r="YY35" s="292"/>
      <c r="YZ35" s="292"/>
      <c r="ZA35" s="292"/>
      <c r="ZB35" s="292"/>
      <c r="ZC35" s="292"/>
      <c r="ZD35" s="292"/>
      <c r="ZE35" s="292"/>
      <c r="ZF35" s="292"/>
      <c r="ZG35" s="292"/>
      <c r="ZH35" s="292"/>
      <c r="ZI35" s="292"/>
      <c r="ZJ35" s="292"/>
      <c r="ZK35" s="292"/>
      <c r="ZL35" s="292"/>
      <c r="ZM35" s="292"/>
      <c r="ZN35" s="292"/>
      <c r="ZO35" s="292"/>
      <c r="ZP35" s="292"/>
      <c r="ZQ35" s="292"/>
      <c r="ZR35" s="292"/>
      <c r="ZS35" s="292"/>
      <c r="ZT35" s="292"/>
      <c r="ZU35" s="292"/>
      <c r="ZV35" s="292"/>
      <c r="ZW35" s="292"/>
      <c r="ZX35" s="292"/>
      <c r="ZY35" s="292"/>
      <c r="ZZ35" s="292"/>
      <c r="AAA35" s="292"/>
      <c r="AAB35" s="292"/>
      <c r="AAC35" s="292"/>
      <c r="AAD35" s="292"/>
      <c r="AAE35" s="292"/>
      <c r="AAF35" s="292"/>
      <c r="AAG35" s="292"/>
      <c r="AAH35" s="292"/>
      <c r="AAI35" s="292"/>
      <c r="AAJ35" s="292"/>
      <c r="AAK35" s="292"/>
      <c r="AAL35" s="292"/>
      <c r="AAM35" s="292"/>
      <c r="AAN35" s="292"/>
      <c r="AAO35" s="292"/>
      <c r="AAP35" s="292"/>
      <c r="AAQ35" s="292"/>
      <c r="AAR35" s="292"/>
      <c r="AAS35" s="292"/>
      <c r="AAT35" s="292"/>
      <c r="AAU35" s="292"/>
      <c r="AAV35" s="292"/>
      <c r="AAW35" s="292"/>
      <c r="AAX35" s="292"/>
      <c r="AAY35" s="292"/>
      <c r="AAZ35" s="292"/>
      <c r="ABA35" s="292"/>
      <c r="ABB35" s="292"/>
      <c r="ABC35" s="292"/>
      <c r="ABD35" s="292"/>
      <c r="ABE35" s="292"/>
      <c r="ABF35" s="292"/>
      <c r="ABG35" s="292"/>
      <c r="ABH35" s="292"/>
      <c r="ABI35" s="292"/>
      <c r="ABJ35" s="292"/>
      <c r="ABK35" s="292"/>
      <c r="ABL35" s="292"/>
      <c r="ABM35" s="292"/>
      <c r="ABN35" s="292"/>
      <c r="ABO35" s="292"/>
      <c r="ABP35" s="292"/>
      <c r="ABQ35" s="292"/>
      <c r="ABR35" s="292"/>
      <c r="ABS35" s="292"/>
      <c r="ABT35" s="292"/>
      <c r="ABU35" s="292"/>
      <c r="ABV35" s="292"/>
      <c r="ABW35" s="292"/>
      <c r="ABX35" s="292"/>
      <c r="ABY35" s="292"/>
      <c r="ABZ35" s="292"/>
      <c r="ACA35" s="292"/>
      <c r="ACB35" s="292"/>
      <c r="ACC35" s="292"/>
      <c r="ACD35" s="292"/>
      <c r="ACE35" s="292"/>
      <c r="ACF35" s="292"/>
      <c r="ACG35" s="292"/>
      <c r="ACH35" s="292"/>
      <c r="ACI35" s="292"/>
      <c r="ACJ35" s="292"/>
      <c r="ACK35" s="292"/>
      <c r="ACL35" s="292"/>
      <c r="ACM35" s="292"/>
      <c r="ACN35" s="292"/>
      <c r="ACO35" s="292"/>
      <c r="ACP35" s="292"/>
      <c r="ACQ35" s="292"/>
      <c r="ACR35" s="292"/>
      <c r="ACS35" s="292"/>
      <c r="ACT35" s="292"/>
      <c r="ACU35" s="292"/>
      <c r="ACV35" s="292"/>
      <c r="ACW35" s="292"/>
      <c r="ACX35" s="292"/>
      <c r="ACY35" s="292"/>
      <c r="ACZ35" s="292"/>
      <c r="ADA35" s="292"/>
      <c r="ADB35" s="292"/>
      <c r="ADC35" s="292"/>
      <c r="ADD35" s="292"/>
      <c r="ADE35" s="292"/>
      <c r="ADF35" s="292"/>
      <c r="ADG35" s="292"/>
      <c r="ADH35" s="292"/>
      <c r="ADI35" s="292"/>
      <c r="ADJ35" s="292"/>
      <c r="ADK35" s="292"/>
      <c r="ADL35" s="292"/>
      <c r="ADM35" s="292"/>
      <c r="ADN35" s="292"/>
      <c r="ADO35" s="292"/>
      <c r="ADP35" s="292"/>
      <c r="ADQ35" s="292"/>
      <c r="ADR35" s="292"/>
      <c r="ADS35" s="292"/>
      <c r="ADT35" s="292"/>
      <c r="ADU35" s="292"/>
      <c r="ADV35" s="292"/>
      <c r="ADW35" s="292"/>
      <c r="ADX35" s="292"/>
      <c r="ADY35" s="292"/>
      <c r="ADZ35" s="292"/>
      <c r="AEA35" s="292"/>
      <c r="AEB35" s="292"/>
      <c r="AEC35" s="292"/>
      <c r="AED35" s="292"/>
      <c r="AEE35" s="292"/>
      <c r="AEF35" s="292"/>
      <c r="AEG35" s="292"/>
      <c r="AEH35" s="292"/>
      <c r="AEI35" s="292"/>
      <c r="AEJ35" s="292"/>
      <c r="AEK35" s="292"/>
      <c r="AEL35" s="292"/>
      <c r="AEM35" s="292"/>
      <c r="AEN35" s="292"/>
      <c r="AEO35" s="292"/>
      <c r="AEP35" s="292"/>
      <c r="AEQ35" s="292"/>
      <c r="AER35" s="292"/>
      <c r="AES35" s="292"/>
      <c r="AET35" s="292"/>
      <c r="AEU35" s="292"/>
      <c r="AEV35" s="292"/>
      <c r="AEW35" s="292"/>
      <c r="AEX35" s="292"/>
      <c r="AEY35" s="292"/>
      <c r="AEZ35" s="292"/>
      <c r="AFA35" s="292"/>
      <c r="AFB35" s="292"/>
      <c r="AFC35" s="292"/>
      <c r="AFD35" s="292"/>
      <c r="AFE35" s="292"/>
      <c r="AFF35" s="292"/>
      <c r="AFG35" s="292"/>
      <c r="AFH35" s="292"/>
      <c r="AFI35" s="292"/>
      <c r="AFJ35" s="292"/>
      <c r="AFK35" s="292"/>
      <c r="AFL35" s="292"/>
      <c r="AFM35" s="292"/>
      <c r="AFN35" s="292"/>
      <c r="AFO35" s="292"/>
      <c r="AFP35" s="292"/>
      <c r="AFQ35" s="292"/>
      <c r="AFR35" s="292"/>
      <c r="AFS35" s="292"/>
      <c r="AFT35" s="292"/>
      <c r="AFU35" s="292"/>
      <c r="AFV35" s="292"/>
      <c r="AFW35" s="292"/>
      <c r="AFX35" s="292"/>
      <c r="AFY35" s="292"/>
      <c r="AFZ35" s="292"/>
      <c r="AGA35" s="292"/>
      <c r="AGB35" s="292"/>
      <c r="AGC35" s="292"/>
      <c r="AGD35" s="292"/>
      <c r="AGE35" s="292"/>
      <c r="AGF35" s="292"/>
      <c r="AGG35" s="292"/>
      <c r="AGH35" s="292"/>
      <c r="AGI35" s="292"/>
      <c r="AGJ35" s="292"/>
      <c r="AGK35" s="292"/>
      <c r="AGL35" s="292"/>
      <c r="AGM35" s="292"/>
      <c r="AGN35" s="292"/>
      <c r="AGO35" s="292"/>
      <c r="AGP35" s="292"/>
      <c r="AGQ35" s="292"/>
      <c r="AGR35" s="292"/>
      <c r="AGS35" s="292"/>
      <c r="AGT35" s="292"/>
      <c r="AGU35" s="292"/>
      <c r="AGV35" s="292"/>
      <c r="AGW35" s="292"/>
      <c r="AGX35" s="292"/>
      <c r="AGY35" s="292"/>
      <c r="AGZ35" s="292"/>
      <c r="AHA35" s="292"/>
      <c r="AHB35" s="292"/>
      <c r="AHC35" s="292"/>
      <c r="AHD35" s="292"/>
      <c r="AHE35" s="292"/>
      <c r="AHF35" s="292"/>
      <c r="AHG35" s="292"/>
      <c r="AHH35" s="292"/>
      <c r="AHI35" s="292"/>
      <c r="AHJ35" s="292"/>
      <c r="AHK35" s="292"/>
      <c r="AHL35" s="292"/>
      <c r="AHM35" s="292"/>
      <c r="AHN35" s="292"/>
      <c r="AHO35" s="292"/>
      <c r="AHP35" s="292"/>
      <c r="AHQ35" s="292"/>
      <c r="AHR35" s="292"/>
      <c r="AHS35" s="292"/>
      <c r="AHT35" s="292"/>
      <c r="AHU35" s="292"/>
      <c r="AHV35" s="292"/>
      <c r="AHW35" s="292"/>
      <c r="AHX35" s="292"/>
      <c r="AHY35" s="292"/>
      <c r="AHZ35" s="292"/>
      <c r="AIA35" s="292"/>
      <c r="AIB35" s="292"/>
      <c r="AIC35" s="292"/>
      <c r="AID35" s="292"/>
      <c r="AIE35" s="292"/>
      <c r="AIF35" s="292"/>
      <c r="AIG35" s="292"/>
      <c r="AIH35" s="292"/>
      <c r="AII35" s="292"/>
      <c r="AIJ35" s="292"/>
      <c r="AIK35" s="292"/>
      <c r="AIL35" s="292"/>
      <c r="AIM35" s="292"/>
      <c r="AIN35" s="292"/>
      <c r="AIO35" s="292"/>
      <c r="AIP35" s="292"/>
      <c r="AIQ35" s="292"/>
      <c r="AIR35" s="292"/>
      <c r="AIS35" s="292"/>
      <c r="AIT35" s="292"/>
      <c r="AIU35" s="292"/>
      <c r="AIV35" s="292"/>
      <c r="AIW35" s="292"/>
      <c r="AIX35" s="292"/>
      <c r="AIY35" s="292"/>
      <c r="AIZ35" s="292"/>
      <c r="AJA35" s="292"/>
      <c r="AJB35" s="292"/>
      <c r="AJC35" s="292"/>
      <c r="AJD35" s="292"/>
      <c r="AJE35" s="292"/>
      <c r="AJF35" s="292"/>
      <c r="AJG35" s="292"/>
      <c r="AJH35" s="292"/>
      <c r="AJI35" s="292"/>
      <c r="AJJ35" s="292"/>
      <c r="AJK35" s="292"/>
      <c r="AJL35" s="292"/>
      <c r="AJM35" s="292"/>
      <c r="AJN35" s="292"/>
      <c r="AJO35" s="292"/>
      <c r="AJP35" s="292"/>
      <c r="AJQ35" s="292"/>
      <c r="AJR35" s="292"/>
      <c r="AJS35" s="292"/>
      <c r="AJT35" s="292"/>
      <c r="AJU35" s="292"/>
      <c r="AJV35" s="292"/>
      <c r="AJW35" s="292"/>
      <c r="AJX35" s="292"/>
      <c r="AJY35" s="292"/>
      <c r="AJZ35" s="292"/>
      <c r="AKA35" s="292"/>
      <c r="AKB35" s="292"/>
      <c r="AKC35" s="292"/>
      <c r="AKD35" s="292"/>
      <c r="AKE35" s="292"/>
      <c r="AKF35" s="292"/>
      <c r="AKG35" s="292"/>
      <c r="AKH35" s="292"/>
      <c r="AKI35" s="292"/>
      <c r="AKJ35" s="292"/>
      <c r="AKK35" s="292"/>
      <c r="AKL35" s="292"/>
      <c r="AKM35" s="292"/>
      <c r="AKN35" s="292"/>
      <c r="AKO35" s="292"/>
      <c r="AKP35" s="292"/>
      <c r="AKQ35" s="292"/>
      <c r="AKR35" s="292"/>
      <c r="AKS35" s="292"/>
      <c r="AKT35" s="292"/>
      <c r="AKU35" s="292"/>
      <c r="AKV35" s="292"/>
      <c r="AKW35" s="292"/>
      <c r="AKX35" s="292"/>
      <c r="AKY35" s="292"/>
      <c r="AKZ35" s="292"/>
      <c r="ALA35" s="292"/>
      <c r="ALB35" s="292"/>
      <c r="ALC35" s="292"/>
      <c r="ALD35" s="292"/>
      <c r="ALE35" s="292"/>
      <c r="ALF35" s="292"/>
      <c r="ALG35" s="292"/>
      <c r="ALH35" s="292"/>
      <c r="ALI35" s="292"/>
      <c r="ALJ35" s="292"/>
      <c r="ALK35" s="292"/>
      <c r="ALL35" s="292"/>
      <c r="ALM35" s="292"/>
      <c r="ALN35" s="292"/>
      <c r="ALO35" s="292"/>
      <c r="ALP35" s="292"/>
      <c r="ALQ35" s="292"/>
      <c r="ALR35" s="292"/>
      <c r="ALS35" s="292"/>
      <c r="ALT35" s="292"/>
      <c r="ALU35" s="292"/>
      <c r="ALV35" s="292"/>
      <c r="ALW35" s="292"/>
      <c r="ALX35" s="292"/>
      <c r="ALY35" s="292"/>
      <c r="ALZ35" s="292"/>
      <c r="AMA35" s="292"/>
      <c r="AMB35" s="292"/>
      <c r="AMC35" s="292"/>
      <c r="AMD35" s="292"/>
      <c r="AME35" s="292"/>
      <c r="AMF35" s="292"/>
      <c r="AMG35" s="292"/>
      <c r="AMH35" s="292"/>
      <c r="AMI35" s="292"/>
      <c r="AMJ35" s="292"/>
      <c r="AMK35" s="292"/>
      <c r="AML35" s="292"/>
      <c r="AMM35" s="292"/>
      <c r="AMN35" s="292"/>
      <c r="AMO35" s="292"/>
      <c r="AMP35" s="292"/>
      <c r="AMQ35" s="292"/>
      <c r="AMR35" s="292"/>
      <c r="AMS35" s="292"/>
      <c r="AMT35" s="292"/>
      <c r="AMU35" s="292"/>
      <c r="AMV35" s="292"/>
      <c r="AMW35" s="292"/>
      <c r="AMX35" s="292"/>
      <c r="AMY35" s="292"/>
      <c r="AMZ35" s="292"/>
      <c r="ANA35" s="292"/>
      <c r="ANB35" s="292"/>
      <c r="ANC35" s="292"/>
      <c r="AND35" s="292"/>
      <c r="ANE35" s="292"/>
      <c r="ANF35" s="292"/>
      <c r="ANG35" s="292"/>
      <c r="ANH35" s="292"/>
      <c r="ANI35" s="292"/>
      <c r="ANJ35" s="292"/>
      <c r="ANK35" s="292"/>
      <c r="ANL35" s="292"/>
      <c r="ANM35" s="292"/>
      <c r="ANN35" s="292"/>
      <c r="ANO35" s="292"/>
      <c r="ANP35" s="292"/>
      <c r="ANQ35" s="292"/>
      <c r="ANR35" s="292"/>
      <c r="ANS35" s="292"/>
      <c r="ANT35" s="292"/>
      <c r="ANU35" s="292"/>
      <c r="ANV35" s="292"/>
      <c r="ANW35" s="292"/>
      <c r="ANX35" s="292"/>
      <c r="ANY35" s="292"/>
      <c r="ANZ35" s="292"/>
      <c r="AOA35" s="292"/>
      <c r="AOB35" s="292"/>
      <c r="AOC35" s="292"/>
      <c r="AOD35" s="292"/>
      <c r="AOE35" s="292"/>
      <c r="AOF35" s="292"/>
      <c r="AOG35" s="292"/>
      <c r="AOH35" s="292"/>
      <c r="AOI35" s="292"/>
      <c r="AOJ35" s="292"/>
      <c r="AOK35" s="292"/>
      <c r="AOL35" s="292"/>
      <c r="AOM35" s="292"/>
      <c r="AON35" s="292"/>
      <c r="AOO35" s="292"/>
      <c r="AOP35" s="292"/>
      <c r="AOQ35" s="292"/>
      <c r="AOR35" s="292"/>
      <c r="AOS35" s="292"/>
      <c r="AOT35" s="292"/>
      <c r="AOU35" s="292"/>
      <c r="AOV35" s="292"/>
      <c r="AOW35" s="292"/>
      <c r="AOX35" s="292"/>
      <c r="AOY35" s="292"/>
      <c r="AOZ35" s="292"/>
      <c r="APA35" s="292"/>
      <c r="APB35" s="292"/>
      <c r="APC35" s="292"/>
      <c r="APD35" s="292"/>
      <c r="APE35" s="292"/>
      <c r="APF35" s="292"/>
      <c r="APG35" s="292"/>
      <c r="APH35" s="292"/>
      <c r="API35" s="292"/>
      <c r="APJ35" s="292"/>
      <c r="APK35" s="292"/>
      <c r="APL35" s="292"/>
      <c r="APM35" s="292"/>
      <c r="APN35" s="292"/>
      <c r="APO35" s="292"/>
      <c r="APP35" s="292"/>
      <c r="APQ35" s="292"/>
      <c r="APR35" s="292"/>
      <c r="APS35" s="292"/>
      <c r="APT35" s="292"/>
      <c r="APU35" s="292"/>
      <c r="APV35" s="292"/>
      <c r="APW35" s="292"/>
      <c r="APX35" s="292"/>
      <c r="APY35" s="292"/>
      <c r="APZ35" s="292"/>
      <c r="AQA35" s="292"/>
      <c r="AQB35" s="292"/>
      <c r="AQC35" s="292"/>
      <c r="AQD35" s="292"/>
      <c r="AQE35" s="292"/>
      <c r="AQF35" s="292"/>
      <c r="AQG35" s="292"/>
      <c r="AQH35" s="292"/>
      <c r="AQI35" s="292"/>
      <c r="AQJ35" s="292"/>
      <c r="AQK35" s="292"/>
      <c r="AQL35" s="292"/>
      <c r="AQM35" s="292"/>
      <c r="AQN35" s="292"/>
      <c r="AQO35" s="292"/>
      <c r="AQP35" s="292"/>
      <c r="AQQ35" s="292"/>
      <c r="AQR35" s="292"/>
      <c r="AQS35" s="292"/>
      <c r="AQT35" s="292"/>
      <c r="AQU35" s="292"/>
      <c r="AQV35" s="292"/>
      <c r="AQW35" s="292"/>
      <c r="AQX35" s="292"/>
      <c r="AQY35" s="292"/>
      <c r="AQZ35" s="292"/>
      <c r="ARA35" s="292"/>
      <c r="ARB35" s="292"/>
      <c r="ARC35" s="292"/>
      <c r="ARD35" s="292"/>
      <c r="ARE35" s="292"/>
      <c r="ARF35" s="292"/>
      <c r="ARG35" s="292"/>
      <c r="ARH35" s="292"/>
      <c r="ARI35" s="292"/>
      <c r="ARJ35" s="292"/>
      <c r="ARK35" s="292"/>
      <c r="ARL35" s="292"/>
      <c r="ARM35" s="292"/>
      <c r="ARN35" s="292"/>
      <c r="ARO35" s="292"/>
      <c r="ARP35" s="292"/>
      <c r="ARQ35" s="292"/>
      <c r="ARR35" s="292"/>
      <c r="ARS35" s="292"/>
      <c r="ART35" s="292"/>
      <c r="ARU35" s="292"/>
      <c r="ARV35" s="292"/>
      <c r="ARW35" s="292"/>
      <c r="ARX35" s="292"/>
      <c r="ARY35" s="292"/>
      <c r="ARZ35" s="292"/>
      <c r="ASA35" s="292"/>
      <c r="ASB35" s="292"/>
      <c r="ASC35" s="292"/>
      <c r="ASD35" s="292"/>
      <c r="ASE35" s="292"/>
      <c r="ASF35" s="292"/>
      <c r="ASG35" s="292"/>
      <c r="ASH35" s="292"/>
      <c r="ASI35" s="292"/>
      <c r="ASJ35" s="292"/>
      <c r="ASK35" s="292"/>
      <c r="ASL35" s="292"/>
      <c r="ASM35" s="292"/>
      <c r="ASN35" s="292"/>
      <c r="ASO35" s="292"/>
      <c r="ASP35" s="292"/>
      <c r="ASQ35" s="292"/>
      <c r="ASR35" s="292"/>
      <c r="ASS35" s="292"/>
      <c r="AST35" s="292"/>
      <c r="ASU35" s="292"/>
      <c r="ASV35" s="292"/>
      <c r="ASW35" s="292"/>
      <c r="ASX35" s="292"/>
      <c r="ASY35" s="292"/>
      <c r="ASZ35" s="292"/>
      <c r="ATA35" s="292"/>
      <c r="ATB35" s="292"/>
      <c r="ATC35" s="292"/>
      <c r="ATD35" s="292"/>
      <c r="ATE35" s="292"/>
      <c r="ATF35" s="292"/>
      <c r="ATG35" s="292"/>
      <c r="ATH35" s="292"/>
      <c r="ATI35" s="292"/>
      <c r="ATJ35" s="292"/>
      <c r="ATK35" s="292"/>
      <c r="ATL35" s="292"/>
      <c r="ATM35" s="292"/>
      <c r="ATN35" s="292"/>
      <c r="ATO35" s="292"/>
      <c r="ATP35" s="292"/>
      <c r="ATQ35" s="292"/>
      <c r="ATR35" s="292"/>
      <c r="ATS35" s="292"/>
      <c r="ATT35" s="292"/>
      <c r="ATU35" s="292"/>
      <c r="ATV35" s="292"/>
      <c r="ATW35" s="292"/>
      <c r="ATX35" s="292"/>
      <c r="ATY35" s="292"/>
      <c r="ATZ35" s="292"/>
      <c r="AUA35" s="292"/>
      <c r="AUB35" s="292"/>
      <c r="AUC35" s="292"/>
      <c r="AUD35" s="292"/>
      <c r="AUE35" s="292"/>
      <c r="AUF35" s="292"/>
      <c r="AUG35" s="292"/>
      <c r="AUH35" s="292"/>
      <c r="AUI35" s="292"/>
      <c r="AUJ35" s="292"/>
      <c r="AUK35" s="292"/>
      <c r="AUL35" s="292"/>
      <c r="AUM35" s="292"/>
      <c r="AUN35" s="292"/>
      <c r="AUO35" s="292"/>
      <c r="AUP35" s="292"/>
      <c r="AUQ35" s="292"/>
      <c r="AUR35" s="292"/>
      <c r="AUS35" s="292"/>
      <c r="AUT35" s="292"/>
      <c r="AUU35" s="292"/>
      <c r="AUV35" s="292"/>
      <c r="AUW35" s="292"/>
      <c r="AUX35" s="292"/>
      <c r="AUY35" s="292"/>
      <c r="AUZ35" s="292"/>
      <c r="AVA35" s="292"/>
      <c r="AVB35" s="292"/>
      <c r="AVC35" s="292"/>
      <c r="AVD35" s="292"/>
      <c r="AVE35" s="292"/>
      <c r="AVF35" s="292"/>
      <c r="AVG35" s="292"/>
      <c r="AVH35" s="292"/>
      <c r="AVI35" s="292"/>
      <c r="AVJ35" s="292"/>
      <c r="AVK35" s="292"/>
      <c r="AVL35" s="292"/>
      <c r="AVM35" s="292"/>
      <c r="AVN35" s="292"/>
      <c r="AVO35" s="292"/>
      <c r="AVP35" s="292"/>
      <c r="AVQ35" s="292"/>
      <c r="AVR35" s="292"/>
      <c r="AVS35" s="292"/>
      <c r="AVT35" s="292"/>
      <c r="AVU35" s="292"/>
      <c r="AVV35" s="292"/>
      <c r="AVW35" s="292"/>
      <c r="AVX35" s="292"/>
      <c r="AVY35" s="292"/>
      <c r="AVZ35" s="292"/>
      <c r="AWA35" s="292"/>
      <c r="AWB35" s="292"/>
      <c r="AWC35" s="292"/>
      <c r="AWD35" s="292"/>
      <c r="AWE35" s="292"/>
      <c r="AWF35" s="292"/>
      <c r="AWG35" s="292"/>
      <c r="AWH35" s="292"/>
      <c r="AWI35" s="292"/>
      <c r="AWJ35" s="292"/>
      <c r="AWK35" s="292"/>
      <c r="AWL35" s="292"/>
      <c r="AWM35" s="292"/>
      <c r="AWN35" s="292"/>
      <c r="AWO35" s="292"/>
      <c r="AWP35" s="292"/>
      <c r="AWQ35" s="292"/>
      <c r="AWR35" s="292"/>
      <c r="AWS35" s="292"/>
      <c r="AWT35" s="292"/>
      <c r="AWU35" s="292"/>
      <c r="AWV35" s="292"/>
      <c r="AWW35" s="292"/>
      <c r="AWX35" s="292"/>
      <c r="AWY35" s="292"/>
      <c r="AWZ35" s="292"/>
      <c r="AXA35" s="292"/>
      <c r="AXB35" s="292"/>
      <c r="AXC35" s="292"/>
      <c r="AXD35" s="292"/>
      <c r="AXE35" s="292"/>
      <c r="AXF35" s="292"/>
      <c r="AXG35" s="292"/>
      <c r="AXH35" s="292"/>
      <c r="AXI35" s="292"/>
      <c r="AXJ35" s="292"/>
      <c r="AXK35" s="292"/>
      <c r="AXL35" s="292"/>
      <c r="AXM35" s="292"/>
      <c r="AXN35" s="292"/>
      <c r="AXO35" s="292"/>
      <c r="AXP35" s="292"/>
      <c r="AXQ35" s="292"/>
      <c r="AXR35" s="292"/>
      <c r="AXS35" s="292"/>
      <c r="AXT35" s="292"/>
      <c r="AXU35" s="292"/>
      <c r="AXV35" s="292"/>
      <c r="AXW35" s="292"/>
      <c r="AXX35" s="292"/>
      <c r="AXY35" s="292"/>
      <c r="AXZ35" s="292"/>
      <c r="AYA35" s="292"/>
      <c r="AYB35" s="292"/>
      <c r="AYC35" s="292"/>
      <c r="AYD35" s="292"/>
      <c r="AYE35" s="292"/>
      <c r="AYF35" s="292"/>
      <c r="AYG35" s="292"/>
      <c r="AYH35" s="292"/>
      <c r="AYI35" s="292"/>
      <c r="AYJ35" s="292"/>
      <c r="AYK35" s="292"/>
      <c r="AYL35" s="292"/>
      <c r="AYM35" s="292"/>
      <c r="AYN35" s="292"/>
      <c r="AYO35" s="292"/>
      <c r="AYP35" s="292"/>
      <c r="AYQ35" s="292"/>
      <c r="AYR35" s="292"/>
      <c r="AYS35" s="292"/>
      <c r="AYT35" s="292"/>
      <c r="AYU35" s="292"/>
      <c r="AYV35" s="292"/>
      <c r="AYW35" s="292"/>
      <c r="AYX35" s="292"/>
      <c r="AYY35" s="292"/>
      <c r="AYZ35" s="292"/>
      <c r="AZA35" s="292"/>
      <c r="AZB35" s="292"/>
      <c r="AZC35" s="292"/>
      <c r="AZD35" s="292"/>
      <c r="AZE35" s="292"/>
      <c r="AZF35" s="292"/>
      <c r="AZG35" s="292"/>
      <c r="AZH35" s="292"/>
      <c r="AZI35" s="292"/>
      <c r="AZJ35" s="292"/>
      <c r="AZK35" s="292"/>
      <c r="AZL35" s="292"/>
      <c r="AZM35" s="292"/>
      <c r="AZN35" s="292"/>
      <c r="AZO35" s="292"/>
      <c r="AZP35" s="292"/>
      <c r="AZQ35" s="292"/>
      <c r="AZR35" s="292"/>
      <c r="AZS35" s="292"/>
      <c r="AZT35" s="292"/>
      <c r="AZU35" s="292"/>
      <c r="AZV35" s="292"/>
      <c r="AZW35" s="292"/>
      <c r="AZX35" s="292"/>
      <c r="AZY35" s="292"/>
      <c r="AZZ35" s="292"/>
      <c r="BAA35" s="292"/>
      <c r="BAB35" s="292"/>
      <c r="BAC35" s="292"/>
      <c r="BAD35" s="292"/>
      <c r="BAE35" s="292"/>
      <c r="BAF35" s="292"/>
      <c r="BAG35" s="292"/>
      <c r="BAH35" s="292"/>
      <c r="BAI35" s="292"/>
      <c r="BAJ35" s="292"/>
      <c r="BAK35" s="292"/>
      <c r="BAL35" s="292"/>
      <c r="BAM35" s="292"/>
      <c r="BAN35" s="292"/>
      <c r="BAO35" s="292"/>
      <c r="BAP35" s="292"/>
      <c r="BAQ35" s="292"/>
      <c r="BAR35" s="292"/>
      <c r="BAS35" s="292"/>
      <c r="BAT35" s="292"/>
      <c r="BAU35" s="292"/>
      <c r="BAV35" s="292"/>
      <c r="BAW35" s="292"/>
      <c r="BAX35" s="292"/>
      <c r="BAY35" s="292"/>
      <c r="BAZ35" s="292"/>
      <c r="BBA35" s="292"/>
      <c r="BBB35" s="292"/>
      <c r="BBC35" s="292"/>
      <c r="BBD35" s="292"/>
      <c r="BBE35" s="292"/>
      <c r="BBF35" s="292"/>
      <c r="BBG35" s="292"/>
      <c r="BBH35" s="292"/>
      <c r="BBI35" s="292"/>
      <c r="BBJ35" s="292"/>
      <c r="BBK35" s="292"/>
      <c r="BBL35" s="292"/>
      <c r="BBM35" s="292"/>
      <c r="BBN35" s="292"/>
      <c r="BBO35" s="292"/>
      <c r="BBP35" s="292"/>
      <c r="BBQ35" s="292"/>
      <c r="BBR35" s="292"/>
      <c r="BBS35" s="292"/>
      <c r="BBT35" s="292"/>
      <c r="BBU35" s="292"/>
      <c r="BBV35" s="292"/>
      <c r="BBW35" s="292"/>
      <c r="BBX35" s="292"/>
      <c r="BBY35" s="292"/>
      <c r="BBZ35" s="292"/>
      <c r="BCA35" s="292"/>
      <c r="BCB35" s="292"/>
      <c r="BCC35" s="292"/>
      <c r="BCD35" s="292"/>
      <c r="BCE35" s="292"/>
      <c r="BCF35" s="292"/>
      <c r="BCG35" s="292"/>
      <c r="BCH35" s="292"/>
      <c r="BCI35" s="292"/>
      <c r="BCJ35" s="292"/>
      <c r="BCK35" s="292"/>
      <c r="BCL35" s="292"/>
      <c r="BCM35" s="292"/>
      <c r="BCN35" s="292"/>
      <c r="BCO35" s="292"/>
      <c r="BCP35" s="292"/>
      <c r="BCQ35" s="292"/>
      <c r="BCR35" s="292"/>
      <c r="BCS35" s="292"/>
      <c r="BCT35" s="292"/>
      <c r="BCU35" s="292"/>
      <c r="BCV35" s="292"/>
      <c r="BCW35" s="292"/>
      <c r="BCX35" s="292"/>
      <c r="BCY35" s="292"/>
      <c r="BCZ35" s="292"/>
      <c r="BDA35" s="292"/>
      <c r="BDB35" s="292"/>
      <c r="BDC35" s="292"/>
      <c r="BDD35" s="292"/>
      <c r="BDE35" s="292"/>
      <c r="BDF35" s="292"/>
      <c r="BDG35" s="292"/>
      <c r="BDH35" s="292"/>
      <c r="BDI35" s="292"/>
      <c r="BDJ35" s="292"/>
      <c r="BDK35" s="292"/>
      <c r="BDL35" s="292"/>
      <c r="BDM35" s="292"/>
      <c r="BDN35" s="292"/>
      <c r="BDO35" s="292"/>
      <c r="BDP35" s="292"/>
      <c r="BDQ35" s="292"/>
      <c r="BDR35" s="292"/>
      <c r="BDS35" s="292"/>
      <c r="BDT35" s="292"/>
      <c r="BDU35" s="292"/>
      <c r="BDV35" s="292"/>
      <c r="BDW35" s="292"/>
      <c r="BDX35" s="292"/>
      <c r="BDY35" s="292"/>
      <c r="BDZ35" s="292"/>
      <c r="BEA35" s="292"/>
      <c r="BEB35" s="292"/>
      <c r="BEC35" s="292"/>
      <c r="BED35" s="292"/>
      <c r="BEE35" s="292"/>
      <c r="BEF35" s="292"/>
      <c r="BEG35" s="292"/>
      <c r="BEH35" s="292"/>
      <c r="BEI35" s="292"/>
      <c r="BEJ35" s="292"/>
      <c r="BEK35" s="292"/>
      <c r="BEL35" s="292"/>
      <c r="BEM35" s="292"/>
      <c r="BEN35" s="292"/>
      <c r="BEO35" s="292"/>
      <c r="BEP35" s="292"/>
      <c r="BEQ35" s="292"/>
      <c r="BER35" s="292"/>
      <c r="BES35" s="292"/>
      <c r="BET35" s="292"/>
      <c r="BEU35" s="292"/>
      <c r="BEV35" s="292"/>
      <c r="BEW35" s="292"/>
      <c r="BEX35" s="292"/>
      <c r="BEY35" s="292"/>
      <c r="BEZ35" s="292"/>
      <c r="BFA35" s="292"/>
      <c r="BFB35" s="292"/>
      <c r="BFC35" s="292"/>
      <c r="BFD35" s="292"/>
      <c r="BFE35" s="292"/>
      <c r="BFF35" s="292"/>
      <c r="BFG35" s="292"/>
      <c r="BFH35" s="292"/>
      <c r="BFI35" s="292"/>
      <c r="BFJ35" s="292"/>
      <c r="BFK35" s="292"/>
      <c r="BFL35" s="292"/>
      <c r="BFM35" s="292"/>
      <c r="BFN35" s="292"/>
      <c r="BFO35" s="292"/>
      <c r="BFP35" s="292"/>
      <c r="BFQ35" s="292"/>
      <c r="BFR35" s="292"/>
      <c r="BFS35" s="292"/>
      <c r="BFT35" s="292"/>
      <c r="BFU35" s="292"/>
      <c r="BFV35" s="292"/>
      <c r="BFW35" s="292"/>
      <c r="BFX35" s="292"/>
      <c r="BFY35" s="292"/>
      <c r="BFZ35" s="292"/>
      <c r="BGA35" s="292"/>
      <c r="BGB35" s="292"/>
      <c r="BGC35" s="292"/>
      <c r="BGD35" s="292"/>
      <c r="BGE35" s="292"/>
      <c r="BGF35" s="292"/>
      <c r="BGG35" s="292"/>
      <c r="BGH35" s="292"/>
      <c r="BGI35" s="292"/>
      <c r="BGJ35" s="292"/>
      <c r="BGK35" s="292"/>
      <c r="BGL35" s="292"/>
      <c r="BGM35" s="292"/>
      <c r="BGN35" s="292"/>
      <c r="BGO35" s="292"/>
      <c r="BGP35" s="292"/>
      <c r="BGQ35" s="292"/>
      <c r="BGR35" s="292"/>
      <c r="BGS35" s="292"/>
      <c r="BGT35" s="292"/>
      <c r="BGU35" s="292"/>
      <c r="BGV35" s="292"/>
      <c r="BGW35" s="292"/>
      <c r="BGX35" s="292"/>
      <c r="BGY35" s="292"/>
      <c r="BGZ35" s="292"/>
      <c r="BHA35" s="292"/>
      <c r="BHB35" s="292"/>
      <c r="BHC35" s="292"/>
      <c r="BHD35" s="292"/>
      <c r="BHE35" s="292"/>
      <c r="BHF35" s="292"/>
      <c r="BHG35" s="292"/>
      <c r="BHH35" s="292"/>
      <c r="BHI35" s="292"/>
      <c r="BHJ35" s="292"/>
      <c r="BHK35" s="292"/>
      <c r="BHL35" s="292"/>
      <c r="BHM35" s="292"/>
      <c r="BHN35" s="292"/>
      <c r="BHO35" s="292"/>
      <c r="BHP35" s="292"/>
      <c r="BHQ35" s="292"/>
      <c r="BHR35" s="292"/>
      <c r="BHS35" s="292"/>
      <c r="BHT35" s="292"/>
      <c r="BHU35" s="292"/>
      <c r="BHV35" s="292"/>
      <c r="BHW35" s="292"/>
      <c r="BHX35" s="292"/>
      <c r="BHY35" s="292"/>
      <c r="BHZ35" s="292"/>
      <c r="BIA35" s="292"/>
      <c r="BIB35" s="292"/>
      <c r="BIC35" s="292"/>
      <c r="BID35" s="292"/>
      <c r="BIE35" s="292"/>
      <c r="BIF35" s="292"/>
      <c r="BIG35" s="292"/>
      <c r="BIH35" s="292"/>
      <c r="BII35" s="292"/>
      <c r="BIJ35" s="292"/>
      <c r="BIK35" s="292"/>
      <c r="BIL35" s="292"/>
      <c r="BIM35" s="292"/>
      <c r="BIN35" s="292"/>
      <c r="BIO35" s="292"/>
      <c r="BIP35" s="292"/>
      <c r="BIQ35" s="292"/>
      <c r="BIR35" s="292"/>
      <c r="BIS35" s="292"/>
      <c r="BIT35" s="292"/>
      <c r="BIU35" s="292"/>
      <c r="BIV35" s="292"/>
      <c r="BIW35" s="292"/>
      <c r="BIX35" s="292"/>
      <c r="BIY35" s="292"/>
      <c r="BIZ35" s="292"/>
      <c r="BJA35" s="292"/>
      <c r="BJB35" s="292"/>
      <c r="BJC35" s="292"/>
      <c r="BJD35" s="292"/>
      <c r="BJE35" s="292"/>
      <c r="BJF35" s="292"/>
      <c r="BJG35" s="292"/>
      <c r="BJH35" s="292"/>
      <c r="BJI35" s="292"/>
      <c r="BJJ35" s="292"/>
      <c r="BJK35" s="292"/>
      <c r="BJL35" s="292"/>
      <c r="BJM35" s="292"/>
      <c r="BJN35" s="292"/>
      <c r="BJO35" s="292"/>
      <c r="BJP35" s="292"/>
      <c r="BJQ35" s="292"/>
      <c r="BJR35" s="292"/>
      <c r="BJS35" s="292"/>
      <c r="BJT35" s="292"/>
      <c r="BJU35" s="292"/>
      <c r="BJV35" s="292"/>
      <c r="BJW35" s="292"/>
      <c r="BJX35" s="292"/>
      <c r="BJY35" s="292"/>
      <c r="BJZ35" s="292"/>
      <c r="BKA35" s="292"/>
      <c r="BKB35" s="292"/>
      <c r="BKC35" s="292"/>
      <c r="BKD35" s="292"/>
      <c r="BKE35" s="292"/>
      <c r="BKF35" s="292"/>
      <c r="BKG35" s="292"/>
      <c r="BKH35" s="292"/>
      <c r="BKI35" s="292"/>
      <c r="BKJ35" s="292"/>
      <c r="BKK35" s="292"/>
      <c r="BKL35" s="292"/>
      <c r="BKM35" s="292"/>
      <c r="BKN35" s="292"/>
      <c r="BKO35" s="292"/>
      <c r="BKP35" s="292"/>
      <c r="BKQ35" s="292"/>
      <c r="BKR35" s="292"/>
      <c r="BKS35" s="292"/>
      <c r="BKT35" s="292"/>
      <c r="BKU35" s="292"/>
      <c r="BKV35" s="292"/>
      <c r="BKW35" s="292"/>
      <c r="BKX35" s="292"/>
      <c r="BKY35" s="292"/>
      <c r="BKZ35" s="292"/>
      <c r="BLA35" s="292"/>
      <c r="BLB35" s="292"/>
      <c r="BLC35" s="292"/>
      <c r="BLD35" s="292"/>
      <c r="BLE35" s="292"/>
      <c r="BLF35" s="292"/>
      <c r="BLG35" s="292"/>
      <c r="BLH35" s="292"/>
      <c r="BLI35" s="292"/>
      <c r="BLJ35" s="292"/>
      <c r="BLK35" s="292"/>
      <c r="BLL35" s="292"/>
      <c r="BLM35" s="292"/>
      <c r="BLN35" s="292"/>
      <c r="BLO35" s="292"/>
      <c r="BLP35" s="292"/>
      <c r="BLQ35" s="292"/>
      <c r="BLR35" s="292"/>
      <c r="BLS35" s="292"/>
      <c r="BLT35" s="292"/>
      <c r="BLU35" s="292"/>
      <c r="BLV35" s="292"/>
      <c r="BLW35" s="292"/>
      <c r="BLX35" s="292"/>
      <c r="BLY35" s="292"/>
      <c r="BLZ35" s="292"/>
      <c r="BMA35" s="292"/>
      <c r="BMB35" s="292"/>
      <c r="BMC35" s="292"/>
      <c r="BMD35" s="292"/>
      <c r="BME35" s="292"/>
      <c r="BMF35" s="292"/>
      <c r="BMG35" s="292"/>
      <c r="BMH35" s="292"/>
      <c r="BMI35" s="292"/>
      <c r="BMJ35" s="292"/>
      <c r="BMK35" s="292"/>
      <c r="BML35" s="292"/>
      <c r="BMM35" s="292"/>
      <c r="BMN35" s="292"/>
      <c r="BMO35" s="292"/>
      <c r="BMP35" s="292"/>
      <c r="BMQ35" s="292"/>
      <c r="BMR35" s="292"/>
      <c r="BMS35" s="292"/>
      <c r="BMT35" s="292"/>
      <c r="BMU35" s="292"/>
      <c r="BMV35" s="292"/>
      <c r="BMW35" s="292"/>
      <c r="BMX35" s="292"/>
      <c r="BMY35" s="292"/>
      <c r="BMZ35" s="292"/>
      <c r="BNA35" s="292"/>
      <c r="BNB35" s="292"/>
      <c r="BNC35" s="292"/>
      <c r="BND35" s="292"/>
      <c r="BNE35" s="292"/>
      <c r="BNF35" s="292"/>
      <c r="BNG35" s="292"/>
      <c r="BNH35" s="292"/>
      <c r="BNI35" s="292"/>
      <c r="BNJ35" s="292"/>
      <c r="BNK35" s="292"/>
      <c r="BNL35" s="292"/>
      <c r="BNM35" s="292"/>
      <c r="BNN35" s="292"/>
      <c r="BNO35" s="292"/>
      <c r="BNP35" s="292"/>
      <c r="BNQ35" s="292"/>
      <c r="BNR35" s="292"/>
      <c r="BNS35" s="292"/>
      <c r="BNT35" s="292"/>
      <c r="BNU35" s="292"/>
      <c r="BNV35" s="292"/>
      <c r="BNW35" s="292"/>
      <c r="BNX35" s="292"/>
      <c r="BNY35" s="292"/>
      <c r="BNZ35" s="292"/>
      <c r="BOA35" s="292"/>
      <c r="BOB35" s="292"/>
      <c r="BOC35" s="292"/>
      <c r="BOD35" s="292"/>
      <c r="BOE35" s="292"/>
      <c r="BOF35" s="292"/>
      <c r="BOG35" s="292"/>
      <c r="BOH35" s="292"/>
      <c r="BOI35" s="292"/>
      <c r="BOJ35" s="292"/>
      <c r="BOK35" s="292"/>
      <c r="BOL35" s="292"/>
      <c r="BOM35" s="292"/>
      <c r="BON35" s="292"/>
      <c r="BOO35" s="292"/>
      <c r="BOP35" s="292"/>
      <c r="BOQ35" s="292"/>
      <c r="BOR35" s="292"/>
      <c r="BOS35" s="292"/>
      <c r="BOT35" s="292"/>
      <c r="BOU35" s="292"/>
      <c r="BOV35" s="292"/>
      <c r="BOW35" s="292"/>
      <c r="BOX35" s="292"/>
      <c r="BOY35" s="292"/>
      <c r="BOZ35" s="292"/>
      <c r="BPA35" s="292"/>
      <c r="BPB35" s="292"/>
      <c r="BPC35" s="292"/>
      <c r="BPD35" s="292"/>
      <c r="BPE35" s="292"/>
      <c r="BPF35" s="292"/>
      <c r="BPG35" s="292"/>
      <c r="BPH35" s="292"/>
      <c r="BPI35" s="292"/>
      <c r="BPJ35" s="292"/>
      <c r="BPK35" s="292"/>
      <c r="BPL35" s="292"/>
      <c r="BPM35" s="292"/>
      <c r="BPN35" s="292"/>
      <c r="BPO35" s="292"/>
      <c r="BPP35" s="292"/>
      <c r="BPQ35" s="292"/>
      <c r="BPR35" s="292"/>
      <c r="BPS35" s="292"/>
      <c r="BPT35" s="292"/>
      <c r="BPU35" s="292"/>
      <c r="BPV35" s="292"/>
      <c r="BPW35" s="292"/>
      <c r="BPX35" s="292"/>
      <c r="BPY35" s="292"/>
      <c r="BPZ35" s="292"/>
      <c r="BQA35" s="292"/>
      <c r="BQB35" s="292"/>
      <c r="BQC35" s="292"/>
      <c r="BQD35" s="292"/>
      <c r="BQE35" s="292"/>
      <c r="BQF35" s="292"/>
      <c r="BQG35" s="292"/>
      <c r="BQH35" s="292"/>
      <c r="BQI35" s="292"/>
      <c r="BQJ35" s="292"/>
      <c r="BQK35" s="292"/>
      <c r="BQL35" s="292"/>
      <c r="BQM35" s="292"/>
      <c r="BQN35" s="292"/>
      <c r="BQO35" s="292"/>
      <c r="BQP35" s="292"/>
      <c r="BQQ35" s="292"/>
      <c r="BQR35" s="292"/>
      <c r="BQS35" s="292"/>
      <c r="BQT35" s="292"/>
      <c r="BQU35" s="292"/>
      <c r="BQV35" s="292"/>
      <c r="BQW35" s="292"/>
      <c r="BQX35" s="292"/>
      <c r="BQY35" s="292"/>
      <c r="BQZ35" s="292"/>
      <c r="BRA35" s="292"/>
      <c r="BRB35" s="292"/>
      <c r="BRC35" s="292"/>
      <c r="BRD35" s="292"/>
      <c r="BRE35" s="292"/>
      <c r="BRF35" s="292"/>
      <c r="BRG35" s="292"/>
      <c r="BRH35" s="292"/>
      <c r="BRI35" s="292"/>
      <c r="BRJ35" s="292"/>
      <c r="BRK35" s="292"/>
      <c r="BRL35" s="292"/>
      <c r="BRM35" s="292"/>
      <c r="BRN35" s="292"/>
      <c r="BRO35" s="292"/>
      <c r="BRP35" s="292"/>
      <c r="BRQ35" s="292"/>
      <c r="BRR35" s="292"/>
      <c r="BRS35" s="292"/>
      <c r="BRT35" s="292"/>
      <c r="BRU35" s="292"/>
      <c r="BRV35" s="292"/>
      <c r="BRW35" s="292"/>
      <c r="BRX35" s="292"/>
      <c r="BRY35" s="292"/>
      <c r="BRZ35" s="292"/>
      <c r="BSA35" s="292"/>
      <c r="BSB35" s="292"/>
      <c r="BSC35" s="292"/>
      <c r="BSD35" s="292"/>
      <c r="BSE35" s="292"/>
      <c r="BSF35" s="292"/>
      <c r="BSG35" s="292"/>
      <c r="BSH35" s="292"/>
      <c r="BSI35" s="292"/>
      <c r="BSJ35" s="292"/>
      <c r="BSK35" s="292"/>
      <c r="BSL35" s="292"/>
      <c r="BSM35" s="292"/>
      <c r="BSN35" s="292"/>
      <c r="BSO35" s="292"/>
      <c r="BSP35" s="292"/>
      <c r="BSQ35" s="292"/>
      <c r="BSR35" s="292"/>
      <c r="BSS35" s="292"/>
      <c r="BST35" s="292"/>
      <c r="BSU35" s="292"/>
      <c r="BSV35" s="292"/>
      <c r="BSW35" s="292"/>
      <c r="BSX35" s="292"/>
      <c r="BSY35" s="292"/>
      <c r="BSZ35" s="292"/>
      <c r="BTA35" s="292"/>
      <c r="BTB35" s="292"/>
      <c r="BTC35" s="292"/>
      <c r="BTD35" s="292"/>
      <c r="BTE35" s="292"/>
      <c r="BTF35" s="292"/>
      <c r="BTG35" s="292"/>
      <c r="BTH35" s="292"/>
      <c r="BTI35" s="292"/>
      <c r="BTJ35" s="292"/>
      <c r="BTK35" s="292"/>
      <c r="BTL35" s="292"/>
      <c r="BTM35" s="292"/>
      <c r="BTN35" s="292"/>
      <c r="BTO35" s="292"/>
      <c r="BTP35" s="292"/>
      <c r="BTQ35" s="292"/>
      <c r="BTR35" s="292"/>
      <c r="BTS35" s="292"/>
      <c r="BTT35" s="292"/>
      <c r="BTU35" s="292"/>
      <c r="BTV35" s="292"/>
      <c r="BTW35" s="292"/>
      <c r="BTX35" s="292"/>
      <c r="BTY35" s="292"/>
      <c r="BTZ35" s="292"/>
      <c r="BUA35" s="292"/>
      <c r="BUB35" s="292"/>
      <c r="BUC35" s="292"/>
      <c r="BUD35" s="292"/>
      <c r="BUE35" s="292"/>
      <c r="BUF35" s="292"/>
      <c r="BUG35" s="292"/>
      <c r="BUH35" s="292"/>
      <c r="BUI35" s="292"/>
      <c r="BUJ35" s="292"/>
      <c r="BUK35" s="292"/>
      <c r="BUL35" s="292"/>
      <c r="BUM35" s="292"/>
      <c r="BUN35" s="292"/>
      <c r="BUO35" s="292"/>
      <c r="BUP35" s="292"/>
      <c r="BUQ35" s="292"/>
      <c r="BUR35" s="292"/>
      <c r="BUS35" s="292"/>
      <c r="BUT35" s="292"/>
      <c r="BUU35" s="292"/>
      <c r="BUV35" s="292"/>
      <c r="BUW35" s="292"/>
      <c r="BUX35" s="292"/>
      <c r="BUY35" s="292"/>
      <c r="BUZ35" s="292"/>
      <c r="BVA35" s="292"/>
      <c r="BVB35" s="292"/>
      <c r="BVC35" s="292"/>
      <c r="BVD35" s="292"/>
      <c r="BVE35" s="292"/>
      <c r="BVF35" s="292"/>
      <c r="BVG35" s="292"/>
      <c r="BVH35" s="292"/>
      <c r="BVI35" s="292"/>
      <c r="BVJ35" s="292"/>
      <c r="BVK35" s="292"/>
      <c r="BVL35" s="292"/>
      <c r="BVM35" s="292"/>
      <c r="BVN35" s="292"/>
      <c r="BVO35" s="292"/>
      <c r="BVP35" s="292"/>
      <c r="BVQ35" s="292"/>
      <c r="BVR35" s="292"/>
      <c r="BVS35" s="292"/>
      <c r="BVT35" s="292"/>
      <c r="BVU35" s="292"/>
      <c r="BVV35" s="292"/>
      <c r="BVW35" s="292"/>
      <c r="BVX35" s="292"/>
      <c r="BVY35" s="292"/>
      <c r="BVZ35" s="292"/>
      <c r="BWA35" s="292"/>
      <c r="BWB35" s="292"/>
      <c r="BWC35" s="292"/>
      <c r="BWD35" s="292"/>
      <c r="BWE35" s="292"/>
      <c r="BWF35" s="292"/>
      <c r="BWG35" s="292"/>
      <c r="BWH35" s="292"/>
      <c r="BWI35" s="292"/>
      <c r="BWJ35" s="292"/>
      <c r="BWK35" s="292"/>
      <c r="BWL35" s="292"/>
      <c r="BWM35" s="292"/>
      <c r="BWN35" s="292"/>
      <c r="BWO35" s="292"/>
      <c r="BWP35" s="292"/>
      <c r="BWQ35" s="292"/>
      <c r="BWR35" s="292"/>
      <c r="BWS35" s="292"/>
      <c r="BWT35" s="292"/>
      <c r="BWU35" s="292"/>
      <c r="BWV35" s="292"/>
      <c r="BWW35" s="292"/>
      <c r="BWX35" s="292"/>
      <c r="BWY35" s="292"/>
      <c r="BWZ35" s="292"/>
      <c r="BXA35" s="292"/>
      <c r="BXB35" s="292"/>
      <c r="BXC35" s="292"/>
      <c r="BXD35" s="292"/>
      <c r="BXE35" s="292"/>
      <c r="BXF35" s="292"/>
      <c r="BXG35" s="292"/>
      <c r="BXH35" s="292"/>
      <c r="BXI35" s="292"/>
      <c r="BXJ35" s="292"/>
      <c r="BXK35" s="292"/>
      <c r="BXL35" s="292"/>
      <c r="BXM35" s="292"/>
      <c r="BXN35" s="292"/>
      <c r="BXO35" s="292"/>
      <c r="BXP35" s="292"/>
      <c r="BXQ35" s="292"/>
      <c r="BXR35" s="292"/>
      <c r="BXS35" s="292"/>
      <c r="BXT35" s="292"/>
      <c r="BXU35" s="292"/>
      <c r="BXV35" s="292"/>
      <c r="BXW35" s="292"/>
      <c r="BXX35" s="292"/>
      <c r="BXY35" s="292"/>
      <c r="BXZ35" s="292"/>
      <c r="BYA35" s="292"/>
      <c r="BYB35" s="292"/>
      <c r="BYC35" s="292"/>
      <c r="BYD35" s="292"/>
      <c r="BYE35" s="292"/>
      <c r="BYF35" s="292"/>
      <c r="BYG35" s="292"/>
      <c r="BYH35" s="292"/>
      <c r="BYI35" s="292"/>
      <c r="BYJ35" s="292"/>
      <c r="BYK35" s="292"/>
      <c r="BYL35" s="292"/>
      <c r="BYM35" s="292"/>
      <c r="BYN35" s="292"/>
      <c r="BYO35" s="292"/>
      <c r="BYP35" s="292"/>
      <c r="BYQ35" s="292"/>
      <c r="BYR35" s="292"/>
      <c r="BYS35" s="292"/>
      <c r="BYT35" s="292"/>
      <c r="BYU35" s="292"/>
      <c r="BYV35" s="292"/>
      <c r="BYW35" s="292"/>
      <c r="BYX35" s="292"/>
      <c r="BYY35" s="292"/>
      <c r="BYZ35" s="292"/>
      <c r="BZA35" s="292"/>
      <c r="BZB35" s="292"/>
      <c r="BZC35" s="292"/>
      <c r="BZD35" s="292"/>
      <c r="BZE35" s="292"/>
      <c r="BZF35" s="292"/>
      <c r="BZG35" s="292"/>
      <c r="BZH35" s="292"/>
      <c r="BZI35" s="292"/>
      <c r="BZJ35" s="292"/>
      <c r="BZK35" s="292"/>
      <c r="BZL35" s="292"/>
      <c r="BZM35" s="292"/>
      <c r="BZN35" s="292"/>
      <c r="BZO35" s="292"/>
      <c r="BZP35" s="292"/>
      <c r="BZQ35" s="292"/>
      <c r="BZR35" s="292"/>
      <c r="BZS35" s="292"/>
      <c r="BZT35" s="292"/>
      <c r="BZU35" s="292"/>
      <c r="BZV35" s="292"/>
      <c r="BZW35" s="292"/>
      <c r="BZX35" s="292"/>
      <c r="BZY35" s="292"/>
      <c r="BZZ35" s="292"/>
      <c r="CAA35" s="292"/>
      <c r="CAB35" s="292"/>
      <c r="CAC35" s="292"/>
      <c r="CAD35" s="292"/>
      <c r="CAE35" s="292"/>
      <c r="CAF35" s="292"/>
      <c r="CAG35" s="292"/>
      <c r="CAH35" s="292"/>
      <c r="CAI35" s="292"/>
      <c r="CAJ35" s="292"/>
      <c r="CAK35" s="292"/>
      <c r="CAL35" s="292"/>
      <c r="CAM35" s="292"/>
      <c r="CAN35" s="292"/>
      <c r="CAO35" s="292"/>
      <c r="CAP35" s="292"/>
      <c r="CAQ35" s="292"/>
      <c r="CAR35" s="292"/>
      <c r="CAS35" s="292"/>
      <c r="CAT35" s="292"/>
      <c r="CAU35" s="292"/>
      <c r="CAV35" s="292"/>
      <c r="CAW35" s="292"/>
      <c r="CAX35" s="292"/>
      <c r="CAY35" s="292"/>
      <c r="CAZ35" s="292"/>
      <c r="CBA35" s="292"/>
      <c r="CBB35" s="292"/>
      <c r="CBC35" s="292"/>
      <c r="CBD35" s="292"/>
      <c r="CBE35" s="292"/>
      <c r="CBF35" s="292"/>
      <c r="CBG35" s="292"/>
      <c r="CBH35" s="292"/>
      <c r="CBI35" s="292"/>
      <c r="CBJ35" s="292"/>
      <c r="CBK35" s="292"/>
      <c r="CBL35" s="292"/>
      <c r="CBM35" s="292"/>
      <c r="CBN35" s="292"/>
      <c r="CBO35" s="292"/>
      <c r="CBP35" s="292"/>
      <c r="CBQ35" s="292"/>
      <c r="CBR35" s="292"/>
      <c r="CBS35" s="292"/>
      <c r="CBT35" s="292"/>
      <c r="CBU35" s="292"/>
      <c r="CBV35" s="292"/>
      <c r="CBW35" s="292"/>
      <c r="CBX35" s="292"/>
      <c r="CBY35" s="292"/>
      <c r="CBZ35" s="292"/>
      <c r="CCA35" s="292"/>
      <c r="CCB35" s="292"/>
      <c r="CCC35" s="292"/>
      <c r="CCD35" s="292"/>
      <c r="CCE35" s="292"/>
      <c r="CCF35" s="292"/>
      <c r="CCG35" s="292"/>
      <c r="CCH35" s="292"/>
      <c r="CCI35" s="292"/>
      <c r="CCJ35" s="292"/>
      <c r="CCK35" s="292"/>
      <c r="CCL35" s="292"/>
      <c r="CCM35" s="292"/>
      <c r="CCN35" s="292"/>
      <c r="CCO35" s="292"/>
      <c r="CCP35" s="292"/>
      <c r="CCQ35" s="292"/>
      <c r="CCR35" s="292"/>
      <c r="CCS35" s="292"/>
      <c r="CCT35" s="292"/>
      <c r="CCU35" s="292"/>
      <c r="CCV35" s="292"/>
      <c r="CCW35" s="292"/>
      <c r="CCX35" s="292"/>
      <c r="CCY35" s="292"/>
      <c r="CCZ35" s="292"/>
      <c r="CDA35" s="292"/>
      <c r="CDB35" s="292"/>
      <c r="CDC35" s="292"/>
      <c r="CDD35" s="292"/>
      <c r="CDE35" s="292"/>
      <c r="CDF35" s="292"/>
      <c r="CDG35" s="292"/>
      <c r="CDH35" s="292"/>
      <c r="CDI35" s="292"/>
      <c r="CDJ35" s="292"/>
      <c r="CDK35" s="292"/>
      <c r="CDL35" s="292"/>
      <c r="CDM35" s="292"/>
      <c r="CDN35" s="292"/>
      <c r="CDO35" s="292"/>
      <c r="CDP35" s="292"/>
      <c r="CDQ35" s="292"/>
      <c r="CDR35" s="292"/>
      <c r="CDS35" s="292"/>
      <c r="CDT35" s="292"/>
      <c r="CDU35" s="292"/>
      <c r="CDV35" s="292"/>
      <c r="CDW35" s="292"/>
      <c r="CDX35" s="292"/>
      <c r="CDY35" s="292"/>
      <c r="CDZ35" s="292"/>
      <c r="CEA35" s="292"/>
      <c r="CEB35" s="292"/>
      <c r="CEC35" s="292"/>
      <c r="CED35" s="292"/>
      <c r="CEE35" s="292"/>
      <c r="CEF35" s="292"/>
      <c r="CEG35" s="292"/>
      <c r="CEH35" s="292"/>
      <c r="CEI35" s="292"/>
      <c r="CEJ35" s="292"/>
      <c r="CEK35" s="292"/>
      <c r="CEL35" s="292"/>
      <c r="CEM35" s="292"/>
      <c r="CEN35" s="292"/>
      <c r="CEO35" s="292"/>
      <c r="CEP35" s="292"/>
      <c r="CEQ35" s="292"/>
      <c r="CER35" s="292"/>
      <c r="CES35" s="292"/>
      <c r="CET35" s="292"/>
      <c r="CEU35" s="292"/>
      <c r="CEV35" s="292"/>
      <c r="CEW35" s="292"/>
      <c r="CEX35" s="292"/>
      <c r="CEY35" s="292"/>
      <c r="CEZ35" s="292"/>
      <c r="CFA35" s="292"/>
      <c r="CFB35" s="292"/>
      <c r="CFC35" s="292"/>
      <c r="CFD35" s="292"/>
      <c r="CFE35" s="292"/>
      <c r="CFF35" s="292"/>
      <c r="CFG35" s="292"/>
      <c r="CFH35" s="292"/>
      <c r="CFI35" s="292"/>
      <c r="CFJ35" s="292"/>
      <c r="CFK35" s="292"/>
      <c r="CFL35" s="292"/>
      <c r="CFM35" s="292"/>
      <c r="CFN35" s="292"/>
      <c r="CFO35" s="292"/>
      <c r="CFP35" s="292"/>
      <c r="CFQ35" s="292"/>
      <c r="CFR35" s="292"/>
      <c r="CFS35" s="292"/>
      <c r="CFT35" s="292"/>
      <c r="CFU35" s="292"/>
      <c r="CFV35" s="292"/>
      <c r="CFW35" s="292"/>
      <c r="CFX35" s="292"/>
      <c r="CFY35" s="292"/>
      <c r="CFZ35" s="292"/>
      <c r="CGA35" s="292"/>
      <c r="CGB35" s="292"/>
      <c r="CGC35" s="292"/>
      <c r="CGD35" s="292"/>
      <c r="CGE35" s="292"/>
      <c r="CGF35" s="292"/>
      <c r="CGG35" s="292"/>
      <c r="CGH35" s="292"/>
      <c r="CGI35" s="292"/>
      <c r="CGJ35" s="292"/>
      <c r="CGK35" s="292"/>
      <c r="CGL35" s="292"/>
      <c r="CGM35" s="292"/>
      <c r="CGN35" s="292"/>
      <c r="CGO35" s="292"/>
      <c r="CGP35" s="292"/>
      <c r="CGQ35" s="292"/>
      <c r="CGR35" s="292"/>
      <c r="CGS35" s="292"/>
      <c r="CGT35" s="292"/>
      <c r="CGU35" s="292"/>
      <c r="CGV35" s="292"/>
      <c r="CGW35" s="292"/>
      <c r="CGX35" s="292"/>
      <c r="CGY35" s="292"/>
      <c r="CGZ35" s="292"/>
      <c r="CHA35" s="292"/>
      <c r="CHB35" s="292"/>
      <c r="CHC35" s="292"/>
      <c r="CHD35" s="292"/>
      <c r="CHE35" s="292"/>
      <c r="CHF35" s="292"/>
      <c r="CHG35" s="292"/>
      <c r="CHH35" s="292"/>
      <c r="CHI35" s="292"/>
      <c r="CHJ35" s="292"/>
      <c r="CHK35" s="292"/>
      <c r="CHL35" s="292"/>
      <c r="CHM35" s="292"/>
      <c r="CHN35" s="292"/>
      <c r="CHO35" s="292"/>
      <c r="CHP35" s="292"/>
      <c r="CHQ35" s="292"/>
      <c r="CHR35" s="292"/>
      <c r="CHS35" s="292"/>
      <c r="CHT35" s="292"/>
      <c r="CHU35" s="292"/>
      <c r="CHV35" s="292"/>
      <c r="CHW35" s="292"/>
      <c r="CHX35" s="292"/>
      <c r="CHY35" s="292"/>
      <c r="CHZ35" s="292"/>
      <c r="CIA35" s="292"/>
      <c r="CIB35" s="292"/>
      <c r="CIC35" s="292"/>
      <c r="CID35" s="292"/>
      <c r="CIE35" s="292"/>
      <c r="CIF35" s="292"/>
      <c r="CIG35" s="292"/>
      <c r="CIH35" s="292"/>
      <c r="CII35" s="292"/>
      <c r="CIJ35" s="292"/>
      <c r="CIK35" s="292"/>
      <c r="CIL35" s="292"/>
      <c r="CIM35" s="292"/>
      <c r="CIN35" s="292"/>
      <c r="CIO35" s="292"/>
      <c r="CIP35" s="292"/>
      <c r="CIQ35" s="292"/>
      <c r="CIR35" s="292"/>
      <c r="CIS35" s="292"/>
      <c r="CIT35" s="292"/>
      <c r="CIU35" s="292"/>
      <c r="CIV35" s="292"/>
      <c r="CIW35" s="292"/>
      <c r="CIX35" s="292"/>
      <c r="CIY35" s="292"/>
      <c r="CIZ35" s="292"/>
      <c r="CJA35" s="292"/>
      <c r="CJB35" s="292"/>
      <c r="CJC35" s="292"/>
      <c r="CJD35" s="292"/>
      <c r="CJE35" s="292"/>
      <c r="CJF35" s="292"/>
      <c r="CJG35" s="292"/>
      <c r="CJH35" s="292"/>
      <c r="CJI35" s="292"/>
      <c r="CJJ35" s="292"/>
      <c r="CJK35" s="292"/>
      <c r="CJL35" s="292"/>
      <c r="CJM35" s="292"/>
      <c r="CJN35" s="292"/>
      <c r="CJO35" s="292"/>
      <c r="CJP35" s="292"/>
      <c r="CJQ35" s="292"/>
      <c r="CJR35" s="292"/>
      <c r="CJS35" s="292"/>
      <c r="CJT35" s="292"/>
      <c r="CJU35" s="292"/>
      <c r="CJV35" s="292"/>
      <c r="CJW35" s="292"/>
      <c r="CJX35" s="292"/>
      <c r="CJY35" s="292"/>
      <c r="CJZ35" s="292"/>
      <c r="CKA35" s="292"/>
      <c r="CKB35" s="292"/>
      <c r="CKC35" s="292"/>
      <c r="CKD35" s="292"/>
      <c r="CKE35" s="292"/>
      <c r="CKF35" s="292"/>
      <c r="CKG35" s="292"/>
      <c r="CKH35" s="292"/>
      <c r="CKI35" s="292"/>
      <c r="CKJ35" s="292"/>
      <c r="CKK35" s="292"/>
      <c r="CKL35" s="292"/>
      <c r="CKM35" s="292"/>
      <c r="CKN35" s="292"/>
      <c r="CKO35" s="292"/>
      <c r="CKP35" s="292"/>
      <c r="CKQ35" s="292"/>
      <c r="CKR35" s="292"/>
      <c r="CKS35" s="292"/>
      <c r="CKT35" s="292"/>
      <c r="CKU35" s="292"/>
      <c r="CKV35" s="292"/>
      <c r="CKW35" s="292"/>
      <c r="CKX35" s="292"/>
      <c r="CKY35" s="292"/>
      <c r="CKZ35" s="292"/>
      <c r="CLA35" s="292"/>
      <c r="CLB35" s="292"/>
      <c r="CLC35" s="292"/>
      <c r="CLD35" s="292"/>
      <c r="CLE35" s="292"/>
      <c r="CLF35" s="292"/>
      <c r="CLG35" s="292"/>
      <c r="CLH35" s="292"/>
      <c r="CLI35" s="292"/>
      <c r="CLJ35" s="292"/>
      <c r="CLK35" s="292"/>
      <c r="CLL35" s="292"/>
      <c r="CLM35" s="292"/>
      <c r="CLN35" s="292"/>
      <c r="CLO35" s="292"/>
      <c r="CLP35" s="292"/>
      <c r="CLQ35" s="292"/>
      <c r="CLR35" s="292"/>
      <c r="CLS35" s="292"/>
      <c r="CLT35" s="292"/>
      <c r="CLU35" s="292"/>
      <c r="CLV35" s="292"/>
      <c r="CLW35" s="292"/>
      <c r="CLX35" s="292"/>
      <c r="CLY35" s="292"/>
      <c r="CLZ35" s="292"/>
      <c r="CMA35" s="292"/>
      <c r="CMB35" s="292"/>
      <c r="CMC35" s="292"/>
      <c r="CMD35" s="292"/>
      <c r="CME35" s="292"/>
      <c r="CMF35" s="292"/>
      <c r="CMG35" s="292"/>
      <c r="CMH35" s="292"/>
      <c r="CMI35" s="292"/>
      <c r="CMJ35" s="292"/>
      <c r="CMK35" s="292"/>
      <c r="CML35" s="292"/>
      <c r="CMM35" s="292"/>
      <c r="CMN35" s="292"/>
      <c r="CMO35" s="292"/>
      <c r="CMP35" s="292"/>
      <c r="CMQ35" s="292"/>
      <c r="CMR35" s="292"/>
      <c r="CMS35" s="292"/>
      <c r="CMT35" s="292"/>
      <c r="CMU35" s="292"/>
      <c r="CMV35" s="292"/>
      <c r="CMW35" s="292"/>
      <c r="CMX35" s="292"/>
      <c r="CMY35" s="292"/>
      <c r="CMZ35" s="292"/>
      <c r="CNA35" s="292"/>
      <c r="CNB35" s="292"/>
      <c r="CNC35" s="292"/>
      <c r="CND35" s="292"/>
      <c r="CNE35" s="292"/>
      <c r="CNF35" s="292"/>
      <c r="CNG35" s="292"/>
      <c r="CNH35" s="292"/>
      <c r="CNI35" s="292"/>
      <c r="CNJ35" s="292"/>
      <c r="CNK35" s="292"/>
      <c r="CNL35" s="292"/>
      <c r="CNM35" s="292"/>
      <c r="CNN35" s="292"/>
      <c r="CNO35" s="292"/>
      <c r="CNP35" s="292"/>
      <c r="CNQ35" s="292"/>
      <c r="CNR35" s="292"/>
      <c r="CNS35" s="292"/>
      <c r="CNT35" s="292"/>
      <c r="CNU35" s="292"/>
      <c r="CNV35" s="292"/>
      <c r="CNW35" s="292"/>
      <c r="CNX35" s="292"/>
      <c r="CNY35" s="292"/>
      <c r="CNZ35" s="292"/>
      <c r="COA35" s="292"/>
      <c r="COB35" s="292"/>
      <c r="COC35" s="292"/>
      <c r="COD35" s="292"/>
      <c r="COE35" s="292"/>
      <c r="COF35" s="292"/>
      <c r="COG35" s="292"/>
      <c r="COH35" s="292"/>
      <c r="COI35" s="292"/>
      <c r="COJ35" s="292"/>
      <c r="COK35" s="292"/>
      <c r="COL35" s="292"/>
      <c r="COM35" s="292"/>
      <c r="CON35" s="292"/>
      <c r="COO35" s="292"/>
      <c r="COP35" s="292"/>
      <c r="COQ35" s="292"/>
      <c r="COR35" s="292"/>
      <c r="COS35" s="292"/>
      <c r="COT35" s="292"/>
      <c r="COU35" s="292"/>
      <c r="COV35" s="292"/>
      <c r="COW35" s="292"/>
      <c r="COX35" s="292"/>
      <c r="COY35" s="292"/>
      <c r="COZ35" s="292"/>
      <c r="CPA35" s="292"/>
      <c r="CPB35" s="292"/>
      <c r="CPC35" s="292"/>
      <c r="CPD35" s="292"/>
      <c r="CPE35" s="292"/>
      <c r="CPF35" s="292"/>
      <c r="CPG35" s="292"/>
      <c r="CPH35" s="292"/>
      <c r="CPI35" s="292"/>
      <c r="CPJ35" s="292"/>
      <c r="CPK35" s="292"/>
      <c r="CPL35" s="292"/>
      <c r="CPM35" s="292"/>
      <c r="CPN35" s="292"/>
      <c r="CPO35" s="292"/>
      <c r="CPP35" s="292"/>
      <c r="CPQ35" s="292"/>
      <c r="CPR35" s="292"/>
      <c r="CPS35" s="292"/>
      <c r="CPT35" s="292"/>
      <c r="CPU35" s="292"/>
      <c r="CPV35" s="292"/>
      <c r="CPW35" s="292"/>
      <c r="CPX35" s="292"/>
      <c r="CPY35" s="292"/>
      <c r="CPZ35" s="292"/>
      <c r="CQA35" s="292"/>
      <c r="CQB35" s="292"/>
      <c r="CQC35" s="292"/>
      <c r="CQD35" s="292"/>
      <c r="CQE35" s="292"/>
      <c r="CQF35" s="292"/>
      <c r="CQG35" s="292"/>
      <c r="CQH35" s="292"/>
      <c r="CQI35" s="292"/>
      <c r="CQJ35" s="292"/>
      <c r="CQK35" s="292"/>
      <c r="CQL35" s="292"/>
      <c r="CQM35" s="292"/>
      <c r="CQN35" s="292"/>
      <c r="CQO35" s="292"/>
      <c r="CQP35" s="292"/>
      <c r="CQQ35" s="292"/>
      <c r="CQR35" s="292"/>
      <c r="CQS35" s="292"/>
      <c r="CQT35" s="292"/>
      <c r="CQU35" s="292"/>
      <c r="CQV35" s="292"/>
      <c r="CQW35" s="292"/>
      <c r="CQX35" s="292"/>
      <c r="CQY35" s="292"/>
      <c r="CQZ35" s="292"/>
      <c r="CRA35" s="292"/>
      <c r="CRB35" s="292"/>
      <c r="CRC35" s="292"/>
      <c r="CRD35" s="292"/>
      <c r="CRE35" s="292"/>
      <c r="CRF35" s="292"/>
      <c r="CRG35" s="292"/>
      <c r="CRH35" s="292"/>
      <c r="CRI35" s="292"/>
      <c r="CRJ35" s="292"/>
      <c r="CRK35" s="292"/>
      <c r="CRL35" s="292"/>
      <c r="CRM35" s="292"/>
      <c r="CRN35" s="292"/>
      <c r="CRO35" s="292"/>
      <c r="CRP35" s="292"/>
      <c r="CRQ35" s="292"/>
      <c r="CRR35" s="292"/>
      <c r="CRS35" s="292"/>
      <c r="CRT35" s="292"/>
      <c r="CRU35" s="292"/>
      <c r="CRV35" s="292"/>
      <c r="CRW35" s="292"/>
      <c r="CRX35" s="292"/>
      <c r="CRY35" s="292"/>
      <c r="CRZ35" s="292"/>
      <c r="CSA35" s="292"/>
      <c r="CSB35" s="292"/>
      <c r="CSC35" s="292"/>
      <c r="CSD35" s="292"/>
      <c r="CSE35" s="292"/>
      <c r="CSF35" s="292"/>
      <c r="CSG35" s="292"/>
      <c r="CSH35" s="292"/>
      <c r="CSI35" s="292"/>
      <c r="CSJ35" s="292"/>
      <c r="CSK35" s="292"/>
      <c r="CSL35" s="292"/>
      <c r="CSM35" s="292"/>
      <c r="CSN35" s="292"/>
      <c r="CSO35" s="292"/>
      <c r="CSP35" s="292"/>
      <c r="CSQ35" s="292"/>
      <c r="CSR35" s="292"/>
      <c r="CSS35" s="292"/>
      <c r="CST35" s="292"/>
      <c r="CSU35" s="292"/>
      <c r="CSV35" s="292"/>
      <c r="CSW35" s="292"/>
      <c r="CSX35" s="292"/>
      <c r="CSY35" s="292"/>
      <c r="CSZ35" s="292"/>
      <c r="CTA35" s="292"/>
      <c r="CTB35" s="292"/>
      <c r="CTC35" s="292"/>
      <c r="CTD35" s="292"/>
      <c r="CTE35" s="292"/>
      <c r="CTF35" s="292"/>
      <c r="CTG35" s="292"/>
      <c r="CTH35" s="292"/>
      <c r="CTI35" s="292"/>
      <c r="CTJ35" s="292"/>
      <c r="CTK35" s="292"/>
      <c r="CTL35" s="292"/>
      <c r="CTM35" s="292"/>
      <c r="CTN35" s="292"/>
      <c r="CTO35" s="292"/>
      <c r="CTP35" s="292"/>
      <c r="CTQ35" s="292"/>
      <c r="CTR35" s="292"/>
      <c r="CTS35" s="292"/>
      <c r="CTT35" s="292"/>
      <c r="CTU35" s="292"/>
      <c r="CTV35" s="292"/>
      <c r="CTW35" s="292"/>
      <c r="CTX35" s="292"/>
      <c r="CTY35" s="292"/>
      <c r="CTZ35" s="292"/>
      <c r="CUA35" s="292"/>
      <c r="CUB35" s="292"/>
      <c r="CUC35" s="292"/>
      <c r="CUD35" s="292"/>
      <c r="CUE35" s="292"/>
      <c r="CUF35" s="292"/>
      <c r="CUG35" s="292"/>
      <c r="CUH35" s="292"/>
      <c r="CUI35" s="292"/>
      <c r="CUJ35" s="292"/>
      <c r="CUK35" s="292"/>
      <c r="CUL35" s="292"/>
      <c r="CUM35" s="292"/>
      <c r="CUN35" s="292"/>
      <c r="CUO35" s="292"/>
      <c r="CUP35" s="292"/>
      <c r="CUQ35" s="292"/>
      <c r="CUR35" s="292"/>
      <c r="CUS35" s="292"/>
      <c r="CUT35" s="292"/>
      <c r="CUU35" s="292"/>
      <c r="CUV35" s="292"/>
      <c r="CUW35" s="292"/>
      <c r="CUX35" s="292"/>
      <c r="CUY35" s="292"/>
      <c r="CUZ35" s="292"/>
      <c r="CVA35" s="292"/>
      <c r="CVB35" s="292"/>
      <c r="CVC35" s="292"/>
      <c r="CVD35" s="292"/>
      <c r="CVE35" s="292"/>
      <c r="CVF35" s="292"/>
      <c r="CVG35" s="292"/>
      <c r="CVH35" s="292"/>
      <c r="CVI35" s="292"/>
      <c r="CVJ35" s="292"/>
      <c r="CVK35" s="292"/>
      <c r="CVL35" s="292"/>
      <c r="CVM35" s="292"/>
      <c r="CVN35" s="292"/>
      <c r="CVO35" s="292"/>
      <c r="CVP35" s="292"/>
      <c r="CVQ35" s="292"/>
      <c r="CVR35" s="292"/>
      <c r="CVS35" s="292"/>
      <c r="CVT35" s="292"/>
      <c r="CVU35" s="292"/>
      <c r="CVV35" s="292"/>
      <c r="CVW35" s="292"/>
      <c r="CVX35" s="292"/>
      <c r="CVY35" s="292"/>
      <c r="CVZ35" s="292"/>
      <c r="CWA35" s="292"/>
      <c r="CWB35" s="292"/>
      <c r="CWC35" s="292"/>
      <c r="CWD35" s="292"/>
      <c r="CWE35" s="292"/>
      <c r="CWF35" s="292"/>
      <c r="CWG35" s="292"/>
      <c r="CWH35" s="292"/>
      <c r="CWI35" s="292"/>
      <c r="CWJ35" s="292"/>
      <c r="CWK35" s="292"/>
      <c r="CWL35" s="292"/>
      <c r="CWM35" s="292"/>
      <c r="CWN35" s="292"/>
      <c r="CWO35" s="292"/>
      <c r="CWP35" s="292"/>
      <c r="CWQ35" s="292"/>
      <c r="CWR35" s="292"/>
      <c r="CWS35" s="292"/>
      <c r="CWT35" s="292"/>
      <c r="CWU35" s="292"/>
      <c r="CWV35" s="292"/>
      <c r="CWW35" s="292"/>
      <c r="CWX35" s="292"/>
      <c r="CWY35" s="292"/>
      <c r="CWZ35" s="292"/>
      <c r="CXA35" s="292"/>
      <c r="CXB35" s="292"/>
      <c r="CXC35" s="292"/>
      <c r="CXD35" s="292"/>
      <c r="CXE35" s="292"/>
      <c r="CXF35" s="292"/>
      <c r="CXG35" s="292"/>
      <c r="CXH35" s="292"/>
      <c r="CXI35" s="292"/>
      <c r="CXJ35" s="292"/>
      <c r="CXK35" s="292"/>
      <c r="CXL35" s="292"/>
      <c r="CXM35" s="292"/>
      <c r="CXN35" s="292"/>
      <c r="CXO35" s="292"/>
      <c r="CXP35" s="292"/>
      <c r="CXQ35" s="292"/>
      <c r="CXR35" s="292"/>
      <c r="CXS35" s="292"/>
      <c r="CXT35" s="292"/>
      <c r="CXU35" s="292"/>
      <c r="CXV35" s="292"/>
      <c r="CXW35" s="292"/>
      <c r="CXX35" s="292"/>
      <c r="CXY35" s="292"/>
      <c r="CXZ35" s="292"/>
      <c r="CYA35" s="292"/>
      <c r="CYB35" s="292"/>
      <c r="CYC35" s="292"/>
      <c r="CYD35" s="292"/>
      <c r="CYE35" s="292"/>
      <c r="CYF35" s="292"/>
      <c r="CYG35" s="292"/>
      <c r="CYH35" s="292"/>
      <c r="CYI35" s="292"/>
      <c r="CYJ35" s="292"/>
      <c r="CYK35" s="292"/>
      <c r="CYL35" s="292"/>
      <c r="CYM35" s="292"/>
      <c r="CYN35" s="292"/>
      <c r="CYO35" s="292"/>
      <c r="CYP35" s="292"/>
      <c r="CYQ35" s="292"/>
      <c r="CYR35" s="292"/>
      <c r="CYS35" s="292"/>
      <c r="CYT35" s="292"/>
      <c r="CYU35" s="292"/>
      <c r="CYV35" s="292"/>
      <c r="CYW35" s="292"/>
      <c r="CYX35" s="292"/>
      <c r="CYY35" s="292"/>
      <c r="CYZ35" s="292"/>
      <c r="CZA35" s="292"/>
      <c r="CZB35" s="292"/>
      <c r="CZC35" s="292"/>
      <c r="CZD35" s="292"/>
      <c r="CZE35" s="292"/>
      <c r="CZF35" s="292"/>
      <c r="CZG35" s="292"/>
      <c r="CZH35" s="292"/>
      <c r="CZI35" s="292"/>
      <c r="CZJ35" s="292"/>
      <c r="CZK35" s="292"/>
      <c r="CZL35" s="292"/>
      <c r="CZM35" s="292"/>
      <c r="CZN35" s="292"/>
      <c r="CZO35" s="292"/>
      <c r="CZP35" s="292"/>
      <c r="CZQ35" s="292"/>
      <c r="CZR35" s="292"/>
      <c r="CZS35" s="292"/>
      <c r="CZT35" s="292"/>
      <c r="CZU35" s="292"/>
      <c r="CZV35" s="292"/>
      <c r="CZW35" s="292"/>
      <c r="CZX35" s="292"/>
      <c r="CZY35" s="292"/>
      <c r="CZZ35" s="292"/>
      <c r="DAA35" s="292"/>
      <c r="DAB35" s="292"/>
      <c r="DAC35" s="292"/>
      <c r="DAD35" s="292"/>
      <c r="DAE35" s="292"/>
      <c r="DAF35" s="292"/>
      <c r="DAG35" s="292"/>
      <c r="DAH35" s="292"/>
      <c r="DAI35" s="292"/>
      <c r="DAJ35" s="292"/>
      <c r="DAK35" s="292"/>
      <c r="DAL35" s="292"/>
      <c r="DAM35" s="292"/>
      <c r="DAN35" s="292"/>
      <c r="DAO35" s="292"/>
      <c r="DAP35" s="292"/>
      <c r="DAQ35" s="292"/>
      <c r="DAR35" s="292"/>
      <c r="DAS35" s="292"/>
      <c r="DAT35" s="292"/>
      <c r="DAU35" s="292"/>
      <c r="DAV35" s="292"/>
      <c r="DAW35" s="292"/>
      <c r="DAX35" s="292"/>
      <c r="DAY35" s="292"/>
      <c r="DAZ35" s="292"/>
      <c r="DBA35" s="292"/>
      <c r="DBB35" s="292"/>
      <c r="DBC35" s="292"/>
      <c r="DBD35" s="292"/>
      <c r="DBE35" s="292"/>
      <c r="DBF35" s="292"/>
      <c r="DBG35" s="292"/>
      <c r="DBH35" s="292"/>
      <c r="DBI35" s="292"/>
      <c r="DBJ35" s="292"/>
      <c r="DBK35" s="292"/>
      <c r="DBL35" s="292"/>
      <c r="DBM35" s="292"/>
      <c r="DBN35" s="292"/>
      <c r="DBO35" s="292"/>
      <c r="DBP35" s="292"/>
      <c r="DBQ35" s="292"/>
      <c r="DBR35" s="292"/>
      <c r="DBS35" s="292"/>
      <c r="DBT35" s="292"/>
      <c r="DBU35" s="292"/>
      <c r="DBV35" s="292"/>
      <c r="DBW35" s="292"/>
      <c r="DBX35" s="292"/>
      <c r="DBY35" s="292"/>
      <c r="DBZ35" s="292"/>
      <c r="DCA35" s="292"/>
      <c r="DCB35" s="292"/>
      <c r="DCC35" s="292"/>
      <c r="DCD35" s="292"/>
      <c r="DCE35" s="292"/>
      <c r="DCF35" s="292"/>
      <c r="DCG35" s="292"/>
      <c r="DCH35" s="292"/>
      <c r="DCI35" s="292"/>
      <c r="DCJ35" s="292"/>
      <c r="DCK35" s="292"/>
      <c r="DCL35" s="292"/>
      <c r="DCM35" s="292"/>
      <c r="DCN35" s="292"/>
      <c r="DCO35" s="292"/>
      <c r="DCP35" s="292"/>
      <c r="DCQ35" s="292"/>
      <c r="DCR35" s="292"/>
      <c r="DCS35" s="292"/>
      <c r="DCT35" s="292"/>
      <c r="DCU35" s="292"/>
      <c r="DCV35" s="292"/>
      <c r="DCW35" s="292"/>
      <c r="DCX35" s="292"/>
      <c r="DCY35" s="292"/>
      <c r="DCZ35" s="292"/>
      <c r="DDA35" s="292"/>
      <c r="DDB35" s="292"/>
      <c r="DDC35" s="292"/>
      <c r="DDD35" s="292"/>
      <c r="DDE35" s="292"/>
      <c r="DDF35" s="292"/>
      <c r="DDG35" s="292"/>
      <c r="DDH35" s="292"/>
      <c r="DDI35" s="292"/>
      <c r="DDJ35" s="292"/>
      <c r="DDK35" s="292"/>
      <c r="DDL35" s="292"/>
      <c r="DDM35" s="292"/>
      <c r="DDN35" s="292"/>
      <c r="DDO35" s="292"/>
      <c r="DDP35" s="292"/>
      <c r="DDQ35" s="292"/>
      <c r="DDR35" s="292"/>
      <c r="DDS35" s="292"/>
      <c r="DDT35" s="292"/>
      <c r="DDU35" s="292"/>
      <c r="DDV35" s="292"/>
      <c r="DDW35" s="292"/>
      <c r="DDX35" s="292"/>
      <c r="DDY35" s="292"/>
      <c r="DDZ35" s="292"/>
      <c r="DEA35" s="292"/>
      <c r="DEB35" s="292"/>
      <c r="DEC35" s="292"/>
      <c r="DED35" s="292"/>
      <c r="DEE35" s="292"/>
      <c r="DEF35" s="292"/>
      <c r="DEG35" s="292"/>
      <c r="DEH35" s="292"/>
      <c r="DEI35" s="292"/>
      <c r="DEJ35" s="292"/>
      <c r="DEK35" s="292"/>
      <c r="DEL35" s="292"/>
      <c r="DEM35" s="292"/>
      <c r="DEN35" s="292"/>
      <c r="DEO35" s="292"/>
      <c r="DEP35" s="292"/>
      <c r="DEQ35" s="292"/>
      <c r="DER35" s="292"/>
      <c r="DES35" s="292"/>
      <c r="DET35" s="292"/>
      <c r="DEU35" s="292"/>
      <c r="DEV35" s="292"/>
      <c r="DEW35" s="292"/>
      <c r="DEX35" s="292"/>
      <c r="DEY35" s="292"/>
      <c r="DEZ35" s="292"/>
      <c r="DFA35" s="292"/>
      <c r="DFB35" s="292"/>
      <c r="DFC35" s="292"/>
      <c r="DFD35" s="292"/>
      <c r="DFE35" s="292"/>
      <c r="DFF35" s="292"/>
      <c r="DFG35" s="292"/>
      <c r="DFH35" s="292"/>
      <c r="DFI35" s="292"/>
      <c r="DFJ35" s="292"/>
      <c r="DFK35" s="292"/>
      <c r="DFL35" s="292"/>
      <c r="DFM35" s="292"/>
      <c r="DFN35" s="292"/>
      <c r="DFO35" s="292"/>
      <c r="DFP35" s="292"/>
      <c r="DFQ35" s="292"/>
      <c r="DFR35" s="292"/>
      <c r="DFS35" s="292"/>
      <c r="DFT35" s="292"/>
      <c r="DFU35" s="292"/>
      <c r="DFV35" s="292"/>
      <c r="DFW35" s="292"/>
      <c r="DFX35" s="292"/>
      <c r="DFY35" s="292"/>
      <c r="DFZ35" s="292"/>
      <c r="DGA35" s="292"/>
      <c r="DGB35" s="292"/>
      <c r="DGC35" s="292"/>
      <c r="DGD35" s="292"/>
      <c r="DGE35" s="292"/>
      <c r="DGF35" s="292"/>
      <c r="DGG35" s="292"/>
      <c r="DGH35" s="292"/>
      <c r="DGI35" s="292"/>
      <c r="DGJ35" s="292"/>
      <c r="DGK35" s="292"/>
      <c r="DGL35" s="292"/>
      <c r="DGM35" s="292"/>
      <c r="DGN35" s="292"/>
      <c r="DGO35" s="292"/>
      <c r="DGP35" s="292"/>
      <c r="DGQ35" s="292"/>
      <c r="DGR35" s="292"/>
      <c r="DGS35" s="292"/>
      <c r="DGT35" s="292"/>
      <c r="DGU35" s="292"/>
      <c r="DGV35" s="292"/>
      <c r="DGW35" s="292"/>
      <c r="DGX35" s="292"/>
      <c r="DGY35" s="292"/>
      <c r="DGZ35" s="292"/>
      <c r="DHA35" s="292"/>
      <c r="DHB35" s="292"/>
      <c r="DHC35" s="292"/>
      <c r="DHD35" s="292"/>
      <c r="DHE35" s="292"/>
      <c r="DHF35" s="292"/>
      <c r="DHG35" s="292"/>
      <c r="DHH35" s="292"/>
      <c r="DHI35" s="292"/>
      <c r="DHJ35" s="292"/>
      <c r="DHK35" s="292"/>
      <c r="DHL35" s="292"/>
      <c r="DHM35" s="292"/>
      <c r="DHN35" s="292"/>
      <c r="DHO35" s="292"/>
      <c r="DHP35" s="292"/>
      <c r="DHQ35" s="292"/>
      <c r="DHR35" s="292"/>
      <c r="DHS35" s="292"/>
      <c r="DHT35" s="292"/>
      <c r="DHU35" s="292"/>
      <c r="DHV35" s="292"/>
      <c r="DHW35" s="292"/>
      <c r="DHX35" s="292"/>
      <c r="DHY35" s="292"/>
      <c r="DHZ35" s="292"/>
      <c r="DIA35" s="292"/>
      <c r="DIB35" s="292"/>
      <c r="DIC35" s="292"/>
      <c r="DID35" s="292"/>
      <c r="DIE35" s="292"/>
      <c r="DIF35" s="292"/>
      <c r="DIG35" s="292"/>
      <c r="DIH35" s="292"/>
      <c r="DII35" s="292"/>
      <c r="DIJ35" s="292"/>
      <c r="DIK35" s="292"/>
      <c r="DIL35" s="292"/>
      <c r="DIM35" s="292"/>
      <c r="DIN35" s="292"/>
      <c r="DIO35" s="292"/>
      <c r="DIP35" s="292"/>
      <c r="DIQ35" s="292"/>
      <c r="DIR35" s="292"/>
      <c r="DIS35" s="292"/>
      <c r="DIT35" s="292"/>
      <c r="DIU35" s="292"/>
      <c r="DIV35" s="292"/>
      <c r="DIW35" s="292"/>
      <c r="DIX35" s="292"/>
      <c r="DIY35" s="292"/>
      <c r="DIZ35" s="292"/>
      <c r="DJA35" s="292"/>
      <c r="DJB35" s="292"/>
      <c r="DJC35" s="292"/>
      <c r="DJD35" s="292"/>
      <c r="DJE35" s="292"/>
      <c r="DJF35" s="292"/>
      <c r="DJG35" s="292"/>
      <c r="DJH35" s="292"/>
      <c r="DJI35" s="292"/>
      <c r="DJJ35" s="292"/>
      <c r="DJK35" s="292"/>
      <c r="DJL35" s="292"/>
      <c r="DJM35" s="292"/>
      <c r="DJN35" s="292"/>
      <c r="DJO35" s="292"/>
      <c r="DJP35" s="292"/>
      <c r="DJQ35" s="292"/>
      <c r="DJR35" s="292"/>
      <c r="DJS35" s="292"/>
      <c r="DJT35" s="292"/>
      <c r="DJU35" s="292"/>
      <c r="DJV35" s="292"/>
      <c r="DJW35" s="292"/>
      <c r="DJX35" s="292"/>
      <c r="DJY35" s="292"/>
      <c r="DJZ35" s="292"/>
      <c r="DKA35" s="292"/>
      <c r="DKB35" s="292"/>
      <c r="DKC35" s="292"/>
      <c r="DKD35" s="292"/>
      <c r="DKE35" s="292"/>
      <c r="DKF35" s="292"/>
      <c r="DKG35" s="292"/>
      <c r="DKH35" s="292"/>
      <c r="DKI35" s="292"/>
      <c r="DKJ35" s="292"/>
      <c r="DKK35" s="292"/>
      <c r="DKL35" s="292"/>
      <c r="DKM35" s="292"/>
      <c r="DKN35" s="292"/>
      <c r="DKO35" s="292"/>
      <c r="DKP35" s="292"/>
      <c r="DKQ35" s="292"/>
      <c r="DKR35" s="292"/>
      <c r="DKS35" s="292"/>
      <c r="DKT35" s="292"/>
      <c r="DKU35" s="292"/>
      <c r="DKV35" s="292"/>
      <c r="DKW35" s="292"/>
      <c r="DKX35" s="292"/>
      <c r="DKY35" s="292"/>
      <c r="DKZ35" s="292"/>
      <c r="DLA35" s="292"/>
      <c r="DLB35" s="292"/>
      <c r="DLC35" s="292"/>
      <c r="DLD35" s="292"/>
      <c r="DLE35" s="292"/>
      <c r="DLF35" s="292"/>
      <c r="DLG35" s="292"/>
      <c r="DLH35" s="292"/>
      <c r="DLI35" s="292"/>
      <c r="DLJ35" s="292"/>
      <c r="DLK35" s="292"/>
      <c r="DLL35" s="292"/>
      <c r="DLM35" s="292"/>
      <c r="DLN35" s="292"/>
      <c r="DLO35" s="292"/>
      <c r="DLP35" s="292"/>
      <c r="DLQ35" s="292"/>
      <c r="DLR35" s="292"/>
      <c r="DLS35" s="292"/>
      <c r="DLT35" s="292"/>
      <c r="DLU35" s="292"/>
      <c r="DLV35" s="292"/>
      <c r="DLW35" s="292"/>
      <c r="DLX35" s="292"/>
      <c r="DLY35" s="292"/>
      <c r="DLZ35" s="292"/>
      <c r="DMA35" s="292"/>
      <c r="DMB35" s="292"/>
      <c r="DMC35" s="292"/>
      <c r="DMD35" s="292"/>
      <c r="DME35" s="292"/>
      <c r="DMF35" s="292"/>
      <c r="DMG35" s="292"/>
      <c r="DMH35" s="292"/>
      <c r="DMI35" s="292"/>
      <c r="DMJ35" s="292"/>
      <c r="DMK35" s="292"/>
      <c r="DML35" s="292"/>
      <c r="DMM35" s="292"/>
      <c r="DMN35" s="292"/>
      <c r="DMO35" s="292"/>
      <c r="DMP35" s="292"/>
      <c r="DMQ35" s="292"/>
      <c r="DMR35" s="292"/>
      <c r="DMS35" s="292"/>
      <c r="DMT35" s="292"/>
      <c r="DMU35" s="292"/>
      <c r="DMV35" s="292"/>
      <c r="DMW35" s="292"/>
      <c r="DMX35" s="292"/>
      <c r="DMY35" s="292"/>
      <c r="DMZ35" s="292"/>
      <c r="DNA35" s="292"/>
      <c r="DNB35" s="292"/>
      <c r="DNC35" s="292"/>
      <c r="DND35" s="292"/>
      <c r="DNE35" s="292"/>
      <c r="DNF35" s="292"/>
      <c r="DNG35" s="292"/>
      <c r="DNH35" s="292"/>
      <c r="DNI35" s="292"/>
      <c r="DNJ35" s="292"/>
      <c r="DNK35" s="292"/>
      <c r="DNL35" s="292"/>
      <c r="DNM35" s="292"/>
      <c r="DNN35" s="292"/>
      <c r="DNO35" s="292"/>
      <c r="DNP35" s="292"/>
      <c r="DNQ35" s="292"/>
      <c r="DNR35" s="292"/>
      <c r="DNS35" s="292"/>
      <c r="DNT35" s="292"/>
      <c r="DNU35" s="292"/>
      <c r="DNV35" s="292"/>
      <c r="DNW35" s="292"/>
      <c r="DNX35" s="292"/>
      <c r="DNY35" s="292"/>
      <c r="DNZ35" s="292"/>
      <c r="DOA35" s="292"/>
      <c r="DOB35" s="292"/>
      <c r="DOC35" s="292"/>
      <c r="DOD35" s="292"/>
      <c r="DOE35" s="292"/>
      <c r="DOF35" s="292"/>
      <c r="DOG35" s="292"/>
      <c r="DOH35" s="292"/>
      <c r="DOI35" s="292"/>
      <c r="DOJ35" s="292"/>
      <c r="DOK35" s="292"/>
      <c r="DOL35" s="292"/>
      <c r="DOM35" s="292"/>
      <c r="DON35" s="292"/>
      <c r="DOO35" s="292"/>
      <c r="DOP35" s="292"/>
      <c r="DOQ35" s="292"/>
      <c r="DOR35" s="292"/>
      <c r="DOS35" s="292"/>
      <c r="DOT35" s="292"/>
      <c r="DOU35" s="292"/>
      <c r="DOV35" s="292"/>
      <c r="DOW35" s="292"/>
      <c r="DOX35" s="292"/>
      <c r="DOY35" s="292"/>
      <c r="DOZ35" s="292"/>
      <c r="DPA35" s="292"/>
      <c r="DPB35" s="292"/>
      <c r="DPC35" s="292"/>
      <c r="DPD35" s="292"/>
      <c r="DPE35" s="292"/>
      <c r="DPF35" s="292"/>
      <c r="DPG35" s="292"/>
      <c r="DPH35" s="292"/>
      <c r="DPI35" s="292"/>
      <c r="DPJ35" s="292"/>
      <c r="DPK35" s="292"/>
      <c r="DPL35" s="292"/>
      <c r="DPM35" s="292"/>
      <c r="DPN35" s="292"/>
      <c r="DPO35" s="292"/>
      <c r="DPP35" s="292"/>
      <c r="DPQ35" s="292"/>
      <c r="DPR35" s="292"/>
      <c r="DPS35" s="292"/>
      <c r="DPT35" s="292"/>
      <c r="DPU35" s="292"/>
      <c r="DPV35" s="292"/>
      <c r="DPW35" s="292"/>
      <c r="DPX35" s="292"/>
      <c r="DPY35" s="292"/>
      <c r="DPZ35" s="292"/>
      <c r="DQA35" s="292"/>
      <c r="DQB35" s="292"/>
      <c r="DQC35" s="292"/>
      <c r="DQD35" s="292"/>
      <c r="DQE35" s="292"/>
      <c r="DQF35" s="292"/>
      <c r="DQG35" s="292"/>
      <c r="DQH35" s="292"/>
      <c r="DQI35" s="292"/>
      <c r="DQJ35" s="292"/>
      <c r="DQK35" s="292"/>
      <c r="DQL35" s="292"/>
      <c r="DQM35" s="292"/>
      <c r="DQN35" s="292"/>
      <c r="DQO35" s="292"/>
      <c r="DQP35" s="292"/>
      <c r="DQQ35" s="292"/>
      <c r="DQR35" s="292"/>
      <c r="DQS35" s="292"/>
      <c r="DQT35" s="292"/>
      <c r="DQU35" s="292"/>
      <c r="DQV35" s="292"/>
      <c r="DQW35" s="292"/>
      <c r="DQX35" s="292"/>
      <c r="DQY35" s="292"/>
      <c r="DQZ35" s="292"/>
      <c r="DRA35" s="292"/>
      <c r="DRB35" s="292"/>
      <c r="DRC35" s="292"/>
      <c r="DRD35" s="292"/>
      <c r="DRE35" s="292"/>
      <c r="DRF35" s="292"/>
      <c r="DRG35" s="292"/>
      <c r="DRH35" s="292"/>
      <c r="DRI35" s="292"/>
      <c r="DRJ35" s="292"/>
      <c r="DRK35" s="292"/>
      <c r="DRL35" s="292"/>
      <c r="DRM35" s="292"/>
      <c r="DRN35" s="292"/>
      <c r="DRO35" s="292"/>
      <c r="DRP35" s="292"/>
      <c r="DRQ35" s="292"/>
      <c r="DRR35" s="292"/>
      <c r="DRS35" s="292"/>
      <c r="DRT35" s="292"/>
      <c r="DRU35" s="292"/>
      <c r="DRV35" s="292"/>
      <c r="DRW35" s="292"/>
      <c r="DRX35" s="292"/>
      <c r="DRY35" s="292"/>
      <c r="DRZ35" s="292"/>
      <c r="DSA35" s="292"/>
      <c r="DSB35" s="292"/>
      <c r="DSC35" s="292"/>
      <c r="DSD35" s="292"/>
      <c r="DSE35" s="292"/>
      <c r="DSF35" s="292"/>
      <c r="DSG35" s="292"/>
      <c r="DSH35" s="292"/>
      <c r="DSI35" s="292"/>
      <c r="DSJ35" s="292"/>
      <c r="DSK35" s="292"/>
      <c r="DSL35" s="292"/>
      <c r="DSM35" s="292"/>
      <c r="DSN35" s="292"/>
      <c r="DSO35" s="292"/>
      <c r="DSP35" s="292"/>
      <c r="DSQ35" s="292"/>
      <c r="DSR35" s="292"/>
      <c r="DSS35" s="292"/>
      <c r="DST35" s="292"/>
      <c r="DSU35" s="292"/>
      <c r="DSV35" s="292"/>
      <c r="DSW35" s="292"/>
      <c r="DSX35" s="292"/>
      <c r="DSY35" s="292"/>
      <c r="DSZ35" s="292"/>
      <c r="DTA35" s="292"/>
      <c r="DTB35" s="292"/>
      <c r="DTC35" s="292"/>
      <c r="DTD35" s="292"/>
      <c r="DTE35" s="292"/>
      <c r="DTF35" s="292"/>
      <c r="DTG35" s="292"/>
      <c r="DTH35" s="292"/>
      <c r="DTI35" s="292"/>
      <c r="DTJ35" s="292"/>
      <c r="DTK35" s="292"/>
      <c r="DTL35" s="292"/>
      <c r="DTM35" s="292"/>
      <c r="DTN35" s="292"/>
      <c r="DTO35" s="292"/>
      <c r="DTP35" s="292"/>
      <c r="DTQ35" s="292"/>
      <c r="DTR35" s="292"/>
      <c r="DTS35" s="292"/>
      <c r="DTT35" s="292"/>
      <c r="DTU35" s="292"/>
      <c r="DTV35" s="292"/>
      <c r="DTW35" s="292"/>
      <c r="DTX35" s="292"/>
      <c r="DTY35" s="292"/>
      <c r="DTZ35" s="292"/>
      <c r="DUA35" s="292"/>
      <c r="DUB35" s="292"/>
      <c r="DUC35" s="292"/>
      <c r="DUD35" s="292"/>
      <c r="DUE35" s="292"/>
      <c r="DUF35" s="292"/>
      <c r="DUG35" s="292"/>
      <c r="DUH35" s="292"/>
      <c r="DUI35" s="292"/>
      <c r="DUJ35" s="292"/>
      <c r="DUK35" s="292"/>
      <c r="DUL35" s="292"/>
      <c r="DUM35" s="292"/>
      <c r="DUN35" s="292"/>
      <c r="DUO35" s="292"/>
      <c r="DUP35" s="292"/>
      <c r="DUQ35" s="292"/>
      <c r="DUR35" s="292"/>
      <c r="DUS35" s="292"/>
      <c r="DUT35" s="292"/>
      <c r="DUU35" s="292"/>
      <c r="DUV35" s="292"/>
      <c r="DUW35" s="292"/>
      <c r="DUX35" s="292"/>
      <c r="DUY35" s="292"/>
      <c r="DUZ35" s="292"/>
      <c r="DVA35" s="292"/>
      <c r="DVB35" s="292"/>
      <c r="DVC35" s="292"/>
      <c r="DVD35" s="292"/>
      <c r="DVE35" s="292"/>
      <c r="DVF35" s="292"/>
      <c r="DVG35" s="292"/>
      <c r="DVH35" s="292"/>
      <c r="DVI35" s="292"/>
      <c r="DVJ35" s="292"/>
      <c r="DVK35" s="292"/>
      <c r="DVL35" s="292"/>
      <c r="DVM35" s="292"/>
      <c r="DVN35" s="292"/>
      <c r="DVO35" s="292"/>
      <c r="DVP35" s="292"/>
      <c r="DVQ35" s="292"/>
      <c r="DVR35" s="292"/>
      <c r="DVS35" s="292"/>
      <c r="DVT35" s="292"/>
      <c r="DVU35" s="292"/>
      <c r="DVV35" s="292"/>
      <c r="DVW35" s="292"/>
      <c r="DVX35" s="292"/>
      <c r="DVY35" s="292"/>
      <c r="DVZ35" s="292"/>
      <c r="DWA35" s="292"/>
      <c r="DWB35" s="292"/>
      <c r="DWC35" s="292"/>
      <c r="DWD35" s="292"/>
      <c r="DWE35" s="292"/>
      <c r="DWF35" s="292"/>
      <c r="DWG35" s="292"/>
      <c r="DWH35" s="292"/>
      <c r="DWI35" s="292"/>
      <c r="DWJ35" s="292"/>
      <c r="DWK35" s="292"/>
      <c r="DWL35" s="292"/>
      <c r="DWM35" s="292"/>
      <c r="DWN35" s="292"/>
      <c r="DWO35" s="292"/>
      <c r="DWP35" s="292"/>
      <c r="DWQ35" s="292"/>
      <c r="DWR35" s="292"/>
      <c r="DWS35" s="292"/>
      <c r="DWT35" s="292"/>
      <c r="DWU35" s="292"/>
      <c r="DWV35" s="292"/>
      <c r="DWW35" s="292"/>
      <c r="DWX35" s="292"/>
      <c r="DWY35" s="292"/>
      <c r="DWZ35" s="292"/>
      <c r="DXA35" s="292"/>
      <c r="DXB35" s="292"/>
      <c r="DXC35" s="292"/>
      <c r="DXD35" s="292"/>
      <c r="DXE35" s="292"/>
      <c r="DXF35" s="292"/>
      <c r="DXG35" s="292"/>
      <c r="DXH35" s="292"/>
      <c r="DXI35" s="292"/>
      <c r="DXJ35" s="292"/>
      <c r="DXK35" s="292"/>
      <c r="DXL35" s="292"/>
      <c r="DXM35" s="292"/>
      <c r="DXN35" s="292"/>
      <c r="DXO35" s="292"/>
      <c r="DXP35" s="292"/>
      <c r="DXQ35" s="292"/>
      <c r="DXR35" s="292"/>
      <c r="DXS35" s="292"/>
      <c r="DXT35" s="292"/>
      <c r="DXU35" s="292"/>
      <c r="DXV35" s="292"/>
      <c r="DXW35" s="292"/>
      <c r="DXX35" s="292"/>
      <c r="DXY35" s="292"/>
      <c r="DXZ35" s="292"/>
      <c r="DYA35" s="292"/>
      <c r="DYB35" s="292"/>
      <c r="DYC35" s="292"/>
      <c r="DYD35" s="292"/>
      <c r="DYE35" s="292"/>
      <c r="DYF35" s="292"/>
      <c r="DYG35" s="292"/>
      <c r="DYH35" s="292"/>
      <c r="DYI35" s="292"/>
      <c r="DYJ35" s="292"/>
      <c r="DYK35" s="292"/>
      <c r="DYL35" s="292"/>
      <c r="DYM35" s="292"/>
      <c r="DYN35" s="292"/>
      <c r="DYO35" s="292"/>
      <c r="DYP35" s="292"/>
      <c r="DYQ35" s="292"/>
      <c r="DYR35" s="292"/>
      <c r="DYS35" s="292"/>
      <c r="DYT35" s="292"/>
      <c r="DYU35" s="292"/>
      <c r="DYV35" s="292"/>
      <c r="DYW35" s="292"/>
      <c r="DYX35" s="292"/>
      <c r="DYY35" s="292"/>
      <c r="DYZ35" s="292"/>
      <c r="DZA35" s="292"/>
      <c r="DZB35" s="292"/>
      <c r="DZC35" s="292"/>
      <c r="DZD35" s="292"/>
      <c r="DZE35" s="292"/>
      <c r="DZF35" s="292"/>
      <c r="DZG35" s="292"/>
      <c r="DZH35" s="292"/>
      <c r="DZI35" s="292"/>
      <c r="DZJ35" s="292"/>
      <c r="DZK35" s="292"/>
      <c r="DZL35" s="292"/>
      <c r="DZM35" s="292"/>
      <c r="DZN35" s="292"/>
      <c r="DZO35" s="292"/>
      <c r="DZP35" s="292"/>
      <c r="DZQ35" s="292"/>
      <c r="DZR35" s="292"/>
      <c r="DZS35" s="292"/>
      <c r="DZT35" s="292"/>
      <c r="DZU35" s="292"/>
      <c r="DZV35" s="292"/>
      <c r="DZW35" s="292"/>
      <c r="DZX35" s="292"/>
      <c r="DZY35" s="292"/>
      <c r="DZZ35" s="292"/>
      <c r="EAA35" s="292"/>
      <c r="EAB35" s="292"/>
      <c r="EAC35" s="292"/>
      <c r="EAD35" s="292"/>
      <c r="EAE35" s="292"/>
      <c r="EAF35" s="292"/>
      <c r="EAG35" s="292"/>
      <c r="EAH35" s="292"/>
      <c r="EAI35" s="292"/>
      <c r="EAJ35" s="292"/>
      <c r="EAK35" s="292"/>
      <c r="EAL35" s="292"/>
      <c r="EAM35" s="292"/>
      <c r="EAN35" s="292"/>
      <c r="EAO35" s="292"/>
      <c r="EAP35" s="292"/>
      <c r="EAQ35" s="292"/>
      <c r="EAR35" s="292"/>
      <c r="EAS35" s="292"/>
      <c r="EAT35" s="292"/>
      <c r="EAU35" s="292"/>
      <c r="EAV35" s="292"/>
      <c r="EAW35" s="292"/>
      <c r="EAX35" s="292"/>
      <c r="EAY35" s="292"/>
      <c r="EAZ35" s="292"/>
      <c r="EBA35" s="292"/>
      <c r="EBB35" s="292"/>
      <c r="EBC35" s="292"/>
      <c r="EBD35" s="292"/>
      <c r="EBE35" s="292"/>
      <c r="EBF35" s="292"/>
      <c r="EBG35" s="292"/>
      <c r="EBH35" s="292"/>
      <c r="EBI35" s="292"/>
      <c r="EBJ35" s="292"/>
      <c r="EBK35" s="292"/>
      <c r="EBL35" s="292"/>
      <c r="EBM35" s="292"/>
      <c r="EBN35" s="292"/>
      <c r="EBO35" s="292"/>
      <c r="EBP35" s="292"/>
      <c r="EBQ35" s="292"/>
      <c r="EBR35" s="292"/>
      <c r="EBS35" s="292"/>
      <c r="EBT35" s="292"/>
      <c r="EBU35" s="292"/>
      <c r="EBV35" s="292"/>
      <c r="EBW35" s="292"/>
      <c r="EBX35" s="292"/>
      <c r="EBY35" s="292"/>
      <c r="EBZ35" s="292"/>
      <c r="ECA35" s="292"/>
      <c r="ECB35" s="292"/>
      <c r="ECC35" s="292"/>
      <c r="ECD35" s="292"/>
      <c r="ECE35" s="292"/>
      <c r="ECF35" s="292"/>
      <c r="ECG35" s="292"/>
      <c r="ECH35" s="292"/>
      <c r="ECI35" s="292"/>
      <c r="ECJ35" s="292"/>
      <c r="ECK35" s="292"/>
      <c r="ECL35" s="292"/>
      <c r="ECM35" s="292"/>
      <c r="ECN35" s="292"/>
      <c r="ECO35" s="292"/>
      <c r="ECP35" s="292"/>
      <c r="ECQ35" s="292"/>
      <c r="ECR35" s="292"/>
      <c r="ECS35" s="292"/>
      <c r="ECT35" s="292"/>
      <c r="ECU35" s="292"/>
      <c r="ECV35" s="292"/>
      <c r="ECW35" s="292"/>
      <c r="ECX35" s="292"/>
      <c r="ECY35" s="292"/>
      <c r="ECZ35" s="292"/>
      <c r="EDA35" s="292"/>
      <c r="EDB35" s="292"/>
      <c r="EDC35" s="292"/>
      <c r="EDD35" s="292"/>
      <c r="EDE35" s="292"/>
      <c r="EDF35" s="292"/>
      <c r="EDG35" s="292"/>
      <c r="EDH35" s="292"/>
      <c r="EDI35" s="292"/>
      <c r="EDJ35" s="292"/>
      <c r="EDK35" s="292"/>
      <c r="EDL35" s="292"/>
      <c r="EDM35" s="292"/>
      <c r="EDN35" s="292"/>
      <c r="EDO35" s="292"/>
      <c r="EDP35" s="292"/>
      <c r="EDQ35" s="292"/>
      <c r="EDR35" s="292"/>
      <c r="EDS35" s="292"/>
      <c r="EDT35" s="292"/>
      <c r="EDU35" s="292"/>
      <c r="EDV35" s="292"/>
      <c r="EDW35" s="292"/>
      <c r="EDX35" s="292"/>
      <c r="EDY35" s="292"/>
      <c r="EDZ35" s="292"/>
      <c r="EEA35" s="292"/>
      <c r="EEB35" s="292"/>
      <c r="EEC35" s="292"/>
      <c r="EED35" s="292"/>
      <c r="EEE35" s="292"/>
      <c r="EEF35" s="292"/>
      <c r="EEG35" s="292"/>
      <c r="EEH35" s="292"/>
      <c r="EEI35" s="292"/>
      <c r="EEJ35" s="292"/>
      <c r="EEK35" s="292"/>
      <c r="EEL35" s="292"/>
      <c r="EEM35" s="292"/>
      <c r="EEN35" s="292"/>
      <c r="EEO35" s="292"/>
      <c r="EEP35" s="292"/>
      <c r="EEQ35" s="292"/>
      <c r="EER35" s="292"/>
      <c r="EES35" s="292"/>
      <c r="EET35" s="292"/>
      <c r="EEU35" s="292"/>
      <c r="EEV35" s="292"/>
      <c r="EEW35" s="292"/>
      <c r="EEX35" s="292"/>
      <c r="EEY35" s="292"/>
      <c r="EEZ35" s="292"/>
      <c r="EFA35" s="292"/>
      <c r="EFB35" s="292"/>
      <c r="EFC35" s="292"/>
      <c r="EFD35" s="292"/>
      <c r="EFE35" s="292"/>
      <c r="EFF35" s="292"/>
      <c r="EFG35" s="292"/>
      <c r="EFH35" s="292"/>
      <c r="EFI35" s="292"/>
      <c r="EFJ35" s="292"/>
      <c r="EFK35" s="292"/>
      <c r="EFL35" s="292"/>
      <c r="EFM35" s="292"/>
      <c r="EFN35" s="292"/>
      <c r="EFO35" s="292"/>
      <c r="EFP35" s="292"/>
      <c r="EFQ35" s="292"/>
      <c r="EFR35" s="292"/>
      <c r="EFS35" s="292"/>
      <c r="EFT35" s="292"/>
      <c r="EFU35" s="292"/>
      <c r="EFV35" s="292"/>
      <c r="EFW35" s="292"/>
      <c r="EFX35" s="292"/>
      <c r="EFY35" s="292"/>
      <c r="EFZ35" s="292"/>
      <c r="EGA35" s="292"/>
      <c r="EGB35" s="292"/>
      <c r="EGC35" s="292"/>
      <c r="EGD35" s="292"/>
      <c r="EGE35" s="292"/>
      <c r="EGF35" s="292"/>
      <c r="EGG35" s="292"/>
      <c r="EGH35" s="292"/>
      <c r="EGI35" s="292"/>
      <c r="EGJ35" s="292"/>
      <c r="EGK35" s="292"/>
      <c r="EGL35" s="292"/>
      <c r="EGM35" s="292"/>
      <c r="EGN35" s="292"/>
      <c r="EGO35" s="292"/>
      <c r="EGP35" s="292"/>
      <c r="EGQ35" s="292"/>
      <c r="EGR35" s="292"/>
      <c r="EGS35" s="292"/>
      <c r="EGT35" s="292"/>
      <c r="EGU35" s="292"/>
      <c r="EGV35" s="292"/>
      <c r="EGW35" s="292"/>
      <c r="EGX35" s="292"/>
      <c r="EGY35" s="292"/>
      <c r="EGZ35" s="292"/>
      <c r="EHA35" s="292"/>
      <c r="EHB35" s="292"/>
      <c r="EHC35" s="292"/>
      <c r="EHD35" s="292"/>
      <c r="EHE35" s="292"/>
      <c r="EHF35" s="292"/>
      <c r="EHG35" s="292"/>
      <c r="EHH35" s="292"/>
      <c r="EHI35" s="292"/>
      <c r="EHJ35" s="292"/>
      <c r="EHK35" s="292"/>
      <c r="EHL35" s="292"/>
      <c r="EHM35" s="292"/>
      <c r="EHN35" s="292"/>
      <c r="EHO35" s="292"/>
      <c r="EHP35" s="292"/>
      <c r="EHQ35" s="292"/>
      <c r="EHR35" s="292"/>
      <c r="EHS35" s="292"/>
      <c r="EHT35" s="292"/>
      <c r="EHU35" s="292"/>
      <c r="EHV35" s="292"/>
      <c r="EHW35" s="292"/>
      <c r="EHX35" s="292"/>
      <c r="EHY35" s="292"/>
      <c r="EHZ35" s="292"/>
      <c r="EIA35" s="292"/>
      <c r="EIB35" s="292"/>
      <c r="EIC35" s="292"/>
      <c r="EID35" s="292"/>
      <c r="EIE35" s="292"/>
      <c r="EIF35" s="292"/>
      <c r="EIG35" s="292"/>
      <c r="EIH35" s="292"/>
      <c r="EII35" s="292"/>
      <c r="EIJ35" s="292"/>
      <c r="EIK35" s="292"/>
      <c r="EIL35" s="292"/>
      <c r="EIM35" s="292"/>
      <c r="EIN35" s="292"/>
      <c r="EIO35" s="292"/>
      <c r="EIP35" s="292"/>
      <c r="EIQ35" s="292"/>
      <c r="EIR35" s="292"/>
      <c r="EIS35" s="292"/>
      <c r="EIT35" s="292"/>
      <c r="EIU35" s="292"/>
      <c r="EIV35" s="292"/>
      <c r="EIW35" s="292"/>
      <c r="EIX35" s="292"/>
      <c r="EIY35" s="292"/>
      <c r="EIZ35" s="292"/>
      <c r="EJA35" s="292"/>
      <c r="EJB35" s="292"/>
      <c r="EJC35" s="292"/>
      <c r="EJD35" s="292"/>
      <c r="EJE35" s="292"/>
      <c r="EJF35" s="292"/>
      <c r="EJG35" s="292"/>
      <c r="EJH35" s="292"/>
      <c r="EJI35" s="292"/>
      <c r="EJJ35" s="292"/>
      <c r="EJK35" s="292"/>
      <c r="EJL35" s="292"/>
      <c r="EJM35" s="292"/>
      <c r="EJN35" s="292"/>
      <c r="EJO35" s="292"/>
      <c r="EJP35" s="292"/>
      <c r="EJQ35" s="292"/>
      <c r="EJR35" s="292"/>
      <c r="EJS35" s="292"/>
      <c r="EJT35" s="292"/>
      <c r="EJU35" s="292"/>
      <c r="EJV35" s="292"/>
      <c r="EJW35" s="292"/>
      <c r="EJX35" s="292"/>
      <c r="EJY35" s="292"/>
      <c r="EJZ35" s="292"/>
      <c r="EKA35" s="292"/>
      <c r="EKB35" s="292"/>
      <c r="EKC35" s="292"/>
      <c r="EKD35" s="292"/>
      <c r="EKE35" s="292"/>
      <c r="EKF35" s="292"/>
      <c r="EKG35" s="292"/>
      <c r="EKH35" s="292"/>
      <c r="EKI35" s="292"/>
      <c r="EKJ35" s="292"/>
      <c r="EKK35" s="292"/>
      <c r="EKL35" s="292"/>
      <c r="EKM35" s="292"/>
      <c r="EKN35" s="292"/>
      <c r="EKO35" s="292"/>
      <c r="EKP35" s="292"/>
      <c r="EKQ35" s="292"/>
      <c r="EKR35" s="292"/>
      <c r="EKS35" s="292"/>
      <c r="EKT35" s="292"/>
      <c r="EKU35" s="292"/>
      <c r="EKV35" s="292"/>
      <c r="EKW35" s="292"/>
      <c r="EKX35" s="292"/>
      <c r="EKY35" s="292"/>
      <c r="EKZ35" s="292"/>
      <c r="ELA35" s="292"/>
      <c r="ELB35" s="292"/>
      <c r="ELC35" s="292"/>
      <c r="ELD35" s="292"/>
      <c r="ELE35" s="292"/>
      <c r="ELF35" s="292"/>
      <c r="ELG35" s="292"/>
      <c r="ELH35" s="292"/>
      <c r="ELI35" s="292"/>
      <c r="ELJ35" s="292"/>
      <c r="ELK35" s="292"/>
      <c r="ELL35" s="292"/>
      <c r="ELM35" s="292"/>
      <c r="ELN35" s="292"/>
      <c r="ELO35" s="292"/>
      <c r="ELP35" s="292"/>
      <c r="ELQ35" s="292"/>
      <c r="ELR35" s="292"/>
      <c r="ELS35" s="292"/>
      <c r="ELT35" s="292"/>
      <c r="ELU35" s="292"/>
      <c r="ELV35" s="292"/>
      <c r="ELW35" s="292"/>
      <c r="ELX35" s="292"/>
      <c r="ELY35" s="292"/>
      <c r="ELZ35" s="292"/>
      <c r="EMA35" s="292"/>
      <c r="EMB35" s="292"/>
      <c r="EMC35" s="292"/>
      <c r="EMD35" s="292"/>
      <c r="EME35" s="292"/>
      <c r="EMF35" s="292"/>
      <c r="EMG35" s="292"/>
      <c r="EMH35" s="292"/>
      <c r="EMI35" s="292"/>
      <c r="EMJ35" s="292"/>
      <c r="EMK35" s="292"/>
      <c r="EML35" s="292"/>
      <c r="EMM35" s="292"/>
      <c r="EMN35" s="292"/>
      <c r="EMO35" s="292"/>
      <c r="EMP35" s="292"/>
      <c r="EMQ35" s="292"/>
      <c r="EMR35" s="292"/>
      <c r="EMS35" s="292"/>
      <c r="EMT35" s="292"/>
      <c r="EMU35" s="292"/>
      <c r="EMV35" s="292"/>
      <c r="EMW35" s="292"/>
      <c r="EMX35" s="292"/>
      <c r="EMY35" s="292"/>
      <c r="EMZ35" s="292"/>
      <c r="ENA35" s="292"/>
      <c r="ENB35" s="292"/>
      <c r="ENC35" s="292"/>
      <c r="END35" s="292"/>
      <c r="ENE35" s="292"/>
      <c r="ENF35" s="292"/>
      <c r="ENG35" s="292"/>
      <c r="ENH35" s="292"/>
      <c r="ENI35" s="292"/>
      <c r="ENJ35" s="292"/>
      <c r="ENK35" s="292"/>
      <c r="ENL35" s="292"/>
      <c r="ENM35" s="292"/>
      <c r="ENN35" s="292"/>
      <c r="ENO35" s="292"/>
      <c r="ENP35" s="292"/>
      <c r="ENQ35" s="292"/>
      <c r="ENR35" s="292"/>
      <c r="ENS35" s="292"/>
      <c r="ENT35" s="292"/>
      <c r="ENU35" s="292"/>
      <c r="ENV35" s="292"/>
      <c r="ENW35" s="292"/>
      <c r="ENX35" s="292"/>
      <c r="ENY35" s="292"/>
      <c r="ENZ35" s="292"/>
      <c r="EOA35" s="292"/>
      <c r="EOB35" s="292"/>
      <c r="EOC35" s="292"/>
      <c r="EOD35" s="292"/>
      <c r="EOE35" s="292"/>
      <c r="EOF35" s="292"/>
      <c r="EOG35" s="292"/>
      <c r="EOH35" s="292"/>
      <c r="EOI35" s="292"/>
      <c r="EOJ35" s="292"/>
      <c r="EOK35" s="292"/>
      <c r="EOL35" s="292"/>
      <c r="EOM35" s="292"/>
      <c r="EON35" s="292"/>
      <c r="EOO35" s="292"/>
      <c r="EOP35" s="292"/>
      <c r="EOQ35" s="292"/>
      <c r="EOR35" s="292"/>
      <c r="EOS35" s="292"/>
      <c r="EOT35" s="292"/>
      <c r="EOU35" s="292"/>
      <c r="EOV35" s="292"/>
      <c r="EOW35" s="292"/>
      <c r="EOX35" s="292"/>
      <c r="EOY35" s="292"/>
      <c r="EOZ35" s="292"/>
      <c r="EPA35" s="292"/>
      <c r="EPB35" s="292"/>
      <c r="EPC35" s="292"/>
      <c r="EPD35" s="292"/>
      <c r="EPE35" s="292"/>
      <c r="EPF35" s="292"/>
      <c r="EPG35" s="292"/>
      <c r="EPH35" s="292"/>
      <c r="EPI35" s="292"/>
      <c r="EPJ35" s="292"/>
      <c r="EPK35" s="292"/>
      <c r="EPL35" s="292"/>
      <c r="EPM35" s="292"/>
      <c r="EPN35" s="292"/>
      <c r="EPO35" s="292"/>
      <c r="EPP35" s="292"/>
      <c r="EPQ35" s="292"/>
      <c r="EPR35" s="292"/>
      <c r="EPS35" s="292"/>
      <c r="EPT35" s="292"/>
      <c r="EPU35" s="292"/>
      <c r="EPV35" s="292"/>
      <c r="EPW35" s="292"/>
      <c r="EPX35" s="292"/>
      <c r="EPY35" s="292"/>
      <c r="EPZ35" s="292"/>
      <c r="EQA35" s="292"/>
      <c r="EQB35" s="292"/>
      <c r="EQC35" s="292"/>
      <c r="EQD35" s="292"/>
      <c r="EQE35" s="292"/>
      <c r="EQF35" s="292"/>
      <c r="EQG35" s="292"/>
      <c r="EQH35" s="292"/>
      <c r="EQI35" s="292"/>
      <c r="EQJ35" s="292"/>
      <c r="EQK35" s="292"/>
      <c r="EQL35" s="292"/>
      <c r="EQM35" s="292"/>
      <c r="EQN35" s="292"/>
      <c r="EQO35" s="292"/>
      <c r="EQP35" s="292"/>
      <c r="EQQ35" s="292"/>
      <c r="EQR35" s="292"/>
      <c r="EQS35" s="292"/>
      <c r="EQT35" s="292"/>
      <c r="EQU35" s="292"/>
      <c r="EQV35" s="292"/>
      <c r="EQW35" s="292"/>
      <c r="EQX35" s="292"/>
      <c r="EQY35" s="292"/>
      <c r="EQZ35" s="292"/>
      <c r="ERA35" s="292"/>
      <c r="ERB35" s="292"/>
      <c r="ERC35" s="292"/>
      <c r="ERD35" s="292"/>
      <c r="ERE35" s="292"/>
      <c r="ERF35" s="292"/>
      <c r="ERG35" s="292"/>
      <c r="ERH35" s="292"/>
      <c r="ERI35" s="292"/>
      <c r="ERJ35" s="292"/>
      <c r="ERK35" s="292"/>
      <c r="ERL35" s="292"/>
      <c r="ERM35" s="292"/>
      <c r="ERN35" s="292"/>
      <c r="ERO35" s="292"/>
      <c r="ERP35" s="292"/>
      <c r="ERQ35" s="292"/>
      <c r="ERR35" s="292"/>
      <c r="ERS35" s="292"/>
      <c r="ERT35" s="292"/>
      <c r="ERU35" s="292"/>
      <c r="ERV35" s="292"/>
      <c r="ERW35" s="292"/>
      <c r="ERX35" s="292"/>
      <c r="ERY35" s="292"/>
      <c r="ERZ35" s="292"/>
      <c r="ESA35" s="292"/>
      <c r="ESB35" s="292"/>
      <c r="ESC35" s="292"/>
      <c r="ESD35" s="292"/>
      <c r="ESE35" s="292"/>
      <c r="ESF35" s="292"/>
      <c r="ESG35" s="292"/>
      <c r="ESH35" s="292"/>
      <c r="ESI35" s="292"/>
      <c r="ESJ35" s="292"/>
      <c r="ESK35" s="292"/>
      <c r="ESL35" s="292"/>
      <c r="ESM35" s="292"/>
      <c r="ESN35" s="292"/>
      <c r="ESO35" s="292"/>
      <c r="ESP35" s="292"/>
      <c r="ESQ35" s="292"/>
      <c r="ESR35" s="292"/>
      <c r="ESS35" s="292"/>
      <c r="EST35" s="292"/>
      <c r="ESU35" s="292"/>
      <c r="ESV35" s="292"/>
      <c r="ESW35" s="292"/>
      <c r="ESX35" s="292"/>
      <c r="ESY35" s="292"/>
      <c r="ESZ35" s="292"/>
      <c r="ETA35" s="292"/>
      <c r="ETB35" s="292"/>
      <c r="ETC35" s="292"/>
      <c r="ETD35" s="292"/>
      <c r="ETE35" s="292"/>
      <c r="ETF35" s="292"/>
      <c r="ETG35" s="292"/>
      <c r="ETH35" s="292"/>
      <c r="ETI35" s="292"/>
      <c r="ETJ35" s="292"/>
      <c r="ETK35" s="292"/>
      <c r="ETL35" s="292"/>
      <c r="ETM35" s="292"/>
      <c r="ETN35" s="292"/>
      <c r="ETO35" s="292"/>
      <c r="ETP35" s="292"/>
      <c r="ETQ35" s="292"/>
      <c r="ETR35" s="292"/>
      <c r="ETS35" s="292"/>
      <c r="ETT35" s="292"/>
      <c r="ETU35" s="292"/>
      <c r="ETV35" s="292"/>
      <c r="ETW35" s="292"/>
      <c r="ETX35" s="292"/>
      <c r="ETY35" s="292"/>
      <c r="ETZ35" s="292"/>
      <c r="EUA35" s="292"/>
      <c r="EUB35" s="292"/>
      <c r="EUC35" s="292"/>
      <c r="EUD35" s="292"/>
      <c r="EUE35" s="292"/>
      <c r="EUF35" s="292"/>
      <c r="EUG35" s="292"/>
      <c r="EUH35" s="292"/>
      <c r="EUI35" s="292"/>
      <c r="EUJ35" s="292"/>
      <c r="EUK35" s="292"/>
      <c r="EUL35" s="292"/>
      <c r="EUM35" s="292"/>
      <c r="EUN35" s="292"/>
      <c r="EUO35" s="292"/>
      <c r="EUP35" s="292"/>
      <c r="EUQ35" s="292"/>
      <c r="EUR35" s="292"/>
      <c r="EUS35" s="292"/>
      <c r="EUT35" s="292"/>
      <c r="EUU35" s="292"/>
      <c r="EUV35" s="292"/>
      <c r="EUW35" s="292"/>
      <c r="EUX35" s="292"/>
      <c r="EUY35" s="292"/>
      <c r="EUZ35" s="292"/>
      <c r="EVA35" s="292"/>
      <c r="EVB35" s="292"/>
      <c r="EVC35" s="292"/>
      <c r="EVD35" s="292"/>
      <c r="EVE35" s="292"/>
      <c r="EVF35" s="292"/>
      <c r="EVG35" s="292"/>
      <c r="EVH35" s="292"/>
      <c r="EVI35" s="292"/>
      <c r="EVJ35" s="292"/>
      <c r="EVK35" s="292"/>
      <c r="EVL35" s="292"/>
      <c r="EVM35" s="292"/>
      <c r="EVN35" s="292"/>
      <c r="EVO35" s="292"/>
      <c r="EVP35" s="292"/>
      <c r="EVQ35" s="292"/>
      <c r="EVR35" s="292"/>
      <c r="EVS35" s="292"/>
      <c r="EVT35" s="292"/>
      <c r="EVU35" s="292"/>
      <c r="EVV35" s="292"/>
      <c r="EVW35" s="292"/>
      <c r="EVX35" s="292"/>
      <c r="EVY35" s="292"/>
      <c r="EVZ35" s="292"/>
      <c r="EWA35" s="292"/>
      <c r="EWB35" s="292"/>
      <c r="EWC35" s="292"/>
      <c r="EWD35" s="292"/>
      <c r="EWE35" s="292"/>
      <c r="EWF35" s="292"/>
      <c r="EWG35" s="292"/>
      <c r="EWH35" s="292"/>
      <c r="EWI35" s="292"/>
      <c r="EWJ35" s="292"/>
      <c r="EWK35" s="292"/>
      <c r="EWL35" s="292"/>
      <c r="EWM35" s="292"/>
      <c r="EWN35" s="292"/>
      <c r="EWO35" s="292"/>
      <c r="EWP35" s="292"/>
      <c r="EWQ35" s="292"/>
      <c r="EWR35" s="292"/>
      <c r="EWS35" s="292"/>
      <c r="EWT35" s="292"/>
      <c r="EWU35" s="292"/>
      <c r="EWV35" s="292"/>
      <c r="EWW35" s="292"/>
      <c r="EWX35" s="292"/>
      <c r="EWY35" s="292"/>
      <c r="EWZ35" s="292"/>
      <c r="EXA35" s="292"/>
      <c r="EXB35" s="292"/>
      <c r="EXC35" s="292"/>
      <c r="EXD35" s="292"/>
      <c r="EXE35" s="292"/>
      <c r="EXF35" s="292"/>
      <c r="EXG35" s="292"/>
      <c r="EXH35" s="292"/>
      <c r="EXI35" s="292"/>
      <c r="EXJ35" s="292"/>
      <c r="EXK35" s="292"/>
      <c r="EXL35" s="292"/>
      <c r="EXM35" s="292"/>
      <c r="EXN35" s="292"/>
      <c r="EXO35" s="292"/>
      <c r="EXP35" s="292"/>
      <c r="EXQ35" s="292"/>
      <c r="EXR35" s="292"/>
      <c r="EXS35" s="292"/>
      <c r="EXT35" s="292"/>
      <c r="EXU35" s="292"/>
      <c r="EXV35" s="292"/>
      <c r="EXW35" s="292"/>
      <c r="EXX35" s="292"/>
      <c r="EXY35" s="292"/>
      <c r="EXZ35" s="292"/>
      <c r="EYA35" s="292"/>
      <c r="EYB35" s="292"/>
      <c r="EYC35" s="292"/>
      <c r="EYD35" s="292"/>
      <c r="EYE35" s="292"/>
      <c r="EYF35" s="292"/>
      <c r="EYG35" s="292"/>
      <c r="EYH35" s="292"/>
      <c r="EYI35" s="292"/>
      <c r="EYJ35" s="292"/>
      <c r="EYK35" s="292"/>
      <c r="EYL35" s="292"/>
      <c r="EYM35" s="292"/>
      <c r="EYN35" s="292"/>
      <c r="EYO35" s="292"/>
      <c r="EYP35" s="292"/>
      <c r="EYQ35" s="292"/>
      <c r="EYR35" s="292"/>
      <c r="EYS35" s="292"/>
      <c r="EYT35" s="292"/>
      <c r="EYU35" s="292"/>
      <c r="EYV35" s="292"/>
      <c r="EYW35" s="292"/>
      <c r="EYX35" s="292"/>
      <c r="EYY35" s="292"/>
      <c r="EYZ35" s="292"/>
      <c r="EZA35" s="292"/>
      <c r="EZB35" s="292"/>
      <c r="EZC35" s="292"/>
      <c r="EZD35" s="292"/>
      <c r="EZE35" s="292"/>
      <c r="EZF35" s="292"/>
      <c r="EZG35" s="292"/>
      <c r="EZH35" s="292"/>
      <c r="EZI35" s="292"/>
      <c r="EZJ35" s="292"/>
      <c r="EZK35" s="292"/>
      <c r="EZL35" s="292"/>
      <c r="EZM35" s="292"/>
      <c r="EZN35" s="292"/>
      <c r="EZO35" s="292"/>
      <c r="EZP35" s="292"/>
      <c r="EZQ35" s="292"/>
      <c r="EZR35" s="292"/>
      <c r="EZS35" s="292"/>
      <c r="EZT35" s="292"/>
      <c r="EZU35" s="292"/>
      <c r="EZV35" s="292"/>
      <c r="EZW35" s="292"/>
      <c r="EZX35" s="292"/>
      <c r="EZY35" s="292"/>
      <c r="EZZ35" s="292"/>
      <c r="FAA35" s="292"/>
      <c r="FAB35" s="292"/>
      <c r="FAC35" s="292"/>
      <c r="FAD35" s="292"/>
      <c r="FAE35" s="292"/>
      <c r="FAF35" s="292"/>
      <c r="FAG35" s="292"/>
      <c r="FAH35" s="292"/>
      <c r="FAI35" s="292"/>
      <c r="FAJ35" s="292"/>
      <c r="FAK35" s="292"/>
      <c r="FAL35" s="292"/>
      <c r="FAM35" s="292"/>
      <c r="FAN35" s="292"/>
      <c r="FAO35" s="292"/>
      <c r="FAP35" s="292"/>
      <c r="FAQ35" s="292"/>
      <c r="FAR35" s="292"/>
      <c r="FAS35" s="292"/>
      <c r="FAT35" s="292"/>
      <c r="FAU35" s="292"/>
      <c r="FAV35" s="292"/>
      <c r="FAW35" s="292"/>
      <c r="FAX35" s="292"/>
      <c r="FAY35" s="292"/>
      <c r="FAZ35" s="292"/>
      <c r="FBA35" s="292"/>
      <c r="FBB35" s="292"/>
      <c r="FBC35" s="292"/>
      <c r="FBD35" s="292"/>
      <c r="FBE35" s="292"/>
      <c r="FBF35" s="292"/>
      <c r="FBG35" s="292"/>
      <c r="FBH35" s="292"/>
      <c r="FBI35" s="292"/>
      <c r="FBJ35" s="292"/>
      <c r="FBK35" s="292"/>
      <c r="FBL35" s="292"/>
      <c r="FBM35" s="292"/>
      <c r="FBN35" s="292"/>
      <c r="FBO35" s="292"/>
      <c r="FBP35" s="292"/>
      <c r="FBQ35" s="292"/>
      <c r="FBR35" s="292"/>
      <c r="FBS35" s="292"/>
      <c r="FBT35" s="292"/>
      <c r="FBU35" s="292"/>
      <c r="FBV35" s="292"/>
      <c r="FBW35" s="292"/>
      <c r="FBX35" s="292"/>
      <c r="FBY35" s="292"/>
      <c r="FBZ35" s="292"/>
      <c r="FCA35" s="292"/>
      <c r="FCB35" s="292"/>
      <c r="FCC35" s="292"/>
      <c r="FCD35" s="292"/>
      <c r="FCE35" s="292"/>
      <c r="FCF35" s="292"/>
      <c r="FCG35" s="292"/>
      <c r="FCH35" s="292"/>
      <c r="FCI35" s="292"/>
      <c r="FCJ35" s="292"/>
      <c r="FCK35" s="292"/>
      <c r="FCL35" s="292"/>
      <c r="FCM35" s="292"/>
      <c r="FCN35" s="292"/>
      <c r="FCO35" s="292"/>
      <c r="FCP35" s="292"/>
      <c r="FCQ35" s="292"/>
      <c r="FCR35" s="292"/>
      <c r="FCS35" s="292"/>
      <c r="FCT35" s="292"/>
      <c r="FCU35" s="292"/>
      <c r="FCV35" s="292"/>
      <c r="FCW35" s="292"/>
      <c r="FCX35" s="292"/>
      <c r="FCY35" s="292"/>
      <c r="FCZ35" s="292"/>
      <c r="FDA35" s="292"/>
      <c r="FDB35" s="292"/>
      <c r="FDC35" s="292"/>
      <c r="FDD35" s="292"/>
      <c r="FDE35" s="292"/>
      <c r="FDF35" s="292"/>
      <c r="FDG35" s="292"/>
      <c r="FDH35" s="292"/>
      <c r="FDI35" s="292"/>
      <c r="FDJ35" s="292"/>
      <c r="FDK35" s="292"/>
      <c r="FDL35" s="292"/>
      <c r="FDM35" s="292"/>
      <c r="FDN35" s="292"/>
      <c r="FDO35" s="292"/>
      <c r="FDP35" s="292"/>
      <c r="FDQ35" s="292"/>
      <c r="FDR35" s="292"/>
      <c r="FDS35" s="292"/>
      <c r="FDT35" s="292"/>
      <c r="FDU35" s="292"/>
      <c r="FDV35" s="292"/>
      <c r="FDW35" s="292"/>
      <c r="FDX35" s="292"/>
      <c r="FDY35" s="292"/>
      <c r="FDZ35" s="292"/>
      <c r="FEA35" s="292"/>
      <c r="FEB35" s="292"/>
      <c r="FEC35" s="292"/>
      <c r="FED35" s="292"/>
      <c r="FEE35" s="292"/>
      <c r="FEF35" s="292"/>
      <c r="FEG35" s="292"/>
      <c r="FEH35" s="292"/>
      <c r="FEI35" s="292"/>
      <c r="FEJ35" s="292"/>
      <c r="FEK35" s="292"/>
      <c r="FEL35" s="292"/>
      <c r="FEM35" s="292"/>
      <c r="FEN35" s="292"/>
      <c r="FEO35" s="292"/>
      <c r="FEP35" s="292"/>
      <c r="FEQ35" s="292"/>
      <c r="FER35" s="292"/>
      <c r="FES35" s="292"/>
      <c r="FET35" s="292"/>
      <c r="FEU35" s="292"/>
      <c r="FEV35" s="292"/>
      <c r="FEW35" s="292"/>
      <c r="FEX35" s="292"/>
      <c r="FEY35" s="292"/>
      <c r="FEZ35" s="292"/>
      <c r="FFA35" s="292"/>
      <c r="FFB35" s="292"/>
      <c r="FFC35" s="292"/>
      <c r="FFD35" s="292"/>
      <c r="FFE35" s="292"/>
      <c r="FFF35" s="292"/>
      <c r="FFG35" s="292"/>
      <c r="FFH35" s="292"/>
      <c r="FFI35" s="292"/>
      <c r="FFJ35" s="292"/>
      <c r="FFK35" s="292"/>
      <c r="FFL35" s="292"/>
      <c r="FFM35" s="292"/>
      <c r="FFN35" s="292"/>
      <c r="FFO35" s="292"/>
      <c r="FFP35" s="292"/>
      <c r="FFQ35" s="292"/>
      <c r="FFR35" s="292"/>
      <c r="FFS35" s="292"/>
      <c r="FFT35" s="292"/>
      <c r="FFU35" s="292"/>
      <c r="FFV35" s="292"/>
      <c r="FFW35" s="292"/>
      <c r="FFX35" s="292"/>
      <c r="FFY35" s="292"/>
      <c r="FFZ35" s="292"/>
      <c r="FGA35" s="292"/>
      <c r="FGB35" s="292"/>
      <c r="FGC35" s="292"/>
      <c r="FGD35" s="292"/>
      <c r="FGE35" s="292"/>
      <c r="FGF35" s="292"/>
      <c r="FGG35" s="292"/>
      <c r="FGH35" s="292"/>
      <c r="FGI35" s="292"/>
      <c r="FGJ35" s="292"/>
      <c r="FGK35" s="292"/>
      <c r="FGL35" s="292"/>
      <c r="FGM35" s="292"/>
      <c r="FGN35" s="292"/>
      <c r="FGO35" s="292"/>
      <c r="FGP35" s="292"/>
      <c r="FGQ35" s="292"/>
      <c r="FGR35" s="292"/>
      <c r="FGS35" s="292"/>
      <c r="FGT35" s="292"/>
      <c r="FGU35" s="292"/>
      <c r="FGV35" s="292"/>
      <c r="FGW35" s="292"/>
      <c r="FGX35" s="292"/>
      <c r="FGY35" s="292"/>
      <c r="FGZ35" s="292"/>
      <c r="FHA35" s="292"/>
      <c r="FHB35" s="292"/>
      <c r="FHC35" s="292"/>
      <c r="FHD35" s="292"/>
      <c r="FHE35" s="292"/>
      <c r="FHF35" s="292"/>
      <c r="FHG35" s="292"/>
      <c r="FHH35" s="292"/>
      <c r="FHI35" s="292"/>
      <c r="FHJ35" s="292"/>
      <c r="FHK35" s="292"/>
      <c r="FHL35" s="292"/>
      <c r="FHM35" s="292"/>
      <c r="FHN35" s="292"/>
      <c r="FHO35" s="292"/>
      <c r="FHP35" s="292"/>
      <c r="FHQ35" s="292"/>
      <c r="FHR35" s="292"/>
      <c r="FHS35" s="292"/>
      <c r="FHT35" s="292"/>
      <c r="FHU35" s="292"/>
      <c r="FHV35" s="292"/>
      <c r="FHW35" s="292"/>
      <c r="FHX35" s="292"/>
      <c r="FHY35" s="292"/>
      <c r="FHZ35" s="292"/>
      <c r="FIA35" s="292"/>
      <c r="FIB35" s="292"/>
      <c r="FIC35" s="292"/>
      <c r="FID35" s="292"/>
      <c r="FIE35" s="292"/>
      <c r="FIF35" s="292"/>
      <c r="FIG35" s="292"/>
      <c r="FIH35" s="292"/>
      <c r="FII35" s="292"/>
      <c r="FIJ35" s="292"/>
      <c r="FIK35" s="292"/>
      <c r="FIL35" s="292"/>
      <c r="FIM35" s="292"/>
      <c r="FIN35" s="292"/>
      <c r="FIO35" s="292"/>
      <c r="FIP35" s="292"/>
      <c r="FIQ35" s="292"/>
      <c r="FIR35" s="292"/>
      <c r="FIS35" s="292"/>
      <c r="FIT35" s="292"/>
      <c r="FIU35" s="292"/>
      <c r="FIV35" s="292"/>
      <c r="FIW35" s="292"/>
      <c r="FIX35" s="292"/>
      <c r="FIY35" s="292"/>
      <c r="FIZ35" s="292"/>
      <c r="FJA35" s="292"/>
      <c r="FJB35" s="292"/>
      <c r="FJC35" s="292"/>
      <c r="FJD35" s="292"/>
      <c r="FJE35" s="292"/>
      <c r="FJF35" s="292"/>
      <c r="FJG35" s="292"/>
      <c r="FJH35" s="292"/>
      <c r="FJI35" s="292"/>
      <c r="FJJ35" s="292"/>
      <c r="FJK35" s="292"/>
      <c r="FJL35" s="292"/>
      <c r="FJM35" s="292"/>
      <c r="FJN35" s="292"/>
      <c r="FJO35" s="292"/>
      <c r="FJP35" s="292"/>
      <c r="FJQ35" s="292"/>
      <c r="FJR35" s="292"/>
      <c r="FJS35" s="292"/>
      <c r="FJT35" s="292"/>
      <c r="FJU35" s="292"/>
      <c r="FJV35" s="292"/>
      <c r="FJW35" s="292"/>
      <c r="FJX35" s="292"/>
      <c r="FJY35" s="292"/>
      <c r="FJZ35" s="292"/>
      <c r="FKA35" s="292"/>
      <c r="FKB35" s="292"/>
      <c r="FKC35" s="292"/>
      <c r="FKD35" s="292"/>
      <c r="FKE35" s="292"/>
      <c r="FKF35" s="292"/>
      <c r="FKG35" s="292"/>
      <c r="FKH35" s="292"/>
      <c r="FKI35" s="292"/>
      <c r="FKJ35" s="292"/>
      <c r="FKK35" s="292"/>
      <c r="FKL35" s="292"/>
      <c r="FKM35" s="292"/>
      <c r="FKN35" s="292"/>
      <c r="FKO35" s="292"/>
      <c r="FKP35" s="292"/>
      <c r="FKQ35" s="292"/>
      <c r="FKR35" s="292"/>
      <c r="FKS35" s="292"/>
      <c r="FKT35" s="292"/>
      <c r="FKU35" s="292"/>
      <c r="FKV35" s="292"/>
      <c r="FKW35" s="292"/>
      <c r="FKX35" s="292"/>
      <c r="FKY35" s="292"/>
      <c r="FKZ35" s="292"/>
      <c r="FLA35" s="292"/>
      <c r="FLB35" s="292"/>
      <c r="FLC35" s="292"/>
      <c r="FLD35" s="292"/>
      <c r="FLE35" s="292"/>
      <c r="FLF35" s="292"/>
      <c r="FLG35" s="292"/>
      <c r="FLH35" s="292"/>
      <c r="FLI35" s="292"/>
      <c r="FLJ35" s="292"/>
      <c r="FLK35" s="292"/>
      <c r="FLL35" s="292"/>
      <c r="FLM35" s="292"/>
      <c r="FLN35" s="292"/>
      <c r="FLO35" s="292"/>
      <c r="FLP35" s="292"/>
      <c r="FLQ35" s="292"/>
      <c r="FLR35" s="292"/>
      <c r="FLS35" s="292"/>
      <c r="FLT35" s="292"/>
      <c r="FLU35" s="292"/>
      <c r="FLV35" s="292"/>
      <c r="FLW35" s="292"/>
      <c r="FLX35" s="292"/>
      <c r="FLY35" s="292"/>
      <c r="FLZ35" s="292"/>
      <c r="FMA35" s="292"/>
      <c r="FMB35" s="292"/>
      <c r="FMC35" s="292"/>
      <c r="FMD35" s="292"/>
      <c r="FME35" s="292"/>
      <c r="FMF35" s="292"/>
      <c r="FMG35" s="292"/>
      <c r="FMH35" s="292"/>
      <c r="FMI35" s="292"/>
      <c r="FMJ35" s="292"/>
      <c r="FMK35" s="292"/>
      <c r="FML35" s="292"/>
      <c r="FMM35" s="292"/>
      <c r="FMN35" s="292"/>
      <c r="FMO35" s="292"/>
      <c r="FMP35" s="292"/>
      <c r="FMQ35" s="292"/>
      <c r="FMR35" s="292"/>
      <c r="FMS35" s="292"/>
      <c r="FMT35" s="292"/>
      <c r="FMU35" s="292"/>
      <c r="FMV35" s="292"/>
      <c r="FMW35" s="292"/>
      <c r="FMX35" s="292"/>
      <c r="FMY35" s="292"/>
      <c r="FMZ35" s="292"/>
      <c r="FNA35" s="292"/>
      <c r="FNB35" s="292"/>
      <c r="FNC35" s="292"/>
      <c r="FND35" s="292"/>
      <c r="FNE35" s="292"/>
      <c r="FNF35" s="292"/>
      <c r="FNG35" s="292"/>
      <c r="FNH35" s="292"/>
      <c r="FNI35" s="292"/>
      <c r="FNJ35" s="292"/>
      <c r="FNK35" s="292"/>
      <c r="FNL35" s="292"/>
      <c r="FNM35" s="292"/>
      <c r="FNN35" s="292"/>
      <c r="FNO35" s="292"/>
      <c r="FNP35" s="292"/>
      <c r="FNQ35" s="292"/>
      <c r="FNR35" s="292"/>
      <c r="FNS35" s="292"/>
      <c r="FNT35" s="292"/>
      <c r="FNU35" s="292"/>
      <c r="FNV35" s="292"/>
      <c r="FNW35" s="292"/>
      <c r="FNX35" s="292"/>
      <c r="FNY35" s="292"/>
      <c r="FNZ35" s="292"/>
      <c r="FOA35" s="292"/>
      <c r="FOB35" s="292"/>
      <c r="FOC35" s="292"/>
      <c r="FOD35" s="292"/>
      <c r="FOE35" s="292"/>
      <c r="FOF35" s="292"/>
      <c r="FOG35" s="292"/>
      <c r="FOH35" s="292"/>
      <c r="FOI35" s="292"/>
      <c r="FOJ35" s="292"/>
      <c r="FOK35" s="292"/>
      <c r="FOL35" s="292"/>
      <c r="FOM35" s="292"/>
      <c r="FON35" s="292"/>
      <c r="FOO35" s="292"/>
      <c r="FOP35" s="292"/>
      <c r="FOQ35" s="292"/>
      <c r="FOR35" s="292"/>
      <c r="FOS35" s="292"/>
      <c r="FOT35" s="292"/>
      <c r="FOU35" s="292"/>
      <c r="FOV35" s="292"/>
      <c r="FOW35" s="292"/>
      <c r="FOX35" s="292"/>
      <c r="FOY35" s="292"/>
      <c r="FOZ35" s="292"/>
      <c r="FPA35" s="292"/>
      <c r="FPB35" s="292"/>
      <c r="FPC35" s="292"/>
      <c r="FPD35" s="292"/>
      <c r="FPE35" s="292"/>
      <c r="FPF35" s="292"/>
      <c r="FPG35" s="292"/>
      <c r="FPH35" s="292"/>
      <c r="FPI35" s="292"/>
      <c r="FPJ35" s="292"/>
      <c r="FPK35" s="292"/>
      <c r="FPL35" s="292"/>
      <c r="FPM35" s="292"/>
      <c r="FPN35" s="292"/>
      <c r="FPO35" s="292"/>
      <c r="FPP35" s="292"/>
      <c r="FPQ35" s="292"/>
      <c r="FPR35" s="292"/>
      <c r="FPS35" s="292"/>
      <c r="FPT35" s="292"/>
      <c r="FPU35" s="292"/>
      <c r="FPV35" s="292"/>
      <c r="FPW35" s="292"/>
      <c r="FPX35" s="292"/>
      <c r="FPY35" s="292"/>
      <c r="FPZ35" s="292"/>
      <c r="FQA35" s="292"/>
      <c r="FQB35" s="292"/>
      <c r="FQC35" s="292"/>
      <c r="FQD35" s="292"/>
      <c r="FQE35" s="292"/>
      <c r="FQF35" s="292"/>
      <c r="FQG35" s="292"/>
      <c r="FQH35" s="292"/>
      <c r="FQI35" s="292"/>
      <c r="FQJ35" s="292"/>
      <c r="FQK35" s="292"/>
      <c r="FQL35" s="292"/>
      <c r="FQM35" s="292"/>
      <c r="FQN35" s="292"/>
      <c r="FQO35" s="292"/>
      <c r="FQP35" s="292"/>
      <c r="FQQ35" s="292"/>
      <c r="FQR35" s="292"/>
      <c r="FQS35" s="292"/>
      <c r="FQT35" s="292"/>
      <c r="FQU35" s="292"/>
      <c r="FQV35" s="292"/>
      <c r="FQW35" s="292"/>
      <c r="FQX35" s="292"/>
      <c r="FQY35" s="292"/>
      <c r="FQZ35" s="292"/>
      <c r="FRA35" s="292"/>
      <c r="FRB35" s="292"/>
      <c r="FRC35" s="292"/>
      <c r="FRD35" s="292"/>
      <c r="FRE35" s="292"/>
      <c r="FRF35" s="292"/>
      <c r="FRG35" s="292"/>
      <c r="FRH35" s="292"/>
      <c r="FRI35" s="292"/>
      <c r="FRJ35" s="292"/>
      <c r="FRK35" s="292"/>
      <c r="FRL35" s="292"/>
      <c r="FRM35" s="292"/>
      <c r="FRN35" s="292"/>
      <c r="FRO35" s="292"/>
      <c r="FRP35" s="292"/>
      <c r="FRQ35" s="292"/>
      <c r="FRR35" s="292"/>
      <c r="FRS35" s="292"/>
      <c r="FRT35" s="292"/>
      <c r="FRU35" s="292"/>
      <c r="FRV35" s="292"/>
      <c r="FRW35" s="292"/>
      <c r="FRX35" s="292"/>
      <c r="FRY35" s="292"/>
      <c r="FRZ35" s="292"/>
      <c r="FSA35" s="292"/>
      <c r="FSB35" s="292"/>
      <c r="FSC35" s="292"/>
      <c r="FSD35" s="292"/>
      <c r="FSE35" s="292"/>
      <c r="FSF35" s="292"/>
      <c r="FSG35" s="292"/>
      <c r="FSH35" s="292"/>
      <c r="FSI35" s="292"/>
      <c r="FSJ35" s="292"/>
      <c r="FSK35" s="292"/>
      <c r="FSL35" s="292"/>
      <c r="FSM35" s="292"/>
      <c r="FSN35" s="292"/>
      <c r="FSO35" s="292"/>
      <c r="FSP35" s="292"/>
      <c r="FSQ35" s="292"/>
      <c r="FSR35" s="292"/>
      <c r="FSS35" s="292"/>
      <c r="FST35" s="292"/>
      <c r="FSU35" s="292"/>
      <c r="FSV35" s="292"/>
      <c r="FSW35" s="292"/>
      <c r="FSX35" s="292"/>
      <c r="FSY35" s="292"/>
      <c r="FSZ35" s="292"/>
      <c r="FTA35" s="292"/>
      <c r="FTB35" s="292"/>
      <c r="FTC35" s="292"/>
      <c r="FTD35" s="292"/>
      <c r="FTE35" s="292"/>
      <c r="FTF35" s="292"/>
      <c r="FTG35" s="292"/>
      <c r="FTH35" s="292"/>
      <c r="FTI35" s="292"/>
      <c r="FTJ35" s="292"/>
      <c r="FTK35" s="292"/>
      <c r="FTL35" s="292"/>
      <c r="FTM35" s="292"/>
      <c r="FTN35" s="292"/>
      <c r="FTO35" s="292"/>
      <c r="FTP35" s="292"/>
      <c r="FTQ35" s="292"/>
      <c r="FTR35" s="292"/>
      <c r="FTS35" s="292"/>
      <c r="FTT35" s="292"/>
      <c r="FTU35" s="292"/>
      <c r="FTV35" s="292"/>
      <c r="FTW35" s="292"/>
      <c r="FTX35" s="292"/>
      <c r="FTY35" s="292"/>
      <c r="FTZ35" s="292"/>
      <c r="FUA35" s="292"/>
      <c r="FUB35" s="292"/>
      <c r="FUC35" s="292"/>
      <c r="FUD35" s="292"/>
      <c r="FUE35" s="292"/>
      <c r="FUF35" s="292"/>
      <c r="FUG35" s="292"/>
      <c r="FUH35" s="292"/>
      <c r="FUI35" s="292"/>
      <c r="FUJ35" s="292"/>
      <c r="FUK35" s="292"/>
      <c r="FUL35" s="292"/>
      <c r="FUM35" s="292"/>
      <c r="FUN35" s="292"/>
      <c r="FUO35" s="292"/>
      <c r="FUP35" s="292"/>
      <c r="FUQ35" s="292"/>
      <c r="FUR35" s="292"/>
      <c r="FUS35" s="292"/>
      <c r="FUT35" s="292"/>
      <c r="FUU35" s="292"/>
      <c r="FUV35" s="292"/>
      <c r="FUW35" s="292"/>
      <c r="FUX35" s="292"/>
      <c r="FUY35" s="292"/>
      <c r="FUZ35" s="292"/>
      <c r="FVA35" s="292"/>
      <c r="FVB35" s="292"/>
      <c r="FVC35" s="292"/>
      <c r="FVD35" s="292"/>
      <c r="FVE35" s="292"/>
      <c r="FVF35" s="292"/>
      <c r="FVG35" s="292"/>
      <c r="FVH35" s="292"/>
      <c r="FVI35" s="292"/>
      <c r="FVJ35" s="292"/>
      <c r="FVK35" s="292"/>
      <c r="FVL35" s="292"/>
      <c r="FVM35" s="292"/>
      <c r="FVN35" s="292"/>
      <c r="FVO35" s="292"/>
      <c r="FVP35" s="292"/>
      <c r="FVQ35" s="292"/>
      <c r="FVR35" s="292"/>
      <c r="FVS35" s="292"/>
      <c r="FVT35" s="292"/>
      <c r="FVU35" s="292"/>
      <c r="FVV35" s="292"/>
      <c r="FVW35" s="292"/>
      <c r="FVX35" s="292"/>
      <c r="FVY35" s="292"/>
      <c r="FVZ35" s="292"/>
      <c r="FWA35" s="292"/>
      <c r="FWB35" s="292"/>
      <c r="FWC35" s="292"/>
      <c r="FWD35" s="292"/>
      <c r="FWE35" s="292"/>
      <c r="FWF35" s="292"/>
      <c r="FWG35" s="292"/>
      <c r="FWH35" s="292"/>
      <c r="FWI35" s="292"/>
      <c r="FWJ35" s="292"/>
      <c r="FWK35" s="292"/>
      <c r="FWL35" s="292"/>
      <c r="FWM35" s="292"/>
      <c r="FWN35" s="292"/>
      <c r="FWO35" s="292"/>
      <c r="FWP35" s="292"/>
      <c r="FWQ35" s="292"/>
      <c r="FWR35" s="292"/>
      <c r="FWS35" s="292"/>
      <c r="FWT35" s="292"/>
      <c r="FWU35" s="292"/>
      <c r="FWV35" s="292"/>
      <c r="FWW35" s="292"/>
      <c r="FWX35" s="292"/>
      <c r="FWY35" s="292"/>
      <c r="FWZ35" s="292"/>
      <c r="FXA35" s="292"/>
      <c r="FXB35" s="292"/>
      <c r="FXC35" s="292"/>
      <c r="FXD35" s="292"/>
      <c r="FXE35" s="292"/>
      <c r="FXF35" s="292"/>
      <c r="FXG35" s="292"/>
      <c r="FXH35" s="292"/>
      <c r="FXI35" s="292"/>
      <c r="FXJ35" s="292"/>
      <c r="FXK35" s="292"/>
      <c r="FXL35" s="292"/>
      <c r="FXM35" s="292"/>
      <c r="FXN35" s="292"/>
      <c r="FXO35" s="292"/>
      <c r="FXP35" s="292"/>
      <c r="FXQ35" s="292"/>
      <c r="FXR35" s="292"/>
      <c r="FXS35" s="292"/>
      <c r="FXT35" s="292"/>
      <c r="FXU35" s="292"/>
      <c r="FXV35" s="292"/>
      <c r="FXW35" s="292"/>
      <c r="FXX35" s="292"/>
      <c r="FXY35" s="292"/>
      <c r="FXZ35" s="292"/>
      <c r="FYA35" s="292"/>
      <c r="FYB35" s="292"/>
      <c r="FYC35" s="292"/>
      <c r="FYD35" s="292"/>
      <c r="FYE35" s="292"/>
      <c r="FYF35" s="292"/>
      <c r="FYG35" s="292"/>
      <c r="FYH35" s="292"/>
      <c r="FYI35" s="292"/>
      <c r="FYJ35" s="292"/>
      <c r="FYK35" s="292"/>
      <c r="FYL35" s="292"/>
      <c r="FYM35" s="292"/>
      <c r="FYN35" s="292"/>
      <c r="FYO35" s="292"/>
      <c r="FYP35" s="292"/>
      <c r="FYQ35" s="292"/>
      <c r="FYR35" s="292"/>
      <c r="FYS35" s="292"/>
      <c r="FYT35" s="292"/>
      <c r="FYU35" s="292"/>
      <c r="FYV35" s="292"/>
      <c r="FYW35" s="292"/>
      <c r="FYX35" s="292"/>
      <c r="FYY35" s="292"/>
      <c r="FYZ35" s="292"/>
      <c r="FZA35" s="292"/>
      <c r="FZB35" s="292"/>
      <c r="FZC35" s="292"/>
      <c r="FZD35" s="292"/>
      <c r="FZE35" s="292"/>
      <c r="FZF35" s="292"/>
      <c r="FZG35" s="292"/>
      <c r="FZH35" s="292"/>
      <c r="FZI35" s="292"/>
      <c r="FZJ35" s="292"/>
      <c r="FZK35" s="292"/>
      <c r="FZL35" s="292"/>
      <c r="FZM35" s="292"/>
      <c r="FZN35" s="292"/>
      <c r="FZO35" s="292"/>
      <c r="FZP35" s="292"/>
      <c r="FZQ35" s="292"/>
      <c r="FZR35" s="292"/>
      <c r="FZS35" s="292"/>
      <c r="FZT35" s="292"/>
      <c r="FZU35" s="292"/>
      <c r="FZV35" s="292"/>
      <c r="FZW35" s="292"/>
      <c r="FZX35" s="292"/>
      <c r="FZY35" s="292"/>
      <c r="FZZ35" s="292"/>
      <c r="GAA35" s="292"/>
      <c r="GAB35" s="292"/>
      <c r="GAC35" s="292"/>
      <c r="GAD35" s="292"/>
      <c r="GAE35" s="292"/>
      <c r="GAF35" s="292"/>
      <c r="GAG35" s="292"/>
      <c r="GAH35" s="292"/>
      <c r="GAI35" s="292"/>
      <c r="GAJ35" s="292"/>
      <c r="GAK35" s="292"/>
      <c r="GAL35" s="292"/>
      <c r="GAM35" s="292"/>
      <c r="GAN35" s="292"/>
      <c r="GAO35" s="292"/>
      <c r="GAP35" s="292"/>
      <c r="GAQ35" s="292"/>
      <c r="GAR35" s="292"/>
      <c r="GAS35" s="292"/>
      <c r="GAT35" s="292"/>
      <c r="GAU35" s="292"/>
      <c r="GAV35" s="292"/>
      <c r="GAW35" s="292"/>
      <c r="GAX35" s="292"/>
      <c r="GAY35" s="292"/>
      <c r="GAZ35" s="292"/>
      <c r="GBA35" s="292"/>
      <c r="GBB35" s="292"/>
      <c r="GBC35" s="292"/>
      <c r="GBD35" s="292"/>
      <c r="GBE35" s="292"/>
      <c r="GBF35" s="292"/>
      <c r="GBG35" s="292"/>
      <c r="GBH35" s="292"/>
      <c r="GBI35" s="292"/>
      <c r="GBJ35" s="292"/>
      <c r="GBK35" s="292"/>
      <c r="GBL35" s="292"/>
      <c r="GBM35" s="292"/>
      <c r="GBN35" s="292"/>
      <c r="GBO35" s="292"/>
      <c r="GBP35" s="292"/>
      <c r="GBQ35" s="292"/>
      <c r="GBR35" s="292"/>
      <c r="GBS35" s="292"/>
      <c r="GBT35" s="292"/>
      <c r="GBU35" s="292"/>
      <c r="GBV35" s="292"/>
      <c r="GBW35" s="292"/>
      <c r="GBX35" s="292"/>
      <c r="GBY35" s="292"/>
      <c r="GBZ35" s="292"/>
      <c r="GCA35" s="292"/>
      <c r="GCB35" s="292"/>
      <c r="GCC35" s="292"/>
      <c r="GCD35" s="292"/>
      <c r="GCE35" s="292"/>
      <c r="GCF35" s="292"/>
      <c r="GCG35" s="292"/>
      <c r="GCH35" s="292"/>
      <c r="GCI35" s="292"/>
      <c r="GCJ35" s="292"/>
      <c r="GCK35" s="292"/>
      <c r="GCL35" s="292"/>
      <c r="GCM35" s="292"/>
      <c r="GCN35" s="292"/>
      <c r="GCO35" s="292"/>
      <c r="GCP35" s="292"/>
      <c r="GCQ35" s="292"/>
      <c r="GCR35" s="292"/>
      <c r="GCS35" s="292"/>
      <c r="GCT35" s="292"/>
      <c r="GCU35" s="292"/>
      <c r="GCV35" s="292"/>
      <c r="GCW35" s="292"/>
      <c r="GCX35" s="292"/>
      <c r="GCY35" s="292"/>
      <c r="GCZ35" s="292"/>
      <c r="GDA35" s="292"/>
      <c r="GDB35" s="292"/>
      <c r="GDC35" s="292"/>
      <c r="GDD35" s="292"/>
      <c r="GDE35" s="292"/>
      <c r="GDF35" s="292"/>
      <c r="GDG35" s="292"/>
      <c r="GDH35" s="292"/>
      <c r="GDI35" s="292"/>
      <c r="GDJ35" s="292"/>
      <c r="GDK35" s="292"/>
      <c r="GDL35" s="292"/>
      <c r="GDM35" s="292"/>
      <c r="GDN35" s="292"/>
      <c r="GDO35" s="292"/>
      <c r="GDP35" s="292"/>
      <c r="GDQ35" s="292"/>
      <c r="GDR35" s="292"/>
      <c r="GDS35" s="292"/>
      <c r="GDT35" s="292"/>
      <c r="GDU35" s="292"/>
      <c r="GDV35" s="292"/>
      <c r="GDW35" s="292"/>
      <c r="GDX35" s="292"/>
      <c r="GDY35" s="292"/>
      <c r="GDZ35" s="292"/>
      <c r="GEA35" s="292"/>
      <c r="GEB35" s="292"/>
      <c r="GEC35" s="292"/>
      <c r="GED35" s="292"/>
      <c r="GEE35" s="292"/>
      <c r="GEF35" s="292"/>
      <c r="GEG35" s="292"/>
      <c r="GEH35" s="292"/>
      <c r="GEI35" s="292"/>
      <c r="GEJ35" s="292"/>
      <c r="GEK35" s="292"/>
      <c r="GEL35" s="292"/>
      <c r="GEM35" s="292"/>
      <c r="GEN35" s="292"/>
      <c r="GEO35" s="292"/>
      <c r="GEP35" s="292"/>
      <c r="GEQ35" s="292"/>
      <c r="GER35" s="292"/>
      <c r="GES35" s="292"/>
      <c r="GET35" s="292"/>
      <c r="GEU35" s="292"/>
      <c r="GEV35" s="292"/>
      <c r="GEW35" s="292"/>
      <c r="GEX35" s="292"/>
      <c r="GEY35" s="292"/>
      <c r="GEZ35" s="292"/>
      <c r="GFA35" s="292"/>
      <c r="GFB35" s="292"/>
      <c r="GFC35" s="292"/>
      <c r="GFD35" s="292"/>
      <c r="GFE35" s="292"/>
      <c r="GFF35" s="292"/>
      <c r="GFG35" s="292"/>
      <c r="GFH35" s="292"/>
      <c r="GFI35" s="292"/>
      <c r="GFJ35" s="292"/>
      <c r="GFK35" s="292"/>
      <c r="GFL35" s="292"/>
      <c r="GFM35" s="292"/>
      <c r="GFN35" s="292"/>
      <c r="GFO35" s="292"/>
      <c r="GFP35" s="292"/>
      <c r="GFQ35" s="292"/>
      <c r="GFR35" s="292"/>
      <c r="GFS35" s="292"/>
      <c r="GFT35" s="292"/>
      <c r="GFU35" s="292"/>
      <c r="GFV35" s="292"/>
      <c r="GFW35" s="292"/>
      <c r="GFX35" s="292"/>
      <c r="GFY35" s="292"/>
      <c r="GFZ35" s="292"/>
      <c r="GGA35" s="292"/>
      <c r="GGB35" s="292"/>
      <c r="GGC35" s="292"/>
      <c r="GGD35" s="292"/>
      <c r="GGE35" s="292"/>
      <c r="GGF35" s="292"/>
      <c r="GGG35" s="292"/>
      <c r="GGH35" s="292"/>
      <c r="GGI35" s="292"/>
      <c r="GGJ35" s="292"/>
      <c r="GGK35" s="292"/>
      <c r="GGL35" s="292"/>
      <c r="GGM35" s="292"/>
      <c r="GGN35" s="292"/>
      <c r="GGO35" s="292"/>
      <c r="GGP35" s="292"/>
      <c r="GGQ35" s="292"/>
      <c r="GGR35" s="292"/>
      <c r="GGS35" s="292"/>
      <c r="GGT35" s="292"/>
      <c r="GGU35" s="292"/>
      <c r="GGV35" s="292"/>
      <c r="GGW35" s="292"/>
      <c r="GGX35" s="292"/>
      <c r="GGY35" s="292"/>
      <c r="GGZ35" s="292"/>
      <c r="GHA35" s="292"/>
      <c r="GHB35" s="292"/>
      <c r="GHC35" s="292"/>
      <c r="GHD35" s="292"/>
      <c r="GHE35" s="292"/>
      <c r="GHF35" s="292"/>
      <c r="GHG35" s="292"/>
      <c r="GHH35" s="292"/>
      <c r="GHI35" s="292"/>
      <c r="GHJ35" s="292"/>
      <c r="GHK35" s="292"/>
      <c r="GHL35" s="292"/>
      <c r="GHM35" s="292"/>
      <c r="GHN35" s="292"/>
      <c r="GHO35" s="292"/>
      <c r="GHP35" s="292"/>
      <c r="GHQ35" s="292"/>
      <c r="GHR35" s="292"/>
      <c r="GHS35" s="292"/>
      <c r="GHT35" s="292"/>
      <c r="GHU35" s="292"/>
      <c r="GHV35" s="292"/>
      <c r="GHW35" s="292"/>
      <c r="GHX35" s="292"/>
      <c r="GHY35" s="292"/>
      <c r="GHZ35" s="292"/>
      <c r="GIA35" s="292"/>
      <c r="GIB35" s="292"/>
      <c r="GIC35" s="292"/>
      <c r="GID35" s="292"/>
      <c r="GIE35" s="292"/>
      <c r="GIF35" s="292"/>
      <c r="GIG35" s="292"/>
      <c r="GIH35" s="292"/>
      <c r="GII35" s="292"/>
      <c r="GIJ35" s="292"/>
      <c r="GIK35" s="292"/>
      <c r="GIL35" s="292"/>
      <c r="GIM35" s="292"/>
      <c r="GIN35" s="292"/>
      <c r="GIO35" s="292"/>
      <c r="GIP35" s="292"/>
      <c r="GIQ35" s="292"/>
      <c r="GIR35" s="292"/>
      <c r="GIS35" s="292"/>
      <c r="GIT35" s="292"/>
      <c r="GIU35" s="292"/>
      <c r="GIV35" s="292"/>
      <c r="GIW35" s="292"/>
      <c r="GIX35" s="292"/>
      <c r="GIY35" s="292"/>
      <c r="GIZ35" s="292"/>
      <c r="GJA35" s="292"/>
      <c r="GJB35" s="292"/>
      <c r="GJC35" s="292"/>
      <c r="GJD35" s="292"/>
      <c r="GJE35" s="292"/>
      <c r="GJF35" s="292"/>
      <c r="GJG35" s="292"/>
      <c r="GJH35" s="292"/>
      <c r="GJI35" s="292"/>
      <c r="GJJ35" s="292"/>
      <c r="GJK35" s="292"/>
      <c r="GJL35" s="292"/>
      <c r="GJM35" s="292"/>
      <c r="GJN35" s="292"/>
      <c r="GJO35" s="292"/>
      <c r="GJP35" s="292"/>
      <c r="GJQ35" s="292"/>
      <c r="GJR35" s="292"/>
      <c r="GJS35" s="292"/>
      <c r="GJT35" s="292"/>
      <c r="GJU35" s="292"/>
      <c r="GJV35" s="292"/>
      <c r="GJW35" s="292"/>
      <c r="GJX35" s="292"/>
      <c r="GJY35" s="292"/>
      <c r="GJZ35" s="292"/>
      <c r="GKA35" s="292"/>
      <c r="GKB35" s="292"/>
      <c r="GKC35" s="292"/>
      <c r="GKD35" s="292"/>
      <c r="GKE35" s="292"/>
      <c r="GKF35" s="292"/>
      <c r="GKG35" s="292"/>
      <c r="GKH35" s="292"/>
      <c r="GKI35" s="292"/>
      <c r="GKJ35" s="292"/>
      <c r="GKK35" s="292"/>
      <c r="GKL35" s="292"/>
      <c r="GKM35" s="292"/>
      <c r="GKN35" s="292"/>
      <c r="GKO35" s="292"/>
      <c r="GKP35" s="292"/>
      <c r="GKQ35" s="292"/>
      <c r="GKR35" s="292"/>
      <c r="GKS35" s="292"/>
      <c r="GKT35" s="292"/>
      <c r="GKU35" s="292"/>
      <c r="GKV35" s="292"/>
      <c r="GKW35" s="292"/>
      <c r="GKX35" s="292"/>
      <c r="GKY35" s="292"/>
      <c r="GKZ35" s="292"/>
      <c r="GLA35" s="292"/>
      <c r="GLB35" s="292"/>
      <c r="GLC35" s="292"/>
      <c r="GLD35" s="292"/>
      <c r="GLE35" s="292"/>
      <c r="GLF35" s="292"/>
      <c r="GLG35" s="292"/>
      <c r="GLH35" s="292"/>
      <c r="GLI35" s="292"/>
      <c r="GLJ35" s="292"/>
      <c r="GLK35" s="292"/>
      <c r="GLL35" s="292"/>
      <c r="GLM35" s="292"/>
      <c r="GLN35" s="292"/>
      <c r="GLO35" s="292"/>
      <c r="GLP35" s="292"/>
      <c r="GLQ35" s="292"/>
      <c r="GLR35" s="292"/>
      <c r="GLS35" s="292"/>
      <c r="GLT35" s="292"/>
      <c r="GLU35" s="292"/>
      <c r="GLV35" s="292"/>
      <c r="GLW35" s="292"/>
      <c r="GLX35" s="292"/>
      <c r="GLY35" s="292"/>
      <c r="GLZ35" s="292"/>
      <c r="GMA35" s="292"/>
      <c r="GMB35" s="292"/>
      <c r="GMC35" s="292"/>
      <c r="GMD35" s="292"/>
      <c r="GME35" s="292"/>
      <c r="GMF35" s="292"/>
      <c r="GMG35" s="292"/>
      <c r="GMH35" s="292"/>
      <c r="GMI35" s="292"/>
      <c r="GMJ35" s="292"/>
      <c r="GMK35" s="292"/>
      <c r="GML35" s="292"/>
      <c r="GMM35" s="292"/>
      <c r="GMN35" s="292"/>
      <c r="GMO35" s="292"/>
      <c r="GMP35" s="292"/>
      <c r="GMQ35" s="292"/>
      <c r="GMR35" s="292"/>
      <c r="GMS35" s="292"/>
      <c r="GMT35" s="292"/>
      <c r="GMU35" s="292"/>
      <c r="GMV35" s="292"/>
      <c r="GMW35" s="292"/>
      <c r="GMX35" s="292"/>
      <c r="GMY35" s="292"/>
      <c r="GMZ35" s="292"/>
      <c r="GNA35" s="292"/>
      <c r="GNB35" s="292"/>
      <c r="GNC35" s="292"/>
      <c r="GND35" s="292"/>
      <c r="GNE35" s="292"/>
      <c r="GNF35" s="292"/>
      <c r="GNG35" s="292"/>
      <c r="GNH35" s="292"/>
      <c r="GNI35" s="292"/>
      <c r="GNJ35" s="292"/>
      <c r="GNK35" s="292"/>
      <c r="GNL35" s="292"/>
      <c r="GNM35" s="292"/>
      <c r="GNN35" s="292"/>
      <c r="GNO35" s="292"/>
      <c r="GNP35" s="292"/>
      <c r="GNQ35" s="292"/>
      <c r="GNR35" s="292"/>
      <c r="GNS35" s="292"/>
      <c r="GNT35" s="292"/>
      <c r="GNU35" s="292"/>
      <c r="GNV35" s="292"/>
      <c r="GNW35" s="292"/>
      <c r="GNX35" s="292"/>
      <c r="GNY35" s="292"/>
      <c r="GNZ35" s="292"/>
      <c r="GOA35" s="292"/>
      <c r="GOB35" s="292"/>
      <c r="GOC35" s="292"/>
      <c r="GOD35" s="292"/>
      <c r="GOE35" s="292"/>
      <c r="GOF35" s="292"/>
      <c r="GOG35" s="292"/>
      <c r="GOH35" s="292"/>
      <c r="GOI35" s="292"/>
      <c r="GOJ35" s="292"/>
      <c r="GOK35" s="292"/>
      <c r="GOL35" s="292"/>
      <c r="GOM35" s="292"/>
      <c r="GON35" s="292"/>
      <c r="GOO35" s="292"/>
      <c r="GOP35" s="292"/>
      <c r="GOQ35" s="292"/>
      <c r="GOR35" s="292"/>
      <c r="GOS35" s="292"/>
      <c r="GOT35" s="292"/>
      <c r="GOU35" s="292"/>
      <c r="GOV35" s="292"/>
      <c r="GOW35" s="292"/>
      <c r="GOX35" s="292"/>
      <c r="GOY35" s="292"/>
      <c r="GOZ35" s="292"/>
      <c r="GPA35" s="292"/>
      <c r="GPB35" s="292"/>
      <c r="GPC35" s="292"/>
      <c r="GPD35" s="292"/>
      <c r="GPE35" s="292"/>
      <c r="GPF35" s="292"/>
      <c r="GPG35" s="292"/>
      <c r="GPH35" s="292"/>
      <c r="GPI35" s="292"/>
      <c r="GPJ35" s="292"/>
      <c r="GPK35" s="292"/>
      <c r="GPL35" s="292"/>
      <c r="GPM35" s="292"/>
      <c r="GPN35" s="292"/>
      <c r="GPO35" s="292"/>
      <c r="GPP35" s="292"/>
      <c r="GPQ35" s="292"/>
      <c r="GPR35" s="292"/>
      <c r="GPS35" s="292"/>
      <c r="GPT35" s="292"/>
      <c r="GPU35" s="292"/>
      <c r="GPV35" s="292"/>
      <c r="GPW35" s="292"/>
      <c r="GPX35" s="292"/>
      <c r="GPY35" s="292"/>
      <c r="GPZ35" s="292"/>
      <c r="GQA35" s="292"/>
      <c r="GQB35" s="292"/>
      <c r="GQC35" s="292"/>
      <c r="GQD35" s="292"/>
      <c r="GQE35" s="292"/>
      <c r="GQF35" s="292"/>
      <c r="GQG35" s="292"/>
      <c r="GQH35" s="292"/>
      <c r="GQI35" s="292"/>
      <c r="GQJ35" s="292"/>
      <c r="GQK35" s="292"/>
      <c r="GQL35" s="292"/>
      <c r="GQM35" s="292"/>
      <c r="GQN35" s="292"/>
      <c r="GQO35" s="292"/>
      <c r="GQP35" s="292"/>
      <c r="GQQ35" s="292"/>
      <c r="GQR35" s="292"/>
      <c r="GQS35" s="292"/>
      <c r="GQT35" s="292"/>
      <c r="GQU35" s="292"/>
      <c r="GQV35" s="292"/>
      <c r="GQW35" s="292"/>
      <c r="GQX35" s="292"/>
      <c r="GQY35" s="292"/>
      <c r="GQZ35" s="292"/>
      <c r="GRA35" s="292"/>
      <c r="GRB35" s="292"/>
      <c r="GRC35" s="292"/>
      <c r="GRD35" s="292"/>
      <c r="GRE35" s="292"/>
      <c r="GRF35" s="292"/>
      <c r="GRG35" s="292"/>
      <c r="GRH35" s="292"/>
      <c r="GRI35" s="292"/>
      <c r="GRJ35" s="292"/>
      <c r="GRK35" s="292"/>
      <c r="GRL35" s="292"/>
      <c r="GRM35" s="292"/>
      <c r="GRN35" s="292"/>
      <c r="GRO35" s="292"/>
      <c r="GRP35" s="292"/>
      <c r="GRQ35" s="292"/>
      <c r="GRR35" s="292"/>
      <c r="GRS35" s="292"/>
      <c r="GRT35" s="292"/>
      <c r="GRU35" s="292"/>
      <c r="GRV35" s="292"/>
      <c r="GRW35" s="292"/>
      <c r="GRX35" s="292"/>
      <c r="GRY35" s="292"/>
      <c r="GRZ35" s="292"/>
      <c r="GSA35" s="292"/>
      <c r="GSB35" s="292"/>
      <c r="GSC35" s="292"/>
      <c r="GSD35" s="292"/>
      <c r="GSE35" s="292"/>
      <c r="GSF35" s="292"/>
      <c r="GSG35" s="292"/>
      <c r="GSH35" s="292"/>
      <c r="GSI35" s="292"/>
      <c r="GSJ35" s="292"/>
      <c r="GSK35" s="292"/>
      <c r="GSL35" s="292"/>
      <c r="GSM35" s="292"/>
      <c r="GSN35" s="292"/>
      <c r="GSO35" s="292"/>
      <c r="GSP35" s="292"/>
      <c r="GSQ35" s="292"/>
      <c r="GSR35" s="292"/>
      <c r="GSS35" s="292"/>
      <c r="GST35" s="292"/>
      <c r="GSU35" s="292"/>
      <c r="GSV35" s="292"/>
      <c r="GSW35" s="292"/>
      <c r="GSX35" s="292"/>
      <c r="GSY35" s="292"/>
      <c r="GSZ35" s="292"/>
      <c r="GTA35" s="292"/>
      <c r="GTB35" s="292"/>
      <c r="GTC35" s="292"/>
      <c r="GTD35" s="292"/>
      <c r="GTE35" s="292"/>
      <c r="GTF35" s="292"/>
      <c r="GTG35" s="292"/>
      <c r="GTH35" s="292"/>
      <c r="GTI35" s="292"/>
      <c r="GTJ35" s="292"/>
      <c r="GTK35" s="292"/>
      <c r="GTL35" s="292"/>
      <c r="GTM35" s="292"/>
      <c r="GTN35" s="292"/>
      <c r="GTO35" s="292"/>
      <c r="GTP35" s="292"/>
      <c r="GTQ35" s="292"/>
      <c r="GTR35" s="292"/>
      <c r="GTS35" s="292"/>
      <c r="GTT35" s="292"/>
      <c r="GTU35" s="292"/>
      <c r="GTV35" s="292"/>
      <c r="GTW35" s="292"/>
      <c r="GTX35" s="292"/>
      <c r="GTY35" s="292"/>
      <c r="GTZ35" s="292"/>
      <c r="GUA35" s="292"/>
      <c r="GUB35" s="292"/>
      <c r="GUC35" s="292"/>
      <c r="GUD35" s="292"/>
      <c r="GUE35" s="292"/>
      <c r="GUF35" s="292"/>
      <c r="GUG35" s="292"/>
      <c r="GUH35" s="292"/>
      <c r="GUI35" s="292"/>
      <c r="GUJ35" s="292"/>
      <c r="GUK35" s="292"/>
      <c r="GUL35" s="292"/>
      <c r="GUM35" s="292"/>
      <c r="GUN35" s="292"/>
      <c r="GUO35" s="292"/>
      <c r="GUP35" s="292"/>
      <c r="GUQ35" s="292"/>
      <c r="GUR35" s="292"/>
      <c r="GUS35" s="292"/>
      <c r="GUT35" s="292"/>
      <c r="GUU35" s="292"/>
      <c r="GUV35" s="292"/>
      <c r="GUW35" s="292"/>
      <c r="GUX35" s="292"/>
      <c r="GUY35" s="292"/>
      <c r="GUZ35" s="292"/>
      <c r="GVA35" s="292"/>
      <c r="GVB35" s="292"/>
      <c r="GVC35" s="292"/>
      <c r="GVD35" s="292"/>
      <c r="GVE35" s="292"/>
      <c r="GVF35" s="292"/>
      <c r="GVG35" s="292"/>
      <c r="GVH35" s="292"/>
      <c r="GVI35" s="292"/>
      <c r="GVJ35" s="292"/>
      <c r="GVK35" s="292"/>
      <c r="GVL35" s="292"/>
      <c r="GVM35" s="292"/>
      <c r="GVN35" s="292"/>
      <c r="GVO35" s="292"/>
      <c r="GVP35" s="292"/>
      <c r="GVQ35" s="292"/>
      <c r="GVR35" s="292"/>
      <c r="GVS35" s="292"/>
      <c r="GVT35" s="292"/>
      <c r="GVU35" s="292"/>
      <c r="GVV35" s="292"/>
      <c r="GVW35" s="292"/>
      <c r="GVX35" s="292"/>
      <c r="GVY35" s="292"/>
      <c r="GVZ35" s="292"/>
      <c r="GWA35" s="292"/>
      <c r="GWB35" s="292"/>
      <c r="GWC35" s="292"/>
      <c r="GWD35" s="292"/>
      <c r="GWE35" s="292"/>
      <c r="GWF35" s="292"/>
      <c r="GWG35" s="292"/>
      <c r="GWH35" s="292"/>
      <c r="GWI35" s="292"/>
      <c r="GWJ35" s="292"/>
      <c r="GWK35" s="292"/>
      <c r="GWL35" s="292"/>
      <c r="GWM35" s="292"/>
      <c r="GWN35" s="292"/>
      <c r="GWO35" s="292"/>
      <c r="GWP35" s="292"/>
      <c r="GWQ35" s="292"/>
      <c r="GWR35" s="292"/>
      <c r="GWS35" s="292"/>
      <c r="GWT35" s="292"/>
      <c r="GWU35" s="292"/>
      <c r="GWV35" s="292"/>
      <c r="GWW35" s="292"/>
      <c r="GWX35" s="292"/>
      <c r="GWY35" s="292"/>
      <c r="GWZ35" s="292"/>
      <c r="GXA35" s="292"/>
      <c r="GXB35" s="292"/>
      <c r="GXC35" s="292"/>
      <c r="GXD35" s="292"/>
      <c r="GXE35" s="292"/>
      <c r="GXF35" s="292"/>
      <c r="GXG35" s="292"/>
      <c r="GXH35" s="292"/>
      <c r="GXI35" s="292"/>
      <c r="GXJ35" s="292"/>
      <c r="GXK35" s="292"/>
      <c r="GXL35" s="292"/>
      <c r="GXM35" s="292"/>
      <c r="GXN35" s="292"/>
      <c r="GXO35" s="292"/>
      <c r="GXP35" s="292"/>
      <c r="GXQ35" s="292"/>
      <c r="GXR35" s="292"/>
      <c r="GXS35" s="292"/>
      <c r="GXT35" s="292"/>
      <c r="GXU35" s="292"/>
      <c r="GXV35" s="292"/>
      <c r="GXW35" s="292"/>
      <c r="GXX35" s="292"/>
      <c r="GXY35" s="292"/>
      <c r="GXZ35" s="292"/>
      <c r="GYA35" s="292"/>
      <c r="GYB35" s="292"/>
      <c r="GYC35" s="292"/>
      <c r="GYD35" s="292"/>
      <c r="GYE35" s="292"/>
      <c r="GYF35" s="292"/>
      <c r="GYG35" s="292"/>
      <c r="GYH35" s="292"/>
      <c r="GYI35" s="292"/>
      <c r="GYJ35" s="292"/>
      <c r="GYK35" s="292"/>
      <c r="GYL35" s="292"/>
      <c r="GYM35" s="292"/>
      <c r="GYN35" s="292"/>
      <c r="GYO35" s="292"/>
      <c r="GYP35" s="292"/>
      <c r="GYQ35" s="292"/>
      <c r="GYR35" s="292"/>
      <c r="GYS35" s="292"/>
      <c r="GYT35" s="292"/>
      <c r="GYU35" s="292"/>
      <c r="GYV35" s="292"/>
      <c r="GYW35" s="292"/>
      <c r="GYX35" s="292"/>
      <c r="GYY35" s="292"/>
      <c r="GYZ35" s="292"/>
      <c r="GZA35" s="292"/>
      <c r="GZB35" s="292"/>
      <c r="GZC35" s="292"/>
      <c r="GZD35" s="292"/>
      <c r="GZE35" s="292"/>
      <c r="GZF35" s="292"/>
      <c r="GZG35" s="292"/>
      <c r="GZH35" s="292"/>
      <c r="GZI35" s="292"/>
      <c r="GZJ35" s="292"/>
      <c r="GZK35" s="292"/>
      <c r="GZL35" s="292"/>
      <c r="GZM35" s="292"/>
      <c r="GZN35" s="292"/>
      <c r="GZO35" s="292"/>
      <c r="GZP35" s="292"/>
      <c r="GZQ35" s="292"/>
      <c r="GZR35" s="292"/>
      <c r="GZS35" s="292"/>
      <c r="GZT35" s="292"/>
      <c r="GZU35" s="292"/>
      <c r="GZV35" s="292"/>
      <c r="GZW35" s="292"/>
      <c r="GZX35" s="292"/>
      <c r="GZY35" s="292"/>
      <c r="GZZ35" s="292"/>
      <c r="HAA35" s="292"/>
      <c r="HAB35" s="292"/>
      <c r="HAC35" s="292"/>
      <c r="HAD35" s="292"/>
      <c r="HAE35" s="292"/>
      <c r="HAF35" s="292"/>
      <c r="HAG35" s="292"/>
      <c r="HAH35" s="292"/>
      <c r="HAI35" s="292"/>
      <c r="HAJ35" s="292"/>
      <c r="HAK35" s="292"/>
      <c r="HAL35" s="292"/>
      <c r="HAM35" s="292"/>
      <c r="HAN35" s="292"/>
      <c r="HAO35" s="292"/>
      <c r="HAP35" s="292"/>
      <c r="HAQ35" s="292"/>
      <c r="HAR35" s="292"/>
      <c r="HAS35" s="292"/>
      <c r="HAT35" s="292"/>
      <c r="HAU35" s="292"/>
      <c r="HAV35" s="292"/>
      <c r="HAW35" s="292"/>
      <c r="HAX35" s="292"/>
      <c r="HAY35" s="292"/>
      <c r="HAZ35" s="292"/>
      <c r="HBA35" s="292"/>
      <c r="HBB35" s="292"/>
      <c r="HBC35" s="292"/>
      <c r="HBD35" s="292"/>
      <c r="HBE35" s="292"/>
      <c r="HBF35" s="292"/>
      <c r="HBG35" s="292"/>
      <c r="HBH35" s="292"/>
      <c r="HBI35" s="292"/>
      <c r="HBJ35" s="292"/>
      <c r="HBK35" s="292"/>
      <c r="HBL35" s="292"/>
      <c r="HBM35" s="292"/>
      <c r="HBN35" s="292"/>
      <c r="HBO35" s="292"/>
      <c r="HBP35" s="292"/>
      <c r="HBQ35" s="292"/>
      <c r="HBR35" s="292"/>
      <c r="HBS35" s="292"/>
      <c r="HBT35" s="292"/>
      <c r="HBU35" s="292"/>
      <c r="HBV35" s="292"/>
      <c r="HBW35" s="292"/>
      <c r="HBX35" s="292"/>
      <c r="HBY35" s="292"/>
      <c r="HBZ35" s="292"/>
      <c r="HCA35" s="292"/>
      <c r="HCB35" s="292"/>
      <c r="HCC35" s="292"/>
      <c r="HCD35" s="292"/>
      <c r="HCE35" s="292"/>
      <c r="HCF35" s="292"/>
      <c r="HCG35" s="292"/>
      <c r="HCH35" s="292"/>
      <c r="HCI35" s="292"/>
      <c r="HCJ35" s="292"/>
      <c r="HCK35" s="292"/>
      <c r="HCL35" s="292"/>
      <c r="HCM35" s="292"/>
      <c r="HCN35" s="292"/>
      <c r="HCO35" s="292"/>
      <c r="HCP35" s="292"/>
      <c r="HCQ35" s="292"/>
      <c r="HCR35" s="292"/>
      <c r="HCS35" s="292"/>
      <c r="HCT35" s="292"/>
      <c r="HCU35" s="292"/>
      <c r="HCV35" s="292"/>
      <c r="HCW35" s="292"/>
      <c r="HCX35" s="292"/>
      <c r="HCY35" s="292"/>
      <c r="HCZ35" s="292"/>
      <c r="HDA35" s="292"/>
      <c r="HDB35" s="292"/>
      <c r="HDC35" s="292"/>
      <c r="HDD35" s="292"/>
      <c r="HDE35" s="292"/>
      <c r="HDF35" s="292"/>
      <c r="HDG35" s="292"/>
      <c r="HDH35" s="292"/>
      <c r="HDI35" s="292"/>
      <c r="HDJ35" s="292"/>
      <c r="HDK35" s="292"/>
      <c r="HDL35" s="292"/>
      <c r="HDM35" s="292"/>
      <c r="HDN35" s="292"/>
      <c r="HDO35" s="292"/>
      <c r="HDP35" s="292"/>
      <c r="HDQ35" s="292"/>
      <c r="HDR35" s="292"/>
      <c r="HDS35" s="292"/>
      <c r="HDT35" s="292"/>
      <c r="HDU35" s="292"/>
      <c r="HDV35" s="292"/>
      <c r="HDW35" s="292"/>
      <c r="HDX35" s="292"/>
      <c r="HDY35" s="292"/>
      <c r="HDZ35" s="292"/>
      <c r="HEA35" s="292"/>
      <c r="HEB35" s="292"/>
      <c r="HEC35" s="292"/>
      <c r="HED35" s="292"/>
      <c r="HEE35" s="292"/>
      <c r="HEF35" s="292"/>
      <c r="HEG35" s="292"/>
      <c r="HEH35" s="292"/>
      <c r="HEI35" s="292"/>
      <c r="HEJ35" s="292"/>
      <c r="HEK35" s="292"/>
      <c r="HEL35" s="292"/>
      <c r="HEM35" s="292"/>
      <c r="HEN35" s="292"/>
      <c r="HEO35" s="292"/>
      <c r="HEP35" s="292"/>
      <c r="HEQ35" s="292"/>
      <c r="HER35" s="292"/>
      <c r="HES35" s="292"/>
      <c r="HET35" s="292"/>
      <c r="HEU35" s="292"/>
      <c r="HEV35" s="292"/>
      <c r="HEW35" s="292"/>
      <c r="HEX35" s="292"/>
      <c r="HEY35" s="292"/>
      <c r="HEZ35" s="292"/>
      <c r="HFA35" s="292"/>
      <c r="HFB35" s="292"/>
      <c r="HFC35" s="292"/>
      <c r="HFD35" s="292"/>
      <c r="HFE35" s="292"/>
      <c r="HFF35" s="292"/>
      <c r="HFG35" s="292"/>
      <c r="HFH35" s="292"/>
      <c r="HFI35" s="292"/>
      <c r="HFJ35" s="292"/>
      <c r="HFK35" s="292"/>
      <c r="HFL35" s="292"/>
      <c r="HFM35" s="292"/>
      <c r="HFN35" s="292"/>
      <c r="HFO35" s="292"/>
      <c r="HFP35" s="292"/>
      <c r="HFQ35" s="292"/>
      <c r="HFR35" s="292"/>
      <c r="HFS35" s="292"/>
      <c r="HFT35" s="292"/>
      <c r="HFU35" s="292"/>
      <c r="HFV35" s="292"/>
      <c r="HFW35" s="292"/>
      <c r="HFX35" s="292"/>
      <c r="HFY35" s="292"/>
      <c r="HFZ35" s="292"/>
      <c r="HGA35" s="292"/>
      <c r="HGB35" s="292"/>
      <c r="HGC35" s="292"/>
      <c r="HGD35" s="292"/>
      <c r="HGE35" s="292"/>
      <c r="HGF35" s="292"/>
      <c r="HGG35" s="292"/>
      <c r="HGH35" s="292"/>
      <c r="HGI35" s="292"/>
      <c r="HGJ35" s="292"/>
      <c r="HGK35" s="292"/>
      <c r="HGL35" s="292"/>
      <c r="HGM35" s="292"/>
      <c r="HGN35" s="292"/>
      <c r="HGO35" s="292"/>
      <c r="HGP35" s="292"/>
      <c r="HGQ35" s="292"/>
      <c r="HGR35" s="292"/>
      <c r="HGS35" s="292"/>
      <c r="HGT35" s="292"/>
      <c r="HGU35" s="292"/>
      <c r="HGV35" s="292"/>
      <c r="HGW35" s="292"/>
      <c r="HGX35" s="292"/>
      <c r="HGY35" s="292"/>
      <c r="HGZ35" s="292"/>
      <c r="HHA35" s="292"/>
      <c r="HHB35" s="292"/>
      <c r="HHC35" s="292"/>
      <c r="HHD35" s="292"/>
      <c r="HHE35" s="292"/>
      <c r="HHF35" s="292"/>
      <c r="HHG35" s="292"/>
      <c r="HHH35" s="292"/>
      <c r="HHI35" s="292"/>
      <c r="HHJ35" s="292"/>
      <c r="HHK35" s="292"/>
      <c r="HHL35" s="292"/>
      <c r="HHM35" s="292"/>
      <c r="HHN35" s="292"/>
      <c r="HHO35" s="292"/>
      <c r="HHP35" s="292"/>
      <c r="HHQ35" s="292"/>
      <c r="HHR35" s="292"/>
      <c r="HHS35" s="292"/>
      <c r="HHT35" s="292"/>
      <c r="HHU35" s="292"/>
      <c r="HHV35" s="292"/>
      <c r="HHW35" s="292"/>
      <c r="HHX35" s="292"/>
      <c r="HHY35" s="292"/>
      <c r="HHZ35" s="292"/>
      <c r="HIA35" s="292"/>
      <c r="HIB35" s="292"/>
      <c r="HIC35" s="292"/>
      <c r="HID35" s="292"/>
      <c r="HIE35" s="292"/>
      <c r="HIF35" s="292"/>
      <c r="HIG35" s="292"/>
      <c r="HIH35" s="292"/>
      <c r="HII35" s="292"/>
      <c r="HIJ35" s="292"/>
      <c r="HIK35" s="292"/>
      <c r="HIL35" s="292"/>
      <c r="HIM35" s="292"/>
      <c r="HIN35" s="292"/>
      <c r="HIO35" s="292"/>
      <c r="HIP35" s="292"/>
      <c r="HIQ35" s="292"/>
      <c r="HIR35" s="292"/>
      <c r="HIS35" s="292"/>
      <c r="HIT35" s="292"/>
      <c r="HIU35" s="292"/>
      <c r="HIV35" s="292"/>
      <c r="HIW35" s="292"/>
      <c r="HIX35" s="292"/>
      <c r="HIY35" s="292"/>
      <c r="HIZ35" s="292"/>
      <c r="HJA35" s="292"/>
      <c r="HJB35" s="292"/>
      <c r="HJC35" s="292"/>
      <c r="HJD35" s="292"/>
      <c r="HJE35" s="292"/>
      <c r="HJF35" s="292"/>
      <c r="HJG35" s="292"/>
      <c r="HJH35" s="292"/>
      <c r="HJI35" s="292"/>
      <c r="HJJ35" s="292"/>
      <c r="HJK35" s="292"/>
      <c r="HJL35" s="292"/>
      <c r="HJM35" s="292"/>
      <c r="HJN35" s="292"/>
      <c r="HJO35" s="292"/>
      <c r="HJP35" s="292"/>
      <c r="HJQ35" s="292"/>
      <c r="HJR35" s="292"/>
      <c r="HJS35" s="292"/>
      <c r="HJT35" s="292"/>
      <c r="HJU35" s="292"/>
      <c r="HJV35" s="292"/>
      <c r="HJW35" s="292"/>
      <c r="HJX35" s="292"/>
      <c r="HJY35" s="292"/>
      <c r="HJZ35" s="292"/>
      <c r="HKA35" s="292"/>
      <c r="HKB35" s="292"/>
      <c r="HKC35" s="292"/>
      <c r="HKD35" s="292"/>
      <c r="HKE35" s="292"/>
      <c r="HKF35" s="292"/>
      <c r="HKG35" s="292"/>
      <c r="HKH35" s="292"/>
      <c r="HKI35" s="292"/>
      <c r="HKJ35" s="292"/>
      <c r="HKK35" s="292"/>
      <c r="HKL35" s="292"/>
      <c r="HKM35" s="292"/>
      <c r="HKN35" s="292"/>
      <c r="HKO35" s="292"/>
      <c r="HKP35" s="292"/>
      <c r="HKQ35" s="292"/>
      <c r="HKR35" s="292"/>
      <c r="HKS35" s="292"/>
      <c r="HKT35" s="292"/>
      <c r="HKU35" s="292"/>
      <c r="HKV35" s="292"/>
      <c r="HKW35" s="292"/>
      <c r="HKX35" s="292"/>
      <c r="HKY35" s="292"/>
      <c r="HKZ35" s="292"/>
      <c r="HLA35" s="292"/>
      <c r="HLB35" s="292"/>
      <c r="HLC35" s="292"/>
      <c r="HLD35" s="292"/>
      <c r="HLE35" s="292"/>
      <c r="HLF35" s="292"/>
      <c r="HLG35" s="292"/>
      <c r="HLH35" s="292"/>
      <c r="HLI35" s="292"/>
      <c r="HLJ35" s="292"/>
      <c r="HLK35" s="292"/>
      <c r="HLL35" s="292"/>
      <c r="HLM35" s="292"/>
      <c r="HLN35" s="292"/>
      <c r="HLO35" s="292"/>
      <c r="HLP35" s="292"/>
      <c r="HLQ35" s="292"/>
      <c r="HLR35" s="292"/>
      <c r="HLS35" s="292"/>
      <c r="HLT35" s="292"/>
      <c r="HLU35" s="292"/>
      <c r="HLV35" s="292"/>
      <c r="HLW35" s="292"/>
      <c r="HLX35" s="292"/>
      <c r="HLY35" s="292"/>
      <c r="HLZ35" s="292"/>
      <c r="HMA35" s="292"/>
      <c r="HMB35" s="292"/>
      <c r="HMC35" s="292"/>
      <c r="HMD35" s="292"/>
      <c r="HME35" s="292"/>
      <c r="HMF35" s="292"/>
      <c r="HMG35" s="292"/>
      <c r="HMH35" s="292"/>
      <c r="HMI35" s="292"/>
      <c r="HMJ35" s="292"/>
      <c r="HMK35" s="292"/>
      <c r="HML35" s="292"/>
      <c r="HMM35" s="292"/>
      <c r="HMN35" s="292"/>
      <c r="HMO35" s="292"/>
      <c r="HMP35" s="292"/>
      <c r="HMQ35" s="292"/>
      <c r="HMR35" s="292"/>
      <c r="HMS35" s="292"/>
      <c r="HMT35" s="292"/>
      <c r="HMU35" s="292"/>
      <c r="HMV35" s="292"/>
      <c r="HMW35" s="292"/>
      <c r="HMX35" s="292"/>
      <c r="HMY35" s="292"/>
      <c r="HMZ35" s="292"/>
      <c r="HNA35" s="292"/>
      <c r="HNB35" s="292"/>
      <c r="HNC35" s="292"/>
      <c r="HND35" s="292"/>
      <c r="HNE35" s="292"/>
      <c r="HNF35" s="292"/>
      <c r="HNG35" s="292"/>
      <c r="HNH35" s="292"/>
      <c r="HNI35" s="292"/>
      <c r="HNJ35" s="292"/>
      <c r="HNK35" s="292"/>
      <c r="HNL35" s="292"/>
      <c r="HNM35" s="292"/>
      <c r="HNN35" s="292"/>
      <c r="HNO35" s="292"/>
      <c r="HNP35" s="292"/>
      <c r="HNQ35" s="292"/>
      <c r="HNR35" s="292"/>
      <c r="HNS35" s="292"/>
      <c r="HNT35" s="292"/>
      <c r="HNU35" s="292"/>
      <c r="HNV35" s="292"/>
      <c r="HNW35" s="292"/>
      <c r="HNX35" s="292"/>
      <c r="HNY35" s="292"/>
      <c r="HNZ35" s="292"/>
      <c r="HOA35" s="292"/>
      <c r="HOB35" s="292"/>
      <c r="HOC35" s="292"/>
      <c r="HOD35" s="292"/>
      <c r="HOE35" s="292"/>
      <c r="HOF35" s="292"/>
      <c r="HOG35" s="292"/>
      <c r="HOH35" s="292"/>
      <c r="HOI35" s="292"/>
      <c r="HOJ35" s="292"/>
      <c r="HOK35" s="292"/>
      <c r="HOL35" s="292"/>
      <c r="HOM35" s="292"/>
      <c r="HON35" s="292"/>
      <c r="HOO35" s="292"/>
      <c r="HOP35" s="292"/>
      <c r="HOQ35" s="292"/>
      <c r="HOR35" s="292"/>
      <c r="HOS35" s="292"/>
      <c r="HOT35" s="292"/>
      <c r="HOU35" s="292"/>
      <c r="HOV35" s="292"/>
      <c r="HOW35" s="292"/>
      <c r="HOX35" s="292"/>
      <c r="HOY35" s="292"/>
      <c r="HOZ35" s="292"/>
      <c r="HPA35" s="292"/>
      <c r="HPB35" s="292"/>
      <c r="HPC35" s="292"/>
      <c r="HPD35" s="292"/>
      <c r="HPE35" s="292"/>
      <c r="HPF35" s="292"/>
      <c r="HPG35" s="292"/>
      <c r="HPH35" s="292"/>
      <c r="HPI35" s="292"/>
      <c r="HPJ35" s="292"/>
      <c r="HPK35" s="292"/>
      <c r="HPL35" s="292"/>
      <c r="HPM35" s="292"/>
      <c r="HPN35" s="292"/>
      <c r="HPO35" s="292"/>
      <c r="HPP35" s="292"/>
      <c r="HPQ35" s="292"/>
      <c r="HPR35" s="292"/>
      <c r="HPS35" s="292"/>
      <c r="HPT35" s="292"/>
      <c r="HPU35" s="292"/>
      <c r="HPV35" s="292"/>
      <c r="HPW35" s="292"/>
      <c r="HPX35" s="292"/>
      <c r="HPY35" s="292"/>
      <c r="HPZ35" s="292"/>
      <c r="HQA35" s="292"/>
      <c r="HQB35" s="292"/>
      <c r="HQC35" s="292"/>
      <c r="HQD35" s="292"/>
      <c r="HQE35" s="292"/>
      <c r="HQF35" s="292"/>
      <c r="HQG35" s="292"/>
      <c r="HQH35" s="292"/>
      <c r="HQI35" s="292"/>
      <c r="HQJ35" s="292"/>
      <c r="HQK35" s="292"/>
      <c r="HQL35" s="292"/>
      <c r="HQM35" s="292"/>
      <c r="HQN35" s="292"/>
      <c r="HQO35" s="292"/>
      <c r="HQP35" s="292"/>
      <c r="HQQ35" s="292"/>
      <c r="HQR35" s="292"/>
      <c r="HQS35" s="292"/>
      <c r="HQT35" s="292"/>
      <c r="HQU35" s="292"/>
      <c r="HQV35" s="292"/>
      <c r="HQW35" s="292"/>
      <c r="HQX35" s="292"/>
      <c r="HQY35" s="292"/>
      <c r="HQZ35" s="292"/>
      <c r="HRA35" s="292"/>
      <c r="HRB35" s="292"/>
      <c r="HRC35" s="292"/>
      <c r="HRD35" s="292"/>
      <c r="HRE35" s="292"/>
      <c r="HRF35" s="292"/>
      <c r="HRG35" s="292"/>
      <c r="HRH35" s="292"/>
      <c r="HRI35" s="292"/>
      <c r="HRJ35" s="292"/>
      <c r="HRK35" s="292"/>
      <c r="HRL35" s="292"/>
      <c r="HRM35" s="292"/>
      <c r="HRN35" s="292"/>
      <c r="HRO35" s="292"/>
      <c r="HRP35" s="292"/>
      <c r="HRQ35" s="292"/>
      <c r="HRR35" s="292"/>
      <c r="HRS35" s="292"/>
      <c r="HRT35" s="292"/>
      <c r="HRU35" s="292"/>
      <c r="HRV35" s="292"/>
      <c r="HRW35" s="292"/>
      <c r="HRX35" s="292"/>
      <c r="HRY35" s="292"/>
      <c r="HRZ35" s="292"/>
      <c r="HSA35" s="292"/>
      <c r="HSB35" s="292"/>
      <c r="HSC35" s="292"/>
      <c r="HSD35" s="292"/>
      <c r="HSE35" s="292"/>
      <c r="HSF35" s="292"/>
      <c r="HSG35" s="292"/>
      <c r="HSH35" s="292"/>
      <c r="HSI35" s="292"/>
      <c r="HSJ35" s="292"/>
      <c r="HSK35" s="292"/>
      <c r="HSL35" s="292"/>
      <c r="HSM35" s="292"/>
      <c r="HSN35" s="292"/>
      <c r="HSO35" s="292"/>
      <c r="HSP35" s="292"/>
      <c r="HSQ35" s="292"/>
      <c r="HSR35" s="292"/>
      <c r="HSS35" s="292"/>
      <c r="HST35" s="292"/>
      <c r="HSU35" s="292"/>
      <c r="HSV35" s="292"/>
      <c r="HSW35" s="292"/>
      <c r="HSX35" s="292"/>
      <c r="HSY35" s="292"/>
      <c r="HSZ35" s="292"/>
      <c r="HTA35" s="292"/>
      <c r="HTB35" s="292"/>
      <c r="HTC35" s="292"/>
      <c r="HTD35" s="292"/>
      <c r="HTE35" s="292"/>
      <c r="HTF35" s="292"/>
      <c r="HTG35" s="292"/>
      <c r="HTH35" s="292"/>
      <c r="HTI35" s="292"/>
      <c r="HTJ35" s="292"/>
      <c r="HTK35" s="292"/>
      <c r="HTL35" s="292"/>
      <c r="HTM35" s="292"/>
      <c r="HTN35" s="292"/>
      <c r="HTO35" s="292"/>
      <c r="HTP35" s="292"/>
      <c r="HTQ35" s="292"/>
      <c r="HTR35" s="292"/>
      <c r="HTS35" s="292"/>
      <c r="HTT35" s="292"/>
      <c r="HTU35" s="292"/>
      <c r="HTV35" s="292"/>
      <c r="HTW35" s="292"/>
      <c r="HTX35" s="292"/>
      <c r="HTY35" s="292"/>
      <c r="HTZ35" s="292"/>
      <c r="HUA35" s="292"/>
      <c r="HUB35" s="292"/>
      <c r="HUC35" s="292"/>
      <c r="HUD35" s="292"/>
      <c r="HUE35" s="292"/>
      <c r="HUF35" s="292"/>
      <c r="HUG35" s="292"/>
      <c r="HUH35" s="292"/>
      <c r="HUI35" s="292"/>
      <c r="HUJ35" s="292"/>
      <c r="HUK35" s="292"/>
      <c r="HUL35" s="292"/>
      <c r="HUM35" s="292"/>
      <c r="HUN35" s="292"/>
      <c r="HUO35" s="292"/>
      <c r="HUP35" s="292"/>
      <c r="HUQ35" s="292"/>
      <c r="HUR35" s="292"/>
      <c r="HUS35" s="292"/>
      <c r="HUT35" s="292"/>
      <c r="HUU35" s="292"/>
      <c r="HUV35" s="292"/>
      <c r="HUW35" s="292"/>
      <c r="HUX35" s="292"/>
      <c r="HUY35" s="292"/>
      <c r="HUZ35" s="292"/>
      <c r="HVA35" s="292"/>
      <c r="HVB35" s="292"/>
      <c r="HVC35" s="292"/>
      <c r="HVD35" s="292"/>
      <c r="HVE35" s="292"/>
      <c r="HVF35" s="292"/>
      <c r="HVG35" s="292"/>
      <c r="HVH35" s="292"/>
      <c r="HVI35" s="292"/>
      <c r="HVJ35" s="292"/>
      <c r="HVK35" s="292"/>
      <c r="HVL35" s="292"/>
      <c r="HVM35" s="292"/>
      <c r="HVN35" s="292"/>
      <c r="HVO35" s="292"/>
      <c r="HVP35" s="292"/>
      <c r="HVQ35" s="292"/>
      <c r="HVR35" s="292"/>
      <c r="HVS35" s="292"/>
      <c r="HVT35" s="292"/>
      <c r="HVU35" s="292"/>
      <c r="HVV35" s="292"/>
      <c r="HVW35" s="292"/>
      <c r="HVX35" s="292"/>
      <c r="HVY35" s="292"/>
      <c r="HVZ35" s="292"/>
      <c r="HWA35" s="292"/>
      <c r="HWB35" s="292"/>
      <c r="HWC35" s="292"/>
      <c r="HWD35" s="292"/>
      <c r="HWE35" s="292"/>
      <c r="HWF35" s="292"/>
      <c r="HWG35" s="292"/>
      <c r="HWH35" s="292"/>
      <c r="HWI35" s="292"/>
      <c r="HWJ35" s="292"/>
      <c r="HWK35" s="292"/>
      <c r="HWL35" s="292"/>
      <c r="HWM35" s="292"/>
      <c r="HWN35" s="292"/>
      <c r="HWO35" s="292"/>
      <c r="HWP35" s="292"/>
      <c r="HWQ35" s="292"/>
      <c r="HWR35" s="292"/>
      <c r="HWS35" s="292"/>
      <c r="HWT35" s="292"/>
      <c r="HWU35" s="292"/>
      <c r="HWV35" s="292"/>
      <c r="HWW35" s="292"/>
      <c r="HWX35" s="292"/>
      <c r="HWY35" s="292"/>
      <c r="HWZ35" s="292"/>
      <c r="HXA35" s="292"/>
      <c r="HXB35" s="292"/>
      <c r="HXC35" s="292"/>
      <c r="HXD35" s="292"/>
      <c r="HXE35" s="292"/>
      <c r="HXF35" s="292"/>
      <c r="HXG35" s="292"/>
      <c r="HXH35" s="292"/>
      <c r="HXI35" s="292"/>
      <c r="HXJ35" s="292"/>
      <c r="HXK35" s="292"/>
      <c r="HXL35" s="292"/>
      <c r="HXM35" s="292"/>
      <c r="HXN35" s="292"/>
      <c r="HXO35" s="292"/>
      <c r="HXP35" s="292"/>
      <c r="HXQ35" s="292"/>
      <c r="HXR35" s="292"/>
      <c r="HXS35" s="292"/>
      <c r="HXT35" s="292"/>
      <c r="HXU35" s="292"/>
      <c r="HXV35" s="292"/>
      <c r="HXW35" s="292"/>
      <c r="HXX35" s="292"/>
      <c r="HXY35" s="292"/>
      <c r="HXZ35" s="292"/>
      <c r="HYA35" s="292"/>
      <c r="HYB35" s="292"/>
      <c r="HYC35" s="292"/>
      <c r="HYD35" s="292"/>
      <c r="HYE35" s="292"/>
      <c r="HYF35" s="292"/>
      <c r="HYG35" s="292"/>
      <c r="HYH35" s="292"/>
      <c r="HYI35" s="292"/>
      <c r="HYJ35" s="292"/>
      <c r="HYK35" s="292"/>
      <c r="HYL35" s="292"/>
      <c r="HYM35" s="292"/>
      <c r="HYN35" s="292"/>
      <c r="HYO35" s="292"/>
      <c r="HYP35" s="292"/>
      <c r="HYQ35" s="292"/>
      <c r="HYR35" s="292"/>
      <c r="HYS35" s="292"/>
      <c r="HYT35" s="292"/>
      <c r="HYU35" s="292"/>
      <c r="HYV35" s="292"/>
      <c r="HYW35" s="292"/>
      <c r="HYX35" s="292"/>
      <c r="HYY35" s="292"/>
      <c r="HYZ35" s="292"/>
      <c r="HZA35" s="292"/>
      <c r="HZB35" s="292"/>
      <c r="HZC35" s="292"/>
      <c r="HZD35" s="292"/>
      <c r="HZE35" s="292"/>
      <c r="HZF35" s="292"/>
      <c r="HZG35" s="292"/>
      <c r="HZH35" s="292"/>
      <c r="HZI35" s="292"/>
      <c r="HZJ35" s="292"/>
      <c r="HZK35" s="292"/>
      <c r="HZL35" s="292"/>
      <c r="HZM35" s="292"/>
      <c r="HZN35" s="292"/>
      <c r="HZO35" s="292"/>
      <c r="HZP35" s="292"/>
      <c r="HZQ35" s="292"/>
      <c r="HZR35" s="292"/>
      <c r="HZS35" s="292"/>
      <c r="HZT35" s="292"/>
      <c r="HZU35" s="292"/>
      <c r="HZV35" s="292"/>
      <c r="HZW35" s="292"/>
      <c r="HZX35" s="292"/>
      <c r="HZY35" s="292"/>
      <c r="HZZ35" s="292"/>
      <c r="IAA35" s="292"/>
      <c r="IAB35" s="292"/>
      <c r="IAC35" s="292"/>
      <c r="IAD35" s="292"/>
      <c r="IAE35" s="292"/>
      <c r="IAF35" s="292"/>
      <c r="IAG35" s="292"/>
      <c r="IAH35" s="292"/>
      <c r="IAI35" s="292"/>
      <c r="IAJ35" s="292"/>
      <c r="IAK35" s="292"/>
      <c r="IAL35" s="292"/>
      <c r="IAM35" s="292"/>
      <c r="IAN35" s="292"/>
      <c r="IAO35" s="292"/>
      <c r="IAP35" s="292"/>
      <c r="IAQ35" s="292"/>
      <c r="IAR35" s="292"/>
      <c r="IAS35" s="292"/>
      <c r="IAT35" s="292"/>
      <c r="IAU35" s="292"/>
      <c r="IAV35" s="292"/>
      <c r="IAW35" s="292"/>
      <c r="IAX35" s="292"/>
      <c r="IAY35" s="292"/>
      <c r="IAZ35" s="292"/>
      <c r="IBA35" s="292"/>
      <c r="IBB35" s="292"/>
      <c r="IBC35" s="292"/>
      <c r="IBD35" s="292"/>
      <c r="IBE35" s="292"/>
      <c r="IBF35" s="292"/>
      <c r="IBG35" s="292"/>
      <c r="IBH35" s="292"/>
      <c r="IBI35" s="292"/>
      <c r="IBJ35" s="292"/>
      <c r="IBK35" s="292"/>
      <c r="IBL35" s="292"/>
      <c r="IBM35" s="292"/>
      <c r="IBN35" s="292"/>
      <c r="IBO35" s="292"/>
      <c r="IBP35" s="292"/>
      <c r="IBQ35" s="292"/>
      <c r="IBR35" s="292"/>
      <c r="IBS35" s="292"/>
      <c r="IBT35" s="292"/>
      <c r="IBU35" s="292"/>
      <c r="IBV35" s="292"/>
      <c r="IBW35" s="292"/>
      <c r="IBX35" s="292"/>
      <c r="IBY35" s="292"/>
      <c r="IBZ35" s="292"/>
      <c r="ICA35" s="292"/>
      <c r="ICB35" s="292"/>
      <c r="ICC35" s="292"/>
      <c r="ICD35" s="292"/>
      <c r="ICE35" s="292"/>
      <c r="ICF35" s="292"/>
      <c r="ICG35" s="292"/>
      <c r="ICH35" s="292"/>
      <c r="ICI35" s="292"/>
      <c r="ICJ35" s="292"/>
      <c r="ICK35" s="292"/>
      <c r="ICL35" s="292"/>
      <c r="ICM35" s="292"/>
      <c r="ICN35" s="292"/>
      <c r="ICO35" s="292"/>
      <c r="ICP35" s="292"/>
      <c r="ICQ35" s="292"/>
      <c r="ICR35" s="292"/>
      <c r="ICS35" s="292"/>
      <c r="ICT35" s="292"/>
      <c r="ICU35" s="292"/>
      <c r="ICV35" s="292"/>
      <c r="ICW35" s="292"/>
      <c r="ICX35" s="292"/>
      <c r="ICY35" s="292"/>
      <c r="ICZ35" s="292"/>
      <c r="IDA35" s="292"/>
      <c r="IDB35" s="292"/>
      <c r="IDC35" s="292"/>
      <c r="IDD35" s="292"/>
      <c r="IDE35" s="292"/>
      <c r="IDF35" s="292"/>
      <c r="IDG35" s="292"/>
      <c r="IDH35" s="292"/>
      <c r="IDI35" s="292"/>
      <c r="IDJ35" s="292"/>
      <c r="IDK35" s="292"/>
      <c r="IDL35" s="292"/>
      <c r="IDM35" s="292"/>
      <c r="IDN35" s="292"/>
      <c r="IDO35" s="292"/>
      <c r="IDP35" s="292"/>
      <c r="IDQ35" s="292"/>
      <c r="IDR35" s="292"/>
      <c r="IDS35" s="292"/>
      <c r="IDT35" s="292"/>
      <c r="IDU35" s="292"/>
      <c r="IDV35" s="292"/>
      <c r="IDW35" s="292"/>
      <c r="IDX35" s="292"/>
      <c r="IDY35" s="292"/>
      <c r="IDZ35" s="292"/>
      <c r="IEA35" s="292"/>
      <c r="IEB35" s="292"/>
      <c r="IEC35" s="292"/>
      <c r="IED35" s="292"/>
      <c r="IEE35" s="292"/>
      <c r="IEF35" s="292"/>
      <c r="IEG35" s="292"/>
      <c r="IEH35" s="292"/>
      <c r="IEI35" s="292"/>
      <c r="IEJ35" s="292"/>
      <c r="IEK35" s="292"/>
      <c r="IEL35" s="292"/>
      <c r="IEM35" s="292"/>
      <c r="IEN35" s="292"/>
      <c r="IEO35" s="292"/>
      <c r="IEP35" s="292"/>
      <c r="IEQ35" s="292"/>
      <c r="IER35" s="292"/>
      <c r="IES35" s="292"/>
      <c r="IET35" s="292"/>
      <c r="IEU35" s="292"/>
      <c r="IEV35" s="292"/>
      <c r="IEW35" s="292"/>
      <c r="IEX35" s="292"/>
      <c r="IEY35" s="292"/>
      <c r="IEZ35" s="292"/>
      <c r="IFA35" s="292"/>
      <c r="IFB35" s="292"/>
      <c r="IFC35" s="292"/>
      <c r="IFD35" s="292"/>
      <c r="IFE35" s="292"/>
      <c r="IFF35" s="292"/>
      <c r="IFG35" s="292"/>
      <c r="IFH35" s="292"/>
      <c r="IFI35" s="292"/>
      <c r="IFJ35" s="292"/>
      <c r="IFK35" s="292"/>
      <c r="IFL35" s="292"/>
      <c r="IFM35" s="292"/>
      <c r="IFN35" s="292"/>
      <c r="IFO35" s="292"/>
      <c r="IFP35" s="292"/>
      <c r="IFQ35" s="292"/>
      <c r="IFR35" s="292"/>
      <c r="IFS35" s="292"/>
      <c r="IFT35" s="292"/>
      <c r="IFU35" s="292"/>
      <c r="IFV35" s="292"/>
      <c r="IFW35" s="292"/>
      <c r="IFX35" s="292"/>
      <c r="IFY35" s="292"/>
      <c r="IFZ35" s="292"/>
      <c r="IGA35" s="292"/>
      <c r="IGB35" s="292"/>
      <c r="IGC35" s="292"/>
      <c r="IGD35" s="292"/>
      <c r="IGE35" s="292"/>
      <c r="IGF35" s="292"/>
      <c r="IGG35" s="292"/>
      <c r="IGH35" s="292"/>
      <c r="IGI35" s="292"/>
      <c r="IGJ35" s="292"/>
      <c r="IGK35" s="292"/>
      <c r="IGL35" s="292"/>
      <c r="IGM35" s="292"/>
      <c r="IGN35" s="292"/>
      <c r="IGO35" s="292"/>
      <c r="IGP35" s="292"/>
      <c r="IGQ35" s="292"/>
      <c r="IGR35" s="292"/>
      <c r="IGS35" s="292"/>
      <c r="IGT35" s="292"/>
      <c r="IGU35" s="292"/>
      <c r="IGV35" s="292"/>
      <c r="IGW35" s="292"/>
      <c r="IGX35" s="292"/>
      <c r="IGY35" s="292"/>
      <c r="IGZ35" s="292"/>
      <c r="IHA35" s="292"/>
      <c r="IHB35" s="292"/>
      <c r="IHC35" s="292"/>
      <c r="IHD35" s="292"/>
      <c r="IHE35" s="292"/>
      <c r="IHF35" s="292"/>
      <c r="IHG35" s="292"/>
      <c r="IHH35" s="292"/>
      <c r="IHI35" s="292"/>
      <c r="IHJ35" s="292"/>
      <c r="IHK35" s="292"/>
      <c r="IHL35" s="292"/>
      <c r="IHM35" s="292"/>
      <c r="IHN35" s="292"/>
      <c r="IHO35" s="292"/>
      <c r="IHP35" s="292"/>
      <c r="IHQ35" s="292"/>
      <c r="IHR35" s="292"/>
      <c r="IHS35" s="292"/>
      <c r="IHT35" s="292"/>
      <c r="IHU35" s="292"/>
      <c r="IHV35" s="292"/>
      <c r="IHW35" s="292"/>
      <c r="IHX35" s="292"/>
      <c r="IHY35" s="292"/>
      <c r="IHZ35" s="292"/>
      <c r="IIA35" s="292"/>
      <c r="IIB35" s="292"/>
      <c r="IIC35" s="292"/>
      <c r="IID35" s="292"/>
      <c r="IIE35" s="292"/>
      <c r="IIF35" s="292"/>
      <c r="IIG35" s="292"/>
      <c r="IIH35" s="292"/>
      <c r="III35" s="292"/>
      <c r="IIJ35" s="292"/>
      <c r="IIK35" s="292"/>
      <c r="IIL35" s="292"/>
      <c r="IIM35" s="292"/>
      <c r="IIN35" s="292"/>
      <c r="IIO35" s="292"/>
      <c r="IIP35" s="292"/>
      <c r="IIQ35" s="292"/>
      <c r="IIR35" s="292"/>
      <c r="IIS35" s="292"/>
      <c r="IIT35" s="292"/>
      <c r="IIU35" s="292"/>
      <c r="IIV35" s="292"/>
      <c r="IIW35" s="292"/>
      <c r="IIX35" s="292"/>
      <c r="IIY35" s="292"/>
      <c r="IIZ35" s="292"/>
      <c r="IJA35" s="292"/>
      <c r="IJB35" s="292"/>
      <c r="IJC35" s="292"/>
      <c r="IJD35" s="292"/>
      <c r="IJE35" s="292"/>
      <c r="IJF35" s="292"/>
      <c r="IJG35" s="292"/>
      <c r="IJH35" s="292"/>
      <c r="IJI35" s="292"/>
      <c r="IJJ35" s="292"/>
      <c r="IJK35" s="292"/>
      <c r="IJL35" s="292"/>
      <c r="IJM35" s="292"/>
      <c r="IJN35" s="292"/>
      <c r="IJO35" s="292"/>
      <c r="IJP35" s="292"/>
      <c r="IJQ35" s="292"/>
      <c r="IJR35" s="292"/>
      <c r="IJS35" s="292"/>
      <c r="IJT35" s="292"/>
      <c r="IJU35" s="292"/>
      <c r="IJV35" s="292"/>
      <c r="IJW35" s="292"/>
      <c r="IJX35" s="292"/>
      <c r="IJY35" s="292"/>
      <c r="IJZ35" s="292"/>
      <c r="IKA35" s="292"/>
      <c r="IKB35" s="292"/>
      <c r="IKC35" s="292"/>
      <c r="IKD35" s="292"/>
      <c r="IKE35" s="292"/>
      <c r="IKF35" s="292"/>
      <c r="IKG35" s="292"/>
      <c r="IKH35" s="292"/>
      <c r="IKI35" s="292"/>
      <c r="IKJ35" s="292"/>
      <c r="IKK35" s="292"/>
      <c r="IKL35" s="292"/>
      <c r="IKM35" s="292"/>
      <c r="IKN35" s="292"/>
      <c r="IKO35" s="292"/>
      <c r="IKP35" s="292"/>
      <c r="IKQ35" s="292"/>
      <c r="IKR35" s="292"/>
      <c r="IKS35" s="292"/>
      <c r="IKT35" s="292"/>
      <c r="IKU35" s="292"/>
      <c r="IKV35" s="292"/>
      <c r="IKW35" s="292"/>
      <c r="IKX35" s="292"/>
      <c r="IKY35" s="292"/>
      <c r="IKZ35" s="292"/>
      <c r="ILA35" s="292"/>
      <c r="ILB35" s="292"/>
      <c r="ILC35" s="292"/>
      <c r="ILD35" s="292"/>
      <c r="ILE35" s="292"/>
      <c r="ILF35" s="292"/>
      <c r="ILG35" s="292"/>
      <c r="ILH35" s="292"/>
      <c r="ILI35" s="292"/>
      <c r="ILJ35" s="292"/>
      <c r="ILK35" s="292"/>
      <c r="ILL35" s="292"/>
      <c r="ILM35" s="292"/>
      <c r="ILN35" s="292"/>
      <c r="ILO35" s="292"/>
      <c r="ILP35" s="292"/>
      <c r="ILQ35" s="292"/>
      <c r="ILR35" s="292"/>
      <c r="ILS35" s="292"/>
      <c r="ILT35" s="292"/>
      <c r="ILU35" s="292"/>
      <c r="ILV35" s="292"/>
      <c r="ILW35" s="292"/>
      <c r="ILX35" s="292"/>
      <c r="ILY35" s="292"/>
      <c r="ILZ35" s="292"/>
      <c r="IMA35" s="292"/>
      <c r="IMB35" s="292"/>
      <c r="IMC35" s="292"/>
      <c r="IMD35" s="292"/>
      <c r="IME35" s="292"/>
      <c r="IMF35" s="292"/>
      <c r="IMG35" s="292"/>
      <c r="IMH35" s="292"/>
      <c r="IMI35" s="292"/>
      <c r="IMJ35" s="292"/>
      <c r="IMK35" s="292"/>
      <c r="IML35" s="292"/>
      <c r="IMM35" s="292"/>
      <c r="IMN35" s="292"/>
      <c r="IMO35" s="292"/>
      <c r="IMP35" s="292"/>
      <c r="IMQ35" s="292"/>
      <c r="IMR35" s="292"/>
      <c r="IMS35" s="292"/>
      <c r="IMT35" s="292"/>
      <c r="IMU35" s="292"/>
      <c r="IMV35" s="292"/>
      <c r="IMW35" s="292"/>
      <c r="IMX35" s="292"/>
      <c r="IMY35" s="292"/>
      <c r="IMZ35" s="292"/>
      <c r="INA35" s="292"/>
      <c r="INB35" s="292"/>
      <c r="INC35" s="292"/>
      <c r="IND35" s="292"/>
      <c r="INE35" s="292"/>
      <c r="INF35" s="292"/>
      <c r="ING35" s="292"/>
      <c r="INH35" s="292"/>
      <c r="INI35" s="292"/>
      <c r="INJ35" s="292"/>
      <c r="INK35" s="292"/>
      <c r="INL35" s="292"/>
      <c r="INM35" s="292"/>
      <c r="INN35" s="292"/>
      <c r="INO35" s="292"/>
      <c r="INP35" s="292"/>
      <c r="INQ35" s="292"/>
      <c r="INR35" s="292"/>
      <c r="INS35" s="292"/>
      <c r="INT35" s="292"/>
      <c r="INU35" s="292"/>
      <c r="INV35" s="292"/>
      <c r="INW35" s="292"/>
      <c r="INX35" s="292"/>
      <c r="INY35" s="292"/>
      <c r="INZ35" s="292"/>
      <c r="IOA35" s="292"/>
      <c r="IOB35" s="292"/>
      <c r="IOC35" s="292"/>
      <c r="IOD35" s="292"/>
      <c r="IOE35" s="292"/>
      <c r="IOF35" s="292"/>
      <c r="IOG35" s="292"/>
      <c r="IOH35" s="292"/>
      <c r="IOI35" s="292"/>
      <c r="IOJ35" s="292"/>
      <c r="IOK35" s="292"/>
      <c r="IOL35" s="292"/>
      <c r="IOM35" s="292"/>
      <c r="ION35" s="292"/>
      <c r="IOO35" s="292"/>
      <c r="IOP35" s="292"/>
      <c r="IOQ35" s="292"/>
      <c r="IOR35" s="292"/>
      <c r="IOS35" s="292"/>
      <c r="IOT35" s="292"/>
      <c r="IOU35" s="292"/>
      <c r="IOV35" s="292"/>
      <c r="IOW35" s="292"/>
      <c r="IOX35" s="292"/>
      <c r="IOY35" s="292"/>
      <c r="IOZ35" s="292"/>
      <c r="IPA35" s="292"/>
      <c r="IPB35" s="292"/>
      <c r="IPC35" s="292"/>
      <c r="IPD35" s="292"/>
      <c r="IPE35" s="292"/>
      <c r="IPF35" s="292"/>
      <c r="IPG35" s="292"/>
      <c r="IPH35" s="292"/>
      <c r="IPI35" s="292"/>
      <c r="IPJ35" s="292"/>
      <c r="IPK35" s="292"/>
      <c r="IPL35" s="292"/>
      <c r="IPM35" s="292"/>
      <c r="IPN35" s="292"/>
      <c r="IPO35" s="292"/>
      <c r="IPP35" s="292"/>
      <c r="IPQ35" s="292"/>
      <c r="IPR35" s="292"/>
      <c r="IPS35" s="292"/>
      <c r="IPT35" s="292"/>
      <c r="IPU35" s="292"/>
      <c r="IPV35" s="292"/>
      <c r="IPW35" s="292"/>
      <c r="IPX35" s="292"/>
      <c r="IPY35" s="292"/>
      <c r="IPZ35" s="292"/>
      <c r="IQA35" s="292"/>
      <c r="IQB35" s="292"/>
      <c r="IQC35" s="292"/>
      <c r="IQD35" s="292"/>
      <c r="IQE35" s="292"/>
      <c r="IQF35" s="292"/>
      <c r="IQG35" s="292"/>
      <c r="IQH35" s="292"/>
      <c r="IQI35" s="292"/>
      <c r="IQJ35" s="292"/>
      <c r="IQK35" s="292"/>
      <c r="IQL35" s="292"/>
      <c r="IQM35" s="292"/>
      <c r="IQN35" s="292"/>
      <c r="IQO35" s="292"/>
      <c r="IQP35" s="292"/>
      <c r="IQQ35" s="292"/>
      <c r="IQR35" s="292"/>
      <c r="IQS35" s="292"/>
      <c r="IQT35" s="292"/>
      <c r="IQU35" s="292"/>
      <c r="IQV35" s="292"/>
      <c r="IQW35" s="292"/>
      <c r="IQX35" s="292"/>
      <c r="IQY35" s="292"/>
      <c r="IQZ35" s="292"/>
      <c r="IRA35" s="292"/>
      <c r="IRB35" s="292"/>
      <c r="IRC35" s="292"/>
      <c r="IRD35" s="292"/>
      <c r="IRE35" s="292"/>
      <c r="IRF35" s="292"/>
      <c r="IRG35" s="292"/>
      <c r="IRH35" s="292"/>
      <c r="IRI35" s="292"/>
      <c r="IRJ35" s="292"/>
      <c r="IRK35" s="292"/>
      <c r="IRL35" s="292"/>
      <c r="IRM35" s="292"/>
      <c r="IRN35" s="292"/>
      <c r="IRO35" s="292"/>
      <c r="IRP35" s="292"/>
      <c r="IRQ35" s="292"/>
      <c r="IRR35" s="292"/>
      <c r="IRS35" s="292"/>
      <c r="IRT35" s="292"/>
      <c r="IRU35" s="292"/>
      <c r="IRV35" s="292"/>
      <c r="IRW35" s="292"/>
      <c r="IRX35" s="292"/>
      <c r="IRY35" s="292"/>
      <c r="IRZ35" s="292"/>
      <c r="ISA35" s="292"/>
      <c r="ISB35" s="292"/>
      <c r="ISC35" s="292"/>
      <c r="ISD35" s="292"/>
      <c r="ISE35" s="292"/>
      <c r="ISF35" s="292"/>
      <c r="ISG35" s="292"/>
      <c r="ISH35" s="292"/>
      <c r="ISI35" s="292"/>
      <c r="ISJ35" s="292"/>
      <c r="ISK35" s="292"/>
      <c r="ISL35" s="292"/>
      <c r="ISM35" s="292"/>
      <c r="ISN35" s="292"/>
      <c r="ISO35" s="292"/>
      <c r="ISP35" s="292"/>
      <c r="ISQ35" s="292"/>
      <c r="ISR35" s="292"/>
      <c r="ISS35" s="292"/>
      <c r="IST35" s="292"/>
      <c r="ISU35" s="292"/>
      <c r="ISV35" s="292"/>
      <c r="ISW35" s="292"/>
      <c r="ISX35" s="292"/>
      <c r="ISY35" s="292"/>
      <c r="ISZ35" s="292"/>
      <c r="ITA35" s="292"/>
      <c r="ITB35" s="292"/>
      <c r="ITC35" s="292"/>
      <c r="ITD35" s="292"/>
      <c r="ITE35" s="292"/>
      <c r="ITF35" s="292"/>
      <c r="ITG35" s="292"/>
      <c r="ITH35" s="292"/>
      <c r="ITI35" s="292"/>
      <c r="ITJ35" s="292"/>
      <c r="ITK35" s="292"/>
      <c r="ITL35" s="292"/>
      <c r="ITM35" s="292"/>
      <c r="ITN35" s="292"/>
      <c r="ITO35" s="292"/>
      <c r="ITP35" s="292"/>
      <c r="ITQ35" s="292"/>
      <c r="ITR35" s="292"/>
      <c r="ITS35" s="292"/>
      <c r="ITT35" s="292"/>
      <c r="ITU35" s="292"/>
      <c r="ITV35" s="292"/>
      <c r="ITW35" s="292"/>
      <c r="ITX35" s="292"/>
      <c r="ITY35" s="292"/>
      <c r="ITZ35" s="292"/>
      <c r="IUA35" s="292"/>
      <c r="IUB35" s="292"/>
      <c r="IUC35" s="292"/>
      <c r="IUD35" s="292"/>
      <c r="IUE35" s="292"/>
      <c r="IUF35" s="292"/>
      <c r="IUG35" s="292"/>
      <c r="IUH35" s="292"/>
      <c r="IUI35" s="292"/>
      <c r="IUJ35" s="292"/>
      <c r="IUK35" s="292"/>
      <c r="IUL35" s="292"/>
      <c r="IUM35" s="292"/>
      <c r="IUN35" s="292"/>
      <c r="IUO35" s="292"/>
      <c r="IUP35" s="292"/>
      <c r="IUQ35" s="292"/>
      <c r="IUR35" s="292"/>
      <c r="IUS35" s="292"/>
      <c r="IUT35" s="292"/>
      <c r="IUU35" s="292"/>
      <c r="IUV35" s="292"/>
      <c r="IUW35" s="292"/>
      <c r="IUX35" s="292"/>
      <c r="IUY35" s="292"/>
      <c r="IUZ35" s="292"/>
      <c r="IVA35" s="292"/>
      <c r="IVB35" s="292"/>
      <c r="IVC35" s="292"/>
      <c r="IVD35" s="292"/>
      <c r="IVE35" s="292"/>
      <c r="IVF35" s="292"/>
      <c r="IVG35" s="292"/>
      <c r="IVH35" s="292"/>
      <c r="IVI35" s="292"/>
      <c r="IVJ35" s="292"/>
      <c r="IVK35" s="292"/>
      <c r="IVL35" s="292"/>
      <c r="IVM35" s="292"/>
      <c r="IVN35" s="292"/>
      <c r="IVO35" s="292"/>
      <c r="IVP35" s="292"/>
      <c r="IVQ35" s="292"/>
      <c r="IVR35" s="292"/>
      <c r="IVS35" s="292"/>
      <c r="IVT35" s="292"/>
      <c r="IVU35" s="292"/>
      <c r="IVV35" s="292"/>
      <c r="IVW35" s="292"/>
      <c r="IVX35" s="292"/>
      <c r="IVY35" s="292"/>
      <c r="IVZ35" s="292"/>
      <c r="IWA35" s="292"/>
      <c r="IWB35" s="292"/>
      <c r="IWC35" s="292"/>
      <c r="IWD35" s="292"/>
      <c r="IWE35" s="292"/>
      <c r="IWF35" s="292"/>
      <c r="IWG35" s="292"/>
      <c r="IWH35" s="292"/>
      <c r="IWI35" s="292"/>
      <c r="IWJ35" s="292"/>
      <c r="IWK35" s="292"/>
      <c r="IWL35" s="292"/>
      <c r="IWM35" s="292"/>
      <c r="IWN35" s="292"/>
      <c r="IWO35" s="292"/>
      <c r="IWP35" s="292"/>
      <c r="IWQ35" s="292"/>
      <c r="IWR35" s="292"/>
      <c r="IWS35" s="292"/>
      <c r="IWT35" s="292"/>
      <c r="IWU35" s="292"/>
      <c r="IWV35" s="292"/>
      <c r="IWW35" s="292"/>
      <c r="IWX35" s="292"/>
      <c r="IWY35" s="292"/>
      <c r="IWZ35" s="292"/>
      <c r="IXA35" s="292"/>
      <c r="IXB35" s="292"/>
      <c r="IXC35" s="292"/>
      <c r="IXD35" s="292"/>
      <c r="IXE35" s="292"/>
      <c r="IXF35" s="292"/>
      <c r="IXG35" s="292"/>
      <c r="IXH35" s="292"/>
      <c r="IXI35" s="292"/>
      <c r="IXJ35" s="292"/>
      <c r="IXK35" s="292"/>
      <c r="IXL35" s="292"/>
      <c r="IXM35" s="292"/>
      <c r="IXN35" s="292"/>
      <c r="IXO35" s="292"/>
      <c r="IXP35" s="292"/>
      <c r="IXQ35" s="292"/>
      <c r="IXR35" s="292"/>
      <c r="IXS35" s="292"/>
      <c r="IXT35" s="292"/>
      <c r="IXU35" s="292"/>
      <c r="IXV35" s="292"/>
      <c r="IXW35" s="292"/>
      <c r="IXX35" s="292"/>
      <c r="IXY35" s="292"/>
      <c r="IXZ35" s="292"/>
      <c r="IYA35" s="292"/>
      <c r="IYB35" s="292"/>
      <c r="IYC35" s="292"/>
      <c r="IYD35" s="292"/>
      <c r="IYE35" s="292"/>
      <c r="IYF35" s="292"/>
      <c r="IYG35" s="292"/>
      <c r="IYH35" s="292"/>
      <c r="IYI35" s="292"/>
      <c r="IYJ35" s="292"/>
      <c r="IYK35" s="292"/>
      <c r="IYL35" s="292"/>
      <c r="IYM35" s="292"/>
      <c r="IYN35" s="292"/>
      <c r="IYO35" s="292"/>
      <c r="IYP35" s="292"/>
      <c r="IYQ35" s="292"/>
      <c r="IYR35" s="292"/>
      <c r="IYS35" s="292"/>
      <c r="IYT35" s="292"/>
      <c r="IYU35" s="292"/>
      <c r="IYV35" s="292"/>
      <c r="IYW35" s="292"/>
      <c r="IYX35" s="292"/>
      <c r="IYY35" s="292"/>
      <c r="IYZ35" s="292"/>
      <c r="IZA35" s="292"/>
      <c r="IZB35" s="292"/>
      <c r="IZC35" s="292"/>
      <c r="IZD35" s="292"/>
      <c r="IZE35" s="292"/>
      <c r="IZF35" s="292"/>
      <c r="IZG35" s="292"/>
      <c r="IZH35" s="292"/>
      <c r="IZI35" s="292"/>
      <c r="IZJ35" s="292"/>
      <c r="IZK35" s="292"/>
      <c r="IZL35" s="292"/>
      <c r="IZM35" s="292"/>
      <c r="IZN35" s="292"/>
      <c r="IZO35" s="292"/>
      <c r="IZP35" s="292"/>
      <c r="IZQ35" s="292"/>
      <c r="IZR35" s="292"/>
      <c r="IZS35" s="292"/>
      <c r="IZT35" s="292"/>
      <c r="IZU35" s="292"/>
      <c r="IZV35" s="292"/>
      <c r="IZW35" s="292"/>
      <c r="IZX35" s="292"/>
      <c r="IZY35" s="292"/>
      <c r="IZZ35" s="292"/>
      <c r="JAA35" s="292"/>
      <c r="JAB35" s="292"/>
      <c r="JAC35" s="292"/>
      <c r="JAD35" s="292"/>
      <c r="JAE35" s="292"/>
      <c r="JAF35" s="292"/>
      <c r="JAG35" s="292"/>
      <c r="JAH35" s="292"/>
      <c r="JAI35" s="292"/>
      <c r="JAJ35" s="292"/>
      <c r="JAK35" s="292"/>
      <c r="JAL35" s="292"/>
      <c r="JAM35" s="292"/>
      <c r="JAN35" s="292"/>
      <c r="JAO35" s="292"/>
      <c r="JAP35" s="292"/>
      <c r="JAQ35" s="292"/>
      <c r="JAR35" s="292"/>
      <c r="JAS35" s="292"/>
      <c r="JAT35" s="292"/>
      <c r="JAU35" s="292"/>
      <c r="JAV35" s="292"/>
      <c r="JAW35" s="292"/>
      <c r="JAX35" s="292"/>
      <c r="JAY35" s="292"/>
      <c r="JAZ35" s="292"/>
      <c r="JBA35" s="292"/>
      <c r="JBB35" s="292"/>
      <c r="JBC35" s="292"/>
      <c r="JBD35" s="292"/>
      <c r="JBE35" s="292"/>
      <c r="JBF35" s="292"/>
      <c r="JBG35" s="292"/>
      <c r="JBH35" s="292"/>
      <c r="JBI35" s="292"/>
      <c r="JBJ35" s="292"/>
      <c r="JBK35" s="292"/>
      <c r="JBL35" s="292"/>
      <c r="JBM35" s="292"/>
      <c r="JBN35" s="292"/>
      <c r="JBO35" s="292"/>
      <c r="JBP35" s="292"/>
      <c r="JBQ35" s="292"/>
      <c r="JBR35" s="292"/>
      <c r="JBS35" s="292"/>
      <c r="JBT35" s="292"/>
      <c r="JBU35" s="292"/>
      <c r="JBV35" s="292"/>
      <c r="JBW35" s="292"/>
      <c r="JBX35" s="292"/>
      <c r="JBY35" s="292"/>
      <c r="JBZ35" s="292"/>
      <c r="JCA35" s="292"/>
      <c r="JCB35" s="292"/>
      <c r="JCC35" s="292"/>
      <c r="JCD35" s="292"/>
      <c r="JCE35" s="292"/>
      <c r="JCF35" s="292"/>
      <c r="JCG35" s="292"/>
      <c r="JCH35" s="292"/>
      <c r="JCI35" s="292"/>
      <c r="JCJ35" s="292"/>
      <c r="JCK35" s="292"/>
      <c r="JCL35" s="292"/>
      <c r="JCM35" s="292"/>
      <c r="JCN35" s="292"/>
      <c r="JCO35" s="292"/>
      <c r="JCP35" s="292"/>
      <c r="JCQ35" s="292"/>
      <c r="JCR35" s="292"/>
      <c r="JCS35" s="292"/>
      <c r="JCT35" s="292"/>
      <c r="JCU35" s="292"/>
      <c r="JCV35" s="292"/>
      <c r="JCW35" s="292"/>
      <c r="JCX35" s="292"/>
      <c r="JCY35" s="292"/>
      <c r="JCZ35" s="292"/>
      <c r="JDA35" s="292"/>
      <c r="JDB35" s="292"/>
      <c r="JDC35" s="292"/>
      <c r="JDD35" s="292"/>
      <c r="JDE35" s="292"/>
      <c r="JDF35" s="292"/>
      <c r="JDG35" s="292"/>
      <c r="JDH35" s="292"/>
      <c r="JDI35" s="292"/>
      <c r="JDJ35" s="292"/>
      <c r="JDK35" s="292"/>
      <c r="JDL35" s="292"/>
      <c r="JDM35" s="292"/>
      <c r="JDN35" s="292"/>
      <c r="JDO35" s="292"/>
      <c r="JDP35" s="292"/>
      <c r="JDQ35" s="292"/>
      <c r="JDR35" s="292"/>
      <c r="JDS35" s="292"/>
      <c r="JDT35" s="292"/>
      <c r="JDU35" s="292"/>
      <c r="JDV35" s="292"/>
      <c r="JDW35" s="292"/>
      <c r="JDX35" s="292"/>
      <c r="JDY35" s="292"/>
      <c r="JDZ35" s="292"/>
      <c r="JEA35" s="292"/>
      <c r="JEB35" s="292"/>
      <c r="JEC35" s="292"/>
      <c r="JED35" s="292"/>
      <c r="JEE35" s="292"/>
      <c r="JEF35" s="292"/>
      <c r="JEG35" s="292"/>
      <c r="JEH35" s="292"/>
      <c r="JEI35" s="292"/>
      <c r="JEJ35" s="292"/>
      <c r="JEK35" s="292"/>
      <c r="JEL35" s="292"/>
      <c r="JEM35" s="292"/>
      <c r="JEN35" s="292"/>
      <c r="JEO35" s="292"/>
      <c r="JEP35" s="292"/>
      <c r="JEQ35" s="292"/>
      <c r="JER35" s="292"/>
      <c r="JES35" s="292"/>
      <c r="JET35" s="292"/>
      <c r="JEU35" s="292"/>
      <c r="JEV35" s="292"/>
      <c r="JEW35" s="292"/>
      <c r="JEX35" s="292"/>
      <c r="JEY35" s="292"/>
      <c r="JEZ35" s="292"/>
      <c r="JFA35" s="292"/>
      <c r="JFB35" s="292"/>
      <c r="JFC35" s="292"/>
      <c r="JFD35" s="292"/>
      <c r="JFE35" s="292"/>
      <c r="JFF35" s="292"/>
      <c r="JFG35" s="292"/>
      <c r="JFH35" s="292"/>
      <c r="JFI35" s="292"/>
      <c r="JFJ35" s="292"/>
      <c r="JFK35" s="292"/>
      <c r="JFL35" s="292"/>
      <c r="JFM35" s="292"/>
      <c r="JFN35" s="292"/>
      <c r="JFO35" s="292"/>
      <c r="JFP35" s="292"/>
      <c r="JFQ35" s="292"/>
      <c r="JFR35" s="292"/>
      <c r="JFS35" s="292"/>
      <c r="JFT35" s="292"/>
      <c r="JFU35" s="292"/>
      <c r="JFV35" s="292"/>
      <c r="JFW35" s="292"/>
      <c r="JFX35" s="292"/>
      <c r="JFY35" s="292"/>
      <c r="JFZ35" s="292"/>
      <c r="JGA35" s="292"/>
      <c r="JGB35" s="292"/>
      <c r="JGC35" s="292"/>
      <c r="JGD35" s="292"/>
      <c r="JGE35" s="292"/>
      <c r="JGF35" s="292"/>
      <c r="JGG35" s="292"/>
      <c r="JGH35" s="292"/>
      <c r="JGI35" s="292"/>
      <c r="JGJ35" s="292"/>
      <c r="JGK35" s="292"/>
      <c r="JGL35" s="292"/>
      <c r="JGM35" s="292"/>
      <c r="JGN35" s="292"/>
      <c r="JGO35" s="292"/>
      <c r="JGP35" s="292"/>
      <c r="JGQ35" s="292"/>
      <c r="JGR35" s="292"/>
      <c r="JGS35" s="292"/>
      <c r="JGT35" s="292"/>
      <c r="JGU35" s="292"/>
      <c r="JGV35" s="292"/>
      <c r="JGW35" s="292"/>
      <c r="JGX35" s="292"/>
      <c r="JGY35" s="292"/>
      <c r="JGZ35" s="292"/>
      <c r="JHA35" s="292"/>
      <c r="JHB35" s="292"/>
      <c r="JHC35" s="292"/>
      <c r="JHD35" s="292"/>
      <c r="JHE35" s="292"/>
      <c r="JHF35" s="292"/>
      <c r="JHG35" s="292"/>
      <c r="JHH35" s="292"/>
      <c r="JHI35" s="292"/>
      <c r="JHJ35" s="292"/>
      <c r="JHK35" s="292"/>
      <c r="JHL35" s="292"/>
      <c r="JHM35" s="292"/>
      <c r="JHN35" s="292"/>
      <c r="JHO35" s="292"/>
      <c r="JHP35" s="292"/>
      <c r="JHQ35" s="292"/>
      <c r="JHR35" s="292"/>
      <c r="JHS35" s="292"/>
      <c r="JHT35" s="292"/>
      <c r="JHU35" s="292"/>
      <c r="JHV35" s="292"/>
      <c r="JHW35" s="292"/>
      <c r="JHX35" s="292"/>
      <c r="JHY35" s="292"/>
      <c r="JHZ35" s="292"/>
      <c r="JIA35" s="292"/>
      <c r="JIB35" s="292"/>
      <c r="JIC35" s="292"/>
      <c r="JID35" s="292"/>
      <c r="JIE35" s="292"/>
      <c r="JIF35" s="292"/>
      <c r="JIG35" s="292"/>
      <c r="JIH35" s="292"/>
      <c r="JII35" s="292"/>
      <c r="JIJ35" s="292"/>
      <c r="JIK35" s="292"/>
      <c r="JIL35" s="292"/>
      <c r="JIM35" s="292"/>
      <c r="JIN35" s="292"/>
      <c r="JIO35" s="292"/>
      <c r="JIP35" s="292"/>
      <c r="JIQ35" s="292"/>
      <c r="JIR35" s="292"/>
      <c r="JIS35" s="292"/>
      <c r="JIT35" s="292"/>
      <c r="JIU35" s="292"/>
      <c r="JIV35" s="292"/>
      <c r="JIW35" s="292"/>
      <c r="JIX35" s="292"/>
      <c r="JIY35" s="292"/>
      <c r="JIZ35" s="292"/>
      <c r="JJA35" s="292"/>
      <c r="JJB35" s="292"/>
      <c r="JJC35" s="292"/>
      <c r="JJD35" s="292"/>
      <c r="JJE35" s="292"/>
      <c r="JJF35" s="292"/>
      <c r="JJG35" s="292"/>
      <c r="JJH35" s="292"/>
      <c r="JJI35" s="292"/>
      <c r="JJJ35" s="292"/>
      <c r="JJK35" s="292"/>
      <c r="JJL35" s="292"/>
      <c r="JJM35" s="292"/>
      <c r="JJN35" s="292"/>
      <c r="JJO35" s="292"/>
      <c r="JJP35" s="292"/>
      <c r="JJQ35" s="292"/>
      <c r="JJR35" s="292"/>
      <c r="JJS35" s="292"/>
      <c r="JJT35" s="292"/>
      <c r="JJU35" s="292"/>
      <c r="JJV35" s="292"/>
      <c r="JJW35" s="292"/>
      <c r="JJX35" s="292"/>
      <c r="JJY35" s="292"/>
      <c r="JJZ35" s="292"/>
      <c r="JKA35" s="292"/>
      <c r="JKB35" s="292"/>
      <c r="JKC35" s="292"/>
      <c r="JKD35" s="292"/>
      <c r="JKE35" s="292"/>
      <c r="JKF35" s="292"/>
      <c r="JKG35" s="292"/>
      <c r="JKH35" s="292"/>
      <c r="JKI35" s="292"/>
      <c r="JKJ35" s="292"/>
      <c r="JKK35" s="292"/>
      <c r="JKL35" s="292"/>
      <c r="JKM35" s="292"/>
      <c r="JKN35" s="292"/>
      <c r="JKO35" s="292"/>
      <c r="JKP35" s="292"/>
      <c r="JKQ35" s="292"/>
      <c r="JKR35" s="292"/>
      <c r="JKS35" s="292"/>
      <c r="JKT35" s="292"/>
      <c r="JKU35" s="292"/>
      <c r="JKV35" s="292"/>
      <c r="JKW35" s="292"/>
      <c r="JKX35" s="292"/>
      <c r="JKY35" s="292"/>
      <c r="JKZ35" s="292"/>
      <c r="JLA35" s="292"/>
      <c r="JLB35" s="292"/>
      <c r="JLC35" s="292"/>
      <c r="JLD35" s="292"/>
      <c r="JLE35" s="292"/>
      <c r="JLF35" s="292"/>
      <c r="JLG35" s="292"/>
      <c r="JLH35" s="292"/>
      <c r="JLI35" s="292"/>
      <c r="JLJ35" s="292"/>
      <c r="JLK35" s="292"/>
      <c r="JLL35" s="292"/>
      <c r="JLM35" s="292"/>
      <c r="JLN35" s="292"/>
      <c r="JLO35" s="292"/>
      <c r="JLP35" s="292"/>
      <c r="JLQ35" s="292"/>
      <c r="JLR35" s="292"/>
      <c r="JLS35" s="292"/>
      <c r="JLT35" s="292"/>
      <c r="JLU35" s="292"/>
      <c r="JLV35" s="292"/>
      <c r="JLW35" s="292"/>
      <c r="JLX35" s="292"/>
      <c r="JLY35" s="292"/>
      <c r="JLZ35" s="292"/>
      <c r="JMA35" s="292"/>
      <c r="JMB35" s="292"/>
      <c r="JMC35" s="292"/>
      <c r="JMD35" s="292"/>
      <c r="JME35" s="292"/>
      <c r="JMF35" s="292"/>
      <c r="JMG35" s="292"/>
      <c r="JMH35" s="292"/>
      <c r="JMI35" s="292"/>
      <c r="JMJ35" s="292"/>
      <c r="JMK35" s="292"/>
      <c r="JML35" s="292"/>
      <c r="JMM35" s="292"/>
      <c r="JMN35" s="292"/>
      <c r="JMO35" s="292"/>
      <c r="JMP35" s="292"/>
      <c r="JMQ35" s="292"/>
      <c r="JMR35" s="292"/>
      <c r="JMS35" s="292"/>
      <c r="JMT35" s="292"/>
      <c r="JMU35" s="292"/>
      <c r="JMV35" s="292"/>
      <c r="JMW35" s="292"/>
      <c r="JMX35" s="292"/>
      <c r="JMY35" s="292"/>
      <c r="JMZ35" s="292"/>
      <c r="JNA35" s="292"/>
      <c r="JNB35" s="292"/>
      <c r="JNC35" s="292"/>
      <c r="JND35" s="292"/>
      <c r="JNE35" s="292"/>
      <c r="JNF35" s="292"/>
      <c r="JNG35" s="292"/>
      <c r="JNH35" s="292"/>
      <c r="JNI35" s="292"/>
      <c r="JNJ35" s="292"/>
      <c r="JNK35" s="292"/>
      <c r="JNL35" s="292"/>
      <c r="JNM35" s="292"/>
      <c r="JNN35" s="292"/>
      <c r="JNO35" s="292"/>
      <c r="JNP35" s="292"/>
      <c r="JNQ35" s="292"/>
      <c r="JNR35" s="292"/>
      <c r="JNS35" s="292"/>
      <c r="JNT35" s="292"/>
      <c r="JNU35" s="292"/>
      <c r="JNV35" s="292"/>
      <c r="JNW35" s="292"/>
      <c r="JNX35" s="292"/>
      <c r="JNY35" s="292"/>
      <c r="JNZ35" s="292"/>
      <c r="JOA35" s="292"/>
      <c r="JOB35" s="292"/>
      <c r="JOC35" s="292"/>
      <c r="JOD35" s="292"/>
      <c r="JOE35" s="292"/>
      <c r="JOF35" s="292"/>
      <c r="JOG35" s="292"/>
      <c r="JOH35" s="292"/>
      <c r="JOI35" s="292"/>
      <c r="JOJ35" s="292"/>
      <c r="JOK35" s="292"/>
      <c r="JOL35" s="292"/>
      <c r="JOM35" s="292"/>
      <c r="JON35" s="292"/>
      <c r="JOO35" s="292"/>
      <c r="JOP35" s="292"/>
      <c r="JOQ35" s="292"/>
      <c r="JOR35" s="292"/>
      <c r="JOS35" s="292"/>
      <c r="JOT35" s="292"/>
      <c r="JOU35" s="292"/>
      <c r="JOV35" s="292"/>
      <c r="JOW35" s="292"/>
      <c r="JOX35" s="292"/>
      <c r="JOY35" s="292"/>
      <c r="JOZ35" s="292"/>
      <c r="JPA35" s="292"/>
      <c r="JPB35" s="292"/>
      <c r="JPC35" s="292"/>
      <c r="JPD35" s="292"/>
      <c r="JPE35" s="292"/>
      <c r="JPF35" s="292"/>
      <c r="JPG35" s="292"/>
      <c r="JPH35" s="292"/>
      <c r="JPI35" s="292"/>
      <c r="JPJ35" s="292"/>
      <c r="JPK35" s="292"/>
      <c r="JPL35" s="292"/>
      <c r="JPM35" s="292"/>
      <c r="JPN35" s="292"/>
      <c r="JPO35" s="292"/>
      <c r="JPP35" s="292"/>
      <c r="JPQ35" s="292"/>
      <c r="JPR35" s="292"/>
      <c r="JPS35" s="292"/>
      <c r="JPT35" s="292"/>
      <c r="JPU35" s="292"/>
      <c r="JPV35" s="292"/>
      <c r="JPW35" s="292"/>
      <c r="JPX35" s="292"/>
      <c r="JPY35" s="292"/>
      <c r="JPZ35" s="292"/>
      <c r="JQA35" s="292"/>
      <c r="JQB35" s="292"/>
      <c r="JQC35" s="292"/>
      <c r="JQD35" s="292"/>
      <c r="JQE35" s="292"/>
      <c r="JQF35" s="292"/>
      <c r="JQG35" s="292"/>
      <c r="JQH35" s="292"/>
      <c r="JQI35" s="292"/>
      <c r="JQJ35" s="292"/>
      <c r="JQK35" s="292"/>
      <c r="JQL35" s="292"/>
      <c r="JQM35" s="292"/>
      <c r="JQN35" s="292"/>
      <c r="JQO35" s="292"/>
      <c r="JQP35" s="292"/>
      <c r="JQQ35" s="292"/>
      <c r="JQR35" s="292"/>
      <c r="JQS35" s="292"/>
      <c r="JQT35" s="292"/>
      <c r="JQU35" s="292"/>
      <c r="JQV35" s="292"/>
      <c r="JQW35" s="292"/>
      <c r="JQX35" s="292"/>
      <c r="JQY35" s="292"/>
      <c r="JQZ35" s="292"/>
      <c r="JRA35" s="292"/>
      <c r="JRB35" s="292"/>
      <c r="JRC35" s="292"/>
      <c r="JRD35" s="292"/>
      <c r="JRE35" s="292"/>
      <c r="JRF35" s="292"/>
      <c r="JRG35" s="292"/>
      <c r="JRH35" s="292"/>
      <c r="JRI35" s="292"/>
      <c r="JRJ35" s="292"/>
      <c r="JRK35" s="292"/>
      <c r="JRL35" s="292"/>
      <c r="JRM35" s="292"/>
      <c r="JRN35" s="292"/>
      <c r="JRO35" s="292"/>
      <c r="JRP35" s="292"/>
      <c r="JRQ35" s="292"/>
      <c r="JRR35" s="292"/>
      <c r="JRS35" s="292"/>
      <c r="JRT35" s="292"/>
      <c r="JRU35" s="292"/>
      <c r="JRV35" s="292"/>
      <c r="JRW35" s="292"/>
      <c r="JRX35" s="292"/>
      <c r="JRY35" s="292"/>
      <c r="JRZ35" s="292"/>
      <c r="JSA35" s="292"/>
      <c r="JSB35" s="292"/>
      <c r="JSC35" s="292"/>
      <c r="JSD35" s="292"/>
      <c r="JSE35" s="292"/>
      <c r="JSF35" s="292"/>
      <c r="JSG35" s="292"/>
      <c r="JSH35" s="292"/>
      <c r="JSI35" s="292"/>
      <c r="JSJ35" s="292"/>
      <c r="JSK35" s="292"/>
      <c r="JSL35" s="292"/>
      <c r="JSM35" s="292"/>
      <c r="JSN35" s="292"/>
      <c r="JSO35" s="292"/>
      <c r="JSP35" s="292"/>
      <c r="JSQ35" s="292"/>
      <c r="JSR35" s="292"/>
      <c r="JSS35" s="292"/>
      <c r="JST35" s="292"/>
      <c r="JSU35" s="292"/>
      <c r="JSV35" s="292"/>
      <c r="JSW35" s="292"/>
      <c r="JSX35" s="292"/>
      <c r="JSY35" s="292"/>
      <c r="JSZ35" s="292"/>
      <c r="JTA35" s="292"/>
      <c r="JTB35" s="292"/>
      <c r="JTC35" s="292"/>
      <c r="JTD35" s="292"/>
      <c r="JTE35" s="292"/>
      <c r="JTF35" s="292"/>
      <c r="JTG35" s="292"/>
      <c r="JTH35" s="292"/>
      <c r="JTI35" s="292"/>
      <c r="JTJ35" s="292"/>
      <c r="JTK35" s="292"/>
      <c r="JTL35" s="292"/>
      <c r="JTM35" s="292"/>
      <c r="JTN35" s="292"/>
      <c r="JTO35" s="292"/>
      <c r="JTP35" s="292"/>
      <c r="JTQ35" s="292"/>
      <c r="JTR35" s="292"/>
      <c r="JTS35" s="292"/>
      <c r="JTT35" s="292"/>
      <c r="JTU35" s="292"/>
      <c r="JTV35" s="292"/>
      <c r="JTW35" s="292"/>
      <c r="JTX35" s="292"/>
      <c r="JTY35" s="292"/>
      <c r="JTZ35" s="292"/>
      <c r="JUA35" s="292"/>
      <c r="JUB35" s="292"/>
      <c r="JUC35" s="292"/>
      <c r="JUD35" s="292"/>
      <c r="JUE35" s="292"/>
      <c r="JUF35" s="292"/>
      <c r="JUG35" s="292"/>
      <c r="JUH35" s="292"/>
      <c r="JUI35" s="292"/>
      <c r="JUJ35" s="292"/>
      <c r="JUK35" s="292"/>
      <c r="JUL35" s="292"/>
      <c r="JUM35" s="292"/>
      <c r="JUN35" s="292"/>
      <c r="JUO35" s="292"/>
      <c r="JUP35" s="292"/>
      <c r="JUQ35" s="292"/>
      <c r="JUR35" s="292"/>
      <c r="JUS35" s="292"/>
      <c r="JUT35" s="292"/>
      <c r="JUU35" s="292"/>
      <c r="JUV35" s="292"/>
      <c r="JUW35" s="292"/>
      <c r="JUX35" s="292"/>
      <c r="JUY35" s="292"/>
      <c r="JUZ35" s="292"/>
      <c r="JVA35" s="292"/>
      <c r="JVB35" s="292"/>
      <c r="JVC35" s="292"/>
      <c r="JVD35" s="292"/>
      <c r="JVE35" s="292"/>
      <c r="JVF35" s="292"/>
      <c r="JVG35" s="292"/>
      <c r="JVH35" s="292"/>
      <c r="JVI35" s="292"/>
      <c r="JVJ35" s="292"/>
      <c r="JVK35" s="292"/>
      <c r="JVL35" s="292"/>
      <c r="JVM35" s="292"/>
      <c r="JVN35" s="292"/>
      <c r="JVO35" s="292"/>
      <c r="JVP35" s="292"/>
      <c r="JVQ35" s="292"/>
      <c r="JVR35" s="292"/>
      <c r="JVS35" s="292"/>
      <c r="JVT35" s="292"/>
      <c r="JVU35" s="292"/>
      <c r="JVV35" s="292"/>
      <c r="JVW35" s="292"/>
      <c r="JVX35" s="292"/>
      <c r="JVY35" s="292"/>
      <c r="JVZ35" s="292"/>
      <c r="JWA35" s="292"/>
      <c r="JWB35" s="292"/>
      <c r="JWC35" s="292"/>
      <c r="JWD35" s="292"/>
      <c r="JWE35" s="292"/>
      <c r="JWF35" s="292"/>
      <c r="JWG35" s="292"/>
      <c r="JWH35" s="292"/>
      <c r="JWI35" s="292"/>
      <c r="JWJ35" s="292"/>
      <c r="JWK35" s="292"/>
      <c r="JWL35" s="292"/>
      <c r="JWM35" s="292"/>
      <c r="JWN35" s="292"/>
      <c r="JWO35" s="292"/>
      <c r="JWP35" s="292"/>
      <c r="JWQ35" s="292"/>
      <c r="JWR35" s="292"/>
      <c r="JWS35" s="292"/>
      <c r="JWT35" s="292"/>
      <c r="JWU35" s="292"/>
      <c r="JWV35" s="292"/>
      <c r="JWW35" s="292"/>
      <c r="JWX35" s="292"/>
      <c r="JWY35" s="292"/>
      <c r="JWZ35" s="292"/>
      <c r="JXA35" s="292"/>
      <c r="JXB35" s="292"/>
      <c r="JXC35" s="292"/>
      <c r="JXD35" s="292"/>
      <c r="JXE35" s="292"/>
      <c r="JXF35" s="292"/>
      <c r="JXG35" s="292"/>
      <c r="JXH35" s="292"/>
      <c r="JXI35" s="292"/>
      <c r="JXJ35" s="292"/>
      <c r="JXK35" s="292"/>
      <c r="JXL35" s="292"/>
      <c r="JXM35" s="292"/>
      <c r="JXN35" s="292"/>
      <c r="JXO35" s="292"/>
      <c r="JXP35" s="292"/>
      <c r="JXQ35" s="292"/>
      <c r="JXR35" s="292"/>
      <c r="JXS35" s="292"/>
      <c r="JXT35" s="292"/>
      <c r="JXU35" s="292"/>
      <c r="JXV35" s="292"/>
      <c r="JXW35" s="292"/>
      <c r="JXX35" s="292"/>
      <c r="JXY35" s="292"/>
      <c r="JXZ35" s="292"/>
      <c r="JYA35" s="292"/>
      <c r="JYB35" s="292"/>
      <c r="JYC35" s="292"/>
      <c r="JYD35" s="292"/>
      <c r="JYE35" s="292"/>
      <c r="JYF35" s="292"/>
      <c r="JYG35" s="292"/>
      <c r="JYH35" s="292"/>
      <c r="JYI35" s="292"/>
      <c r="JYJ35" s="292"/>
      <c r="JYK35" s="292"/>
      <c r="JYL35" s="292"/>
      <c r="JYM35" s="292"/>
      <c r="JYN35" s="292"/>
      <c r="JYO35" s="292"/>
      <c r="JYP35" s="292"/>
      <c r="JYQ35" s="292"/>
      <c r="JYR35" s="292"/>
      <c r="JYS35" s="292"/>
      <c r="JYT35" s="292"/>
      <c r="JYU35" s="292"/>
      <c r="JYV35" s="292"/>
      <c r="JYW35" s="292"/>
      <c r="JYX35" s="292"/>
      <c r="JYY35" s="292"/>
      <c r="JYZ35" s="292"/>
      <c r="JZA35" s="292"/>
      <c r="JZB35" s="292"/>
      <c r="JZC35" s="292"/>
      <c r="JZD35" s="292"/>
      <c r="JZE35" s="292"/>
      <c r="JZF35" s="292"/>
      <c r="JZG35" s="292"/>
      <c r="JZH35" s="292"/>
      <c r="JZI35" s="292"/>
      <c r="JZJ35" s="292"/>
      <c r="JZK35" s="292"/>
      <c r="JZL35" s="292"/>
      <c r="JZM35" s="292"/>
      <c r="JZN35" s="292"/>
      <c r="JZO35" s="292"/>
      <c r="JZP35" s="292"/>
      <c r="JZQ35" s="292"/>
      <c r="JZR35" s="292"/>
      <c r="JZS35" s="292"/>
      <c r="JZT35" s="292"/>
      <c r="JZU35" s="292"/>
      <c r="JZV35" s="292"/>
      <c r="JZW35" s="292"/>
      <c r="JZX35" s="292"/>
      <c r="JZY35" s="292"/>
      <c r="JZZ35" s="292"/>
      <c r="KAA35" s="292"/>
      <c r="KAB35" s="292"/>
      <c r="KAC35" s="292"/>
      <c r="KAD35" s="292"/>
      <c r="KAE35" s="292"/>
      <c r="KAF35" s="292"/>
      <c r="KAG35" s="292"/>
      <c r="KAH35" s="292"/>
      <c r="KAI35" s="292"/>
      <c r="KAJ35" s="292"/>
      <c r="KAK35" s="292"/>
      <c r="KAL35" s="292"/>
      <c r="KAM35" s="292"/>
      <c r="KAN35" s="292"/>
      <c r="KAO35" s="292"/>
      <c r="KAP35" s="292"/>
      <c r="KAQ35" s="292"/>
      <c r="KAR35" s="292"/>
      <c r="KAS35" s="292"/>
      <c r="KAT35" s="292"/>
      <c r="KAU35" s="292"/>
      <c r="KAV35" s="292"/>
      <c r="KAW35" s="292"/>
      <c r="KAX35" s="292"/>
      <c r="KAY35" s="292"/>
      <c r="KAZ35" s="292"/>
      <c r="KBA35" s="292"/>
      <c r="KBB35" s="292"/>
      <c r="KBC35" s="292"/>
      <c r="KBD35" s="292"/>
      <c r="KBE35" s="292"/>
      <c r="KBF35" s="292"/>
      <c r="KBG35" s="292"/>
      <c r="KBH35" s="292"/>
      <c r="KBI35" s="292"/>
      <c r="KBJ35" s="292"/>
      <c r="KBK35" s="292"/>
      <c r="KBL35" s="292"/>
      <c r="KBM35" s="292"/>
      <c r="KBN35" s="292"/>
      <c r="KBO35" s="292"/>
      <c r="KBP35" s="292"/>
      <c r="KBQ35" s="292"/>
      <c r="KBR35" s="292"/>
      <c r="KBS35" s="292"/>
      <c r="KBT35" s="292"/>
      <c r="KBU35" s="292"/>
      <c r="KBV35" s="292"/>
      <c r="KBW35" s="292"/>
      <c r="KBX35" s="292"/>
      <c r="KBY35" s="292"/>
      <c r="KBZ35" s="292"/>
      <c r="KCA35" s="292"/>
      <c r="KCB35" s="292"/>
      <c r="KCC35" s="292"/>
      <c r="KCD35" s="292"/>
      <c r="KCE35" s="292"/>
      <c r="KCF35" s="292"/>
      <c r="KCG35" s="292"/>
      <c r="KCH35" s="292"/>
      <c r="KCI35" s="292"/>
      <c r="KCJ35" s="292"/>
      <c r="KCK35" s="292"/>
      <c r="KCL35" s="292"/>
      <c r="KCM35" s="292"/>
      <c r="KCN35" s="292"/>
      <c r="KCO35" s="292"/>
      <c r="KCP35" s="292"/>
      <c r="KCQ35" s="292"/>
      <c r="KCR35" s="292"/>
      <c r="KCS35" s="292"/>
      <c r="KCT35" s="292"/>
      <c r="KCU35" s="292"/>
      <c r="KCV35" s="292"/>
      <c r="KCW35" s="292"/>
      <c r="KCX35" s="292"/>
      <c r="KCY35" s="292"/>
      <c r="KCZ35" s="292"/>
      <c r="KDA35" s="292"/>
      <c r="KDB35" s="292"/>
      <c r="KDC35" s="292"/>
      <c r="KDD35" s="292"/>
      <c r="KDE35" s="292"/>
      <c r="KDF35" s="292"/>
      <c r="KDG35" s="292"/>
      <c r="KDH35" s="292"/>
      <c r="KDI35" s="292"/>
      <c r="KDJ35" s="292"/>
      <c r="KDK35" s="292"/>
      <c r="KDL35" s="292"/>
      <c r="KDM35" s="292"/>
      <c r="KDN35" s="292"/>
      <c r="KDO35" s="292"/>
      <c r="KDP35" s="292"/>
      <c r="KDQ35" s="292"/>
      <c r="KDR35" s="292"/>
      <c r="KDS35" s="292"/>
      <c r="KDT35" s="292"/>
      <c r="KDU35" s="292"/>
      <c r="KDV35" s="292"/>
      <c r="KDW35" s="292"/>
      <c r="KDX35" s="292"/>
      <c r="KDY35" s="292"/>
      <c r="KDZ35" s="292"/>
      <c r="KEA35" s="292"/>
      <c r="KEB35" s="292"/>
      <c r="KEC35" s="292"/>
      <c r="KED35" s="292"/>
      <c r="KEE35" s="292"/>
      <c r="KEF35" s="292"/>
      <c r="KEG35" s="292"/>
      <c r="KEH35" s="292"/>
      <c r="KEI35" s="292"/>
      <c r="KEJ35" s="292"/>
      <c r="KEK35" s="292"/>
      <c r="KEL35" s="292"/>
      <c r="KEM35" s="292"/>
      <c r="KEN35" s="292"/>
      <c r="KEO35" s="292"/>
      <c r="KEP35" s="292"/>
      <c r="KEQ35" s="292"/>
      <c r="KER35" s="292"/>
      <c r="KES35" s="292"/>
      <c r="KET35" s="292"/>
      <c r="KEU35" s="292"/>
      <c r="KEV35" s="292"/>
      <c r="KEW35" s="292"/>
      <c r="KEX35" s="292"/>
      <c r="KEY35" s="292"/>
      <c r="KEZ35" s="292"/>
      <c r="KFA35" s="292"/>
      <c r="KFB35" s="292"/>
      <c r="KFC35" s="292"/>
      <c r="KFD35" s="292"/>
      <c r="KFE35" s="292"/>
      <c r="KFF35" s="292"/>
      <c r="KFG35" s="292"/>
      <c r="KFH35" s="292"/>
      <c r="KFI35" s="292"/>
      <c r="KFJ35" s="292"/>
      <c r="KFK35" s="292"/>
      <c r="KFL35" s="292"/>
      <c r="KFM35" s="292"/>
      <c r="KFN35" s="292"/>
      <c r="KFO35" s="292"/>
      <c r="KFP35" s="292"/>
      <c r="KFQ35" s="292"/>
      <c r="KFR35" s="292"/>
      <c r="KFS35" s="292"/>
      <c r="KFT35" s="292"/>
      <c r="KFU35" s="292"/>
      <c r="KFV35" s="292"/>
      <c r="KFW35" s="292"/>
      <c r="KFX35" s="292"/>
      <c r="KFY35" s="292"/>
      <c r="KFZ35" s="292"/>
      <c r="KGA35" s="292"/>
      <c r="KGB35" s="292"/>
      <c r="KGC35" s="292"/>
      <c r="KGD35" s="292"/>
      <c r="KGE35" s="292"/>
      <c r="KGF35" s="292"/>
      <c r="KGG35" s="292"/>
      <c r="KGH35" s="292"/>
      <c r="KGI35" s="292"/>
      <c r="KGJ35" s="292"/>
      <c r="KGK35" s="292"/>
      <c r="KGL35" s="292"/>
      <c r="KGM35" s="292"/>
      <c r="KGN35" s="292"/>
      <c r="KGO35" s="292"/>
      <c r="KGP35" s="292"/>
      <c r="KGQ35" s="292"/>
      <c r="KGR35" s="292"/>
      <c r="KGS35" s="292"/>
      <c r="KGT35" s="292"/>
      <c r="KGU35" s="292"/>
      <c r="KGV35" s="292"/>
      <c r="KGW35" s="292"/>
      <c r="KGX35" s="292"/>
      <c r="KGY35" s="292"/>
      <c r="KGZ35" s="292"/>
      <c r="KHA35" s="292"/>
      <c r="KHB35" s="292"/>
      <c r="KHC35" s="292"/>
      <c r="KHD35" s="292"/>
      <c r="KHE35" s="292"/>
      <c r="KHF35" s="292"/>
      <c r="KHG35" s="292"/>
      <c r="KHH35" s="292"/>
      <c r="KHI35" s="292"/>
      <c r="KHJ35" s="292"/>
      <c r="KHK35" s="292"/>
      <c r="KHL35" s="292"/>
      <c r="KHM35" s="292"/>
      <c r="KHN35" s="292"/>
      <c r="KHO35" s="292"/>
      <c r="KHP35" s="292"/>
      <c r="KHQ35" s="292"/>
      <c r="KHR35" s="292"/>
      <c r="KHS35" s="292"/>
      <c r="KHT35" s="292"/>
      <c r="KHU35" s="292"/>
      <c r="KHV35" s="292"/>
      <c r="KHW35" s="292"/>
      <c r="KHX35" s="292"/>
      <c r="KHY35" s="292"/>
      <c r="KHZ35" s="292"/>
      <c r="KIA35" s="292"/>
      <c r="KIB35" s="292"/>
      <c r="KIC35" s="292"/>
      <c r="KID35" s="292"/>
      <c r="KIE35" s="292"/>
      <c r="KIF35" s="292"/>
      <c r="KIG35" s="292"/>
      <c r="KIH35" s="292"/>
      <c r="KII35" s="292"/>
      <c r="KIJ35" s="292"/>
      <c r="KIK35" s="292"/>
      <c r="KIL35" s="292"/>
      <c r="KIM35" s="292"/>
      <c r="KIN35" s="292"/>
      <c r="KIO35" s="292"/>
      <c r="KIP35" s="292"/>
      <c r="KIQ35" s="292"/>
      <c r="KIR35" s="292"/>
      <c r="KIS35" s="292"/>
      <c r="KIT35" s="292"/>
      <c r="KIU35" s="292"/>
      <c r="KIV35" s="292"/>
      <c r="KIW35" s="292"/>
      <c r="KIX35" s="292"/>
      <c r="KIY35" s="292"/>
      <c r="KIZ35" s="292"/>
      <c r="KJA35" s="292"/>
      <c r="KJB35" s="292"/>
      <c r="KJC35" s="292"/>
      <c r="KJD35" s="292"/>
      <c r="KJE35" s="292"/>
      <c r="KJF35" s="292"/>
      <c r="KJG35" s="292"/>
      <c r="KJH35" s="292"/>
      <c r="KJI35" s="292"/>
      <c r="KJJ35" s="292"/>
      <c r="KJK35" s="292"/>
      <c r="KJL35" s="292"/>
      <c r="KJM35" s="292"/>
      <c r="KJN35" s="292"/>
      <c r="KJO35" s="292"/>
      <c r="KJP35" s="292"/>
      <c r="KJQ35" s="292"/>
      <c r="KJR35" s="292"/>
      <c r="KJS35" s="292"/>
      <c r="KJT35" s="292"/>
      <c r="KJU35" s="292"/>
      <c r="KJV35" s="292"/>
      <c r="KJW35" s="292"/>
      <c r="KJX35" s="292"/>
      <c r="KJY35" s="292"/>
      <c r="KJZ35" s="292"/>
      <c r="KKA35" s="292"/>
      <c r="KKB35" s="292"/>
      <c r="KKC35" s="292"/>
      <c r="KKD35" s="292"/>
      <c r="KKE35" s="292"/>
      <c r="KKF35" s="292"/>
      <c r="KKG35" s="292"/>
      <c r="KKH35" s="292"/>
      <c r="KKI35" s="292"/>
      <c r="KKJ35" s="292"/>
      <c r="KKK35" s="292"/>
      <c r="KKL35" s="292"/>
      <c r="KKM35" s="292"/>
      <c r="KKN35" s="292"/>
      <c r="KKO35" s="292"/>
      <c r="KKP35" s="292"/>
      <c r="KKQ35" s="292"/>
      <c r="KKR35" s="292"/>
      <c r="KKS35" s="292"/>
      <c r="KKT35" s="292"/>
      <c r="KKU35" s="292"/>
      <c r="KKV35" s="292"/>
      <c r="KKW35" s="292"/>
      <c r="KKX35" s="292"/>
      <c r="KKY35" s="292"/>
      <c r="KKZ35" s="292"/>
      <c r="KLA35" s="292"/>
      <c r="KLB35" s="292"/>
      <c r="KLC35" s="292"/>
      <c r="KLD35" s="292"/>
      <c r="KLE35" s="292"/>
      <c r="KLF35" s="292"/>
      <c r="KLG35" s="292"/>
      <c r="KLH35" s="292"/>
      <c r="KLI35" s="292"/>
      <c r="KLJ35" s="292"/>
      <c r="KLK35" s="292"/>
      <c r="KLL35" s="292"/>
      <c r="KLM35" s="292"/>
      <c r="KLN35" s="292"/>
      <c r="KLO35" s="292"/>
      <c r="KLP35" s="292"/>
      <c r="KLQ35" s="292"/>
      <c r="KLR35" s="292"/>
      <c r="KLS35" s="292"/>
      <c r="KLT35" s="292"/>
      <c r="KLU35" s="292"/>
      <c r="KLV35" s="292"/>
      <c r="KLW35" s="292"/>
      <c r="KLX35" s="292"/>
      <c r="KLY35" s="292"/>
      <c r="KLZ35" s="292"/>
      <c r="KMA35" s="292"/>
      <c r="KMB35" s="292"/>
      <c r="KMC35" s="292"/>
      <c r="KMD35" s="292"/>
      <c r="KME35" s="292"/>
      <c r="KMF35" s="292"/>
      <c r="KMG35" s="292"/>
      <c r="KMH35" s="292"/>
      <c r="KMI35" s="292"/>
      <c r="KMJ35" s="292"/>
      <c r="KMK35" s="292"/>
      <c r="KML35" s="292"/>
      <c r="KMM35" s="292"/>
      <c r="KMN35" s="292"/>
      <c r="KMO35" s="292"/>
      <c r="KMP35" s="292"/>
      <c r="KMQ35" s="292"/>
      <c r="KMR35" s="292"/>
      <c r="KMS35" s="292"/>
      <c r="KMT35" s="292"/>
      <c r="KMU35" s="292"/>
      <c r="KMV35" s="292"/>
      <c r="KMW35" s="292"/>
      <c r="KMX35" s="292"/>
      <c r="KMY35" s="292"/>
      <c r="KMZ35" s="292"/>
      <c r="KNA35" s="292"/>
      <c r="KNB35" s="292"/>
      <c r="KNC35" s="292"/>
      <c r="KND35" s="292"/>
      <c r="KNE35" s="292"/>
      <c r="KNF35" s="292"/>
      <c r="KNG35" s="292"/>
      <c r="KNH35" s="292"/>
      <c r="KNI35" s="292"/>
      <c r="KNJ35" s="292"/>
      <c r="KNK35" s="292"/>
      <c r="KNL35" s="292"/>
      <c r="KNM35" s="292"/>
      <c r="KNN35" s="292"/>
      <c r="KNO35" s="292"/>
      <c r="KNP35" s="292"/>
      <c r="KNQ35" s="292"/>
      <c r="KNR35" s="292"/>
      <c r="KNS35" s="292"/>
      <c r="KNT35" s="292"/>
      <c r="KNU35" s="292"/>
      <c r="KNV35" s="292"/>
      <c r="KNW35" s="292"/>
      <c r="KNX35" s="292"/>
      <c r="KNY35" s="292"/>
      <c r="KNZ35" s="292"/>
      <c r="KOA35" s="292"/>
      <c r="KOB35" s="292"/>
      <c r="KOC35" s="292"/>
      <c r="KOD35" s="292"/>
      <c r="KOE35" s="292"/>
      <c r="KOF35" s="292"/>
      <c r="KOG35" s="292"/>
      <c r="KOH35" s="292"/>
      <c r="KOI35" s="292"/>
      <c r="KOJ35" s="292"/>
      <c r="KOK35" s="292"/>
      <c r="KOL35" s="292"/>
      <c r="KOM35" s="292"/>
      <c r="KON35" s="292"/>
      <c r="KOO35" s="292"/>
      <c r="KOP35" s="292"/>
      <c r="KOQ35" s="292"/>
      <c r="KOR35" s="292"/>
      <c r="KOS35" s="292"/>
      <c r="KOT35" s="292"/>
      <c r="KOU35" s="292"/>
      <c r="KOV35" s="292"/>
      <c r="KOW35" s="292"/>
      <c r="KOX35" s="292"/>
      <c r="KOY35" s="292"/>
      <c r="KOZ35" s="292"/>
      <c r="KPA35" s="292"/>
      <c r="KPB35" s="292"/>
      <c r="KPC35" s="292"/>
      <c r="KPD35" s="292"/>
      <c r="KPE35" s="292"/>
      <c r="KPF35" s="292"/>
      <c r="KPG35" s="292"/>
      <c r="KPH35" s="292"/>
      <c r="KPI35" s="292"/>
      <c r="KPJ35" s="292"/>
      <c r="KPK35" s="292"/>
      <c r="KPL35" s="292"/>
      <c r="KPM35" s="292"/>
      <c r="KPN35" s="292"/>
      <c r="KPO35" s="292"/>
      <c r="KPP35" s="292"/>
      <c r="KPQ35" s="292"/>
      <c r="KPR35" s="292"/>
      <c r="KPS35" s="292"/>
      <c r="KPT35" s="292"/>
      <c r="KPU35" s="292"/>
      <c r="KPV35" s="292"/>
      <c r="KPW35" s="292"/>
      <c r="KPX35" s="292"/>
      <c r="KPY35" s="292"/>
      <c r="KPZ35" s="292"/>
      <c r="KQA35" s="292"/>
      <c r="KQB35" s="292"/>
      <c r="KQC35" s="292"/>
      <c r="KQD35" s="292"/>
      <c r="KQE35" s="292"/>
      <c r="KQF35" s="292"/>
      <c r="KQG35" s="292"/>
      <c r="KQH35" s="292"/>
      <c r="KQI35" s="292"/>
      <c r="KQJ35" s="292"/>
      <c r="KQK35" s="292"/>
      <c r="KQL35" s="292"/>
      <c r="KQM35" s="292"/>
      <c r="KQN35" s="292"/>
      <c r="KQO35" s="292"/>
      <c r="KQP35" s="292"/>
      <c r="KQQ35" s="292"/>
      <c r="KQR35" s="292"/>
      <c r="KQS35" s="292"/>
      <c r="KQT35" s="292"/>
      <c r="KQU35" s="292"/>
      <c r="KQV35" s="292"/>
      <c r="KQW35" s="292"/>
      <c r="KQX35" s="292"/>
      <c r="KQY35" s="292"/>
      <c r="KQZ35" s="292"/>
      <c r="KRA35" s="292"/>
      <c r="KRB35" s="292"/>
      <c r="KRC35" s="292"/>
      <c r="KRD35" s="292"/>
      <c r="KRE35" s="292"/>
      <c r="KRF35" s="292"/>
      <c r="KRG35" s="292"/>
      <c r="KRH35" s="292"/>
      <c r="KRI35" s="292"/>
      <c r="KRJ35" s="292"/>
      <c r="KRK35" s="292"/>
      <c r="KRL35" s="292"/>
      <c r="KRM35" s="292"/>
      <c r="KRN35" s="292"/>
      <c r="KRO35" s="292"/>
      <c r="KRP35" s="292"/>
      <c r="KRQ35" s="292"/>
      <c r="KRR35" s="292"/>
      <c r="KRS35" s="292"/>
      <c r="KRT35" s="292"/>
      <c r="KRU35" s="292"/>
      <c r="KRV35" s="292"/>
      <c r="KRW35" s="292"/>
      <c r="KRX35" s="292"/>
      <c r="KRY35" s="292"/>
      <c r="KRZ35" s="292"/>
      <c r="KSA35" s="292"/>
      <c r="KSB35" s="292"/>
      <c r="KSC35" s="292"/>
      <c r="KSD35" s="292"/>
      <c r="KSE35" s="292"/>
      <c r="KSF35" s="292"/>
      <c r="KSG35" s="292"/>
      <c r="KSH35" s="292"/>
      <c r="KSI35" s="292"/>
      <c r="KSJ35" s="292"/>
      <c r="KSK35" s="292"/>
      <c r="KSL35" s="292"/>
      <c r="KSM35" s="292"/>
      <c r="KSN35" s="292"/>
      <c r="KSO35" s="292"/>
      <c r="KSP35" s="292"/>
      <c r="KSQ35" s="292"/>
      <c r="KSR35" s="292"/>
      <c r="KSS35" s="292"/>
      <c r="KST35" s="292"/>
      <c r="KSU35" s="292"/>
      <c r="KSV35" s="292"/>
      <c r="KSW35" s="292"/>
      <c r="KSX35" s="292"/>
      <c r="KSY35" s="292"/>
      <c r="KSZ35" s="292"/>
      <c r="KTA35" s="292"/>
      <c r="KTB35" s="292"/>
      <c r="KTC35" s="292"/>
      <c r="KTD35" s="292"/>
      <c r="KTE35" s="292"/>
      <c r="KTF35" s="292"/>
      <c r="KTG35" s="292"/>
      <c r="KTH35" s="292"/>
      <c r="KTI35" s="292"/>
      <c r="KTJ35" s="292"/>
      <c r="KTK35" s="292"/>
      <c r="KTL35" s="292"/>
      <c r="KTM35" s="292"/>
      <c r="KTN35" s="292"/>
      <c r="KTO35" s="292"/>
      <c r="KTP35" s="292"/>
      <c r="KTQ35" s="292"/>
      <c r="KTR35" s="292"/>
      <c r="KTS35" s="292"/>
      <c r="KTT35" s="292"/>
      <c r="KTU35" s="292"/>
      <c r="KTV35" s="292"/>
      <c r="KTW35" s="292"/>
      <c r="KTX35" s="292"/>
      <c r="KTY35" s="292"/>
      <c r="KTZ35" s="292"/>
      <c r="KUA35" s="292"/>
      <c r="KUB35" s="292"/>
      <c r="KUC35" s="292"/>
      <c r="KUD35" s="292"/>
      <c r="KUE35" s="292"/>
      <c r="KUF35" s="292"/>
      <c r="KUG35" s="292"/>
      <c r="KUH35" s="292"/>
      <c r="KUI35" s="292"/>
      <c r="KUJ35" s="292"/>
      <c r="KUK35" s="292"/>
      <c r="KUL35" s="292"/>
      <c r="KUM35" s="292"/>
      <c r="KUN35" s="292"/>
      <c r="KUO35" s="292"/>
      <c r="KUP35" s="292"/>
      <c r="KUQ35" s="292"/>
      <c r="KUR35" s="292"/>
      <c r="KUS35" s="292"/>
      <c r="KUT35" s="292"/>
      <c r="KUU35" s="292"/>
      <c r="KUV35" s="292"/>
      <c r="KUW35" s="292"/>
      <c r="KUX35" s="292"/>
      <c r="KUY35" s="292"/>
      <c r="KUZ35" s="292"/>
      <c r="KVA35" s="292"/>
      <c r="KVB35" s="292"/>
      <c r="KVC35" s="292"/>
      <c r="KVD35" s="292"/>
      <c r="KVE35" s="292"/>
      <c r="KVF35" s="292"/>
      <c r="KVG35" s="292"/>
      <c r="KVH35" s="292"/>
      <c r="KVI35" s="292"/>
      <c r="KVJ35" s="292"/>
      <c r="KVK35" s="292"/>
      <c r="KVL35" s="292"/>
      <c r="KVM35" s="292"/>
      <c r="KVN35" s="292"/>
      <c r="KVO35" s="292"/>
      <c r="KVP35" s="292"/>
      <c r="KVQ35" s="292"/>
      <c r="KVR35" s="292"/>
      <c r="KVS35" s="292"/>
      <c r="KVT35" s="292"/>
      <c r="KVU35" s="292"/>
      <c r="KVV35" s="292"/>
      <c r="KVW35" s="292"/>
      <c r="KVX35" s="292"/>
      <c r="KVY35" s="292"/>
      <c r="KVZ35" s="292"/>
      <c r="KWA35" s="292"/>
      <c r="KWB35" s="292"/>
      <c r="KWC35" s="292"/>
      <c r="KWD35" s="292"/>
      <c r="KWE35" s="292"/>
      <c r="KWF35" s="292"/>
      <c r="KWG35" s="292"/>
      <c r="KWH35" s="292"/>
      <c r="KWI35" s="292"/>
      <c r="KWJ35" s="292"/>
      <c r="KWK35" s="292"/>
      <c r="KWL35" s="292"/>
      <c r="KWM35" s="292"/>
      <c r="KWN35" s="292"/>
      <c r="KWO35" s="292"/>
      <c r="KWP35" s="292"/>
      <c r="KWQ35" s="292"/>
      <c r="KWR35" s="292"/>
      <c r="KWS35" s="292"/>
      <c r="KWT35" s="292"/>
      <c r="KWU35" s="292"/>
      <c r="KWV35" s="292"/>
      <c r="KWW35" s="292"/>
      <c r="KWX35" s="292"/>
      <c r="KWY35" s="292"/>
      <c r="KWZ35" s="292"/>
      <c r="KXA35" s="292"/>
      <c r="KXB35" s="292"/>
      <c r="KXC35" s="292"/>
      <c r="KXD35" s="292"/>
      <c r="KXE35" s="292"/>
      <c r="KXF35" s="292"/>
      <c r="KXG35" s="292"/>
      <c r="KXH35" s="292"/>
      <c r="KXI35" s="292"/>
      <c r="KXJ35" s="292"/>
      <c r="KXK35" s="292"/>
      <c r="KXL35" s="292"/>
      <c r="KXM35" s="292"/>
      <c r="KXN35" s="292"/>
      <c r="KXO35" s="292"/>
      <c r="KXP35" s="292"/>
      <c r="KXQ35" s="292"/>
      <c r="KXR35" s="292"/>
      <c r="KXS35" s="292"/>
      <c r="KXT35" s="292"/>
      <c r="KXU35" s="292"/>
      <c r="KXV35" s="292"/>
      <c r="KXW35" s="292"/>
      <c r="KXX35" s="292"/>
      <c r="KXY35" s="292"/>
      <c r="KXZ35" s="292"/>
      <c r="KYA35" s="292"/>
      <c r="KYB35" s="292"/>
      <c r="KYC35" s="292"/>
      <c r="KYD35" s="292"/>
      <c r="KYE35" s="292"/>
      <c r="KYF35" s="292"/>
      <c r="KYG35" s="292"/>
      <c r="KYH35" s="292"/>
      <c r="KYI35" s="292"/>
      <c r="KYJ35" s="292"/>
      <c r="KYK35" s="292"/>
      <c r="KYL35" s="292"/>
      <c r="KYM35" s="292"/>
      <c r="KYN35" s="292"/>
      <c r="KYO35" s="292"/>
      <c r="KYP35" s="292"/>
      <c r="KYQ35" s="292"/>
      <c r="KYR35" s="292"/>
      <c r="KYS35" s="292"/>
      <c r="KYT35" s="292"/>
      <c r="KYU35" s="292"/>
      <c r="KYV35" s="292"/>
      <c r="KYW35" s="292"/>
      <c r="KYX35" s="292"/>
      <c r="KYY35" s="292"/>
      <c r="KYZ35" s="292"/>
      <c r="KZA35" s="292"/>
      <c r="KZB35" s="292"/>
      <c r="KZC35" s="292"/>
      <c r="KZD35" s="292"/>
      <c r="KZE35" s="292"/>
      <c r="KZF35" s="292"/>
      <c r="KZG35" s="292"/>
      <c r="KZH35" s="292"/>
      <c r="KZI35" s="292"/>
      <c r="KZJ35" s="292"/>
      <c r="KZK35" s="292"/>
      <c r="KZL35" s="292"/>
      <c r="KZM35" s="292"/>
      <c r="KZN35" s="292"/>
      <c r="KZO35" s="292"/>
      <c r="KZP35" s="292"/>
      <c r="KZQ35" s="292"/>
      <c r="KZR35" s="292"/>
      <c r="KZS35" s="292"/>
      <c r="KZT35" s="292"/>
      <c r="KZU35" s="292"/>
      <c r="KZV35" s="292"/>
      <c r="KZW35" s="292"/>
      <c r="KZX35" s="292"/>
      <c r="KZY35" s="292"/>
      <c r="KZZ35" s="292"/>
      <c r="LAA35" s="292"/>
      <c r="LAB35" s="292"/>
      <c r="LAC35" s="292"/>
      <c r="LAD35" s="292"/>
      <c r="LAE35" s="292"/>
      <c r="LAF35" s="292"/>
      <c r="LAG35" s="292"/>
      <c r="LAH35" s="292"/>
      <c r="LAI35" s="292"/>
      <c r="LAJ35" s="292"/>
      <c r="LAK35" s="292"/>
      <c r="LAL35" s="292"/>
      <c r="LAM35" s="292"/>
      <c r="LAN35" s="292"/>
      <c r="LAO35" s="292"/>
      <c r="LAP35" s="292"/>
      <c r="LAQ35" s="292"/>
      <c r="LAR35" s="292"/>
      <c r="LAS35" s="292"/>
      <c r="LAT35" s="292"/>
      <c r="LAU35" s="292"/>
      <c r="LAV35" s="292"/>
      <c r="LAW35" s="292"/>
      <c r="LAX35" s="292"/>
      <c r="LAY35" s="292"/>
      <c r="LAZ35" s="292"/>
      <c r="LBA35" s="292"/>
      <c r="LBB35" s="292"/>
      <c r="LBC35" s="292"/>
      <c r="LBD35" s="292"/>
      <c r="LBE35" s="292"/>
      <c r="LBF35" s="292"/>
      <c r="LBG35" s="292"/>
      <c r="LBH35" s="292"/>
      <c r="LBI35" s="292"/>
      <c r="LBJ35" s="292"/>
      <c r="LBK35" s="292"/>
      <c r="LBL35" s="292"/>
      <c r="LBM35" s="292"/>
      <c r="LBN35" s="292"/>
      <c r="LBO35" s="292"/>
      <c r="LBP35" s="292"/>
      <c r="LBQ35" s="292"/>
      <c r="LBR35" s="292"/>
      <c r="LBS35" s="292"/>
      <c r="LBT35" s="292"/>
      <c r="LBU35" s="292"/>
      <c r="LBV35" s="292"/>
      <c r="LBW35" s="292"/>
      <c r="LBX35" s="292"/>
      <c r="LBY35" s="292"/>
      <c r="LBZ35" s="292"/>
      <c r="LCA35" s="292"/>
      <c r="LCB35" s="292"/>
      <c r="LCC35" s="292"/>
      <c r="LCD35" s="292"/>
      <c r="LCE35" s="292"/>
      <c r="LCF35" s="292"/>
      <c r="LCG35" s="292"/>
      <c r="LCH35" s="292"/>
      <c r="LCI35" s="292"/>
      <c r="LCJ35" s="292"/>
      <c r="LCK35" s="292"/>
      <c r="LCL35" s="292"/>
      <c r="LCM35" s="292"/>
      <c r="LCN35" s="292"/>
      <c r="LCO35" s="292"/>
      <c r="LCP35" s="292"/>
      <c r="LCQ35" s="292"/>
      <c r="LCR35" s="292"/>
      <c r="LCS35" s="292"/>
      <c r="LCT35" s="292"/>
      <c r="LCU35" s="292"/>
      <c r="LCV35" s="292"/>
      <c r="LCW35" s="292"/>
      <c r="LCX35" s="292"/>
      <c r="LCY35" s="292"/>
      <c r="LCZ35" s="292"/>
      <c r="LDA35" s="292"/>
      <c r="LDB35" s="292"/>
      <c r="LDC35" s="292"/>
      <c r="LDD35" s="292"/>
      <c r="LDE35" s="292"/>
      <c r="LDF35" s="292"/>
      <c r="LDG35" s="292"/>
      <c r="LDH35" s="292"/>
      <c r="LDI35" s="292"/>
      <c r="LDJ35" s="292"/>
      <c r="LDK35" s="292"/>
      <c r="LDL35" s="292"/>
      <c r="LDM35" s="292"/>
      <c r="LDN35" s="292"/>
      <c r="LDO35" s="292"/>
      <c r="LDP35" s="292"/>
      <c r="LDQ35" s="292"/>
      <c r="LDR35" s="292"/>
      <c r="LDS35" s="292"/>
      <c r="LDT35" s="292"/>
      <c r="LDU35" s="292"/>
      <c r="LDV35" s="292"/>
      <c r="LDW35" s="292"/>
      <c r="LDX35" s="292"/>
      <c r="LDY35" s="292"/>
      <c r="LDZ35" s="292"/>
      <c r="LEA35" s="292"/>
      <c r="LEB35" s="292"/>
      <c r="LEC35" s="292"/>
      <c r="LED35" s="292"/>
      <c r="LEE35" s="292"/>
      <c r="LEF35" s="292"/>
      <c r="LEG35" s="292"/>
      <c r="LEH35" s="292"/>
      <c r="LEI35" s="292"/>
      <c r="LEJ35" s="292"/>
      <c r="LEK35" s="292"/>
      <c r="LEL35" s="292"/>
      <c r="LEM35" s="292"/>
      <c r="LEN35" s="292"/>
      <c r="LEO35" s="292"/>
      <c r="LEP35" s="292"/>
      <c r="LEQ35" s="292"/>
      <c r="LER35" s="292"/>
      <c r="LES35" s="292"/>
      <c r="LET35" s="292"/>
      <c r="LEU35" s="292"/>
      <c r="LEV35" s="292"/>
      <c r="LEW35" s="292"/>
      <c r="LEX35" s="292"/>
      <c r="LEY35" s="292"/>
      <c r="LEZ35" s="292"/>
      <c r="LFA35" s="292"/>
      <c r="LFB35" s="292"/>
      <c r="LFC35" s="292"/>
      <c r="LFD35" s="292"/>
      <c r="LFE35" s="292"/>
      <c r="LFF35" s="292"/>
      <c r="LFG35" s="292"/>
      <c r="LFH35" s="292"/>
      <c r="LFI35" s="292"/>
      <c r="LFJ35" s="292"/>
      <c r="LFK35" s="292"/>
      <c r="LFL35" s="292"/>
      <c r="LFM35" s="292"/>
      <c r="LFN35" s="292"/>
      <c r="LFO35" s="292"/>
      <c r="LFP35" s="292"/>
      <c r="LFQ35" s="292"/>
      <c r="LFR35" s="292"/>
      <c r="LFS35" s="292"/>
      <c r="LFT35" s="292"/>
      <c r="LFU35" s="292"/>
      <c r="LFV35" s="292"/>
      <c r="LFW35" s="292"/>
      <c r="LFX35" s="292"/>
      <c r="LFY35" s="292"/>
      <c r="LFZ35" s="292"/>
      <c r="LGA35" s="292"/>
      <c r="LGB35" s="292"/>
      <c r="LGC35" s="292"/>
      <c r="LGD35" s="292"/>
      <c r="LGE35" s="292"/>
      <c r="LGF35" s="292"/>
      <c r="LGG35" s="292"/>
      <c r="LGH35" s="292"/>
      <c r="LGI35" s="292"/>
      <c r="LGJ35" s="292"/>
      <c r="LGK35" s="292"/>
      <c r="LGL35" s="292"/>
      <c r="LGM35" s="292"/>
      <c r="LGN35" s="292"/>
      <c r="LGO35" s="292"/>
      <c r="LGP35" s="292"/>
      <c r="LGQ35" s="292"/>
      <c r="LGR35" s="292"/>
      <c r="LGS35" s="292"/>
      <c r="LGT35" s="292"/>
      <c r="LGU35" s="292"/>
      <c r="LGV35" s="292"/>
      <c r="LGW35" s="292"/>
      <c r="LGX35" s="292"/>
      <c r="LGY35" s="292"/>
      <c r="LGZ35" s="292"/>
      <c r="LHA35" s="292"/>
      <c r="LHB35" s="292"/>
      <c r="LHC35" s="292"/>
      <c r="LHD35" s="292"/>
      <c r="LHE35" s="292"/>
      <c r="LHF35" s="292"/>
      <c r="LHG35" s="292"/>
      <c r="LHH35" s="292"/>
      <c r="LHI35" s="292"/>
      <c r="LHJ35" s="292"/>
      <c r="LHK35" s="292"/>
      <c r="LHL35" s="292"/>
      <c r="LHM35" s="292"/>
      <c r="LHN35" s="292"/>
      <c r="LHO35" s="292"/>
      <c r="LHP35" s="292"/>
      <c r="LHQ35" s="292"/>
      <c r="LHR35" s="292"/>
      <c r="LHS35" s="292"/>
      <c r="LHT35" s="292"/>
      <c r="LHU35" s="292"/>
      <c r="LHV35" s="292"/>
      <c r="LHW35" s="292"/>
      <c r="LHX35" s="292"/>
      <c r="LHY35" s="292"/>
      <c r="LHZ35" s="292"/>
      <c r="LIA35" s="292"/>
      <c r="LIB35" s="292"/>
      <c r="LIC35" s="292"/>
      <c r="LID35" s="292"/>
      <c r="LIE35" s="292"/>
      <c r="LIF35" s="292"/>
      <c r="LIG35" s="292"/>
      <c r="LIH35" s="292"/>
      <c r="LII35" s="292"/>
      <c r="LIJ35" s="292"/>
      <c r="LIK35" s="292"/>
      <c r="LIL35" s="292"/>
      <c r="LIM35" s="292"/>
      <c r="LIN35" s="292"/>
      <c r="LIO35" s="292"/>
      <c r="LIP35" s="292"/>
      <c r="LIQ35" s="292"/>
      <c r="LIR35" s="292"/>
      <c r="LIS35" s="292"/>
      <c r="LIT35" s="292"/>
      <c r="LIU35" s="292"/>
      <c r="LIV35" s="292"/>
      <c r="LIW35" s="292"/>
      <c r="LIX35" s="292"/>
      <c r="LIY35" s="292"/>
      <c r="LIZ35" s="292"/>
      <c r="LJA35" s="292"/>
      <c r="LJB35" s="292"/>
      <c r="LJC35" s="292"/>
      <c r="LJD35" s="292"/>
      <c r="LJE35" s="292"/>
      <c r="LJF35" s="292"/>
      <c r="LJG35" s="292"/>
      <c r="LJH35" s="292"/>
      <c r="LJI35" s="292"/>
      <c r="LJJ35" s="292"/>
      <c r="LJK35" s="292"/>
      <c r="LJL35" s="292"/>
      <c r="LJM35" s="292"/>
      <c r="LJN35" s="292"/>
      <c r="LJO35" s="292"/>
      <c r="LJP35" s="292"/>
      <c r="LJQ35" s="292"/>
      <c r="LJR35" s="292"/>
      <c r="LJS35" s="292"/>
      <c r="LJT35" s="292"/>
      <c r="LJU35" s="292"/>
      <c r="LJV35" s="292"/>
      <c r="LJW35" s="292"/>
      <c r="LJX35" s="292"/>
      <c r="LJY35" s="292"/>
      <c r="LJZ35" s="292"/>
      <c r="LKA35" s="292"/>
      <c r="LKB35" s="292"/>
      <c r="LKC35" s="292"/>
      <c r="LKD35" s="292"/>
      <c r="LKE35" s="292"/>
      <c r="LKF35" s="292"/>
      <c r="LKG35" s="292"/>
      <c r="LKH35" s="292"/>
      <c r="LKI35" s="292"/>
      <c r="LKJ35" s="292"/>
      <c r="LKK35" s="292"/>
      <c r="LKL35" s="292"/>
      <c r="LKM35" s="292"/>
      <c r="LKN35" s="292"/>
      <c r="LKO35" s="292"/>
      <c r="LKP35" s="292"/>
      <c r="LKQ35" s="292"/>
      <c r="LKR35" s="292"/>
      <c r="LKS35" s="292"/>
      <c r="LKT35" s="292"/>
      <c r="LKU35" s="292"/>
      <c r="LKV35" s="292"/>
      <c r="LKW35" s="292"/>
      <c r="LKX35" s="292"/>
      <c r="LKY35" s="292"/>
      <c r="LKZ35" s="292"/>
      <c r="LLA35" s="292"/>
      <c r="LLB35" s="292"/>
      <c r="LLC35" s="292"/>
      <c r="LLD35" s="292"/>
      <c r="LLE35" s="292"/>
      <c r="LLF35" s="292"/>
      <c r="LLG35" s="292"/>
      <c r="LLH35" s="292"/>
      <c r="LLI35" s="292"/>
      <c r="LLJ35" s="292"/>
      <c r="LLK35" s="292"/>
      <c r="LLL35" s="292"/>
      <c r="LLM35" s="292"/>
      <c r="LLN35" s="292"/>
      <c r="LLO35" s="292"/>
      <c r="LLP35" s="292"/>
      <c r="LLQ35" s="292"/>
      <c r="LLR35" s="292"/>
      <c r="LLS35" s="292"/>
      <c r="LLT35" s="292"/>
      <c r="LLU35" s="292"/>
      <c r="LLV35" s="292"/>
      <c r="LLW35" s="292"/>
      <c r="LLX35" s="292"/>
      <c r="LLY35" s="292"/>
      <c r="LLZ35" s="292"/>
      <c r="LMA35" s="292"/>
      <c r="LMB35" s="292"/>
      <c r="LMC35" s="292"/>
      <c r="LMD35" s="292"/>
      <c r="LME35" s="292"/>
      <c r="LMF35" s="292"/>
      <c r="LMG35" s="292"/>
      <c r="LMH35" s="292"/>
      <c r="LMI35" s="292"/>
      <c r="LMJ35" s="292"/>
      <c r="LMK35" s="292"/>
      <c r="LML35" s="292"/>
      <c r="LMM35" s="292"/>
      <c r="LMN35" s="292"/>
      <c r="LMO35" s="292"/>
      <c r="LMP35" s="292"/>
      <c r="LMQ35" s="292"/>
      <c r="LMR35" s="292"/>
      <c r="LMS35" s="292"/>
      <c r="LMT35" s="292"/>
      <c r="LMU35" s="292"/>
      <c r="LMV35" s="292"/>
      <c r="LMW35" s="292"/>
      <c r="LMX35" s="292"/>
      <c r="LMY35" s="292"/>
      <c r="LMZ35" s="292"/>
      <c r="LNA35" s="292"/>
      <c r="LNB35" s="292"/>
      <c r="LNC35" s="292"/>
      <c r="LND35" s="292"/>
      <c r="LNE35" s="292"/>
      <c r="LNF35" s="292"/>
      <c r="LNG35" s="292"/>
      <c r="LNH35" s="292"/>
      <c r="LNI35" s="292"/>
      <c r="LNJ35" s="292"/>
      <c r="LNK35" s="292"/>
      <c r="LNL35" s="292"/>
      <c r="LNM35" s="292"/>
      <c r="LNN35" s="292"/>
      <c r="LNO35" s="292"/>
      <c r="LNP35" s="292"/>
      <c r="LNQ35" s="292"/>
      <c r="LNR35" s="292"/>
      <c r="LNS35" s="292"/>
      <c r="LNT35" s="292"/>
      <c r="LNU35" s="292"/>
      <c r="LNV35" s="292"/>
      <c r="LNW35" s="292"/>
      <c r="LNX35" s="292"/>
      <c r="LNY35" s="292"/>
      <c r="LNZ35" s="292"/>
      <c r="LOA35" s="292"/>
      <c r="LOB35" s="292"/>
      <c r="LOC35" s="292"/>
      <c r="LOD35" s="292"/>
      <c r="LOE35" s="292"/>
      <c r="LOF35" s="292"/>
      <c r="LOG35" s="292"/>
      <c r="LOH35" s="292"/>
      <c r="LOI35" s="292"/>
      <c r="LOJ35" s="292"/>
      <c r="LOK35" s="292"/>
      <c r="LOL35" s="292"/>
      <c r="LOM35" s="292"/>
      <c r="LON35" s="292"/>
      <c r="LOO35" s="292"/>
      <c r="LOP35" s="292"/>
      <c r="LOQ35" s="292"/>
      <c r="LOR35" s="292"/>
      <c r="LOS35" s="292"/>
      <c r="LOT35" s="292"/>
      <c r="LOU35" s="292"/>
      <c r="LOV35" s="292"/>
      <c r="LOW35" s="292"/>
      <c r="LOX35" s="292"/>
      <c r="LOY35" s="292"/>
      <c r="LOZ35" s="292"/>
      <c r="LPA35" s="292"/>
      <c r="LPB35" s="292"/>
      <c r="LPC35" s="292"/>
      <c r="LPD35" s="292"/>
      <c r="LPE35" s="292"/>
      <c r="LPF35" s="292"/>
      <c r="LPG35" s="292"/>
      <c r="LPH35" s="292"/>
      <c r="LPI35" s="292"/>
      <c r="LPJ35" s="292"/>
      <c r="LPK35" s="292"/>
      <c r="LPL35" s="292"/>
      <c r="LPM35" s="292"/>
      <c r="LPN35" s="292"/>
      <c r="LPO35" s="292"/>
      <c r="LPP35" s="292"/>
      <c r="LPQ35" s="292"/>
      <c r="LPR35" s="292"/>
      <c r="LPS35" s="292"/>
      <c r="LPT35" s="292"/>
      <c r="LPU35" s="292"/>
      <c r="LPV35" s="292"/>
      <c r="LPW35" s="292"/>
      <c r="LPX35" s="292"/>
      <c r="LPY35" s="292"/>
      <c r="LPZ35" s="292"/>
      <c r="LQA35" s="292"/>
      <c r="LQB35" s="292"/>
      <c r="LQC35" s="292"/>
      <c r="LQD35" s="292"/>
      <c r="LQE35" s="292"/>
      <c r="LQF35" s="292"/>
      <c r="LQG35" s="292"/>
      <c r="LQH35" s="292"/>
      <c r="LQI35" s="292"/>
      <c r="LQJ35" s="292"/>
      <c r="LQK35" s="292"/>
      <c r="LQL35" s="292"/>
      <c r="LQM35" s="292"/>
      <c r="LQN35" s="292"/>
      <c r="LQO35" s="292"/>
      <c r="LQP35" s="292"/>
      <c r="LQQ35" s="292"/>
      <c r="LQR35" s="292"/>
      <c r="LQS35" s="292"/>
      <c r="LQT35" s="292"/>
      <c r="LQU35" s="292"/>
      <c r="LQV35" s="292"/>
      <c r="LQW35" s="292"/>
      <c r="LQX35" s="292"/>
      <c r="LQY35" s="292"/>
      <c r="LQZ35" s="292"/>
      <c r="LRA35" s="292"/>
      <c r="LRB35" s="292"/>
      <c r="LRC35" s="292"/>
      <c r="LRD35" s="292"/>
      <c r="LRE35" s="292"/>
      <c r="LRF35" s="292"/>
      <c r="LRG35" s="292"/>
      <c r="LRH35" s="292"/>
      <c r="LRI35" s="292"/>
      <c r="LRJ35" s="292"/>
      <c r="LRK35" s="292"/>
      <c r="LRL35" s="292"/>
      <c r="LRM35" s="292"/>
      <c r="LRN35" s="292"/>
      <c r="LRO35" s="292"/>
      <c r="LRP35" s="292"/>
      <c r="LRQ35" s="292"/>
      <c r="LRR35" s="292"/>
      <c r="LRS35" s="292"/>
      <c r="LRT35" s="292"/>
      <c r="LRU35" s="292"/>
      <c r="LRV35" s="292"/>
      <c r="LRW35" s="292"/>
      <c r="LRX35" s="292"/>
      <c r="LRY35" s="292"/>
      <c r="LRZ35" s="292"/>
      <c r="LSA35" s="292"/>
      <c r="LSB35" s="292"/>
      <c r="LSC35" s="292"/>
      <c r="LSD35" s="292"/>
      <c r="LSE35" s="292"/>
      <c r="LSF35" s="292"/>
      <c r="LSG35" s="292"/>
      <c r="LSH35" s="292"/>
      <c r="LSI35" s="292"/>
      <c r="LSJ35" s="292"/>
      <c r="LSK35" s="292"/>
      <c r="LSL35" s="292"/>
      <c r="LSM35" s="292"/>
      <c r="LSN35" s="292"/>
      <c r="LSO35" s="292"/>
      <c r="LSP35" s="292"/>
      <c r="LSQ35" s="292"/>
      <c r="LSR35" s="292"/>
      <c r="LSS35" s="292"/>
      <c r="LST35" s="292"/>
      <c r="LSU35" s="292"/>
      <c r="LSV35" s="292"/>
      <c r="LSW35" s="292"/>
      <c r="LSX35" s="292"/>
      <c r="LSY35" s="292"/>
      <c r="LSZ35" s="292"/>
      <c r="LTA35" s="292"/>
      <c r="LTB35" s="292"/>
      <c r="LTC35" s="292"/>
      <c r="LTD35" s="292"/>
      <c r="LTE35" s="292"/>
      <c r="LTF35" s="292"/>
      <c r="LTG35" s="292"/>
      <c r="LTH35" s="292"/>
      <c r="LTI35" s="292"/>
      <c r="LTJ35" s="292"/>
      <c r="LTK35" s="292"/>
      <c r="LTL35" s="292"/>
      <c r="LTM35" s="292"/>
      <c r="LTN35" s="292"/>
      <c r="LTO35" s="292"/>
      <c r="LTP35" s="292"/>
      <c r="LTQ35" s="292"/>
      <c r="LTR35" s="292"/>
      <c r="LTS35" s="292"/>
      <c r="LTT35" s="292"/>
      <c r="LTU35" s="292"/>
      <c r="LTV35" s="292"/>
      <c r="LTW35" s="292"/>
      <c r="LTX35" s="292"/>
      <c r="LTY35" s="292"/>
      <c r="LTZ35" s="292"/>
      <c r="LUA35" s="292"/>
      <c r="LUB35" s="292"/>
      <c r="LUC35" s="292"/>
      <c r="LUD35" s="292"/>
      <c r="LUE35" s="292"/>
      <c r="LUF35" s="292"/>
      <c r="LUG35" s="292"/>
      <c r="LUH35" s="292"/>
      <c r="LUI35" s="292"/>
      <c r="LUJ35" s="292"/>
      <c r="LUK35" s="292"/>
      <c r="LUL35" s="292"/>
      <c r="LUM35" s="292"/>
      <c r="LUN35" s="292"/>
      <c r="LUO35" s="292"/>
      <c r="LUP35" s="292"/>
      <c r="LUQ35" s="292"/>
      <c r="LUR35" s="292"/>
      <c r="LUS35" s="292"/>
      <c r="LUT35" s="292"/>
      <c r="LUU35" s="292"/>
      <c r="LUV35" s="292"/>
      <c r="LUW35" s="292"/>
      <c r="LUX35" s="292"/>
      <c r="LUY35" s="292"/>
      <c r="LUZ35" s="292"/>
      <c r="LVA35" s="292"/>
      <c r="LVB35" s="292"/>
      <c r="LVC35" s="292"/>
      <c r="LVD35" s="292"/>
      <c r="LVE35" s="292"/>
      <c r="LVF35" s="292"/>
      <c r="LVG35" s="292"/>
      <c r="LVH35" s="292"/>
      <c r="LVI35" s="292"/>
      <c r="LVJ35" s="292"/>
      <c r="LVK35" s="292"/>
      <c r="LVL35" s="292"/>
      <c r="LVM35" s="292"/>
      <c r="LVN35" s="292"/>
      <c r="LVO35" s="292"/>
      <c r="LVP35" s="292"/>
      <c r="LVQ35" s="292"/>
      <c r="LVR35" s="292"/>
      <c r="LVS35" s="292"/>
      <c r="LVT35" s="292"/>
      <c r="LVU35" s="292"/>
      <c r="LVV35" s="292"/>
      <c r="LVW35" s="292"/>
      <c r="LVX35" s="292"/>
      <c r="LVY35" s="292"/>
      <c r="LVZ35" s="292"/>
      <c r="LWA35" s="292"/>
      <c r="LWB35" s="292"/>
      <c r="LWC35" s="292"/>
      <c r="LWD35" s="292"/>
      <c r="LWE35" s="292"/>
      <c r="LWF35" s="292"/>
      <c r="LWG35" s="292"/>
      <c r="LWH35" s="292"/>
      <c r="LWI35" s="292"/>
      <c r="LWJ35" s="292"/>
      <c r="LWK35" s="292"/>
      <c r="LWL35" s="292"/>
      <c r="LWM35" s="292"/>
      <c r="LWN35" s="292"/>
      <c r="LWO35" s="292"/>
      <c r="LWP35" s="292"/>
      <c r="LWQ35" s="292"/>
      <c r="LWR35" s="292"/>
      <c r="LWS35" s="292"/>
      <c r="LWT35" s="292"/>
      <c r="LWU35" s="292"/>
      <c r="LWV35" s="292"/>
      <c r="LWW35" s="292"/>
      <c r="LWX35" s="292"/>
      <c r="LWY35" s="292"/>
      <c r="LWZ35" s="292"/>
      <c r="LXA35" s="292"/>
      <c r="LXB35" s="292"/>
      <c r="LXC35" s="292"/>
      <c r="LXD35" s="292"/>
      <c r="LXE35" s="292"/>
      <c r="LXF35" s="292"/>
      <c r="LXG35" s="292"/>
      <c r="LXH35" s="292"/>
      <c r="LXI35" s="292"/>
      <c r="LXJ35" s="292"/>
      <c r="LXK35" s="292"/>
      <c r="LXL35" s="292"/>
      <c r="LXM35" s="292"/>
      <c r="LXN35" s="292"/>
      <c r="LXO35" s="292"/>
      <c r="LXP35" s="292"/>
      <c r="LXQ35" s="292"/>
      <c r="LXR35" s="292"/>
      <c r="LXS35" s="292"/>
      <c r="LXT35" s="292"/>
      <c r="LXU35" s="292"/>
      <c r="LXV35" s="292"/>
      <c r="LXW35" s="292"/>
      <c r="LXX35" s="292"/>
      <c r="LXY35" s="292"/>
      <c r="LXZ35" s="292"/>
      <c r="LYA35" s="292"/>
      <c r="LYB35" s="292"/>
      <c r="LYC35" s="292"/>
      <c r="LYD35" s="292"/>
      <c r="LYE35" s="292"/>
      <c r="LYF35" s="292"/>
      <c r="LYG35" s="292"/>
      <c r="LYH35" s="292"/>
      <c r="LYI35" s="292"/>
      <c r="LYJ35" s="292"/>
      <c r="LYK35" s="292"/>
      <c r="LYL35" s="292"/>
      <c r="LYM35" s="292"/>
      <c r="LYN35" s="292"/>
      <c r="LYO35" s="292"/>
      <c r="LYP35" s="292"/>
      <c r="LYQ35" s="292"/>
      <c r="LYR35" s="292"/>
      <c r="LYS35" s="292"/>
      <c r="LYT35" s="292"/>
      <c r="LYU35" s="292"/>
      <c r="LYV35" s="292"/>
      <c r="LYW35" s="292"/>
      <c r="LYX35" s="292"/>
      <c r="LYY35" s="292"/>
      <c r="LYZ35" s="292"/>
      <c r="LZA35" s="292"/>
      <c r="LZB35" s="292"/>
      <c r="LZC35" s="292"/>
      <c r="LZD35" s="292"/>
      <c r="LZE35" s="292"/>
      <c r="LZF35" s="292"/>
      <c r="LZG35" s="292"/>
      <c r="LZH35" s="292"/>
      <c r="LZI35" s="292"/>
      <c r="LZJ35" s="292"/>
      <c r="LZK35" s="292"/>
      <c r="LZL35" s="292"/>
      <c r="LZM35" s="292"/>
      <c r="LZN35" s="292"/>
      <c r="LZO35" s="292"/>
      <c r="LZP35" s="292"/>
      <c r="LZQ35" s="292"/>
      <c r="LZR35" s="292"/>
      <c r="LZS35" s="292"/>
      <c r="LZT35" s="292"/>
      <c r="LZU35" s="292"/>
      <c r="LZV35" s="292"/>
      <c r="LZW35" s="292"/>
      <c r="LZX35" s="292"/>
      <c r="LZY35" s="292"/>
      <c r="LZZ35" s="292"/>
      <c r="MAA35" s="292"/>
      <c r="MAB35" s="292"/>
      <c r="MAC35" s="292"/>
      <c r="MAD35" s="292"/>
      <c r="MAE35" s="292"/>
      <c r="MAF35" s="292"/>
      <c r="MAG35" s="292"/>
      <c r="MAH35" s="292"/>
      <c r="MAI35" s="292"/>
      <c r="MAJ35" s="292"/>
      <c r="MAK35" s="292"/>
      <c r="MAL35" s="292"/>
      <c r="MAM35" s="292"/>
      <c r="MAN35" s="292"/>
      <c r="MAO35" s="292"/>
      <c r="MAP35" s="292"/>
      <c r="MAQ35" s="292"/>
      <c r="MAR35" s="292"/>
      <c r="MAS35" s="292"/>
      <c r="MAT35" s="292"/>
      <c r="MAU35" s="292"/>
      <c r="MAV35" s="292"/>
      <c r="MAW35" s="292"/>
      <c r="MAX35" s="292"/>
      <c r="MAY35" s="292"/>
      <c r="MAZ35" s="292"/>
      <c r="MBA35" s="292"/>
      <c r="MBB35" s="292"/>
      <c r="MBC35" s="292"/>
      <c r="MBD35" s="292"/>
      <c r="MBE35" s="292"/>
      <c r="MBF35" s="292"/>
      <c r="MBG35" s="292"/>
      <c r="MBH35" s="292"/>
      <c r="MBI35" s="292"/>
      <c r="MBJ35" s="292"/>
      <c r="MBK35" s="292"/>
      <c r="MBL35" s="292"/>
      <c r="MBM35" s="292"/>
      <c r="MBN35" s="292"/>
      <c r="MBO35" s="292"/>
      <c r="MBP35" s="292"/>
      <c r="MBQ35" s="292"/>
      <c r="MBR35" s="292"/>
      <c r="MBS35" s="292"/>
      <c r="MBT35" s="292"/>
      <c r="MBU35" s="292"/>
      <c r="MBV35" s="292"/>
      <c r="MBW35" s="292"/>
      <c r="MBX35" s="292"/>
      <c r="MBY35" s="292"/>
      <c r="MBZ35" s="292"/>
      <c r="MCA35" s="292"/>
      <c r="MCB35" s="292"/>
      <c r="MCC35" s="292"/>
      <c r="MCD35" s="292"/>
      <c r="MCE35" s="292"/>
      <c r="MCF35" s="292"/>
      <c r="MCG35" s="292"/>
      <c r="MCH35" s="292"/>
      <c r="MCI35" s="292"/>
      <c r="MCJ35" s="292"/>
      <c r="MCK35" s="292"/>
      <c r="MCL35" s="292"/>
      <c r="MCM35" s="292"/>
      <c r="MCN35" s="292"/>
      <c r="MCO35" s="292"/>
      <c r="MCP35" s="292"/>
      <c r="MCQ35" s="292"/>
      <c r="MCR35" s="292"/>
      <c r="MCS35" s="292"/>
      <c r="MCT35" s="292"/>
      <c r="MCU35" s="292"/>
      <c r="MCV35" s="292"/>
      <c r="MCW35" s="292"/>
      <c r="MCX35" s="292"/>
      <c r="MCY35" s="292"/>
      <c r="MCZ35" s="292"/>
      <c r="MDA35" s="292"/>
      <c r="MDB35" s="292"/>
      <c r="MDC35" s="292"/>
      <c r="MDD35" s="292"/>
      <c r="MDE35" s="292"/>
      <c r="MDF35" s="292"/>
      <c r="MDG35" s="292"/>
      <c r="MDH35" s="292"/>
      <c r="MDI35" s="292"/>
      <c r="MDJ35" s="292"/>
      <c r="MDK35" s="292"/>
      <c r="MDL35" s="292"/>
      <c r="MDM35" s="292"/>
      <c r="MDN35" s="292"/>
      <c r="MDO35" s="292"/>
      <c r="MDP35" s="292"/>
      <c r="MDQ35" s="292"/>
      <c r="MDR35" s="292"/>
      <c r="MDS35" s="292"/>
      <c r="MDT35" s="292"/>
      <c r="MDU35" s="292"/>
      <c r="MDV35" s="292"/>
      <c r="MDW35" s="292"/>
      <c r="MDX35" s="292"/>
      <c r="MDY35" s="292"/>
      <c r="MDZ35" s="292"/>
      <c r="MEA35" s="292"/>
      <c r="MEB35" s="292"/>
      <c r="MEC35" s="292"/>
      <c r="MED35" s="292"/>
      <c r="MEE35" s="292"/>
      <c r="MEF35" s="292"/>
      <c r="MEG35" s="292"/>
      <c r="MEH35" s="292"/>
      <c r="MEI35" s="292"/>
      <c r="MEJ35" s="292"/>
      <c r="MEK35" s="292"/>
      <c r="MEL35" s="292"/>
      <c r="MEM35" s="292"/>
      <c r="MEN35" s="292"/>
      <c r="MEO35" s="292"/>
      <c r="MEP35" s="292"/>
      <c r="MEQ35" s="292"/>
      <c r="MER35" s="292"/>
      <c r="MES35" s="292"/>
      <c r="MET35" s="292"/>
      <c r="MEU35" s="292"/>
      <c r="MEV35" s="292"/>
      <c r="MEW35" s="292"/>
      <c r="MEX35" s="292"/>
      <c r="MEY35" s="292"/>
      <c r="MEZ35" s="292"/>
      <c r="MFA35" s="292"/>
      <c r="MFB35" s="292"/>
      <c r="MFC35" s="292"/>
      <c r="MFD35" s="292"/>
      <c r="MFE35" s="292"/>
      <c r="MFF35" s="292"/>
      <c r="MFG35" s="292"/>
      <c r="MFH35" s="292"/>
      <c r="MFI35" s="292"/>
      <c r="MFJ35" s="292"/>
      <c r="MFK35" s="292"/>
      <c r="MFL35" s="292"/>
      <c r="MFM35" s="292"/>
      <c r="MFN35" s="292"/>
      <c r="MFO35" s="292"/>
      <c r="MFP35" s="292"/>
      <c r="MFQ35" s="292"/>
      <c r="MFR35" s="292"/>
      <c r="MFS35" s="292"/>
      <c r="MFT35" s="292"/>
      <c r="MFU35" s="292"/>
      <c r="MFV35" s="292"/>
      <c r="MFW35" s="292"/>
      <c r="MFX35" s="292"/>
      <c r="MFY35" s="292"/>
      <c r="MFZ35" s="292"/>
      <c r="MGA35" s="292"/>
      <c r="MGB35" s="292"/>
      <c r="MGC35" s="292"/>
      <c r="MGD35" s="292"/>
      <c r="MGE35" s="292"/>
      <c r="MGF35" s="292"/>
      <c r="MGG35" s="292"/>
      <c r="MGH35" s="292"/>
      <c r="MGI35" s="292"/>
      <c r="MGJ35" s="292"/>
      <c r="MGK35" s="292"/>
      <c r="MGL35" s="292"/>
      <c r="MGM35" s="292"/>
      <c r="MGN35" s="292"/>
      <c r="MGO35" s="292"/>
      <c r="MGP35" s="292"/>
      <c r="MGQ35" s="292"/>
      <c r="MGR35" s="292"/>
      <c r="MGS35" s="292"/>
      <c r="MGT35" s="292"/>
      <c r="MGU35" s="292"/>
      <c r="MGV35" s="292"/>
      <c r="MGW35" s="292"/>
      <c r="MGX35" s="292"/>
      <c r="MGY35" s="292"/>
      <c r="MGZ35" s="292"/>
      <c r="MHA35" s="292"/>
      <c r="MHB35" s="292"/>
      <c r="MHC35" s="292"/>
      <c r="MHD35" s="292"/>
      <c r="MHE35" s="292"/>
      <c r="MHF35" s="292"/>
      <c r="MHG35" s="292"/>
      <c r="MHH35" s="292"/>
      <c r="MHI35" s="292"/>
      <c r="MHJ35" s="292"/>
      <c r="MHK35" s="292"/>
      <c r="MHL35" s="292"/>
      <c r="MHM35" s="292"/>
      <c r="MHN35" s="292"/>
      <c r="MHO35" s="292"/>
      <c r="MHP35" s="292"/>
      <c r="MHQ35" s="292"/>
      <c r="MHR35" s="292"/>
      <c r="MHS35" s="292"/>
      <c r="MHT35" s="292"/>
      <c r="MHU35" s="292"/>
      <c r="MHV35" s="292"/>
      <c r="MHW35" s="292"/>
      <c r="MHX35" s="292"/>
      <c r="MHY35" s="292"/>
      <c r="MHZ35" s="292"/>
      <c r="MIA35" s="292"/>
      <c r="MIB35" s="292"/>
      <c r="MIC35" s="292"/>
      <c r="MID35" s="292"/>
      <c r="MIE35" s="292"/>
      <c r="MIF35" s="292"/>
      <c r="MIG35" s="292"/>
      <c r="MIH35" s="292"/>
      <c r="MII35" s="292"/>
      <c r="MIJ35" s="292"/>
      <c r="MIK35" s="292"/>
      <c r="MIL35" s="292"/>
      <c r="MIM35" s="292"/>
      <c r="MIN35" s="292"/>
      <c r="MIO35" s="292"/>
      <c r="MIP35" s="292"/>
      <c r="MIQ35" s="292"/>
      <c r="MIR35" s="292"/>
      <c r="MIS35" s="292"/>
      <c r="MIT35" s="292"/>
      <c r="MIU35" s="292"/>
      <c r="MIV35" s="292"/>
      <c r="MIW35" s="292"/>
      <c r="MIX35" s="292"/>
      <c r="MIY35" s="292"/>
      <c r="MIZ35" s="292"/>
      <c r="MJA35" s="292"/>
      <c r="MJB35" s="292"/>
      <c r="MJC35" s="292"/>
      <c r="MJD35" s="292"/>
      <c r="MJE35" s="292"/>
      <c r="MJF35" s="292"/>
      <c r="MJG35" s="292"/>
      <c r="MJH35" s="292"/>
      <c r="MJI35" s="292"/>
      <c r="MJJ35" s="292"/>
      <c r="MJK35" s="292"/>
      <c r="MJL35" s="292"/>
      <c r="MJM35" s="292"/>
      <c r="MJN35" s="292"/>
      <c r="MJO35" s="292"/>
      <c r="MJP35" s="292"/>
      <c r="MJQ35" s="292"/>
      <c r="MJR35" s="292"/>
      <c r="MJS35" s="292"/>
      <c r="MJT35" s="292"/>
      <c r="MJU35" s="292"/>
      <c r="MJV35" s="292"/>
      <c r="MJW35" s="292"/>
      <c r="MJX35" s="292"/>
      <c r="MJY35" s="292"/>
      <c r="MJZ35" s="292"/>
      <c r="MKA35" s="292"/>
      <c r="MKB35" s="292"/>
      <c r="MKC35" s="292"/>
      <c r="MKD35" s="292"/>
      <c r="MKE35" s="292"/>
      <c r="MKF35" s="292"/>
      <c r="MKG35" s="292"/>
      <c r="MKH35" s="292"/>
      <c r="MKI35" s="292"/>
      <c r="MKJ35" s="292"/>
      <c r="MKK35" s="292"/>
      <c r="MKL35" s="292"/>
      <c r="MKM35" s="292"/>
      <c r="MKN35" s="292"/>
      <c r="MKO35" s="292"/>
      <c r="MKP35" s="292"/>
      <c r="MKQ35" s="292"/>
      <c r="MKR35" s="292"/>
      <c r="MKS35" s="292"/>
      <c r="MKT35" s="292"/>
      <c r="MKU35" s="292"/>
      <c r="MKV35" s="292"/>
      <c r="MKW35" s="292"/>
      <c r="MKX35" s="292"/>
      <c r="MKY35" s="292"/>
      <c r="MKZ35" s="292"/>
      <c r="MLA35" s="292"/>
      <c r="MLB35" s="292"/>
      <c r="MLC35" s="292"/>
      <c r="MLD35" s="292"/>
      <c r="MLE35" s="292"/>
      <c r="MLF35" s="292"/>
      <c r="MLG35" s="292"/>
      <c r="MLH35" s="292"/>
      <c r="MLI35" s="292"/>
      <c r="MLJ35" s="292"/>
      <c r="MLK35" s="292"/>
      <c r="MLL35" s="292"/>
      <c r="MLM35" s="292"/>
      <c r="MLN35" s="292"/>
      <c r="MLO35" s="292"/>
      <c r="MLP35" s="292"/>
      <c r="MLQ35" s="292"/>
      <c r="MLR35" s="292"/>
      <c r="MLS35" s="292"/>
      <c r="MLT35" s="292"/>
      <c r="MLU35" s="292"/>
      <c r="MLV35" s="292"/>
      <c r="MLW35" s="292"/>
      <c r="MLX35" s="292"/>
      <c r="MLY35" s="292"/>
      <c r="MLZ35" s="292"/>
      <c r="MMA35" s="292"/>
      <c r="MMB35" s="292"/>
      <c r="MMC35" s="292"/>
      <c r="MMD35" s="292"/>
      <c r="MME35" s="292"/>
      <c r="MMF35" s="292"/>
      <c r="MMG35" s="292"/>
      <c r="MMH35" s="292"/>
      <c r="MMI35" s="292"/>
      <c r="MMJ35" s="292"/>
      <c r="MMK35" s="292"/>
      <c r="MML35" s="292"/>
      <c r="MMM35" s="292"/>
      <c r="MMN35" s="292"/>
      <c r="MMO35" s="292"/>
      <c r="MMP35" s="292"/>
      <c r="MMQ35" s="292"/>
      <c r="MMR35" s="292"/>
      <c r="MMS35" s="292"/>
      <c r="MMT35" s="292"/>
      <c r="MMU35" s="292"/>
      <c r="MMV35" s="292"/>
      <c r="MMW35" s="292"/>
      <c r="MMX35" s="292"/>
      <c r="MMY35" s="292"/>
      <c r="MMZ35" s="292"/>
      <c r="MNA35" s="292"/>
      <c r="MNB35" s="292"/>
      <c r="MNC35" s="292"/>
      <c r="MND35" s="292"/>
      <c r="MNE35" s="292"/>
      <c r="MNF35" s="292"/>
      <c r="MNG35" s="292"/>
      <c r="MNH35" s="292"/>
      <c r="MNI35" s="292"/>
      <c r="MNJ35" s="292"/>
      <c r="MNK35" s="292"/>
      <c r="MNL35" s="292"/>
      <c r="MNM35" s="292"/>
      <c r="MNN35" s="292"/>
      <c r="MNO35" s="292"/>
      <c r="MNP35" s="292"/>
      <c r="MNQ35" s="292"/>
      <c r="MNR35" s="292"/>
      <c r="MNS35" s="292"/>
      <c r="MNT35" s="292"/>
      <c r="MNU35" s="292"/>
      <c r="MNV35" s="292"/>
      <c r="MNW35" s="292"/>
      <c r="MNX35" s="292"/>
      <c r="MNY35" s="292"/>
      <c r="MNZ35" s="292"/>
      <c r="MOA35" s="292"/>
      <c r="MOB35" s="292"/>
      <c r="MOC35" s="292"/>
      <c r="MOD35" s="292"/>
      <c r="MOE35" s="292"/>
      <c r="MOF35" s="292"/>
      <c r="MOG35" s="292"/>
      <c r="MOH35" s="292"/>
      <c r="MOI35" s="292"/>
      <c r="MOJ35" s="292"/>
      <c r="MOK35" s="292"/>
      <c r="MOL35" s="292"/>
      <c r="MOM35" s="292"/>
      <c r="MON35" s="292"/>
      <c r="MOO35" s="292"/>
      <c r="MOP35" s="292"/>
      <c r="MOQ35" s="292"/>
      <c r="MOR35" s="292"/>
      <c r="MOS35" s="292"/>
      <c r="MOT35" s="292"/>
      <c r="MOU35" s="292"/>
      <c r="MOV35" s="292"/>
      <c r="MOW35" s="292"/>
      <c r="MOX35" s="292"/>
      <c r="MOY35" s="292"/>
      <c r="MOZ35" s="292"/>
      <c r="MPA35" s="292"/>
      <c r="MPB35" s="292"/>
      <c r="MPC35" s="292"/>
      <c r="MPD35" s="292"/>
      <c r="MPE35" s="292"/>
      <c r="MPF35" s="292"/>
      <c r="MPG35" s="292"/>
      <c r="MPH35" s="292"/>
      <c r="MPI35" s="292"/>
      <c r="MPJ35" s="292"/>
      <c r="MPK35" s="292"/>
      <c r="MPL35" s="292"/>
      <c r="MPM35" s="292"/>
      <c r="MPN35" s="292"/>
      <c r="MPO35" s="292"/>
      <c r="MPP35" s="292"/>
      <c r="MPQ35" s="292"/>
      <c r="MPR35" s="292"/>
      <c r="MPS35" s="292"/>
      <c r="MPT35" s="292"/>
      <c r="MPU35" s="292"/>
      <c r="MPV35" s="292"/>
      <c r="MPW35" s="292"/>
      <c r="MPX35" s="292"/>
      <c r="MPY35" s="292"/>
      <c r="MPZ35" s="292"/>
      <c r="MQA35" s="292"/>
      <c r="MQB35" s="292"/>
      <c r="MQC35" s="292"/>
      <c r="MQD35" s="292"/>
      <c r="MQE35" s="292"/>
      <c r="MQF35" s="292"/>
      <c r="MQG35" s="292"/>
      <c r="MQH35" s="292"/>
      <c r="MQI35" s="292"/>
      <c r="MQJ35" s="292"/>
      <c r="MQK35" s="292"/>
      <c r="MQL35" s="292"/>
      <c r="MQM35" s="292"/>
      <c r="MQN35" s="292"/>
      <c r="MQO35" s="292"/>
      <c r="MQP35" s="292"/>
      <c r="MQQ35" s="292"/>
      <c r="MQR35" s="292"/>
      <c r="MQS35" s="292"/>
      <c r="MQT35" s="292"/>
      <c r="MQU35" s="292"/>
      <c r="MQV35" s="292"/>
      <c r="MQW35" s="292"/>
      <c r="MQX35" s="292"/>
      <c r="MQY35" s="292"/>
      <c r="MQZ35" s="292"/>
      <c r="MRA35" s="292"/>
      <c r="MRB35" s="292"/>
      <c r="MRC35" s="292"/>
      <c r="MRD35" s="292"/>
      <c r="MRE35" s="292"/>
      <c r="MRF35" s="292"/>
      <c r="MRG35" s="292"/>
      <c r="MRH35" s="292"/>
      <c r="MRI35" s="292"/>
      <c r="MRJ35" s="292"/>
      <c r="MRK35" s="292"/>
      <c r="MRL35" s="292"/>
      <c r="MRM35" s="292"/>
      <c r="MRN35" s="292"/>
      <c r="MRO35" s="292"/>
      <c r="MRP35" s="292"/>
      <c r="MRQ35" s="292"/>
      <c r="MRR35" s="292"/>
      <c r="MRS35" s="292"/>
      <c r="MRT35" s="292"/>
      <c r="MRU35" s="292"/>
      <c r="MRV35" s="292"/>
      <c r="MRW35" s="292"/>
      <c r="MRX35" s="292"/>
      <c r="MRY35" s="292"/>
      <c r="MRZ35" s="292"/>
      <c r="MSA35" s="292"/>
      <c r="MSB35" s="292"/>
      <c r="MSC35" s="292"/>
      <c r="MSD35" s="292"/>
      <c r="MSE35" s="292"/>
      <c r="MSF35" s="292"/>
      <c r="MSG35" s="292"/>
      <c r="MSH35" s="292"/>
      <c r="MSI35" s="292"/>
      <c r="MSJ35" s="292"/>
      <c r="MSK35" s="292"/>
      <c r="MSL35" s="292"/>
      <c r="MSM35" s="292"/>
      <c r="MSN35" s="292"/>
      <c r="MSO35" s="292"/>
      <c r="MSP35" s="292"/>
      <c r="MSQ35" s="292"/>
      <c r="MSR35" s="292"/>
      <c r="MSS35" s="292"/>
      <c r="MST35" s="292"/>
      <c r="MSU35" s="292"/>
      <c r="MSV35" s="292"/>
      <c r="MSW35" s="292"/>
      <c r="MSX35" s="292"/>
      <c r="MSY35" s="292"/>
      <c r="MSZ35" s="292"/>
      <c r="MTA35" s="292"/>
      <c r="MTB35" s="292"/>
      <c r="MTC35" s="292"/>
      <c r="MTD35" s="292"/>
      <c r="MTE35" s="292"/>
      <c r="MTF35" s="292"/>
      <c r="MTG35" s="292"/>
      <c r="MTH35" s="292"/>
      <c r="MTI35" s="292"/>
      <c r="MTJ35" s="292"/>
      <c r="MTK35" s="292"/>
      <c r="MTL35" s="292"/>
      <c r="MTM35" s="292"/>
      <c r="MTN35" s="292"/>
      <c r="MTO35" s="292"/>
      <c r="MTP35" s="292"/>
      <c r="MTQ35" s="292"/>
      <c r="MTR35" s="292"/>
      <c r="MTS35" s="292"/>
      <c r="MTT35" s="292"/>
      <c r="MTU35" s="292"/>
      <c r="MTV35" s="292"/>
      <c r="MTW35" s="292"/>
      <c r="MTX35" s="292"/>
      <c r="MTY35" s="292"/>
      <c r="MTZ35" s="292"/>
      <c r="MUA35" s="292"/>
      <c r="MUB35" s="292"/>
      <c r="MUC35" s="292"/>
      <c r="MUD35" s="292"/>
      <c r="MUE35" s="292"/>
      <c r="MUF35" s="292"/>
      <c r="MUG35" s="292"/>
      <c r="MUH35" s="292"/>
      <c r="MUI35" s="292"/>
      <c r="MUJ35" s="292"/>
      <c r="MUK35" s="292"/>
      <c r="MUL35" s="292"/>
      <c r="MUM35" s="292"/>
      <c r="MUN35" s="292"/>
      <c r="MUO35" s="292"/>
      <c r="MUP35" s="292"/>
      <c r="MUQ35" s="292"/>
      <c r="MUR35" s="292"/>
      <c r="MUS35" s="292"/>
      <c r="MUT35" s="292"/>
      <c r="MUU35" s="292"/>
      <c r="MUV35" s="292"/>
      <c r="MUW35" s="292"/>
      <c r="MUX35" s="292"/>
      <c r="MUY35" s="292"/>
      <c r="MUZ35" s="292"/>
      <c r="MVA35" s="292"/>
      <c r="MVB35" s="292"/>
      <c r="MVC35" s="292"/>
      <c r="MVD35" s="292"/>
      <c r="MVE35" s="292"/>
      <c r="MVF35" s="292"/>
      <c r="MVG35" s="292"/>
      <c r="MVH35" s="292"/>
      <c r="MVI35" s="292"/>
      <c r="MVJ35" s="292"/>
      <c r="MVK35" s="292"/>
      <c r="MVL35" s="292"/>
      <c r="MVM35" s="292"/>
      <c r="MVN35" s="292"/>
      <c r="MVO35" s="292"/>
      <c r="MVP35" s="292"/>
      <c r="MVQ35" s="292"/>
      <c r="MVR35" s="292"/>
      <c r="MVS35" s="292"/>
      <c r="MVT35" s="292"/>
      <c r="MVU35" s="292"/>
      <c r="MVV35" s="292"/>
      <c r="MVW35" s="292"/>
      <c r="MVX35" s="292"/>
      <c r="MVY35" s="292"/>
      <c r="MVZ35" s="292"/>
      <c r="MWA35" s="292"/>
      <c r="MWB35" s="292"/>
      <c r="MWC35" s="292"/>
      <c r="MWD35" s="292"/>
      <c r="MWE35" s="292"/>
      <c r="MWF35" s="292"/>
      <c r="MWG35" s="292"/>
      <c r="MWH35" s="292"/>
      <c r="MWI35" s="292"/>
      <c r="MWJ35" s="292"/>
      <c r="MWK35" s="292"/>
      <c r="MWL35" s="292"/>
      <c r="MWM35" s="292"/>
      <c r="MWN35" s="292"/>
      <c r="MWO35" s="292"/>
      <c r="MWP35" s="292"/>
      <c r="MWQ35" s="292"/>
      <c r="MWR35" s="292"/>
      <c r="MWS35" s="292"/>
      <c r="MWT35" s="292"/>
      <c r="MWU35" s="292"/>
      <c r="MWV35" s="292"/>
      <c r="MWW35" s="292"/>
      <c r="MWX35" s="292"/>
      <c r="MWY35" s="292"/>
      <c r="MWZ35" s="292"/>
      <c r="MXA35" s="292"/>
      <c r="MXB35" s="292"/>
      <c r="MXC35" s="292"/>
      <c r="MXD35" s="292"/>
      <c r="MXE35" s="292"/>
      <c r="MXF35" s="292"/>
      <c r="MXG35" s="292"/>
      <c r="MXH35" s="292"/>
      <c r="MXI35" s="292"/>
      <c r="MXJ35" s="292"/>
      <c r="MXK35" s="292"/>
      <c r="MXL35" s="292"/>
      <c r="MXM35" s="292"/>
      <c r="MXN35" s="292"/>
      <c r="MXO35" s="292"/>
      <c r="MXP35" s="292"/>
      <c r="MXQ35" s="292"/>
      <c r="MXR35" s="292"/>
      <c r="MXS35" s="292"/>
      <c r="MXT35" s="292"/>
      <c r="MXU35" s="292"/>
      <c r="MXV35" s="292"/>
      <c r="MXW35" s="292"/>
      <c r="MXX35" s="292"/>
      <c r="MXY35" s="292"/>
      <c r="MXZ35" s="292"/>
      <c r="MYA35" s="292"/>
      <c r="MYB35" s="292"/>
      <c r="MYC35" s="292"/>
      <c r="MYD35" s="292"/>
      <c r="MYE35" s="292"/>
      <c r="MYF35" s="292"/>
      <c r="MYG35" s="292"/>
      <c r="MYH35" s="292"/>
      <c r="MYI35" s="292"/>
      <c r="MYJ35" s="292"/>
      <c r="MYK35" s="292"/>
      <c r="MYL35" s="292"/>
      <c r="MYM35" s="292"/>
      <c r="MYN35" s="292"/>
      <c r="MYO35" s="292"/>
      <c r="MYP35" s="292"/>
      <c r="MYQ35" s="292"/>
      <c r="MYR35" s="292"/>
      <c r="MYS35" s="292"/>
      <c r="MYT35" s="292"/>
      <c r="MYU35" s="292"/>
      <c r="MYV35" s="292"/>
      <c r="MYW35" s="292"/>
      <c r="MYX35" s="292"/>
      <c r="MYY35" s="292"/>
      <c r="MYZ35" s="292"/>
      <c r="MZA35" s="292"/>
      <c r="MZB35" s="292"/>
      <c r="MZC35" s="292"/>
      <c r="MZD35" s="292"/>
      <c r="MZE35" s="292"/>
      <c r="MZF35" s="292"/>
      <c r="MZG35" s="292"/>
      <c r="MZH35" s="292"/>
      <c r="MZI35" s="292"/>
      <c r="MZJ35" s="292"/>
      <c r="MZK35" s="292"/>
      <c r="MZL35" s="292"/>
      <c r="MZM35" s="292"/>
      <c r="MZN35" s="292"/>
      <c r="MZO35" s="292"/>
      <c r="MZP35" s="292"/>
      <c r="MZQ35" s="292"/>
      <c r="MZR35" s="292"/>
      <c r="MZS35" s="292"/>
      <c r="MZT35" s="292"/>
      <c r="MZU35" s="292"/>
      <c r="MZV35" s="292"/>
      <c r="MZW35" s="292"/>
      <c r="MZX35" s="292"/>
      <c r="MZY35" s="292"/>
      <c r="MZZ35" s="292"/>
      <c r="NAA35" s="292"/>
      <c r="NAB35" s="292"/>
      <c r="NAC35" s="292"/>
      <c r="NAD35" s="292"/>
      <c r="NAE35" s="292"/>
      <c r="NAF35" s="292"/>
      <c r="NAG35" s="292"/>
      <c r="NAH35" s="292"/>
      <c r="NAI35" s="292"/>
      <c r="NAJ35" s="292"/>
      <c r="NAK35" s="292"/>
      <c r="NAL35" s="292"/>
      <c r="NAM35" s="292"/>
      <c r="NAN35" s="292"/>
      <c r="NAO35" s="292"/>
      <c r="NAP35" s="292"/>
      <c r="NAQ35" s="292"/>
      <c r="NAR35" s="292"/>
      <c r="NAS35" s="292"/>
      <c r="NAT35" s="292"/>
      <c r="NAU35" s="292"/>
      <c r="NAV35" s="292"/>
      <c r="NAW35" s="292"/>
      <c r="NAX35" s="292"/>
      <c r="NAY35" s="292"/>
      <c r="NAZ35" s="292"/>
      <c r="NBA35" s="292"/>
      <c r="NBB35" s="292"/>
      <c r="NBC35" s="292"/>
      <c r="NBD35" s="292"/>
      <c r="NBE35" s="292"/>
      <c r="NBF35" s="292"/>
      <c r="NBG35" s="292"/>
      <c r="NBH35" s="292"/>
      <c r="NBI35" s="292"/>
      <c r="NBJ35" s="292"/>
      <c r="NBK35" s="292"/>
      <c r="NBL35" s="292"/>
      <c r="NBM35" s="292"/>
      <c r="NBN35" s="292"/>
      <c r="NBO35" s="292"/>
      <c r="NBP35" s="292"/>
      <c r="NBQ35" s="292"/>
      <c r="NBR35" s="292"/>
      <c r="NBS35" s="292"/>
      <c r="NBT35" s="292"/>
      <c r="NBU35" s="292"/>
      <c r="NBV35" s="292"/>
      <c r="NBW35" s="292"/>
      <c r="NBX35" s="292"/>
      <c r="NBY35" s="292"/>
      <c r="NBZ35" s="292"/>
      <c r="NCA35" s="292"/>
      <c r="NCB35" s="292"/>
      <c r="NCC35" s="292"/>
      <c r="NCD35" s="292"/>
      <c r="NCE35" s="292"/>
      <c r="NCF35" s="292"/>
      <c r="NCG35" s="292"/>
      <c r="NCH35" s="292"/>
      <c r="NCI35" s="292"/>
      <c r="NCJ35" s="292"/>
      <c r="NCK35" s="292"/>
      <c r="NCL35" s="292"/>
      <c r="NCM35" s="292"/>
      <c r="NCN35" s="292"/>
      <c r="NCO35" s="292"/>
      <c r="NCP35" s="292"/>
      <c r="NCQ35" s="292"/>
      <c r="NCR35" s="292"/>
      <c r="NCS35" s="292"/>
      <c r="NCT35" s="292"/>
      <c r="NCU35" s="292"/>
      <c r="NCV35" s="292"/>
      <c r="NCW35" s="292"/>
      <c r="NCX35" s="292"/>
      <c r="NCY35" s="292"/>
      <c r="NCZ35" s="292"/>
      <c r="NDA35" s="292"/>
      <c r="NDB35" s="292"/>
      <c r="NDC35" s="292"/>
      <c r="NDD35" s="292"/>
      <c r="NDE35" s="292"/>
      <c r="NDF35" s="292"/>
      <c r="NDG35" s="292"/>
      <c r="NDH35" s="292"/>
      <c r="NDI35" s="292"/>
      <c r="NDJ35" s="292"/>
      <c r="NDK35" s="292"/>
      <c r="NDL35" s="292"/>
      <c r="NDM35" s="292"/>
      <c r="NDN35" s="292"/>
      <c r="NDO35" s="292"/>
      <c r="NDP35" s="292"/>
      <c r="NDQ35" s="292"/>
      <c r="NDR35" s="292"/>
      <c r="NDS35" s="292"/>
      <c r="NDT35" s="292"/>
      <c r="NDU35" s="292"/>
      <c r="NDV35" s="292"/>
      <c r="NDW35" s="292"/>
      <c r="NDX35" s="292"/>
      <c r="NDY35" s="292"/>
      <c r="NDZ35" s="292"/>
      <c r="NEA35" s="292"/>
      <c r="NEB35" s="292"/>
      <c r="NEC35" s="292"/>
      <c r="NED35" s="292"/>
      <c r="NEE35" s="292"/>
      <c r="NEF35" s="292"/>
      <c r="NEG35" s="292"/>
      <c r="NEH35" s="292"/>
      <c r="NEI35" s="292"/>
      <c r="NEJ35" s="292"/>
      <c r="NEK35" s="292"/>
      <c r="NEL35" s="292"/>
      <c r="NEM35" s="292"/>
      <c r="NEN35" s="292"/>
      <c r="NEO35" s="292"/>
      <c r="NEP35" s="292"/>
      <c r="NEQ35" s="292"/>
      <c r="NER35" s="292"/>
      <c r="NES35" s="292"/>
      <c r="NET35" s="292"/>
      <c r="NEU35" s="292"/>
      <c r="NEV35" s="292"/>
      <c r="NEW35" s="292"/>
      <c r="NEX35" s="292"/>
      <c r="NEY35" s="292"/>
      <c r="NEZ35" s="292"/>
      <c r="NFA35" s="292"/>
      <c r="NFB35" s="292"/>
      <c r="NFC35" s="292"/>
      <c r="NFD35" s="292"/>
      <c r="NFE35" s="292"/>
      <c r="NFF35" s="292"/>
      <c r="NFG35" s="292"/>
      <c r="NFH35" s="292"/>
      <c r="NFI35" s="292"/>
      <c r="NFJ35" s="292"/>
      <c r="NFK35" s="292"/>
      <c r="NFL35" s="292"/>
      <c r="NFM35" s="292"/>
      <c r="NFN35" s="292"/>
      <c r="NFO35" s="292"/>
      <c r="NFP35" s="292"/>
      <c r="NFQ35" s="292"/>
      <c r="NFR35" s="292"/>
      <c r="NFS35" s="292"/>
      <c r="NFT35" s="292"/>
      <c r="NFU35" s="292"/>
      <c r="NFV35" s="292"/>
      <c r="NFW35" s="292"/>
      <c r="NFX35" s="292"/>
      <c r="NFY35" s="292"/>
      <c r="NFZ35" s="292"/>
      <c r="NGA35" s="292"/>
      <c r="NGB35" s="292"/>
      <c r="NGC35" s="292"/>
      <c r="NGD35" s="292"/>
      <c r="NGE35" s="292"/>
      <c r="NGF35" s="292"/>
      <c r="NGG35" s="292"/>
      <c r="NGH35" s="292"/>
      <c r="NGI35" s="292"/>
      <c r="NGJ35" s="292"/>
      <c r="NGK35" s="292"/>
      <c r="NGL35" s="292"/>
      <c r="NGM35" s="292"/>
      <c r="NGN35" s="292"/>
      <c r="NGO35" s="292"/>
      <c r="NGP35" s="292"/>
      <c r="NGQ35" s="292"/>
      <c r="NGR35" s="292"/>
      <c r="NGS35" s="292"/>
      <c r="NGT35" s="292"/>
      <c r="NGU35" s="292"/>
      <c r="NGV35" s="292"/>
      <c r="NGW35" s="292"/>
      <c r="NGX35" s="292"/>
      <c r="NGY35" s="292"/>
      <c r="NGZ35" s="292"/>
      <c r="NHA35" s="292"/>
      <c r="NHB35" s="292"/>
      <c r="NHC35" s="292"/>
      <c r="NHD35" s="292"/>
      <c r="NHE35" s="292"/>
      <c r="NHF35" s="292"/>
      <c r="NHG35" s="292"/>
      <c r="NHH35" s="292"/>
      <c r="NHI35" s="292"/>
      <c r="NHJ35" s="292"/>
      <c r="NHK35" s="292"/>
      <c r="NHL35" s="292"/>
      <c r="NHM35" s="292"/>
      <c r="NHN35" s="292"/>
      <c r="NHO35" s="292"/>
      <c r="NHP35" s="292"/>
      <c r="NHQ35" s="292"/>
      <c r="NHR35" s="292"/>
      <c r="NHS35" s="292"/>
      <c r="NHT35" s="292"/>
      <c r="NHU35" s="292"/>
      <c r="NHV35" s="292"/>
      <c r="NHW35" s="292"/>
      <c r="NHX35" s="292"/>
      <c r="NHY35" s="292"/>
      <c r="NHZ35" s="292"/>
      <c r="NIA35" s="292"/>
      <c r="NIB35" s="292"/>
      <c r="NIC35" s="292"/>
      <c r="NID35" s="292"/>
      <c r="NIE35" s="292"/>
      <c r="NIF35" s="292"/>
      <c r="NIG35" s="292"/>
      <c r="NIH35" s="292"/>
      <c r="NII35" s="292"/>
      <c r="NIJ35" s="292"/>
      <c r="NIK35" s="292"/>
      <c r="NIL35" s="292"/>
      <c r="NIM35" s="292"/>
      <c r="NIN35" s="292"/>
      <c r="NIO35" s="292"/>
      <c r="NIP35" s="292"/>
      <c r="NIQ35" s="292"/>
      <c r="NIR35" s="292"/>
      <c r="NIS35" s="292"/>
      <c r="NIT35" s="292"/>
      <c r="NIU35" s="292"/>
      <c r="NIV35" s="292"/>
      <c r="NIW35" s="292"/>
      <c r="NIX35" s="292"/>
      <c r="NIY35" s="292"/>
      <c r="NIZ35" s="292"/>
      <c r="NJA35" s="292"/>
      <c r="NJB35" s="292"/>
      <c r="NJC35" s="292"/>
      <c r="NJD35" s="292"/>
      <c r="NJE35" s="292"/>
      <c r="NJF35" s="292"/>
      <c r="NJG35" s="292"/>
      <c r="NJH35" s="292"/>
      <c r="NJI35" s="292"/>
      <c r="NJJ35" s="292"/>
      <c r="NJK35" s="292"/>
      <c r="NJL35" s="292"/>
      <c r="NJM35" s="292"/>
      <c r="NJN35" s="292"/>
      <c r="NJO35" s="292"/>
      <c r="NJP35" s="292"/>
      <c r="NJQ35" s="292"/>
      <c r="NJR35" s="292"/>
      <c r="NJS35" s="292"/>
      <c r="NJT35" s="292"/>
      <c r="NJU35" s="292"/>
      <c r="NJV35" s="292"/>
      <c r="NJW35" s="292"/>
      <c r="NJX35" s="292"/>
      <c r="NJY35" s="292"/>
      <c r="NJZ35" s="292"/>
      <c r="NKA35" s="292"/>
      <c r="NKB35" s="292"/>
      <c r="NKC35" s="292"/>
      <c r="NKD35" s="292"/>
      <c r="NKE35" s="292"/>
      <c r="NKF35" s="292"/>
      <c r="NKG35" s="292"/>
      <c r="NKH35" s="292"/>
      <c r="NKI35" s="292"/>
      <c r="NKJ35" s="292"/>
      <c r="NKK35" s="292"/>
      <c r="NKL35" s="292"/>
      <c r="NKM35" s="292"/>
      <c r="NKN35" s="292"/>
      <c r="NKO35" s="292"/>
      <c r="NKP35" s="292"/>
      <c r="NKQ35" s="292"/>
      <c r="NKR35" s="292"/>
      <c r="NKS35" s="292"/>
      <c r="NKT35" s="292"/>
      <c r="NKU35" s="292"/>
      <c r="NKV35" s="292"/>
      <c r="NKW35" s="292"/>
      <c r="NKX35" s="292"/>
      <c r="NKY35" s="292"/>
      <c r="NKZ35" s="292"/>
      <c r="NLA35" s="292"/>
      <c r="NLB35" s="292"/>
      <c r="NLC35" s="292"/>
      <c r="NLD35" s="292"/>
      <c r="NLE35" s="292"/>
      <c r="NLF35" s="292"/>
      <c r="NLG35" s="292"/>
      <c r="NLH35" s="292"/>
      <c r="NLI35" s="292"/>
      <c r="NLJ35" s="292"/>
      <c r="NLK35" s="292"/>
      <c r="NLL35" s="292"/>
      <c r="NLM35" s="292"/>
      <c r="NLN35" s="292"/>
      <c r="NLO35" s="292"/>
      <c r="NLP35" s="292"/>
      <c r="NLQ35" s="292"/>
      <c r="NLR35" s="292"/>
      <c r="NLS35" s="292"/>
      <c r="NLT35" s="292"/>
      <c r="NLU35" s="292"/>
      <c r="NLV35" s="292"/>
      <c r="NLW35" s="292"/>
      <c r="NLX35" s="292"/>
      <c r="NLY35" s="292"/>
      <c r="NLZ35" s="292"/>
      <c r="NMA35" s="292"/>
      <c r="NMB35" s="292"/>
      <c r="NMC35" s="292"/>
      <c r="NMD35" s="292"/>
      <c r="NME35" s="292"/>
      <c r="NMF35" s="292"/>
      <c r="NMG35" s="292"/>
      <c r="NMH35" s="292"/>
      <c r="NMI35" s="292"/>
      <c r="NMJ35" s="292"/>
      <c r="NMK35" s="292"/>
      <c r="NML35" s="292"/>
      <c r="NMM35" s="292"/>
      <c r="NMN35" s="292"/>
      <c r="NMO35" s="292"/>
      <c r="NMP35" s="292"/>
      <c r="NMQ35" s="292"/>
      <c r="NMR35" s="292"/>
      <c r="NMS35" s="292"/>
      <c r="NMT35" s="292"/>
      <c r="NMU35" s="292"/>
      <c r="NMV35" s="292"/>
      <c r="NMW35" s="292"/>
      <c r="NMX35" s="292"/>
      <c r="NMY35" s="292"/>
      <c r="NMZ35" s="292"/>
      <c r="NNA35" s="292"/>
      <c r="NNB35" s="292"/>
      <c r="NNC35" s="292"/>
      <c r="NND35" s="292"/>
      <c r="NNE35" s="292"/>
      <c r="NNF35" s="292"/>
      <c r="NNG35" s="292"/>
      <c r="NNH35" s="292"/>
      <c r="NNI35" s="292"/>
      <c r="NNJ35" s="292"/>
      <c r="NNK35" s="292"/>
      <c r="NNL35" s="292"/>
      <c r="NNM35" s="292"/>
      <c r="NNN35" s="292"/>
      <c r="NNO35" s="292"/>
      <c r="NNP35" s="292"/>
      <c r="NNQ35" s="292"/>
      <c r="NNR35" s="292"/>
      <c r="NNS35" s="292"/>
      <c r="NNT35" s="292"/>
      <c r="NNU35" s="292"/>
      <c r="NNV35" s="292"/>
      <c r="NNW35" s="292"/>
      <c r="NNX35" s="292"/>
      <c r="NNY35" s="292"/>
      <c r="NNZ35" s="292"/>
      <c r="NOA35" s="292"/>
      <c r="NOB35" s="292"/>
      <c r="NOC35" s="292"/>
      <c r="NOD35" s="292"/>
      <c r="NOE35" s="292"/>
      <c r="NOF35" s="292"/>
      <c r="NOG35" s="292"/>
      <c r="NOH35" s="292"/>
      <c r="NOI35" s="292"/>
      <c r="NOJ35" s="292"/>
      <c r="NOK35" s="292"/>
      <c r="NOL35" s="292"/>
      <c r="NOM35" s="292"/>
      <c r="NON35" s="292"/>
      <c r="NOO35" s="292"/>
      <c r="NOP35" s="292"/>
      <c r="NOQ35" s="292"/>
      <c r="NOR35" s="292"/>
      <c r="NOS35" s="292"/>
      <c r="NOT35" s="292"/>
      <c r="NOU35" s="292"/>
      <c r="NOV35" s="292"/>
      <c r="NOW35" s="292"/>
      <c r="NOX35" s="292"/>
      <c r="NOY35" s="292"/>
      <c r="NOZ35" s="292"/>
      <c r="NPA35" s="292"/>
      <c r="NPB35" s="292"/>
      <c r="NPC35" s="292"/>
      <c r="NPD35" s="292"/>
      <c r="NPE35" s="292"/>
      <c r="NPF35" s="292"/>
      <c r="NPG35" s="292"/>
      <c r="NPH35" s="292"/>
      <c r="NPI35" s="292"/>
      <c r="NPJ35" s="292"/>
      <c r="NPK35" s="292"/>
      <c r="NPL35" s="292"/>
      <c r="NPM35" s="292"/>
      <c r="NPN35" s="292"/>
      <c r="NPO35" s="292"/>
      <c r="NPP35" s="292"/>
      <c r="NPQ35" s="292"/>
      <c r="NPR35" s="292"/>
      <c r="NPS35" s="292"/>
      <c r="NPT35" s="292"/>
      <c r="NPU35" s="292"/>
      <c r="NPV35" s="292"/>
      <c r="NPW35" s="292"/>
      <c r="NPX35" s="292"/>
      <c r="NPY35" s="292"/>
      <c r="NPZ35" s="292"/>
      <c r="NQA35" s="292"/>
      <c r="NQB35" s="292"/>
      <c r="NQC35" s="292"/>
      <c r="NQD35" s="292"/>
      <c r="NQE35" s="292"/>
      <c r="NQF35" s="292"/>
      <c r="NQG35" s="292"/>
      <c r="NQH35" s="292"/>
      <c r="NQI35" s="292"/>
      <c r="NQJ35" s="292"/>
      <c r="NQK35" s="292"/>
      <c r="NQL35" s="292"/>
      <c r="NQM35" s="292"/>
      <c r="NQN35" s="292"/>
      <c r="NQO35" s="292"/>
      <c r="NQP35" s="292"/>
      <c r="NQQ35" s="292"/>
      <c r="NQR35" s="292"/>
      <c r="NQS35" s="292"/>
      <c r="NQT35" s="292"/>
      <c r="NQU35" s="292"/>
      <c r="NQV35" s="292"/>
      <c r="NQW35" s="292"/>
      <c r="NQX35" s="292"/>
      <c r="NQY35" s="292"/>
      <c r="NQZ35" s="292"/>
      <c r="NRA35" s="292"/>
      <c r="NRB35" s="292"/>
      <c r="NRC35" s="292"/>
      <c r="NRD35" s="292"/>
      <c r="NRE35" s="292"/>
      <c r="NRF35" s="292"/>
      <c r="NRG35" s="292"/>
      <c r="NRH35" s="292"/>
      <c r="NRI35" s="292"/>
      <c r="NRJ35" s="292"/>
      <c r="NRK35" s="292"/>
      <c r="NRL35" s="292"/>
      <c r="NRM35" s="292"/>
      <c r="NRN35" s="292"/>
      <c r="NRO35" s="292"/>
      <c r="NRP35" s="292"/>
      <c r="NRQ35" s="292"/>
      <c r="NRR35" s="292"/>
      <c r="NRS35" s="292"/>
      <c r="NRT35" s="292"/>
      <c r="NRU35" s="292"/>
      <c r="NRV35" s="292"/>
      <c r="NRW35" s="292"/>
      <c r="NRX35" s="292"/>
      <c r="NRY35" s="292"/>
      <c r="NRZ35" s="292"/>
      <c r="NSA35" s="292"/>
      <c r="NSB35" s="292"/>
      <c r="NSC35" s="292"/>
      <c r="NSD35" s="292"/>
      <c r="NSE35" s="292"/>
      <c r="NSF35" s="292"/>
      <c r="NSG35" s="292"/>
      <c r="NSH35" s="292"/>
      <c r="NSI35" s="292"/>
      <c r="NSJ35" s="292"/>
      <c r="NSK35" s="292"/>
      <c r="NSL35" s="292"/>
      <c r="NSM35" s="292"/>
      <c r="NSN35" s="292"/>
      <c r="NSO35" s="292"/>
      <c r="NSP35" s="292"/>
      <c r="NSQ35" s="292"/>
      <c r="NSR35" s="292"/>
      <c r="NSS35" s="292"/>
      <c r="NST35" s="292"/>
      <c r="NSU35" s="292"/>
      <c r="NSV35" s="292"/>
      <c r="NSW35" s="292"/>
      <c r="NSX35" s="292"/>
      <c r="NSY35" s="292"/>
      <c r="NSZ35" s="292"/>
      <c r="NTA35" s="292"/>
      <c r="NTB35" s="292"/>
      <c r="NTC35" s="292"/>
      <c r="NTD35" s="292"/>
      <c r="NTE35" s="292"/>
      <c r="NTF35" s="292"/>
      <c r="NTG35" s="292"/>
      <c r="NTH35" s="292"/>
      <c r="NTI35" s="292"/>
      <c r="NTJ35" s="292"/>
      <c r="NTK35" s="292"/>
      <c r="NTL35" s="292"/>
      <c r="NTM35" s="292"/>
      <c r="NTN35" s="292"/>
      <c r="NTO35" s="292"/>
      <c r="NTP35" s="292"/>
      <c r="NTQ35" s="292"/>
      <c r="NTR35" s="292"/>
      <c r="NTS35" s="292"/>
      <c r="NTT35" s="292"/>
      <c r="NTU35" s="292"/>
      <c r="NTV35" s="292"/>
      <c r="NTW35" s="292"/>
      <c r="NTX35" s="292"/>
      <c r="NTY35" s="292"/>
      <c r="NTZ35" s="292"/>
      <c r="NUA35" s="292"/>
      <c r="NUB35" s="292"/>
      <c r="NUC35" s="292"/>
      <c r="NUD35" s="292"/>
      <c r="NUE35" s="292"/>
      <c r="NUF35" s="292"/>
      <c r="NUG35" s="292"/>
      <c r="NUH35" s="292"/>
      <c r="NUI35" s="292"/>
      <c r="NUJ35" s="292"/>
      <c r="NUK35" s="292"/>
      <c r="NUL35" s="292"/>
      <c r="NUM35" s="292"/>
      <c r="NUN35" s="292"/>
      <c r="NUO35" s="292"/>
      <c r="NUP35" s="292"/>
      <c r="NUQ35" s="292"/>
      <c r="NUR35" s="292"/>
      <c r="NUS35" s="292"/>
      <c r="NUT35" s="292"/>
      <c r="NUU35" s="292"/>
      <c r="NUV35" s="292"/>
      <c r="NUW35" s="292"/>
      <c r="NUX35" s="292"/>
      <c r="NUY35" s="292"/>
      <c r="NUZ35" s="292"/>
      <c r="NVA35" s="292"/>
      <c r="NVB35" s="292"/>
      <c r="NVC35" s="292"/>
      <c r="NVD35" s="292"/>
      <c r="NVE35" s="292"/>
      <c r="NVF35" s="292"/>
      <c r="NVG35" s="292"/>
      <c r="NVH35" s="292"/>
      <c r="NVI35" s="292"/>
      <c r="NVJ35" s="292"/>
      <c r="NVK35" s="292"/>
      <c r="NVL35" s="292"/>
      <c r="NVM35" s="292"/>
      <c r="NVN35" s="292"/>
      <c r="NVO35" s="292"/>
      <c r="NVP35" s="292"/>
      <c r="NVQ35" s="292"/>
      <c r="NVR35" s="292"/>
      <c r="NVS35" s="292"/>
      <c r="NVT35" s="292"/>
      <c r="NVU35" s="292"/>
      <c r="NVV35" s="292"/>
      <c r="NVW35" s="292"/>
      <c r="NVX35" s="292"/>
      <c r="NVY35" s="292"/>
      <c r="NVZ35" s="292"/>
      <c r="NWA35" s="292"/>
      <c r="NWB35" s="292"/>
      <c r="NWC35" s="292"/>
      <c r="NWD35" s="292"/>
      <c r="NWE35" s="292"/>
      <c r="NWF35" s="292"/>
      <c r="NWG35" s="292"/>
      <c r="NWH35" s="292"/>
      <c r="NWI35" s="292"/>
      <c r="NWJ35" s="292"/>
      <c r="NWK35" s="292"/>
      <c r="NWL35" s="292"/>
      <c r="NWM35" s="292"/>
      <c r="NWN35" s="292"/>
      <c r="NWO35" s="292"/>
      <c r="NWP35" s="292"/>
      <c r="NWQ35" s="292"/>
      <c r="NWR35" s="292"/>
      <c r="NWS35" s="292"/>
      <c r="NWT35" s="292"/>
      <c r="NWU35" s="292"/>
      <c r="NWV35" s="292"/>
      <c r="NWW35" s="292"/>
      <c r="NWX35" s="292"/>
      <c r="NWY35" s="292"/>
      <c r="NWZ35" s="292"/>
      <c r="NXA35" s="292"/>
      <c r="NXB35" s="292"/>
      <c r="NXC35" s="292"/>
      <c r="NXD35" s="292"/>
      <c r="NXE35" s="292"/>
      <c r="NXF35" s="292"/>
      <c r="NXG35" s="292"/>
      <c r="NXH35" s="292"/>
      <c r="NXI35" s="292"/>
      <c r="NXJ35" s="292"/>
      <c r="NXK35" s="292"/>
      <c r="NXL35" s="292"/>
      <c r="NXM35" s="292"/>
      <c r="NXN35" s="292"/>
      <c r="NXO35" s="292"/>
      <c r="NXP35" s="292"/>
      <c r="NXQ35" s="292"/>
      <c r="NXR35" s="292"/>
      <c r="NXS35" s="292"/>
      <c r="NXT35" s="292"/>
      <c r="NXU35" s="292"/>
      <c r="NXV35" s="292"/>
      <c r="NXW35" s="292"/>
      <c r="NXX35" s="292"/>
      <c r="NXY35" s="292"/>
      <c r="NXZ35" s="292"/>
      <c r="NYA35" s="292"/>
      <c r="NYB35" s="292"/>
      <c r="NYC35" s="292"/>
      <c r="NYD35" s="292"/>
      <c r="NYE35" s="292"/>
      <c r="NYF35" s="292"/>
      <c r="NYG35" s="292"/>
      <c r="NYH35" s="292"/>
      <c r="NYI35" s="292"/>
      <c r="NYJ35" s="292"/>
      <c r="NYK35" s="292"/>
      <c r="NYL35" s="292"/>
      <c r="NYM35" s="292"/>
      <c r="NYN35" s="292"/>
      <c r="NYO35" s="292"/>
      <c r="NYP35" s="292"/>
      <c r="NYQ35" s="292"/>
      <c r="NYR35" s="292"/>
      <c r="NYS35" s="292"/>
      <c r="NYT35" s="292"/>
      <c r="NYU35" s="292"/>
      <c r="NYV35" s="292"/>
      <c r="NYW35" s="292"/>
      <c r="NYX35" s="292"/>
      <c r="NYY35" s="292"/>
      <c r="NYZ35" s="292"/>
      <c r="NZA35" s="292"/>
      <c r="NZB35" s="292"/>
      <c r="NZC35" s="292"/>
      <c r="NZD35" s="292"/>
      <c r="NZE35" s="292"/>
      <c r="NZF35" s="292"/>
      <c r="NZG35" s="292"/>
      <c r="NZH35" s="292"/>
      <c r="NZI35" s="292"/>
      <c r="NZJ35" s="292"/>
      <c r="NZK35" s="292"/>
      <c r="NZL35" s="292"/>
      <c r="NZM35" s="292"/>
      <c r="NZN35" s="292"/>
      <c r="NZO35" s="292"/>
      <c r="NZP35" s="292"/>
      <c r="NZQ35" s="292"/>
      <c r="NZR35" s="292"/>
      <c r="NZS35" s="292"/>
      <c r="NZT35" s="292"/>
      <c r="NZU35" s="292"/>
      <c r="NZV35" s="292"/>
      <c r="NZW35" s="292"/>
      <c r="NZX35" s="292"/>
      <c r="NZY35" s="292"/>
      <c r="NZZ35" s="292"/>
      <c r="OAA35" s="292"/>
      <c r="OAB35" s="292"/>
      <c r="OAC35" s="292"/>
      <c r="OAD35" s="292"/>
      <c r="OAE35" s="292"/>
      <c r="OAF35" s="292"/>
      <c r="OAG35" s="292"/>
      <c r="OAH35" s="292"/>
      <c r="OAI35" s="292"/>
      <c r="OAJ35" s="292"/>
      <c r="OAK35" s="292"/>
      <c r="OAL35" s="292"/>
      <c r="OAM35" s="292"/>
      <c r="OAN35" s="292"/>
      <c r="OAO35" s="292"/>
      <c r="OAP35" s="292"/>
      <c r="OAQ35" s="292"/>
      <c r="OAR35" s="292"/>
      <c r="OAS35" s="292"/>
      <c r="OAT35" s="292"/>
      <c r="OAU35" s="292"/>
      <c r="OAV35" s="292"/>
      <c r="OAW35" s="292"/>
      <c r="OAX35" s="292"/>
      <c r="OAY35" s="292"/>
      <c r="OAZ35" s="292"/>
      <c r="OBA35" s="292"/>
      <c r="OBB35" s="292"/>
      <c r="OBC35" s="292"/>
      <c r="OBD35" s="292"/>
      <c r="OBE35" s="292"/>
      <c r="OBF35" s="292"/>
      <c r="OBG35" s="292"/>
      <c r="OBH35" s="292"/>
      <c r="OBI35" s="292"/>
      <c r="OBJ35" s="292"/>
      <c r="OBK35" s="292"/>
      <c r="OBL35" s="292"/>
      <c r="OBM35" s="292"/>
      <c r="OBN35" s="292"/>
      <c r="OBO35" s="292"/>
      <c r="OBP35" s="292"/>
      <c r="OBQ35" s="292"/>
      <c r="OBR35" s="292"/>
      <c r="OBS35" s="292"/>
      <c r="OBT35" s="292"/>
      <c r="OBU35" s="292"/>
      <c r="OBV35" s="292"/>
      <c r="OBW35" s="292"/>
      <c r="OBX35" s="292"/>
      <c r="OBY35" s="292"/>
      <c r="OBZ35" s="292"/>
      <c r="OCA35" s="292"/>
      <c r="OCB35" s="292"/>
      <c r="OCC35" s="292"/>
      <c r="OCD35" s="292"/>
      <c r="OCE35" s="292"/>
      <c r="OCF35" s="292"/>
      <c r="OCG35" s="292"/>
      <c r="OCH35" s="292"/>
      <c r="OCI35" s="292"/>
      <c r="OCJ35" s="292"/>
      <c r="OCK35" s="292"/>
      <c r="OCL35" s="292"/>
      <c r="OCM35" s="292"/>
      <c r="OCN35" s="292"/>
      <c r="OCO35" s="292"/>
      <c r="OCP35" s="292"/>
      <c r="OCQ35" s="292"/>
      <c r="OCR35" s="292"/>
      <c r="OCS35" s="292"/>
      <c r="OCT35" s="292"/>
      <c r="OCU35" s="292"/>
      <c r="OCV35" s="292"/>
      <c r="OCW35" s="292"/>
      <c r="OCX35" s="292"/>
      <c r="OCY35" s="292"/>
      <c r="OCZ35" s="292"/>
      <c r="ODA35" s="292"/>
      <c r="ODB35" s="292"/>
      <c r="ODC35" s="292"/>
      <c r="ODD35" s="292"/>
      <c r="ODE35" s="292"/>
      <c r="ODF35" s="292"/>
      <c r="ODG35" s="292"/>
      <c r="ODH35" s="292"/>
      <c r="ODI35" s="292"/>
      <c r="ODJ35" s="292"/>
      <c r="ODK35" s="292"/>
      <c r="ODL35" s="292"/>
      <c r="ODM35" s="292"/>
      <c r="ODN35" s="292"/>
      <c r="ODO35" s="292"/>
      <c r="ODP35" s="292"/>
      <c r="ODQ35" s="292"/>
      <c r="ODR35" s="292"/>
      <c r="ODS35" s="292"/>
      <c r="ODT35" s="292"/>
      <c r="ODU35" s="292"/>
      <c r="ODV35" s="292"/>
      <c r="ODW35" s="292"/>
      <c r="ODX35" s="292"/>
      <c r="ODY35" s="292"/>
      <c r="ODZ35" s="292"/>
      <c r="OEA35" s="292"/>
      <c r="OEB35" s="292"/>
      <c r="OEC35" s="292"/>
      <c r="OED35" s="292"/>
      <c r="OEE35" s="292"/>
      <c r="OEF35" s="292"/>
      <c r="OEG35" s="292"/>
      <c r="OEH35" s="292"/>
      <c r="OEI35" s="292"/>
      <c r="OEJ35" s="292"/>
      <c r="OEK35" s="292"/>
      <c r="OEL35" s="292"/>
      <c r="OEM35" s="292"/>
      <c r="OEN35" s="292"/>
      <c r="OEO35" s="292"/>
      <c r="OEP35" s="292"/>
      <c r="OEQ35" s="292"/>
      <c r="OER35" s="292"/>
      <c r="OES35" s="292"/>
      <c r="OET35" s="292"/>
      <c r="OEU35" s="292"/>
      <c r="OEV35" s="292"/>
      <c r="OEW35" s="292"/>
      <c r="OEX35" s="292"/>
      <c r="OEY35" s="292"/>
      <c r="OEZ35" s="292"/>
      <c r="OFA35" s="292"/>
      <c r="OFB35" s="292"/>
      <c r="OFC35" s="292"/>
      <c r="OFD35" s="292"/>
      <c r="OFE35" s="292"/>
      <c r="OFF35" s="292"/>
      <c r="OFG35" s="292"/>
      <c r="OFH35" s="292"/>
      <c r="OFI35" s="292"/>
      <c r="OFJ35" s="292"/>
      <c r="OFK35" s="292"/>
      <c r="OFL35" s="292"/>
      <c r="OFM35" s="292"/>
      <c r="OFN35" s="292"/>
      <c r="OFO35" s="292"/>
      <c r="OFP35" s="292"/>
      <c r="OFQ35" s="292"/>
      <c r="OFR35" s="292"/>
      <c r="OFS35" s="292"/>
      <c r="OFT35" s="292"/>
      <c r="OFU35" s="292"/>
      <c r="OFV35" s="292"/>
      <c r="OFW35" s="292"/>
      <c r="OFX35" s="292"/>
      <c r="OFY35" s="292"/>
      <c r="OFZ35" s="292"/>
      <c r="OGA35" s="292"/>
      <c r="OGB35" s="292"/>
      <c r="OGC35" s="292"/>
      <c r="OGD35" s="292"/>
      <c r="OGE35" s="292"/>
      <c r="OGF35" s="292"/>
      <c r="OGG35" s="292"/>
      <c r="OGH35" s="292"/>
      <c r="OGI35" s="292"/>
      <c r="OGJ35" s="292"/>
      <c r="OGK35" s="292"/>
      <c r="OGL35" s="292"/>
      <c r="OGM35" s="292"/>
      <c r="OGN35" s="292"/>
      <c r="OGO35" s="292"/>
      <c r="OGP35" s="292"/>
      <c r="OGQ35" s="292"/>
      <c r="OGR35" s="292"/>
      <c r="OGS35" s="292"/>
      <c r="OGT35" s="292"/>
      <c r="OGU35" s="292"/>
      <c r="OGV35" s="292"/>
      <c r="OGW35" s="292"/>
      <c r="OGX35" s="292"/>
      <c r="OGY35" s="292"/>
      <c r="OGZ35" s="292"/>
      <c r="OHA35" s="292"/>
      <c r="OHB35" s="292"/>
      <c r="OHC35" s="292"/>
      <c r="OHD35" s="292"/>
      <c r="OHE35" s="292"/>
      <c r="OHF35" s="292"/>
      <c r="OHG35" s="292"/>
      <c r="OHH35" s="292"/>
      <c r="OHI35" s="292"/>
      <c r="OHJ35" s="292"/>
      <c r="OHK35" s="292"/>
      <c r="OHL35" s="292"/>
      <c r="OHM35" s="292"/>
      <c r="OHN35" s="292"/>
      <c r="OHO35" s="292"/>
      <c r="OHP35" s="292"/>
      <c r="OHQ35" s="292"/>
      <c r="OHR35" s="292"/>
      <c r="OHS35" s="292"/>
      <c r="OHT35" s="292"/>
      <c r="OHU35" s="292"/>
      <c r="OHV35" s="292"/>
      <c r="OHW35" s="292"/>
      <c r="OHX35" s="292"/>
      <c r="OHY35" s="292"/>
      <c r="OHZ35" s="292"/>
      <c r="OIA35" s="292"/>
      <c r="OIB35" s="292"/>
      <c r="OIC35" s="292"/>
      <c r="OID35" s="292"/>
      <c r="OIE35" s="292"/>
      <c r="OIF35" s="292"/>
      <c r="OIG35" s="292"/>
      <c r="OIH35" s="292"/>
      <c r="OII35" s="292"/>
      <c r="OIJ35" s="292"/>
      <c r="OIK35" s="292"/>
      <c r="OIL35" s="292"/>
      <c r="OIM35" s="292"/>
      <c r="OIN35" s="292"/>
      <c r="OIO35" s="292"/>
      <c r="OIP35" s="292"/>
      <c r="OIQ35" s="292"/>
      <c r="OIR35" s="292"/>
      <c r="OIS35" s="292"/>
      <c r="OIT35" s="292"/>
      <c r="OIU35" s="292"/>
      <c r="OIV35" s="292"/>
      <c r="OIW35" s="292"/>
      <c r="OIX35" s="292"/>
      <c r="OIY35" s="292"/>
      <c r="OIZ35" s="292"/>
      <c r="OJA35" s="292"/>
      <c r="OJB35" s="292"/>
      <c r="OJC35" s="292"/>
      <c r="OJD35" s="292"/>
      <c r="OJE35" s="292"/>
      <c r="OJF35" s="292"/>
      <c r="OJG35" s="292"/>
      <c r="OJH35" s="292"/>
      <c r="OJI35" s="292"/>
      <c r="OJJ35" s="292"/>
      <c r="OJK35" s="292"/>
      <c r="OJL35" s="292"/>
      <c r="OJM35" s="292"/>
      <c r="OJN35" s="292"/>
      <c r="OJO35" s="292"/>
      <c r="OJP35" s="292"/>
      <c r="OJQ35" s="292"/>
      <c r="OJR35" s="292"/>
      <c r="OJS35" s="292"/>
      <c r="OJT35" s="292"/>
      <c r="OJU35" s="292"/>
      <c r="OJV35" s="292"/>
      <c r="OJW35" s="292"/>
      <c r="OJX35" s="292"/>
      <c r="OJY35" s="292"/>
      <c r="OJZ35" s="292"/>
      <c r="OKA35" s="292"/>
      <c r="OKB35" s="292"/>
      <c r="OKC35" s="292"/>
      <c r="OKD35" s="292"/>
      <c r="OKE35" s="292"/>
      <c r="OKF35" s="292"/>
      <c r="OKG35" s="292"/>
      <c r="OKH35" s="292"/>
      <c r="OKI35" s="292"/>
      <c r="OKJ35" s="292"/>
      <c r="OKK35" s="292"/>
      <c r="OKL35" s="292"/>
      <c r="OKM35" s="292"/>
      <c r="OKN35" s="292"/>
      <c r="OKO35" s="292"/>
      <c r="OKP35" s="292"/>
      <c r="OKQ35" s="292"/>
      <c r="OKR35" s="292"/>
      <c r="OKS35" s="292"/>
      <c r="OKT35" s="292"/>
      <c r="OKU35" s="292"/>
      <c r="OKV35" s="292"/>
      <c r="OKW35" s="292"/>
      <c r="OKX35" s="292"/>
      <c r="OKY35" s="292"/>
      <c r="OKZ35" s="292"/>
      <c r="OLA35" s="292"/>
      <c r="OLB35" s="292"/>
      <c r="OLC35" s="292"/>
      <c r="OLD35" s="292"/>
      <c r="OLE35" s="292"/>
      <c r="OLF35" s="292"/>
      <c r="OLG35" s="292"/>
      <c r="OLH35" s="292"/>
      <c r="OLI35" s="292"/>
      <c r="OLJ35" s="292"/>
      <c r="OLK35" s="292"/>
      <c r="OLL35" s="292"/>
      <c r="OLM35" s="292"/>
      <c r="OLN35" s="292"/>
      <c r="OLO35" s="292"/>
      <c r="OLP35" s="292"/>
      <c r="OLQ35" s="292"/>
      <c r="OLR35" s="292"/>
      <c r="OLS35" s="292"/>
      <c r="OLT35" s="292"/>
      <c r="OLU35" s="292"/>
      <c r="OLV35" s="292"/>
      <c r="OLW35" s="292"/>
      <c r="OLX35" s="292"/>
      <c r="OLY35" s="292"/>
      <c r="OLZ35" s="292"/>
      <c r="OMA35" s="292"/>
      <c r="OMB35" s="292"/>
      <c r="OMC35" s="292"/>
      <c r="OMD35" s="292"/>
      <c r="OME35" s="292"/>
      <c r="OMF35" s="292"/>
      <c r="OMG35" s="292"/>
      <c r="OMH35" s="292"/>
      <c r="OMI35" s="292"/>
      <c r="OMJ35" s="292"/>
      <c r="OMK35" s="292"/>
      <c r="OML35" s="292"/>
      <c r="OMM35" s="292"/>
      <c r="OMN35" s="292"/>
      <c r="OMO35" s="292"/>
      <c r="OMP35" s="292"/>
      <c r="OMQ35" s="292"/>
      <c r="OMR35" s="292"/>
      <c r="OMS35" s="292"/>
      <c r="OMT35" s="292"/>
      <c r="OMU35" s="292"/>
      <c r="OMV35" s="292"/>
      <c r="OMW35" s="292"/>
      <c r="OMX35" s="292"/>
      <c r="OMY35" s="292"/>
      <c r="OMZ35" s="292"/>
      <c r="ONA35" s="292"/>
      <c r="ONB35" s="292"/>
      <c r="ONC35" s="292"/>
      <c r="OND35" s="292"/>
      <c r="ONE35" s="292"/>
      <c r="ONF35" s="292"/>
      <c r="ONG35" s="292"/>
      <c r="ONH35" s="292"/>
      <c r="ONI35" s="292"/>
      <c r="ONJ35" s="292"/>
      <c r="ONK35" s="292"/>
      <c r="ONL35" s="292"/>
      <c r="ONM35" s="292"/>
      <c r="ONN35" s="292"/>
      <c r="ONO35" s="292"/>
      <c r="ONP35" s="292"/>
      <c r="ONQ35" s="292"/>
      <c r="ONR35" s="292"/>
      <c r="ONS35" s="292"/>
      <c r="ONT35" s="292"/>
      <c r="ONU35" s="292"/>
      <c r="ONV35" s="292"/>
      <c r="ONW35" s="292"/>
      <c r="ONX35" s="292"/>
      <c r="ONY35" s="292"/>
      <c r="ONZ35" s="292"/>
      <c r="OOA35" s="292"/>
      <c r="OOB35" s="292"/>
      <c r="OOC35" s="292"/>
      <c r="OOD35" s="292"/>
      <c r="OOE35" s="292"/>
      <c r="OOF35" s="292"/>
      <c r="OOG35" s="292"/>
      <c r="OOH35" s="292"/>
      <c r="OOI35" s="292"/>
      <c r="OOJ35" s="292"/>
      <c r="OOK35" s="292"/>
      <c r="OOL35" s="292"/>
      <c r="OOM35" s="292"/>
      <c r="OON35" s="292"/>
      <c r="OOO35" s="292"/>
      <c r="OOP35" s="292"/>
      <c r="OOQ35" s="292"/>
      <c r="OOR35" s="292"/>
      <c r="OOS35" s="292"/>
      <c r="OOT35" s="292"/>
      <c r="OOU35" s="292"/>
      <c r="OOV35" s="292"/>
      <c r="OOW35" s="292"/>
      <c r="OOX35" s="292"/>
      <c r="OOY35" s="292"/>
      <c r="OOZ35" s="292"/>
      <c r="OPA35" s="292"/>
      <c r="OPB35" s="292"/>
      <c r="OPC35" s="292"/>
      <c r="OPD35" s="292"/>
      <c r="OPE35" s="292"/>
      <c r="OPF35" s="292"/>
      <c r="OPG35" s="292"/>
      <c r="OPH35" s="292"/>
      <c r="OPI35" s="292"/>
      <c r="OPJ35" s="292"/>
      <c r="OPK35" s="292"/>
      <c r="OPL35" s="292"/>
      <c r="OPM35" s="292"/>
      <c r="OPN35" s="292"/>
      <c r="OPO35" s="292"/>
      <c r="OPP35" s="292"/>
      <c r="OPQ35" s="292"/>
      <c r="OPR35" s="292"/>
      <c r="OPS35" s="292"/>
      <c r="OPT35" s="292"/>
      <c r="OPU35" s="292"/>
      <c r="OPV35" s="292"/>
      <c r="OPW35" s="292"/>
      <c r="OPX35" s="292"/>
      <c r="OPY35" s="292"/>
      <c r="OPZ35" s="292"/>
      <c r="OQA35" s="292"/>
      <c r="OQB35" s="292"/>
      <c r="OQC35" s="292"/>
      <c r="OQD35" s="292"/>
      <c r="OQE35" s="292"/>
      <c r="OQF35" s="292"/>
      <c r="OQG35" s="292"/>
      <c r="OQH35" s="292"/>
      <c r="OQI35" s="292"/>
      <c r="OQJ35" s="292"/>
      <c r="OQK35" s="292"/>
      <c r="OQL35" s="292"/>
      <c r="OQM35" s="292"/>
      <c r="OQN35" s="292"/>
      <c r="OQO35" s="292"/>
      <c r="OQP35" s="292"/>
      <c r="OQQ35" s="292"/>
      <c r="OQR35" s="292"/>
      <c r="OQS35" s="292"/>
      <c r="OQT35" s="292"/>
      <c r="OQU35" s="292"/>
      <c r="OQV35" s="292"/>
      <c r="OQW35" s="292"/>
      <c r="OQX35" s="292"/>
      <c r="OQY35" s="292"/>
      <c r="OQZ35" s="292"/>
      <c r="ORA35" s="292"/>
      <c r="ORB35" s="292"/>
      <c r="ORC35" s="292"/>
      <c r="ORD35" s="292"/>
      <c r="ORE35" s="292"/>
      <c r="ORF35" s="292"/>
      <c r="ORG35" s="292"/>
      <c r="ORH35" s="292"/>
      <c r="ORI35" s="292"/>
      <c r="ORJ35" s="292"/>
      <c r="ORK35" s="292"/>
      <c r="ORL35" s="292"/>
      <c r="ORM35" s="292"/>
      <c r="ORN35" s="292"/>
      <c r="ORO35" s="292"/>
      <c r="ORP35" s="292"/>
      <c r="ORQ35" s="292"/>
      <c r="ORR35" s="292"/>
      <c r="ORS35" s="292"/>
      <c r="ORT35" s="292"/>
      <c r="ORU35" s="292"/>
      <c r="ORV35" s="292"/>
      <c r="ORW35" s="292"/>
      <c r="ORX35" s="292"/>
      <c r="ORY35" s="292"/>
      <c r="ORZ35" s="292"/>
      <c r="OSA35" s="292"/>
      <c r="OSB35" s="292"/>
      <c r="OSC35" s="292"/>
      <c r="OSD35" s="292"/>
      <c r="OSE35" s="292"/>
      <c r="OSF35" s="292"/>
      <c r="OSG35" s="292"/>
      <c r="OSH35" s="292"/>
      <c r="OSI35" s="292"/>
      <c r="OSJ35" s="292"/>
      <c r="OSK35" s="292"/>
      <c r="OSL35" s="292"/>
      <c r="OSM35" s="292"/>
      <c r="OSN35" s="292"/>
      <c r="OSO35" s="292"/>
      <c r="OSP35" s="292"/>
      <c r="OSQ35" s="292"/>
      <c r="OSR35" s="292"/>
      <c r="OSS35" s="292"/>
      <c r="OST35" s="292"/>
      <c r="OSU35" s="292"/>
      <c r="OSV35" s="292"/>
      <c r="OSW35" s="292"/>
      <c r="OSX35" s="292"/>
      <c r="OSY35" s="292"/>
      <c r="OSZ35" s="292"/>
      <c r="OTA35" s="292"/>
      <c r="OTB35" s="292"/>
      <c r="OTC35" s="292"/>
      <c r="OTD35" s="292"/>
      <c r="OTE35" s="292"/>
      <c r="OTF35" s="292"/>
      <c r="OTG35" s="292"/>
      <c r="OTH35" s="292"/>
      <c r="OTI35" s="292"/>
      <c r="OTJ35" s="292"/>
      <c r="OTK35" s="292"/>
      <c r="OTL35" s="292"/>
      <c r="OTM35" s="292"/>
      <c r="OTN35" s="292"/>
      <c r="OTO35" s="292"/>
      <c r="OTP35" s="292"/>
      <c r="OTQ35" s="292"/>
      <c r="OTR35" s="292"/>
      <c r="OTS35" s="292"/>
      <c r="OTT35" s="292"/>
      <c r="OTU35" s="292"/>
      <c r="OTV35" s="292"/>
      <c r="OTW35" s="292"/>
      <c r="OTX35" s="292"/>
      <c r="OTY35" s="292"/>
      <c r="OTZ35" s="292"/>
      <c r="OUA35" s="292"/>
      <c r="OUB35" s="292"/>
      <c r="OUC35" s="292"/>
      <c r="OUD35" s="292"/>
      <c r="OUE35" s="292"/>
      <c r="OUF35" s="292"/>
      <c r="OUG35" s="292"/>
      <c r="OUH35" s="292"/>
      <c r="OUI35" s="292"/>
      <c r="OUJ35" s="292"/>
      <c r="OUK35" s="292"/>
      <c r="OUL35" s="292"/>
      <c r="OUM35" s="292"/>
      <c r="OUN35" s="292"/>
      <c r="OUO35" s="292"/>
      <c r="OUP35" s="292"/>
      <c r="OUQ35" s="292"/>
      <c r="OUR35" s="292"/>
      <c r="OUS35" s="292"/>
      <c r="OUT35" s="292"/>
      <c r="OUU35" s="292"/>
      <c r="OUV35" s="292"/>
      <c r="OUW35" s="292"/>
      <c r="OUX35" s="292"/>
      <c r="OUY35" s="292"/>
      <c r="OUZ35" s="292"/>
      <c r="OVA35" s="292"/>
      <c r="OVB35" s="292"/>
      <c r="OVC35" s="292"/>
      <c r="OVD35" s="292"/>
      <c r="OVE35" s="292"/>
      <c r="OVF35" s="292"/>
      <c r="OVG35" s="292"/>
      <c r="OVH35" s="292"/>
      <c r="OVI35" s="292"/>
      <c r="OVJ35" s="292"/>
      <c r="OVK35" s="292"/>
      <c r="OVL35" s="292"/>
      <c r="OVM35" s="292"/>
      <c r="OVN35" s="292"/>
      <c r="OVO35" s="292"/>
      <c r="OVP35" s="292"/>
      <c r="OVQ35" s="292"/>
      <c r="OVR35" s="292"/>
      <c r="OVS35" s="292"/>
      <c r="OVT35" s="292"/>
      <c r="OVU35" s="292"/>
      <c r="OVV35" s="292"/>
      <c r="OVW35" s="292"/>
      <c r="OVX35" s="292"/>
      <c r="OVY35" s="292"/>
      <c r="OVZ35" s="292"/>
      <c r="OWA35" s="292"/>
      <c r="OWB35" s="292"/>
      <c r="OWC35" s="292"/>
      <c r="OWD35" s="292"/>
      <c r="OWE35" s="292"/>
      <c r="OWF35" s="292"/>
      <c r="OWG35" s="292"/>
      <c r="OWH35" s="292"/>
      <c r="OWI35" s="292"/>
      <c r="OWJ35" s="292"/>
      <c r="OWK35" s="292"/>
      <c r="OWL35" s="292"/>
      <c r="OWM35" s="292"/>
      <c r="OWN35" s="292"/>
      <c r="OWO35" s="292"/>
      <c r="OWP35" s="292"/>
      <c r="OWQ35" s="292"/>
      <c r="OWR35" s="292"/>
      <c r="OWS35" s="292"/>
      <c r="OWT35" s="292"/>
      <c r="OWU35" s="292"/>
      <c r="OWV35" s="292"/>
      <c r="OWW35" s="292"/>
      <c r="OWX35" s="292"/>
      <c r="OWY35" s="292"/>
      <c r="OWZ35" s="292"/>
      <c r="OXA35" s="292"/>
      <c r="OXB35" s="292"/>
      <c r="OXC35" s="292"/>
      <c r="OXD35" s="292"/>
      <c r="OXE35" s="292"/>
      <c r="OXF35" s="292"/>
      <c r="OXG35" s="292"/>
      <c r="OXH35" s="292"/>
      <c r="OXI35" s="292"/>
      <c r="OXJ35" s="292"/>
      <c r="OXK35" s="292"/>
      <c r="OXL35" s="292"/>
      <c r="OXM35" s="292"/>
      <c r="OXN35" s="292"/>
      <c r="OXO35" s="292"/>
      <c r="OXP35" s="292"/>
      <c r="OXQ35" s="292"/>
      <c r="OXR35" s="292"/>
      <c r="OXS35" s="292"/>
      <c r="OXT35" s="292"/>
      <c r="OXU35" s="292"/>
      <c r="OXV35" s="292"/>
      <c r="OXW35" s="292"/>
      <c r="OXX35" s="292"/>
      <c r="OXY35" s="292"/>
      <c r="OXZ35" s="292"/>
      <c r="OYA35" s="292"/>
      <c r="OYB35" s="292"/>
      <c r="OYC35" s="292"/>
      <c r="OYD35" s="292"/>
      <c r="OYE35" s="292"/>
      <c r="OYF35" s="292"/>
      <c r="OYG35" s="292"/>
      <c r="OYH35" s="292"/>
      <c r="OYI35" s="292"/>
      <c r="OYJ35" s="292"/>
      <c r="OYK35" s="292"/>
      <c r="OYL35" s="292"/>
      <c r="OYM35" s="292"/>
      <c r="OYN35" s="292"/>
      <c r="OYO35" s="292"/>
      <c r="OYP35" s="292"/>
      <c r="OYQ35" s="292"/>
      <c r="OYR35" s="292"/>
      <c r="OYS35" s="292"/>
      <c r="OYT35" s="292"/>
      <c r="OYU35" s="292"/>
      <c r="OYV35" s="292"/>
      <c r="OYW35" s="292"/>
      <c r="OYX35" s="292"/>
      <c r="OYY35" s="292"/>
      <c r="OYZ35" s="292"/>
      <c r="OZA35" s="292"/>
      <c r="OZB35" s="292"/>
      <c r="OZC35" s="292"/>
      <c r="OZD35" s="292"/>
      <c r="OZE35" s="292"/>
      <c r="OZF35" s="292"/>
      <c r="OZG35" s="292"/>
      <c r="OZH35" s="292"/>
      <c r="OZI35" s="292"/>
      <c r="OZJ35" s="292"/>
      <c r="OZK35" s="292"/>
      <c r="OZL35" s="292"/>
      <c r="OZM35" s="292"/>
      <c r="OZN35" s="292"/>
      <c r="OZO35" s="292"/>
      <c r="OZP35" s="292"/>
      <c r="OZQ35" s="292"/>
      <c r="OZR35" s="292"/>
      <c r="OZS35" s="292"/>
      <c r="OZT35" s="292"/>
      <c r="OZU35" s="292"/>
      <c r="OZV35" s="292"/>
      <c r="OZW35" s="292"/>
      <c r="OZX35" s="292"/>
      <c r="OZY35" s="292"/>
      <c r="OZZ35" s="292"/>
      <c r="PAA35" s="292"/>
      <c r="PAB35" s="292"/>
      <c r="PAC35" s="292"/>
      <c r="PAD35" s="292"/>
      <c r="PAE35" s="292"/>
      <c r="PAF35" s="292"/>
      <c r="PAG35" s="292"/>
      <c r="PAH35" s="292"/>
      <c r="PAI35" s="292"/>
      <c r="PAJ35" s="292"/>
      <c r="PAK35" s="292"/>
      <c r="PAL35" s="292"/>
      <c r="PAM35" s="292"/>
      <c r="PAN35" s="292"/>
      <c r="PAO35" s="292"/>
      <c r="PAP35" s="292"/>
      <c r="PAQ35" s="292"/>
      <c r="PAR35" s="292"/>
      <c r="PAS35" s="292"/>
      <c r="PAT35" s="292"/>
      <c r="PAU35" s="292"/>
      <c r="PAV35" s="292"/>
      <c r="PAW35" s="292"/>
      <c r="PAX35" s="292"/>
      <c r="PAY35" s="292"/>
      <c r="PAZ35" s="292"/>
      <c r="PBA35" s="292"/>
      <c r="PBB35" s="292"/>
      <c r="PBC35" s="292"/>
      <c r="PBD35" s="292"/>
      <c r="PBE35" s="292"/>
      <c r="PBF35" s="292"/>
      <c r="PBG35" s="292"/>
      <c r="PBH35" s="292"/>
      <c r="PBI35" s="292"/>
      <c r="PBJ35" s="292"/>
      <c r="PBK35" s="292"/>
      <c r="PBL35" s="292"/>
      <c r="PBM35" s="292"/>
      <c r="PBN35" s="292"/>
      <c r="PBO35" s="292"/>
      <c r="PBP35" s="292"/>
      <c r="PBQ35" s="292"/>
      <c r="PBR35" s="292"/>
      <c r="PBS35" s="292"/>
      <c r="PBT35" s="292"/>
      <c r="PBU35" s="292"/>
      <c r="PBV35" s="292"/>
      <c r="PBW35" s="292"/>
      <c r="PBX35" s="292"/>
      <c r="PBY35" s="292"/>
      <c r="PBZ35" s="292"/>
      <c r="PCA35" s="292"/>
      <c r="PCB35" s="292"/>
      <c r="PCC35" s="292"/>
      <c r="PCD35" s="292"/>
      <c r="PCE35" s="292"/>
      <c r="PCF35" s="292"/>
      <c r="PCG35" s="292"/>
      <c r="PCH35" s="292"/>
      <c r="PCI35" s="292"/>
      <c r="PCJ35" s="292"/>
      <c r="PCK35" s="292"/>
      <c r="PCL35" s="292"/>
      <c r="PCM35" s="292"/>
      <c r="PCN35" s="292"/>
      <c r="PCO35" s="292"/>
      <c r="PCP35" s="292"/>
      <c r="PCQ35" s="292"/>
      <c r="PCR35" s="292"/>
      <c r="PCS35" s="292"/>
      <c r="PCT35" s="292"/>
      <c r="PCU35" s="292"/>
      <c r="PCV35" s="292"/>
      <c r="PCW35" s="292"/>
      <c r="PCX35" s="292"/>
      <c r="PCY35" s="292"/>
      <c r="PCZ35" s="292"/>
      <c r="PDA35" s="292"/>
      <c r="PDB35" s="292"/>
      <c r="PDC35" s="292"/>
      <c r="PDD35" s="292"/>
      <c r="PDE35" s="292"/>
      <c r="PDF35" s="292"/>
      <c r="PDG35" s="292"/>
      <c r="PDH35" s="292"/>
      <c r="PDI35" s="292"/>
      <c r="PDJ35" s="292"/>
      <c r="PDK35" s="292"/>
      <c r="PDL35" s="292"/>
      <c r="PDM35" s="292"/>
      <c r="PDN35" s="292"/>
      <c r="PDO35" s="292"/>
      <c r="PDP35" s="292"/>
      <c r="PDQ35" s="292"/>
      <c r="PDR35" s="292"/>
      <c r="PDS35" s="292"/>
      <c r="PDT35" s="292"/>
      <c r="PDU35" s="292"/>
      <c r="PDV35" s="292"/>
      <c r="PDW35" s="292"/>
      <c r="PDX35" s="292"/>
      <c r="PDY35" s="292"/>
      <c r="PDZ35" s="292"/>
      <c r="PEA35" s="292"/>
      <c r="PEB35" s="292"/>
      <c r="PEC35" s="292"/>
      <c r="PED35" s="292"/>
      <c r="PEE35" s="292"/>
      <c r="PEF35" s="292"/>
      <c r="PEG35" s="292"/>
      <c r="PEH35" s="292"/>
      <c r="PEI35" s="292"/>
      <c r="PEJ35" s="292"/>
      <c r="PEK35" s="292"/>
      <c r="PEL35" s="292"/>
      <c r="PEM35" s="292"/>
      <c r="PEN35" s="292"/>
      <c r="PEO35" s="292"/>
      <c r="PEP35" s="292"/>
      <c r="PEQ35" s="292"/>
      <c r="PER35" s="292"/>
      <c r="PES35" s="292"/>
      <c r="PET35" s="292"/>
      <c r="PEU35" s="292"/>
      <c r="PEV35" s="292"/>
      <c r="PEW35" s="292"/>
      <c r="PEX35" s="292"/>
      <c r="PEY35" s="292"/>
      <c r="PEZ35" s="292"/>
      <c r="PFA35" s="292"/>
      <c r="PFB35" s="292"/>
      <c r="PFC35" s="292"/>
      <c r="PFD35" s="292"/>
      <c r="PFE35" s="292"/>
      <c r="PFF35" s="292"/>
      <c r="PFG35" s="292"/>
      <c r="PFH35" s="292"/>
      <c r="PFI35" s="292"/>
      <c r="PFJ35" s="292"/>
      <c r="PFK35" s="292"/>
      <c r="PFL35" s="292"/>
      <c r="PFM35" s="292"/>
      <c r="PFN35" s="292"/>
      <c r="PFO35" s="292"/>
      <c r="PFP35" s="292"/>
      <c r="PFQ35" s="292"/>
      <c r="PFR35" s="292"/>
      <c r="PFS35" s="292"/>
      <c r="PFT35" s="292"/>
      <c r="PFU35" s="292"/>
      <c r="PFV35" s="292"/>
      <c r="PFW35" s="292"/>
      <c r="PFX35" s="292"/>
      <c r="PFY35" s="292"/>
      <c r="PFZ35" s="292"/>
      <c r="PGA35" s="292"/>
      <c r="PGB35" s="292"/>
      <c r="PGC35" s="292"/>
      <c r="PGD35" s="292"/>
      <c r="PGE35" s="292"/>
      <c r="PGF35" s="292"/>
      <c r="PGG35" s="292"/>
      <c r="PGH35" s="292"/>
      <c r="PGI35" s="292"/>
      <c r="PGJ35" s="292"/>
      <c r="PGK35" s="292"/>
      <c r="PGL35" s="292"/>
      <c r="PGM35" s="292"/>
      <c r="PGN35" s="292"/>
      <c r="PGO35" s="292"/>
      <c r="PGP35" s="292"/>
      <c r="PGQ35" s="292"/>
      <c r="PGR35" s="292"/>
      <c r="PGS35" s="292"/>
      <c r="PGT35" s="292"/>
      <c r="PGU35" s="292"/>
      <c r="PGV35" s="292"/>
      <c r="PGW35" s="292"/>
      <c r="PGX35" s="292"/>
      <c r="PGY35" s="292"/>
      <c r="PGZ35" s="292"/>
      <c r="PHA35" s="292"/>
      <c r="PHB35" s="292"/>
      <c r="PHC35" s="292"/>
      <c r="PHD35" s="292"/>
      <c r="PHE35" s="292"/>
      <c r="PHF35" s="292"/>
      <c r="PHG35" s="292"/>
      <c r="PHH35" s="292"/>
      <c r="PHI35" s="292"/>
      <c r="PHJ35" s="292"/>
      <c r="PHK35" s="292"/>
      <c r="PHL35" s="292"/>
      <c r="PHM35" s="292"/>
      <c r="PHN35" s="292"/>
      <c r="PHO35" s="292"/>
      <c r="PHP35" s="292"/>
      <c r="PHQ35" s="292"/>
      <c r="PHR35" s="292"/>
      <c r="PHS35" s="292"/>
      <c r="PHT35" s="292"/>
      <c r="PHU35" s="292"/>
      <c r="PHV35" s="292"/>
      <c r="PHW35" s="292"/>
      <c r="PHX35" s="292"/>
      <c r="PHY35" s="292"/>
      <c r="PHZ35" s="292"/>
      <c r="PIA35" s="292"/>
      <c r="PIB35" s="292"/>
      <c r="PIC35" s="292"/>
      <c r="PID35" s="292"/>
      <c r="PIE35" s="292"/>
      <c r="PIF35" s="292"/>
      <c r="PIG35" s="292"/>
      <c r="PIH35" s="292"/>
      <c r="PII35" s="292"/>
      <c r="PIJ35" s="292"/>
      <c r="PIK35" s="292"/>
      <c r="PIL35" s="292"/>
      <c r="PIM35" s="292"/>
      <c r="PIN35" s="292"/>
      <c r="PIO35" s="292"/>
      <c r="PIP35" s="292"/>
      <c r="PIQ35" s="292"/>
      <c r="PIR35" s="292"/>
      <c r="PIS35" s="292"/>
      <c r="PIT35" s="292"/>
      <c r="PIU35" s="292"/>
      <c r="PIV35" s="292"/>
      <c r="PIW35" s="292"/>
      <c r="PIX35" s="292"/>
      <c r="PIY35" s="292"/>
      <c r="PIZ35" s="292"/>
      <c r="PJA35" s="292"/>
      <c r="PJB35" s="292"/>
      <c r="PJC35" s="292"/>
      <c r="PJD35" s="292"/>
      <c r="PJE35" s="292"/>
      <c r="PJF35" s="292"/>
      <c r="PJG35" s="292"/>
      <c r="PJH35" s="292"/>
      <c r="PJI35" s="292"/>
      <c r="PJJ35" s="292"/>
      <c r="PJK35" s="292"/>
      <c r="PJL35" s="292"/>
      <c r="PJM35" s="292"/>
      <c r="PJN35" s="292"/>
      <c r="PJO35" s="292"/>
      <c r="PJP35" s="292"/>
      <c r="PJQ35" s="292"/>
      <c r="PJR35" s="292"/>
      <c r="PJS35" s="292"/>
      <c r="PJT35" s="292"/>
      <c r="PJU35" s="292"/>
      <c r="PJV35" s="292"/>
      <c r="PJW35" s="292"/>
      <c r="PJX35" s="292"/>
      <c r="PJY35" s="292"/>
      <c r="PJZ35" s="292"/>
      <c r="PKA35" s="292"/>
      <c r="PKB35" s="292"/>
      <c r="PKC35" s="292"/>
      <c r="PKD35" s="292"/>
      <c r="PKE35" s="292"/>
      <c r="PKF35" s="292"/>
      <c r="PKG35" s="292"/>
      <c r="PKH35" s="292"/>
      <c r="PKI35" s="292"/>
      <c r="PKJ35" s="292"/>
      <c r="PKK35" s="292"/>
      <c r="PKL35" s="292"/>
      <c r="PKM35" s="292"/>
      <c r="PKN35" s="292"/>
      <c r="PKO35" s="292"/>
      <c r="PKP35" s="292"/>
      <c r="PKQ35" s="292"/>
      <c r="PKR35" s="292"/>
      <c r="PKS35" s="292"/>
      <c r="PKT35" s="292"/>
      <c r="PKU35" s="292"/>
      <c r="PKV35" s="292"/>
      <c r="PKW35" s="292"/>
      <c r="PKX35" s="292"/>
      <c r="PKY35" s="292"/>
      <c r="PKZ35" s="292"/>
      <c r="PLA35" s="292"/>
      <c r="PLB35" s="292"/>
      <c r="PLC35" s="292"/>
      <c r="PLD35" s="292"/>
      <c r="PLE35" s="292"/>
      <c r="PLF35" s="292"/>
      <c r="PLG35" s="292"/>
      <c r="PLH35" s="292"/>
      <c r="PLI35" s="292"/>
      <c r="PLJ35" s="292"/>
      <c r="PLK35" s="292"/>
      <c r="PLL35" s="292"/>
      <c r="PLM35" s="292"/>
      <c r="PLN35" s="292"/>
      <c r="PLO35" s="292"/>
      <c r="PLP35" s="292"/>
      <c r="PLQ35" s="292"/>
      <c r="PLR35" s="292"/>
      <c r="PLS35" s="292"/>
      <c r="PLT35" s="292"/>
      <c r="PLU35" s="292"/>
      <c r="PLV35" s="292"/>
      <c r="PLW35" s="292"/>
      <c r="PLX35" s="292"/>
      <c r="PLY35" s="292"/>
      <c r="PLZ35" s="292"/>
      <c r="PMA35" s="292"/>
      <c r="PMB35" s="292"/>
      <c r="PMC35" s="292"/>
      <c r="PMD35" s="292"/>
      <c r="PME35" s="292"/>
      <c r="PMF35" s="292"/>
      <c r="PMG35" s="292"/>
      <c r="PMH35" s="292"/>
      <c r="PMI35" s="292"/>
      <c r="PMJ35" s="292"/>
      <c r="PMK35" s="292"/>
      <c r="PML35" s="292"/>
      <c r="PMM35" s="292"/>
      <c r="PMN35" s="292"/>
      <c r="PMO35" s="292"/>
      <c r="PMP35" s="292"/>
      <c r="PMQ35" s="292"/>
      <c r="PMR35" s="292"/>
      <c r="PMS35" s="292"/>
      <c r="PMT35" s="292"/>
      <c r="PMU35" s="292"/>
      <c r="PMV35" s="292"/>
      <c r="PMW35" s="292"/>
      <c r="PMX35" s="292"/>
      <c r="PMY35" s="292"/>
      <c r="PMZ35" s="292"/>
      <c r="PNA35" s="292"/>
      <c r="PNB35" s="292"/>
      <c r="PNC35" s="292"/>
      <c r="PND35" s="292"/>
      <c r="PNE35" s="292"/>
      <c r="PNF35" s="292"/>
      <c r="PNG35" s="292"/>
      <c r="PNH35" s="292"/>
      <c r="PNI35" s="292"/>
      <c r="PNJ35" s="292"/>
      <c r="PNK35" s="292"/>
      <c r="PNL35" s="292"/>
      <c r="PNM35" s="292"/>
      <c r="PNN35" s="292"/>
      <c r="PNO35" s="292"/>
      <c r="PNP35" s="292"/>
      <c r="PNQ35" s="292"/>
      <c r="PNR35" s="292"/>
      <c r="PNS35" s="292"/>
      <c r="PNT35" s="292"/>
      <c r="PNU35" s="292"/>
      <c r="PNV35" s="292"/>
      <c r="PNW35" s="292"/>
      <c r="PNX35" s="292"/>
      <c r="PNY35" s="292"/>
      <c r="PNZ35" s="292"/>
      <c r="POA35" s="292"/>
      <c r="POB35" s="292"/>
      <c r="POC35" s="292"/>
      <c r="POD35" s="292"/>
      <c r="POE35" s="292"/>
      <c r="POF35" s="292"/>
      <c r="POG35" s="292"/>
      <c r="POH35" s="292"/>
      <c r="POI35" s="292"/>
      <c r="POJ35" s="292"/>
      <c r="POK35" s="292"/>
      <c r="POL35" s="292"/>
      <c r="POM35" s="292"/>
      <c r="PON35" s="292"/>
      <c r="POO35" s="292"/>
      <c r="POP35" s="292"/>
      <c r="POQ35" s="292"/>
      <c r="POR35" s="292"/>
      <c r="POS35" s="292"/>
      <c r="POT35" s="292"/>
      <c r="POU35" s="292"/>
      <c r="POV35" s="292"/>
      <c r="POW35" s="292"/>
      <c r="POX35" s="292"/>
      <c r="POY35" s="292"/>
      <c r="POZ35" s="292"/>
      <c r="PPA35" s="292"/>
      <c r="PPB35" s="292"/>
      <c r="PPC35" s="292"/>
      <c r="PPD35" s="292"/>
      <c r="PPE35" s="292"/>
      <c r="PPF35" s="292"/>
      <c r="PPG35" s="292"/>
      <c r="PPH35" s="292"/>
      <c r="PPI35" s="292"/>
      <c r="PPJ35" s="292"/>
      <c r="PPK35" s="292"/>
      <c r="PPL35" s="292"/>
      <c r="PPM35" s="292"/>
      <c r="PPN35" s="292"/>
      <c r="PPO35" s="292"/>
      <c r="PPP35" s="292"/>
      <c r="PPQ35" s="292"/>
      <c r="PPR35" s="292"/>
      <c r="PPS35" s="292"/>
      <c r="PPT35" s="292"/>
      <c r="PPU35" s="292"/>
      <c r="PPV35" s="292"/>
      <c r="PPW35" s="292"/>
      <c r="PPX35" s="292"/>
      <c r="PPY35" s="292"/>
      <c r="PPZ35" s="292"/>
      <c r="PQA35" s="292"/>
      <c r="PQB35" s="292"/>
      <c r="PQC35" s="292"/>
      <c r="PQD35" s="292"/>
      <c r="PQE35" s="292"/>
      <c r="PQF35" s="292"/>
      <c r="PQG35" s="292"/>
      <c r="PQH35" s="292"/>
      <c r="PQI35" s="292"/>
      <c r="PQJ35" s="292"/>
      <c r="PQK35" s="292"/>
      <c r="PQL35" s="292"/>
      <c r="PQM35" s="292"/>
      <c r="PQN35" s="292"/>
      <c r="PQO35" s="292"/>
      <c r="PQP35" s="292"/>
      <c r="PQQ35" s="292"/>
      <c r="PQR35" s="292"/>
      <c r="PQS35" s="292"/>
      <c r="PQT35" s="292"/>
      <c r="PQU35" s="292"/>
      <c r="PQV35" s="292"/>
      <c r="PQW35" s="292"/>
      <c r="PQX35" s="292"/>
      <c r="PQY35" s="292"/>
      <c r="PQZ35" s="292"/>
      <c r="PRA35" s="292"/>
      <c r="PRB35" s="292"/>
      <c r="PRC35" s="292"/>
      <c r="PRD35" s="292"/>
      <c r="PRE35" s="292"/>
      <c r="PRF35" s="292"/>
      <c r="PRG35" s="292"/>
      <c r="PRH35" s="292"/>
      <c r="PRI35" s="292"/>
      <c r="PRJ35" s="292"/>
      <c r="PRK35" s="292"/>
      <c r="PRL35" s="292"/>
      <c r="PRM35" s="292"/>
      <c r="PRN35" s="292"/>
      <c r="PRO35" s="292"/>
      <c r="PRP35" s="292"/>
      <c r="PRQ35" s="292"/>
      <c r="PRR35" s="292"/>
      <c r="PRS35" s="292"/>
      <c r="PRT35" s="292"/>
      <c r="PRU35" s="292"/>
      <c r="PRV35" s="292"/>
      <c r="PRW35" s="292"/>
      <c r="PRX35" s="292"/>
      <c r="PRY35" s="292"/>
      <c r="PRZ35" s="292"/>
      <c r="PSA35" s="292"/>
      <c r="PSB35" s="292"/>
      <c r="PSC35" s="292"/>
      <c r="PSD35" s="292"/>
      <c r="PSE35" s="292"/>
      <c r="PSF35" s="292"/>
      <c r="PSG35" s="292"/>
      <c r="PSH35" s="292"/>
      <c r="PSI35" s="292"/>
      <c r="PSJ35" s="292"/>
      <c r="PSK35" s="292"/>
      <c r="PSL35" s="292"/>
      <c r="PSM35" s="292"/>
      <c r="PSN35" s="292"/>
      <c r="PSO35" s="292"/>
      <c r="PSP35" s="292"/>
      <c r="PSQ35" s="292"/>
      <c r="PSR35" s="292"/>
      <c r="PSS35" s="292"/>
      <c r="PST35" s="292"/>
      <c r="PSU35" s="292"/>
      <c r="PSV35" s="292"/>
      <c r="PSW35" s="292"/>
      <c r="PSX35" s="292"/>
      <c r="PSY35" s="292"/>
      <c r="PSZ35" s="292"/>
      <c r="PTA35" s="292"/>
      <c r="PTB35" s="292"/>
      <c r="PTC35" s="292"/>
      <c r="PTD35" s="292"/>
      <c r="PTE35" s="292"/>
      <c r="PTF35" s="292"/>
      <c r="PTG35" s="292"/>
      <c r="PTH35" s="292"/>
      <c r="PTI35" s="292"/>
      <c r="PTJ35" s="292"/>
      <c r="PTK35" s="292"/>
      <c r="PTL35" s="292"/>
      <c r="PTM35" s="292"/>
      <c r="PTN35" s="292"/>
      <c r="PTO35" s="292"/>
      <c r="PTP35" s="292"/>
      <c r="PTQ35" s="292"/>
      <c r="PTR35" s="292"/>
      <c r="PTS35" s="292"/>
      <c r="PTT35" s="292"/>
      <c r="PTU35" s="292"/>
      <c r="PTV35" s="292"/>
      <c r="PTW35" s="292"/>
      <c r="PTX35" s="292"/>
      <c r="PTY35" s="292"/>
      <c r="PTZ35" s="292"/>
      <c r="PUA35" s="292"/>
      <c r="PUB35" s="292"/>
      <c r="PUC35" s="292"/>
      <c r="PUD35" s="292"/>
      <c r="PUE35" s="292"/>
      <c r="PUF35" s="292"/>
      <c r="PUG35" s="292"/>
      <c r="PUH35" s="292"/>
      <c r="PUI35" s="292"/>
      <c r="PUJ35" s="292"/>
      <c r="PUK35" s="292"/>
      <c r="PUL35" s="292"/>
      <c r="PUM35" s="292"/>
      <c r="PUN35" s="292"/>
      <c r="PUO35" s="292"/>
      <c r="PUP35" s="292"/>
      <c r="PUQ35" s="292"/>
      <c r="PUR35" s="292"/>
      <c r="PUS35" s="292"/>
      <c r="PUT35" s="292"/>
      <c r="PUU35" s="292"/>
      <c r="PUV35" s="292"/>
      <c r="PUW35" s="292"/>
      <c r="PUX35" s="292"/>
      <c r="PUY35" s="292"/>
      <c r="PUZ35" s="292"/>
      <c r="PVA35" s="292"/>
      <c r="PVB35" s="292"/>
      <c r="PVC35" s="292"/>
      <c r="PVD35" s="292"/>
      <c r="PVE35" s="292"/>
      <c r="PVF35" s="292"/>
      <c r="PVG35" s="292"/>
      <c r="PVH35" s="292"/>
      <c r="PVI35" s="292"/>
      <c r="PVJ35" s="292"/>
      <c r="PVK35" s="292"/>
      <c r="PVL35" s="292"/>
      <c r="PVM35" s="292"/>
      <c r="PVN35" s="292"/>
      <c r="PVO35" s="292"/>
      <c r="PVP35" s="292"/>
      <c r="PVQ35" s="292"/>
      <c r="PVR35" s="292"/>
      <c r="PVS35" s="292"/>
      <c r="PVT35" s="292"/>
      <c r="PVU35" s="292"/>
      <c r="PVV35" s="292"/>
      <c r="PVW35" s="292"/>
      <c r="PVX35" s="292"/>
      <c r="PVY35" s="292"/>
      <c r="PVZ35" s="292"/>
      <c r="PWA35" s="292"/>
      <c r="PWB35" s="292"/>
      <c r="PWC35" s="292"/>
      <c r="PWD35" s="292"/>
      <c r="PWE35" s="292"/>
      <c r="PWF35" s="292"/>
      <c r="PWG35" s="292"/>
      <c r="PWH35" s="292"/>
      <c r="PWI35" s="292"/>
      <c r="PWJ35" s="292"/>
      <c r="PWK35" s="292"/>
      <c r="PWL35" s="292"/>
      <c r="PWM35" s="292"/>
      <c r="PWN35" s="292"/>
      <c r="PWO35" s="292"/>
      <c r="PWP35" s="292"/>
      <c r="PWQ35" s="292"/>
      <c r="PWR35" s="292"/>
      <c r="PWS35" s="292"/>
      <c r="PWT35" s="292"/>
      <c r="PWU35" s="292"/>
      <c r="PWV35" s="292"/>
      <c r="PWW35" s="292"/>
      <c r="PWX35" s="292"/>
      <c r="PWY35" s="292"/>
      <c r="PWZ35" s="292"/>
      <c r="PXA35" s="292"/>
      <c r="PXB35" s="292"/>
      <c r="PXC35" s="292"/>
      <c r="PXD35" s="292"/>
      <c r="PXE35" s="292"/>
      <c r="PXF35" s="292"/>
      <c r="PXG35" s="292"/>
      <c r="PXH35" s="292"/>
      <c r="PXI35" s="292"/>
      <c r="PXJ35" s="292"/>
      <c r="PXK35" s="292"/>
      <c r="PXL35" s="292"/>
      <c r="PXM35" s="292"/>
      <c r="PXN35" s="292"/>
      <c r="PXO35" s="292"/>
      <c r="PXP35" s="292"/>
      <c r="PXQ35" s="292"/>
      <c r="PXR35" s="292"/>
      <c r="PXS35" s="292"/>
      <c r="PXT35" s="292"/>
      <c r="PXU35" s="292"/>
      <c r="PXV35" s="292"/>
      <c r="PXW35" s="292"/>
      <c r="PXX35" s="292"/>
      <c r="PXY35" s="292"/>
      <c r="PXZ35" s="292"/>
      <c r="PYA35" s="292"/>
      <c r="PYB35" s="292"/>
      <c r="PYC35" s="292"/>
      <c r="PYD35" s="292"/>
      <c r="PYE35" s="292"/>
      <c r="PYF35" s="292"/>
      <c r="PYG35" s="292"/>
      <c r="PYH35" s="292"/>
      <c r="PYI35" s="292"/>
      <c r="PYJ35" s="292"/>
      <c r="PYK35" s="292"/>
      <c r="PYL35" s="292"/>
      <c r="PYM35" s="292"/>
      <c r="PYN35" s="292"/>
      <c r="PYO35" s="292"/>
      <c r="PYP35" s="292"/>
      <c r="PYQ35" s="292"/>
      <c r="PYR35" s="292"/>
      <c r="PYS35" s="292"/>
      <c r="PYT35" s="292"/>
      <c r="PYU35" s="292"/>
      <c r="PYV35" s="292"/>
      <c r="PYW35" s="292"/>
      <c r="PYX35" s="292"/>
      <c r="PYY35" s="292"/>
      <c r="PYZ35" s="292"/>
      <c r="PZA35" s="292"/>
      <c r="PZB35" s="292"/>
      <c r="PZC35" s="292"/>
      <c r="PZD35" s="292"/>
      <c r="PZE35" s="292"/>
      <c r="PZF35" s="292"/>
      <c r="PZG35" s="292"/>
      <c r="PZH35" s="292"/>
      <c r="PZI35" s="292"/>
      <c r="PZJ35" s="292"/>
      <c r="PZK35" s="292"/>
      <c r="PZL35" s="292"/>
      <c r="PZM35" s="292"/>
      <c r="PZN35" s="292"/>
      <c r="PZO35" s="292"/>
      <c r="PZP35" s="292"/>
      <c r="PZQ35" s="292"/>
      <c r="PZR35" s="292"/>
      <c r="PZS35" s="292"/>
      <c r="PZT35" s="292"/>
      <c r="PZU35" s="292"/>
      <c r="PZV35" s="292"/>
      <c r="PZW35" s="292"/>
      <c r="PZX35" s="292"/>
      <c r="PZY35" s="292"/>
      <c r="PZZ35" s="292"/>
      <c r="QAA35" s="292"/>
      <c r="QAB35" s="292"/>
      <c r="QAC35" s="292"/>
      <c r="QAD35" s="292"/>
      <c r="QAE35" s="292"/>
      <c r="QAF35" s="292"/>
      <c r="QAG35" s="292"/>
      <c r="QAH35" s="292"/>
      <c r="QAI35" s="292"/>
      <c r="QAJ35" s="292"/>
      <c r="QAK35" s="292"/>
      <c r="QAL35" s="292"/>
      <c r="QAM35" s="292"/>
      <c r="QAN35" s="292"/>
      <c r="QAO35" s="292"/>
      <c r="QAP35" s="292"/>
      <c r="QAQ35" s="292"/>
      <c r="QAR35" s="292"/>
      <c r="QAS35" s="292"/>
      <c r="QAT35" s="292"/>
      <c r="QAU35" s="292"/>
      <c r="QAV35" s="292"/>
      <c r="QAW35" s="292"/>
      <c r="QAX35" s="292"/>
      <c r="QAY35" s="292"/>
      <c r="QAZ35" s="292"/>
      <c r="QBA35" s="292"/>
      <c r="QBB35" s="292"/>
      <c r="QBC35" s="292"/>
      <c r="QBD35" s="292"/>
      <c r="QBE35" s="292"/>
      <c r="QBF35" s="292"/>
      <c r="QBG35" s="292"/>
      <c r="QBH35" s="292"/>
      <c r="QBI35" s="292"/>
      <c r="QBJ35" s="292"/>
      <c r="QBK35" s="292"/>
      <c r="QBL35" s="292"/>
      <c r="QBM35" s="292"/>
      <c r="QBN35" s="292"/>
      <c r="QBO35" s="292"/>
      <c r="QBP35" s="292"/>
      <c r="QBQ35" s="292"/>
      <c r="QBR35" s="292"/>
      <c r="QBS35" s="292"/>
      <c r="QBT35" s="292"/>
      <c r="QBU35" s="292"/>
      <c r="QBV35" s="292"/>
      <c r="QBW35" s="292"/>
      <c r="QBX35" s="292"/>
      <c r="QBY35" s="292"/>
      <c r="QBZ35" s="292"/>
      <c r="QCA35" s="292"/>
      <c r="QCB35" s="292"/>
      <c r="QCC35" s="292"/>
      <c r="QCD35" s="292"/>
      <c r="QCE35" s="292"/>
      <c r="QCF35" s="292"/>
      <c r="QCG35" s="292"/>
      <c r="QCH35" s="292"/>
      <c r="QCI35" s="292"/>
      <c r="QCJ35" s="292"/>
      <c r="QCK35" s="292"/>
      <c r="QCL35" s="292"/>
      <c r="QCM35" s="292"/>
      <c r="QCN35" s="292"/>
      <c r="QCO35" s="292"/>
      <c r="QCP35" s="292"/>
      <c r="QCQ35" s="292"/>
      <c r="QCR35" s="292"/>
      <c r="QCS35" s="292"/>
      <c r="QCT35" s="292"/>
      <c r="QCU35" s="292"/>
      <c r="QCV35" s="292"/>
      <c r="QCW35" s="292"/>
      <c r="QCX35" s="292"/>
      <c r="QCY35" s="292"/>
      <c r="QCZ35" s="292"/>
      <c r="QDA35" s="292"/>
      <c r="QDB35" s="292"/>
      <c r="QDC35" s="292"/>
      <c r="QDD35" s="292"/>
      <c r="QDE35" s="292"/>
      <c r="QDF35" s="292"/>
      <c r="QDG35" s="292"/>
      <c r="QDH35" s="292"/>
      <c r="QDI35" s="292"/>
      <c r="QDJ35" s="292"/>
      <c r="QDK35" s="292"/>
      <c r="QDL35" s="292"/>
      <c r="QDM35" s="292"/>
      <c r="QDN35" s="292"/>
      <c r="QDO35" s="292"/>
      <c r="QDP35" s="292"/>
      <c r="QDQ35" s="292"/>
      <c r="QDR35" s="292"/>
      <c r="QDS35" s="292"/>
      <c r="QDT35" s="292"/>
      <c r="QDU35" s="292"/>
      <c r="QDV35" s="292"/>
      <c r="QDW35" s="292"/>
      <c r="QDX35" s="292"/>
      <c r="QDY35" s="292"/>
      <c r="QDZ35" s="292"/>
      <c r="QEA35" s="292"/>
      <c r="QEB35" s="292"/>
      <c r="QEC35" s="292"/>
      <c r="QED35" s="292"/>
      <c r="QEE35" s="292"/>
      <c r="QEF35" s="292"/>
      <c r="QEG35" s="292"/>
      <c r="QEH35" s="292"/>
      <c r="QEI35" s="292"/>
      <c r="QEJ35" s="292"/>
      <c r="QEK35" s="292"/>
      <c r="QEL35" s="292"/>
      <c r="QEM35" s="292"/>
      <c r="QEN35" s="292"/>
      <c r="QEO35" s="292"/>
      <c r="QEP35" s="292"/>
      <c r="QEQ35" s="292"/>
      <c r="QER35" s="292"/>
      <c r="QES35" s="292"/>
      <c r="QET35" s="292"/>
      <c r="QEU35" s="292"/>
      <c r="QEV35" s="292"/>
      <c r="QEW35" s="292"/>
      <c r="QEX35" s="292"/>
      <c r="QEY35" s="292"/>
      <c r="QEZ35" s="292"/>
      <c r="QFA35" s="292"/>
      <c r="QFB35" s="292"/>
      <c r="QFC35" s="292"/>
      <c r="QFD35" s="292"/>
      <c r="QFE35" s="292"/>
      <c r="QFF35" s="292"/>
      <c r="QFG35" s="292"/>
      <c r="QFH35" s="292"/>
      <c r="QFI35" s="292"/>
      <c r="QFJ35" s="292"/>
      <c r="QFK35" s="292"/>
      <c r="QFL35" s="292"/>
      <c r="QFM35" s="292"/>
      <c r="QFN35" s="292"/>
      <c r="QFO35" s="292"/>
      <c r="QFP35" s="292"/>
      <c r="QFQ35" s="292"/>
      <c r="QFR35" s="292"/>
      <c r="QFS35" s="292"/>
      <c r="QFT35" s="292"/>
      <c r="QFU35" s="292"/>
      <c r="QFV35" s="292"/>
      <c r="QFW35" s="292"/>
      <c r="QFX35" s="292"/>
      <c r="QFY35" s="292"/>
      <c r="QFZ35" s="292"/>
      <c r="QGA35" s="292"/>
      <c r="QGB35" s="292"/>
      <c r="QGC35" s="292"/>
      <c r="QGD35" s="292"/>
      <c r="QGE35" s="292"/>
      <c r="QGF35" s="292"/>
      <c r="QGG35" s="292"/>
      <c r="QGH35" s="292"/>
      <c r="QGI35" s="292"/>
      <c r="QGJ35" s="292"/>
      <c r="QGK35" s="292"/>
      <c r="QGL35" s="292"/>
      <c r="QGM35" s="292"/>
      <c r="QGN35" s="292"/>
      <c r="QGO35" s="292"/>
      <c r="QGP35" s="292"/>
      <c r="QGQ35" s="292"/>
      <c r="QGR35" s="292"/>
      <c r="QGS35" s="292"/>
      <c r="QGT35" s="292"/>
      <c r="QGU35" s="292"/>
      <c r="QGV35" s="292"/>
      <c r="QGW35" s="292"/>
      <c r="QGX35" s="292"/>
      <c r="QGY35" s="292"/>
      <c r="QGZ35" s="292"/>
      <c r="QHA35" s="292"/>
      <c r="QHB35" s="292"/>
      <c r="QHC35" s="292"/>
      <c r="QHD35" s="292"/>
      <c r="QHE35" s="292"/>
      <c r="QHF35" s="292"/>
      <c r="QHG35" s="292"/>
      <c r="QHH35" s="292"/>
      <c r="QHI35" s="292"/>
      <c r="QHJ35" s="292"/>
      <c r="QHK35" s="292"/>
      <c r="QHL35" s="292"/>
      <c r="QHM35" s="292"/>
      <c r="QHN35" s="292"/>
      <c r="QHO35" s="292"/>
      <c r="QHP35" s="292"/>
      <c r="QHQ35" s="292"/>
      <c r="QHR35" s="292"/>
      <c r="QHS35" s="292"/>
      <c r="QHT35" s="292"/>
      <c r="QHU35" s="292"/>
      <c r="QHV35" s="292"/>
      <c r="QHW35" s="292"/>
      <c r="QHX35" s="292"/>
      <c r="QHY35" s="292"/>
      <c r="QHZ35" s="292"/>
      <c r="QIA35" s="292"/>
      <c r="QIB35" s="292"/>
      <c r="QIC35" s="292"/>
      <c r="QID35" s="292"/>
      <c r="QIE35" s="292"/>
      <c r="QIF35" s="292"/>
      <c r="QIG35" s="292"/>
      <c r="QIH35" s="292"/>
      <c r="QII35" s="292"/>
      <c r="QIJ35" s="292"/>
      <c r="QIK35" s="292"/>
      <c r="QIL35" s="292"/>
      <c r="QIM35" s="292"/>
      <c r="QIN35" s="292"/>
      <c r="QIO35" s="292"/>
      <c r="QIP35" s="292"/>
      <c r="QIQ35" s="292"/>
      <c r="QIR35" s="292"/>
      <c r="QIS35" s="292"/>
      <c r="QIT35" s="292"/>
      <c r="QIU35" s="292"/>
      <c r="QIV35" s="292"/>
      <c r="QIW35" s="292"/>
      <c r="QIX35" s="292"/>
      <c r="QIY35" s="292"/>
      <c r="QIZ35" s="292"/>
      <c r="QJA35" s="292"/>
      <c r="QJB35" s="292"/>
      <c r="QJC35" s="292"/>
      <c r="QJD35" s="292"/>
      <c r="QJE35" s="292"/>
      <c r="QJF35" s="292"/>
      <c r="QJG35" s="292"/>
      <c r="QJH35" s="292"/>
      <c r="QJI35" s="292"/>
      <c r="QJJ35" s="292"/>
      <c r="QJK35" s="292"/>
      <c r="QJL35" s="292"/>
      <c r="QJM35" s="292"/>
      <c r="QJN35" s="292"/>
      <c r="QJO35" s="292"/>
      <c r="QJP35" s="292"/>
      <c r="QJQ35" s="292"/>
      <c r="QJR35" s="292"/>
      <c r="QJS35" s="292"/>
      <c r="QJT35" s="292"/>
      <c r="QJU35" s="292"/>
      <c r="QJV35" s="292"/>
      <c r="QJW35" s="292"/>
      <c r="QJX35" s="292"/>
      <c r="QJY35" s="292"/>
      <c r="QJZ35" s="292"/>
      <c r="QKA35" s="292"/>
      <c r="QKB35" s="292"/>
      <c r="QKC35" s="292"/>
      <c r="QKD35" s="292"/>
      <c r="QKE35" s="292"/>
      <c r="QKF35" s="292"/>
      <c r="QKG35" s="292"/>
      <c r="QKH35" s="292"/>
      <c r="QKI35" s="292"/>
      <c r="QKJ35" s="292"/>
      <c r="QKK35" s="292"/>
      <c r="QKL35" s="292"/>
      <c r="QKM35" s="292"/>
      <c r="QKN35" s="292"/>
      <c r="QKO35" s="292"/>
      <c r="QKP35" s="292"/>
      <c r="QKQ35" s="292"/>
      <c r="QKR35" s="292"/>
      <c r="QKS35" s="292"/>
      <c r="QKT35" s="292"/>
      <c r="QKU35" s="292"/>
      <c r="QKV35" s="292"/>
      <c r="QKW35" s="292"/>
      <c r="QKX35" s="292"/>
      <c r="QKY35" s="292"/>
      <c r="QKZ35" s="292"/>
      <c r="QLA35" s="292"/>
      <c r="QLB35" s="292"/>
      <c r="QLC35" s="292"/>
      <c r="QLD35" s="292"/>
      <c r="QLE35" s="292"/>
      <c r="QLF35" s="292"/>
      <c r="QLG35" s="292"/>
      <c r="QLH35" s="292"/>
      <c r="QLI35" s="292"/>
      <c r="QLJ35" s="292"/>
      <c r="QLK35" s="292"/>
      <c r="QLL35" s="292"/>
      <c r="QLM35" s="292"/>
      <c r="QLN35" s="292"/>
      <c r="QLO35" s="292"/>
      <c r="QLP35" s="292"/>
      <c r="QLQ35" s="292"/>
      <c r="QLR35" s="292"/>
      <c r="QLS35" s="292"/>
      <c r="QLT35" s="292"/>
      <c r="QLU35" s="292"/>
      <c r="QLV35" s="292"/>
      <c r="QLW35" s="292"/>
      <c r="QLX35" s="292"/>
      <c r="QLY35" s="292"/>
      <c r="QLZ35" s="292"/>
      <c r="QMA35" s="292"/>
      <c r="QMB35" s="292"/>
      <c r="QMC35" s="292"/>
      <c r="QMD35" s="292"/>
      <c r="QME35" s="292"/>
      <c r="QMF35" s="292"/>
      <c r="QMG35" s="292"/>
      <c r="QMH35" s="292"/>
      <c r="QMI35" s="292"/>
      <c r="QMJ35" s="292"/>
      <c r="QMK35" s="292"/>
      <c r="QML35" s="292"/>
      <c r="QMM35" s="292"/>
      <c r="QMN35" s="292"/>
      <c r="QMO35" s="292"/>
      <c r="QMP35" s="292"/>
      <c r="QMQ35" s="292"/>
      <c r="QMR35" s="292"/>
      <c r="QMS35" s="292"/>
      <c r="QMT35" s="292"/>
      <c r="QMU35" s="292"/>
      <c r="QMV35" s="292"/>
      <c r="QMW35" s="292"/>
      <c r="QMX35" s="292"/>
      <c r="QMY35" s="292"/>
      <c r="QMZ35" s="292"/>
      <c r="QNA35" s="292"/>
      <c r="QNB35" s="292"/>
      <c r="QNC35" s="292"/>
      <c r="QND35" s="292"/>
      <c r="QNE35" s="292"/>
      <c r="QNF35" s="292"/>
      <c r="QNG35" s="292"/>
      <c r="QNH35" s="292"/>
      <c r="QNI35" s="292"/>
      <c r="QNJ35" s="292"/>
      <c r="QNK35" s="292"/>
      <c r="QNL35" s="292"/>
      <c r="QNM35" s="292"/>
      <c r="QNN35" s="292"/>
      <c r="QNO35" s="292"/>
      <c r="QNP35" s="292"/>
      <c r="QNQ35" s="292"/>
      <c r="QNR35" s="292"/>
      <c r="QNS35" s="292"/>
      <c r="QNT35" s="292"/>
      <c r="QNU35" s="292"/>
      <c r="QNV35" s="292"/>
      <c r="QNW35" s="292"/>
      <c r="QNX35" s="292"/>
      <c r="QNY35" s="292"/>
      <c r="QNZ35" s="292"/>
      <c r="QOA35" s="292"/>
      <c r="QOB35" s="292"/>
      <c r="QOC35" s="292"/>
      <c r="QOD35" s="292"/>
      <c r="QOE35" s="292"/>
      <c r="QOF35" s="292"/>
      <c r="QOG35" s="292"/>
      <c r="QOH35" s="292"/>
      <c r="QOI35" s="292"/>
      <c r="QOJ35" s="292"/>
      <c r="QOK35" s="292"/>
      <c r="QOL35" s="292"/>
      <c r="QOM35" s="292"/>
      <c r="QON35" s="292"/>
      <c r="QOO35" s="292"/>
      <c r="QOP35" s="292"/>
      <c r="QOQ35" s="292"/>
      <c r="QOR35" s="292"/>
      <c r="QOS35" s="292"/>
      <c r="QOT35" s="292"/>
      <c r="QOU35" s="292"/>
      <c r="QOV35" s="292"/>
      <c r="QOW35" s="292"/>
      <c r="QOX35" s="292"/>
      <c r="QOY35" s="292"/>
      <c r="QOZ35" s="292"/>
      <c r="QPA35" s="292"/>
      <c r="QPB35" s="292"/>
      <c r="QPC35" s="292"/>
      <c r="QPD35" s="292"/>
      <c r="QPE35" s="292"/>
      <c r="QPF35" s="292"/>
      <c r="QPG35" s="292"/>
      <c r="QPH35" s="292"/>
      <c r="QPI35" s="292"/>
      <c r="QPJ35" s="292"/>
      <c r="QPK35" s="292"/>
      <c r="QPL35" s="292"/>
      <c r="QPM35" s="292"/>
      <c r="QPN35" s="292"/>
      <c r="QPO35" s="292"/>
      <c r="QPP35" s="292"/>
      <c r="QPQ35" s="292"/>
      <c r="QPR35" s="292"/>
      <c r="QPS35" s="292"/>
      <c r="QPT35" s="292"/>
      <c r="QPU35" s="292"/>
      <c r="QPV35" s="292"/>
      <c r="QPW35" s="292"/>
      <c r="QPX35" s="292"/>
      <c r="QPY35" s="292"/>
      <c r="QPZ35" s="292"/>
      <c r="QQA35" s="292"/>
      <c r="QQB35" s="292"/>
      <c r="QQC35" s="292"/>
      <c r="QQD35" s="292"/>
      <c r="QQE35" s="292"/>
      <c r="QQF35" s="292"/>
      <c r="QQG35" s="292"/>
      <c r="QQH35" s="292"/>
      <c r="QQI35" s="292"/>
      <c r="QQJ35" s="292"/>
      <c r="QQK35" s="292"/>
      <c r="QQL35" s="292"/>
      <c r="QQM35" s="292"/>
      <c r="QQN35" s="292"/>
      <c r="QQO35" s="292"/>
      <c r="QQP35" s="292"/>
      <c r="QQQ35" s="292"/>
      <c r="QQR35" s="292"/>
      <c r="QQS35" s="292"/>
      <c r="QQT35" s="292"/>
      <c r="QQU35" s="292"/>
      <c r="QQV35" s="292"/>
      <c r="QQW35" s="292"/>
      <c r="QQX35" s="292"/>
      <c r="QQY35" s="292"/>
      <c r="QQZ35" s="292"/>
      <c r="QRA35" s="292"/>
      <c r="QRB35" s="292"/>
      <c r="QRC35" s="292"/>
      <c r="QRD35" s="292"/>
      <c r="QRE35" s="292"/>
      <c r="QRF35" s="292"/>
      <c r="QRG35" s="292"/>
      <c r="QRH35" s="292"/>
      <c r="QRI35" s="292"/>
      <c r="QRJ35" s="292"/>
      <c r="QRK35" s="292"/>
      <c r="QRL35" s="292"/>
      <c r="QRM35" s="292"/>
      <c r="QRN35" s="292"/>
      <c r="QRO35" s="292"/>
      <c r="QRP35" s="292"/>
      <c r="QRQ35" s="292"/>
      <c r="QRR35" s="292"/>
      <c r="QRS35" s="292"/>
      <c r="QRT35" s="292"/>
      <c r="QRU35" s="292"/>
      <c r="QRV35" s="292"/>
      <c r="QRW35" s="292"/>
      <c r="QRX35" s="292"/>
      <c r="QRY35" s="292"/>
      <c r="QRZ35" s="292"/>
      <c r="QSA35" s="292"/>
      <c r="QSB35" s="292"/>
      <c r="QSC35" s="292"/>
      <c r="QSD35" s="292"/>
      <c r="QSE35" s="292"/>
      <c r="QSF35" s="292"/>
      <c r="QSG35" s="292"/>
      <c r="QSH35" s="292"/>
      <c r="QSI35" s="292"/>
      <c r="QSJ35" s="292"/>
      <c r="QSK35" s="292"/>
      <c r="QSL35" s="292"/>
      <c r="QSM35" s="292"/>
      <c r="QSN35" s="292"/>
      <c r="QSO35" s="292"/>
      <c r="QSP35" s="292"/>
      <c r="QSQ35" s="292"/>
      <c r="QSR35" s="292"/>
      <c r="QSS35" s="292"/>
      <c r="QST35" s="292"/>
      <c r="QSU35" s="292"/>
      <c r="QSV35" s="292"/>
      <c r="QSW35" s="292"/>
      <c r="QSX35" s="292"/>
      <c r="QSY35" s="292"/>
      <c r="QSZ35" s="292"/>
      <c r="QTA35" s="292"/>
      <c r="QTB35" s="292"/>
      <c r="QTC35" s="292"/>
      <c r="QTD35" s="292"/>
      <c r="QTE35" s="292"/>
      <c r="QTF35" s="292"/>
      <c r="QTG35" s="292"/>
      <c r="QTH35" s="292"/>
      <c r="QTI35" s="292"/>
      <c r="QTJ35" s="292"/>
      <c r="QTK35" s="292"/>
      <c r="QTL35" s="292"/>
      <c r="QTM35" s="292"/>
      <c r="QTN35" s="292"/>
      <c r="QTO35" s="292"/>
      <c r="QTP35" s="292"/>
      <c r="QTQ35" s="292"/>
      <c r="QTR35" s="292"/>
      <c r="QTS35" s="292"/>
      <c r="QTT35" s="292"/>
      <c r="QTU35" s="292"/>
      <c r="QTV35" s="292"/>
      <c r="QTW35" s="292"/>
      <c r="QTX35" s="292"/>
      <c r="QTY35" s="292"/>
      <c r="QTZ35" s="292"/>
      <c r="QUA35" s="292"/>
      <c r="QUB35" s="292"/>
      <c r="QUC35" s="292"/>
      <c r="QUD35" s="292"/>
      <c r="QUE35" s="292"/>
      <c r="QUF35" s="292"/>
      <c r="QUG35" s="292"/>
      <c r="QUH35" s="292"/>
      <c r="QUI35" s="292"/>
      <c r="QUJ35" s="292"/>
      <c r="QUK35" s="292"/>
      <c r="QUL35" s="292"/>
      <c r="QUM35" s="292"/>
      <c r="QUN35" s="292"/>
      <c r="QUO35" s="292"/>
      <c r="QUP35" s="292"/>
      <c r="QUQ35" s="292"/>
      <c r="QUR35" s="292"/>
      <c r="QUS35" s="292"/>
      <c r="QUT35" s="292"/>
      <c r="QUU35" s="292"/>
      <c r="QUV35" s="292"/>
      <c r="QUW35" s="292"/>
      <c r="QUX35" s="292"/>
      <c r="QUY35" s="292"/>
      <c r="QUZ35" s="292"/>
      <c r="QVA35" s="292"/>
      <c r="QVB35" s="292"/>
      <c r="QVC35" s="292"/>
      <c r="QVD35" s="292"/>
      <c r="QVE35" s="292"/>
      <c r="QVF35" s="292"/>
      <c r="QVG35" s="292"/>
      <c r="QVH35" s="292"/>
      <c r="QVI35" s="292"/>
      <c r="QVJ35" s="292"/>
      <c r="QVK35" s="292"/>
      <c r="QVL35" s="292"/>
      <c r="QVM35" s="292"/>
      <c r="QVN35" s="292"/>
      <c r="QVO35" s="292"/>
      <c r="QVP35" s="292"/>
      <c r="QVQ35" s="292"/>
      <c r="QVR35" s="292"/>
      <c r="QVS35" s="292"/>
      <c r="QVT35" s="292"/>
      <c r="QVU35" s="292"/>
      <c r="QVV35" s="292"/>
      <c r="QVW35" s="292"/>
      <c r="QVX35" s="292"/>
      <c r="QVY35" s="292"/>
      <c r="QVZ35" s="292"/>
      <c r="QWA35" s="292"/>
      <c r="QWB35" s="292"/>
      <c r="QWC35" s="292"/>
      <c r="QWD35" s="292"/>
      <c r="QWE35" s="292"/>
      <c r="QWF35" s="292"/>
      <c r="QWG35" s="292"/>
      <c r="QWH35" s="292"/>
      <c r="QWI35" s="292"/>
      <c r="QWJ35" s="292"/>
      <c r="QWK35" s="292"/>
      <c r="QWL35" s="292"/>
      <c r="QWM35" s="292"/>
      <c r="QWN35" s="292"/>
      <c r="QWO35" s="292"/>
      <c r="QWP35" s="292"/>
      <c r="QWQ35" s="292"/>
      <c r="QWR35" s="292"/>
      <c r="QWS35" s="292"/>
      <c r="QWT35" s="292"/>
      <c r="QWU35" s="292"/>
      <c r="QWV35" s="292"/>
      <c r="QWW35" s="292"/>
      <c r="QWX35" s="292"/>
      <c r="QWY35" s="292"/>
      <c r="QWZ35" s="292"/>
      <c r="QXA35" s="292"/>
      <c r="QXB35" s="292"/>
      <c r="QXC35" s="292"/>
      <c r="QXD35" s="292"/>
      <c r="QXE35" s="292"/>
      <c r="QXF35" s="292"/>
      <c r="QXG35" s="292"/>
      <c r="QXH35" s="292"/>
      <c r="QXI35" s="292"/>
      <c r="QXJ35" s="292"/>
      <c r="QXK35" s="292"/>
      <c r="QXL35" s="292"/>
      <c r="QXM35" s="292"/>
      <c r="QXN35" s="292"/>
      <c r="QXO35" s="292"/>
      <c r="QXP35" s="292"/>
      <c r="QXQ35" s="292"/>
      <c r="QXR35" s="292"/>
      <c r="QXS35" s="292"/>
      <c r="QXT35" s="292"/>
      <c r="QXU35" s="292"/>
      <c r="QXV35" s="292"/>
      <c r="QXW35" s="292"/>
      <c r="QXX35" s="292"/>
      <c r="QXY35" s="292"/>
      <c r="QXZ35" s="292"/>
      <c r="QYA35" s="292"/>
      <c r="QYB35" s="292"/>
      <c r="QYC35" s="292"/>
      <c r="QYD35" s="292"/>
      <c r="QYE35" s="292"/>
      <c r="QYF35" s="292"/>
      <c r="QYG35" s="292"/>
      <c r="QYH35" s="292"/>
      <c r="QYI35" s="292"/>
      <c r="QYJ35" s="292"/>
      <c r="QYK35" s="292"/>
      <c r="QYL35" s="292"/>
      <c r="QYM35" s="292"/>
      <c r="QYN35" s="292"/>
      <c r="QYO35" s="292"/>
      <c r="QYP35" s="292"/>
      <c r="QYQ35" s="292"/>
      <c r="QYR35" s="292"/>
      <c r="QYS35" s="292"/>
      <c r="QYT35" s="292"/>
      <c r="QYU35" s="292"/>
      <c r="QYV35" s="292"/>
      <c r="QYW35" s="292"/>
      <c r="QYX35" s="292"/>
      <c r="QYY35" s="292"/>
      <c r="QYZ35" s="292"/>
      <c r="QZA35" s="292"/>
      <c r="QZB35" s="292"/>
      <c r="QZC35" s="292"/>
      <c r="QZD35" s="292"/>
      <c r="QZE35" s="292"/>
      <c r="QZF35" s="292"/>
      <c r="QZG35" s="292"/>
      <c r="QZH35" s="292"/>
      <c r="QZI35" s="292"/>
      <c r="QZJ35" s="292"/>
      <c r="QZK35" s="292"/>
      <c r="QZL35" s="292"/>
      <c r="QZM35" s="292"/>
      <c r="QZN35" s="292"/>
      <c r="QZO35" s="292"/>
      <c r="QZP35" s="292"/>
      <c r="QZQ35" s="292"/>
      <c r="QZR35" s="292"/>
      <c r="QZS35" s="292"/>
      <c r="QZT35" s="292"/>
      <c r="QZU35" s="292"/>
      <c r="QZV35" s="292"/>
      <c r="QZW35" s="292"/>
      <c r="QZX35" s="292"/>
      <c r="QZY35" s="292"/>
      <c r="QZZ35" s="292"/>
      <c r="RAA35" s="292"/>
      <c r="RAB35" s="292"/>
      <c r="RAC35" s="292"/>
      <c r="RAD35" s="292"/>
      <c r="RAE35" s="292"/>
      <c r="RAF35" s="292"/>
      <c r="RAG35" s="292"/>
      <c r="RAH35" s="292"/>
      <c r="RAI35" s="292"/>
      <c r="RAJ35" s="292"/>
      <c r="RAK35" s="292"/>
      <c r="RAL35" s="292"/>
      <c r="RAM35" s="292"/>
      <c r="RAN35" s="292"/>
      <c r="RAO35" s="292"/>
      <c r="RAP35" s="292"/>
      <c r="RAQ35" s="292"/>
      <c r="RAR35" s="292"/>
      <c r="RAS35" s="292"/>
      <c r="RAT35" s="292"/>
      <c r="RAU35" s="292"/>
      <c r="RAV35" s="292"/>
      <c r="RAW35" s="292"/>
      <c r="RAX35" s="292"/>
      <c r="RAY35" s="292"/>
      <c r="RAZ35" s="292"/>
      <c r="RBA35" s="292"/>
      <c r="RBB35" s="292"/>
      <c r="RBC35" s="292"/>
      <c r="RBD35" s="292"/>
      <c r="RBE35" s="292"/>
      <c r="RBF35" s="292"/>
      <c r="RBG35" s="292"/>
      <c r="RBH35" s="292"/>
      <c r="RBI35" s="292"/>
      <c r="RBJ35" s="292"/>
      <c r="RBK35" s="292"/>
      <c r="RBL35" s="292"/>
      <c r="RBM35" s="292"/>
      <c r="RBN35" s="292"/>
      <c r="RBO35" s="292"/>
      <c r="RBP35" s="292"/>
      <c r="RBQ35" s="292"/>
      <c r="RBR35" s="292"/>
      <c r="RBS35" s="292"/>
      <c r="RBT35" s="292"/>
      <c r="RBU35" s="292"/>
      <c r="RBV35" s="292"/>
      <c r="RBW35" s="292"/>
      <c r="RBX35" s="292"/>
      <c r="RBY35" s="292"/>
      <c r="RBZ35" s="292"/>
      <c r="RCA35" s="292"/>
      <c r="RCB35" s="292"/>
      <c r="RCC35" s="292"/>
      <c r="RCD35" s="292"/>
      <c r="RCE35" s="292"/>
      <c r="RCF35" s="292"/>
      <c r="RCG35" s="292"/>
      <c r="RCH35" s="292"/>
      <c r="RCI35" s="292"/>
      <c r="RCJ35" s="292"/>
      <c r="RCK35" s="292"/>
      <c r="RCL35" s="292"/>
      <c r="RCM35" s="292"/>
      <c r="RCN35" s="292"/>
      <c r="RCO35" s="292"/>
      <c r="RCP35" s="292"/>
      <c r="RCQ35" s="292"/>
      <c r="RCR35" s="292"/>
      <c r="RCS35" s="292"/>
      <c r="RCT35" s="292"/>
      <c r="RCU35" s="292"/>
      <c r="RCV35" s="292"/>
      <c r="RCW35" s="292"/>
      <c r="RCX35" s="292"/>
      <c r="RCY35" s="292"/>
      <c r="RCZ35" s="292"/>
      <c r="RDA35" s="292"/>
      <c r="RDB35" s="292"/>
      <c r="RDC35" s="292"/>
      <c r="RDD35" s="292"/>
      <c r="RDE35" s="292"/>
      <c r="RDF35" s="292"/>
      <c r="RDG35" s="292"/>
      <c r="RDH35" s="292"/>
      <c r="RDI35" s="292"/>
      <c r="RDJ35" s="292"/>
      <c r="RDK35" s="292"/>
      <c r="RDL35" s="292"/>
      <c r="RDM35" s="292"/>
      <c r="RDN35" s="292"/>
      <c r="RDO35" s="292"/>
      <c r="RDP35" s="292"/>
      <c r="RDQ35" s="292"/>
      <c r="RDR35" s="292"/>
      <c r="RDS35" s="292"/>
      <c r="RDT35" s="292"/>
      <c r="RDU35" s="292"/>
      <c r="RDV35" s="292"/>
      <c r="RDW35" s="292"/>
      <c r="RDX35" s="292"/>
      <c r="RDY35" s="292"/>
      <c r="RDZ35" s="292"/>
      <c r="REA35" s="292"/>
      <c r="REB35" s="292"/>
      <c r="REC35" s="292"/>
      <c r="RED35" s="292"/>
      <c r="REE35" s="292"/>
      <c r="REF35" s="292"/>
      <c r="REG35" s="292"/>
      <c r="REH35" s="292"/>
      <c r="REI35" s="292"/>
      <c r="REJ35" s="292"/>
      <c r="REK35" s="292"/>
      <c r="REL35" s="292"/>
      <c r="REM35" s="292"/>
      <c r="REN35" s="292"/>
      <c r="REO35" s="292"/>
      <c r="REP35" s="292"/>
      <c r="REQ35" s="292"/>
      <c r="RER35" s="292"/>
      <c r="RES35" s="292"/>
      <c r="RET35" s="292"/>
      <c r="REU35" s="292"/>
      <c r="REV35" s="292"/>
      <c r="REW35" s="292"/>
      <c r="REX35" s="292"/>
      <c r="REY35" s="292"/>
      <c r="REZ35" s="292"/>
      <c r="RFA35" s="292"/>
      <c r="RFB35" s="292"/>
      <c r="RFC35" s="292"/>
      <c r="RFD35" s="292"/>
      <c r="RFE35" s="292"/>
      <c r="RFF35" s="292"/>
      <c r="RFG35" s="292"/>
      <c r="RFH35" s="292"/>
      <c r="RFI35" s="292"/>
      <c r="RFJ35" s="292"/>
      <c r="RFK35" s="292"/>
      <c r="RFL35" s="292"/>
      <c r="RFM35" s="292"/>
      <c r="RFN35" s="292"/>
      <c r="RFO35" s="292"/>
      <c r="RFP35" s="292"/>
      <c r="RFQ35" s="292"/>
      <c r="RFR35" s="292"/>
      <c r="RFS35" s="292"/>
      <c r="RFT35" s="292"/>
      <c r="RFU35" s="292"/>
      <c r="RFV35" s="292"/>
      <c r="RFW35" s="292"/>
      <c r="RFX35" s="292"/>
      <c r="RFY35" s="292"/>
      <c r="RFZ35" s="292"/>
      <c r="RGA35" s="292"/>
      <c r="RGB35" s="292"/>
      <c r="RGC35" s="292"/>
      <c r="RGD35" s="292"/>
      <c r="RGE35" s="292"/>
      <c r="RGF35" s="292"/>
      <c r="RGG35" s="292"/>
      <c r="RGH35" s="292"/>
      <c r="RGI35" s="292"/>
      <c r="RGJ35" s="292"/>
      <c r="RGK35" s="292"/>
      <c r="RGL35" s="292"/>
      <c r="RGM35" s="292"/>
      <c r="RGN35" s="292"/>
      <c r="RGO35" s="292"/>
      <c r="RGP35" s="292"/>
      <c r="RGQ35" s="292"/>
      <c r="RGR35" s="292"/>
      <c r="RGS35" s="292"/>
      <c r="RGT35" s="292"/>
      <c r="RGU35" s="292"/>
      <c r="RGV35" s="292"/>
      <c r="RGW35" s="292"/>
      <c r="RGX35" s="292"/>
      <c r="RGY35" s="292"/>
      <c r="RGZ35" s="292"/>
      <c r="RHA35" s="292"/>
      <c r="RHB35" s="292"/>
      <c r="RHC35" s="292"/>
      <c r="RHD35" s="292"/>
      <c r="RHE35" s="292"/>
      <c r="RHF35" s="292"/>
      <c r="RHG35" s="292"/>
      <c r="RHH35" s="292"/>
      <c r="RHI35" s="292"/>
      <c r="RHJ35" s="292"/>
      <c r="RHK35" s="292"/>
      <c r="RHL35" s="292"/>
      <c r="RHM35" s="292"/>
      <c r="RHN35" s="292"/>
      <c r="RHO35" s="292"/>
      <c r="RHP35" s="292"/>
      <c r="RHQ35" s="292"/>
      <c r="RHR35" s="292"/>
      <c r="RHS35" s="292"/>
      <c r="RHT35" s="292"/>
      <c r="RHU35" s="292"/>
      <c r="RHV35" s="292"/>
      <c r="RHW35" s="292"/>
      <c r="RHX35" s="292"/>
      <c r="RHY35" s="292"/>
      <c r="RHZ35" s="292"/>
      <c r="RIA35" s="292"/>
      <c r="RIB35" s="292"/>
      <c r="RIC35" s="292"/>
      <c r="RID35" s="292"/>
      <c r="RIE35" s="292"/>
      <c r="RIF35" s="292"/>
      <c r="RIG35" s="292"/>
      <c r="RIH35" s="292"/>
      <c r="RII35" s="292"/>
      <c r="RIJ35" s="292"/>
      <c r="RIK35" s="292"/>
      <c r="RIL35" s="292"/>
      <c r="RIM35" s="292"/>
      <c r="RIN35" s="292"/>
      <c r="RIO35" s="292"/>
      <c r="RIP35" s="292"/>
      <c r="RIQ35" s="292"/>
      <c r="RIR35" s="292"/>
      <c r="RIS35" s="292"/>
      <c r="RIT35" s="292"/>
      <c r="RIU35" s="292"/>
      <c r="RIV35" s="292"/>
      <c r="RIW35" s="292"/>
      <c r="RIX35" s="292"/>
      <c r="RIY35" s="292"/>
      <c r="RIZ35" s="292"/>
      <c r="RJA35" s="292"/>
      <c r="RJB35" s="292"/>
      <c r="RJC35" s="292"/>
      <c r="RJD35" s="292"/>
      <c r="RJE35" s="292"/>
      <c r="RJF35" s="292"/>
      <c r="RJG35" s="292"/>
      <c r="RJH35" s="292"/>
      <c r="RJI35" s="292"/>
      <c r="RJJ35" s="292"/>
      <c r="RJK35" s="292"/>
      <c r="RJL35" s="292"/>
      <c r="RJM35" s="292"/>
      <c r="RJN35" s="292"/>
      <c r="RJO35" s="292"/>
      <c r="RJP35" s="292"/>
      <c r="RJQ35" s="292"/>
      <c r="RJR35" s="292"/>
      <c r="RJS35" s="292"/>
      <c r="RJT35" s="292"/>
      <c r="RJU35" s="292"/>
      <c r="RJV35" s="292"/>
      <c r="RJW35" s="292"/>
      <c r="RJX35" s="292"/>
      <c r="RJY35" s="292"/>
      <c r="RJZ35" s="292"/>
      <c r="RKA35" s="292"/>
      <c r="RKB35" s="292"/>
      <c r="RKC35" s="292"/>
      <c r="RKD35" s="292"/>
      <c r="RKE35" s="292"/>
      <c r="RKF35" s="292"/>
      <c r="RKG35" s="292"/>
      <c r="RKH35" s="292"/>
      <c r="RKI35" s="292"/>
      <c r="RKJ35" s="292"/>
      <c r="RKK35" s="292"/>
      <c r="RKL35" s="292"/>
      <c r="RKM35" s="292"/>
      <c r="RKN35" s="292"/>
      <c r="RKO35" s="292"/>
      <c r="RKP35" s="292"/>
      <c r="RKQ35" s="292"/>
      <c r="RKR35" s="292"/>
      <c r="RKS35" s="292"/>
      <c r="RKT35" s="292"/>
      <c r="RKU35" s="292"/>
      <c r="RKV35" s="292"/>
      <c r="RKW35" s="292"/>
      <c r="RKX35" s="292"/>
      <c r="RKY35" s="292"/>
      <c r="RKZ35" s="292"/>
      <c r="RLA35" s="292"/>
      <c r="RLB35" s="292"/>
      <c r="RLC35" s="292"/>
      <c r="RLD35" s="292"/>
      <c r="RLE35" s="292"/>
      <c r="RLF35" s="292"/>
      <c r="RLG35" s="292"/>
      <c r="RLH35" s="292"/>
      <c r="RLI35" s="292"/>
      <c r="RLJ35" s="292"/>
      <c r="RLK35" s="292"/>
      <c r="RLL35" s="292"/>
      <c r="RLM35" s="292"/>
      <c r="RLN35" s="292"/>
      <c r="RLO35" s="292"/>
      <c r="RLP35" s="292"/>
      <c r="RLQ35" s="292"/>
      <c r="RLR35" s="292"/>
      <c r="RLS35" s="292"/>
      <c r="RLT35" s="292"/>
      <c r="RLU35" s="292"/>
      <c r="RLV35" s="292"/>
      <c r="RLW35" s="292"/>
      <c r="RLX35" s="292"/>
      <c r="RLY35" s="292"/>
      <c r="RLZ35" s="292"/>
      <c r="RMA35" s="292"/>
      <c r="RMB35" s="292"/>
      <c r="RMC35" s="292"/>
      <c r="RMD35" s="292"/>
      <c r="RME35" s="292"/>
      <c r="RMF35" s="292"/>
      <c r="RMG35" s="292"/>
      <c r="RMH35" s="292"/>
      <c r="RMI35" s="292"/>
      <c r="RMJ35" s="292"/>
      <c r="RMK35" s="292"/>
      <c r="RML35" s="292"/>
      <c r="RMM35" s="292"/>
      <c r="RMN35" s="292"/>
      <c r="RMO35" s="292"/>
      <c r="RMP35" s="292"/>
      <c r="RMQ35" s="292"/>
      <c r="RMR35" s="292"/>
      <c r="RMS35" s="292"/>
      <c r="RMT35" s="292"/>
      <c r="RMU35" s="292"/>
      <c r="RMV35" s="292"/>
      <c r="RMW35" s="292"/>
      <c r="RMX35" s="292"/>
      <c r="RMY35" s="292"/>
      <c r="RMZ35" s="292"/>
      <c r="RNA35" s="292"/>
      <c r="RNB35" s="292"/>
      <c r="RNC35" s="292"/>
      <c r="RND35" s="292"/>
      <c r="RNE35" s="292"/>
      <c r="RNF35" s="292"/>
      <c r="RNG35" s="292"/>
      <c r="RNH35" s="292"/>
      <c r="RNI35" s="292"/>
      <c r="RNJ35" s="292"/>
      <c r="RNK35" s="292"/>
      <c r="RNL35" s="292"/>
      <c r="RNM35" s="292"/>
      <c r="RNN35" s="292"/>
      <c r="RNO35" s="292"/>
      <c r="RNP35" s="292"/>
      <c r="RNQ35" s="292"/>
      <c r="RNR35" s="292"/>
      <c r="RNS35" s="292"/>
      <c r="RNT35" s="292"/>
      <c r="RNU35" s="292"/>
      <c r="RNV35" s="292"/>
      <c r="RNW35" s="292"/>
      <c r="RNX35" s="292"/>
      <c r="RNY35" s="292"/>
      <c r="RNZ35" s="292"/>
      <c r="ROA35" s="292"/>
      <c r="ROB35" s="292"/>
      <c r="ROC35" s="292"/>
      <c r="ROD35" s="292"/>
      <c r="ROE35" s="292"/>
      <c r="ROF35" s="292"/>
      <c r="ROG35" s="292"/>
      <c r="ROH35" s="292"/>
      <c r="ROI35" s="292"/>
      <c r="ROJ35" s="292"/>
      <c r="ROK35" s="292"/>
      <c r="ROL35" s="292"/>
      <c r="ROM35" s="292"/>
      <c r="RON35" s="292"/>
      <c r="ROO35" s="292"/>
      <c r="ROP35" s="292"/>
      <c r="ROQ35" s="292"/>
      <c r="ROR35" s="292"/>
      <c r="ROS35" s="292"/>
      <c r="ROT35" s="292"/>
      <c r="ROU35" s="292"/>
      <c r="ROV35" s="292"/>
      <c r="ROW35" s="292"/>
      <c r="ROX35" s="292"/>
      <c r="ROY35" s="292"/>
      <c r="ROZ35" s="292"/>
      <c r="RPA35" s="292"/>
      <c r="RPB35" s="292"/>
      <c r="RPC35" s="292"/>
      <c r="RPD35" s="292"/>
      <c r="RPE35" s="292"/>
      <c r="RPF35" s="292"/>
      <c r="RPG35" s="292"/>
      <c r="RPH35" s="292"/>
      <c r="RPI35" s="292"/>
      <c r="RPJ35" s="292"/>
      <c r="RPK35" s="292"/>
      <c r="RPL35" s="292"/>
      <c r="RPM35" s="292"/>
      <c r="RPN35" s="292"/>
      <c r="RPO35" s="292"/>
      <c r="RPP35" s="292"/>
      <c r="RPQ35" s="292"/>
      <c r="RPR35" s="292"/>
      <c r="RPS35" s="292"/>
      <c r="RPT35" s="292"/>
      <c r="RPU35" s="292"/>
      <c r="RPV35" s="292"/>
      <c r="RPW35" s="292"/>
      <c r="RPX35" s="292"/>
      <c r="RPY35" s="292"/>
      <c r="RPZ35" s="292"/>
      <c r="RQA35" s="292"/>
      <c r="RQB35" s="292"/>
      <c r="RQC35" s="292"/>
      <c r="RQD35" s="292"/>
      <c r="RQE35" s="292"/>
      <c r="RQF35" s="292"/>
      <c r="RQG35" s="292"/>
      <c r="RQH35" s="292"/>
      <c r="RQI35" s="292"/>
      <c r="RQJ35" s="292"/>
      <c r="RQK35" s="292"/>
      <c r="RQL35" s="292"/>
      <c r="RQM35" s="292"/>
      <c r="RQN35" s="292"/>
      <c r="RQO35" s="292"/>
      <c r="RQP35" s="292"/>
      <c r="RQQ35" s="292"/>
      <c r="RQR35" s="292"/>
      <c r="RQS35" s="292"/>
      <c r="RQT35" s="292"/>
      <c r="RQU35" s="292"/>
      <c r="RQV35" s="292"/>
      <c r="RQW35" s="292"/>
      <c r="RQX35" s="292"/>
      <c r="RQY35" s="292"/>
      <c r="RQZ35" s="292"/>
      <c r="RRA35" s="292"/>
      <c r="RRB35" s="292"/>
      <c r="RRC35" s="292"/>
      <c r="RRD35" s="292"/>
      <c r="RRE35" s="292"/>
      <c r="RRF35" s="292"/>
      <c r="RRG35" s="292"/>
      <c r="RRH35" s="292"/>
      <c r="RRI35" s="292"/>
      <c r="RRJ35" s="292"/>
      <c r="RRK35" s="292"/>
      <c r="RRL35" s="292"/>
      <c r="RRM35" s="292"/>
      <c r="RRN35" s="292"/>
      <c r="RRO35" s="292"/>
      <c r="RRP35" s="292"/>
      <c r="RRQ35" s="292"/>
      <c r="RRR35" s="292"/>
      <c r="RRS35" s="292"/>
      <c r="RRT35" s="292"/>
      <c r="RRU35" s="292"/>
      <c r="RRV35" s="292"/>
      <c r="RRW35" s="292"/>
      <c r="RRX35" s="292"/>
      <c r="RRY35" s="292"/>
      <c r="RRZ35" s="292"/>
      <c r="RSA35" s="292"/>
      <c r="RSB35" s="292"/>
      <c r="RSC35" s="292"/>
      <c r="RSD35" s="292"/>
      <c r="RSE35" s="292"/>
      <c r="RSF35" s="292"/>
      <c r="RSG35" s="292"/>
      <c r="RSH35" s="292"/>
      <c r="RSI35" s="292"/>
      <c r="RSJ35" s="292"/>
      <c r="RSK35" s="292"/>
      <c r="RSL35" s="292"/>
      <c r="RSM35" s="292"/>
      <c r="RSN35" s="292"/>
      <c r="RSO35" s="292"/>
      <c r="RSP35" s="292"/>
      <c r="RSQ35" s="292"/>
      <c r="RSR35" s="292"/>
      <c r="RSS35" s="292"/>
      <c r="RST35" s="292"/>
      <c r="RSU35" s="292"/>
      <c r="RSV35" s="292"/>
      <c r="RSW35" s="292"/>
      <c r="RSX35" s="292"/>
      <c r="RSY35" s="292"/>
      <c r="RSZ35" s="292"/>
      <c r="RTA35" s="292"/>
      <c r="RTB35" s="292"/>
      <c r="RTC35" s="292"/>
      <c r="RTD35" s="292"/>
      <c r="RTE35" s="292"/>
      <c r="RTF35" s="292"/>
      <c r="RTG35" s="292"/>
      <c r="RTH35" s="292"/>
      <c r="RTI35" s="292"/>
      <c r="RTJ35" s="292"/>
      <c r="RTK35" s="292"/>
      <c r="RTL35" s="292"/>
      <c r="RTM35" s="292"/>
      <c r="RTN35" s="292"/>
      <c r="RTO35" s="292"/>
      <c r="RTP35" s="292"/>
      <c r="RTQ35" s="292"/>
      <c r="RTR35" s="292"/>
      <c r="RTS35" s="292"/>
      <c r="RTT35" s="292"/>
      <c r="RTU35" s="292"/>
      <c r="RTV35" s="292"/>
      <c r="RTW35" s="292"/>
      <c r="RTX35" s="292"/>
      <c r="RTY35" s="292"/>
      <c r="RTZ35" s="292"/>
      <c r="RUA35" s="292"/>
      <c r="RUB35" s="292"/>
      <c r="RUC35" s="292"/>
      <c r="RUD35" s="292"/>
      <c r="RUE35" s="292"/>
      <c r="RUF35" s="292"/>
      <c r="RUG35" s="292"/>
      <c r="RUH35" s="292"/>
      <c r="RUI35" s="292"/>
      <c r="RUJ35" s="292"/>
      <c r="RUK35" s="292"/>
      <c r="RUL35" s="292"/>
      <c r="RUM35" s="292"/>
      <c r="RUN35" s="292"/>
      <c r="RUO35" s="292"/>
      <c r="RUP35" s="292"/>
      <c r="RUQ35" s="292"/>
      <c r="RUR35" s="292"/>
      <c r="RUS35" s="292"/>
      <c r="RUT35" s="292"/>
      <c r="RUU35" s="292"/>
      <c r="RUV35" s="292"/>
      <c r="RUW35" s="292"/>
      <c r="RUX35" s="292"/>
      <c r="RUY35" s="292"/>
      <c r="RUZ35" s="292"/>
      <c r="RVA35" s="292"/>
      <c r="RVB35" s="292"/>
      <c r="RVC35" s="292"/>
      <c r="RVD35" s="292"/>
      <c r="RVE35" s="292"/>
      <c r="RVF35" s="292"/>
      <c r="RVG35" s="292"/>
      <c r="RVH35" s="292"/>
      <c r="RVI35" s="292"/>
      <c r="RVJ35" s="292"/>
      <c r="RVK35" s="292"/>
      <c r="RVL35" s="292"/>
      <c r="RVM35" s="292"/>
      <c r="RVN35" s="292"/>
      <c r="RVO35" s="292"/>
      <c r="RVP35" s="292"/>
      <c r="RVQ35" s="292"/>
      <c r="RVR35" s="292"/>
      <c r="RVS35" s="292"/>
      <c r="RVT35" s="292"/>
      <c r="RVU35" s="292"/>
      <c r="RVV35" s="292"/>
      <c r="RVW35" s="292"/>
      <c r="RVX35" s="292"/>
      <c r="RVY35" s="292"/>
      <c r="RVZ35" s="292"/>
      <c r="RWA35" s="292"/>
      <c r="RWB35" s="292"/>
      <c r="RWC35" s="292"/>
      <c r="RWD35" s="292"/>
      <c r="RWE35" s="292"/>
      <c r="RWF35" s="292"/>
      <c r="RWG35" s="292"/>
      <c r="RWH35" s="292"/>
      <c r="RWI35" s="292"/>
      <c r="RWJ35" s="292"/>
      <c r="RWK35" s="292"/>
      <c r="RWL35" s="292"/>
      <c r="RWM35" s="292"/>
      <c r="RWN35" s="292"/>
      <c r="RWO35" s="292"/>
      <c r="RWP35" s="292"/>
      <c r="RWQ35" s="292"/>
      <c r="RWR35" s="292"/>
      <c r="RWS35" s="292"/>
      <c r="RWT35" s="292"/>
      <c r="RWU35" s="292"/>
      <c r="RWV35" s="292"/>
      <c r="RWW35" s="292"/>
      <c r="RWX35" s="292"/>
      <c r="RWY35" s="292"/>
      <c r="RWZ35" s="292"/>
      <c r="RXA35" s="292"/>
      <c r="RXB35" s="292"/>
      <c r="RXC35" s="292"/>
      <c r="RXD35" s="292"/>
      <c r="RXE35" s="292"/>
      <c r="RXF35" s="292"/>
      <c r="RXG35" s="292"/>
      <c r="RXH35" s="292"/>
      <c r="RXI35" s="292"/>
      <c r="RXJ35" s="292"/>
      <c r="RXK35" s="292"/>
      <c r="RXL35" s="292"/>
      <c r="RXM35" s="292"/>
      <c r="RXN35" s="292"/>
      <c r="RXO35" s="292"/>
      <c r="RXP35" s="292"/>
      <c r="RXQ35" s="292"/>
      <c r="RXR35" s="292"/>
      <c r="RXS35" s="292"/>
      <c r="RXT35" s="292"/>
      <c r="RXU35" s="292"/>
      <c r="RXV35" s="292"/>
      <c r="RXW35" s="292"/>
      <c r="RXX35" s="292"/>
      <c r="RXY35" s="292"/>
      <c r="RXZ35" s="292"/>
      <c r="RYA35" s="292"/>
      <c r="RYB35" s="292"/>
      <c r="RYC35" s="292"/>
      <c r="RYD35" s="292"/>
      <c r="RYE35" s="292"/>
      <c r="RYF35" s="292"/>
      <c r="RYG35" s="292"/>
      <c r="RYH35" s="292"/>
      <c r="RYI35" s="292"/>
      <c r="RYJ35" s="292"/>
      <c r="RYK35" s="292"/>
      <c r="RYL35" s="292"/>
      <c r="RYM35" s="292"/>
      <c r="RYN35" s="292"/>
      <c r="RYO35" s="292"/>
      <c r="RYP35" s="292"/>
      <c r="RYQ35" s="292"/>
      <c r="RYR35" s="292"/>
      <c r="RYS35" s="292"/>
      <c r="RYT35" s="292"/>
      <c r="RYU35" s="292"/>
      <c r="RYV35" s="292"/>
      <c r="RYW35" s="292"/>
      <c r="RYX35" s="292"/>
      <c r="RYY35" s="292"/>
      <c r="RYZ35" s="292"/>
      <c r="RZA35" s="292"/>
      <c r="RZB35" s="292"/>
      <c r="RZC35" s="292"/>
      <c r="RZD35" s="292"/>
      <c r="RZE35" s="292"/>
      <c r="RZF35" s="292"/>
      <c r="RZG35" s="292"/>
      <c r="RZH35" s="292"/>
      <c r="RZI35" s="292"/>
      <c r="RZJ35" s="292"/>
      <c r="RZK35" s="292"/>
      <c r="RZL35" s="292"/>
      <c r="RZM35" s="292"/>
      <c r="RZN35" s="292"/>
      <c r="RZO35" s="292"/>
      <c r="RZP35" s="292"/>
      <c r="RZQ35" s="292"/>
      <c r="RZR35" s="292"/>
      <c r="RZS35" s="292"/>
      <c r="RZT35" s="292"/>
      <c r="RZU35" s="292"/>
      <c r="RZV35" s="292"/>
      <c r="RZW35" s="292"/>
      <c r="RZX35" s="292"/>
      <c r="RZY35" s="292"/>
      <c r="RZZ35" s="292"/>
      <c r="SAA35" s="292"/>
      <c r="SAB35" s="292"/>
      <c r="SAC35" s="292"/>
      <c r="SAD35" s="292"/>
      <c r="SAE35" s="292"/>
      <c r="SAF35" s="292"/>
      <c r="SAG35" s="292"/>
      <c r="SAH35" s="292"/>
      <c r="SAI35" s="292"/>
      <c r="SAJ35" s="292"/>
      <c r="SAK35" s="292"/>
      <c r="SAL35" s="292"/>
      <c r="SAM35" s="292"/>
      <c r="SAN35" s="292"/>
      <c r="SAO35" s="292"/>
      <c r="SAP35" s="292"/>
      <c r="SAQ35" s="292"/>
      <c r="SAR35" s="292"/>
      <c r="SAS35" s="292"/>
      <c r="SAT35" s="292"/>
      <c r="SAU35" s="292"/>
      <c r="SAV35" s="292"/>
      <c r="SAW35" s="292"/>
      <c r="SAX35" s="292"/>
      <c r="SAY35" s="292"/>
      <c r="SAZ35" s="292"/>
      <c r="SBA35" s="292"/>
      <c r="SBB35" s="292"/>
      <c r="SBC35" s="292"/>
      <c r="SBD35" s="292"/>
      <c r="SBE35" s="292"/>
      <c r="SBF35" s="292"/>
      <c r="SBG35" s="292"/>
      <c r="SBH35" s="292"/>
      <c r="SBI35" s="292"/>
      <c r="SBJ35" s="292"/>
      <c r="SBK35" s="292"/>
      <c r="SBL35" s="292"/>
      <c r="SBM35" s="292"/>
      <c r="SBN35" s="292"/>
      <c r="SBO35" s="292"/>
      <c r="SBP35" s="292"/>
      <c r="SBQ35" s="292"/>
      <c r="SBR35" s="292"/>
      <c r="SBS35" s="292"/>
      <c r="SBT35" s="292"/>
      <c r="SBU35" s="292"/>
      <c r="SBV35" s="292"/>
      <c r="SBW35" s="292"/>
      <c r="SBX35" s="292"/>
      <c r="SBY35" s="292"/>
      <c r="SBZ35" s="292"/>
      <c r="SCA35" s="292"/>
      <c r="SCB35" s="292"/>
      <c r="SCC35" s="292"/>
      <c r="SCD35" s="292"/>
      <c r="SCE35" s="292"/>
      <c r="SCF35" s="292"/>
      <c r="SCG35" s="292"/>
      <c r="SCH35" s="292"/>
      <c r="SCI35" s="292"/>
      <c r="SCJ35" s="292"/>
      <c r="SCK35" s="292"/>
      <c r="SCL35" s="292"/>
      <c r="SCM35" s="292"/>
      <c r="SCN35" s="292"/>
      <c r="SCO35" s="292"/>
      <c r="SCP35" s="292"/>
      <c r="SCQ35" s="292"/>
      <c r="SCR35" s="292"/>
      <c r="SCS35" s="292"/>
      <c r="SCT35" s="292"/>
      <c r="SCU35" s="292"/>
      <c r="SCV35" s="292"/>
      <c r="SCW35" s="292"/>
      <c r="SCX35" s="292"/>
      <c r="SCY35" s="292"/>
      <c r="SCZ35" s="292"/>
      <c r="SDA35" s="292"/>
      <c r="SDB35" s="292"/>
      <c r="SDC35" s="292"/>
      <c r="SDD35" s="292"/>
      <c r="SDE35" s="292"/>
      <c r="SDF35" s="292"/>
      <c r="SDG35" s="292"/>
      <c r="SDH35" s="292"/>
      <c r="SDI35" s="292"/>
      <c r="SDJ35" s="292"/>
      <c r="SDK35" s="292"/>
      <c r="SDL35" s="292"/>
      <c r="SDM35" s="292"/>
      <c r="SDN35" s="292"/>
      <c r="SDO35" s="292"/>
      <c r="SDP35" s="292"/>
      <c r="SDQ35" s="292"/>
      <c r="SDR35" s="292"/>
      <c r="SDS35" s="292"/>
      <c r="SDT35" s="292"/>
      <c r="SDU35" s="292"/>
      <c r="SDV35" s="292"/>
      <c r="SDW35" s="292"/>
      <c r="SDX35" s="292"/>
      <c r="SDY35" s="292"/>
      <c r="SDZ35" s="292"/>
      <c r="SEA35" s="292"/>
      <c r="SEB35" s="292"/>
      <c r="SEC35" s="292"/>
      <c r="SED35" s="292"/>
      <c r="SEE35" s="292"/>
      <c r="SEF35" s="292"/>
      <c r="SEG35" s="292"/>
      <c r="SEH35" s="292"/>
      <c r="SEI35" s="292"/>
      <c r="SEJ35" s="292"/>
      <c r="SEK35" s="292"/>
      <c r="SEL35" s="292"/>
      <c r="SEM35" s="292"/>
      <c r="SEN35" s="292"/>
      <c r="SEO35" s="292"/>
      <c r="SEP35" s="292"/>
      <c r="SEQ35" s="292"/>
      <c r="SER35" s="292"/>
      <c r="SES35" s="292"/>
      <c r="SET35" s="292"/>
      <c r="SEU35" s="292"/>
      <c r="SEV35" s="292"/>
      <c r="SEW35" s="292"/>
      <c r="SEX35" s="292"/>
      <c r="SEY35" s="292"/>
      <c r="SEZ35" s="292"/>
      <c r="SFA35" s="292"/>
      <c r="SFB35" s="292"/>
      <c r="SFC35" s="292"/>
      <c r="SFD35" s="292"/>
      <c r="SFE35" s="292"/>
      <c r="SFF35" s="292"/>
      <c r="SFG35" s="292"/>
      <c r="SFH35" s="292"/>
      <c r="SFI35" s="292"/>
      <c r="SFJ35" s="292"/>
      <c r="SFK35" s="292"/>
      <c r="SFL35" s="292"/>
      <c r="SFM35" s="292"/>
      <c r="SFN35" s="292"/>
      <c r="SFO35" s="292"/>
      <c r="SFP35" s="292"/>
      <c r="SFQ35" s="292"/>
      <c r="SFR35" s="292"/>
      <c r="SFS35" s="292"/>
      <c r="SFT35" s="292"/>
      <c r="SFU35" s="292"/>
      <c r="SFV35" s="292"/>
      <c r="SFW35" s="292"/>
      <c r="SFX35" s="292"/>
      <c r="SFY35" s="292"/>
      <c r="SFZ35" s="292"/>
      <c r="SGA35" s="292"/>
      <c r="SGB35" s="292"/>
      <c r="SGC35" s="292"/>
      <c r="SGD35" s="292"/>
      <c r="SGE35" s="292"/>
      <c r="SGF35" s="292"/>
      <c r="SGG35" s="292"/>
      <c r="SGH35" s="292"/>
      <c r="SGI35" s="292"/>
      <c r="SGJ35" s="292"/>
      <c r="SGK35" s="292"/>
      <c r="SGL35" s="292"/>
      <c r="SGM35" s="292"/>
      <c r="SGN35" s="292"/>
      <c r="SGO35" s="292"/>
      <c r="SGP35" s="292"/>
      <c r="SGQ35" s="292"/>
      <c r="SGR35" s="292"/>
      <c r="SGS35" s="292"/>
      <c r="SGT35" s="292"/>
      <c r="SGU35" s="292"/>
      <c r="SGV35" s="292"/>
      <c r="SGW35" s="292"/>
      <c r="SGX35" s="292"/>
      <c r="SGY35" s="292"/>
      <c r="SGZ35" s="292"/>
      <c r="SHA35" s="292"/>
      <c r="SHB35" s="292"/>
      <c r="SHC35" s="292"/>
      <c r="SHD35" s="292"/>
      <c r="SHE35" s="292"/>
      <c r="SHF35" s="292"/>
      <c r="SHG35" s="292"/>
      <c r="SHH35" s="292"/>
      <c r="SHI35" s="292"/>
      <c r="SHJ35" s="292"/>
      <c r="SHK35" s="292"/>
      <c r="SHL35" s="292"/>
      <c r="SHM35" s="292"/>
      <c r="SHN35" s="292"/>
      <c r="SHO35" s="292"/>
      <c r="SHP35" s="292"/>
      <c r="SHQ35" s="292"/>
      <c r="SHR35" s="292"/>
      <c r="SHS35" s="292"/>
      <c r="SHT35" s="292"/>
      <c r="SHU35" s="292"/>
      <c r="SHV35" s="292"/>
      <c r="SHW35" s="292"/>
      <c r="SHX35" s="292"/>
      <c r="SHY35" s="292"/>
      <c r="SHZ35" s="292"/>
      <c r="SIA35" s="292"/>
      <c r="SIB35" s="292"/>
      <c r="SIC35" s="292"/>
      <c r="SID35" s="292"/>
      <c r="SIE35" s="292"/>
      <c r="SIF35" s="292"/>
      <c r="SIG35" s="292"/>
      <c r="SIH35" s="292"/>
      <c r="SII35" s="292"/>
      <c r="SIJ35" s="292"/>
      <c r="SIK35" s="292"/>
      <c r="SIL35" s="292"/>
      <c r="SIM35" s="292"/>
      <c r="SIN35" s="292"/>
      <c r="SIO35" s="292"/>
      <c r="SIP35" s="292"/>
      <c r="SIQ35" s="292"/>
      <c r="SIR35" s="292"/>
      <c r="SIS35" s="292"/>
      <c r="SIT35" s="292"/>
      <c r="SIU35" s="292"/>
      <c r="SIV35" s="292"/>
      <c r="SIW35" s="292"/>
      <c r="SIX35" s="292"/>
      <c r="SIY35" s="292"/>
      <c r="SIZ35" s="292"/>
      <c r="SJA35" s="292"/>
      <c r="SJB35" s="292"/>
      <c r="SJC35" s="292"/>
      <c r="SJD35" s="292"/>
      <c r="SJE35" s="292"/>
      <c r="SJF35" s="292"/>
      <c r="SJG35" s="292"/>
      <c r="SJH35" s="292"/>
      <c r="SJI35" s="292"/>
      <c r="SJJ35" s="292"/>
      <c r="SJK35" s="292"/>
      <c r="SJL35" s="292"/>
      <c r="SJM35" s="292"/>
      <c r="SJN35" s="292"/>
      <c r="SJO35" s="292"/>
      <c r="SJP35" s="292"/>
      <c r="SJQ35" s="292"/>
      <c r="SJR35" s="292"/>
      <c r="SJS35" s="292"/>
      <c r="SJT35" s="292"/>
      <c r="SJU35" s="292"/>
      <c r="SJV35" s="292"/>
      <c r="SJW35" s="292"/>
      <c r="SJX35" s="292"/>
      <c r="SJY35" s="292"/>
      <c r="SJZ35" s="292"/>
      <c r="SKA35" s="292"/>
      <c r="SKB35" s="292"/>
      <c r="SKC35" s="292"/>
      <c r="SKD35" s="292"/>
      <c r="SKE35" s="292"/>
      <c r="SKF35" s="292"/>
      <c r="SKG35" s="292"/>
      <c r="SKH35" s="292"/>
      <c r="SKI35" s="292"/>
      <c r="SKJ35" s="292"/>
      <c r="SKK35" s="292"/>
      <c r="SKL35" s="292"/>
      <c r="SKM35" s="292"/>
      <c r="SKN35" s="292"/>
      <c r="SKO35" s="292"/>
      <c r="SKP35" s="292"/>
      <c r="SKQ35" s="292"/>
      <c r="SKR35" s="292"/>
      <c r="SKS35" s="292"/>
      <c r="SKT35" s="292"/>
      <c r="SKU35" s="292"/>
      <c r="SKV35" s="292"/>
      <c r="SKW35" s="292"/>
      <c r="SKX35" s="292"/>
      <c r="SKY35" s="292"/>
      <c r="SKZ35" s="292"/>
      <c r="SLA35" s="292"/>
      <c r="SLB35" s="292"/>
      <c r="SLC35" s="292"/>
      <c r="SLD35" s="292"/>
      <c r="SLE35" s="292"/>
      <c r="SLF35" s="292"/>
      <c r="SLG35" s="292"/>
      <c r="SLH35" s="292"/>
      <c r="SLI35" s="292"/>
      <c r="SLJ35" s="292"/>
      <c r="SLK35" s="292"/>
      <c r="SLL35" s="292"/>
      <c r="SLM35" s="292"/>
      <c r="SLN35" s="292"/>
      <c r="SLO35" s="292"/>
      <c r="SLP35" s="292"/>
      <c r="SLQ35" s="292"/>
      <c r="SLR35" s="292"/>
      <c r="SLS35" s="292"/>
      <c r="SLT35" s="292"/>
      <c r="SLU35" s="292"/>
      <c r="SLV35" s="292"/>
      <c r="SLW35" s="292"/>
      <c r="SLX35" s="292"/>
      <c r="SLY35" s="292"/>
      <c r="SLZ35" s="292"/>
      <c r="SMA35" s="292"/>
      <c r="SMB35" s="292"/>
      <c r="SMC35" s="292"/>
      <c r="SMD35" s="292"/>
      <c r="SME35" s="292"/>
      <c r="SMF35" s="292"/>
      <c r="SMG35" s="292"/>
      <c r="SMH35" s="292"/>
      <c r="SMI35" s="292"/>
      <c r="SMJ35" s="292"/>
      <c r="SMK35" s="292"/>
      <c r="SML35" s="292"/>
      <c r="SMM35" s="292"/>
      <c r="SMN35" s="292"/>
      <c r="SMO35" s="292"/>
      <c r="SMP35" s="292"/>
      <c r="SMQ35" s="292"/>
      <c r="SMR35" s="292"/>
      <c r="SMS35" s="292"/>
      <c r="SMT35" s="292"/>
      <c r="SMU35" s="292"/>
      <c r="SMV35" s="292"/>
      <c r="SMW35" s="292"/>
      <c r="SMX35" s="292"/>
      <c r="SMY35" s="292"/>
      <c r="SMZ35" s="292"/>
      <c r="SNA35" s="292"/>
      <c r="SNB35" s="292"/>
      <c r="SNC35" s="292"/>
      <c r="SND35" s="292"/>
      <c r="SNE35" s="292"/>
      <c r="SNF35" s="292"/>
      <c r="SNG35" s="292"/>
      <c r="SNH35" s="292"/>
      <c r="SNI35" s="292"/>
      <c r="SNJ35" s="292"/>
      <c r="SNK35" s="292"/>
      <c r="SNL35" s="292"/>
      <c r="SNM35" s="292"/>
      <c r="SNN35" s="292"/>
      <c r="SNO35" s="292"/>
      <c r="SNP35" s="292"/>
      <c r="SNQ35" s="292"/>
      <c r="SNR35" s="292"/>
      <c r="SNS35" s="292"/>
      <c r="SNT35" s="292"/>
      <c r="SNU35" s="292"/>
      <c r="SNV35" s="292"/>
      <c r="SNW35" s="292"/>
      <c r="SNX35" s="292"/>
      <c r="SNY35" s="292"/>
      <c r="SNZ35" s="292"/>
      <c r="SOA35" s="292"/>
      <c r="SOB35" s="292"/>
      <c r="SOC35" s="292"/>
      <c r="SOD35" s="292"/>
      <c r="SOE35" s="292"/>
      <c r="SOF35" s="292"/>
      <c r="SOG35" s="292"/>
      <c r="SOH35" s="292"/>
      <c r="SOI35" s="292"/>
      <c r="SOJ35" s="292"/>
      <c r="SOK35" s="292"/>
      <c r="SOL35" s="292"/>
      <c r="SOM35" s="292"/>
      <c r="SON35" s="292"/>
      <c r="SOO35" s="292"/>
      <c r="SOP35" s="292"/>
      <c r="SOQ35" s="292"/>
      <c r="SOR35" s="292"/>
      <c r="SOS35" s="292"/>
      <c r="SOT35" s="292"/>
      <c r="SOU35" s="292"/>
      <c r="SOV35" s="292"/>
      <c r="SOW35" s="292"/>
      <c r="SOX35" s="292"/>
      <c r="SOY35" s="292"/>
      <c r="SOZ35" s="292"/>
      <c r="SPA35" s="292"/>
      <c r="SPB35" s="292"/>
      <c r="SPC35" s="292"/>
      <c r="SPD35" s="292"/>
      <c r="SPE35" s="292"/>
      <c r="SPF35" s="292"/>
      <c r="SPG35" s="292"/>
      <c r="SPH35" s="292"/>
      <c r="SPI35" s="292"/>
      <c r="SPJ35" s="292"/>
      <c r="SPK35" s="292"/>
      <c r="SPL35" s="292"/>
      <c r="SPM35" s="292"/>
      <c r="SPN35" s="292"/>
      <c r="SPO35" s="292"/>
      <c r="SPP35" s="292"/>
      <c r="SPQ35" s="292"/>
      <c r="SPR35" s="292"/>
      <c r="SPS35" s="292"/>
      <c r="SPT35" s="292"/>
      <c r="SPU35" s="292"/>
      <c r="SPV35" s="292"/>
      <c r="SPW35" s="292"/>
      <c r="SPX35" s="292"/>
      <c r="SPY35" s="292"/>
      <c r="SPZ35" s="292"/>
      <c r="SQA35" s="292"/>
      <c r="SQB35" s="292"/>
      <c r="SQC35" s="292"/>
      <c r="SQD35" s="292"/>
      <c r="SQE35" s="292"/>
      <c r="SQF35" s="292"/>
      <c r="SQG35" s="292"/>
      <c r="SQH35" s="292"/>
      <c r="SQI35" s="292"/>
      <c r="SQJ35" s="292"/>
      <c r="SQK35" s="292"/>
      <c r="SQL35" s="292"/>
      <c r="SQM35" s="292"/>
      <c r="SQN35" s="292"/>
      <c r="SQO35" s="292"/>
      <c r="SQP35" s="292"/>
      <c r="SQQ35" s="292"/>
      <c r="SQR35" s="292"/>
      <c r="SQS35" s="292"/>
      <c r="SQT35" s="292"/>
      <c r="SQU35" s="292"/>
      <c r="SQV35" s="292"/>
      <c r="SQW35" s="292"/>
      <c r="SQX35" s="292"/>
      <c r="SQY35" s="292"/>
      <c r="SQZ35" s="292"/>
      <c r="SRA35" s="292"/>
      <c r="SRB35" s="292"/>
      <c r="SRC35" s="292"/>
      <c r="SRD35" s="292"/>
      <c r="SRE35" s="292"/>
      <c r="SRF35" s="292"/>
      <c r="SRG35" s="292"/>
      <c r="SRH35" s="292"/>
      <c r="SRI35" s="292"/>
      <c r="SRJ35" s="292"/>
      <c r="SRK35" s="292"/>
      <c r="SRL35" s="292"/>
      <c r="SRM35" s="292"/>
      <c r="SRN35" s="292"/>
      <c r="SRO35" s="292"/>
      <c r="SRP35" s="292"/>
      <c r="SRQ35" s="292"/>
      <c r="SRR35" s="292"/>
      <c r="SRS35" s="292"/>
      <c r="SRT35" s="292"/>
      <c r="SRU35" s="292"/>
      <c r="SRV35" s="292"/>
      <c r="SRW35" s="292"/>
      <c r="SRX35" s="292"/>
      <c r="SRY35" s="292"/>
      <c r="SRZ35" s="292"/>
      <c r="SSA35" s="292"/>
      <c r="SSB35" s="292"/>
      <c r="SSC35" s="292"/>
      <c r="SSD35" s="292"/>
      <c r="SSE35" s="292"/>
      <c r="SSF35" s="292"/>
      <c r="SSG35" s="292"/>
      <c r="SSH35" s="292"/>
      <c r="SSI35" s="292"/>
      <c r="SSJ35" s="292"/>
      <c r="SSK35" s="292"/>
      <c r="SSL35" s="292"/>
      <c r="SSM35" s="292"/>
      <c r="SSN35" s="292"/>
      <c r="SSO35" s="292"/>
      <c r="SSP35" s="292"/>
      <c r="SSQ35" s="292"/>
      <c r="SSR35" s="292"/>
      <c r="SSS35" s="292"/>
      <c r="SST35" s="292"/>
      <c r="SSU35" s="292"/>
      <c r="SSV35" s="292"/>
      <c r="SSW35" s="292"/>
      <c r="SSX35" s="292"/>
      <c r="SSY35" s="292"/>
      <c r="SSZ35" s="292"/>
      <c r="STA35" s="292"/>
      <c r="STB35" s="292"/>
      <c r="STC35" s="292"/>
      <c r="STD35" s="292"/>
      <c r="STE35" s="292"/>
      <c r="STF35" s="292"/>
      <c r="STG35" s="292"/>
      <c r="STH35" s="292"/>
      <c r="STI35" s="292"/>
      <c r="STJ35" s="292"/>
      <c r="STK35" s="292"/>
      <c r="STL35" s="292"/>
      <c r="STM35" s="292"/>
      <c r="STN35" s="292"/>
      <c r="STO35" s="292"/>
      <c r="STP35" s="292"/>
      <c r="STQ35" s="292"/>
      <c r="STR35" s="292"/>
      <c r="STS35" s="292"/>
      <c r="STT35" s="292"/>
      <c r="STU35" s="292"/>
      <c r="STV35" s="292"/>
      <c r="STW35" s="292"/>
      <c r="STX35" s="292"/>
      <c r="STY35" s="292"/>
      <c r="STZ35" s="292"/>
      <c r="SUA35" s="292"/>
      <c r="SUB35" s="292"/>
      <c r="SUC35" s="292"/>
      <c r="SUD35" s="292"/>
      <c r="SUE35" s="292"/>
      <c r="SUF35" s="292"/>
      <c r="SUG35" s="292"/>
      <c r="SUH35" s="292"/>
      <c r="SUI35" s="292"/>
      <c r="SUJ35" s="292"/>
      <c r="SUK35" s="292"/>
      <c r="SUL35" s="292"/>
      <c r="SUM35" s="292"/>
      <c r="SUN35" s="292"/>
      <c r="SUO35" s="292"/>
      <c r="SUP35" s="292"/>
      <c r="SUQ35" s="292"/>
      <c r="SUR35" s="292"/>
      <c r="SUS35" s="292"/>
      <c r="SUT35" s="292"/>
      <c r="SUU35" s="292"/>
      <c r="SUV35" s="292"/>
      <c r="SUW35" s="292"/>
      <c r="SUX35" s="292"/>
      <c r="SUY35" s="292"/>
      <c r="SUZ35" s="292"/>
      <c r="SVA35" s="292"/>
      <c r="SVB35" s="292"/>
      <c r="SVC35" s="292"/>
      <c r="SVD35" s="292"/>
      <c r="SVE35" s="292"/>
      <c r="SVF35" s="292"/>
      <c r="SVG35" s="292"/>
      <c r="SVH35" s="292"/>
      <c r="SVI35" s="292"/>
      <c r="SVJ35" s="292"/>
      <c r="SVK35" s="292"/>
      <c r="SVL35" s="292"/>
      <c r="SVM35" s="292"/>
      <c r="SVN35" s="292"/>
      <c r="SVO35" s="292"/>
      <c r="SVP35" s="292"/>
      <c r="SVQ35" s="292"/>
      <c r="SVR35" s="292"/>
      <c r="SVS35" s="292"/>
      <c r="SVT35" s="292"/>
      <c r="SVU35" s="292"/>
      <c r="SVV35" s="292"/>
      <c r="SVW35" s="292"/>
      <c r="SVX35" s="292"/>
      <c r="SVY35" s="292"/>
      <c r="SVZ35" s="292"/>
      <c r="SWA35" s="292"/>
      <c r="SWB35" s="292"/>
      <c r="SWC35" s="292"/>
      <c r="SWD35" s="292"/>
      <c r="SWE35" s="292"/>
      <c r="SWF35" s="292"/>
      <c r="SWG35" s="292"/>
      <c r="SWH35" s="292"/>
      <c r="SWI35" s="292"/>
      <c r="SWJ35" s="292"/>
      <c r="SWK35" s="292"/>
      <c r="SWL35" s="292"/>
      <c r="SWM35" s="292"/>
      <c r="SWN35" s="292"/>
      <c r="SWO35" s="292"/>
      <c r="SWP35" s="292"/>
      <c r="SWQ35" s="292"/>
      <c r="SWR35" s="292"/>
      <c r="SWS35" s="292"/>
      <c r="SWT35" s="292"/>
      <c r="SWU35" s="292"/>
      <c r="SWV35" s="292"/>
      <c r="SWW35" s="292"/>
      <c r="SWX35" s="292"/>
      <c r="SWY35" s="292"/>
      <c r="SWZ35" s="292"/>
      <c r="SXA35" s="292"/>
      <c r="SXB35" s="292"/>
      <c r="SXC35" s="292"/>
      <c r="SXD35" s="292"/>
      <c r="SXE35" s="292"/>
      <c r="SXF35" s="292"/>
      <c r="SXG35" s="292"/>
      <c r="SXH35" s="292"/>
      <c r="SXI35" s="292"/>
      <c r="SXJ35" s="292"/>
      <c r="SXK35" s="292"/>
      <c r="SXL35" s="292"/>
      <c r="SXM35" s="292"/>
      <c r="SXN35" s="292"/>
      <c r="SXO35" s="292"/>
      <c r="SXP35" s="292"/>
      <c r="SXQ35" s="292"/>
      <c r="SXR35" s="292"/>
      <c r="SXS35" s="292"/>
      <c r="SXT35" s="292"/>
      <c r="SXU35" s="292"/>
      <c r="SXV35" s="292"/>
      <c r="SXW35" s="292"/>
      <c r="SXX35" s="292"/>
      <c r="SXY35" s="292"/>
      <c r="SXZ35" s="292"/>
      <c r="SYA35" s="292"/>
      <c r="SYB35" s="292"/>
      <c r="SYC35" s="292"/>
      <c r="SYD35" s="292"/>
      <c r="SYE35" s="292"/>
      <c r="SYF35" s="292"/>
      <c r="SYG35" s="292"/>
      <c r="SYH35" s="292"/>
      <c r="SYI35" s="292"/>
      <c r="SYJ35" s="292"/>
      <c r="SYK35" s="292"/>
      <c r="SYL35" s="292"/>
      <c r="SYM35" s="292"/>
      <c r="SYN35" s="292"/>
      <c r="SYO35" s="292"/>
      <c r="SYP35" s="292"/>
      <c r="SYQ35" s="292"/>
      <c r="SYR35" s="292"/>
      <c r="SYS35" s="292"/>
      <c r="SYT35" s="292"/>
      <c r="SYU35" s="292"/>
      <c r="SYV35" s="292"/>
      <c r="SYW35" s="292"/>
      <c r="SYX35" s="292"/>
      <c r="SYY35" s="292"/>
      <c r="SYZ35" s="292"/>
      <c r="SZA35" s="292"/>
      <c r="SZB35" s="292"/>
      <c r="SZC35" s="292"/>
      <c r="SZD35" s="292"/>
      <c r="SZE35" s="292"/>
      <c r="SZF35" s="292"/>
      <c r="SZG35" s="292"/>
      <c r="SZH35" s="292"/>
      <c r="SZI35" s="292"/>
      <c r="SZJ35" s="292"/>
      <c r="SZK35" s="292"/>
      <c r="SZL35" s="292"/>
      <c r="SZM35" s="292"/>
      <c r="SZN35" s="292"/>
      <c r="SZO35" s="292"/>
      <c r="SZP35" s="292"/>
      <c r="SZQ35" s="292"/>
      <c r="SZR35" s="292"/>
      <c r="SZS35" s="292"/>
      <c r="SZT35" s="292"/>
      <c r="SZU35" s="292"/>
      <c r="SZV35" s="292"/>
      <c r="SZW35" s="292"/>
      <c r="SZX35" s="292"/>
      <c r="SZY35" s="292"/>
      <c r="SZZ35" s="292"/>
      <c r="TAA35" s="292"/>
      <c r="TAB35" s="292"/>
      <c r="TAC35" s="292"/>
      <c r="TAD35" s="292"/>
      <c r="TAE35" s="292"/>
      <c r="TAF35" s="292"/>
      <c r="TAG35" s="292"/>
      <c r="TAH35" s="292"/>
      <c r="TAI35" s="292"/>
      <c r="TAJ35" s="292"/>
      <c r="TAK35" s="292"/>
      <c r="TAL35" s="292"/>
      <c r="TAM35" s="292"/>
      <c r="TAN35" s="292"/>
      <c r="TAO35" s="292"/>
      <c r="TAP35" s="292"/>
      <c r="TAQ35" s="292"/>
      <c r="TAR35" s="292"/>
      <c r="TAS35" s="292"/>
      <c r="TAT35" s="292"/>
      <c r="TAU35" s="292"/>
      <c r="TAV35" s="292"/>
      <c r="TAW35" s="292"/>
      <c r="TAX35" s="292"/>
      <c r="TAY35" s="292"/>
      <c r="TAZ35" s="292"/>
      <c r="TBA35" s="292"/>
      <c r="TBB35" s="292"/>
      <c r="TBC35" s="292"/>
      <c r="TBD35" s="292"/>
      <c r="TBE35" s="292"/>
      <c r="TBF35" s="292"/>
      <c r="TBG35" s="292"/>
      <c r="TBH35" s="292"/>
      <c r="TBI35" s="292"/>
      <c r="TBJ35" s="292"/>
      <c r="TBK35" s="292"/>
      <c r="TBL35" s="292"/>
      <c r="TBM35" s="292"/>
      <c r="TBN35" s="292"/>
      <c r="TBO35" s="292"/>
      <c r="TBP35" s="292"/>
      <c r="TBQ35" s="292"/>
      <c r="TBR35" s="292"/>
      <c r="TBS35" s="292"/>
      <c r="TBT35" s="292"/>
      <c r="TBU35" s="292"/>
      <c r="TBV35" s="292"/>
      <c r="TBW35" s="292"/>
      <c r="TBX35" s="292"/>
      <c r="TBY35" s="292"/>
      <c r="TBZ35" s="292"/>
      <c r="TCA35" s="292"/>
      <c r="TCB35" s="292"/>
      <c r="TCC35" s="292"/>
      <c r="TCD35" s="292"/>
      <c r="TCE35" s="292"/>
      <c r="TCF35" s="292"/>
      <c r="TCG35" s="292"/>
      <c r="TCH35" s="292"/>
      <c r="TCI35" s="292"/>
      <c r="TCJ35" s="292"/>
      <c r="TCK35" s="292"/>
      <c r="TCL35" s="292"/>
      <c r="TCM35" s="292"/>
      <c r="TCN35" s="292"/>
      <c r="TCO35" s="292"/>
      <c r="TCP35" s="292"/>
      <c r="TCQ35" s="292"/>
      <c r="TCR35" s="292"/>
      <c r="TCS35" s="292"/>
      <c r="TCT35" s="292"/>
      <c r="TCU35" s="292"/>
      <c r="TCV35" s="292"/>
      <c r="TCW35" s="292"/>
      <c r="TCX35" s="292"/>
      <c r="TCY35" s="292"/>
      <c r="TCZ35" s="292"/>
      <c r="TDA35" s="292"/>
      <c r="TDB35" s="292"/>
      <c r="TDC35" s="292"/>
      <c r="TDD35" s="292"/>
      <c r="TDE35" s="292"/>
      <c r="TDF35" s="292"/>
      <c r="TDG35" s="292"/>
      <c r="TDH35" s="292"/>
      <c r="TDI35" s="292"/>
      <c r="TDJ35" s="292"/>
      <c r="TDK35" s="292"/>
      <c r="TDL35" s="292"/>
      <c r="TDM35" s="292"/>
      <c r="TDN35" s="292"/>
      <c r="TDO35" s="292"/>
      <c r="TDP35" s="292"/>
      <c r="TDQ35" s="292"/>
      <c r="TDR35" s="292"/>
      <c r="TDS35" s="292"/>
      <c r="TDT35" s="292"/>
      <c r="TDU35" s="292"/>
      <c r="TDV35" s="292"/>
      <c r="TDW35" s="292"/>
      <c r="TDX35" s="292"/>
      <c r="TDY35" s="292"/>
      <c r="TDZ35" s="292"/>
      <c r="TEA35" s="292"/>
      <c r="TEB35" s="292"/>
      <c r="TEC35" s="292"/>
      <c r="TED35" s="292"/>
      <c r="TEE35" s="292"/>
      <c r="TEF35" s="292"/>
      <c r="TEG35" s="292"/>
      <c r="TEH35" s="292"/>
      <c r="TEI35" s="292"/>
      <c r="TEJ35" s="292"/>
      <c r="TEK35" s="292"/>
      <c r="TEL35" s="292"/>
      <c r="TEM35" s="292"/>
      <c r="TEN35" s="292"/>
      <c r="TEO35" s="292"/>
      <c r="TEP35" s="292"/>
      <c r="TEQ35" s="292"/>
      <c r="TER35" s="292"/>
      <c r="TES35" s="292"/>
      <c r="TET35" s="292"/>
      <c r="TEU35" s="292"/>
      <c r="TEV35" s="292"/>
      <c r="TEW35" s="292"/>
      <c r="TEX35" s="292"/>
      <c r="TEY35" s="292"/>
      <c r="TEZ35" s="292"/>
      <c r="TFA35" s="292"/>
      <c r="TFB35" s="292"/>
      <c r="TFC35" s="292"/>
      <c r="TFD35" s="292"/>
      <c r="TFE35" s="292"/>
      <c r="TFF35" s="292"/>
      <c r="TFG35" s="292"/>
      <c r="TFH35" s="292"/>
      <c r="TFI35" s="292"/>
      <c r="TFJ35" s="292"/>
      <c r="TFK35" s="292"/>
      <c r="TFL35" s="292"/>
      <c r="TFM35" s="292"/>
      <c r="TFN35" s="292"/>
      <c r="TFO35" s="292"/>
      <c r="TFP35" s="292"/>
      <c r="TFQ35" s="292"/>
      <c r="TFR35" s="292"/>
      <c r="TFS35" s="292"/>
      <c r="TFT35" s="292"/>
      <c r="TFU35" s="292"/>
      <c r="TFV35" s="292"/>
      <c r="TFW35" s="292"/>
      <c r="TFX35" s="292"/>
      <c r="TFY35" s="292"/>
      <c r="TFZ35" s="292"/>
      <c r="TGA35" s="292"/>
      <c r="TGB35" s="292"/>
      <c r="TGC35" s="292"/>
      <c r="TGD35" s="292"/>
      <c r="TGE35" s="292"/>
      <c r="TGF35" s="292"/>
      <c r="TGG35" s="292"/>
      <c r="TGH35" s="292"/>
      <c r="TGI35" s="292"/>
      <c r="TGJ35" s="292"/>
      <c r="TGK35" s="292"/>
      <c r="TGL35" s="292"/>
      <c r="TGM35" s="292"/>
      <c r="TGN35" s="292"/>
      <c r="TGO35" s="292"/>
      <c r="TGP35" s="292"/>
      <c r="TGQ35" s="292"/>
      <c r="TGR35" s="292"/>
      <c r="TGS35" s="292"/>
      <c r="TGT35" s="292"/>
      <c r="TGU35" s="292"/>
      <c r="TGV35" s="292"/>
      <c r="TGW35" s="292"/>
      <c r="TGX35" s="292"/>
      <c r="TGY35" s="292"/>
      <c r="TGZ35" s="292"/>
      <c r="THA35" s="292"/>
      <c r="THB35" s="292"/>
      <c r="THC35" s="292"/>
      <c r="THD35" s="292"/>
      <c r="THE35" s="292"/>
      <c r="THF35" s="292"/>
      <c r="THG35" s="292"/>
      <c r="THH35" s="292"/>
      <c r="THI35" s="292"/>
      <c r="THJ35" s="292"/>
      <c r="THK35" s="292"/>
      <c r="THL35" s="292"/>
      <c r="THM35" s="292"/>
      <c r="THN35" s="292"/>
      <c r="THO35" s="292"/>
      <c r="THP35" s="292"/>
      <c r="THQ35" s="292"/>
      <c r="THR35" s="292"/>
      <c r="THS35" s="292"/>
      <c r="THT35" s="292"/>
      <c r="THU35" s="292"/>
      <c r="THV35" s="292"/>
      <c r="THW35" s="292"/>
      <c r="THX35" s="292"/>
      <c r="THY35" s="292"/>
      <c r="THZ35" s="292"/>
      <c r="TIA35" s="292"/>
      <c r="TIB35" s="292"/>
      <c r="TIC35" s="292"/>
      <c r="TID35" s="292"/>
      <c r="TIE35" s="292"/>
      <c r="TIF35" s="292"/>
      <c r="TIG35" s="292"/>
      <c r="TIH35" s="292"/>
      <c r="TII35" s="292"/>
      <c r="TIJ35" s="292"/>
      <c r="TIK35" s="292"/>
      <c r="TIL35" s="292"/>
      <c r="TIM35" s="292"/>
      <c r="TIN35" s="292"/>
      <c r="TIO35" s="292"/>
      <c r="TIP35" s="292"/>
      <c r="TIQ35" s="292"/>
      <c r="TIR35" s="292"/>
      <c r="TIS35" s="292"/>
      <c r="TIT35" s="292"/>
      <c r="TIU35" s="292"/>
      <c r="TIV35" s="292"/>
      <c r="TIW35" s="292"/>
      <c r="TIX35" s="292"/>
      <c r="TIY35" s="292"/>
      <c r="TIZ35" s="292"/>
      <c r="TJA35" s="292"/>
      <c r="TJB35" s="292"/>
      <c r="TJC35" s="292"/>
      <c r="TJD35" s="292"/>
      <c r="TJE35" s="292"/>
      <c r="TJF35" s="292"/>
      <c r="TJG35" s="292"/>
      <c r="TJH35" s="292"/>
      <c r="TJI35" s="292"/>
      <c r="TJJ35" s="292"/>
      <c r="TJK35" s="292"/>
      <c r="TJL35" s="292"/>
      <c r="TJM35" s="292"/>
      <c r="TJN35" s="292"/>
      <c r="TJO35" s="292"/>
      <c r="TJP35" s="292"/>
      <c r="TJQ35" s="292"/>
      <c r="TJR35" s="292"/>
      <c r="TJS35" s="292"/>
      <c r="TJT35" s="292"/>
      <c r="TJU35" s="292"/>
      <c r="TJV35" s="292"/>
      <c r="TJW35" s="292"/>
      <c r="TJX35" s="292"/>
      <c r="TJY35" s="292"/>
      <c r="TJZ35" s="292"/>
      <c r="TKA35" s="292"/>
      <c r="TKB35" s="292"/>
      <c r="TKC35" s="292"/>
      <c r="TKD35" s="292"/>
      <c r="TKE35" s="292"/>
      <c r="TKF35" s="292"/>
      <c r="TKG35" s="292"/>
      <c r="TKH35" s="292"/>
      <c r="TKI35" s="292"/>
      <c r="TKJ35" s="292"/>
      <c r="TKK35" s="292"/>
      <c r="TKL35" s="292"/>
      <c r="TKM35" s="292"/>
      <c r="TKN35" s="292"/>
      <c r="TKO35" s="292"/>
      <c r="TKP35" s="292"/>
      <c r="TKQ35" s="292"/>
      <c r="TKR35" s="292"/>
      <c r="TKS35" s="292"/>
      <c r="TKT35" s="292"/>
      <c r="TKU35" s="292"/>
      <c r="TKV35" s="292"/>
      <c r="TKW35" s="292"/>
      <c r="TKX35" s="292"/>
      <c r="TKY35" s="292"/>
      <c r="TKZ35" s="292"/>
      <c r="TLA35" s="292"/>
      <c r="TLB35" s="292"/>
      <c r="TLC35" s="292"/>
      <c r="TLD35" s="292"/>
      <c r="TLE35" s="292"/>
      <c r="TLF35" s="292"/>
      <c r="TLG35" s="292"/>
      <c r="TLH35" s="292"/>
      <c r="TLI35" s="292"/>
      <c r="TLJ35" s="292"/>
      <c r="TLK35" s="292"/>
      <c r="TLL35" s="292"/>
      <c r="TLM35" s="292"/>
      <c r="TLN35" s="292"/>
      <c r="TLO35" s="292"/>
      <c r="TLP35" s="292"/>
      <c r="TLQ35" s="292"/>
      <c r="TLR35" s="292"/>
      <c r="TLS35" s="292"/>
      <c r="TLT35" s="292"/>
      <c r="TLU35" s="292"/>
      <c r="TLV35" s="292"/>
      <c r="TLW35" s="292"/>
      <c r="TLX35" s="292"/>
      <c r="TLY35" s="292"/>
      <c r="TLZ35" s="292"/>
      <c r="TMA35" s="292"/>
      <c r="TMB35" s="292"/>
      <c r="TMC35" s="292"/>
      <c r="TMD35" s="292"/>
      <c r="TME35" s="292"/>
      <c r="TMF35" s="292"/>
      <c r="TMG35" s="292"/>
      <c r="TMH35" s="292"/>
      <c r="TMI35" s="292"/>
      <c r="TMJ35" s="292"/>
      <c r="TMK35" s="292"/>
      <c r="TML35" s="292"/>
      <c r="TMM35" s="292"/>
      <c r="TMN35" s="292"/>
      <c r="TMO35" s="292"/>
      <c r="TMP35" s="292"/>
      <c r="TMQ35" s="292"/>
      <c r="TMR35" s="292"/>
      <c r="TMS35" s="292"/>
      <c r="TMT35" s="292"/>
      <c r="TMU35" s="292"/>
      <c r="TMV35" s="292"/>
      <c r="TMW35" s="292"/>
      <c r="TMX35" s="292"/>
      <c r="TMY35" s="292"/>
      <c r="TMZ35" s="292"/>
      <c r="TNA35" s="292"/>
      <c r="TNB35" s="292"/>
      <c r="TNC35" s="292"/>
      <c r="TND35" s="292"/>
      <c r="TNE35" s="292"/>
      <c r="TNF35" s="292"/>
      <c r="TNG35" s="292"/>
      <c r="TNH35" s="292"/>
      <c r="TNI35" s="292"/>
      <c r="TNJ35" s="292"/>
      <c r="TNK35" s="292"/>
      <c r="TNL35" s="292"/>
      <c r="TNM35" s="292"/>
      <c r="TNN35" s="292"/>
      <c r="TNO35" s="292"/>
      <c r="TNP35" s="292"/>
      <c r="TNQ35" s="292"/>
      <c r="TNR35" s="292"/>
      <c r="TNS35" s="292"/>
      <c r="TNT35" s="292"/>
      <c r="TNU35" s="292"/>
      <c r="TNV35" s="292"/>
      <c r="TNW35" s="292"/>
      <c r="TNX35" s="292"/>
      <c r="TNY35" s="292"/>
      <c r="TNZ35" s="292"/>
      <c r="TOA35" s="292"/>
      <c r="TOB35" s="292"/>
      <c r="TOC35" s="292"/>
      <c r="TOD35" s="292"/>
      <c r="TOE35" s="292"/>
      <c r="TOF35" s="292"/>
      <c r="TOG35" s="292"/>
      <c r="TOH35" s="292"/>
      <c r="TOI35" s="292"/>
      <c r="TOJ35" s="292"/>
      <c r="TOK35" s="292"/>
      <c r="TOL35" s="292"/>
      <c r="TOM35" s="292"/>
      <c r="TON35" s="292"/>
      <c r="TOO35" s="292"/>
      <c r="TOP35" s="292"/>
      <c r="TOQ35" s="292"/>
      <c r="TOR35" s="292"/>
      <c r="TOS35" s="292"/>
      <c r="TOT35" s="292"/>
      <c r="TOU35" s="292"/>
      <c r="TOV35" s="292"/>
      <c r="TOW35" s="292"/>
      <c r="TOX35" s="292"/>
      <c r="TOY35" s="292"/>
      <c r="TOZ35" s="292"/>
      <c r="TPA35" s="292"/>
      <c r="TPB35" s="292"/>
      <c r="TPC35" s="292"/>
      <c r="TPD35" s="292"/>
      <c r="TPE35" s="292"/>
      <c r="TPF35" s="292"/>
      <c r="TPG35" s="292"/>
      <c r="TPH35" s="292"/>
      <c r="TPI35" s="292"/>
      <c r="TPJ35" s="292"/>
      <c r="TPK35" s="292"/>
      <c r="TPL35" s="292"/>
      <c r="TPM35" s="292"/>
      <c r="TPN35" s="292"/>
      <c r="TPO35" s="292"/>
      <c r="TPP35" s="292"/>
      <c r="TPQ35" s="292"/>
      <c r="TPR35" s="292"/>
      <c r="TPS35" s="292"/>
      <c r="TPT35" s="292"/>
      <c r="TPU35" s="292"/>
      <c r="TPV35" s="292"/>
      <c r="TPW35" s="292"/>
      <c r="TPX35" s="292"/>
      <c r="TPY35" s="292"/>
      <c r="TPZ35" s="292"/>
      <c r="TQA35" s="292"/>
      <c r="TQB35" s="292"/>
      <c r="TQC35" s="292"/>
      <c r="TQD35" s="292"/>
      <c r="TQE35" s="292"/>
      <c r="TQF35" s="292"/>
      <c r="TQG35" s="292"/>
      <c r="TQH35" s="292"/>
      <c r="TQI35" s="292"/>
      <c r="TQJ35" s="292"/>
      <c r="TQK35" s="292"/>
      <c r="TQL35" s="292"/>
      <c r="TQM35" s="292"/>
      <c r="TQN35" s="292"/>
      <c r="TQO35" s="292"/>
      <c r="TQP35" s="292"/>
      <c r="TQQ35" s="292"/>
      <c r="TQR35" s="292"/>
      <c r="TQS35" s="292"/>
      <c r="TQT35" s="292"/>
      <c r="TQU35" s="292"/>
      <c r="TQV35" s="292"/>
      <c r="TQW35" s="292"/>
      <c r="TQX35" s="292"/>
      <c r="TQY35" s="292"/>
      <c r="TQZ35" s="292"/>
      <c r="TRA35" s="292"/>
      <c r="TRB35" s="292"/>
      <c r="TRC35" s="292"/>
      <c r="TRD35" s="292"/>
      <c r="TRE35" s="292"/>
      <c r="TRF35" s="292"/>
      <c r="TRG35" s="292"/>
      <c r="TRH35" s="292"/>
      <c r="TRI35" s="292"/>
      <c r="TRJ35" s="292"/>
      <c r="TRK35" s="292"/>
      <c r="TRL35" s="292"/>
      <c r="TRM35" s="292"/>
      <c r="TRN35" s="292"/>
      <c r="TRO35" s="292"/>
      <c r="TRP35" s="292"/>
      <c r="TRQ35" s="292"/>
      <c r="TRR35" s="292"/>
      <c r="TRS35" s="292"/>
      <c r="TRT35" s="292"/>
      <c r="TRU35" s="292"/>
      <c r="TRV35" s="292"/>
      <c r="TRW35" s="292"/>
      <c r="TRX35" s="292"/>
      <c r="TRY35" s="292"/>
      <c r="TRZ35" s="292"/>
      <c r="TSA35" s="292"/>
      <c r="TSB35" s="292"/>
      <c r="TSC35" s="292"/>
      <c r="TSD35" s="292"/>
      <c r="TSE35" s="292"/>
      <c r="TSF35" s="292"/>
      <c r="TSG35" s="292"/>
      <c r="TSH35" s="292"/>
      <c r="TSI35" s="292"/>
      <c r="TSJ35" s="292"/>
      <c r="TSK35" s="292"/>
      <c r="TSL35" s="292"/>
      <c r="TSM35" s="292"/>
      <c r="TSN35" s="292"/>
      <c r="TSO35" s="292"/>
      <c r="TSP35" s="292"/>
      <c r="TSQ35" s="292"/>
      <c r="TSR35" s="292"/>
      <c r="TSS35" s="292"/>
      <c r="TST35" s="292"/>
      <c r="TSU35" s="292"/>
      <c r="TSV35" s="292"/>
      <c r="TSW35" s="292"/>
      <c r="TSX35" s="292"/>
      <c r="TSY35" s="292"/>
      <c r="TSZ35" s="292"/>
      <c r="TTA35" s="292"/>
      <c r="TTB35" s="292"/>
      <c r="TTC35" s="292"/>
      <c r="TTD35" s="292"/>
      <c r="TTE35" s="292"/>
      <c r="TTF35" s="292"/>
      <c r="TTG35" s="292"/>
      <c r="TTH35" s="292"/>
      <c r="TTI35" s="292"/>
      <c r="TTJ35" s="292"/>
      <c r="TTK35" s="292"/>
      <c r="TTL35" s="292"/>
      <c r="TTM35" s="292"/>
      <c r="TTN35" s="292"/>
      <c r="TTO35" s="292"/>
      <c r="TTP35" s="292"/>
      <c r="TTQ35" s="292"/>
      <c r="TTR35" s="292"/>
      <c r="TTS35" s="292"/>
      <c r="TTT35" s="292"/>
      <c r="TTU35" s="292"/>
      <c r="TTV35" s="292"/>
      <c r="TTW35" s="292"/>
      <c r="TTX35" s="292"/>
      <c r="TTY35" s="292"/>
      <c r="TTZ35" s="292"/>
      <c r="TUA35" s="292"/>
      <c r="TUB35" s="292"/>
      <c r="TUC35" s="292"/>
      <c r="TUD35" s="292"/>
      <c r="TUE35" s="292"/>
      <c r="TUF35" s="292"/>
      <c r="TUG35" s="292"/>
      <c r="TUH35" s="292"/>
      <c r="TUI35" s="292"/>
      <c r="TUJ35" s="292"/>
      <c r="TUK35" s="292"/>
      <c r="TUL35" s="292"/>
      <c r="TUM35" s="292"/>
      <c r="TUN35" s="292"/>
      <c r="TUO35" s="292"/>
      <c r="TUP35" s="292"/>
      <c r="TUQ35" s="292"/>
      <c r="TUR35" s="292"/>
      <c r="TUS35" s="292"/>
      <c r="TUT35" s="292"/>
      <c r="TUU35" s="292"/>
      <c r="TUV35" s="292"/>
      <c r="TUW35" s="292"/>
      <c r="TUX35" s="292"/>
      <c r="TUY35" s="292"/>
      <c r="TUZ35" s="292"/>
      <c r="TVA35" s="292"/>
      <c r="TVB35" s="292"/>
      <c r="TVC35" s="292"/>
      <c r="TVD35" s="292"/>
      <c r="TVE35" s="292"/>
      <c r="TVF35" s="292"/>
      <c r="TVG35" s="292"/>
      <c r="TVH35" s="292"/>
      <c r="TVI35" s="292"/>
      <c r="TVJ35" s="292"/>
      <c r="TVK35" s="292"/>
      <c r="TVL35" s="292"/>
      <c r="TVM35" s="292"/>
      <c r="TVN35" s="292"/>
      <c r="TVO35" s="292"/>
      <c r="TVP35" s="292"/>
      <c r="TVQ35" s="292"/>
      <c r="TVR35" s="292"/>
      <c r="TVS35" s="292"/>
      <c r="TVT35" s="292"/>
      <c r="TVU35" s="292"/>
      <c r="TVV35" s="292"/>
      <c r="TVW35" s="292"/>
      <c r="TVX35" s="292"/>
      <c r="TVY35" s="292"/>
      <c r="TVZ35" s="292"/>
      <c r="TWA35" s="292"/>
      <c r="TWB35" s="292"/>
      <c r="TWC35" s="292"/>
      <c r="TWD35" s="292"/>
      <c r="TWE35" s="292"/>
      <c r="TWF35" s="292"/>
      <c r="TWG35" s="292"/>
      <c r="TWH35" s="292"/>
      <c r="TWI35" s="292"/>
      <c r="TWJ35" s="292"/>
      <c r="TWK35" s="292"/>
      <c r="TWL35" s="292"/>
      <c r="TWM35" s="292"/>
      <c r="TWN35" s="292"/>
      <c r="TWO35" s="292"/>
      <c r="TWP35" s="292"/>
      <c r="TWQ35" s="292"/>
      <c r="TWR35" s="292"/>
      <c r="TWS35" s="292"/>
      <c r="TWT35" s="292"/>
      <c r="TWU35" s="292"/>
      <c r="TWV35" s="292"/>
      <c r="TWW35" s="292"/>
      <c r="TWX35" s="292"/>
      <c r="TWY35" s="292"/>
      <c r="TWZ35" s="292"/>
      <c r="TXA35" s="292"/>
      <c r="TXB35" s="292"/>
      <c r="TXC35" s="292"/>
      <c r="TXD35" s="292"/>
      <c r="TXE35" s="292"/>
      <c r="TXF35" s="292"/>
      <c r="TXG35" s="292"/>
      <c r="TXH35" s="292"/>
      <c r="TXI35" s="292"/>
      <c r="TXJ35" s="292"/>
      <c r="TXK35" s="292"/>
      <c r="TXL35" s="292"/>
      <c r="TXM35" s="292"/>
      <c r="TXN35" s="292"/>
      <c r="TXO35" s="292"/>
      <c r="TXP35" s="292"/>
      <c r="TXQ35" s="292"/>
      <c r="TXR35" s="292"/>
      <c r="TXS35" s="292"/>
      <c r="TXT35" s="292"/>
      <c r="TXU35" s="292"/>
      <c r="TXV35" s="292"/>
      <c r="TXW35" s="292"/>
      <c r="TXX35" s="292"/>
      <c r="TXY35" s="292"/>
      <c r="TXZ35" s="292"/>
      <c r="TYA35" s="292"/>
      <c r="TYB35" s="292"/>
      <c r="TYC35" s="292"/>
      <c r="TYD35" s="292"/>
      <c r="TYE35" s="292"/>
      <c r="TYF35" s="292"/>
      <c r="TYG35" s="292"/>
      <c r="TYH35" s="292"/>
      <c r="TYI35" s="292"/>
      <c r="TYJ35" s="292"/>
      <c r="TYK35" s="292"/>
      <c r="TYL35" s="292"/>
      <c r="TYM35" s="292"/>
      <c r="TYN35" s="292"/>
      <c r="TYO35" s="292"/>
      <c r="TYP35" s="292"/>
      <c r="TYQ35" s="292"/>
      <c r="TYR35" s="292"/>
      <c r="TYS35" s="292"/>
      <c r="TYT35" s="292"/>
      <c r="TYU35" s="292"/>
      <c r="TYV35" s="292"/>
      <c r="TYW35" s="292"/>
      <c r="TYX35" s="292"/>
      <c r="TYY35" s="292"/>
      <c r="TYZ35" s="292"/>
      <c r="TZA35" s="292"/>
      <c r="TZB35" s="292"/>
      <c r="TZC35" s="292"/>
      <c r="TZD35" s="292"/>
      <c r="TZE35" s="292"/>
      <c r="TZF35" s="292"/>
      <c r="TZG35" s="292"/>
      <c r="TZH35" s="292"/>
      <c r="TZI35" s="292"/>
      <c r="TZJ35" s="292"/>
      <c r="TZK35" s="292"/>
      <c r="TZL35" s="292"/>
      <c r="TZM35" s="292"/>
      <c r="TZN35" s="292"/>
      <c r="TZO35" s="292"/>
      <c r="TZP35" s="292"/>
      <c r="TZQ35" s="292"/>
      <c r="TZR35" s="292"/>
      <c r="TZS35" s="292"/>
      <c r="TZT35" s="292"/>
      <c r="TZU35" s="292"/>
      <c r="TZV35" s="292"/>
      <c r="TZW35" s="292"/>
      <c r="TZX35" s="292"/>
      <c r="TZY35" s="292"/>
      <c r="TZZ35" s="292"/>
      <c r="UAA35" s="292"/>
      <c r="UAB35" s="292"/>
      <c r="UAC35" s="292"/>
      <c r="UAD35" s="292"/>
      <c r="UAE35" s="292"/>
      <c r="UAF35" s="292"/>
      <c r="UAG35" s="292"/>
      <c r="UAH35" s="292"/>
      <c r="UAI35" s="292"/>
      <c r="UAJ35" s="292"/>
      <c r="UAK35" s="292"/>
      <c r="UAL35" s="292"/>
      <c r="UAM35" s="292"/>
      <c r="UAN35" s="292"/>
      <c r="UAO35" s="292"/>
      <c r="UAP35" s="292"/>
      <c r="UAQ35" s="292"/>
      <c r="UAR35" s="292"/>
      <c r="UAS35" s="292"/>
      <c r="UAT35" s="292"/>
      <c r="UAU35" s="292"/>
      <c r="UAV35" s="292"/>
      <c r="UAW35" s="292"/>
      <c r="UAX35" s="292"/>
      <c r="UAY35" s="292"/>
      <c r="UAZ35" s="292"/>
      <c r="UBA35" s="292"/>
      <c r="UBB35" s="292"/>
      <c r="UBC35" s="292"/>
      <c r="UBD35" s="292"/>
      <c r="UBE35" s="292"/>
      <c r="UBF35" s="292"/>
      <c r="UBG35" s="292"/>
      <c r="UBH35" s="292"/>
      <c r="UBI35" s="292"/>
      <c r="UBJ35" s="292"/>
      <c r="UBK35" s="292"/>
      <c r="UBL35" s="292"/>
      <c r="UBM35" s="292"/>
      <c r="UBN35" s="292"/>
      <c r="UBO35" s="292"/>
      <c r="UBP35" s="292"/>
      <c r="UBQ35" s="292"/>
      <c r="UBR35" s="292"/>
      <c r="UBS35" s="292"/>
      <c r="UBT35" s="292"/>
      <c r="UBU35" s="292"/>
      <c r="UBV35" s="292"/>
      <c r="UBW35" s="292"/>
      <c r="UBX35" s="292"/>
      <c r="UBY35" s="292"/>
      <c r="UBZ35" s="292"/>
      <c r="UCA35" s="292"/>
      <c r="UCB35" s="292"/>
      <c r="UCC35" s="292"/>
      <c r="UCD35" s="292"/>
      <c r="UCE35" s="292"/>
      <c r="UCF35" s="292"/>
      <c r="UCG35" s="292"/>
      <c r="UCH35" s="292"/>
      <c r="UCI35" s="292"/>
      <c r="UCJ35" s="292"/>
      <c r="UCK35" s="292"/>
      <c r="UCL35" s="292"/>
      <c r="UCM35" s="292"/>
      <c r="UCN35" s="292"/>
      <c r="UCO35" s="292"/>
      <c r="UCP35" s="292"/>
      <c r="UCQ35" s="292"/>
      <c r="UCR35" s="292"/>
      <c r="UCS35" s="292"/>
      <c r="UCT35" s="292"/>
      <c r="UCU35" s="292"/>
      <c r="UCV35" s="292"/>
      <c r="UCW35" s="292"/>
      <c r="UCX35" s="292"/>
      <c r="UCY35" s="292"/>
      <c r="UCZ35" s="292"/>
      <c r="UDA35" s="292"/>
      <c r="UDB35" s="292"/>
      <c r="UDC35" s="292"/>
      <c r="UDD35" s="292"/>
      <c r="UDE35" s="292"/>
      <c r="UDF35" s="292"/>
      <c r="UDG35" s="292"/>
      <c r="UDH35" s="292"/>
      <c r="UDI35" s="292"/>
      <c r="UDJ35" s="292"/>
      <c r="UDK35" s="292"/>
      <c r="UDL35" s="292"/>
      <c r="UDM35" s="292"/>
      <c r="UDN35" s="292"/>
      <c r="UDO35" s="292"/>
      <c r="UDP35" s="292"/>
      <c r="UDQ35" s="292"/>
      <c r="UDR35" s="292"/>
      <c r="UDS35" s="292"/>
      <c r="UDT35" s="292"/>
      <c r="UDU35" s="292"/>
      <c r="UDV35" s="292"/>
      <c r="UDW35" s="292"/>
      <c r="UDX35" s="292"/>
      <c r="UDY35" s="292"/>
      <c r="UDZ35" s="292"/>
      <c r="UEA35" s="292"/>
      <c r="UEB35" s="292"/>
      <c r="UEC35" s="292"/>
      <c r="UED35" s="292"/>
      <c r="UEE35" s="292"/>
      <c r="UEF35" s="292"/>
      <c r="UEG35" s="292"/>
      <c r="UEH35" s="292"/>
      <c r="UEI35" s="292"/>
      <c r="UEJ35" s="292"/>
      <c r="UEK35" s="292"/>
      <c r="UEL35" s="292"/>
      <c r="UEM35" s="292"/>
      <c r="UEN35" s="292"/>
      <c r="UEO35" s="292"/>
      <c r="UEP35" s="292"/>
      <c r="UEQ35" s="292"/>
      <c r="UER35" s="292"/>
      <c r="UES35" s="292"/>
      <c r="UET35" s="292"/>
      <c r="UEU35" s="292"/>
      <c r="UEV35" s="292"/>
      <c r="UEW35" s="292"/>
      <c r="UEX35" s="292"/>
      <c r="UEY35" s="292"/>
      <c r="UEZ35" s="292"/>
      <c r="UFA35" s="292"/>
      <c r="UFB35" s="292"/>
      <c r="UFC35" s="292"/>
      <c r="UFD35" s="292"/>
      <c r="UFE35" s="292"/>
      <c r="UFF35" s="292"/>
      <c r="UFG35" s="292"/>
      <c r="UFH35" s="292"/>
      <c r="UFI35" s="292"/>
      <c r="UFJ35" s="292"/>
      <c r="UFK35" s="292"/>
      <c r="UFL35" s="292"/>
      <c r="UFM35" s="292"/>
      <c r="UFN35" s="292"/>
      <c r="UFO35" s="292"/>
      <c r="UFP35" s="292"/>
      <c r="UFQ35" s="292"/>
      <c r="UFR35" s="292"/>
      <c r="UFS35" s="292"/>
      <c r="UFT35" s="292"/>
      <c r="UFU35" s="292"/>
      <c r="UFV35" s="292"/>
      <c r="UFW35" s="292"/>
      <c r="UFX35" s="292"/>
      <c r="UFY35" s="292"/>
      <c r="UFZ35" s="292"/>
      <c r="UGA35" s="292"/>
      <c r="UGB35" s="292"/>
      <c r="UGC35" s="292"/>
      <c r="UGD35" s="292"/>
      <c r="UGE35" s="292"/>
      <c r="UGF35" s="292"/>
      <c r="UGG35" s="292"/>
      <c r="UGH35" s="292"/>
      <c r="UGI35" s="292"/>
      <c r="UGJ35" s="292"/>
      <c r="UGK35" s="292"/>
      <c r="UGL35" s="292"/>
      <c r="UGM35" s="292"/>
      <c r="UGN35" s="292"/>
      <c r="UGO35" s="292"/>
      <c r="UGP35" s="292"/>
      <c r="UGQ35" s="292"/>
      <c r="UGR35" s="292"/>
      <c r="UGS35" s="292"/>
      <c r="UGT35" s="292"/>
      <c r="UGU35" s="292"/>
      <c r="UGV35" s="292"/>
      <c r="UGW35" s="292"/>
      <c r="UGX35" s="292"/>
      <c r="UGY35" s="292"/>
      <c r="UGZ35" s="292"/>
      <c r="UHA35" s="292"/>
      <c r="UHB35" s="292"/>
      <c r="UHC35" s="292"/>
      <c r="UHD35" s="292"/>
      <c r="UHE35" s="292"/>
      <c r="UHF35" s="292"/>
      <c r="UHG35" s="292"/>
      <c r="UHH35" s="292"/>
      <c r="UHI35" s="292"/>
      <c r="UHJ35" s="292"/>
      <c r="UHK35" s="292"/>
      <c r="UHL35" s="292"/>
      <c r="UHM35" s="292"/>
      <c r="UHN35" s="292"/>
      <c r="UHO35" s="292"/>
      <c r="UHP35" s="292"/>
      <c r="UHQ35" s="292"/>
      <c r="UHR35" s="292"/>
      <c r="UHS35" s="292"/>
      <c r="UHT35" s="292"/>
      <c r="UHU35" s="292"/>
      <c r="UHV35" s="292"/>
      <c r="UHW35" s="292"/>
      <c r="UHX35" s="292"/>
      <c r="UHY35" s="292"/>
      <c r="UHZ35" s="292"/>
      <c r="UIA35" s="292"/>
      <c r="UIB35" s="292"/>
      <c r="UIC35" s="292"/>
      <c r="UID35" s="292"/>
      <c r="UIE35" s="292"/>
      <c r="UIF35" s="292"/>
      <c r="UIG35" s="292"/>
      <c r="UIH35" s="292"/>
      <c r="UII35" s="292"/>
      <c r="UIJ35" s="292"/>
      <c r="UIK35" s="292"/>
      <c r="UIL35" s="292"/>
      <c r="UIM35" s="292"/>
      <c r="UIN35" s="292"/>
      <c r="UIO35" s="292"/>
      <c r="UIP35" s="292"/>
      <c r="UIQ35" s="292"/>
      <c r="UIR35" s="292"/>
      <c r="UIS35" s="292"/>
      <c r="UIT35" s="292"/>
      <c r="UIU35" s="292"/>
      <c r="UIV35" s="292"/>
      <c r="UIW35" s="292"/>
      <c r="UIX35" s="292"/>
      <c r="UIY35" s="292"/>
      <c r="UIZ35" s="292"/>
      <c r="UJA35" s="292"/>
      <c r="UJB35" s="292"/>
      <c r="UJC35" s="292"/>
      <c r="UJD35" s="292"/>
      <c r="UJE35" s="292"/>
      <c r="UJF35" s="292"/>
      <c r="UJG35" s="292"/>
      <c r="UJH35" s="292"/>
      <c r="UJI35" s="292"/>
      <c r="UJJ35" s="292"/>
      <c r="UJK35" s="292"/>
      <c r="UJL35" s="292"/>
      <c r="UJM35" s="292"/>
      <c r="UJN35" s="292"/>
      <c r="UJO35" s="292"/>
      <c r="UJP35" s="292"/>
      <c r="UJQ35" s="292"/>
      <c r="UJR35" s="292"/>
      <c r="UJS35" s="292"/>
      <c r="UJT35" s="292"/>
      <c r="UJU35" s="292"/>
      <c r="UJV35" s="292"/>
      <c r="UJW35" s="292"/>
      <c r="UJX35" s="292"/>
      <c r="UJY35" s="292"/>
      <c r="UJZ35" s="292"/>
      <c r="UKA35" s="292"/>
      <c r="UKB35" s="292"/>
      <c r="UKC35" s="292"/>
      <c r="UKD35" s="292"/>
      <c r="UKE35" s="292"/>
      <c r="UKF35" s="292"/>
      <c r="UKG35" s="292"/>
      <c r="UKH35" s="292"/>
      <c r="UKI35" s="292"/>
      <c r="UKJ35" s="292"/>
      <c r="UKK35" s="292"/>
      <c r="UKL35" s="292"/>
      <c r="UKM35" s="292"/>
      <c r="UKN35" s="292"/>
      <c r="UKO35" s="292"/>
      <c r="UKP35" s="292"/>
      <c r="UKQ35" s="292"/>
      <c r="UKR35" s="292"/>
      <c r="UKS35" s="292"/>
      <c r="UKT35" s="292"/>
      <c r="UKU35" s="292"/>
      <c r="UKV35" s="292"/>
      <c r="UKW35" s="292"/>
      <c r="UKX35" s="292"/>
      <c r="UKY35" s="292"/>
      <c r="UKZ35" s="292"/>
      <c r="ULA35" s="292"/>
      <c r="ULB35" s="292"/>
      <c r="ULC35" s="292"/>
      <c r="ULD35" s="292"/>
      <c r="ULE35" s="292"/>
      <c r="ULF35" s="292"/>
      <c r="ULG35" s="292"/>
      <c r="ULH35" s="292"/>
      <c r="ULI35" s="292"/>
      <c r="ULJ35" s="292"/>
      <c r="ULK35" s="292"/>
      <c r="ULL35" s="292"/>
      <c r="ULM35" s="292"/>
      <c r="ULN35" s="292"/>
      <c r="ULO35" s="292"/>
      <c r="ULP35" s="292"/>
      <c r="ULQ35" s="292"/>
      <c r="ULR35" s="292"/>
      <c r="ULS35" s="292"/>
      <c r="ULT35" s="292"/>
      <c r="ULU35" s="292"/>
      <c r="ULV35" s="292"/>
      <c r="ULW35" s="292"/>
      <c r="ULX35" s="292"/>
      <c r="ULY35" s="292"/>
      <c r="ULZ35" s="292"/>
      <c r="UMA35" s="292"/>
      <c r="UMB35" s="292"/>
      <c r="UMC35" s="292"/>
      <c r="UMD35" s="292"/>
      <c r="UME35" s="292"/>
      <c r="UMF35" s="292"/>
      <c r="UMG35" s="292"/>
      <c r="UMH35" s="292"/>
      <c r="UMI35" s="292"/>
      <c r="UMJ35" s="292"/>
      <c r="UMK35" s="292"/>
      <c r="UML35" s="292"/>
      <c r="UMM35" s="292"/>
      <c r="UMN35" s="292"/>
      <c r="UMO35" s="292"/>
      <c r="UMP35" s="292"/>
      <c r="UMQ35" s="292"/>
      <c r="UMR35" s="292"/>
      <c r="UMS35" s="292"/>
      <c r="UMT35" s="292"/>
      <c r="UMU35" s="292"/>
      <c r="UMV35" s="292"/>
      <c r="UMW35" s="292"/>
      <c r="UMX35" s="292"/>
      <c r="UMY35" s="292"/>
      <c r="UMZ35" s="292"/>
      <c r="UNA35" s="292"/>
      <c r="UNB35" s="292"/>
      <c r="UNC35" s="292"/>
      <c r="UND35" s="292"/>
      <c r="UNE35" s="292"/>
      <c r="UNF35" s="292"/>
      <c r="UNG35" s="292"/>
      <c r="UNH35" s="292"/>
      <c r="UNI35" s="292"/>
      <c r="UNJ35" s="292"/>
      <c r="UNK35" s="292"/>
      <c r="UNL35" s="292"/>
      <c r="UNM35" s="292"/>
      <c r="UNN35" s="292"/>
      <c r="UNO35" s="292"/>
      <c r="UNP35" s="292"/>
      <c r="UNQ35" s="292"/>
      <c r="UNR35" s="292"/>
      <c r="UNS35" s="292"/>
      <c r="UNT35" s="292"/>
      <c r="UNU35" s="292"/>
      <c r="UNV35" s="292"/>
      <c r="UNW35" s="292"/>
      <c r="UNX35" s="292"/>
      <c r="UNY35" s="292"/>
      <c r="UNZ35" s="292"/>
      <c r="UOA35" s="292"/>
      <c r="UOB35" s="292"/>
      <c r="UOC35" s="292"/>
      <c r="UOD35" s="292"/>
      <c r="UOE35" s="292"/>
      <c r="UOF35" s="292"/>
      <c r="UOG35" s="292"/>
      <c r="UOH35" s="292"/>
      <c r="UOI35" s="292"/>
      <c r="UOJ35" s="292"/>
      <c r="UOK35" s="292"/>
      <c r="UOL35" s="292"/>
      <c r="UOM35" s="292"/>
      <c r="UON35" s="292"/>
      <c r="UOO35" s="292"/>
      <c r="UOP35" s="292"/>
      <c r="UOQ35" s="292"/>
      <c r="UOR35" s="292"/>
      <c r="UOS35" s="292"/>
      <c r="UOT35" s="292"/>
      <c r="UOU35" s="292"/>
      <c r="UOV35" s="292"/>
      <c r="UOW35" s="292"/>
      <c r="UOX35" s="292"/>
      <c r="UOY35" s="292"/>
      <c r="UOZ35" s="292"/>
      <c r="UPA35" s="292"/>
      <c r="UPB35" s="292"/>
      <c r="UPC35" s="292"/>
      <c r="UPD35" s="292"/>
      <c r="UPE35" s="292"/>
      <c r="UPF35" s="292"/>
      <c r="UPG35" s="292"/>
      <c r="UPH35" s="292"/>
      <c r="UPI35" s="292"/>
      <c r="UPJ35" s="292"/>
      <c r="UPK35" s="292"/>
      <c r="UPL35" s="292"/>
      <c r="UPM35" s="292"/>
      <c r="UPN35" s="292"/>
      <c r="UPO35" s="292"/>
      <c r="UPP35" s="292"/>
      <c r="UPQ35" s="292"/>
      <c r="UPR35" s="292"/>
      <c r="UPS35" s="292"/>
      <c r="UPT35" s="292"/>
      <c r="UPU35" s="292"/>
      <c r="UPV35" s="292"/>
      <c r="UPW35" s="292"/>
      <c r="UPX35" s="292"/>
      <c r="UPY35" s="292"/>
      <c r="UPZ35" s="292"/>
      <c r="UQA35" s="292"/>
      <c r="UQB35" s="292"/>
      <c r="UQC35" s="292"/>
      <c r="UQD35" s="292"/>
      <c r="UQE35" s="292"/>
      <c r="UQF35" s="292"/>
      <c r="UQG35" s="292"/>
      <c r="UQH35" s="292"/>
      <c r="UQI35" s="292"/>
      <c r="UQJ35" s="292"/>
      <c r="UQK35" s="292"/>
      <c r="UQL35" s="292"/>
      <c r="UQM35" s="292"/>
      <c r="UQN35" s="292"/>
      <c r="UQO35" s="292"/>
      <c r="UQP35" s="292"/>
      <c r="UQQ35" s="292"/>
      <c r="UQR35" s="292"/>
      <c r="UQS35" s="292"/>
      <c r="UQT35" s="292"/>
      <c r="UQU35" s="292"/>
      <c r="UQV35" s="292"/>
      <c r="UQW35" s="292"/>
      <c r="UQX35" s="292"/>
      <c r="UQY35" s="292"/>
      <c r="UQZ35" s="292"/>
      <c r="URA35" s="292"/>
      <c r="URB35" s="292"/>
      <c r="URC35" s="292"/>
      <c r="URD35" s="292"/>
      <c r="URE35" s="292"/>
      <c r="URF35" s="292"/>
      <c r="URG35" s="292"/>
      <c r="URH35" s="292"/>
      <c r="URI35" s="292"/>
      <c r="URJ35" s="292"/>
      <c r="URK35" s="292"/>
      <c r="URL35" s="292"/>
      <c r="URM35" s="292"/>
      <c r="URN35" s="292"/>
      <c r="URO35" s="292"/>
      <c r="URP35" s="292"/>
      <c r="URQ35" s="292"/>
      <c r="URR35" s="292"/>
      <c r="URS35" s="292"/>
      <c r="URT35" s="292"/>
      <c r="URU35" s="292"/>
      <c r="URV35" s="292"/>
      <c r="URW35" s="292"/>
      <c r="URX35" s="292"/>
      <c r="URY35" s="292"/>
      <c r="URZ35" s="292"/>
      <c r="USA35" s="292"/>
      <c r="USB35" s="292"/>
      <c r="USC35" s="292"/>
      <c r="USD35" s="292"/>
      <c r="USE35" s="292"/>
      <c r="USF35" s="292"/>
      <c r="USG35" s="292"/>
      <c r="USH35" s="292"/>
      <c r="USI35" s="292"/>
      <c r="USJ35" s="292"/>
      <c r="USK35" s="292"/>
      <c r="USL35" s="292"/>
      <c r="USM35" s="292"/>
      <c r="USN35" s="292"/>
      <c r="USO35" s="292"/>
      <c r="USP35" s="292"/>
      <c r="USQ35" s="292"/>
      <c r="USR35" s="292"/>
      <c r="USS35" s="292"/>
      <c r="UST35" s="292"/>
      <c r="USU35" s="292"/>
      <c r="USV35" s="292"/>
      <c r="USW35" s="292"/>
      <c r="USX35" s="292"/>
      <c r="USY35" s="292"/>
      <c r="USZ35" s="292"/>
      <c r="UTA35" s="292"/>
      <c r="UTB35" s="292"/>
      <c r="UTC35" s="292"/>
      <c r="UTD35" s="292"/>
      <c r="UTE35" s="292"/>
      <c r="UTF35" s="292"/>
      <c r="UTG35" s="292"/>
      <c r="UTH35" s="292"/>
      <c r="UTI35" s="292"/>
      <c r="UTJ35" s="292"/>
      <c r="UTK35" s="292"/>
      <c r="UTL35" s="292"/>
      <c r="UTM35" s="292"/>
      <c r="UTN35" s="292"/>
      <c r="UTO35" s="292"/>
      <c r="UTP35" s="292"/>
      <c r="UTQ35" s="292"/>
      <c r="UTR35" s="292"/>
      <c r="UTS35" s="292"/>
      <c r="UTT35" s="292"/>
      <c r="UTU35" s="292"/>
      <c r="UTV35" s="292"/>
      <c r="UTW35" s="292"/>
      <c r="UTX35" s="292"/>
      <c r="UTY35" s="292"/>
      <c r="UTZ35" s="292"/>
      <c r="UUA35" s="292"/>
      <c r="UUB35" s="292"/>
      <c r="UUC35" s="292"/>
      <c r="UUD35" s="292"/>
      <c r="UUE35" s="292"/>
      <c r="UUF35" s="292"/>
      <c r="UUG35" s="292"/>
      <c r="UUH35" s="292"/>
      <c r="UUI35" s="292"/>
      <c r="UUJ35" s="292"/>
      <c r="UUK35" s="292"/>
      <c r="UUL35" s="292"/>
      <c r="UUM35" s="292"/>
      <c r="UUN35" s="292"/>
      <c r="UUO35" s="292"/>
      <c r="UUP35" s="292"/>
      <c r="UUQ35" s="292"/>
      <c r="UUR35" s="292"/>
      <c r="UUS35" s="292"/>
      <c r="UUT35" s="292"/>
      <c r="UUU35" s="292"/>
      <c r="UUV35" s="292"/>
      <c r="UUW35" s="292"/>
      <c r="UUX35" s="292"/>
      <c r="UUY35" s="292"/>
      <c r="UUZ35" s="292"/>
      <c r="UVA35" s="292"/>
      <c r="UVB35" s="292"/>
      <c r="UVC35" s="292"/>
      <c r="UVD35" s="292"/>
      <c r="UVE35" s="292"/>
      <c r="UVF35" s="292"/>
      <c r="UVG35" s="292"/>
      <c r="UVH35" s="292"/>
      <c r="UVI35" s="292"/>
      <c r="UVJ35" s="292"/>
      <c r="UVK35" s="292"/>
      <c r="UVL35" s="292"/>
      <c r="UVM35" s="292"/>
      <c r="UVN35" s="292"/>
      <c r="UVO35" s="292"/>
      <c r="UVP35" s="292"/>
      <c r="UVQ35" s="292"/>
      <c r="UVR35" s="292"/>
      <c r="UVS35" s="292"/>
      <c r="UVT35" s="292"/>
      <c r="UVU35" s="292"/>
      <c r="UVV35" s="292"/>
      <c r="UVW35" s="292"/>
      <c r="UVX35" s="292"/>
      <c r="UVY35" s="292"/>
      <c r="UVZ35" s="292"/>
      <c r="UWA35" s="292"/>
      <c r="UWB35" s="292"/>
      <c r="UWC35" s="292"/>
      <c r="UWD35" s="292"/>
      <c r="UWE35" s="292"/>
      <c r="UWF35" s="292"/>
      <c r="UWG35" s="292"/>
      <c r="UWH35" s="292"/>
      <c r="UWI35" s="292"/>
      <c r="UWJ35" s="292"/>
      <c r="UWK35" s="292"/>
      <c r="UWL35" s="292"/>
      <c r="UWM35" s="292"/>
      <c r="UWN35" s="292"/>
      <c r="UWO35" s="292"/>
      <c r="UWP35" s="292"/>
      <c r="UWQ35" s="292"/>
      <c r="UWR35" s="292"/>
      <c r="UWS35" s="292"/>
      <c r="UWT35" s="292"/>
      <c r="UWU35" s="292"/>
      <c r="UWV35" s="292"/>
      <c r="UWW35" s="292"/>
      <c r="UWX35" s="292"/>
      <c r="UWY35" s="292"/>
      <c r="UWZ35" s="292"/>
      <c r="UXA35" s="292"/>
      <c r="UXB35" s="292"/>
      <c r="UXC35" s="292"/>
      <c r="UXD35" s="292"/>
      <c r="UXE35" s="292"/>
      <c r="UXF35" s="292"/>
      <c r="UXG35" s="292"/>
      <c r="UXH35" s="292"/>
      <c r="UXI35" s="292"/>
      <c r="UXJ35" s="292"/>
      <c r="UXK35" s="292"/>
      <c r="UXL35" s="292"/>
      <c r="UXM35" s="292"/>
      <c r="UXN35" s="292"/>
      <c r="UXO35" s="292"/>
      <c r="UXP35" s="292"/>
      <c r="UXQ35" s="292"/>
      <c r="UXR35" s="292"/>
      <c r="UXS35" s="292"/>
      <c r="UXT35" s="292"/>
      <c r="UXU35" s="292"/>
      <c r="UXV35" s="292"/>
      <c r="UXW35" s="292"/>
      <c r="UXX35" s="292"/>
      <c r="UXY35" s="292"/>
      <c r="UXZ35" s="292"/>
      <c r="UYA35" s="292"/>
      <c r="UYB35" s="292"/>
      <c r="UYC35" s="292"/>
      <c r="UYD35" s="292"/>
      <c r="UYE35" s="292"/>
      <c r="UYF35" s="292"/>
      <c r="UYG35" s="292"/>
      <c r="UYH35" s="292"/>
      <c r="UYI35" s="292"/>
      <c r="UYJ35" s="292"/>
      <c r="UYK35" s="292"/>
      <c r="UYL35" s="292"/>
      <c r="UYM35" s="292"/>
      <c r="UYN35" s="292"/>
      <c r="UYO35" s="292"/>
      <c r="UYP35" s="292"/>
      <c r="UYQ35" s="292"/>
      <c r="UYR35" s="292"/>
      <c r="UYS35" s="292"/>
      <c r="UYT35" s="292"/>
      <c r="UYU35" s="292"/>
      <c r="UYV35" s="292"/>
      <c r="UYW35" s="292"/>
      <c r="UYX35" s="292"/>
      <c r="UYY35" s="292"/>
      <c r="UYZ35" s="292"/>
      <c r="UZA35" s="292"/>
      <c r="UZB35" s="292"/>
      <c r="UZC35" s="292"/>
      <c r="UZD35" s="292"/>
      <c r="UZE35" s="292"/>
      <c r="UZF35" s="292"/>
      <c r="UZG35" s="292"/>
      <c r="UZH35" s="292"/>
      <c r="UZI35" s="292"/>
      <c r="UZJ35" s="292"/>
      <c r="UZK35" s="292"/>
      <c r="UZL35" s="292"/>
      <c r="UZM35" s="292"/>
      <c r="UZN35" s="292"/>
      <c r="UZO35" s="292"/>
      <c r="UZP35" s="292"/>
      <c r="UZQ35" s="292"/>
      <c r="UZR35" s="292"/>
      <c r="UZS35" s="292"/>
      <c r="UZT35" s="292"/>
      <c r="UZU35" s="292"/>
      <c r="UZV35" s="292"/>
      <c r="UZW35" s="292"/>
      <c r="UZX35" s="292"/>
      <c r="UZY35" s="292"/>
      <c r="UZZ35" s="292"/>
      <c r="VAA35" s="292"/>
      <c r="VAB35" s="292"/>
      <c r="VAC35" s="292"/>
      <c r="VAD35" s="292"/>
      <c r="VAE35" s="292"/>
      <c r="VAF35" s="292"/>
      <c r="VAG35" s="292"/>
      <c r="VAH35" s="292"/>
      <c r="VAI35" s="292"/>
      <c r="VAJ35" s="292"/>
      <c r="VAK35" s="292"/>
      <c r="VAL35" s="292"/>
      <c r="VAM35" s="292"/>
      <c r="VAN35" s="292"/>
      <c r="VAO35" s="292"/>
      <c r="VAP35" s="292"/>
      <c r="VAQ35" s="292"/>
      <c r="VAR35" s="292"/>
      <c r="VAS35" s="292"/>
      <c r="VAT35" s="292"/>
      <c r="VAU35" s="292"/>
      <c r="VAV35" s="292"/>
      <c r="VAW35" s="292"/>
      <c r="VAX35" s="292"/>
      <c r="VAY35" s="292"/>
      <c r="VAZ35" s="292"/>
      <c r="VBA35" s="292"/>
      <c r="VBB35" s="292"/>
      <c r="VBC35" s="292"/>
      <c r="VBD35" s="292"/>
      <c r="VBE35" s="292"/>
      <c r="VBF35" s="292"/>
      <c r="VBG35" s="292"/>
      <c r="VBH35" s="292"/>
      <c r="VBI35" s="292"/>
      <c r="VBJ35" s="292"/>
      <c r="VBK35" s="292"/>
      <c r="VBL35" s="292"/>
      <c r="VBM35" s="292"/>
      <c r="VBN35" s="292"/>
      <c r="VBO35" s="292"/>
      <c r="VBP35" s="292"/>
      <c r="VBQ35" s="292"/>
      <c r="VBR35" s="292"/>
      <c r="VBS35" s="292"/>
      <c r="VBT35" s="292"/>
      <c r="VBU35" s="292"/>
      <c r="VBV35" s="292"/>
      <c r="VBW35" s="292"/>
      <c r="VBX35" s="292"/>
      <c r="VBY35" s="292"/>
      <c r="VBZ35" s="292"/>
      <c r="VCA35" s="292"/>
      <c r="VCB35" s="292"/>
      <c r="VCC35" s="292"/>
      <c r="VCD35" s="292"/>
      <c r="VCE35" s="292"/>
      <c r="VCF35" s="292"/>
      <c r="VCG35" s="292"/>
      <c r="VCH35" s="292"/>
      <c r="VCI35" s="292"/>
      <c r="VCJ35" s="292"/>
      <c r="VCK35" s="292"/>
      <c r="VCL35" s="292"/>
      <c r="VCM35" s="292"/>
      <c r="VCN35" s="292"/>
      <c r="VCO35" s="292"/>
      <c r="VCP35" s="292"/>
      <c r="VCQ35" s="292"/>
      <c r="VCR35" s="292"/>
      <c r="VCS35" s="292"/>
      <c r="VCT35" s="292"/>
      <c r="VCU35" s="292"/>
      <c r="VCV35" s="292"/>
      <c r="VCW35" s="292"/>
      <c r="VCX35" s="292"/>
      <c r="VCY35" s="292"/>
      <c r="VCZ35" s="292"/>
      <c r="VDA35" s="292"/>
      <c r="VDB35" s="292"/>
      <c r="VDC35" s="292"/>
      <c r="VDD35" s="292"/>
      <c r="VDE35" s="292"/>
      <c r="VDF35" s="292"/>
      <c r="VDG35" s="292"/>
      <c r="VDH35" s="292"/>
      <c r="VDI35" s="292"/>
      <c r="VDJ35" s="292"/>
      <c r="VDK35" s="292"/>
      <c r="VDL35" s="292"/>
      <c r="VDM35" s="292"/>
      <c r="VDN35" s="292"/>
      <c r="VDO35" s="292"/>
      <c r="VDP35" s="292"/>
      <c r="VDQ35" s="292"/>
      <c r="VDR35" s="292"/>
      <c r="VDS35" s="292"/>
      <c r="VDT35" s="292"/>
      <c r="VDU35" s="292"/>
      <c r="VDV35" s="292"/>
      <c r="VDW35" s="292"/>
      <c r="VDX35" s="292"/>
      <c r="VDY35" s="292"/>
      <c r="VDZ35" s="292"/>
      <c r="VEA35" s="292"/>
      <c r="VEB35" s="292"/>
      <c r="VEC35" s="292"/>
      <c r="VED35" s="292"/>
      <c r="VEE35" s="292"/>
      <c r="VEF35" s="292"/>
      <c r="VEG35" s="292"/>
      <c r="VEH35" s="292"/>
      <c r="VEI35" s="292"/>
      <c r="VEJ35" s="292"/>
      <c r="VEK35" s="292"/>
      <c r="VEL35" s="292"/>
      <c r="VEM35" s="292"/>
      <c r="VEN35" s="292"/>
      <c r="VEO35" s="292"/>
      <c r="VEP35" s="292"/>
      <c r="VEQ35" s="292"/>
      <c r="VER35" s="292"/>
      <c r="VES35" s="292"/>
      <c r="VET35" s="292"/>
      <c r="VEU35" s="292"/>
      <c r="VEV35" s="292"/>
      <c r="VEW35" s="292"/>
      <c r="VEX35" s="292"/>
      <c r="VEY35" s="292"/>
      <c r="VEZ35" s="292"/>
      <c r="VFA35" s="292"/>
      <c r="VFB35" s="292"/>
      <c r="VFC35" s="292"/>
      <c r="VFD35" s="292"/>
      <c r="VFE35" s="292"/>
      <c r="VFF35" s="292"/>
      <c r="VFG35" s="292"/>
      <c r="VFH35" s="292"/>
      <c r="VFI35" s="292"/>
      <c r="VFJ35" s="292"/>
      <c r="VFK35" s="292"/>
      <c r="VFL35" s="292"/>
      <c r="VFM35" s="292"/>
      <c r="VFN35" s="292"/>
      <c r="VFO35" s="292"/>
      <c r="VFP35" s="292"/>
      <c r="VFQ35" s="292"/>
      <c r="VFR35" s="292"/>
      <c r="VFS35" s="292"/>
      <c r="VFT35" s="292"/>
      <c r="VFU35" s="292"/>
      <c r="VFV35" s="292"/>
      <c r="VFW35" s="292"/>
      <c r="VFX35" s="292"/>
      <c r="VFY35" s="292"/>
      <c r="VFZ35" s="292"/>
      <c r="VGA35" s="292"/>
      <c r="VGB35" s="292"/>
      <c r="VGC35" s="292"/>
      <c r="VGD35" s="292"/>
      <c r="VGE35" s="292"/>
      <c r="VGF35" s="292"/>
      <c r="VGG35" s="292"/>
      <c r="VGH35" s="292"/>
      <c r="VGI35" s="292"/>
      <c r="VGJ35" s="292"/>
      <c r="VGK35" s="292"/>
      <c r="VGL35" s="292"/>
      <c r="VGM35" s="292"/>
      <c r="VGN35" s="292"/>
      <c r="VGO35" s="292"/>
      <c r="VGP35" s="292"/>
      <c r="VGQ35" s="292"/>
      <c r="VGR35" s="292"/>
      <c r="VGS35" s="292"/>
      <c r="VGT35" s="292"/>
      <c r="VGU35" s="292"/>
      <c r="VGV35" s="292"/>
      <c r="VGW35" s="292"/>
      <c r="VGX35" s="292"/>
      <c r="VGY35" s="292"/>
      <c r="VGZ35" s="292"/>
      <c r="VHA35" s="292"/>
      <c r="VHB35" s="292"/>
      <c r="VHC35" s="292"/>
      <c r="VHD35" s="292"/>
      <c r="VHE35" s="292"/>
      <c r="VHF35" s="292"/>
      <c r="VHG35" s="292"/>
      <c r="VHH35" s="292"/>
      <c r="VHI35" s="292"/>
      <c r="VHJ35" s="292"/>
      <c r="VHK35" s="292"/>
      <c r="VHL35" s="292"/>
      <c r="VHM35" s="292"/>
      <c r="VHN35" s="292"/>
      <c r="VHO35" s="292"/>
      <c r="VHP35" s="292"/>
      <c r="VHQ35" s="292"/>
      <c r="VHR35" s="292"/>
      <c r="VHS35" s="292"/>
      <c r="VHT35" s="292"/>
      <c r="VHU35" s="292"/>
      <c r="VHV35" s="292"/>
      <c r="VHW35" s="292"/>
      <c r="VHX35" s="292"/>
      <c r="VHY35" s="292"/>
      <c r="VHZ35" s="292"/>
      <c r="VIA35" s="292"/>
      <c r="VIB35" s="292"/>
      <c r="VIC35" s="292"/>
      <c r="VID35" s="292"/>
      <c r="VIE35" s="292"/>
      <c r="VIF35" s="292"/>
      <c r="VIG35" s="292"/>
      <c r="VIH35" s="292"/>
      <c r="VII35" s="292"/>
      <c r="VIJ35" s="292"/>
      <c r="VIK35" s="292"/>
      <c r="VIL35" s="292"/>
      <c r="VIM35" s="292"/>
      <c r="VIN35" s="292"/>
      <c r="VIO35" s="292"/>
      <c r="VIP35" s="292"/>
      <c r="VIQ35" s="292"/>
      <c r="VIR35" s="292"/>
      <c r="VIS35" s="292"/>
      <c r="VIT35" s="292"/>
      <c r="VIU35" s="292"/>
      <c r="VIV35" s="292"/>
      <c r="VIW35" s="292"/>
      <c r="VIX35" s="292"/>
      <c r="VIY35" s="292"/>
      <c r="VIZ35" s="292"/>
      <c r="VJA35" s="292"/>
      <c r="VJB35" s="292"/>
      <c r="VJC35" s="292"/>
      <c r="VJD35" s="292"/>
      <c r="VJE35" s="292"/>
      <c r="VJF35" s="292"/>
      <c r="VJG35" s="292"/>
      <c r="VJH35" s="292"/>
      <c r="VJI35" s="292"/>
      <c r="VJJ35" s="292"/>
      <c r="VJK35" s="292"/>
      <c r="VJL35" s="292"/>
      <c r="VJM35" s="292"/>
      <c r="VJN35" s="292"/>
      <c r="VJO35" s="292"/>
      <c r="VJP35" s="292"/>
      <c r="VJQ35" s="292"/>
      <c r="VJR35" s="292"/>
      <c r="VJS35" s="292"/>
      <c r="VJT35" s="292"/>
      <c r="VJU35" s="292"/>
      <c r="VJV35" s="292"/>
      <c r="VJW35" s="292"/>
      <c r="VJX35" s="292"/>
      <c r="VJY35" s="292"/>
      <c r="VJZ35" s="292"/>
      <c r="VKA35" s="292"/>
      <c r="VKB35" s="292"/>
      <c r="VKC35" s="292"/>
      <c r="VKD35" s="292"/>
      <c r="VKE35" s="292"/>
      <c r="VKF35" s="292"/>
      <c r="VKG35" s="292"/>
      <c r="VKH35" s="292"/>
      <c r="VKI35" s="292"/>
      <c r="VKJ35" s="292"/>
      <c r="VKK35" s="292"/>
      <c r="VKL35" s="292"/>
      <c r="VKM35" s="292"/>
      <c r="VKN35" s="292"/>
      <c r="VKO35" s="292"/>
      <c r="VKP35" s="292"/>
      <c r="VKQ35" s="292"/>
      <c r="VKR35" s="292"/>
      <c r="VKS35" s="292"/>
      <c r="VKT35" s="292"/>
      <c r="VKU35" s="292"/>
      <c r="VKV35" s="292"/>
      <c r="VKW35" s="292"/>
      <c r="VKX35" s="292"/>
      <c r="VKY35" s="292"/>
      <c r="VKZ35" s="292"/>
      <c r="VLA35" s="292"/>
      <c r="VLB35" s="292"/>
      <c r="VLC35" s="292"/>
      <c r="VLD35" s="292"/>
      <c r="VLE35" s="292"/>
      <c r="VLF35" s="292"/>
      <c r="VLG35" s="292"/>
      <c r="VLH35" s="292"/>
      <c r="VLI35" s="292"/>
      <c r="VLJ35" s="292"/>
      <c r="VLK35" s="292"/>
      <c r="VLL35" s="292"/>
      <c r="VLM35" s="292"/>
      <c r="VLN35" s="292"/>
      <c r="VLO35" s="292"/>
      <c r="VLP35" s="292"/>
      <c r="VLQ35" s="292"/>
      <c r="VLR35" s="292"/>
      <c r="VLS35" s="292"/>
      <c r="VLT35" s="292"/>
      <c r="VLU35" s="292"/>
      <c r="VLV35" s="292"/>
      <c r="VLW35" s="292"/>
      <c r="VLX35" s="292"/>
      <c r="VLY35" s="292"/>
      <c r="VLZ35" s="292"/>
      <c r="VMA35" s="292"/>
      <c r="VMB35" s="292"/>
      <c r="VMC35" s="292"/>
      <c r="VMD35" s="292"/>
      <c r="VME35" s="292"/>
      <c r="VMF35" s="292"/>
      <c r="VMG35" s="292"/>
      <c r="VMH35" s="292"/>
      <c r="VMI35" s="292"/>
      <c r="VMJ35" s="292"/>
      <c r="VMK35" s="292"/>
      <c r="VML35" s="292"/>
      <c r="VMM35" s="292"/>
      <c r="VMN35" s="292"/>
      <c r="VMO35" s="292"/>
      <c r="VMP35" s="292"/>
      <c r="VMQ35" s="292"/>
      <c r="VMR35" s="292"/>
      <c r="VMS35" s="292"/>
      <c r="VMT35" s="292"/>
      <c r="VMU35" s="292"/>
      <c r="VMV35" s="292"/>
      <c r="VMW35" s="292"/>
      <c r="VMX35" s="292"/>
      <c r="VMY35" s="292"/>
      <c r="VMZ35" s="292"/>
      <c r="VNA35" s="292"/>
      <c r="VNB35" s="292"/>
      <c r="VNC35" s="292"/>
      <c r="VND35" s="292"/>
      <c r="VNE35" s="292"/>
      <c r="VNF35" s="292"/>
      <c r="VNG35" s="292"/>
      <c r="VNH35" s="292"/>
      <c r="VNI35" s="292"/>
      <c r="VNJ35" s="292"/>
      <c r="VNK35" s="292"/>
      <c r="VNL35" s="292"/>
      <c r="VNM35" s="292"/>
      <c r="VNN35" s="292"/>
      <c r="VNO35" s="292"/>
      <c r="VNP35" s="292"/>
      <c r="VNQ35" s="292"/>
      <c r="VNR35" s="292"/>
      <c r="VNS35" s="292"/>
      <c r="VNT35" s="292"/>
      <c r="VNU35" s="292"/>
      <c r="VNV35" s="292"/>
      <c r="VNW35" s="292"/>
      <c r="VNX35" s="292"/>
      <c r="VNY35" s="292"/>
      <c r="VNZ35" s="292"/>
      <c r="VOA35" s="292"/>
      <c r="VOB35" s="292"/>
      <c r="VOC35" s="292"/>
      <c r="VOD35" s="292"/>
      <c r="VOE35" s="292"/>
      <c r="VOF35" s="292"/>
      <c r="VOG35" s="292"/>
      <c r="VOH35" s="292"/>
      <c r="VOI35" s="292"/>
      <c r="VOJ35" s="292"/>
      <c r="VOK35" s="292"/>
      <c r="VOL35" s="292"/>
      <c r="VOM35" s="292"/>
      <c r="VON35" s="292"/>
      <c r="VOO35" s="292"/>
      <c r="VOP35" s="292"/>
      <c r="VOQ35" s="292"/>
      <c r="VOR35" s="292"/>
      <c r="VOS35" s="292"/>
      <c r="VOT35" s="292"/>
      <c r="VOU35" s="292"/>
      <c r="VOV35" s="292"/>
      <c r="VOW35" s="292"/>
      <c r="VOX35" s="292"/>
      <c r="VOY35" s="292"/>
      <c r="VOZ35" s="292"/>
      <c r="VPA35" s="292"/>
      <c r="VPB35" s="292"/>
      <c r="VPC35" s="292"/>
      <c r="VPD35" s="292"/>
      <c r="VPE35" s="292"/>
      <c r="VPF35" s="292"/>
      <c r="VPG35" s="292"/>
      <c r="VPH35" s="292"/>
      <c r="VPI35" s="292"/>
      <c r="VPJ35" s="292"/>
      <c r="VPK35" s="292"/>
      <c r="VPL35" s="292"/>
      <c r="VPM35" s="292"/>
      <c r="VPN35" s="292"/>
      <c r="VPO35" s="292"/>
      <c r="VPP35" s="292"/>
      <c r="VPQ35" s="292"/>
      <c r="VPR35" s="292"/>
      <c r="VPS35" s="292"/>
      <c r="VPT35" s="292"/>
      <c r="VPU35" s="292"/>
      <c r="VPV35" s="292"/>
      <c r="VPW35" s="292"/>
      <c r="VPX35" s="292"/>
      <c r="VPY35" s="292"/>
      <c r="VPZ35" s="292"/>
      <c r="VQA35" s="292"/>
      <c r="VQB35" s="292"/>
      <c r="VQC35" s="292"/>
      <c r="VQD35" s="292"/>
      <c r="VQE35" s="292"/>
      <c r="VQF35" s="292"/>
      <c r="VQG35" s="292"/>
      <c r="VQH35" s="292"/>
      <c r="VQI35" s="292"/>
      <c r="VQJ35" s="292"/>
      <c r="VQK35" s="292"/>
      <c r="VQL35" s="292"/>
      <c r="VQM35" s="292"/>
      <c r="VQN35" s="292"/>
      <c r="VQO35" s="292"/>
      <c r="VQP35" s="292"/>
      <c r="VQQ35" s="292"/>
      <c r="VQR35" s="292"/>
      <c r="VQS35" s="292"/>
      <c r="VQT35" s="292"/>
      <c r="VQU35" s="292"/>
      <c r="VQV35" s="292"/>
      <c r="VQW35" s="292"/>
      <c r="VQX35" s="292"/>
      <c r="VQY35" s="292"/>
      <c r="VQZ35" s="292"/>
      <c r="VRA35" s="292"/>
      <c r="VRB35" s="292"/>
      <c r="VRC35" s="292"/>
      <c r="VRD35" s="292"/>
      <c r="VRE35" s="292"/>
      <c r="VRF35" s="292"/>
      <c r="VRG35" s="292"/>
      <c r="VRH35" s="292"/>
      <c r="VRI35" s="292"/>
      <c r="VRJ35" s="292"/>
      <c r="VRK35" s="292"/>
      <c r="VRL35" s="292"/>
      <c r="VRM35" s="292"/>
      <c r="VRN35" s="292"/>
      <c r="VRO35" s="292"/>
      <c r="VRP35" s="292"/>
      <c r="VRQ35" s="292"/>
      <c r="VRR35" s="292"/>
      <c r="VRS35" s="292"/>
      <c r="VRT35" s="292"/>
      <c r="VRU35" s="292"/>
      <c r="VRV35" s="292"/>
      <c r="VRW35" s="292"/>
      <c r="VRX35" s="292"/>
      <c r="VRY35" s="292"/>
      <c r="VRZ35" s="292"/>
      <c r="VSA35" s="292"/>
      <c r="VSB35" s="292"/>
      <c r="VSC35" s="292"/>
      <c r="VSD35" s="292"/>
      <c r="VSE35" s="292"/>
      <c r="VSF35" s="292"/>
      <c r="VSG35" s="292"/>
      <c r="VSH35" s="292"/>
      <c r="VSI35" s="292"/>
      <c r="VSJ35" s="292"/>
      <c r="VSK35" s="292"/>
      <c r="VSL35" s="292"/>
      <c r="VSM35" s="292"/>
      <c r="VSN35" s="292"/>
      <c r="VSO35" s="292"/>
      <c r="VSP35" s="292"/>
      <c r="VSQ35" s="292"/>
      <c r="VSR35" s="292"/>
      <c r="VSS35" s="292"/>
      <c r="VST35" s="292"/>
      <c r="VSU35" s="292"/>
      <c r="VSV35" s="292"/>
      <c r="VSW35" s="292"/>
      <c r="VSX35" s="292"/>
      <c r="VSY35" s="292"/>
      <c r="VSZ35" s="292"/>
      <c r="VTA35" s="292"/>
      <c r="VTB35" s="292"/>
      <c r="VTC35" s="292"/>
      <c r="VTD35" s="292"/>
      <c r="VTE35" s="292"/>
      <c r="VTF35" s="292"/>
      <c r="VTG35" s="292"/>
      <c r="VTH35" s="292"/>
      <c r="VTI35" s="292"/>
      <c r="VTJ35" s="292"/>
      <c r="VTK35" s="292"/>
      <c r="VTL35" s="292"/>
      <c r="VTM35" s="292"/>
      <c r="VTN35" s="292"/>
      <c r="VTO35" s="292"/>
      <c r="VTP35" s="292"/>
      <c r="VTQ35" s="292"/>
      <c r="VTR35" s="292"/>
      <c r="VTS35" s="292"/>
      <c r="VTT35" s="292"/>
      <c r="VTU35" s="292"/>
      <c r="VTV35" s="292"/>
      <c r="VTW35" s="292"/>
      <c r="VTX35" s="292"/>
      <c r="VTY35" s="292"/>
      <c r="VTZ35" s="292"/>
      <c r="VUA35" s="292"/>
      <c r="VUB35" s="292"/>
      <c r="VUC35" s="292"/>
      <c r="VUD35" s="292"/>
      <c r="VUE35" s="292"/>
      <c r="VUF35" s="292"/>
      <c r="VUG35" s="292"/>
      <c r="VUH35" s="292"/>
      <c r="VUI35" s="292"/>
      <c r="VUJ35" s="292"/>
      <c r="VUK35" s="292"/>
      <c r="VUL35" s="292"/>
      <c r="VUM35" s="292"/>
      <c r="VUN35" s="292"/>
      <c r="VUO35" s="292"/>
      <c r="VUP35" s="292"/>
      <c r="VUQ35" s="292"/>
      <c r="VUR35" s="292"/>
      <c r="VUS35" s="292"/>
      <c r="VUT35" s="292"/>
      <c r="VUU35" s="292"/>
      <c r="VUV35" s="292"/>
      <c r="VUW35" s="292"/>
      <c r="VUX35" s="292"/>
      <c r="VUY35" s="292"/>
      <c r="VUZ35" s="292"/>
      <c r="VVA35" s="292"/>
      <c r="VVB35" s="292"/>
      <c r="VVC35" s="292"/>
      <c r="VVD35" s="292"/>
      <c r="VVE35" s="292"/>
      <c r="VVF35" s="292"/>
      <c r="VVG35" s="292"/>
      <c r="VVH35" s="292"/>
      <c r="VVI35" s="292"/>
      <c r="VVJ35" s="292"/>
      <c r="VVK35" s="292"/>
      <c r="VVL35" s="292"/>
      <c r="VVM35" s="292"/>
      <c r="VVN35" s="292"/>
      <c r="VVO35" s="292"/>
      <c r="VVP35" s="292"/>
      <c r="VVQ35" s="292"/>
      <c r="VVR35" s="292"/>
      <c r="VVS35" s="292"/>
      <c r="VVT35" s="292"/>
      <c r="VVU35" s="292"/>
      <c r="VVV35" s="292"/>
      <c r="VVW35" s="292"/>
      <c r="VVX35" s="292"/>
      <c r="VVY35" s="292"/>
      <c r="VVZ35" s="292"/>
      <c r="VWA35" s="292"/>
      <c r="VWB35" s="292"/>
      <c r="VWC35" s="292"/>
      <c r="VWD35" s="292"/>
      <c r="VWE35" s="292"/>
      <c r="VWF35" s="292"/>
      <c r="VWG35" s="292"/>
      <c r="VWH35" s="292"/>
      <c r="VWI35" s="292"/>
      <c r="VWJ35" s="292"/>
      <c r="VWK35" s="292"/>
      <c r="VWL35" s="292"/>
      <c r="VWM35" s="292"/>
      <c r="VWN35" s="292"/>
      <c r="VWO35" s="292"/>
      <c r="VWP35" s="292"/>
      <c r="VWQ35" s="292"/>
      <c r="VWR35" s="292"/>
      <c r="VWS35" s="292"/>
      <c r="VWT35" s="292"/>
      <c r="VWU35" s="292"/>
      <c r="VWV35" s="292"/>
      <c r="VWW35" s="292"/>
      <c r="VWX35" s="292"/>
      <c r="VWY35" s="292"/>
      <c r="VWZ35" s="292"/>
      <c r="VXA35" s="292"/>
      <c r="VXB35" s="292"/>
      <c r="VXC35" s="292"/>
      <c r="VXD35" s="292"/>
      <c r="VXE35" s="292"/>
      <c r="VXF35" s="292"/>
      <c r="VXG35" s="292"/>
      <c r="VXH35" s="292"/>
      <c r="VXI35" s="292"/>
      <c r="VXJ35" s="292"/>
      <c r="VXK35" s="292"/>
      <c r="VXL35" s="292"/>
      <c r="VXM35" s="292"/>
      <c r="VXN35" s="292"/>
      <c r="VXO35" s="292"/>
      <c r="VXP35" s="292"/>
      <c r="VXQ35" s="292"/>
      <c r="VXR35" s="292"/>
      <c r="VXS35" s="292"/>
      <c r="VXT35" s="292"/>
      <c r="VXU35" s="292"/>
      <c r="VXV35" s="292"/>
      <c r="VXW35" s="292"/>
      <c r="VXX35" s="292"/>
      <c r="VXY35" s="292"/>
      <c r="VXZ35" s="292"/>
      <c r="VYA35" s="292"/>
      <c r="VYB35" s="292"/>
      <c r="VYC35" s="292"/>
      <c r="VYD35" s="292"/>
      <c r="VYE35" s="292"/>
      <c r="VYF35" s="292"/>
      <c r="VYG35" s="292"/>
      <c r="VYH35" s="292"/>
      <c r="VYI35" s="292"/>
      <c r="VYJ35" s="292"/>
      <c r="VYK35" s="292"/>
      <c r="VYL35" s="292"/>
      <c r="VYM35" s="292"/>
      <c r="VYN35" s="292"/>
      <c r="VYO35" s="292"/>
      <c r="VYP35" s="292"/>
      <c r="VYQ35" s="292"/>
      <c r="VYR35" s="292"/>
      <c r="VYS35" s="292"/>
      <c r="VYT35" s="292"/>
      <c r="VYU35" s="292"/>
      <c r="VYV35" s="292"/>
      <c r="VYW35" s="292"/>
      <c r="VYX35" s="292"/>
      <c r="VYY35" s="292"/>
      <c r="VYZ35" s="292"/>
      <c r="VZA35" s="292"/>
      <c r="VZB35" s="292"/>
      <c r="VZC35" s="292"/>
      <c r="VZD35" s="292"/>
      <c r="VZE35" s="292"/>
      <c r="VZF35" s="292"/>
      <c r="VZG35" s="292"/>
      <c r="VZH35" s="292"/>
      <c r="VZI35" s="292"/>
      <c r="VZJ35" s="292"/>
      <c r="VZK35" s="292"/>
      <c r="VZL35" s="292"/>
      <c r="VZM35" s="292"/>
      <c r="VZN35" s="292"/>
      <c r="VZO35" s="292"/>
      <c r="VZP35" s="292"/>
      <c r="VZQ35" s="292"/>
      <c r="VZR35" s="292"/>
      <c r="VZS35" s="292"/>
      <c r="VZT35" s="292"/>
      <c r="VZU35" s="292"/>
      <c r="VZV35" s="292"/>
      <c r="VZW35" s="292"/>
      <c r="VZX35" s="292"/>
      <c r="VZY35" s="292"/>
      <c r="VZZ35" s="292"/>
      <c r="WAA35" s="292"/>
      <c r="WAB35" s="292"/>
      <c r="WAC35" s="292"/>
      <c r="WAD35" s="292"/>
      <c r="WAE35" s="292"/>
      <c r="WAF35" s="292"/>
      <c r="WAG35" s="292"/>
      <c r="WAH35" s="292"/>
      <c r="WAI35" s="292"/>
      <c r="WAJ35" s="292"/>
      <c r="WAK35" s="292"/>
      <c r="WAL35" s="292"/>
      <c r="WAM35" s="292"/>
      <c r="WAN35" s="292"/>
      <c r="WAO35" s="292"/>
      <c r="WAP35" s="292"/>
      <c r="WAQ35" s="292"/>
      <c r="WAR35" s="292"/>
      <c r="WAS35" s="292"/>
      <c r="WAT35" s="292"/>
      <c r="WAU35" s="292"/>
      <c r="WAV35" s="292"/>
      <c r="WAW35" s="292"/>
      <c r="WAX35" s="292"/>
      <c r="WAY35" s="292"/>
      <c r="WAZ35" s="292"/>
      <c r="WBA35" s="292"/>
      <c r="WBB35" s="292"/>
      <c r="WBC35" s="292"/>
      <c r="WBD35" s="292"/>
      <c r="WBE35" s="292"/>
      <c r="WBF35" s="292"/>
      <c r="WBG35" s="292"/>
      <c r="WBH35" s="292"/>
      <c r="WBI35" s="292"/>
      <c r="WBJ35" s="292"/>
      <c r="WBK35" s="292"/>
      <c r="WBL35" s="292"/>
      <c r="WBM35" s="292"/>
      <c r="WBN35" s="292"/>
      <c r="WBO35" s="292"/>
      <c r="WBP35" s="292"/>
      <c r="WBQ35" s="292"/>
      <c r="WBR35" s="292"/>
      <c r="WBS35" s="292"/>
      <c r="WBT35" s="292"/>
      <c r="WBU35" s="292"/>
      <c r="WBV35" s="292"/>
      <c r="WBW35" s="292"/>
      <c r="WBX35" s="292"/>
      <c r="WBY35" s="292"/>
      <c r="WBZ35" s="292"/>
      <c r="WCA35" s="292"/>
      <c r="WCB35" s="292"/>
      <c r="WCC35" s="292"/>
      <c r="WCD35" s="292"/>
      <c r="WCE35" s="292"/>
      <c r="WCF35" s="292"/>
      <c r="WCG35" s="292"/>
      <c r="WCH35" s="292"/>
      <c r="WCI35" s="292"/>
      <c r="WCJ35" s="292"/>
      <c r="WCK35" s="292"/>
      <c r="WCL35" s="292"/>
      <c r="WCM35" s="292"/>
      <c r="WCN35" s="292"/>
      <c r="WCO35" s="292"/>
      <c r="WCP35" s="292"/>
      <c r="WCQ35" s="292"/>
      <c r="WCR35" s="292"/>
      <c r="WCS35" s="292"/>
      <c r="WCT35" s="292"/>
      <c r="WCU35" s="292"/>
      <c r="WCV35" s="292"/>
      <c r="WCW35" s="292"/>
      <c r="WCX35" s="292"/>
      <c r="WCY35" s="292"/>
      <c r="WCZ35" s="292"/>
      <c r="WDA35" s="292"/>
      <c r="WDB35" s="292"/>
      <c r="WDC35" s="292"/>
      <c r="WDD35" s="292"/>
      <c r="WDE35" s="292"/>
      <c r="WDF35" s="292"/>
      <c r="WDG35" s="292"/>
      <c r="WDH35" s="292"/>
      <c r="WDI35" s="292"/>
      <c r="WDJ35" s="292"/>
      <c r="WDK35" s="292"/>
      <c r="WDL35" s="292"/>
      <c r="WDM35" s="292"/>
      <c r="WDN35" s="292"/>
      <c r="WDO35" s="292"/>
      <c r="WDP35" s="292"/>
      <c r="WDQ35" s="292"/>
      <c r="WDR35" s="292"/>
      <c r="WDS35" s="292"/>
      <c r="WDT35" s="292"/>
      <c r="WDU35" s="292"/>
      <c r="WDV35" s="292"/>
      <c r="WDW35" s="292"/>
      <c r="WDX35" s="292"/>
      <c r="WDY35" s="292"/>
      <c r="WDZ35" s="292"/>
      <c r="WEA35" s="292"/>
      <c r="WEB35" s="292"/>
      <c r="WEC35" s="292"/>
      <c r="WED35" s="292"/>
      <c r="WEE35" s="292"/>
      <c r="WEF35" s="292"/>
      <c r="WEG35" s="292"/>
      <c r="WEH35" s="292"/>
      <c r="WEI35" s="292"/>
      <c r="WEJ35" s="292"/>
      <c r="WEK35" s="292"/>
      <c r="WEL35" s="292"/>
      <c r="WEM35" s="292"/>
      <c r="WEN35" s="292"/>
      <c r="WEO35" s="292"/>
      <c r="WEP35" s="292"/>
      <c r="WEQ35" s="292"/>
      <c r="WER35" s="292"/>
      <c r="WES35" s="292"/>
      <c r="WET35" s="292"/>
      <c r="WEU35" s="292"/>
      <c r="WEV35" s="292"/>
      <c r="WEW35" s="292"/>
      <c r="WEX35" s="292"/>
      <c r="WEY35" s="292"/>
      <c r="WEZ35" s="292"/>
      <c r="WFA35" s="292"/>
      <c r="WFB35" s="292"/>
      <c r="WFC35" s="292"/>
      <c r="WFD35" s="292"/>
      <c r="WFE35" s="292"/>
      <c r="WFF35" s="292"/>
      <c r="WFG35" s="292"/>
      <c r="WFH35" s="292"/>
      <c r="WFI35" s="292"/>
      <c r="WFJ35" s="292"/>
      <c r="WFK35" s="292"/>
      <c r="WFL35" s="292"/>
      <c r="WFM35" s="292"/>
      <c r="WFN35" s="292"/>
      <c r="WFO35" s="292"/>
      <c r="WFP35" s="292"/>
      <c r="WFQ35" s="292"/>
      <c r="WFR35" s="292"/>
      <c r="WFS35" s="292"/>
      <c r="WFT35" s="292"/>
      <c r="WFU35" s="292"/>
      <c r="WFV35" s="292"/>
      <c r="WFW35" s="292"/>
      <c r="WFX35" s="292"/>
      <c r="WFY35" s="292"/>
      <c r="WFZ35" s="292"/>
      <c r="WGA35" s="292"/>
      <c r="WGB35" s="292"/>
      <c r="WGC35" s="292"/>
      <c r="WGD35" s="292"/>
      <c r="WGE35" s="292"/>
      <c r="WGF35" s="292"/>
      <c r="WGG35" s="292"/>
      <c r="WGH35" s="292"/>
      <c r="WGI35" s="292"/>
      <c r="WGJ35" s="292"/>
      <c r="WGK35" s="292"/>
      <c r="WGL35" s="292"/>
      <c r="WGM35" s="292"/>
      <c r="WGN35" s="292"/>
      <c r="WGO35" s="292"/>
      <c r="WGP35" s="292"/>
      <c r="WGQ35" s="292"/>
      <c r="WGR35" s="292"/>
      <c r="WGS35" s="292"/>
      <c r="WGT35" s="292"/>
      <c r="WGU35" s="292"/>
      <c r="WGV35" s="292"/>
      <c r="WGW35" s="292"/>
      <c r="WGX35" s="292"/>
      <c r="WGY35" s="292"/>
      <c r="WGZ35" s="292"/>
      <c r="WHA35" s="292"/>
      <c r="WHB35" s="292"/>
      <c r="WHC35" s="292"/>
      <c r="WHD35" s="292"/>
      <c r="WHE35" s="292"/>
      <c r="WHF35" s="292"/>
      <c r="WHG35" s="292"/>
      <c r="WHH35" s="292"/>
      <c r="WHI35" s="292"/>
      <c r="WHJ35" s="292"/>
      <c r="WHK35" s="292"/>
      <c r="WHL35" s="292"/>
      <c r="WHM35" s="292"/>
      <c r="WHN35" s="292"/>
      <c r="WHO35" s="292"/>
      <c r="WHP35" s="292"/>
      <c r="WHQ35" s="292"/>
      <c r="WHR35" s="292"/>
      <c r="WHS35" s="292"/>
      <c r="WHT35" s="292"/>
      <c r="WHU35" s="292"/>
      <c r="WHV35" s="292"/>
      <c r="WHW35" s="292"/>
      <c r="WHX35" s="292"/>
      <c r="WHY35" s="292"/>
      <c r="WHZ35" s="292"/>
      <c r="WIA35" s="292"/>
      <c r="WIB35" s="292"/>
      <c r="WIC35" s="292"/>
      <c r="WID35" s="292"/>
      <c r="WIE35" s="292"/>
      <c r="WIF35" s="292"/>
      <c r="WIG35" s="292"/>
      <c r="WIH35" s="292"/>
      <c r="WII35" s="292"/>
      <c r="WIJ35" s="292"/>
      <c r="WIK35" s="292"/>
      <c r="WIL35" s="292"/>
      <c r="WIM35" s="292"/>
      <c r="WIN35" s="292"/>
      <c r="WIO35" s="292"/>
      <c r="WIP35" s="292"/>
      <c r="WIQ35" s="292"/>
      <c r="WIR35" s="292"/>
      <c r="WIS35" s="292"/>
      <c r="WIT35" s="292"/>
      <c r="WIU35" s="292"/>
      <c r="WIV35" s="292"/>
      <c r="WIW35" s="292"/>
      <c r="WIX35" s="292"/>
      <c r="WIY35" s="292"/>
      <c r="WIZ35" s="292"/>
      <c r="WJA35" s="292"/>
      <c r="WJB35" s="292"/>
      <c r="WJC35" s="292"/>
      <c r="WJD35" s="292"/>
      <c r="WJE35" s="292"/>
      <c r="WJF35" s="292"/>
      <c r="WJG35" s="292"/>
      <c r="WJH35" s="292"/>
      <c r="WJI35" s="292"/>
      <c r="WJJ35" s="292"/>
      <c r="WJK35" s="292"/>
      <c r="WJL35" s="292"/>
      <c r="WJM35" s="292"/>
      <c r="WJN35" s="292"/>
      <c r="WJO35" s="292"/>
      <c r="WJP35" s="292"/>
      <c r="WJQ35" s="292"/>
      <c r="WJR35" s="292"/>
      <c r="WJS35" s="292"/>
      <c r="WJT35" s="292"/>
      <c r="WJU35" s="292"/>
      <c r="WJV35" s="292"/>
      <c r="WJW35" s="292"/>
      <c r="WJX35" s="292"/>
      <c r="WJY35" s="292"/>
      <c r="WJZ35" s="292"/>
      <c r="WKA35" s="292"/>
      <c r="WKB35" s="292"/>
      <c r="WKC35" s="292"/>
      <c r="WKD35" s="292"/>
      <c r="WKE35" s="292"/>
      <c r="WKF35" s="292"/>
      <c r="WKG35" s="292"/>
      <c r="WKH35" s="292"/>
      <c r="WKI35" s="292"/>
      <c r="WKJ35" s="292"/>
      <c r="WKK35" s="292"/>
      <c r="WKL35" s="292"/>
      <c r="WKM35" s="292"/>
      <c r="WKN35" s="292"/>
      <c r="WKO35" s="292"/>
      <c r="WKP35" s="292"/>
      <c r="WKQ35" s="292"/>
      <c r="WKR35" s="292"/>
      <c r="WKS35" s="292"/>
      <c r="WKT35" s="292"/>
      <c r="WKU35" s="292"/>
      <c r="WKV35" s="292"/>
      <c r="WKW35" s="292"/>
      <c r="WKX35" s="292"/>
      <c r="WKY35" s="292"/>
      <c r="WKZ35" s="292"/>
      <c r="WLA35" s="292"/>
      <c r="WLB35" s="292"/>
      <c r="WLC35" s="292"/>
      <c r="WLD35" s="292"/>
      <c r="WLE35" s="292"/>
      <c r="WLF35" s="292"/>
      <c r="WLG35" s="292"/>
      <c r="WLH35" s="292"/>
      <c r="WLI35" s="292"/>
      <c r="WLJ35" s="292"/>
      <c r="WLK35" s="292"/>
      <c r="WLL35" s="292"/>
      <c r="WLM35" s="292"/>
      <c r="WLN35" s="292"/>
      <c r="WLO35" s="292"/>
      <c r="WLP35" s="292"/>
      <c r="WLQ35" s="292"/>
      <c r="WLR35" s="292"/>
      <c r="WLS35" s="292"/>
      <c r="WLT35" s="292"/>
      <c r="WLU35" s="292"/>
      <c r="WLV35" s="292"/>
      <c r="WLW35" s="292"/>
      <c r="WLX35" s="292"/>
      <c r="WLY35" s="292"/>
      <c r="WLZ35" s="292"/>
      <c r="WMA35" s="292"/>
      <c r="WMB35" s="292"/>
      <c r="WMC35" s="292"/>
      <c r="WMD35" s="292"/>
      <c r="WME35" s="292"/>
      <c r="WMF35" s="292"/>
      <c r="WMG35" s="292"/>
      <c r="WMH35" s="292"/>
      <c r="WMI35" s="292"/>
      <c r="WMJ35" s="292"/>
      <c r="WMK35" s="292"/>
      <c r="WML35" s="292"/>
      <c r="WMM35" s="292"/>
      <c r="WMN35" s="292"/>
      <c r="WMO35" s="292"/>
      <c r="WMP35" s="292"/>
      <c r="WMQ35" s="292"/>
      <c r="WMR35" s="292"/>
      <c r="WMS35" s="292"/>
      <c r="WMT35" s="292"/>
      <c r="WMU35" s="292"/>
      <c r="WMV35" s="292"/>
      <c r="WMW35" s="292"/>
      <c r="WMX35" s="292"/>
      <c r="WMY35" s="292"/>
      <c r="WMZ35" s="292"/>
      <c r="WNA35" s="292"/>
      <c r="WNB35" s="292"/>
      <c r="WNC35" s="292"/>
      <c r="WND35" s="292"/>
      <c r="WNE35" s="292"/>
      <c r="WNF35" s="292"/>
      <c r="WNG35" s="292"/>
      <c r="WNH35" s="292"/>
      <c r="WNI35" s="292"/>
      <c r="WNJ35" s="292"/>
      <c r="WNK35" s="292"/>
      <c r="WNL35" s="292"/>
      <c r="WNM35" s="292"/>
      <c r="WNN35" s="292"/>
      <c r="WNO35" s="292"/>
      <c r="WNP35" s="292"/>
      <c r="WNQ35" s="292"/>
      <c r="WNR35" s="292"/>
      <c r="WNS35" s="292"/>
      <c r="WNT35" s="292"/>
      <c r="WNU35" s="292"/>
      <c r="WNV35" s="292"/>
      <c r="WNW35" s="292"/>
      <c r="WNX35" s="292"/>
      <c r="WNY35" s="292"/>
      <c r="WNZ35" s="292"/>
      <c r="WOA35" s="292"/>
      <c r="WOB35" s="292"/>
      <c r="WOC35" s="292"/>
      <c r="WOD35" s="292"/>
      <c r="WOE35" s="292"/>
      <c r="WOF35" s="292"/>
      <c r="WOG35" s="292"/>
      <c r="WOH35" s="292"/>
      <c r="WOI35" s="292"/>
      <c r="WOJ35" s="292"/>
      <c r="WOK35" s="292"/>
      <c r="WOL35" s="292"/>
      <c r="WOM35" s="292"/>
      <c r="WON35" s="292"/>
      <c r="WOO35" s="292"/>
      <c r="WOP35" s="292"/>
      <c r="WOQ35" s="292"/>
      <c r="WOR35" s="292"/>
      <c r="WOS35" s="292"/>
      <c r="WOT35" s="292"/>
      <c r="WOU35" s="292"/>
      <c r="WOV35" s="292"/>
      <c r="WOW35" s="292"/>
      <c r="WOX35" s="292"/>
      <c r="WOY35" s="292"/>
      <c r="WOZ35" s="292"/>
      <c r="WPA35" s="292"/>
      <c r="WPB35" s="292"/>
      <c r="WPC35" s="292"/>
      <c r="WPD35" s="292"/>
      <c r="WPE35" s="292"/>
      <c r="WPF35" s="292"/>
      <c r="WPG35" s="292"/>
      <c r="WPH35" s="292"/>
      <c r="WPI35" s="292"/>
      <c r="WPJ35" s="292"/>
      <c r="WPK35" s="292"/>
      <c r="WPL35" s="292"/>
      <c r="WPM35" s="292"/>
      <c r="WPN35" s="292"/>
      <c r="WPO35" s="292"/>
      <c r="WPP35" s="292"/>
      <c r="WPQ35" s="292"/>
      <c r="WPR35" s="292"/>
      <c r="WPS35" s="292"/>
      <c r="WPT35" s="292"/>
      <c r="WPU35" s="292"/>
      <c r="WPV35" s="292"/>
      <c r="WPW35" s="292"/>
      <c r="WPX35" s="292"/>
      <c r="WPY35" s="292"/>
      <c r="WPZ35" s="292"/>
      <c r="WQA35" s="292"/>
      <c r="WQB35" s="292"/>
      <c r="WQC35" s="292"/>
      <c r="WQD35" s="292"/>
      <c r="WQE35" s="292"/>
      <c r="WQF35" s="292"/>
      <c r="WQG35" s="292"/>
      <c r="WQH35" s="292"/>
      <c r="WQI35" s="292"/>
      <c r="WQJ35" s="292"/>
      <c r="WQK35" s="292"/>
      <c r="WQL35" s="292"/>
      <c r="WQM35" s="292"/>
      <c r="WQN35" s="292"/>
      <c r="WQO35" s="292"/>
      <c r="WQP35" s="292"/>
      <c r="WQQ35" s="292"/>
      <c r="WQR35" s="292"/>
      <c r="WQS35" s="292"/>
      <c r="WQT35" s="292"/>
      <c r="WQU35" s="292"/>
      <c r="WQV35" s="292"/>
      <c r="WQW35" s="292"/>
      <c r="WQX35" s="292"/>
      <c r="WQY35" s="292"/>
      <c r="WQZ35" s="292"/>
      <c r="WRA35" s="292"/>
      <c r="WRB35" s="292"/>
      <c r="WRC35" s="292"/>
      <c r="WRD35" s="292"/>
      <c r="WRE35" s="292"/>
      <c r="WRF35" s="292"/>
      <c r="WRG35" s="292"/>
      <c r="WRH35" s="292"/>
      <c r="WRI35" s="292"/>
      <c r="WRJ35" s="292"/>
      <c r="WRK35" s="292"/>
      <c r="WRL35" s="292"/>
      <c r="WRM35" s="292"/>
      <c r="WRN35" s="292"/>
      <c r="WRO35" s="292"/>
      <c r="WRP35" s="292"/>
      <c r="WRQ35" s="292"/>
      <c r="WRR35" s="292"/>
      <c r="WRS35" s="292"/>
      <c r="WRT35" s="292"/>
      <c r="WRU35" s="292"/>
      <c r="WRV35" s="292"/>
      <c r="WRW35" s="292"/>
      <c r="WRX35" s="292"/>
      <c r="WRY35" s="292"/>
      <c r="WRZ35" s="292"/>
      <c r="WSA35" s="292"/>
      <c r="WSB35" s="292"/>
      <c r="WSC35" s="292"/>
      <c r="WSD35" s="292"/>
      <c r="WSE35" s="292"/>
      <c r="WSF35" s="292"/>
      <c r="WSG35" s="292"/>
      <c r="WSH35" s="292"/>
      <c r="WSI35" s="292"/>
      <c r="WSJ35" s="292"/>
      <c r="WSK35" s="292"/>
      <c r="WSL35" s="292"/>
      <c r="WSM35" s="292"/>
      <c r="WSN35" s="292"/>
      <c r="WSO35" s="292"/>
      <c r="WSP35" s="292"/>
      <c r="WSQ35" s="292"/>
      <c r="WSR35" s="292"/>
      <c r="WSS35" s="292"/>
      <c r="WST35" s="292"/>
      <c r="WSU35" s="292"/>
      <c r="WSV35" s="292"/>
      <c r="WSW35" s="292"/>
      <c r="WSX35" s="292"/>
      <c r="WSY35" s="292"/>
      <c r="WSZ35" s="292"/>
      <c r="WTA35" s="292"/>
      <c r="WTB35" s="292"/>
      <c r="WTC35" s="292"/>
      <c r="WTD35" s="292"/>
      <c r="WTE35" s="292"/>
      <c r="WTF35" s="292"/>
      <c r="WTG35" s="292"/>
      <c r="WTH35" s="292"/>
      <c r="WTI35" s="292"/>
      <c r="WTJ35" s="292"/>
      <c r="WTK35" s="292"/>
      <c r="WTL35" s="292"/>
      <c r="WTM35" s="292"/>
      <c r="WTN35" s="292"/>
      <c r="WTO35" s="292"/>
      <c r="WTP35" s="292"/>
      <c r="WTQ35" s="292"/>
      <c r="WTR35" s="292"/>
      <c r="WTS35" s="292"/>
      <c r="WTT35" s="292"/>
      <c r="WTU35" s="292"/>
      <c r="WTV35" s="292"/>
      <c r="WTW35" s="292"/>
      <c r="WTX35" s="292"/>
      <c r="WTY35" s="292"/>
      <c r="WTZ35" s="292"/>
      <c r="WUA35" s="292"/>
      <c r="WUB35" s="292"/>
      <c r="WUC35" s="292"/>
      <c r="WUD35" s="292"/>
      <c r="WUE35" s="292"/>
      <c r="WUF35" s="292"/>
      <c r="WUG35" s="292"/>
      <c r="WUH35" s="292"/>
      <c r="WUI35" s="292"/>
      <c r="WUJ35" s="292"/>
      <c r="WUK35" s="292"/>
      <c r="WUL35" s="292"/>
      <c r="WUM35" s="292"/>
      <c r="WUN35" s="292"/>
      <c r="WUO35" s="292"/>
      <c r="WUP35" s="292"/>
      <c r="WUQ35" s="292"/>
      <c r="WUR35" s="292"/>
      <c r="WUS35" s="292"/>
      <c r="WUT35" s="292"/>
      <c r="WUU35" s="292"/>
      <c r="WUV35" s="292"/>
      <c r="WUW35" s="292"/>
      <c r="WUX35" s="292"/>
      <c r="WUY35" s="292"/>
      <c r="WUZ35" s="292"/>
      <c r="WVA35" s="292"/>
      <c r="WVB35" s="292"/>
      <c r="WVC35" s="292"/>
      <c r="WVD35" s="292"/>
      <c r="WVE35" s="292"/>
      <c r="WVF35" s="292"/>
      <c r="WVG35" s="292"/>
      <c r="WVH35" s="292"/>
      <c r="WVI35" s="292"/>
      <c r="WVJ35" s="292"/>
      <c r="WVK35" s="292"/>
      <c r="WVL35" s="292"/>
      <c r="WVM35" s="292"/>
      <c r="WVN35" s="292"/>
      <c r="WVO35" s="292"/>
      <c r="WVP35" s="292"/>
      <c r="WVQ35" s="292"/>
      <c r="WVR35" s="292"/>
      <c r="WVS35" s="292"/>
      <c r="WVT35" s="292"/>
      <c r="WVU35" s="292"/>
      <c r="WVV35" s="292"/>
      <c r="WVW35" s="292"/>
      <c r="WVX35" s="292"/>
      <c r="WVY35" s="292"/>
      <c r="WVZ35" s="292"/>
      <c r="WWA35" s="292"/>
      <c r="WWB35" s="292"/>
      <c r="WWC35" s="292"/>
      <c r="WWD35" s="292"/>
      <c r="WWE35" s="292"/>
      <c r="WWF35" s="292"/>
      <c r="WWG35" s="292"/>
      <c r="WWH35" s="292"/>
      <c r="WWI35" s="292"/>
      <c r="WWJ35" s="292"/>
      <c r="WWK35" s="292"/>
      <c r="WWL35" s="292"/>
      <c r="WWM35" s="292"/>
      <c r="WWN35" s="292"/>
      <c r="WWO35" s="292"/>
      <c r="WWP35" s="292"/>
      <c r="WWQ35" s="292"/>
      <c r="WWR35" s="292"/>
      <c r="WWS35" s="292"/>
      <c r="WWT35" s="292"/>
      <c r="WWU35" s="292"/>
      <c r="WWV35" s="292"/>
      <c r="WWW35" s="292"/>
      <c r="WWX35" s="292"/>
      <c r="WWY35" s="292"/>
      <c r="WWZ35" s="292"/>
      <c r="WXA35" s="292"/>
      <c r="WXB35" s="292"/>
      <c r="WXC35" s="292"/>
      <c r="WXD35" s="292"/>
      <c r="WXE35" s="292"/>
      <c r="WXF35" s="292"/>
      <c r="WXG35" s="292"/>
      <c r="WXH35" s="292"/>
      <c r="WXI35" s="292"/>
      <c r="WXJ35" s="292"/>
      <c r="WXK35" s="292"/>
      <c r="WXL35" s="292"/>
      <c r="WXM35" s="292"/>
      <c r="WXN35" s="292"/>
      <c r="WXO35" s="292"/>
      <c r="WXP35" s="292"/>
      <c r="WXQ35" s="292"/>
      <c r="WXR35" s="292"/>
      <c r="WXS35" s="292"/>
      <c r="WXT35" s="292"/>
      <c r="WXU35" s="292"/>
      <c r="WXV35" s="292"/>
      <c r="WXW35" s="292"/>
      <c r="WXX35" s="292"/>
      <c r="WXY35" s="292"/>
      <c r="WXZ35" s="292"/>
      <c r="WYA35" s="292"/>
      <c r="WYB35" s="292"/>
      <c r="WYC35" s="292"/>
      <c r="WYD35" s="292"/>
      <c r="WYE35" s="292"/>
      <c r="WYF35" s="292"/>
      <c r="WYG35" s="292"/>
      <c r="WYH35" s="292"/>
      <c r="WYI35" s="292"/>
      <c r="WYJ35" s="292"/>
      <c r="WYK35" s="292"/>
      <c r="WYL35" s="292"/>
      <c r="WYM35" s="292"/>
      <c r="WYN35" s="292"/>
      <c r="WYO35" s="292"/>
      <c r="WYP35" s="292"/>
      <c r="WYQ35" s="292"/>
      <c r="WYR35" s="292"/>
      <c r="WYS35" s="292"/>
      <c r="WYT35" s="292"/>
      <c r="WYU35" s="292"/>
      <c r="WYV35" s="292"/>
      <c r="WYW35" s="292"/>
      <c r="WYX35" s="292"/>
      <c r="WYY35" s="292"/>
      <c r="WYZ35" s="292"/>
      <c r="WZA35" s="292"/>
      <c r="WZB35" s="292"/>
      <c r="WZC35" s="292"/>
      <c r="WZD35" s="292"/>
      <c r="WZE35" s="292"/>
      <c r="WZF35" s="292"/>
      <c r="WZG35" s="292"/>
      <c r="WZH35" s="292"/>
      <c r="WZI35" s="292"/>
      <c r="WZJ35" s="292"/>
      <c r="WZK35" s="292"/>
      <c r="WZL35" s="292"/>
      <c r="WZM35" s="292"/>
      <c r="WZN35" s="292"/>
      <c r="WZO35" s="292"/>
      <c r="WZP35" s="292"/>
      <c r="WZQ35" s="292"/>
      <c r="WZR35" s="292"/>
      <c r="WZS35" s="292"/>
      <c r="WZT35" s="292"/>
      <c r="WZU35" s="292"/>
      <c r="WZV35" s="292"/>
      <c r="WZW35" s="292"/>
      <c r="WZX35" s="292"/>
      <c r="WZY35" s="292"/>
      <c r="WZZ35" s="292"/>
      <c r="XAA35" s="292"/>
      <c r="XAB35" s="292"/>
      <c r="XAC35" s="292"/>
      <c r="XAD35" s="292"/>
      <c r="XAE35" s="292"/>
      <c r="XAF35" s="292"/>
      <c r="XAG35" s="292"/>
      <c r="XAH35" s="292"/>
      <c r="XAI35" s="292"/>
      <c r="XAJ35" s="292"/>
      <c r="XAK35" s="292"/>
      <c r="XAL35" s="292"/>
      <c r="XAM35" s="292"/>
      <c r="XAN35" s="292"/>
      <c r="XAO35" s="292"/>
      <c r="XAP35" s="292"/>
      <c r="XAQ35" s="292"/>
      <c r="XAR35" s="292"/>
      <c r="XAS35" s="292"/>
      <c r="XAT35" s="292"/>
      <c r="XAU35" s="292"/>
      <c r="XAV35" s="292"/>
      <c r="XAW35" s="292"/>
      <c r="XAX35" s="292"/>
      <c r="XAY35" s="292"/>
      <c r="XAZ35" s="292"/>
      <c r="XBA35" s="292"/>
      <c r="XBB35" s="292"/>
      <c r="XBC35" s="292"/>
      <c r="XBD35" s="292"/>
      <c r="XBE35" s="292"/>
      <c r="XBF35" s="292"/>
      <c r="XBG35" s="292"/>
      <c r="XBH35" s="292"/>
      <c r="XBI35" s="292"/>
      <c r="XBJ35" s="292"/>
      <c r="XBK35" s="292"/>
      <c r="XBL35" s="292"/>
      <c r="XBM35" s="292"/>
      <c r="XBN35" s="292"/>
      <c r="XBO35" s="292"/>
      <c r="XBP35" s="292"/>
      <c r="XBQ35" s="292"/>
      <c r="XBR35" s="292"/>
      <c r="XBS35" s="292"/>
      <c r="XBT35" s="292"/>
      <c r="XBU35" s="292"/>
      <c r="XBV35" s="292"/>
      <c r="XBW35" s="292"/>
      <c r="XBX35" s="292"/>
      <c r="XBY35" s="292"/>
      <c r="XBZ35" s="292"/>
      <c r="XCA35" s="292"/>
      <c r="XCB35" s="292"/>
      <c r="XCC35" s="292"/>
      <c r="XCD35" s="292"/>
      <c r="XCE35" s="292"/>
      <c r="XCF35" s="292"/>
      <c r="XCG35" s="292"/>
      <c r="XCH35" s="292"/>
      <c r="XCI35" s="292"/>
      <c r="XCJ35" s="292"/>
      <c r="XCK35" s="292"/>
      <c r="XCL35" s="292"/>
      <c r="XCM35" s="292"/>
      <c r="XCN35" s="292"/>
      <c r="XCO35" s="292"/>
      <c r="XCP35" s="292"/>
      <c r="XCQ35" s="292"/>
      <c r="XCR35" s="292"/>
      <c r="XCS35" s="292"/>
      <c r="XCT35" s="292"/>
      <c r="XCU35" s="292"/>
      <c r="XCV35" s="292"/>
      <c r="XCW35" s="292"/>
      <c r="XCX35" s="292"/>
      <c r="XCY35" s="292"/>
      <c r="XCZ35" s="292"/>
      <c r="XDA35" s="292"/>
      <c r="XDB35" s="292"/>
      <c r="XDC35" s="292"/>
      <c r="XDD35" s="292"/>
      <c r="XDE35" s="292"/>
      <c r="XDF35" s="292"/>
      <c r="XDG35" s="292"/>
      <c r="XDH35" s="292"/>
      <c r="XDI35" s="292"/>
      <c r="XDJ35" s="292"/>
      <c r="XDK35" s="292"/>
      <c r="XDL35" s="292"/>
      <c r="XDM35" s="292"/>
      <c r="XDN35" s="292"/>
      <c r="XDO35" s="292"/>
      <c r="XDP35" s="292"/>
      <c r="XDQ35" s="292"/>
      <c r="XDR35" s="292"/>
      <c r="XDS35" s="292"/>
      <c r="XDT35" s="292"/>
      <c r="XDU35" s="292"/>
      <c r="XDV35" s="292"/>
      <c r="XDW35" s="292"/>
      <c r="XDX35" s="292"/>
      <c r="XDY35" s="292"/>
      <c r="XDZ35" s="292"/>
      <c r="XEA35" s="292"/>
      <c r="XEB35" s="292"/>
      <c r="XEC35" s="292"/>
      <c r="XED35" s="292"/>
      <c r="XEE35" s="292"/>
      <c r="XEF35" s="292"/>
      <c r="XEG35" s="292"/>
      <c r="XEH35" s="292"/>
      <c r="XEI35" s="292"/>
      <c r="XEJ35" s="292"/>
      <c r="XEK35" s="292"/>
      <c r="XEL35" s="292"/>
      <c r="XEM35" s="292"/>
      <c r="XEN35" s="292"/>
      <c r="XEO35" s="292"/>
      <c r="XEP35" s="292"/>
      <c r="XEQ35" s="292"/>
      <c r="XER35" s="292"/>
      <c r="XES35" s="292"/>
      <c r="XET35" s="292"/>
      <c r="XEU35" s="292"/>
      <c r="XEV35" s="292"/>
      <c r="XEW35" s="292"/>
      <c r="XEX35" s="292"/>
      <c r="XEY35" s="292"/>
      <c r="XEZ35" s="292"/>
      <c r="XFA35" s="292"/>
      <c r="XFB35" s="292"/>
      <c r="XFC35" s="292"/>
      <c r="XFD35" s="292"/>
    </row>
    <row r="36" ht="15.75" customHeight="1">
      <c r="A36" s="292"/>
      <c r="B36" s="292"/>
      <c r="C36" s="292"/>
      <c r="D36" s="292"/>
      <c r="E36" s="292"/>
      <c r="F36" s="292"/>
      <c r="G36" s="292"/>
      <c r="H36" s="292"/>
      <c r="I36" s="292"/>
      <c r="J36" s="292"/>
      <c r="K36" s="292"/>
      <c r="L36" s="292"/>
      <c r="M36" s="292"/>
      <c r="N36" s="292"/>
      <c r="O36" s="292"/>
      <c r="P36" s="292"/>
      <c r="Q36" s="292"/>
      <c r="R36" s="292"/>
      <c r="S36" s="292"/>
      <c r="T36" s="292"/>
      <c r="U36" s="292"/>
      <c r="V36" s="292"/>
      <c r="W36" s="292"/>
      <c r="X36" s="292"/>
      <c r="Y36" s="292"/>
      <c r="Z36" s="292"/>
      <c r="AA36" s="292"/>
      <c r="AB36" s="292"/>
      <c r="AC36" s="292"/>
      <c r="AD36" s="292"/>
      <c r="AE36" s="292"/>
      <c r="AF36" s="292"/>
      <c r="AG36" s="292"/>
      <c r="AH36" s="292"/>
      <c r="AI36" s="292"/>
      <c r="AJ36" s="292"/>
      <c r="AK36" s="292"/>
      <c r="AL36" s="292"/>
      <c r="AM36" s="292"/>
      <c r="AN36" s="292"/>
      <c r="AO36" s="292"/>
      <c r="AP36" s="292"/>
      <c r="AQ36" s="292"/>
      <c r="AR36" s="292"/>
      <c r="AS36" s="292"/>
      <c r="AT36" s="292"/>
      <c r="AU36" s="292"/>
      <c r="AV36" s="292"/>
      <c r="AW36" s="292"/>
      <c r="AX36" s="292"/>
      <c r="AY36" s="292"/>
      <c r="AZ36" s="292"/>
      <c r="BA36" s="292"/>
      <c r="BB36" s="292"/>
      <c r="BC36" s="292"/>
      <c r="BD36" s="292"/>
      <c r="BE36" s="292"/>
      <c r="BF36" s="292"/>
      <c r="BG36" s="292"/>
      <c r="BH36" s="292"/>
      <c r="BI36" s="292"/>
      <c r="BJ36" s="292"/>
      <c r="BK36" s="292"/>
      <c r="BL36" s="292"/>
      <c r="BM36" s="292"/>
      <c r="BN36" s="292"/>
      <c r="BO36" s="292"/>
      <c r="BP36" s="292"/>
      <c r="BQ36" s="292"/>
      <c r="BR36" s="292"/>
      <c r="BS36" s="292"/>
      <c r="BT36" s="292"/>
      <c r="BU36" s="292"/>
      <c r="BV36" s="292"/>
      <c r="BW36" s="292"/>
      <c r="BX36" s="292"/>
      <c r="BY36" s="292"/>
      <c r="BZ36" s="292"/>
      <c r="CA36" s="292"/>
      <c r="CB36" s="292"/>
      <c r="CC36" s="292"/>
      <c r="CD36" s="292"/>
      <c r="CE36" s="292"/>
      <c r="CF36" s="292"/>
      <c r="CG36" s="292"/>
      <c r="CH36" s="292"/>
      <c r="CI36" s="292"/>
      <c r="CJ36" s="292"/>
      <c r="CK36" s="292"/>
      <c r="CL36" s="292"/>
      <c r="CM36" s="292"/>
      <c r="CN36" s="292"/>
      <c r="CO36" s="292"/>
      <c r="CP36" s="292"/>
      <c r="CQ36" s="292"/>
      <c r="CR36" s="292"/>
      <c r="CS36" s="292"/>
      <c r="CT36" s="292"/>
      <c r="CU36" s="292"/>
      <c r="CV36" s="292"/>
      <c r="CW36" s="292"/>
      <c r="CX36" s="292"/>
      <c r="CY36" s="292"/>
      <c r="CZ36" s="292"/>
      <c r="DA36" s="292"/>
      <c r="DB36" s="292"/>
      <c r="DC36" s="292"/>
      <c r="DD36" s="292"/>
      <c r="DE36" s="292"/>
      <c r="DF36" s="292"/>
      <c r="DG36" s="292"/>
      <c r="DH36" s="292"/>
      <c r="DI36" s="292"/>
      <c r="DJ36" s="292"/>
      <c r="DK36" s="292"/>
      <c r="DL36" s="292"/>
      <c r="DM36" s="292"/>
      <c r="DN36" s="292"/>
      <c r="DO36" s="292"/>
      <c r="DP36" s="292"/>
      <c r="DQ36" s="292"/>
      <c r="DR36" s="292"/>
      <c r="DS36" s="292"/>
      <c r="DT36" s="292"/>
      <c r="DU36" s="292"/>
      <c r="DV36" s="292"/>
      <c r="DW36" s="292"/>
      <c r="DX36" s="292"/>
      <c r="DY36" s="292"/>
      <c r="DZ36" s="292"/>
      <c r="EA36" s="292"/>
      <c r="EB36" s="292"/>
      <c r="EC36" s="292"/>
      <c r="ED36" s="292"/>
      <c r="EE36" s="292"/>
      <c r="EF36" s="292"/>
      <c r="EG36" s="292"/>
      <c r="EH36" s="292"/>
      <c r="EI36" s="292"/>
      <c r="EJ36" s="292"/>
      <c r="EK36" s="292"/>
      <c r="EL36" s="292"/>
      <c r="EM36" s="292"/>
      <c r="EN36" s="292"/>
      <c r="EO36" s="292"/>
      <c r="EP36" s="292"/>
      <c r="EQ36" s="292"/>
      <c r="ER36" s="292"/>
      <c r="ES36" s="292"/>
      <c r="ET36" s="292"/>
      <c r="EU36" s="292"/>
      <c r="EV36" s="292"/>
      <c r="EW36" s="292"/>
      <c r="EX36" s="292"/>
      <c r="EY36" s="292"/>
      <c r="EZ36" s="292"/>
      <c r="FA36" s="292"/>
      <c r="FB36" s="292"/>
      <c r="FC36" s="292"/>
      <c r="FD36" s="292"/>
      <c r="FE36" s="292"/>
      <c r="FF36" s="292"/>
      <c r="FG36" s="292"/>
      <c r="FH36" s="292"/>
      <c r="FI36" s="292"/>
      <c r="FJ36" s="292"/>
      <c r="FK36" s="292"/>
      <c r="FL36" s="292"/>
      <c r="FM36" s="292"/>
      <c r="FN36" s="292"/>
      <c r="FO36" s="292"/>
      <c r="FP36" s="292"/>
      <c r="FQ36" s="292"/>
      <c r="FR36" s="292"/>
      <c r="FS36" s="292"/>
      <c r="FT36" s="292"/>
      <c r="FU36" s="292"/>
      <c r="FV36" s="292"/>
      <c r="FW36" s="292"/>
      <c r="FX36" s="292"/>
      <c r="FY36" s="292"/>
      <c r="FZ36" s="292"/>
      <c r="GA36" s="292"/>
      <c r="GB36" s="292"/>
      <c r="GC36" s="292"/>
      <c r="GD36" s="292"/>
      <c r="GE36" s="292"/>
      <c r="GF36" s="292"/>
      <c r="GG36" s="292"/>
      <c r="GH36" s="292"/>
      <c r="GI36" s="292"/>
      <c r="GJ36" s="292"/>
      <c r="GK36" s="292"/>
      <c r="GL36" s="292"/>
      <c r="GM36" s="292"/>
      <c r="GN36" s="292"/>
      <c r="GO36" s="292"/>
      <c r="GP36" s="292"/>
      <c r="GQ36" s="292"/>
      <c r="GR36" s="292"/>
      <c r="GS36" s="292"/>
      <c r="GT36" s="292"/>
      <c r="GU36" s="292"/>
      <c r="GV36" s="292"/>
      <c r="GW36" s="292"/>
      <c r="GX36" s="292"/>
      <c r="GY36" s="292"/>
      <c r="GZ36" s="292"/>
      <c r="HA36" s="292"/>
      <c r="HB36" s="292"/>
      <c r="HC36" s="292"/>
      <c r="HD36" s="292"/>
      <c r="HE36" s="292"/>
      <c r="HF36" s="292"/>
      <c r="HG36" s="292"/>
      <c r="HH36" s="292"/>
      <c r="HI36" s="292"/>
      <c r="HJ36" s="292"/>
      <c r="HK36" s="292"/>
      <c r="HL36" s="292"/>
      <c r="HM36" s="292"/>
      <c r="HN36" s="292"/>
      <c r="HO36" s="292"/>
      <c r="HP36" s="292"/>
      <c r="HQ36" s="292"/>
      <c r="HR36" s="292"/>
      <c r="HS36" s="292"/>
      <c r="HT36" s="292"/>
      <c r="HU36" s="292"/>
      <c r="HV36" s="292"/>
      <c r="HW36" s="292"/>
      <c r="HX36" s="292"/>
      <c r="HY36" s="292"/>
      <c r="HZ36" s="292"/>
      <c r="IA36" s="292"/>
      <c r="IB36" s="292"/>
      <c r="IC36" s="292"/>
      <c r="ID36" s="292"/>
      <c r="IE36" s="292"/>
      <c r="IF36" s="292"/>
      <c r="IG36" s="292"/>
      <c r="IH36" s="292"/>
      <c r="II36" s="292"/>
      <c r="IJ36" s="292"/>
      <c r="IK36" s="292"/>
      <c r="IL36" s="292"/>
      <c r="IM36" s="292"/>
      <c r="IN36" s="292"/>
      <c r="IO36" s="292"/>
      <c r="IP36" s="292"/>
      <c r="IQ36" s="292"/>
      <c r="IR36" s="292"/>
      <c r="IS36" s="292"/>
      <c r="IT36" s="292"/>
      <c r="IU36" s="292"/>
      <c r="IV36" s="292"/>
      <c r="IW36" s="292"/>
      <c r="IX36" s="292"/>
      <c r="IY36" s="292"/>
      <c r="IZ36" s="292"/>
      <c r="JA36" s="292"/>
      <c r="JB36" s="292"/>
      <c r="JC36" s="292"/>
      <c r="JD36" s="292"/>
      <c r="JE36" s="292"/>
      <c r="JF36" s="292"/>
      <c r="JG36" s="292"/>
      <c r="JH36" s="292"/>
      <c r="JI36" s="292"/>
      <c r="JJ36" s="292"/>
      <c r="JK36" s="292"/>
      <c r="JL36" s="292"/>
      <c r="JM36" s="292"/>
      <c r="JN36" s="292"/>
      <c r="JO36" s="292"/>
      <c r="JP36" s="292"/>
      <c r="JQ36" s="292"/>
      <c r="JR36" s="292"/>
      <c r="JS36" s="292"/>
      <c r="JT36" s="292"/>
      <c r="JU36" s="292"/>
      <c r="JV36" s="292"/>
      <c r="JW36" s="292"/>
      <c r="JX36" s="292"/>
      <c r="JY36" s="292"/>
      <c r="JZ36" s="292"/>
      <c r="KA36" s="292"/>
      <c r="KB36" s="292"/>
      <c r="KC36" s="292"/>
      <c r="KD36" s="292"/>
      <c r="KE36" s="292"/>
      <c r="KF36" s="292"/>
      <c r="KG36" s="292"/>
      <c r="KH36" s="292"/>
      <c r="KI36" s="292"/>
      <c r="KJ36" s="292"/>
      <c r="KK36" s="292"/>
      <c r="KL36" s="292"/>
      <c r="KM36" s="292"/>
      <c r="KN36" s="292"/>
      <c r="KO36" s="292"/>
      <c r="KP36" s="292"/>
      <c r="KQ36" s="292"/>
      <c r="KR36" s="292"/>
      <c r="KS36" s="292"/>
      <c r="KT36" s="292"/>
      <c r="KU36" s="292"/>
      <c r="KV36" s="292"/>
      <c r="KW36" s="292"/>
      <c r="KX36" s="292"/>
      <c r="KY36" s="292"/>
      <c r="KZ36" s="292"/>
      <c r="LA36" s="292"/>
      <c r="LB36" s="292"/>
      <c r="LC36" s="292"/>
      <c r="LD36" s="292"/>
      <c r="LE36" s="292"/>
      <c r="LF36" s="292"/>
      <c r="LG36" s="292"/>
      <c r="LH36" s="292"/>
      <c r="LI36" s="292"/>
      <c r="LJ36" s="292"/>
      <c r="LK36" s="292"/>
      <c r="LL36" s="292"/>
      <c r="LM36" s="292"/>
      <c r="LN36" s="292"/>
      <c r="LO36" s="292"/>
      <c r="LP36" s="292"/>
      <c r="LQ36" s="292"/>
      <c r="LR36" s="292"/>
      <c r="LS36" s="292"/>
      <c r="LT36" s="292"/>
      <c r="LU36" s="292"/>
      <c r="LV36" s="292"/>
      <c r="LW36" s="292"/>
      <c r="LX36" s="292"/>
      <c r="LY36" s="292"/>
      <c r="LZ36" s="292"/>
      <c r="MA36" s="292"/>
      <c r="MB36" s="292"/>
      <c r="MC36" s="292"/>
      <c r="MD36" s="292"/>
      <c r="ME36" s="292"/>
      <c r="MF36" s="292"/>
      <c r="MG36" s="292"/>
      <c r="MH36" s="292"/>
      <c r="MI36" s="292"/>
      <c r="MJ36" s="292"/>
      <c r="MK36" s="292"/>
      <c r="ML36" s="292"/>
      <c r="MM36" s="292"/>
      <c r="MN36" s="292"/>
      <c r="MO36" s="292"/>
      <c r="MP36" s="292"/>
      <c r="MQ36" s="292"/>
      <c r="MR36" s="292"/>
      <c r="MS36" s="292"/>
      <c r="MT36" s="292"/>
      <c r="MU36" s="292"/>
      <c r="MV36" s="292"/>
      <c r="MW36" s="292"/>
      <c r="MX36" s="292"/>
      <c r="MY36" s="292"/>
      <c r="MZ36" s="292"/>
      <c r="NA36" s="292"/>
      <c r="NB36" s="292"/>
      <c r="NC36" s="292"/>
      <c r="ND36" s="292"/>
      <c r="NE36" s="292"/>
      <c r="NF36" s="292"/>
      <c r="NG36" s="292"/>
      <c r="NH36" s="292"/>
      <c r="NI36" s="292"/>
      <c r="NJ36" s="292"/>
      <c r="NK36" s="292"/>
      <c r="NL36" s="292"/>
      <c r="NM36" s="292"/>
      <c r="NN36" s="292"/>
      <c r="NO36" s="292"/>
      <c r="NP36" s="292"/>
      <c r="NQ36" s="292"/>
      <c r="NR36" s="292"/>
      <c r="NS36" s="292"/>
      <c r="NT36" s="292"/>
      <c r="NU36" s="292"/>
      <c r="NV36" s="292"/>
      <c r="NW36" s="292"/>
      <c r="NX36" s="292"/>
      <c r="NY36" s="292"/>
      <c r="NZ36" s="292"/>
      <c r="OA36" s="292"/>
      <c r="OB36" s="292"/>
      <c r="OC36" s="292"/>
      <c r="OD36" s="292"/>
      <c r="OE36" s="292"/>
      <c r="OF36" s="292"/>
      <c r="OG36" s="292"/>
      <c r="OH36" s="292"/>
      <c r="OI36" s="292"/>
      <c r="OJ36" s="292"/>
      <c r="OK36" s="292"/>
      <c r="OL36" s="292"/>
      <c r="OM36" s="292"/>
      <c r="ON36" s="292"/>
      <c r="OO36" s="292"/>
      <c r="OP36" s="292"/>
      <c r="OQ36" s="292"/>
      <c r="OR36" s="292"/>
      <c r="OS36" s="292"/>
      <c r="OT36" s="292"/>
      <c r="OU36" s="292"/>
      <c r="OV36" s="292"/>
      <c r="OW36" s="292"/>
      <c r="OX36" s="292"/>
      <c r="OY36" s="292"/>
      <c r="OZ36" s="292"/>
      <c r="PA36" s="292"/>
      <c r="PB36" s="292"/>
      <c r="PC36" s="292"/>
      <c r="PD36" s="292"/>
      <c r="PE36" s="292"/>
      <c r="PF36" s="292"/>
      <c r="PG36" s="292"/>
      <c r="PH36" s="292"/>
      <c r="PI36" s="292"/>
      <c r="PJ36" s="292"/>
      <c r="PK36" s="292"/>
      <c r="PL36" s="292"/>
      <c r="PM36" s="292"/>
      <c r="PN36" s="292"/>
      <c r="PO36" s="292"/>
      <c r="PP36" s="292"/>
      <c r="PQ36" s="292"/>
      <c r="PR36" s="292"/>
      <c r="PS36" s="292"/>
      <c r="PT36" s="292"/>
      <c r="PU36" s="292"/>
      <c r="PV36" s="292"/>
      <c r="PW36" s="292"/>
      <c r="PX36" s="292"/>
      <c r="PY36" s="292"/>
      <c r="PZ36" s="292"/>
      <c r="QA36" s="292"/>
      <c r="QB36" s="292"/>
      <c r="QC36" s="292"/>
      <c r="QD36" s="292"/>
      <c r="QE36" s="292"/>
      <c r="QF36" s="292"/>
      <c r="QG36" s="292"/>
      <c r="QH36" s="292"/>
      <c r="QI36" s="292"/>
      <c r="QJ36" s="292"/>
      <c r="QK36" s="292"/>
      <c r="QL36" s="292"/>
      <c r="QM36" s="292"/>
      <c r="QN36" s="292"/>
      <c r="QO36" s="292"/>
      <c r="QP36" s="292"/>
      <c r="QQ36" s="292"/>
      <c r="QR36" s="292"/>
      <c r="QS36" s="292"/>
      <c r="QT36" s="292"/>
      <c r="QU36" s="292"/>
      <c r="QV36" s="292"/>
      <c r="QW36" s="292"/>
      <c r="QX36" s="292"/>
      <c r="QY36" s="292"/>
      <c r="QZ36" s="292"/>
      <c r="RA36" s="292"/>
      <c r="RB36" s="292"/>
      <c r="RC36" s="292"/>
      <c r="RD36" s="292"/>
      <c r="RE36" s="292"/>
      <c r="RF36" s="292"/>
      <c r="RG36" s="292"/>
      <c r="RH36" s="292"/>
      <c r="RI36" s="292"/>
      <c r="RJ36" s="292"/>
      <c r="RK36" s="292"/>
      <c r="RL36" s="292"/>
      <c r="RM36" s="292"/>
      <c r="RN36" s="292"/>
      <c r="RO36" s="292"/>
      <c r="RP36" s="292"/>
      <c r="RQ36" s="292"/>
      <c r="RR36" s="292"/>
      <c r="RS36" s="292"/>
      <c r="RT36" s="292"/>
      <c r="RU36" s="292"/>
      <c r="RV36" s="292"/>
      <c r="RW36" s="292"/>
      <c r="RX36" s="292"/>
      <c r="RY36" s="292"/>
      <c r="RZ36" s="292"/>
      <c r="SA36" s="292"/>
      <c r="SB36" s="292"/>
      <c r="SC36" s="292"/>
      <c r="SD36" s="292"/>
      <c r="SE36" s="292"/>
      <c r="SF36" s="292"/>
      <c r="SG36" s="292"/>
      <c r="SH36" s="292"/>
      <c r="SI36" s="292"/>
      <c r="SJ36" s="292"/>
      <c r="SK36" s="292"/>
      <c r="SL36" s="292"/>
      <c r="SM36" s="292"/>
      <c r="SN36" s="292"/>
      <c r="SO36" s="292"/>
      <c r="SP36" s="292"/>
      <c r="SQ36" s="292"/>
      <c r="SR36" s="292"/>
      <c r="SS36" s="292"/>
      <c r="ST36" s="292"/>
      <c r="SU36" s="292"/>
      <c r="SV36" s="292"/>
      <c r="SW36" s="292"/>
      <c r="SX36" s="292"/>
      <c r="SY36" s="292"/>
      <c r="SZ36" s="292"/>
      <c r="TA36" s="292"/>
      <c r="TB36" s="292"/>
      <c r="TC36" s="292"/>
      <c r="TD36" s="292"/>
      <c r="TE36" s="292"/>
      <c r="TF36" s="292"/>
      <c r="TG36" s="292"/>
      <c r="TH36" s="292"/>
      <c r="TI36" s="292"/>
      <c r="TJ36" s="292"/>
      <c r="TK36" s="292"/>
      <c r="TL36" s="292"/>
      <c r="TM36" s="292"/>
      <c r="TN36" s="292"/>
      <c r="TO36" s="292"/>
      <c r="TP36" s="292"/>
      <c r="TQ36" s="292"/>
      <c r="TR36" s="292"/>
      <c r="TS36" s="292"/>
      <c r="TT36" s="292"/>
      <c r="TU36" s="292"/>
      <c r="TV36" s="292"/>
      <c r="TW36" s="292"/>
      <c r="TX36" s="292"/>
      <c r="TY36" s="292"/>
      <c r="TZ36" s="292"/>
      <c r="UA36" s="292"/>
      <c r="UB36" s="292"/>
      <c r="UC36" s="292"/>
      <c r="UD36" s="292"/>
      <c r="UE36" s="292"/>
      <c r="UF36" s="292"/>
      <c r="UG36" s="292"/>
      <c r="UH36" s="292"/>
      <c r="UI36" s="292"/>
      <c r="UJ36" s="292"/>
      <c r="UK36" s="292"/>
      <c r="UL36" s="292"/>
      <c r="UM36" s="292"/>
      <c r="UN36" s="292"/>
      <c r="UO36" s="292"/>
      <c r="UP36" s="292"/>
      <c r="UQ36" s="292"/>
      <c r="UR36" s="292"/>
      <c r="US36" s="292"/>
      <c r="UT36" s="292"/>
      <c r="UU36" s="292"/>
      <c r="UV36" s="292"/>
      <c r="UW36" s="292"/>
      <c r="UX36" s="292"/>
      <c r="UY36" s="292"/>
      <c r="UZ36" s="292"/>
      <c r="VA36" s="292"/>
      <c r="VB36" s="292"/>
      <c r="VC36" s="292"/>
      <c r="VD36" s="292"/>
      <c r="VE36" s="292"/>
      <c r="VF36" s="292"/>
      <c r="VG36" s="292"/>
      <c r="VH36" s="292"/>
      <c r="VI36" s="292"/>
      <c r="VJ36" s="292"/>
      <c r="VK36" s="292"/>
      <c r="VL36" s="292"/>
      <c r="VM36" s="292"/>
      <c r="VN36" s="292"/>
      <c r="VO36" s="292"/>
      <c r="VP36" s="292"/>
      <c r="VQ36" s="292"/>
      <c r="VR36" s="292"/>
      <c r="VS36" s="292"/>
      <c r="VT36" s="292"/>
      <c r="VU36" s="292"/>
      <c r="VV36" s="292"/>
      <c r="VW36" s="292"/>
      <c r="VX36" s="292"/>
      <c r="VY36" s="292"/>
      <c r="VZ36" s="292"/>
      <c r="WA36" s="292"/>
      <c r="WB36" s="292"/>
      <c r="WC36" s="292"/>
      <c r="WD36" s="292"/>
      <c r="WE36" s="292"/>
      <c r="WF36" s="292"/>
      <c r="WG36" s="292"/>
      <c r="WH36" s="292"/>
      <c r="WI36" s="292"/>
      <c r="WJ36" s="292"/>
      <c r="WK36" s="292"/>
      <c r="WL36" s="292"/>
      <c r="WM36" s="292"/>
      <c r="WN36" s="292"/>
      <c r="WO36" s="292"/>
      <c r="WP36" s="292"/>
      <c r="WQ36" s="292"/>
      <c r="WR36" s="292"/>
      <c r="WS36" s="292"/>
      <c r="WT36" s="292"/>
      <c r="WU36" s="292"/>
      <c r="WV36" s="292"/>
      <c r="WW36" s="292"/>
      <c r="WX36" s="292"/>
      <c r="WY36" s="292"/>
      <c r="WZ36" s="292"/>
      <c r="XA36" s="292"/>
      <c r="XB36" s="292"/>
      <c r="XC36" s="292"/>
      <c r="XD36" s="292"/>
      <c r="XE36" s="292"/>
      <c r="XF36" s="292"/>
      <c r="XG36" s="292"/>
      <c r="XH36" s="292"/>
      <c r="XI36" s="292"/>
      <c r="XJ36" s="292"/>
      <c r="XK36" s="292"/>
      <c r="XL36" s="292"/>
      <c r="XM36" s="292"/>
      <c r="XN36" s="292"/>
      <c r="XO36" s="292"/>
      <c r="XP36" s="292"/>
      <c r="XQ36" s="292"/>
      <c r="XR36" s="292"/>
      <c r="XS36" s="292"/>
      <c r="XT36" s="292"/>
      <c r="XU36" s="292"/>
      <c r="XV36" s="292"/>
      <c r="XW36" s="292"/>
      <c r="XX36" s="292"/>
      <c r="XY36" s="292"/>
      <c r="XZ36" s="292"/>
      <c r="YA36" s="292"/>
      <c r="YB36" s="292"/>
      <c r="YC36" s="292"/>
      <c r="YD36" s="292"/>
      <c r="YE36" s="292"/>
      <c r="YF36" s="292"/>
      <c r="YG36" s="292"/>
      <c r="YH36" s="292"/>
      <c r="YI36" s="292"/>
      <c r="YJ36" s="292"/>
      <c r="YK36" s="292"/>
      <c r="YL36" s="292"/>
      <c r="YM36" s="292"/>
      <c r="YN36" s="292"/>
      <c r="YO36" s="292"/>
      <c r="YP36" s="292"/>
      <c r="YQ36" s="292"/>
      <c r="YR36" s="292"/>
      <c r="YS36" s="292"/>
      <c r="YT36" s="292"/>
      <c r="YU36" s="292"/>
      <c r="YV36" s="292"/>
      <c r="YW36" s="292"/>
      <c r="YX36" s="292"/>
      <c r="YY36" s="292"/>
      <c r="YZ36" s="292"/>
      <c r="ZA36" s="292"/>
      <c r="ZB36" s="292"/>
      <c r="ZC36" s="292"/>
      <c r="ZD36" s="292"/>
      <c r="ZE36" s="292"/>
      <c r="ZF36" s="292"/>
      <c r="ZG36" s="292"/>
      <c r="ZH36" s="292"/>
      <c r="ZI36" s="292"/>
      <c r="ZJ36" s="292"/>
      <c r="ZK36" s="292"/>
      <c r="ZL36" s="292"/>
      <c r="ZM36" s="292"/>
      <c r="ZN36" s="292"/>
      <c r="ZO36" s="292"/>
      <c r="ZP36" s="292"/>
      <c r="ZQ36" s="292"/>
      <c r="ZR36" s="292"/>
      <c r="ZS36" s="292"/>
      <c r="ZT36" s="292"/>
      <c r="ZU36" s="292"/>
      <c r="ZV36" s="292"/>
      <c r="ZW36" s="292"/>
      <c r="ZX36" s="292"/>
      <c r="ZY36" s="292"/>
      <c r="ZZ36" s="292"/>
      <c r="AAA36" s="292"/>
      <c r="AAB36" s="292"/>
      <c r="AAC36" s="292"/>
      <c r="AAD36" s="292"/>
      <c r="AAE36" s="292"/>
      <c r="AAF36" s="292"/>
      <c r="AAG36" s="292"/>
      <c r="AAH36" s="292"/>
      <c r="AAI36" s="292"/>
      <c r="AAJ36" s="292"/>
      <c r="AAK36" s="292"/>
      <c r="AAL36" s="292"/>
      <c r="AAM36" s="292"/>
      <c r="AAN36" s="292"/>
      <c r="AAO36" s="292"/>
      <c r="AAP36" s="292"/>
      <c r="AAQ36" s="292"/>
      <c r="AAR36" s="292"/>
      <c r="AAS36" s="292"/>
      <c r="AAT36" s="292"/>
      <c r="AAU36" s="292"/>
      <c r="AAV36" s="292"/>
      <c r="AAW36" s="292"/>
      <c r="AAX36" s="292"/>
      <c r="AAY36" s="292"/>
      <c r="AAZ36" s="292"/>
      <c r="ABA36" s="292"/>
      <c r="ABB36" s="292"/>
      <c r="ABC36" s="292"/>
      <c r="ABD36" s="292"/>
      <c r="ABE36" s="292"/>
      <c r="ABF36" s="292"/>
      <c r="ABG36" s="292"/>
      <c r="ABH36" s="292"/>
      <c r="ABI36" s="292"/>
      <c r="ABJ36" s="292"/>
      <c r="ABK36" s="292"/>
      <c r="ABL36" s="292"/>
      <c r="ABM36" s="292"/>
      <c r="ABN36" s="292"/>
      <c r="ABO36" s="292"/>
      <c r="ABP36" s="292"/>
      <c r="ABQ36" s="292"/>
      <c r="ABR36" s="292"/>
      <c r="ABS36" s="292"/>
      <c r="ABT36" s="292"/>
      <c r="ABU36" s="292"/>
      <c r="ABV36" s="292"/>
      <c r="ABW36" s="292"/>
      <c r="ABX36" s="292"/>
      <c r="ABY36" s="292"/>
      <c r="ABZ36" s="292"/>
      <c r="ACA36" s="292"/>
      <c r="ACB36" s="292"/>
      <c r="ACC36" s="292"/>
      <c r="ACD36" s="292"/>
      <c r="ACE36" s="292"/>
      <c r="ACF36" s="292"/>
      <c r="ACG36" s="292"/>
      <c r="ACH36" s="292"/>
      <c r="ACI36" s="292"/>
      <c r="ACJ36" s="292"/>
      <c r="ACK36" s="292"/>
      <c r="ACL36" s="292"/>
      <c r="ACM36" s="292"/>
      <c r="ACN36" s="292"/>
      <c r="ACO36" s="292"/>
      <c r="ACP36" s="292"/>
      <c r="ACQ36" s="292"/>
      <c r="ACR36" s="292"/>
      <c r="ACS36" s="292"/>
      <c r="ACT36" s="292"/>
      <c r="ACU36" s="292"/>
      <c r="ACV36" s="292"/>
      <c r="ACW36" s="292"/>
      <c r="ACX36" s="292"/>
      <c r="ACY36" s="292"/>
      <c r="ACZ36" s="292"/>
      <c r="ADA36" s="292"/>
      <c r="ADB36" s="292"/>
      <c r="ADC36" s="292"/>
      <c r="ADD36" s="292"/>
      <c r="ADE36" s="292"/>
      <c r="ADF36" s="292"/>
      <c r="ADG36" s="292"/>
      <c r="ADH36" s="292"/>
      <c r="ADI36" s="292"/>
      <c r="ADJ36" s="292"/>
      <c r="ADK36" s="292"/>
      <c r="ADL36" s="292"/>
      <c r="ADM36" s="292"/>
      <c r="ADN36" s="292"/>
      <c r="ADO36" s="292"/>
      <c r="ADP36" s="292"/>
      <c r="ADQ36" s="292"/>
      <c r="ADR36" s="292"/>
      <c r="ADS36" s="292"/>
      <c r="ADT36" s="292"/>
      <c r="ADU36" s="292"/>
      <c r="ADV36" s="292"/>
      <c r="ADW36" s="292"/>
      <c r="ADX36" s="292"/>
      <c r="ADY36" s="292"/>
      <c r="ADZ36" s="292"/>
      <c r="AEA36" s="292"/>
      <c r="AEB36" s="292"/>
      <c r="AEC36" s="292"/>
      <c r="AED36" s="292"/>
      <c r="AEE36" s="292"/>
      <c r="AEF36" s="292"/>
      <c r="AEG36" s="292"/>
      <c r="AEH36" s="292"/>
      <c r="AEI36" s="292"/>
      <c r="AEJ36" s="292"/>
      <c r="AEK36" s="292"/>
      <c r="AEL36" s="292"/>
      <c r="AEM36" s="292"/>
      <c r="AEN36" s="292"/>
      <c r="AEO36" s="292"/>
      <c r="AEP36" s="292"/>
      <c r="AEQ36" s="292"/>
      <c r="AER36" s="292"/>
      <c r="AES36" s="292"/>
      <c r="AET36" s="292"/>
      <c r="AEU36" s="292"/>
      <c r="AEV36" s="292"/>
      <c r="AEW36" s="292"/>
      <c r="AEX36" s="292"/>
      <c r="AEY36" s="292"/>
      <c r="AEZ36" s="292"/>
      <c r="AFA36" s="292"/>
      <c r="AFB36" s="292"/>
      <c r="AFC36" s="292"/>
      <c r="AFD36" s="292"/>
      <c r="AFE36" s="292"/>
      <c r="AFF36" s="292"/>
      <c r="AFG36" s="292"/>
      <c r="AFH36" s="292"/>
      <c r="AFI36" s="292"/>
      <c r="AFJ36" s="292"/>
      <c r="AFK36" s="292"/>
      <c r="AFL36" s="292"/>
      <c r="AFM36" s="292"/>
      <c r="AFN36" s="292"/>
      <c r="AFO36" s="292"/>
      <c r="AFP36" s="292"/>
      <c r="AFQ36" s="292"/>
      <c r="AFR36" s="292"/>
      <c r="AFS36" s="292"/>
      <c r="AFT36" s="292"/>
      <c r="AFU36" s="292"/>
      <c r="AFV36" s="292"/>
      <c r="AFW36" s="292"/>
      <c r="AFX36" s="292"/>
      <c r="AFY36" s="292"/>
      <c r="AFZ36" s="292"/>
      <c r="AGA36" s="292"/>
      <c r="AGB36" s="292"/>
      <c r="AGC36" s="292"/>
      <c r="AGD36" s="292"/>
      <c r="AGE36" s="292"/>
      <c r="AGF36" s="292"/>
      <c r="AGG36" s="292"/>
      <c r="AGH36" s="292"/>
      <c r="AGI36" s="292"/>
      <c r="AGJ36" s="292"/>
      <c r="AGK36" s="292"/>
      <c r="AGL36" s="292"/>
      <c r="AGM36" s="292"/>
      <c r="AGN36" s="292"/>
      <c r="AGO36" s="292"/>
      <c r="AGP36" s="292"/>
      <c r="AGQ36" s="292"/>
      <c r="AGR36" s="292"/>
      <c r="AGS36" s="292"/>
      <c r="AGT36" s="292"/>
      <c r="AGU36" s="292"/>
      <c r="AGV36" s="292"/>
      <c r="AGW36" s="292"/>
      <c r="AGX36" s="292"/>
      <c r="AGY36" s="292"/>
      <c r="AGZ36" s="292"/>
      <c r="AHA36" s="292"/>
      <c r="AHB36" s="292"/>
      <c r="AHC36" s="292"/>
      <c r="AHD36" s="292"/>
      <c r="AHE36" s="292"/>
      <c r="AHF36" s="292"/>
      <c r="AHG36" s="292"/>
      <c r="AHH36" s="292"/>
      <c r="AHI36" s="292"/>
      <c r="AHJ36" s="292"/>
      <c r="AHK36" s="292"/>
      <c r="AHL36" s="292"/>
      <c r="AHM36" s="292"/>
      <c r="AHN36" s="292"/>
      <c r="AHO36" s="292"/>
      <c r="AHP36" s="292"/>
      <c r="AHQ36" s="292"/>
      <c r="AHR36" s="292"/>
      <c r="AHS36" s="292"/>
      <c r="AHT36" s="292"/>
      <c r="AHU36" s="292"/>
      <c r="AHV36" s="292"/>
      <c r="AHW36" s="292"/>
      <c r="AHX36" s="292"/>
      <c r="AHY36" s="292"/>
      <c r="AHZ36" s="292"/>
      <c r="AIA36" s="292"/>
      <c r="AIB36" s="292"/>
      <c r="AIC36" s="292"/>
      <c r="AID36" s="292"/>
      <c r="AIE36" s="292"/>
      <c r="AIF36" s="292"/>
      <c r="AIG36" s="292"/>
      <c r="AIH36" s="292"/>
      <c r="AII36" s="292"/>
      <c r="AIJ36" s="292"/>
      <c r="AIK36" s="292"/>
      <c r="AIL36" s="292"/>
      <c r="AIM36" s="292"/>
      <c r="AIN36" s="292"/>
      <c r="AIO36" s="292"/>
      <c r="AIP36" s="292"/>
      <c r="AIQ36" s="292"/>
      <c r="AIR36" s="292"/>
      <c r="AIS36" s="292"/>
      <c r="AIT36" s="292"/>
      <c r="AIU36" s="292"/>
      <c r="AIV36" s="292"/>
      <c r="AIW36" s="292"/>
      <c r="AIX36" s="292"/>
      <c r="AIY36" s="292"/>
      <c r="AIZ36" s="292"/>
      <c r="AJA36" s="292"/>
      <c r="AJB36" s="292"/>
      <c r="AJC36" s="292"/>
      <c r="AJD36" s="292"/>
      <c r="AJE36" s="292"/>
      <c r="AJF36" s="292"/>
      <c r="AJG36" s="292"/>
      <c r="AJH36" s="292"/>
      <c r="AJI36" s="292"/>
      <c r="AJJ36" s="292"/>
      <c r="AJK36" s="292"/>
      <c r="AJL36" s="292"/>
      <c r="AJM36" s="292"/>
      <c r="AJN36" s="292"/>
      <c r="AJO36" s="292"/>
      <c r="AJP36" s="292"/>
      <c r="AJQ36" s="292"/>
      <c r="AJR36" s="292"/>
      <c r="AJS36" s="292"/>
      <c r="AJT36" s="292"/>
      <c r="AJU36" s="292"/>
      <c r="AJV36" s="292"/>
      <c r="AJW36" s="292"/>
      <c r="AJX36" s="292"/>
      <c r="AJY36" s="292"/>
      <c r="AJZ36" s="292"/>
      <c r="AKA36" s="292"/>
      <c r="AKB36" s="292"/>
      <c r="AKC36" s="292"/>
      <c r="AKD36" s="292"/>
      <c r="AKE36" s="292"/>
      <c r="AKF36" s="292"/>
      <c r="AKG36" s="292"/>
      <c r="AKH36" s="292"/>
      <c r="AKI36" s="292"/>
      <c r="AKJ36" s="292"/>
      <c r="AKK36" s="292"/>
      <c r="AKL36" s="292"/>
      <c r="AKM36" s="292"/>
      <c r="AKN36" s="292"/>
      <c r="AKO36" s="292"/>
      <c r="AKP36" s="292"/>
      <c r="AKQ36" s="292"/>
      <c r="AKR36" s="292"/>
      <c r="AKS36" s="292"/>
      <c r="AKT36" s="292"/>
      <c r="AKU36" s="292"/>
      <c r="AKV36" s="292"/>
      <c r="AKW36" s="292"/>
      <c r="AKX36" s="292"/>
      <c r="AKY36" s="292"/>
      <c r="AKZ36" s="292"/>
      <c r="ALA36" s="292"/>
      <c r="ALB36" s="292"/>
      <c r="ALC36" s="292"/>
      <c r="ALD36" s="292"/>
      <c r="ALE36" s="292"/>
      <c r="ALF36" s="292"/>
      <c r="ALG36" s="292"/>
      <c r="ALH36" s="292"/>
      <c r="ALI36" s="292"/>
      <c r="ALJ36" s="292"/>
      <c r="ALK36" s="292"/>
      <c r="ALL36" s="292"/>
      <c r="ALM36" s="292"/>
      <c r="ALN36" s="292"/>
      <c r="ALO36" s="292"/>
      <c r="ALP36" s="292"/>
      <c r="ALQ36" s="292"/>
      <c r="ALR36" s="292"/>
      <c r="ALS36" s="292"/>
      <c r="ALT36" s="292"/>
      <c r="ALU36" s="292"/>
      <c r="ALV36" s="292"/>
      <c r="ALW36" s="292"/>
      <c r="ALX36" s="292"/>
      <c r="ALY36" s="292"/>
      <c r="ALZ36" s="292"/>
      <c r="AMA36" s="292"/>
      <c r="AMB36" s="292"/>
      <c r="AMC36" s="292"/>
      <c r="AMD36" s="292"/>
      <c r="AME36" s="292"/>
      <c r="AMF36" s="292"/>
      <c r="AMG36" s="292"/>
      <c r="AMH36" s="292"/>
      <c r="AMI36" s="292"/>
      <c r="AMJ36" s="292"/>
      <c r="AMK36" s="292"/>
      <c r="AML36" s="292"/>
      <c r="AMM36" s="292"/>
      <c r="AMN36" s="292"/>
      <c r="AMO36" s="292"/>
      <c r="AMP36" s="292"/>
      <c r="AMQ36" s="292"/>
      <c r="AMR36" s="292"/>
      <c r="AMS36" s="292"/>
      <c r="AMT36" s="292"/>
      <c r="AMU36" s="292"/>
      <c r="AMV36" s="292"/>
      <c r="AMW36" s="292"/>
      <c r="AMX36" s="292"/>
      <c r="AMY36" s="292"/>
      <c r="AMZ36" s="292"/>
      <c r="ANA36" s="292"/>
      <c r="ANB36" s="292"/>
      <c r="ANC36" s="292"/>
      <c r="AND36" s="292"/>
      <c r="ANE36" s="292"/>
      <c r="ANF36" s="292"/>
      <c r="ANG36" s="292"/>
      <c r="ANH36" s="292"/>
      <c r="ANI36" s="292"/>
      <c r="ANJ36" s="292"/>
      <c r="ANK36" s="292"/>
      <c r="ANL36" s="292"/>
      <c r="ANM36" s="292"/>
      <c r="ANN36" s="292"/>
      <c r="ANO36" s="292"/>
      <c r="ANP36" s="292"/>
      <c r="ANQ36" s="292"/>
      <c r="ANR36" s="292"/>
      <c r="ANS36" s="292"/>
      <c r="ANT36" s="292"/>
      <c r="ANU36" s="292"/>
      <c r="ANV36" s="292"/>
      <c r="ANW36" s="292"/>
      <c r="ANX36" s="292"/>
      <c r="ANY36" s="292"/>
      <c r="ANZ36" s="292"/>
      <c r="AOA36" s="292"/>
      <c r="AOB36" s="292"/>
      <c r="AOC36" s="292"/>
      <c r="AOD36" s="292"/>
      <c r="AOE36" s="292"/>
      <c r="AOF36" s="292"/>
      <c r="AOG36" s="292"/>
      <c r="AOH36" s="292"/>
      <c r="AOI36" s="292"/>
      <c r="AOJ36" s="292"/>
      <c r="AOK36" s="292"/>
      <c r="AOL36" s="292"/>
      <c r="AOM36" s="292"/>
      <c r="AON36" s="292"/>
      <c r="AOO36" s="292"/>
      <c r="AOP36" s="292"/>
      <c r="AOQ36" s="292"/>
      <c r="AOR36" s="292"/>
      <c r="AOS36" s="292"/>
      <c r="AOT36" s="292"/>
      <c r="AOU36" s="292"/>
      <c r="AOV36" s="292"/>
      <c r="AOW36" s="292"/>
      <c r="AOX36" s="292"/>
      <c r="AOY36" s="292"/>
      <c r="AOZ36" s="292"/>
      <c r="APA36" s="292"/>
      <c r="APB36" s="292"/>
      <c r="APC36" s="292"/>
      <c r="APD36" s="292"/>
      <c r="APE36" s="292"/>
      <c r="APF36" s="292"/>
      <c r="APG36" s="292"/>
      <c r="APH36" s="292"/>
      <c r="API36" s="292"/>
      <c r="APJ36" s="292"/>
      <c r="APK36" s="292"/>
      <c r="APL36" s="292"/>
      <c r="APM36" s="292"/>
      <c r="APN36" s="292"/>
      <c r="APO36" s="292"/>
      <c r="APP36" s="292"/>
      <c r="APQ36" s="292"/>
      <c r="APR36" s="292"/>
      <c r="APS36" s="292"/>
      <c r="APT36" s="292"/>
      <c r="APU36" s="292"/>
      <c r="APV36" s="292"/>
      <c r="APW36" s="292"/>
      <c r="APX36" s="292"/>
      <c r="APY36" s="292"/>
      <c r="APZ36" s="292"/>
      <c r="AQA36" s="292"/>
      <c r="AQB36" s="292"/>
      <c r="AQC36" s="292"/>
      <c r="AQD36" s="292"/>
      <c r="AQE36" s="292"/>
      <c r="AQF36" s="292"/>
      <c r="AQG36" s="292"/>
      <c r="AQH36" s="292"/>
      <c r="AQI36" s="292"/>
      <c r="AQJ36" s="292"/>
      <c r="AQK36" s="292"/>
      <c r="AQL36" s="292"/>
      <c r="AQM36" s="292"/>
      <c r="AQN36" s="292"/>
      <c r="AQO36" s="292"/>
      <c r="AQP36" s="292"/>
      <c r="AQQ36" s="292"/>
      <c r="AQR36" s="292"/>
      <c r="AQS36" s="292"/>
      <c r="AQT36" s="292"/>
      <c r="AQU36" s="292"/>
      <c r="AQV36" s="292"/>
      <c r="AQW36" s="292"/>
      <c r="AQX36" s="292"/>
      <c r="AQY36" s="292"/>
      <c r="AQZ36" s="292"/>
      <c r="ARA36" s="292"/>
      <c r="ARB36" s="292"/>
      <c r="ARC36" s="292"/>
      <c r="ARD36" s="292"/>
      <c r="ARE36" s="292"/>
      <c r="ARF36" s="292"/>
      <c r="ARG36" s="292"/>
      <c r="ARH36" s="292"/>
      <c r="ARI36" s="292"/>
      <c r="ARJ36" s="292"/>
      <c r="ARK36" s="292"/>
      <c r="ARL36" s="292"/>
      <c r="ARM36" s="292"/>
      <c r="ARN36" s="292"/>
      <c r="ARO36" s="292"/>
      <c r="ARP36" s="292"/>
      <c r="ARQ36" s="292"/>
      <c r="ARR36" s="292"/>
      <c r="ARS36" s="292"/>
      <c r="ART36" s="292"/>
      <c r="ARU36" s="292"/>
      <c r="ARV36" s="292"/>
      <c r="ARW36" s="292"/>
      <c r="ARX36" s="292"/>
      <c r="ARY36" s="292"/>
      <c r="ARZ36" s="292"/>
      <c r="ASA36" s="292"/>
      <c r="ASB36" s="292"/>
      <c r="ASC36" s="292"/>
      <c r="ASD36" s="292"/>
      <c r="ASE36" s="292"/>
      <c r="ASF36" s="292"/>
      <c r="ASG36" s="292"/>
      <c r="ASH36" s="292"/>
      <c r="ASI36" s="292"/>
      <c r="ASJ36" s="292"/>
      <c r="ASK36" s="292"/>
      <c r="ASL36" s="292"/>
      <c r="ASM36" s="292"/>
      <c r="ASN36" s="292"/>
      <c r="ASO36" s="292"/>
      <c r="ASP36" s="292"/>
      <c r="ASQ36" s="292"/>
      <c r="ASR36" s="292"/>
      <c r="ASS36" s="292"/>
      <c r="AST36" s="292"/>
      <c r="ASU36" s="292"/>
      <c r="ASV36" s="292"/>
      <c r="ASW36" s="292"/>
      <c r="ASX36" s="292"/>
      <c r="ASY36" s="292"/>
      <c r="ASZ36" s="292"/>
      <c r="ATA36" s="292"/>
      <c r="ATB36" s="292"/>
      <c r="ATC36" s="292"/>
      <c r="ATD36" s="292"/>
      <c r="ATE36" s="292"/>
      <c r="ATF36" s="292"/>
      <c r="ATG36" s="292"/>
      <c r="ATH36" s="292"/>
      <c r="ATI36" s="292"/>
      <c r="ATJ36" s="292"/>
      <c r="ATK36" s="292"/>
      <c r="ATL36" s="292"/>
      <c r="ATM36" s="292"/>
      <c r="ATN36" s="292"/>
      <c r="ATO36" s="292"/>
      <c r="ATP36" s="292"/>
      <c r="ATQ36" s="292"/>
      <c r="ATR36" s="292"/>
      <c r="ATS36" s="292"/>
      <c r="ATT36" s="292"/>
      <c r="ATU36" s="292"/>
      <c r="ATV36" s="292"/>
      <c r="ATW36" s="292"/>
      <c r="ATX36" s="292"/>
      <c r="ATY36" s="292"/>
      <c r="ATZ36" s="292"/>
      <c r="AUA36" s="292"/>
      <c r="AUB36" s="292"/>
      <c r="AUC36" s="292"/>
      <c r="AUD36" s="292"/>
      <c r="AUE36" s="292"/>
      <c r="AUF36" s="292"/>
      <c r="AUG36" s="292"/>
      <c r="AUH36" s="292"/>
      <c r="AUI36" s="292"/>
      <c r="AUJ36" s="292"/>
      <c r="AUK36" s="292"/>
      <c r="AUL36" s="292"/>
      <c r="AUM36" s="292"/>
      <c r="AUN36" s="292"/>
      <c r="AUO36" s="292"/>
      <c r="AUP36" s="292"/>
      <c r="AUQ36" s="292"/>
      <c r="AUR36" s="292"/>
      <c r="AUS36" s="292"/>
      <c r="AUT36" s="292"/>
      <c r="AUU36" s="292"/>
      <c r="AUV36" s="292"/>
      <c r="AUW36" s="292"/>
      <c r="AUX36" s="292"/>
      <c r="AUY36" s="292"/>
      <c r="AUZ36" s="292"/>
      <c r="AVA36" s="292"/>
      <c r="AVB36" s="292"/>
      <c r="AVC36" s="292"/>
      <c r="AVD36" s="292"/>
      <c r="AVE36" s="292"/>
      <c r="AVF36" s="292"/>
      <c r="AVG36" s="292"/>
      <c r="AVH36" s="292"/>
      <c r="AVI36" s="292"/>
      <c r="AVJ36" s="292"/>
      <c r="AVK36" s="292"/>
      <c r="AVL36" s="292"/>
      <c r="AVM36" s="292"/>
      <c r="AVN36" s="292"/>
      <c r="AVO36" s="292"/>
      <c r="AVP36" s="292"/>
      <c r="AVQ36" s="292"/>
      <c r="AVR36" s="292"/>
      <c r="AVS36" s="292"/>
      <c r="AVT36" s="292"/>
      <c r="AVU36" s="292"/>
      <c r="AVV36" s="292"/>
      <c r="AVW36" s="292"/>
      <c r="AVX36" s="292"/>
      <c r="AVY36" s="292"/>
      <c r="AVZ36" s="292"/>
      <c r="AWA36" s="292"/>
      <c r="AWB36" s="292"/>
      <c r="AWC36" s="292"/>
      <c r="AWD36" s="292"/>
      <c r="AWE36" s="292"/>
      <c r="AWF36" s="292"/>
      <c r="AWG36" s="292"/>
      <c r="AWH36" s="292"/>
      <c r="AWI36" s="292"/>
      <c r="AWJ36" s="292"/>
      <c r="AWK36" s="292"/>
      <c r="AWL36" s="292"/>
      <c r="AWM36" s="292"/>
      <c r="AWN36" s="292"/>
      <c r="AWO36" s="292"/>
      <c r="AWP36" s="292"/>
      <c r="AWQ36" s="292"/>
      <c r="AWR36" s="292"/>
      <c r="AWS36" s="292"/>
      <c r="AWT36" s="292"/>
      <c r="AWU36" s="292"/>
      <c r="AWV36" s="292"/>
      <c r="AWW36" s="292"/>
      <c r="AWX36" s="292"/>
      <c r="AWY36" s="292"/>
      <c r="AWZ36" s="292"/>
      <c r="AXA36" s="292"/>
      <c r="AXB36" s="292"/>
      <c r="AXC36" s="292"/>
      <c r="AXD36" s="292"/>
      <c r="AXE36" s="292"/>
      <c r="AXF36" s="292"/>
      <c r="AXG36" s="292"/>
      <c r="AXH36" s="292"/>
      <c r="AXI36" s="292"/>
      <c r="AXJ36" s="292"/>
      <c r="AXK36" s="292"/>
      <c r="AXL36" s="292"/>
      <c r="AXM36" s="292"/>
      <c r="AXN36" s="292"/>
      <c r="AXO36" s="292"/>
      <c r="AXP36" s="292"/>
      <c r="AXQ36" s="292"/>
      <c r="AXR36" s="292"/>
      <c r="AXS36" s="292"/>
      <c r="AXT36" s="292"/>
      <c r="AXU36" s="292"/>
      <c r="AXV36" s="292"/>
      <c r="AXW36" s="292"/>
      <c r="AXX36" s="292"/>
      <c r="AXY36" s="292"/>
      <c r="AXZ36" s="292"/>
      <c r="AYA36" s="292"/>
      <c r="AYB36" s="292"/>
      <c r="AYC36" s="292"/>
      <c r="AYD36" s="292"/>
      <c r="AYE36" s="292"/>
      <c r="AYF36" s="292"/>
      <c r="AYG36" s="292"/>
      <c r="AYH36" s="292"/>
      <c r="AYI36" s="292"/>
      <c r="AYJ36" s="292"/>
      <c r="AYK36" s="292"/>
      <c r="AYL36" s="292"/>
      <c r="AYM36" s="292"/>
      <c r="AYN36" s="292"/>
      <c r="AYO36" s="292"/>
      <c r="AYP36" s="292"/>
      <c r="AYQ36" s="292"/>
      <c r="AYR36" s="292"/>
      <c r="AYS36" s="292"/>
      <c r="AYT36" s="292"/>
      <c r="AYU36" s="292"/>
      <c r="AYV36" s="292"/>
      <c r="AYW36" s="292"/>
      <c r="AYX36" s="292"/>
      <c r="AYY36" s="292"/>
      <c r="AYZ36" s="292"/>
      <c r="AZA36" s="292"/>
      <c r="AZB36" s="292"/>
      <c r="AZC36" s="292"/>
      <c r="AZD36" s="292"/>
      <c r="AZE36" s="292"/>
      <c r="AZF36" s="292"/>
      <c r="AZG36" s="292"/>
      <c r="AZH36" s="292"/>
      <c r="AZI36" s="292"/>
      <c r="AZJ36" s="292"/>
      <c r="AZK36" s="292"/>
      <c r="AZL36" s="292"/>
      <c r="AZM36" s="292"/>
      <c r="AZN36" s="292"/>
      <c r="AZO36" s="292"/>
      <c r="AZP36" s="292"/>
      <c r="AZQ36" s="292"/>
      <c r="AZR36" s="292"/>
      <c r="AZS36" s="292"/>
      <c r="AZT36" s="292"/>
      <c r="AZU36" s="292"/>
      <c r="AZV36" s="292"/>
      <c r="AZW36" s="292"/>
      <c r="AZX36" s="292"/>
      <c r="AZY36" s="292"/>
      <c r="AZZ36" s="292"/>
      <c r="BAA36" s="292"/>
      <c r="BAB36" s="292"/>
      <c r="BAC36" s="292"/>
      <c r="BAD36" s="292"/>
      <c r="BAE36" s="292"/>
      <c r="BAF36" s="292"/>
      <c r="BAG36" s="292"/>
      <c r="BAH36" s="292"/>
      <c r="BAI36" s="292"/>
      <c r="BAJ36" s="292"/>
      <c r="BAK36" s="292"/>
      <c r="BAL36" s="292"/>
      <c r="BAM36" s="292"/>
      <c r="BAN36" s="292"/>
      <c r="BAO36" s="292"/>
      <c r="BAP36" s="292"/>
      <c r="BAQ36" s="292"/>
      <c r="BAR36" s="292"/>
      <c r="BAS36" s="292"/>
      <c r="BAT36" s="292"/>
      <c r="BAU36" s="292"/>
      <c r="BAV36" s="292"/>
      <c r="BAW36" s="292"/>
      <c r="BAX36" s="292"/>
      <c r="BAY36" s="292"/>
      <c r="BAZ36" s="292"/>
      <c r="BBA36" s="292"/>
      <c r="BBB36" s="292"/>
      <c r="BBC36" s="292"/>
      <c r="BBD36" s="292"/>
      <c r="BBE36" s="292"/>
      <c r="BBF36" s="292"/>
      <c r="BBG36" s="292"/>
      <c r="BBH36" s="292"/>
      <c r="BBI36" s="292"/>
      <c r="BBJ36" s="292"/>
      <c r="BBK36" s="292"/>
      <c r="BBL36" s="292"/>
      <c r="BBM36" s="292"/>
      <c r="BBN36" s="292"/>
      <c r="BBO36" s="292"/>
      <c r="BBP36" s="292"/>
      <c r="BBQ36" s="292"/>
      <c r="BBR36" s="292"/>
      <c r="BBS36" s="292"/>
      <c r="BBT36" s="292"/>
      <c r="BBU36" s="292"/>
      <c r="BBV36" s="292"/>
      <c r="BBW36" s="292"/>
      <c r="BBX36" s="292"/>
      <c r="BBY36" s="292"/>
      <c r="BBZ36" s="292"/>
      <c r="BCA36" s="292"/>
      <c r="BCB36" s="292"/>
      <c r="BCC36" s="292"/>
      <c r="BCD36" s="292"/>
      <c r="BCE36" s="292"/>
      <c r="BCF36" s="292"/>
      <c r="BCG36" s="292"/>
      <c r="BCH36" s="292"/>
      <c r="BCI36" s="292"/>
      <c r="BCJ36" s="292"/>
      <c r="BCK36" s="292"/>
      <c r="BCL36" s="292"/>
      <c r="BCM36" s="292"/>
      <c r="BCN36" s="292"/>
      <c r="BCO36" s="292"/>
      <c r="BCP36" s="292"/>
      <c r="BCQ36" s="292"/>
      <c r="BCR36" s="292"/>
      <c r="BCS36" s="292"/>
      <c r="BCT36" s="292"/>
      <c r="BCU36" s="292"/>
      <c r="BCV36" s="292"/>
      <c r="BCW36" s="292"/>
      <c r="BCX36" s="292"/>
      <c r="BCY36" s="292"/>
      <c r="BCZ36" s="292"/>
      <c r="BDA36" s="292"/>
      <c r="BDB36" s="292"/>
      <c r="BDC36" s="292"/>
      <c r="BDD36" s="292"/>
      <c r="BDE36" s="292"/>
      <c r="BDF36" s="292"/>
      <c r="BDG36" s="292"/>
      <c r="BDH36" s="292"/>
      <c r="BDI36" s="292"/>
      <c r="BDJ36" s="292"/>
      <c r="BDK36" s="292"/>
      <c r="BDL36" s="292"/>
      <c r="BDM36" s="292"/>
      <c r="BDN36" s="292"/>
      <c r="BDO36" s="292"/>
      <c r="BDP36" s="292"/>
      <c r="BDQ36" s="292"/>
      <c r="BDR36" s="292"/>
      <c r="BDS36" s="292"/>
      <c r="BDT36" s="292"/>
      <c r="BDU36" s="292"/>
      <c r="BDV36" s="292"/>
      <c r="BDW36" s="292"/>
      <c r="BDX36" s="292"/>
      <c r="BDY36" s="292"/>
      <c r="BDZ36" s="292"/>
      <c r="BEA36" s="292"/>
      <c r="BEB36" s="292"/>
      <c r="BEC36" s="292"/>
      <c r="BED36" s="292"/>
      <c r="BEE36" s="292"/>
      <c r="BEF36" s="292"/>
      <c r="BEG36" s="292"/>
      <c r="BEH36" s="292"/>
      <c r="BEI36" s="292"/>
      <c r="BEJ36" s="292"/>
      <c r="BEK36" s="292"/>
      <c r="BEL36" s="292"/>
      <c r="BEM36" s="292"/>
      <c r="BEN36" s="292"/>
      <c r="BEO36" s="292"/>
      <c r="BEP36" s="292"/>
      <c r="BEQ36" s="292"/>
      <c r="BER36" s="292"/>
      <c r="BES36" s="292"/>
      <c r="BET36" s="292"/>
      <c r="BEU36" s="292"/>
      <c r="BEV36" s="292"/>
      <c r="BEW36" s="292"/>
      <c r="BEX36" s="292"/>
      <c r="BEY36" s="292"/>
      <c r="BEZ36" s="292"/>
      <c r="BFA36" s="292"/>
      <c r="BFB36" s="292"/>
      <c r="BFC36" s="292"/>
      <c r="BFD36" s="292"/>
      <c r="BFE36" s="292"/>
      <c r="BFF36" s="292"/>
      <c r="BFG36" s="292"/>
      <c r="BFH36" s="292"/>
      <c r="BFI36" s="292"/>
      <c r="BFJ36" s="292"/>
      <c r="BFK36" s="292"/>
      <c r="BFL36" s="292"/>
      <c r="BFM36" s="292"/>
      <c r="BFN36" s="292"/>
      <c r="BFO36" s="292"/>
      <c r="BFP36" s="292"/>
      <c r="BFQ36" s="292"/>
      <c r="BFR36" s="292"/>
      <c r="BFS36" s="292"/>
      <c r="BFT36" s="292"/>
      <c r="BFU36" s="292"/>
      <c r="BFV36" s="292"/>
      <c r="BFW36" s="292"/>
      <c r="BFX36" s="292"/>
      <c r="BFY36" s="292"/>
      <c r="BFZ36" s="292"/>
      <c r="BGA36" s="292"/>
      <c r="BGB36" s="292"/>
      <c r="BGC36" s="292"/>
      <c r="BGD36" s="292"/>
      <c r="BGE36" s="292"/>
      <c r="BGF36" s="292"/>
      <c r="BGG36" s="292"/>
      <c r="BGH36" s="292"/>
      <c r="BGI36" s="292"/>
      <c r="BGJ36" s="292"/>
      <c r="BGK36" s="292"/>
      <c r="BGL36" s="292"/>
      <c r="BGM36" s="292"/>
      <c r="BGN36" s="292"/>
      <c r="BGO36" s="292"/>
      <c r="BGP36" s="292"/>
      <c r="BGQ36" s="292"/>
      <c r="BGR36" s="292"/>
      <c r="BGS36" s="292"/>
      <c r="BGT36" s="292"/>
      <c r="BGU36" s="292"/>
      <c r="BGV36" s="292"/>
      <c r="BGW36" s="292"/>
      <c r="BGX36" s="292"/>
      <c r="BGY36" s="292"/>
      <c r="BGZ36" s="292"/>
      <c r="BHA36" s="292"/>
      <c r="BHB36" s="292"/>
      <c r="BHC36" s="292"/>
      <c r="BHD36" s="292"/>
      <c r="BHE36" s="292"/>
      <c r="BHF36" s="292"/>
      <c r="BHG36" s="292"/>
      <c r="BHH36" s="292"/>
      <c r="BHI36" s="292"/>
      <c r="BHJ36" s="292"/>
      <c r="BHK36" s="292"/>
      <c r="BHL36" s="292"/>
      <c r="BHM36" s="292"/>
      <c r="BHN36" s="292"/>
      <c r="BHO36" s="292"/>
      <c r="BHP36" s="292"/>
      <c r="BHQ36" s="292"/>
      <c r="BHR36" s="292"/>
      <c r="BHS36" s="292"/>
      <c r="BHT36" s="292"/>
      <c r="BHU36" s="292"/>
      <c r="BHV36" s="292"/>
      <c r="BHW36" s="292"/>
      <c r="BHX36" s="292"/>
      <c r="BHY36" s="292"/>
      <c r="BHZ36" s="292"/>
      <c r="BIA36" s="292"/>
      <c r="BIB36" s="292"/>
      <c r="BIC36" s="292"/>
      <c r="BID36" s="292"/>
      <c r="BIE36" s="292"/>
      <c r="BIF36" s="292"/>
      <c r="BIG36" s="292"/>
      <c r="BIH36" s="292"/>
      <c r="BII36" s="292"/>
      <c r="BIJ36" s="292"/>
      <c r="BIK36" s="292"/>
      <c r="BIL36" s="292"/>
      <c r="BIM36" s="292"/>
      <c r="BIN36" s="292"/>
      <c r="BIO36" s="292"/>
      <c r="BIP36" s="292"/>
      <c r="BIQ36" s="292"/>
      <c r="BIR36" s="292"/>
      <c r="BIS36" s="292"/>
      <c r="BIT36" s="292"/>
      <c r="BIU36" s="292"/>
      <c r="BIV36" s="292"/>
      <c r="BIW36" s="292"/>
      <c r="BIX36" s="292"/>
      <c r="BIY36" s="292"/>
      <c r="BIZ36" s="292"/>
      <c r="BJA36" s="292"/>
      <c r="BJB36" s="292"/>
      <c r="BJC36" s="292"/>
      <c r="BJD36" s="292"/>
      <c r="BJE36" s="292"/>
      <c r="BJF36" s="292"/>
      <c r="BJG36" s="292"/>
      <c r="BJH36" s="292"/>
      <c r="BJI36" s="292"/>
      <c r="BJJ36" s="292"/>
      <c r="BJK36" s="292"/>
      <c r="BJL36" s="292"/>
      <c r="BJM36" s="292"/>
      <c r="BJN36" s="292"/>
      <c r="BJO36" s="292"/>
      <c r="BJP36" s="292"/>
      <c r="BJQ36" s="292"/>
      <c r="BJR36" s="292"/>
      <c r="BJS36" s="292"/>
      <c r="BJT36" s="292"/>
      <c r="BJU36" s="292"/>
      <c r="BJV36" s="292"/>
      <c r="BJW36" s="292"/>
      <c r="BJX36" s="292"/>
      <c r="BJY36" s="292"/>
      <c r="BJZ36" s="292"/>
      <c r="BKA36" s="292"/>
      <c r="BKB36" s="292"/>
      <c r="BKC36" s="292"/>
      <c r="BKD36" s="292"/>
      <c r="BKE36" s="292"/>
      <c r="BKF36" s="292"/>
      <c r="BKG36" s="292"/>
      <c r="BKH36" s="292"/>
      <c r="BKI36" s="292"/>
      <c r="BKJ36" s="292"/>
      <c r="BKK36" s="292"/>
      <c r="BKL36" s="292"/>
      <c r="BKM36" s="292"/>
      <c r="BKN36" s="292"/>
      <c r="BKO36" s="292"/>
      <c r="BKP36" s="292"/>
      <c r="BKQ36" s="292"/>
      <c r="BKR36" s="292"/>
      <c r="BKS36" s="292"/>
      <c r="BKT36" s="292"/>
      <c r="BKU36" s="292"/>
      <c r="BKV36" s="292"/>
      <c r="BKW36" s="292"/>
      <c r="BKX36" s="292"/>
      <c r="BKY36" s="292"/>
      <c r="BKZ36" s="292"/>
      <c r="BLA36" s="292"/>
      <c r="BLB36" s="292"/>
      <c r="BLC36" s="292"/>
      <c r="BLD36" s="292"/>
      <c r="BLE36" s="292"/>
      <c r="BLF36" s="292"/>
      <c r="BLG36" s="292"/>
      <c r="BLH36" s="292"/>
      <c r="BLI36" s="292"/>
      <c r="BLJ36" s="292"/>
      <c r="BLK36" s="292"/>
      <c r="BLL36" s="292"/>
      <c r="BLM36" s="292"/>
      <c r="BLN36" s="292"/>
      <c r="BLO36" s="292"/>
      <c r="BLP36" s="292"/>
      <c r="BLQ36" s="292"/>
      <c r="BLR36" s="292"/>
      <c r="BLS36" s="292"/>
      <c r="BLT36" s="292"/>
      <c r="BLU36" s="292"/>
      <c r="BLV36" s="292"/>
      <c r="BLW36" s="292"/>
      <c r="BLX36" s="292"/>
      <c r="BLY36" s="292"/>
      <c r="BLZ36" s="292"/>
      <c r="BMA36" s="292"/>
      <c r="BMB36" s="292"/>
      <c r="BMC36" s="292"/>
      <c r="BMD36" s="292"/>
      <c r="BME36" s="292"/>
      <c r="BMF36" s="292"/>
      <c r="BMG36" s="292"/>
      <c r="BMH36" s="292"/>
      <c r="BMI36" s="292"/>
      <c r="BMJ36" s="292"/>
      <c r="BMK36" s="292"/>
      <c r="BML36" s="292"/>
      <c r="BMM36" s="292"/>
      <c r="BMN36" s="292"/>
      <c r="BMO36" s="292"/>
      <c r="BMP36" s="292"/>
      <c r="BMQ36" s="292"/>
      <c r="BMR36" s="292"/>
      <c r="BMS36" s="292"/>
      <c r="BMT36" s="292"/>
      <c r="BMU36" s="292"/>
      <c r="BMV36" s="292"/>
      <c r="BMW36" s="292"/>
      <c r="BMX36" s="292"/>
      <c r="BMY36" s="292"/>
      <c r="BMZ36" s="292"/>
      <c r="BNA36" s="292"/>
      <c r="BNB36" s="292"/>
      <c r="BNC36" s="292"/>
      <c r="BND36" s="292"/>
      <c r="BNE36" s="292"/>
      <c r="BNF36" s="292"/>
      <c r="BNG36" s="292"/>
      <c r="BNH36" s="292"/>
      <c r="BNI36" s="292"/>
      <c r="BNJ36" s="292"/>
      <c r="BNK36" s="292"/>
      <c r="BNL36" s="292"/>
      <c r="BNM36" s="292"/>
      <c r="BNN36" s="292"/>
      <c r="BNO36" s="292"/>
      <c r="BNP36" s="292"/>
      <c r="BNQ36" s="292"/>
      <c r="BNR36" s="292"/>
      <c r="BNS36" s="292"/>
      <c r="BNT36" s="292"/>
      <c r="BNU36" s="292"/>
      <c r="BNV36" s="292"/>
      <c r="BNW36" s="292"/>
      <c r="BNX36" s="292"/>
      <c r="BNY36" s="292"/>
      <c r="BNZ36" s="292"/>
      <c r="BOA36" s="292"/>
      <c r="BOB36" s="292"/>
      <c r="BOC36" s="292"/>
      <c r="BOD36" s="292"/>
      <c r="BOE36" s="292"/>
      <c r="BOF36" s="292"/>
      <c r="BOG36" s="292"/>
      <c r="BOH36" s="292"/>
      <c r="BOI36" s="292"/>
      <c r="BOJ36" s="292"/>
      <c r="BOK36" s="292"/>
      <c r="BOL36" s="292"/>
      <c r="BOM36" s="292"/>
      <c r="BON36" s="292"/>
      <c r="BOO36" s="292"/>
      <c r="BOP36" s="292"/>
      <c r="BOQ36" s="292"/>
      <c r="BOR36" s="292"/>
      <c r="BOS36" s="292"/>
      <c r="BOT36" s="292"/>
      <c r="BOU36" s="292"/>
      <c r="BOV36" s="292"/>
      <c r="BOW36" s="292"/>
      <c r="BOX36" s="292"/>
      <c r="BOY36" s="292"/>
      <c r="BOZ36" s="292"/>
      <c r="BPA36" s="292"/>
      <c r="BPB36" s="292"/>
      <c r="BPC36" s="292"/>
      <c r="BPD36" s="292"/>
      <c r="BPE36" s="292"/>
      <c r="BPF36" s="292"/>
      <c r="BPG36" s="292"/>
      <c r="BPH36" s="292"/>
      <c r="BPI36" s="292"/>
      <c r="BPJ36" s="292"/>
      <c r="BPK36" s="292"/>
      <c r="BPL36" s="292"/>
      <c r="BPM36" s="292"/>
      <c r="BPN36" s="292"/>
      <c r="BPO36" s="292"/>
      <c r="BPP36" s="292"/>
      <c r="BPQ36" s="292"/>
      <c r="BPR36" s="292"/>
      <c r="BPS36" s="292"/>
      <c r="BPT36" s="292"/>
      <c r="BPU36" s="292"/>
      <c r="BPV36" s="292"/>
      <c r="BPW36" s="292"/>
      <c r="BPX36" s="292"/>
      <c r="BPY36" s="292"/>
      <c r="BPZ36" s="292"/>
      <c r="BQA36" s="292"/>
      <c r="BQB36" s="292"/>
      <c r="BQC36" s="292"/>
      <c r="BQD36" s="292"/>
      <c r="BQE36" s="292"/>
      <c r="BQF36" s="292"/>
      <c r="BQG36" s="292"/>
      <c r="BQH36" s="292"/>
      <c r="BQI36" s="292"/>
      <c r="BQJ36" s="292"/>
      <c r="BQK36" s="292"/>
      <c r="BQL36" s="292"/>
      <c r="BQM36" s="292"/>
      <c r="BQN36" s="292"/>
      <c r="BQO36" s="292"/>
      <c r="BQP36" s="292"/>
      <c r="BQQ36" s="292"/>
      <c r="BQR36" s="292"/>
      <c r="BQS36" s="292"/>
      <c r="BQT36" s="292"/>
      <c r="BQU36" s="292"/>
      <c r="BQV36" s="292"/>
      <c r="BQW36" s="292"/>
      <c r="BQX36" s="292"/>
      <c r="BQY36" s="292"/>
      <c r="BQZ36" s="292"/>
      <c r="BRA36" s="292"/>
      <c r="BRB36" s="292"/>
      <c r="BRC36" s="292"/>
      <c r="BRD36" s="292"/>
      <c r="BRE36" s="292"/>
      <c r="BRF36" s="292"/>
      <c r="BRG36" s="292"/>
      <c r="BRH36" s="292"/>
      <c r="BRI36" s="292"/>
      <c r="BRJ36" s="292"/>
      <c r="BRK36" s="292"/>
      <c r="BRL36" s="292"/>
      <c r="BRM36" s="292"/>
      <c r="BRN36" s="292"/>
      <c r="BRO36" s="292"/>
      <c r="BRP36" s="292"/>
      <c r="BRQ36" s="292"/>
      <c r="BRR36" s="292"/>
      <c r="BRS36" s="292"/>
      <c r="BRT36" s="292"/>
      <c r="BRU36" s="292"/>
      <c r="BRV36" s="292"/>
      <c r="BRW36" s="292"/>
      <c r="BRX36" s="292"/>
      <c r="BRY36" s="292"/>
      <c r="BRZ36" s="292"/>
      <c r="BSA36" s="292"/>
      <c r="BSB36" s="292"/>
      <c r="BSC36" s="292"/>
      <c r="BSD36" s="292"/>
      <c r="BSE36" s="292"/>
      <c r="BSF36" s="292"/>
      <c r="BSG36" s="292"/>
      <c r="BSH36" s="292"/>
      <c r="BSI36" s="292"/>
      <c r="BSJ36" s="292"/>
      <c r="BSK36" s="292"/>
      <c r="BSL36" s="292"/>
      <c r="BSM36" s="292"/>
      <c r="BSN36" s="292"/>
      <c r="BSO36" s="292"/>
      <c r="BSP36" s="292"/>
      <c r="BSQ36" s="292"/>
      <c r="BSR36" s="292"/>
      <c r="BSS36" s="292"/>
      <c r="BST36" s="292"/>
      <c r="BSU36" s="292"/>
      <c r="BSV36" s="292"/>
      <c r="BSW36" s="292"/>
      <c r="BSX36" s="292"/>
      <c r="BSY36" s="292"/>
      <c r="BSZ36" s="292"/>
      <c r="BTA36" s="292"/>
      <c r="BTB36" s="292"/>
      <c r="BTC36" s="292"/>
      <c r="BTD36" s="292"/>
      <c r="BTE36" s="292"/>
      <c r="BTF36" s="292"/>
      <c r="BTG36" s="292"/>
      <c r="BTH36" s="292"/>
      <c r="BTI36" s="292"/>
      <c r="BTJ36" s="292"/>
      <c r="BTK36" s="292"/>
      <c r="BTL36" s="292"/>
      <c r="BTM36" s="292"/>
      <c r="BTN36" s="292"/>
      <c r="BTO36" s="292"/>
      <c r="BTP36" s="292"/>
      <c r="BTQ36" s="292"/>
      <c r="BTR36" s="292"/>
      <c r="BTS36" s="292"/>
      <c r="BTT36" s="292"/>
      <c r="BTU36" s="292"/>
      <c r="BTV36" s="292"/>
      <c r="BTW36" s="292"/>
      <c r="BTX36" s="292"/>
      <c r="BTY36" s="292"/>
      <c r="BTZ36" s="292"/>
      <c r="BUA36" s="292"/>
      <c r="BUB36" s="292"/>
      <c r="BUC36" s="292"/>
      <c r="BUD36" s="292"/>
      <c r="BUE36" s="292"/>
      <c r="BUF36" s="292"/>
      <c r="BUG36" s="292"/>
      <c r="BUH36" s="292"/>
      <c r="BUI36" s="292"/>
      <c r="BUJ36" s="292"/>
      <c r="BUK36" s="292"/>
      <c r="BUL36" s="292"/>
      <c r="BUM36" s="292"/>
      <c r="BUN36" s="292"/>
      <c r="BUO36" s="292"/>
      <c r="BUP36" s="292"/>
      <c r="BUQ36" s="292"/>
      <c r="BUR36" s="292"/>
      <c r="BUS36" s="292"/>
      <c r="BUT36" s="292"/>
      <c r="BUU36" s="292"/>
      <c r="BUV36" s="292"/>
      <c r="BUW36" s="292"/>
      <c r="BUX36" s="292"/>
      <c r="BUY36" s="292"/>
      <c r="BUZ36" s="292"/>
      <c r="BVA36" s="292"/>
      <c r="BVB36" s="292"/>
      <c r="BVC36" s="292"/>
      <c r="BVD36" s="292"/>
      <c r="BVE36" s="292"/>
      <c r="BVF36" s="292"/>
      <c r="BVG36" s="292"/>
      <c r="BVH36" s="292"/>
      <c r="BVI36" s="292"/>
      <c r="BVJ36" s="292"/>
      <c r="BVK36" s="292"/>
      <c r="BVL36" s="292"/>
      <c r="BVM36" s="292"/>
      <c r="BVN36" s="292"/>
      <c r="BVO36" s="292"/>
      <c r="BVP36" s="292"/>
      <c r="BVQ36" s="292"/>
      <c r="BVR36" s="292"/>
      <c r="BVS36" s="292"/>
      <c r="BVT36" s="292"/>
      <c r="BVU36" s="292"/>
      <c r="BVV36" s="292"/>
      <c r="BVW36" s="292"/>
      <c r="BVX36" s="292"/>
      <c r="BVY36" s="292"/>
      <c r="BVZ36" s="292"/>
      <c r="BWA36" s="292"/>
      <c r="BWB36" s="292"/>
      <c r="BWC36" s="292"/>
      <c r="BWD36" s="292"/>
      <c r="BWE36" s="292"/>
      <c r="BWF36" s="292"/>
      <c r="BWG36" s="292"/>
      <c r="BWH36" s="292"/>
      <c r="BWI36" s="292"/>
      <c r="BWJ36" s="292"/>
      <c r="BWK36" s="292"/>
      <c r="BWL36" s="292"/>
      <c r="BWM36" s="292"/>
      <c r="BWN36" s="292"/>
      <c r="BWO36" s="292"/>
      <c r="BWP36" s="292"/>
      <c r="BWQ36" s="292"/>
      <c r="BWR36" s="292"/>
      <c r="BWS36" s="292"/>
      <c r="BWT36" s="292"/>
      <c r="BWU36" s="292"/>
      <c r="BWV36" s="292"/>
      <c r="BWW36" s="292"/>
      <c r="BWX36" s="292"/>
      <c r="BWY36" s="292"/>
      <c r="BWZ36" s="292"/>
      <c r="BXA36" s="292"/>
      <c r="BXB36" s="292"/>
      <c r="BXC36" s="292"/>
      <c r="BXD36" s="292"/>
      <c r="BXE36" s="292"/>
      <c r="BXF36" s="292"/>
      <c r="BXG36" s="292"/>
      <c r="BXH36" s="292"/>
      <c r="BXI36" s="292"/>
      <c r="BXJ36" s="292"/>
      <c r="BXK36" s="292"/>
      <c r="BXL36" s="292"/>
      <c r="BXM36" s="292"/>
      <c r="BXN36" s="292"/>
      <c r="BXO36" s="292"/>
      <c r="BXP36" s="292"/>
      <c r="BXQ36" s="292"/>
      <c r="BXR36" s="292"/>
      <c r="BXS36" s="292"/>
      <c r="BXT36" s="292"/>
      <c r="BXU36" s="292"/>
      <c r="BXV36" s="292"/>
      <c r="BXW36" s="292"/>
      <c r="BXX36" s="292"/>
      <c r="BXY36" s="292"/>
      <c r="BXZ36" s="292"/>
      <c r="BYA36" s="292"/>
      <c r="BYB36" s="292"/>
      <c r="BYC36" s="292"/>
      <c r="BYD36" s="292"/>
      <c r="BYE36" s="292"/>
      <c r="BYF36" s="292"/>
      <c r="BYG36" s="292"/>
      <c r="BYH36" s="292"/>
      <c r="BYI36" s="292"/>
      <c r="BYJ36" s="292"/>
      <c r="BYK36" s="292"/>
      <c r="BYL36" s="292"/>
      <c r="BYM36" s="292"/>
      <c r="BYN36" s="292"/>
      <c r="BYO36" s="292"/>
      <c r="BYP36" s="292"/>
      <c r="BYQ36" s="292"/>
      <c r="BYR36" s="292"/>
      <c r="BYS36" s="292"/>
      <c r="BYT36" s="292"/>
      <c r="BYU36" s="292"/>
      <c r="BYV36" s="292"/>
      <c r="BYW36" s="292"/>
      <c r="BYX36" s="292"/>
      <c r="BYY36" s="292"/>
      <c r="BYZ36" s="292"/>
      <c r="BZA36" s="292"/>
      <c r="BZB36" s="292"/>
      <c r="BZC36" s="292"/>
      <c r="BZD36" s="292"/>
      <c r="BZE36" s="292"/>
      <c r="BZF36" s="292"/>
      <c r="BZG36" s="292"/>
      <c r="BZH36" s="292"/>
      <c r="BZI36" s="292"/>
      <c r="BZJ36" s="292"/>
      <c r="BZK36" s="292"/>
      <c r="BZL36" s="292"/>
      <c r="BZM36" s="292"/>
      <c r="BZN36" s="292"/>
      <c r="BZO36" s="292"/>
      <c r="BZP36" s="292"/>
      <c r="BZQ36" s="292"/>
      <c r="BZR36" s="292"/>
      <c r="BZS36" s="292"/>
      <c r="BZT36" s="292"/>
      <c r="BZU36" s="292"/>
      <c r="BZV36" s="292"/>
      <c r="BZW36" s="292"/>
      <c r="BZX36" s="292"/>
      <c r="BZY36" s="292"/>
      <c r="BZZ36" s="292"/>
      <c r="CAA36" s="292"/>
      <c r="CAB36" s="292"/>
      <c r="CAC36" s="292"/>
      <c r="CAD36" s="292"/>
      <c r="CAE36" s="292"/>
      <c r="CAF36" s="292"/>
      <c r="CAG36" s="292"/>
      <c r="CAH36" s="292"/>
      <c r="CAI36" s="292"/>
      <c r="CAJ36" s="292"/>
      <c r="CAK36" s="292"/>
      <c r="CAL36" s="292"/>
      <c r="CAM36" s="292"/>
      <c r="CAN36" s="292"/>
      <c r="CAO36" s="292"/>
      <c r="CAP36" s="292"/>
      <c r="CAQ36" s="292"/>
      <c r="CAR36" s="292"/>
      <c r="CAS36" s="292"/>
      <c r="CAT36" s="292"/>
      <c r="CAU36" s="292"/>
      <c r="CAV36" s="292"/>
      <c r="CAW36" s="292"/>
      <c r="CAX36" s="292"/>
      <c r="CAY36" s="292"/>
      <c r="CAZ36" s="292"/>
      <c r="CBA36" s="292"/>
      <c r="CBB36" s="292"/>
      <c r="CBC36" s="292"/>
      <c r="CBD36" s="292"/>
      <c r="CBE36" s="292"/>
      <c r="CBF36" s="292"/>
      <c r="CBG36" s="292"/>
      <c r="CBH36" s="292"/>
      <c r="CBI36" s="292"/>
      <c r="CBJ36" s="292"/>
      <c r="CBK36" s="292"/>
      <c r="CBL36" s="292"/>
      <c r="CBM36" s="292"/>
      <c r="CBN36" s="292"/>
      <c r="CBO36" s="292"/>
      <c r="CBP36" s="292"/>
      <c r="CBQ36" s="292"/>
      <c r="CBR36" s="292"/>
      <c r="CBS36" s="292"/>
      <c r="CBT36" s="292"/>
      <c r="CBU36" s="292"/>
      <c r="CBV36" s="292"/>
      <c r="CBW36" s="292"/>
      <c r="CBX36" s="292"/>
      <c r="CBY36" s="292"/>
      <c r="CBZ36" s="292"/>
      <c r="CCA36" s="292"/>
      <c r="CCB36" s="292"/>
      <c r="CCC36" s="292"/>
      <c r="CCD36" s="292"/>
      <c r="CCE36" s="292"/>
      <c r="CCF36" s="292"/>
      <c r="CCG36" s="292"/>
      <c r="CCH36" s="292"/>
      <c r="CCI36" s="292"/>
      <c r="CCJ36" s="292"/>
      <c r="CCK36" s="292"/>
      <c r="CCL36" s="292"/>
      <c r="CCM36" s="292"/>
      <c r="CCN36" s="292"/>
      <c r="CCO36" s="292"/>
      <c r="CCP36" s="292"/>
      <c r="CCQ36" s="292"/>
      <c r="CCR36" s="292"/>
      <c r="CCS36" s="292"/>
      <c r="CCT36" s="292"/>
      <c r="CCU36" s="292"/>
      <c r="CCV36" s="292"/>
      <c r="CCW36" s="292"/>
      <c r="CCX36" s="292"/>
      <c r="CCY36" s="292"/>
      <c r="CCZ36" s="292"/>
      <c r="CDA36" s="292"/>
      <c r="CDB36" s="292"/>
      <c r="CDC36" s="292"/>
      <c r="CDD36" s="292"/>
      <c r="CDE36" s="292"/>
      <c r="CDF36" s="292"/>
      <c r="CDG36" s="292"/>
      <c r="CDH36" s="292"/>
      <c r="CDI36" s="292"/>
      <c r="CDJ36" s="292"/>
      <c r="CDK36" s="292"/>
      <c r="CDL36" s="292"/>
      <c r="CDM36" s="292"/>
      <c r="CDN36" s="292"/>
      <c r="CDO36" s="292"/>
      <c r="CDP36" s="292"/>
      <c r="CDQ36" s="292"/>
      <c r="CDR36" s="292"/>
      <c r="CDS36" s="292"/>
      <c r="CDT36" s="292"/>
      <c r="CDU36" s="292"/>
      <c r="CDV36" s="292"/>
      <c r="CDW36" s="292"/>
      <c r="CDX36" s="292"/>
      <c r="CDY36" s="292"/>
      <c r="CDZ36" s="292"/>
      <c r="CEA36" s="292"/>
      <c r="CEB36" s="292"/>
      <c r="CEC36" s="292"/>
      <c r="CED36" s="292"/>
      <c r="CEE36" s="292"/>
      <c r="CEF36" s="292"/>
      <c r="CEG36" s="292"/>
      <c r="CEH36" s="292"/>
      <c r="CEI36" s="292"/>
      <c r="CEJ36" s="292"/>
      <c r="CEK36" s="292"/>
      <c r="CEL36" s="292"/>
      <c r="CEM36" s="292"/>
      <c r="CEN36" s="292"/>
      <c r="CEO36" s="292"/>
      <c r="CEP36" s="292"/>
      <c r="CEQ36" s="292"/>
      <c r="CER36" s="292"/>
      <c r="CES36" s="292"/>
      <c r="CET36" s="292"/>
      <c r="CEU36" s="292"/>
      <c r="CEV36" s="292"/>
      <c r="CEW36" s="292"/>
      <c r="CEX36" s="292"/>
      <c r="CEY36" s="292"/>
      <c r="CEZ36" s="292"/>
      <c r="CFA36" s="292"/>
      <c r="CFB36" s="292"/>
      <c r="CFC36" s="292"/>
      <c r="CFD36" s="292"/>
      <c r="CFE36" s="292"/>
      <c r="CFF36" s="292"/>
      <c r="CFG36" s="292"/>
      <c r="CFH36" s="292"/>
      <c r="CFI36" s="292"/>
      <c r="CFJ36" s="292"/>
      <c r="CFK36" s="292"/>
      <c r="CFL36" s="292"/>
      <c r="CFM36" s="292"/>
      <c r="CFN36" s="292"/>
      <c r="CFO36" s="292"/>
      <c r="CFP36" s="292"/>
      <c r="CFQ36" s="292"/>
      <c r="CFR36" s="292"/>
      <c r="CFS36" s="292"/>
      <c r="CFT36" s="292"/>
      <c r="CFU36" s="292"/>
      <c r="CFV36" s="292"/>
      <c r="CFW36" s="292"/>
      <c r="CFX36" s="292"/>
      <c r="CFY36" s="292"/>
      <c r="CFZ36" s="292"/>
      <c r="CGA36" s="292"/>
      <c r="CGB36" s="292"/>
      <c r="CGC36" s="292"/>
      <c r="CGD36" s="292"/>
      <c r="CGE36" s="292"/>
      <c r="CGF36" s="292"/>
      <c r="CGG36" s="292"/>
      <c r="CGH36" s="292"/>
      <c r="CGI36" s="292"/>
      <c r="CGJ36" s="292"/>
      <c r="CGK36" s="292"/>
      <c r="CGL36" s="292"/>
      <c r="CGM36" s="292"/>
      <c r="CGN36" s="292"/>
      <c r="CGO36" s="292"/>
      <c r="CGP36" s="292"/>
      <c r="CGQ36" s="292"/>
      <c r="CGR36" s="292"/>
      <c r="CGS36" s="292"/>
      <c r="CGT36" s="292"/>
      <c r="CGU36" s="292"/>
      <c r="CGV36" s="292"/>
      <c r="CGW36" s="292"/>
      <c r="CGX36" s="292"/>
      <c r="CGY36" s="292"/>
      <c r="CGZ36" s="292"/>
      <c r="CHA36" s="292"/>
      <c r="CHB36" s="292"/>
      <c r="CHC36" s="292"/>
      <c r="CHD36" s="292"/>
      <c r="CHE36" s="292"/>
      <c r="CHF36" s="292"/>
      <c r="CHG36" s="292"/>
      <c r="CHH36" s="292"/>
      <c r="CHI36" s="292"/>
      <c r="CHJ36" s="292"/>
      <c r="CHK36" s="292"/>
      <c r="CHL36" s="292"/>
      <c r="CHM36" s="292"/>
      <c r="CHN36" s="292"/>
      <c r="CHO36" s="292"/>
      <c r="CHP36" s="292"/>
      <c r="CHQ36" s="292"/>
      <c r="CHR36" s="292"/>
      <c r="CHS36" s="292"/>
      <c r="CHT36" s="292"/>
      <c r="CHU36" s="292"/>
      <c r="CHV36" s="292"/>
      <c r="CHW36" s="292"/>
      <c r="CHX36" s="292"/>
      <c r="CHY36" s="292"/>
      <c r="CHZ36" s="292"/>
      <c r="CIA36" s="292"/>
      <c r="CIB36" s="292"/>
      <c r="CIC36" s="292"/>
      <c r="CID36" s="292"/>
      <c r="CIE36" s="292"/>
      <c r="CIF36" s="292"/>
      <c r="CIG36" s="292"/>
      <c r="CIH36" s="292"/>
      <c r="CII36" s="292"/>
      <c r="CIJ36" s="292"/>
      <c r="CIK36" s="292"/>
      <c r="CIL36" s="292"/>
      <c r="CIM36" s="292"/>
      <c r="CIN36" s="292"/>
      <c r="CIO36" s="292"/>
      <c r="CIP36" s="292"/>
      <c r="CIQ36" s="292"/>
      <c r="CIR36" s="292"/>
      <c r="CIS36" s="292"/>
      <c r="CIT36" s="292"/>
      <c r="CIU36" s="292"/>
      <c r="CIV36" s="292"/>
      <c r="CIW36" s="292"/>
      <c r="CIX36" s="292"/>
      <c r="CIY36" s="292"/>
      <c r="CIZ36" s="292"/>
      <c r="CJA36" s="292"/>
      <c r="CJB36" s="292"/>
      <c r="CJC36" s="292"/>
      <c r="CJD36" s="292"/>
      <c r="CJE36" s="292"/>
      <c r="CJF36" s="292"/>
      <c r="CJG36" s="292"/>
      <c r="CJH36" s="292"/>
      <c r="CJI36" s="292"/>
      <c r="CJJ36" s="292"/>
      <c r="CJK36" s="292"/>
      <c r="CJL36" s="292"/>
      <c r="CJM36" s="292"/>
      <c r="CJN36" s="292"/>
      <c r="CJO36" s="292"/>
      <c r="CJP36" s="292"/>
      <c r="CJQ36" s="292"/>
      <c r="CJR36" s="292"/>
      <c r="CJS36" s="292"/>
      <c r="CJT36" s="292"/>
      <c r="CJU36" s="292"/>
      <c r="CJV36" s="292"/>
      <c r="CJW36" s="292"/>
      <c r="CJX36" s="292"/>
      <c r="CJY36" s="292"/>
      <c r="CJZ36" s="292"/>
      <c r="CKA36" s="292"/>
      <c r="CKB36" s="292"/>
      <c r="CKC36" s="292"/>
      <c r="CKD36" s="292"/>
      <c r="CKE36" s="292"/>
      <c r="CKF36" s="292"/>
      <c r="CKG36" s="292"/>
      <c r="CKH36" s="292"/>
      <c r="CKI36" s="292"/>
      <c r="CKJ36" s="292"/>
      <c r="CKK36" s="292"/>
      <c r="CKL36" s="292"/>
      <c r="CKM36" s="292"/>
      <c r="CKN36" s="292"/>
      <c r="CKO36" s="292"/>
      <c r="CKP36" s="292"/>
      <c r="CKQ36" s="292"/>
      <c r="CKR36" s="292"/>
      <c r="CKS36" s="292"/>
      <c r="CKT36" s="292"/>
      <c r="CKU36" s="292"/>
      <c r="CKV36" s="292"/>
      <c r="CKW36" s="292"/>
      <c r="CKX36" s="292"/>
      <c r="CKY36" s="292"/>
      <c r="CKZ36" s="292"/>
      <c r="CLA36" s="292"/>
      <c r="CLB36" s="292"/>
      <c r="CLC36" s="292"/>
      <c r="CLD36" s="292"/>
      <c r="CLE36" s="292"/>
      <c r="CLF36" s="292"/>
      <c r="CLG36" s="292"/>
      <c r="CLH36" s="292"/>
      <c r="CLI36" s="292"/>
      <c r="CLJ36" s="292"/>
      <c r="CLK36" s="292"/>
      <c r="CLL36" s="292"/>
      <c r="CLM36" s="292"/>
      <c r="CLN36" s="292"/>
      <c r="CLO36" s="292"/>
      <c r="CLP36" s="292"/>
      <c r="CLQ36" s="292"/>
      <c r="CLR36" s="292"/>
      <c r="CLS36" s="292"/>
      <c r="CLT36" s="292"/>
      <c r="CLU36" s="292"/>
      <c r="CLV36" s="292"/>
      <c r="CLW36" s="292"/>
      <c r="CLX36" s="292"/>
      <c r="CLY36" s="292"/>
      <c r="CLZ36" s="292"/>
      <c r="CMA36" s="292"/>
      <c r="CMB36" s="292"/>
      <c r="CMC36" s="292"/>
      <c r="CMD36" s="292"/>
      <c r="CME36" s="292"/>
      <c r="CMF36" s="292"/>
      <c r="CMG36" s="292"/>
      <c r="CMH36" s="292"/>
      <c r="CMI36" s="292"/>
      <c r="CMJ36" s="292"/>
      <c r="CMK36" s="292"/>
      <c r="CML36" s="292"/>
      <c r="CMM36" s="292"/>
      <c r="CMN36" s="292"/>
      <c r="CMO36" s="292"/>
      <c r="CMP36" s="292"/>
      <c r="CMQ36" s="292"/>
      <c r="CMR36" s="292"/>
      <c r="CMS36" s="292"/>
      <c r="CMT36" s="292"/>
      <c r="CMU36" s="292"/>
      <c r="CMV36" s="292"/>
      <c r="CMW36" s="292"/>
      <c r="CMX36" s="292"/>
      <c r="CMY36" s="292"/>
      <c r="CMZ36" s="292"/>
      <c r="CNA36" s="292"/>
      <c r="CNB36" s="292"/>
      <c r="CNC36" s="292"/>
      <c r="CND36" s="292"/>
      <c r="CNE36" s="292"/>
      <c r="CNF36" s="292"/>
      <c r="CNG36" s="292"/>
      <c r="CNH36" s="292"/>
      <c r="CNI36" s="292"/>
      <c r="CNJ36" s="292"/>
      <c r="CNK36" s="292"/>
      <c r="CNL36" s="292"/>
      <c r="CNM36" s="292"/>
      <c r="CNN36" s="292"/>
      <c r="CNO36" s="292"/>
      <c r="CNP36" s="292"/>
      <c r="CNQ36" s="292"/>
      <c r="CNR36" s="292"/>
      <c r="CNS36" s="292"/>
      <c r="CNT36" s="292"/>
      <c r="CNU36" s="292"/>
      <c r="CNV36" s="292"/>
      <c r="CNW36" s="292"/>
      <c r="CNX36" s="292"/>
      <c r="CNY36" s="292"/>
      <c r="CNZ36" s="292"/>
      <c r="COA36" s="292"/>
      <c r="COB36" s="292"/>
      <c r="COC36" s="292"/>
      <c r="COD36" s="292"/>
      <c r="COE36" s="292"/>
      <c r="COF36" s="292"/>
      <c r="COG36" s="292"/>
      <c r="COH36" s="292"/>
      <c r="COI36" s="292"/>
      <c r="COJ36" s="292"/>
      <c r="COK36" s="292"/>
      <c r="COL36" s="292"/>
      <c r="COM36" s="292"/>
      <c r="CON36" s="292"/>
      <c r="COO36" s="292"/>
      <c r="COP36" s="292"/>
      <c r="COQ36" s="292"/>
      <c r="COR36" s="292"/>
      <c r="COS36" s="292"/>
      <c r="COT36" s="292"/>
      <c r="COU36" s="292"/>
      <c r="COV36" s="292"/>
      <c r="COW36" s="292"/>
      <c r="COX36" s="292"/>
      <c r="COY36" s="292"/>
      <c r="COZ36" s="292"/>
      <c r="CPA36" s="292"/>
      <c r="CPB36" s="292"/>
      <c r="CPC36" s="292"/>
      <c r="CPD36" s="292"/>
      <c r="CPE36" s="292"/>
      <c r="CPF36" s="292"/>
      <c r="CPG36" s="292"/>
      <c r="CPH36" s="292"/>
      <c r="CPI36" s="292"/>
      <c r="CPJ36" s="292"/>
      <c r="CPK36" s="292"/>
      <c r="CPL36" s="292"/>
      <c r="CPM36" s="292"/>
      <c r="CPN36" s="292"/>
      <c r="CPO36" s="292"/>
      <c r="CPP36" s="292"/>
      <c r="CPQ36" s="292"/>
      <c r="CPR36" s="292"/>
      <c r="CPS36" s="292"/>
      <c r="CPT36" s="292"/>
      <c r="CPU36" s="292"/>
      <c r="CPV36" s="292"/>
      <c r="CPW36" s="292"/>
      <c r="CPX36" s="292"/>
      <c r="CPY36" s="292"/>
      <c r="CPZ36" s="292"/>
      <c r="CQA36" s="292"/>
      <c r="CQB36" s="292"/>
      <c r="CQC36" s="292"/>
      <c r="CQD36" s="292"/>
      <c r="CQE36" s="292"/>
      <c r="CQF36" s="292"/>
      <c r="CQG36" s="292"/>
      <c r="CQH36" s="292"/>
      <c r="CQI36" s="292"/>
      <c r="CQJ36" s="292"/>
      <c r="CQK36" s="292"/>
      <c r="CQL36" s="292"/>
      <c r="CQM36" s="292"/>
      <c r="CQN36" s="292"/>
      <c r="CQO36" s="292"/>
      <c r="CQP36" s="292"/>
      <c r="CQQ36" s="292"/>
      <c r="CQR36" s="292"/>
      <c r="CQS36" s="292"/>
      <c r="CQT36" s="292"/>
      <c r="CQU36" s="292"/>
      <c r="CQV36" s="292"/>
      <c r="CQW36" s="292"/>
      <c r="CQX36" s="292"/>
      <c r="CQY36" s="292"/>
      <c r="CQZ36" s="292"/>
      <c r="CRA36" s="292"/>
      <c r="CRB36" s="292"/>
      <c r="CRC36" s="292"/>
      <c r="CRD36" s="292"/>
      <c r="CRE36" s="292"/>
      <c r="CRF36" s="292"/>
      <c r="CRG36" s="292"/>
      <c r="CRH36" s="292"/>
      <c r="CRI36" s="292"/>
      <c r="CRJ36" s="292"/>
      <c r="CRK36" s="292"/>
      <c r="CRL36" s="292"/>
      <c r="CRM36" s="292"/>
      <c r="CRN36" s="292"/>
      <c r="CRO36" s="292"/>
      <c r="CRP36" s="292"/>
      <c r="CRQ36" s="292"/>
      <c r="CRR36" s="292"/>
      <c r="CRS36" s="292"/>
      <c r="CRT36" s="292"/>
      <c r="CRU36" s="292"/>
      <c r="CRV36" s="292"/>
      <c r="CRW36" s="292"/>
      <c r="CRX36" s="292"/>
      <c r="CRY36" s="292"/>
      <c r="CRZ36" s="292"/>
      <c r="CSA36" s="292"/>
      <c r="CSB36" s="292"/>
      <c r="CSC36" s="292"/>
      <c r="CSD36" s="292"/>
      <c r="CSE36" s="292"/>
      <c r="CSF36" s="292"/>
      <c r="CSG36" s="292"/>
      <c r="CSH36" s="292"/>
      <c r="CSI36" s="292"/>
      <c r="CSJ36" s="292"/>
      <c r="CSK36" s="292"/>
      <c r="CSL36" s="292"/>
      <c r="CSM36" s="292"/>
      <c r="CSN36" s="292"/>
      <c r="CSO36" s="292"/>
      <c r="CSP36" s="292"/>
      <c r="CSQ36" s="292"/>
      <c r="CSR36" s="292"/>
      <c r="CSS36" s="292"/>
      <c r="CST36" s="292"/>
      <c r="CSU36" s="292"/>
      <c r="CSV36" s="292"/>
      <c r="CSW36" s="292"/>
      <c r="CSX36" s="292"/>
      <c r="CSY36" s="292"/>
      <c r="CSZ36" s="292"/>
      <c r="CTA36" s="292"/>
      <c r="CTB36" s="292"/>
      <c r="CTC36" s="292"/>
      <c r="CTD36" s="292"/>
      <c r="CTE36" s="292"/>
      <c r="CTF36" s="292"/>
      <c r="CTG36" s="292"/>
      <c r="CTH36" s="292"/>
      <c r="CTI36" s="292"/>
      <c r="CTJ36" s="292"/>
      <c r="CTK36" s="292"/>
      <c r="CTL36" s="292"/>
      <c r="CTM36" s="292"/>
      <c r="CTN36" s="292"/>
      <c r="CTO36" s="292"/>
      <c r="CTP36" s="292"/>
      <c r="CTQ36" s="292"/>
      <c r="CTR36" s="292"/>
      <c r="CTS36" s="292"/>
      <c r="CTT36" s="292"/>
      <c r="CTU36" s="292"/>
      <c r="CTV36" s="292"/>
      <c r="CTW36" s="292"/>
      <c r="CTX36" s="292"/>
      <c r="CTY36" s="292"/>
      <c r="CTZ36" s="292"/>
      <c r="CUA36" s="292"/>
      <c r="CUB36" s="292"/>
      <c r="CUC36" s="292"/>
      <c r="CUD36" s="292"/>
      <c r="CUE36" s="292"/>
      <c r="CUF36" s="292"/>
      <c r="CUG36" s="292"/>
      <c r="CUH36" s="292"/>
      <c r="CUI36" s="292"/>
      <c r="CUJ36" s="292"/>
      <c r="CUK36" s="292"/>
      <c r="CUL36" s="292"/>
      <c r="CUM36" s="292"/>
      <c r="CUN36" s="292"/>
      <c r="CUO36" s="292"/>
      <c r="CUP36" s="292"/>
      <c r="CUQ36" s="292"/>
      <c r="CUR36" s="292"/>
      <c r="CUS36" s="292"/>
      <c r="CUT36" s="292"/>
      <c r="CUU36" s="292"/>
      <c r="CUV36" s="292"/>
      <c r="CUW36" s="292"/>
      <c r="CUX36" s="292"/>
      <c r="CUY36" s="292"/>
      <c r="CUZ36" s="292"/>
      <c r="CVA36" s="292"/>
      <c r="CVB36" s="292"/>
      <c r="CVC36" s="292"/>
      <c r="CVD36" s="292"/>
      <c r="CVE36" s="292"/>
      <c r="CVF36" s="292"/>
      <c r="CVG36" s="292"/>
      <c r="CVH36" s="292"/>
      <c r="CVI36" s="292"/>
      <c r="CVJ36" s="292"/>
      <c r="CVK36" s="292"/>
      <c r="CVL36" s="292"/>
      <c r="CVM36" s="292"/>
      <c r="CVN36" s="292"/>
      <c r="CVO36" s="292"/>
      <c r="CVP36" s="292"/>
      <c r="CVQ36" s="292"/>
      <c r="CVR36" s="292"/>
      <c r="CVS36" s="292"/>
      <c r="CVT36" s="292"/>
      <c r="CVU36" s="292"/>
      <c r="CVV36" s="292"/>
      <c r="CVW36" s="292"/>
      <c r="CVX36" s="292"/>
      <c r="CVY36" s="292"/>
      <c r="CVZ36" s="292"/>
      <c r="CWA36" s="292"/>
      <c r="CWB36" s="292"/>
      <c r="CWC36" s="292"/>
      <c r="CWD36" s="292"/>
      <c r="CWE36" s="292"/>
      <c r="CWF36" s="292"/>
      <c r="CWG36" s="292"/>
      <c r="CWH36" s="292"/>
      <c r="CWI36" s="292"/>
      <c r="CWJ36" s="292"/>
      <c r="CWK36" s="292"/>
      <c r="CWL36" s="292"/>
      <c r="CWM36" s="292"/>
      <c r="CWN36" s="292"/>
      <c r="CWO36" s="292"/>
      <c r="CWP36" s="292"/>
      <c r="CWQ36" s="292"/>
      <c r="CWR36" s="292"/>
      <c r="CWS36" s="292"/>
      <c r="CWT36" s="292"/>
      <c r="CWU36" s="292"/>
      <c r="CWV36" s="292"/>
      <c r="CWW36" s="292"/>
      <c r="CWX36" s="292"/>
      <c r="CWY36" s="292"/>
      <c r="CWZ36" s="292"/>
      <c r="CXA36" s="292"/>
      <c r="CXB36" s="292"/>
      <c r="CXC36" s="292"/>
      <c r="CXD36" s="292"/>
      <c r="CXE36" s="292"/>
      <c r="CXF36" s="292"/>
      <c r="CXG36" s="292"/>
      <c r="CXH36" s="292"/>
      <c r="CXI36" s="292"/>
      <c r="CXJ36" s="292"/>
      <c r="CXK36" s="292"/>
      <c r="CXL36" s="292"/>
      <c r="CXM36" s="292"/>
      <c r="CXN36" s="292"/>
      <c r="CXO36" s="292"/>
      <c r="CXP36" s="292"/>
      <c r="CXQ36" s="292"/>
      <c r="CXR36" s="292"/>
      <c r="CXS36" s="292"/>
      <c r="CXT36" s="292"/>
      <c r="CXU36" s="292"/>
      <c r="CXV36" s="292"/>
      <c r="CXW36" s="292"/>
      <c r="CXX36" s="292"/>
      <c r="CXY36" s="292"/>
      <c r="CXZ36" s="292"/>
      <c r="CYA36" s="292"/>
      <c r="CYB36" s="292"/>
      <c r="CYC36" s="292"/>
      <c r="CYD36" s="292"/>
      <c r="CYE36" s="292"/>
      <c r="CYF36" s="292"/>
      <c r="CYG36" s="292"/>
      <c r="CYH36" s="292"/>
      <c r="CYI36" s="292"/>
      <c r="CYJ36" s="292"/>
      <c r="CYK36" s="292"/>
      <c r="CYL36" s="292"/>
      <c r="CYM36" s="292"/>
      <c r="CYN36" s="292"/>
      <c r="CYO36" s="292"/>
      <c r="CYP36" s="292"/>
      <c r="CYQ36" s="292"/>
      <c r="CYR36" s="292"/>
      <c r="CYS36" s="292"/>
      <c r="CYT36" s="292"/>
      <c r="CYU36" s="292"/>
      <c r="CYV36" s="292"/>
      <c r="CYW36" s="292"/>
      <c r="CYX36" s="292"/>
      <c r="CYY36" s="292"/>
      <c r="CYZ36" s="292"/>
      <c r="CZA36" s="292"/>
      <c r="CZB36" s="292"/>
      <c r="CZC36" s="292"/>
      <c r="CZD36" s="292"/>
      <c r="CZE36" s="292"/>
      <c r="CZF36" s="292"/>
      <c r="CZG36" s="292"/>
      <c r="CZH36" s="292"/>
      <c r="CZI36" s="292"/>
      <c r="CZJ36" s="292"/>
      <c r="CZK36" s="292"/>
      <c r="CZL36" s="292"/>
      <c r="CZM36" s="292"/>
      <c r="CZN36" s="292"/>
      <c r="CZO36" s="292"/>
      <c r="CZP36" s="292"/>
      <c r="CZQ36" s="292"/>
      <c r="CZR36" s="292"/>
      <c r="CZS36" s="292"/>
      <c r="CZT36" s="292"/>
      <c r="CZU36" s="292"/>
      <c r="CZV36" s="292"/>
      <c r="CZW36" s="292"/>
      <c r="CZX36" s="292"/>
      <c r="CZY36" s="292"/>
      <c r="CZZ36" s="292"/>
      <c r="DAA36" s="292"/>
      <c r="DAB36" s="292"/>
      <c r="DAC36" s="292"/>
      <c r="DAD36" s="292"/>
      <c r="DAE36" s="292"/>
      <c r="DAF36" s="292"/>
      <c r="DAG36" s="292"/>
      <c r="DAH36" s="292"/>
      <c r="DAI36" s="292"/>
      <c r="DAJ36" s="292"/>
      <c r="DAK36" s="292"/>
      <c r="DAL36" s="292"/>
      <c r="DAM36" s="292"/>
      <c r="DAN36" s="292"/>
      <c r="DAO36" s="292"/>
      <c r="DAP36" s="292"/>
      <c r="DAQ36" s="292"/>
      <c r="DAR36" s="292"/>
      <c r="DAS36" s="292"/>
      <c r="DAT36" s="292"/>
      <c r="DAU36" s="292"/>
      <c r="DAV36" s="292"/>
      <c r="DAW36" s="292"/>
      <c r="DAX36" s="292"/>
      <c r="DAY36" s="292"/>
      <c r="DAZ36" s="292"/>
      <c r="DBA36" s="292"/>
      <c r="DBB36" s="292"/>
      <c r="DBC36" s="292"/>
      <c r="DBD36" s="292"/>
      <c r="DBE36" s="292"/>
      <c r="DBF36" s="292"/>
      <c r="DBG36" s="292"/>
      <c r="DBH36" s="292"/>
      <c r="DBI36" s="292"/>
      <c r="DBJ36" s="292"/>
      <c r="DBK36" s="292"/>
      <c r="DBL36" s="292"/>
      <c r="DBM36" s="292"/>
      <c r="DBN36" s="292"/>
      <c r="DBO36" s="292"/>
      <c r="DBP36" s="292"/>
      <c r="DBQ36" s="292"/>
      <c r="DBR36" s="292"/>
      <c r="DBS36" s="292"/>
      <c r="DBT36" s="292"/>
      <c r="DBU36" s="292"/>
      <c r="DBV36" s="292"/>
      <c r="DBW36" s="292"/>
      <c r="DBX36" s="292"/>
      <c r="DBY36" s="292"/>
      <c r="DBZ36" s="292"/>
      <c r="DCA36" s="292"/>
      <c r="DCB36" s="292"/>
      <c r="DCC36" s="292"/>
      <c r="DCD36" s="292"/>
      <c r="DCE36" s="292"/>
      <c r="DCF36" s="292"/>
      <c r="DCG36" s="292"/>
      <c r="DCH36" s="292"/>
      <c r="DCI36" s="292"/>
      <c r="DCJ36" s="292"/>
      <c r="DCK36" s="292"/>
      <c r="DCL36" s="292"/>
      <c r="DCM36" s="292"/>
      <c r="DCN36" s="292"/>
      <c r="DCO36" s="292"/>
      <c r="DCP36" s="292"/>
      <c r="DCQ36" s="292"/>
      <c r="DCR36" s="292"/>
      <c r="DCS36" s="292"/>
      <c r="DCT36" s="292"/>
      <c r="DCU36" s="292"/>
      <c r="DCV36" s="292"/>
      <c r="DCW36" s="292"/>
      <c r="DCX36" s="292"/>
      <c r="DCY36" s="292"/>
      <c r="DCZ36" s="292"/>
      <c r="DDA36" s="292"/>
      <c r="DDB36" s="292"/>
      <c r="DDC36" s="292"/>
      <c r="DDD36" s="292"/>
      <c r="DDE36" s="292"/>
      <c r="DDF36" s="292"/>
      <c r="DDG36" s="292"/>
      <c r="DDH36" s="292"/>
      <c r="DDI36" s="292"/>
      <c r="DDJ36" s="292"/>
      <c r="DDK36" s="292"/>
      <c r="DDL36" s="292"/>
      <c r="DDM36" s="292"/>
      <c r="DDN36" s="292"/>
      <c r="DDO36" s="292"/>
      <c r="DDP36" s="292"/>
      <c r="DDQ36" s="292"/>
      <c r="DDR36" s="292"/>
      <c r="DDS36" s="292"/>
      <c r="DDT36" s="292"/>
      <c r="DDU36" s="292"/>
      <c r="DDV36" s="292"/>
      <c r="DDW36" s="292"/>
      <c r="DDX36" s="292"/>
      <c r="DDY36" s="292"/>
      <c r="DDZ36" s="292"/>
      <c r="DEA36" s="292"/>
      <c r="DEB36" s="292"/>
      <c r="DEC36" s="292"/>
      <c r="DED36" s="292"/>
      <c r="DEE36" s="292"/>
      <c r="DEF36" s="292"/>
      <c r="DEG36" s="292"/>
      <c r="DEH36" s="292"/>
      <c r="DEI36" s="292"/>
      <c r="DEJ36" s="292"/>
      <c r="DEK36" s="292"/>
      <c r="DEL36" s="292"/>
      <c r="DEM36" s="292"/>
      <c r="DEN36" s="292"/>
      <c r="DEO36" s="292"/>
      <c r="DEP36" s="292"/>
      <c r="DEQ36" s="292"/>
      <c r="DER36" s="292"/>
      <c r="DES36" s="292"/>
      <c r="DET36" s="292"/>
      <c r="DEU36" s="292"/>
      <c r="DEV36" s="292"/>
      <c r="DEW36" s="292"/>
      <c r="DEX36" s="292"/>
      <c r="DEY36" s="292"/>
      <c r="DEZ36" s="292"/>
      <c r="DFA36" s="292"/>
      <c r="DFB36" s="292"/>
      <c r="DFC36" s="292"/>
      <c r="DFD36" s="292"/>
      <c r="DFE36" s="292"/>
      <c r="DFF36" s="292"/>
      <c r="DFG36" s="292"/>
      <c r="DFH36" s="292"/>
      <c r="DFI36" s="292"/>
      <c r="DFJ36" s="292"/>
      <c r="DFK36" s="292"/>
      <c r="DFL36" s="292"/>
      <c r="DFM36" s="292"/>
      <c r="DFN36" s="292"/>
      <c r="DFO36" s="292"/>
      <c r="DFP36" s="292"/>
      <c r="DFQ36" s="292"/>
      <c r="DFR36" s="292"/>
      <c r="DFS36" s="292"/>
      <c r="DFT36" s="292"/>
      <c r="DFU36" s="292"/>
      <c r="DFV36" s="292"/>
      <c r="DFW36" s="292"/>
      <c r="DFX36" s="292"/>
      <c r="DFY36" s="292"/>
      <c r="DFZ36" s="292"/>
      <c r="DGA36" s="292"/>
      <c r="DGB36" s="292"/>
      <c r="DGC36" s="292"/>
      <c r="DGD36" s="292"/>
      <c r="DGE36" s="292"/>
      <c r="DGF36" s="292"/>
      <c r="DGG36" s="292"/>
      <c r="DGH36" s="292"/>
      <c r="DGI36" s="292"/>
      <c r="DGJ36" s="292"/>
      <c r="DGK36" s="292"/>
      <c r="DGL36" s="292"/>
      <c r="DGM36" s="292"/>
      <c r="DGN36" s="292"/>
      <c r="DGO36" s="292"/>
      <c r="DGP36" s="292"/>
      <c r="DGQ36" s="292"/>
      <c r="DGR36" s="292"/>
      <c r="DGS36" s="292"/>
      <c r="DGT36" s="292"/>
      <c r="DGU36" s="292"/>
      <c r="DGV36" s="292"/>
      <c r="DGW36" s="292"/>
      <c r="DGX36" s="292"/>
      <c r="DGY36" s="292"/>
      <c r="DGZ36" s="292"/>
      <c r="DHA36" s="292"/>
      <c r="DHB36" s="292"/>
      <c r="DHC36" s="292"/>
      <c r="DHD36" s="292"/>
      <c r="DHE36" s="292"/>
      <c r="DHF36" s="292"/>
      <c r="DHG36" s="292"/>
      <c r="DHH36" s="292"/>
      <c r="DHI36" s="292"/>
      <c r="DHJ36" s="292"/>
      <c r="DHK36" s="292"/>
      <c r="DHL36" s="292"/>
      <c r="DHM36" s="292"/>
      <c r="DHN36" s="292"/>
      <c r="DHO36" s="292"/>
      <c r="DHP36" s="292"/>
      <c r="DHQ36" s="292"/>
      <c r="DHR36" s="292"/>
      <c r="DHS36" s="292"/>
      <c r="DHT36" s="292"/>
      <c r="DHU36" s="292"/>
      <c r="DHV36" s="292"/>
      <c r="DHW36" s="292"/>
      <c r="DHX36" s="292"/>
      <c r="DHY36" s="292"/>
      <c r="DHZ36" s="292"/>
      <c r="DIA36" s="292"/>
      <c r="DIB36" s="292"/>
      <c r="DIC36" s="292"/>
      <c r="DID36" s="292"/>
      <c r="DIE36" s="292"/>
      <c r="DIF36" s="292"/>
      <c r="DIG36" s="292"/>
      <c r="DIH36" s="292"/>
      <c r="DII36" s="292"/>
      <c r="DIJ36" s="292"/>
      <c r="DIK36" s="292"/>
      <c r="DIL36" s="292"/>
      <c r="DIM36" s="292"/>
      <c r="DIN36" s="292"/>
      <c r="DIO36" s="292"/>
      <c r="DIP36" s="292"/>
      <c r="DIQ36" s="292"/>
      <c r="DIR36" s="292"/>
      <c r="DIS36" s="292"/>
      <c r="DIT36" s="292"/>
      <c r="DIU36" s="292"/>
      <c r="DIV36" s="292"/>
      <c r="DIW36" s="292"/>
      <c r="DIX36" s="292"/>
      <c r="DIY36" s="292"/>
      <c r="DIZ36" s="292"/>
      <c r="DJA36" s="292"/>
      <c r="DJB36" s="292"/>
      <c r="DJC36" s="292"/>
      <c r="DJD36" s="292"/>
      <c r="DJE36" s="292"/>
      <c r="DJF36" s="292"/>
      <c r="DJG36" s="292"/>
      <c r="DJH36" s="292"/>
      <c r="DJI36" s="292"/>
      <c r="DJJ36" s="292"/>
      <c r="DJK36" s="292"/>
      <c r="DJL36" s="292"/>
      <c r="DJM36" s="292"/>
      <c r="DJN36" s="292"/>
      <c r="DJO36" s="292"/>
      <c r="DJP36" s="292"/>
      <c r="DJQ36" s="292"/>
      <c r="DJR36" s="292"/>
      <c r="DJS36" s="292"/>
      <c r="DJT36" s="292"/>
      <c r="DJU36" s="292"/>
      <c r="DJV36" s="292"/>
      <c r="DJW36" s="292"/>
      <c r="DJX36" s="292"/>
      <c r="DJY36" s="292"/>
      <c r="DJZ36" s="292"/>
      <c r="DKA36" s="292"/>
      <c r="DKB36" s="292"/>
      <c r="DKC36" s="292"/>
      <c r="DKD36" s="292"/>
      <c r="DKE36" s="292"/>
      <c r="DKF36" s="292"/>
      <c r="DKG36" s="292"/>
      <c r="DKH36" s="292"/>
      <c r="DKI36" s="292"/>
      <c r="DKJ36" s="292"/>
      <c r="DKK36" s="292"/>
      <c r="DKL36" s="292"/>
      <c r="DKM36" s="292"/>
      <c r="DKN36" s="292"/>
      <c r="DKO36" s="292"/>
      <c r="DKP36" s="292"/>
      <c r="DKQ36" s="292"/>
      <c r="DKR36" s="292"/>
      <c r="DKS36" s="292"/>
      <c r="DKT36" s="292"/>
      <c r="DKU36" s="292"/>
      <c r="DKV36" s="292"/>
      <c r="DKW36" s="292"/>
      <c r="DKX36" s="292"/>
      <c r="DKY36" s="292"/>
      <c r="DKZ36" s="292"/>
      <c r="DLA36" s="292"/>
      <c r="DLB36" s="292"/>
      <c r="DLC36" s="292"/>
      <c r="DLD36" s="292"/>
      <c r="DLE36" s="292"/>
      <c r="DLF36" s="292"/>
      <c r="DLG36" s="292"/>
      <c r="DLH36" s="292"/>
      <c r="DLI36" s="292"/>
      <c r="DLJ36" s="292"/>
      <c r="DLK36" s="292"/>
      <c r="DLL36" s="292"/>
      <c r="DLM36" s="292"/>
      <c r="DLN36" s="292"/>
      <c r="DLO36" s="292"/>
      <c r="DLP36" s="292"/>
      <c r="DLQ36" s="292"/>
      <c r="DLR36" s="292"/>
      <c r="DLS36" s="292"/>
      <c r="DLT36" s="292"/>
      <c r="DLU36" s="292"/>
      <c r="DLV36" s="292"/>
      <c r="DLW36" s="292"/>
      <c r="DLX36" s="292"/>
      <c r="DLY36" s="292"/>
      <c r="DLZ36" s="292"/>
      <c r="DMA36" s="292"/>
      <c r="DMB36" s="292"/>
      <c r="DMC36" s="292"/>
      <c r="DMD36" s="292"/>
      <c r="DME36" s="292"/>
      <c r="DMF36" s="292"/>
      <c r="DMG36" s="292"/>
      <c r="DMH36" s="292"/>
      <c r="DMI36" s="292"/>
      <c r="DMJ36" s="292"/>
      <c r="DMK36" s="292"/>
      <c r="DML36" s="292"/>
      <c r="DMM36" s="292"/>
      <c r="DMN36" s="292"/>
      <c r="DMO36" s="292"/>
      <c r="DMP36" s="292"/>
      <c r="DMQ36" s="292"/>
      <c r="DMR36" s="292"/>
      <c r="DMS36" s="292"/>
      <c r="DMT36" s="292"/>
      <c r="DMU36" s="292"/>
      <c r="DMV36" s="292"/>
      <c r="DMW36" s="292"/>
      <c r="DMX36" s="292"/>
      <c r="DMY36" s="292"/>
      <c r="DMZ36" s="292"/>
      <c r="DNA36" s="292"/>
      <c r="DNB36" s="292"/>
      <c r="DNC36" s="292"/>
      <c r="DND36" s="292"/>
      <c r="DNE36" s="292"/>
      <c r="DNF36" s="292"/>
      <c r="DNG36" s="292"/>
      <c r="DNH36" s="292"/>
      <c r="DNI36" s="292"/>
      <c r="DNJ36" s="292"/>
      <c r="DNK36" s="292"/>
      <c r="DNL36" s="292"/>
      <c r="DNM36" s="292"/>
      <c r="DNN36" s="292"/>
      <c r="DNO36" s="292"/>
      <c r="DNP36" s="292"/>
      <c r="DNQ36" s="292"/>
      <c r="DNR36" s="292"/>
      <c r="DNS36" s="292"/>
      <c r="DNT36" s="292"/>
      <c r="DNU36" s="292"/>
      <c r="DNV36" s="292"/>
      <c r="DNW36" s="292"/>
      <c r="DNX36" s="292"/>
      <c r="DNY36" s="292"/>
      <c r="DNZ36" s="292"/>
      <c r="DOA36" s="292"/>
      <c r="DOB36" s="292"/>
      <c r="DOC36" s="292"/>
      <c r="DOD36" s="292"/>
      <c r="DOE36" s="292"/>
      <c r="DOF36" s="292"/>
      <c r="DOG36" s="292"/>
      <c r="DOH36" s="292"/>
      <c r="DOI36" s="292"/>
      <c r="DOJ36" s="292"/>
      <c r="DOK36" s="292"/>
      <c r="DOL36" s="292"/>
      <c r="DOM36" s="292"/>
      <c r="DON36" s="292"/>
      <c r="DOO36" s="292"/>
      <c r="DOP36" s="292"/>
      <c r="DOQ36" s="292"/>
      <c r="DOR36" s="292"/>
      <c r="DOS36" s="292"/>
      <c r="DOT36" s="292"/>
      <c r="DOU36" s="292"/>
      <c r="DOV36" s="292"/>
      <c r="DOW36" s="292"/>
      <c r="DOX36" s="292"/>
      <c r="DOY36" s="292"/>
      <c r="DOZ36" s="292"/>
      <c r="DPA36" s="292"/>
      <c r="DPB36" s="292"/>
      <c r="DPC36" s="292"/>
      <c r="DPD36" s="292"/>
      <c r="DPE36" s="292"/>
      <c r="DPF36" s="292"/>
      <c r="DPG36" s="292"/>
      <c r="DPH36" s="292"/>
      <c r="DPI36" s="292"/>
      <c r="DPJ36" s="292"/>
      <c r="DPK36" s="292"/>
      <c r="DPL36" s="292"/>
      <c r="DPM36" s="292"/>
      <c r="DPN36" s="292"/>
      <c r="DPO36" s="292"/>
      <c r="DPP36" s="292"/>
      <c r="DPQ36" s="292"/>
      <c r="DPR36" s="292"/>
      <c r="DPS36" s="292"/>
      <c r="DPT36" s="292"/>
      <c r="DPU36" s="292"/>
      <c r="DPV36" s="292"/>
      <c r="DPW36" s="292"/>
      <c r="DPX36" s="292"/>
      <c r="DPY36" s="292"/>
      <c r="DPZ36" s="292"/>
      <c r="DQA36" s="292"/>
      <c r="DQB36" s="292"/>
      <c r="DQC36" s="292"/>
      <c r="DQD36" s="292"/>
      <c r="DQE36" s="292"/>
      <c r="DQF36" s="292"/>
      <c r="DQG36" s="292"/>
      <c r="DQH36" s="292"/>
      <c r="DQI36" s="292"/>
      <c r="DQJ36" s="292"/>
      <c r="DQK36" s="292"/>
      <c r="DQL36" s="292"/>
      <c r="DQM36" s="292"/>
      <c r="DQN36" s="292"/>
      <c r="DQO36" s="292"/>
      <c r="DQP36" s="292"/>
      <c r="DQQ36" s="292"/>
      <c r="DQR36" s="292"/>
      <c r="DQS36" s="292"/>
      <c r="DQT36" s="292"/>
      <c r="DQU36" s="292"/>
      <c r="DQV36" s="292"/>
      <c r="DQW36" s="292"/>
      <c r="DQX36" s="292"/>
      <c r="DQY36" s="292"/>
      <c r="DQZ36" s="292"/>
      <c r="DRA36" s="292"/>
      <c r="DRB36" s="292"/>
      <c r="DRC36" s="292"/>
      <c r="DRD36" s="292"/>
      <c r="DRE36" s="292"/>
      <c r="DRF36" s="292"/>
      <c r="DRG36" s="292"/>
      <c r="DRH36" s="292"/>
      <c r="DRI36" s="292"/>
      <c r="DRJ36" s="292"/>
      <c r="DRK36" s="292"/>
      <c r="DRL36" s="292"/>
      <c r="DRM36" s="292"/>
      <c r="DRN36" s="292"/>
      <c r="DRO36" s="292"/>
      <c r="DRP36" s="292"/>
      <c r="DRQ36" s="292"/>
      <c r="DRR36" s="292"/>
      <c r="DRS36" s="292"/>
      <c r="DRT36" s="292"/>
      <c r="DRU36" s="292"/>
      <c r="DRV36" s="292"/>
      <c r="DRW36" s="292"/>
      <c r="DRX36" s="292"/>
      <c r="DRY36" s="292"/>
      <c r="DRZ36" s="292"/>
      <c r="DSA36" s="292"/>
      <c r="DSB36" s="292"/>
      <c r="DSC36" s="292"/>
      <c r="DSD36" s="292"/>
      <c r="DSE36" s="292"/>
      <c r="DSF36" s="292"/>
      <c r="DSG36" s="292"/>
      <c r="DSH36" s="292"/>
      <c r="DSI36" s="292"/>
      <c r="DSJ36" s="292"/>
      <c r="DSK36" s="292"/>
      <c r="DSL36" s="292"/>
      <c r="DSM36" s="292"/>
      <c r="DSN36" s="292"/>
      <c r="DSO36" s="292"/>
      <c r="DSP36" s="292"/>
      <c r="DSQ36" s="292"/>
      <c r="DSR36" s="292"/>
      <c r="DSS36" s="292"/>
      <c r="DST36" s="292"/>
      <c r="DSU36" s="292"/>
      <c r="DSV36" s="292"/>
      <c r="DSW36" s="292"/>
      <c r="DSX36" s="292"/>
      <c r="DSY36" s="292"/>
      <c r="DSZ36" s="292"/>
      <c r="DTA36" s="292"/>
      <c r="DTB36" s="292"/>
      <c r="DTC36" s="292"/>
      <c r="DTD36" s="292"/>
      <c r="DTE36" s="292"/>
      <c r="DTF36" s="292"/>
      <c r="DTG36" s="292"/>
      <c r="DTH36" s="292"/>
      <c r="DTI36" s="292"/>
      <c r="DTJ36" s="292"/>
      <c r="DTK36" s="292"/>
      <c r="DTL36" s="292"/>
      <c r="DTM36" s="292"/>
      <c r="DTN36" s="292"/>
      <c r="DTO36" s="292"/>
      <c r="DTP36" s="292"/>
      <c r="DTQ36" s="292"/>
      <c r="DTR36" s="292"/>
      <c r="DTS36" s="292"/>
      <c r="DTT36" s="292"/>
      <c r="DTU36" s="292"/>
      <c r="DTV36" s="292"/>
      <c r="DTW36" s="292"/>
      <c r="DTX36" s="292"/>
      <c r="DTY36" s="292"/>
      <c r="DTZ36" s="292"/>
      <c r="DUA36" s="292"/>
      <c r="DUB36" s="292"/>
      <c r="DUC36" s="292"/>
      <c r="DUD36" s="292"/>
      <c r="DUE36" s="292"/>
      <c r="DUF36" s="292"/>
      <c r="DUG36" s="292"/>
      <c r="DUH36" s="292"/>
      <c r="DUI36" s="292"/>
      <c r="DUJ36" s="292"/>
      <c r="DUK36" s="292"/>
      <c r="DUL36" s="292"/>
      <c r="DUM36" s="292"/>
      <c r="DUN36" s="292"/>
      <c r="DUO36" s="292"/>
      <c r="DUP36" s="292"/>
      <c r="DUQ36" s="292"/>
      <c r="DUR36" s="292"/>
      <c r="DUS36" s="292"/>
      <c r="DUT36" s="292"/>
      <c r="DUU36" s="292"/>
      <c r="DUV36" s="292"/>
      <c r="DUW36" s="292"/>
      <c r="DUX36" s="292"/>
      <c r="DUY36" s="292"/>
      <c r="DUZ36" s="292"/>
      <c r="DVA36" s="292"/>
      <c r="DVB36" s="292"/>
      <c r="DVC36" s="292"/>
      <c r="DVD36" s="292"/>
      <c r="DVE36" s="292"/>
      <c r="DVF36" s="292"/>
      <c r="DVG36" s="292"/>
      <c r="DVH36" s="292"/>
      <c r="DVI36" s="292"/>
      <c r="DVJ36" s="292"/>
      <c r="DVK36" s="292"/>
      <c r="DVL36" s="292"/>
      <c r="DVM36" s="292"/>
      <c r="DVN36" s="292"/>
      <c r="DVO36" s="292"/>
      <c r="DVP36" s="292"/>
      <c r="DVQ36" s="292"/>
      <c r="DVR36" s="292"/>
      <c r="DVS36" s="292"/>
      <c r="DVT36" s="292"/>
      <c r="DVU36" s="292"/>
      <c r="DVV36" s="292"/>
      <c r="DVW36" s="292"/>
      <c r="DVX36" s="292"/>
      <c r="DVY36" s="292"/>
      <c r="DVZ36" s="292"/>
      <c r="DWA36" s="292"/>
      <c r="DWB36" s="292"/>
      <c r="DWC36" s="292"/>
      <c r="DWD36" s="292"/>
      <c r="DWE36" s="292"/>
      <c r="DWF36" s="292"/>
      <c r="DWG36" s="292"/>
      <c r="DWH36" s="292"/>
      <c r="DWI36" s="292"/>
      <c r="DWJ36" s="292"/>
      <c r="DWK36" s="292"/>
      <c r="DWL36" s="292"/>
      <c r="DWM36" s="292"/>
      <c r="DWN36" s="292"/>
      <c r="DWO36" s="292"/>
      <c r="DWP36" s="292"/>
      <c r="DWQ36" s="292"/>
      <c r="DWR36" s="292"/>
      <c r="DWS36" s="292"/>
      <c r="DWT36" s="292"/>
      <c r="DWU36" s="292"/>
      <c r="DWV36" s="292"/>
      <c r="DWW36" s="292"/>
      <c r="DWX36" s="292"/>
      <c r="DWY36" s="292"/>
      <c r="DWZ36" s="292"/>
      <c r="DXA36" s="292"/>
      <c r="DXB36" s="292"/>
      <c r="DXC36" s="292"/>
      <c r="DXD36" s="292"/>
      <c r="DXE36" s="292"/>
      <c r="DXF36" s="292"/>
      <c r="DXG36" s="292"/>
      <c r="DXH36" s="292"/>
      <c r="DXI36" s="292"/>
      <c r="DXJ36" s="292"/>
      <c r="DXK36" s="292"/>
      <c r="DXL36" s="292"/>
      <c r="DXM36" s="292"/>
      <c r="DXN36" s="292"/>
      <c r="DXO36" s="292"/>
      <c r="DXP36" s="292"/>
      <c r="DXQ36" s="292"/>
      <c r="DXR36" s="292"/>
      <c r="DXS36" s="292"/>
      <c r="DXT36" s="292"/>
      <c r="DXU36" s="292"/>
      <c r="DXV36" s="292"/>
      <c r="DXW36" s="292"/>
      <c r="DXX36" s="292"/>
      <c r="DXY36" s="292"/>
      <c r="DXZ36" s="292"/>
      <c r="DYA36" s="292"/>
      <c r="DYB36" s="292"/>
      <c r="DYC36" s="292"/>
      <c r="DYD36" s="292"/>
      <c r="DYE36" s="292"/>
      <c r="DYF36" s="292"/>
      <c r="DYG36" s="292"/>
      <c r="DYH36" s="292"/>
      <c r="DYI36" s="292"/>
      <c r="DYJ36" s="292"/>
      <c r="DYK36" s="292"/>
      <c r="DYL36" s="292"/>
      <c r="DYM36" s="292"/>
      <c r="DYN36" s="292"/>
      <c r="DYO36" s="292"/>
      <c r="DYP36" s="292"/>
      <c r="DYQ36" s="292"/>
      <c r="DYR36" s="292"/>
      <c r="DYS36" s="292"/>
      <c r="DYT36" s="292"/>
      <c r="DYU36" s="292"/>
      <c r="DYV36" s="292"/>
      <c r="DYW36" s="292"/>
      <c r="DYX36" s="292"/>
      <c r="DYY36" s="292"/>
      <c r="DYZ36" s="292"/>
      <c r="DZA36" s="292"/>
      <c r="DZB36" s="292"/>
      <c r="DZC36" s="292"/>
      <c r="DZD36" s="292"/>
      <c r="DZE36" s="292"/>
      <c r="DZF36" s="292"/>
      <c r="DZG36" s="292"/>
      <c r="DZH36" s="292"/>
      <c r="DZI36" s="292"/>
      <c r="DZJ36" s="292"/>
      <c r="DZK36" s="292"/>
      <c r="DZL36" s="292"/>
      <c r="DZM36" s="292"/>
      <c r="DZN36" s="292"/>
      <c r="DZO36" s="292"/>
      <c r="DZP36" s="292"/>
      <c r="DZQ36" s="292"/>
      <c r="DZR36" s="292"/>
      <c r="DZS36" s="292"/>
      <c r="DZT36" s="292"/>
      <c r="DZU36" s="292"/>
      <c r="DZV36" s="292"/>
      <c r="DZW36" s="292"/>
      <c r="DZX36" s="292"/>
      <c r="DZY36" s="292"/>
      <c r="DZZ36" s="292"/>
      <c r="EAA36" s="292"/>
      <c r="EAB36" s="292"/>
      <c r="EAC36" s="292"/>
      <c r="EAD36" s="292"/>
      <c r="EAE36" s="292"/>
      <c r="EAF36" s="292"/>
      <c r="EAG36" s="292"/>
      <c r="EAH36" s="292"/>
      <c r="EAI36" s="292"/>
      <c r="EAJ36" s="292"/>
      <c r="EAK36" s="292"/>
      <c r="EAL36" s="292"/>
      <c r="EAM36" s="292"/>
      <c r="EAN36" s="292"/>
      <c r="EAO36" s="292"/>
      <c r="EAP36" s="292"/>
      <c r="EAQ36" s="292"/>
      <c r="EAR36" s="292"/>
      <c r="EAS36" s="292"/>
      <c r="EAT36" s="292"/>
      <c r="EAU36" s="292"/>
      <c r="EAV36" s="292"/>
      <c r="EAW36" s="292"/>
      <c r="EAX36" s="292"/>
      <c r="EAY36" s="292"/>
      <c r="EAZ36" s="292"/>
      <c r="EBA36" s="292"/>
      <c r="EBB36" s="292"/>
      <c r="EBC36" s="292"/>
      <c r="EBD36" s="292"/>
      <c r="EBE36" s="292"/>
      <c r="EBF36" s="292"/>
      <c r="EBG36" s="292"/>
      <c r="EBH36" s="292"/>
      <c r="EBI36" s="292"/>
      <c r="EBJ36" s="292"/>
      <c r="EBK36" s="292"/>
      <c r="EBL36" s="292"/>
      <c r="EBM36" s="292"/>
      <c r="EBN36" s="292"/>
      <c r="EBO36" s="292"/>
      <c r="EBP36" s="292"/>
      <c r="EBQ36" s="292"/>
      <c r="EBR36" s="292"/>
      <c r="EBS36" s="292"/>
      <c r="EBT36" s="292"/>
      <c r="EBU36" s="292"/>
      <c r="EBV36" s="292"/>
      <c r="EBW36" s="292"/>
      <c r="EBX36" s="292"/>
      <c r="EBY36" s="292"/>
      <c r="EBZ36" s="292"/>
      <c r="ECA36" s="292"/>
      <c r="ECB36" s="292"/>
      <c r="ECC36" s="292"/>
      <c r="ECD36" s="292"/>
      <c r="ECE36" s="292"/>
      <c r="ECF36" s="292"/>
      <c r="ECG36" s="292"/>
      <c r="ECH36" s="292"/>
      <c r="ECI36" s="292"/>
      <c r="ECJ36" s="292"/>
      <c r="ECK36" s="292"/>
      <c r="ECL36" s="292"/>
      <c r="ECM36" s="292"/>
      <c r="ECN36" s="292"/>
      <c r="ECO36" s="292"/>
      <c r="ECP36" s="292"/>
      <c r="ECQ36" s="292"/>
      <c r="ECR36" s="292"/>
      <c r="ECS36" s="292"/>
      <c r="ECT36" s="292"/>
      <c r="ECU36" s="292"/>
      <c r="ECV36" s="292"/>
      <c r="ECW36" s="292"/>
      <c r="ECX36" s="292"/>
      <c r="ECY36" s="292"/>
      <c r="ECZ36" s="292"/>
      <c r="EDA36" s="292"/>
      <c r="EDB36" s="292"/>
      <c r="EDC36" s="292"/>
      <c r="EDD36" s="292"/>
      <c r="EDE36" s="292"/>
      <c r="EDF36" s="292"/>
      <c r="EDG36" s="292"/>
      <c r="EDH36" s="292"/>
      <c r="EDI36" s="292"/>
      <c r="EDJ36" s="292"/>
      <c r="EDK36" s="292"/>
      <c r="EDL36" s="292"/>
      <c r="EDM36" s="292"/>
      <c r="EDN36" s="292"/>
      <c r="EDO36" s="292"/>
      <c r="EDP36" s="292"/>
      <c r="EDQ36" s="292"/>
      <c r="EDR36" s="292"/>
      <c r="EDS36" s="292"/>
      <c r="EDT36" s="292"/>
      <c r="EDU36" s="292"/>
      <c r="EDV36" s="292"/>
      <c r="EDW36" s="292"/>
      <c r="EDX36" s="292"/>
      <c r="EDY36" s="292"/>
      <c r="EDZ36" s="292"/>
      <c r="EEA36" s="292"/>
      <c r="EEB36" s="292"/>
      <c r="EEC36" s="292"/>
      <c r="EED36" s="292"/>
      <c r="EEE36" s="292"/>
      <c r="EEF36" s="292"/>
      <c r="EEG36" s="292"/>
      <c r="EEH36" s="292"/>
      <c r="EEI36" s="292"/>
      <c r="EEJ36" s="292"/>
      <c r="EEK36" s="292"/>
      <c r="EEL36" s="292"/>
      <c r="EEM36" s="292"/>
      <c r="EEN36" s="292"/>
      <c r="EEO36" s="292"/>
      <c r="EEP36" s="292"/>
      <c r="EEQ36" s="292"/>
      <c r="EER36" s="292"/>
      <c r="EES36" s="292"/>
      <c r="EET36" s="292"/>
      <c r="EEU36" s="292"/>
      <c r="EEV36" s="292"/>
      <c r="EEW36" s="292"/>
      <c r="EEX36" s="292"/>
      <c r="EEY36" s="292"/>
      <c r="EEZ36" s="292"/>
      <c r="EFA36" s="292"/>
      <c r="EFB36" s="292"/>
      <c r="EFC36" s="292"/>
      <c r="EFD36" s="292"/>
      <c r="EFE36" s="292"/>
      <c r="EFF36" s="292"/>
      <c r="EFG36" s="292"/>
      <c r="EFH36" s="292"/>
      <c r="EFI36" s="292"/>
      <c r="EFJ36" s="292"/>
      <c r="EFK36" s="292"/>
      <c r="EFL36" s="292"/>
      <c r="EFM36" s="292"/>
      <c r="EFN36" s="292"/>
      <c r="EFO36" s="292"/>
      <c r="EFP36" s="292"/>
      <c r="EFQ36" s="292"/>
      <c r="EFR36" s="292"/>
      <c r="EFS36" s="292"/>
      <c r="EFT36" s="292"/>
      <c r="EFU36" s="292"/>
      <c r="EFV36" s="292"/>
      <c r="EFW36" s="292"/>
      <c r="EFX36" s="292"/>
      <c r="EFY36" s="292"/>
      <c r="EFZ36" s="292"/>
      <c r="EGA36" s="292"/>
      <c r="EGB36" s="292"/>
      <c r="EGC36" s="292"/>
      <c r="EGD36" s="292"/>
      <c r="EGE36" s="292"/>
      <c r="EGF36" s="292"/>
      <c r="EGG36" s="292"/>
      <c r="EGH36" s="292"/>
      <c r="EGI36" s="292"/>
      <c r="EGJ36" s="292"/>
      <c r="EGK36" s="292"/>
      <c r="EGL36" s="292"/>
      <c r="EGM36" s="292"/>
      <c r="EGN36" s="292"/>
      <c r="EGO36" s="292"/>
      <c r="EGP36" s="292"/>
      <c r="EGQ36" s="292"/>
      <c r="EGR36" s="292"/>
      <c r="EGS36" s="292"/>
      <c r="EGT36" s="292"/>
      <c r="EGU36" s="292"/>
      <c r="EGV36" s="292"/>
      <c r="EGW36" s="292"/>
      <c r="EGX36" s="292"/>
      <c r="EGY36" s="292"/>
      <c r="EGZ36" s="292"/>
      <c r="EHA36" s="292"/>
      <c r="EHB36" s="292"/>
      <c r="EHC36" s="292"/>
      <c r="EHD36" s="292"/>
      <c r="EHE36" s="292"/>
      <c r="EHF36" s="292"/>
      <c r="EHG36" s="292"/>
      <c r="EHH36" s="292"/>
      <c r="EHI36" s="292"/>
      <c r="EHJ36" s="292"/>
      <c r="EHK36" s="292"/>
      <c r="EHL36" s="292"/>
      <c r="EHM36" s="292"/>
      <c r="EHN36" s="292"/>
      <c r="EHO36" s="292"/>
      <c r="EHP36" s="292"/>
      <c r="EHQ36" s="292"/>
      <c r="EHR36" s="292"/>
      <c r="EHS36" s="292"/>
      <c r="EHT36" s="292"/>
      <c r="EHU36" s="292"/>
      <c r="EHV36" s="292"/>
      <c r="EHW36" s="292"/>
      <c r="EHX36" s="292"/>
      <c r="EHY36" s="292"/>
      <c r="EHZ36" s="292"/>
      <c r="EIA36" s="292"/>
      <c r="EIB36" s="292"/>
      <c r="EIC36" s="292"/>
      <c r="EID36" s="292"/>
      <c r="EIE36" s="292"/>
      <c r="EIF36" s="292"/>
      <c r="EIG36" s="292"/>
      <c r="EIH36" s="292"/>
      <c r="EII36" s="292"/>
      <c r="EIJ36" s="292"/>
      <c r="EIK36" s="292"/>
      <c r="EIL36" s="292"/>
      <c r="EIM36" s="292"/>
      <c r="EIN36" s="292"/>
      <c r="EIO36" s="292"/>
      <c r="EIP36" s="292"/>
      <c r="EIQ36" s="292"/>
      <c r="EIR36" s="292"/>
      <c r="EIS36" s="292"/>
      <c r="EIT36" s="292"/>
      <c r="EIU36" s="292"/>
      <c r="EIV36" s="292"/>
      <c r="EIW36" s="292"/>
      <c r="EIX36" s="292"/>
      <c r="EIY36" s="292"/>
      <c r="EIZ36" s="292"/>
      <c r="EJA36" s="292"/>
      <c r="EJB36" s="292"/>
      <c r="EJC36" s="292"/>
      <c r="EJD36" s="292"/>
      <c r="EJE36" s="292"/>
      <c r="EJF36" s="292"/>
      <c r="EJG36" s="292"/>
      <c r="EJH36" s="292"/>
      <c r="EJI36" s="292"/>
      <c r="EJJ36" s="292"/>
      <c r="EJK36" s="292"/>
      <c r="EJL36" s="292"/>
      <c r="EJM36" s="292"/>
      <c r="EJN36" s="292"/>
      <c r="EJO36" s="292"/>
      <c r="EJP36" s="292"/>
      <c r="EJQ36" s="292"/>
      <c r="EJR36" s="292"/>
      <c r="EJS36" s="292"/>
      <c r="EJT36" s="292"/>
      <c r="EJU36" s="292"/>
      <c r="EJV36" s="292"/>
      <c r="EJW36" s="292"/>
      <c r="EJX36" s="292"/>
      <c r="EJY36" s="292"/>
      <c r="EJZ36" s="292"/>
      <c r="EKA36" s="292"/>
      <c r="EKB36" s="292"/>
      <c r="EKC36" s="292"/>
      <c r="EKD36" s="292"/>
      <c r="EKE36" s="292"/>
      <c r="EKF36" s="292"/>
      <c r="EKG36" s="292"/>
      <c r="EKH36" s="292"/>
      <c r="EKI36" s="292"/>
      <c r="EKJ36" s="292"/>
      <c r="EKK36" s="292"/>
      <c r="EKL36" s="292"/>
      <c r="EKM36" s="292"/>
      <c r="EKN36" s="292"/>
      <c r="EKO36" s="292"/>
      <c r="EKP36" s="292"/>
      <c r="EKQ36" s="292"/>
      <c r="EKR36" s="292"/>
      <c r="EKS36" s="292"/>
      <c r="EKT36" s="292"/>
      <c r="EKU36" s="292"/>
      <c r="EKV36" s="292"/>
      <c r="EKW36" s="292"/>
      <c r="EKX36" s="292"/>
      <c r="EKY36" s="292"/>
      <c r="EKZ36" s="292"/>
      <c r="ELA36" s="292"/>
      <c r="ELB36" s="292"/>
      <c r="ELC36" s="292"/>
      <c r="ELD36" s="292"/>
      <c r="ELE36" s="292"/>
      <c r="ELF36" s="292"/>
      <c r="ELG36" s="292"/>
      <c r="ELH36" s="292"/>
      <c r="ELI36" s="292"/>
      <c r="ELJ36" s="292"/>
      <c r="ELK36" s="292"/>
      <c r="ELL36" s="292"/>
      <c r="ELM36" s="292"/>
      <c r="ELN36" s="292"/>
      <c r="ELO36" s="292"/>
      <c r="ELP36" s="292"/>
      <c r="ELQ36" s="292"/>
      <c r="ELR36" s="292"/>
      <c r="ELS36" s="292"/>
      <c r="ELT36" s="292"/>
      <c r="ELU36" s="292"/>
      <c r="ELV36" s="292"/>
      <c r="ELW36" s="292"/>
      <c r="ELX36" s="292"/>
      <c r="ELY36" s="292"/>
      <c r="ELZ36" s="292"/>
      <c r="EMA36" s="292"/>
      <c r="EMB36" s="292"/>
      <c r="EMC36" s="292"/>
      <c r="EMD36" s="292"/>
      <c r="EME36" s="292"/>
      <c r="EMF36" s="292"/>
      <c r="EMG36" s="292"/>
      <c r="EMH36" s="292"/>
      <c r="EMI36" s="292"/>
      <c r="EMJ36" s="292"/>
      <c r="EMK36" s="292"/>
      <c r="EML36" s="292"/>
      <c r="EMM36" s="292"/>
      <c r="EMN36" s="292"/>
      <c r="EMO36" s="292"/>
      <c r="EMP36" s="292"/>
      <c r="EMQ36" s="292"/>
      <c r="EMR36" s="292"/>
      <c r="EMS36" s="292"/>
      <c r="EMT36" s="292"/>
      <c r="EMU36" s="292"/>
      <c r="EMV36" s="292"/>
      <c r="EMW36" s="292"/>
      <c r="EMX36" s="292"/>
      <c r="EMY36" s="292"/>
      <c r="EMZ36" s="292"/>
      <c r="ENA36" s="292"/>
      <c r="ENB36" s="292"/>
      <c r="ENC36" s="292"/>
      <c r="END36" s="292"/>
      <c r="ENE36" s="292"/>
      <c r="ENF36" s="292"/>
      <c r="ENG36" s="292"/>
      <c r="ENH36" s="292"/>
      <c r="ENI36" s="292"/>
      <c r="ENJ36" s="292"/>
      <c r="ENK36" s="292"/>
      <c r="ENL36" s="292"/>
      <c r="ENM36" s="292"/>
      <c r="ENN36" s="292"/>
      <c r="ENO36" s="292"/>
      <c r="ENP36" s="292"/>
      <c r="ENQ36" s="292"/>
      <c r="ENR36" s="292"/>
      <c r="ENS36" s="292"/>
      <c r="ENT36" s="292"/>
      <c r="ENU36" s="292"/>
      <c r="ENV36" s="292"/>
      <c r="ENW36" s="292"/>
      <c r="ENX36" s="292"/>
      <c r="ENY36" s="292"/>
      <c r="ENZ36" s="292"/>
      <c r="EOA36" s="292"/>
      <c r="EOB36" s="292"/>
      <c r="EOC36" s="292"/>
      <c r="EOD36" s="292"/>
      <c r="EOE36" s="292"/>
      <c r="EOF36" s="292"/>
      <c r="EOG36" s="292"/>
      <c r="EOH36" s="292"/>
      <c r="EOI36" s="292"/>
      <c r="EOJ36" s="292"/>
      <c r="EOK36" s="292"/>
      <c r="EOL36" s="292"/>
      <c r="EOM36" s="292"/>
      <c r="EON36" s="292"/>
      <c r="EOO36" s="292"/>
      <c r="EOP36" s="292"/>
      <c r="EOQ36" s="292"/>
      <c r="EOR36" s="292"/>
      <c r="EOS36" s="292"/>
      <c r="EOT36" s="292"/>
      <c r="EOU36" s="292"/>
      <c r="EOV36" s="292"/>
      <c r="EOW36" s="292"/>
      <c r="EOX36" s="292"/>
      <c r="EOY36" s="292"/>
      <c r="EOZ36" s="292"/>
      <c r="EPA36" s="292"/>
      <c r="EPB36" s="292"/>
      <c r="EPC36" s="292"/>
      <c r="EPD36" s="292"/>
      <c r="EPE36" s="292"/>
      <c r="EPF36" s="292"/>
      <c r="EPG36" s="292"/>
      <c r="EPH36" s="292"/>
      <c r="EPI36" s="292"/>
      <c r="EPJ36" s="292"/>
      <c r="EPK36" s="292"/>
      <c r="EPL36" s="292"/>
      <c r="EPM36" s="292"/>
      <c r="EPN36" s="292"/>
      <c r="EPO36" s="292"/>
      <c r="EPP36" s="292"/>
      <c r="EPQ36" s="292"/>
      <c r="EPR36" s="292"/>
      <c r="EPS36" s="292"/>
      <c r="EPT36" s="292"/>
      <c r="EPU36" s="292"/>
      <c r="EPV36" s="292"/>
      <c r="EPW36" s="292"/>
      <c r="EPX36" s="292"/>
      <c r="EPY36" s="292"/>
      <c r="EPZ36" s="292"/>
      <c r="EQA36" s="292"/>
      <c r="EQB36" s="292"/>
      <c r="EQC36" s="292"/>
      <c r="EQD36" s="292"/>
      <c r="EQE36" s="292"/>
      <c r="EQF36" s="292"/>
      <c r="EQG36" s="292"/>
      <c r="EQH36" s="292"/>
      <c r="EQI36" s="292"/>
      <c r="EQJ36" s="292"/>
      <c r="EQK36" s="292"/>
      <c r="EQL36" s="292"/>
      <c r="EQM36" s="292"/>
      <c r="EQN36" s="292"/>
      <c r="EQO36" s="292"/>
      <c r="EQP36" s="292"/>
      <c r="EQQ36" s="292"/>
      <c r="EQR36" s="292"/>
      <c r="EQS36" s="292"/>
      <c r="EQT36" s="292"/>
      <c r="EQU36" s="292"/>
      <c r="EQV36" s="292"/>
      <c r="EQW36" s="292"/>
      <c r="EQX36" s="292"/>
      <c r="EQY36" s="292"/>
      <c r="EQZ36" s="292"/>
      <c r="ERA36" s="292"/>
      <c r="ERB36" s="292"/>
      <c r="ERC36" s="292"/>
      <c r="ERD36" s="292"/>
      <c r="ERE36" s="292"/>
      <c r="ERF36" s="292"/>
      <c r="ERG36" s="292"/>
      <c r="ERH36" s="292"/>
      <c r="ERI36" s="292"/>
      <c r="ERJ36" s="292"/>
      <c r="ERK36" s="292"/>
      <c r="ERL36" s="292"/>
      <c r="ERM36" s="292"/>
      <c r="ERN36" s="292"/>
      <c r="ERO36" s="292"/>
      <c r="ERP36" s="292"/>
      <c r="ERQ36" s="292"/>
      <c r="ERR36" s="292"/>
      <c r="ERS36" s="292"/>
      <c r="ERT36" s="292"/>
      <c r="ERU36" s="292"/>
      <c r="ERV36" s="292"/>
      <c r="ERW36" s="292"/>
      <c r="ERX36" s="292"/>
      <c r="ERY36" s="292"/>
      <c r="ERZ36" s="292"/>
      <c r="ESA36" s="292"/>
      <c r="ESB36" s="292"/>
      <c r="ESC36" s="292"/>
      <c r="ESD36" s="292"/>
      <c r="ESE36" s="292"/>
      <c r="ESF36" s="292"/>
      <c r="ESG36" s="292"/>
      <c r="ESH36" s="292"/>
      <c r="ESI36" s="292"/>
      <c r="ESJ36" s="292"/>
      <c r="ESK36" s="292"/>
      <c r="ESL36" s="292"/>
      <c r="ESM36" s="292"/>
      <c r="ESN36" s="292"/>
      <c r="ESO36" s="292"/>
      <c r="ESP36" s="292"/>
      <c r="ESQ36" s="292"/>
      <c r="ESR36" s="292"/>
      <c r="ESS36" s="292"/>
      <c r="EST36" s="292"/>
      <c r="ESU36" s="292"/>
      <c r="ESV36" s="292"/>
      <c r="ESW36" s="292"/>
      <c r="ESX36" s="292"/>
      <c r="ESY36" s="292"/>
      <c r="ESZ36" s="292"/>
      <c r="ETA36" s="292"/>
      <c r="ETB36" s="292"/>
      <c r="ETC36" s="292"/>
      <c r="ETD36" s="292"/>
      <c r="ETE36" s="292"/>
      <c r="ETF36" s="292"/>
      <c r="ETG36" s="292"/>
      <c r="ETH36" s="292"/>
      <c r="ETI36" s="292"/>
      <c r="ETJ36" s="292"/>
      <c r="ETK36" s="292"/>
      <c r="ETL36" s="292"/>
      <c r="ETM36" s="292"/>
      <c r="ETN36" s="292"/>
      <c r="ETO36" s="292"/>
      <c r="ETP36" s="292"/>
      <c r="ETQ36" s="292"/>
      <c r="ETR36" s="292"/>
      <c r="ETS36" s="292"/>
      <c r="ETT36" s="292"/>
      <c r="ETU36" s="292"/>
      <c r="ETV36" s="292"/>
      <c r="ETW36" s="292"/>
      <c r="ETX36" s="292"/>
      <c r="ETY36" s="292"/>
      <c r="ETZ36" s="292"/>
      <c r="EUA36" s="292"/>
      <c r="EUB36" s="292"/>
      <c r="EUC36" s="292"/>
      <c r="EUD36" s="292"/>
      <c r="EUE36" s="292"/>
      <c r="EUF36" s="292"/>
      <c r="EUG36" s="292"/>
      <c r="EUH36" s="292"/>
      <c r="EUI36" s="292"/>
      <c r="EUJ36" s="292"/>
      <c r="EUK36" s="292"/>
      <c r="EUL36" s="292"/>
      <c r="EUM36" s="292"/>
      <c r="EUN36" s="292"/>
      <c r="EUO36" s="292"/>
      <c r="EUP36" s="292"/>
      <c r="EUQ36" s="292"/>
      <c r="EUR36" s="292"/>
      <c r="EUS36" s="292"/>
      <c r="EUT36" s="292"/>
      <c r="EUU36" s="292"/>
      <c r="EUV36" s="292"/>
      <c r="EUW36" s="292"/>
      <c r="EUX36" s="292"/>
      <c r="EUY36" s="292"/>
      <c r="EUZ36" s="292"/>
      <c r="EVA36" s="292"/>
      <c r="EVB36" s="292"/>
      <c r="EVC36" s="292"/>
      <c r="EVD36" s="292"/>
      <c r="EVE36" s="292"/>
      <c r="EVF36" s="292"/>
      <c r="EVG36" s="292"/>
      <c r="EVH36" s="292"/>
      <c r="EVI36" s="292"/>
      <c r="EVJ36" s="292"/>
      <c r="EVK36" s="292"/>
      <c r="EVL36" s="292"/>
      <c r="EVM36" s="292"/>
      <c r="EVN36" s="292"/>
      <c r="EVO36" s="292"/>
      <c r="EVP36" s="292"/>
      <c r="EVQ36" s="292"/>
      <c r="EVR36" s="292"/>
      <c r="EVS36" s="292"/>
      <c r="EVT36" s="292"/>
      <c r="EVU36" s="292"/>
      <c r="EVV36" s="292"/>
      <c r="EVW36" s="292"/>
      <c r="EVX36" s="292"/>
      <c r="EVY36" s="292"/>
      <c r="EVZ36" s="292"/>
      <c r="EWA36" s="292"/>
      <c r="EWB36" s="292"/>
      <c r="EWC36" s="292"/>
      <c r="EWD36" s="292"/>
      <c r="EWE36" s="292"/>
      <c r="EWF36" s="292"/>
      <c r="EWG36" s="292"/>
      <c r="EWH36" s="292"/>
      <c r="EWI36" s="292"/>
      <c r="EWJ36" s="292"/>
      <c r="EWK36" s="292"/>
      <c r="EWL36" s="292"/>
      <c r="EWM36" s="292"/>
      <c r="EWN36" s="292"/>
      <c r="EWO36" s="292"/>
      <c r="EWP36" s="292"/>
      <c r="EWQ36" s="292"/>
      <c r="EWR36" s="292"/>
      <c r="EWS36" s="292"/>
      <c r="EWT36" s="292"/>
      <c r="EWU36" s="292"/>
      <c r="EWV36" s="292"/>
      <c r="EWW36" s="292"/>
      <c r="EWX36" s="292"/>
      <c r="EWY36" s="292"/>
      <c r="EWZ36" s="292"/>
      <c r="EXA36" s="292"/>
      <c r="EXB36" s="292"/>
      <c r="EXC36" s="292"/>
      <c r="EXD36" s="292"/>
      <c r="EXE36" s="292"/>
      <c r="EXF36" s="292"/>
      <c r="EXG36" s="292"/>
      <c r="EXH36" s="292"/>
      <c r="EXI36" s="292"/>
      <c r="EXJ36" s="292"/>
      <c r="EXK36" s="292"/>
      <c r="EXL36" s="292"/>
      <c r="EXM36" s="292"/>
      <c r="EXN36" s="292"/>
      <c r="EXO36" s="292"/>
      <c r="EXP36" s="292"/>
      <c r="EXQ36" s="292"/>
      <c r="EXR36" s="292"/>
      <c r="EXS36" s="292"/>
      <c r="EXT36" s="292"/>
      <c r="EXU36" s="292"/>
      <c r="EXV36" s="292"/>
      <c r="EXW36" s="292"/>
      <c r="EXX36" s="292"/>
      <c r="EXY36" s="292"/>
      <c r="EXZ36" s="292"/>
      <c r="EYA36" s="292"/>
      <c r="EYB36" s="292"/>
      <c r="EYC36" s="292"/>
      <c r="EYD36" s="292"/>
      <c r="EYE36" s="292"/>
      <c r="EYF36" s="292"/>
      <c r="EYG36" s="292"/>
      <c r="EYH36" s="292"/>
      <c r="EYI36" s="292"/>
      <c r="EYJ36" s="292"/>
      <c r="EYK36" s="292"/>
      <c r="EYL36" s="292"/>
      <c r="EYM36" s="292"/>
      <c r="EYN36" s="292"/>
      <c r="EYO36" s="292"/>
      <c r="EYP36" s="292"/>
      <c r="EYQ36" s="292"/>
      <c r="EYR36" s="292"/>
      <c r="EYS36" s="292"/>
      <c r="EYT36" s="292"/>
      <c r="EYU36" s="292"/>
      <c r="EYV36" s="292"/>
      <c r="EYW36" s="292"/>
      <c r="EYX36" s="292"/>
      <c r="EYY36" s="292"/>
      <c r="EYZ36" s="292"/>
      <c r="EZA36" s="292"/>
      <c r="EZB36" s="292"/>
      <c r="EZC36" s="292"/>
      <c r="EZD36" s="292"/>
      <c r="EZE36" s="292"/>
      <c r="EZF36" s="292"/>
      <c r="EZG36" s="292"/>
      <c r="EZH36" s="292"/>
      <c r="EZI36" s="292"/>
      <c r="EZJ36" s="292"/>
      <c r="EZK36" s="292"/>
      <c r="EZL36" s="292"/>
      <c r="EZM36" s="292"/>
      <c r="EZN36" s="292"/>
      <c r="EZO36" s="292"/>
      <c r="EZP36" s="292"/>
      <c r="EZQ36" s="292"/>
      <c r="EZR36" s="292"/>
      <c r="EZS36" s="292"/>
      <c r="EZT36" s="292"/>
      <c r="EZU36" s="292"/>
      <c r="EZV36" s="292"/>
      <c r="EZW36" s="292"/>
      <c r="EZX36" s="292"/>
      <c r="EZY36" s="292"/>
      <c r="EZZ36" s="292"/>
      <c r="FAA36" s="292"/>
      <c r="FAB36" s="292"/>
      <c r="FAC36" s="292"/>
      <c r="FAD36" s="292"/>
      <c r="FAE36" s="292"/>
      <c r="FAF36" s="292"/>
      <c r="FAG36" s="292"/>
      <c r="FAH36" s="292"/>
      <c r="FAI36" s="292"/>
      <c r="FAJ36" s="292"/>
      <c r="FAK36" s="292"/>
      <c r="FAL36" s="292"/>
      <c r="FAM36" s="292"/>
      <c r="FAN36" s="292"/>
      <c r="FAO36" s="292"/>
      <c r="FAP36" s="292"/>
      <c r="FAQ36" s="292"/>
      <c r="FAR36" s="292"/>
      <c r="FAS36" s="292"/>
      <c r="FAT36" s="292"/>
      <c r="FAU36" s="292"/>
      <c r="FAV36" s="292"/>
      <c r="FAW36" s="292"/>
      <c r="FAX36" s="292"/>
      <c r="FAY36" s="292"/>
      <c r="FAZ36" s="292"/>
      <c r="FBA36" s="292"/>
      <c r="FBB36" s="292"/>
      <c r="FBC36" s="292"/>
      <c r="FBD36" s="292"/>
      <c r="FBE36" s="292"/>
      <c r="FBF36" s="292"/>
      <c r="FBG36" s="292"/>
      <c r="FBH36" s="292"/>
      <c r="FBI36" s="292"/>
      <c r="FBJ36" s="292"/>
      <c r="FBK36" s="292"/>
      <c r="FBL36" s="292"/>
      <c r="FBM36" s="292"/>
      <c r="FBN36" s="292"/>
      <c r="FBO36" s="292"/>
      <c r="FBP36" s="292"/>
      <c r="FBQ36" s="292"/>
      <c r="FBR36" s="292"/>
      <c r="FBS36" s="292"/>
      <c r="FBT36" s="292"/>
      <c r="FBU36" s="292"/>
      <c r="FBV36" s="292"/>
      <c r="FBW36" s="292"/>
      <c r="FBX36" s="292"/>
      <c r="FBY36" s="292"/>
      <c r="FBZ36" s="292"/>
      <c r="FCA36" s="292"/>
      <c r="FCB36" s="292"/>
      <c r="FCC36" s="292"/>
      <c r="FCD36" s="292"/>
      <c r="FCE36" s="292"/>
      <c r="FCF36" s="292"/>
      <c r="FCG36" s="292"/>
      <c r="FCH36" s="292"/>
      <c r="FCI36" s="292"/>
      <c r="FCJ36" s="292"/>
      <c r="FCK36" s="292"/>
      <c r="FCL36" s="292"/>
      <c r="FCM36" s="292"/>
      <c r="FCN36" s="292"/>
      <c r="FCO36" s="292"/>
      <c r="FCP36" s="292"/>
      <c r="FCQ36" s="292"/>
      <c r="FCR36" s="292"/>
      <c r="FCS36" s="292"/>
      <c r="FCT36" s="292"/>
      <c r="FCU36" s="292"/>
      <c r="FCV36" s="292"/>
      <c r="FCW36" s="292"/>
      <c r="FCX36" s="292"/>
      <c r="FCY36" s="292"/>
      <c r="FCZ36" s="292"/>
      <c r="FDA36" s="292"/>
      <c r="FDB36" s="292"/>
      <c r="FDC36" s="292"/>
      <c r="FDD36" s="292"/>
      <c r="FDE36" s="292"/>
      <c r="FDF36" s="292"/>
      <c r="FDG36" s="292"/>
      <c r="FDH36" s="292"/>
      <c r="FDI36" s="292"/>
      <c r="FDJ36" s="292"/>
      <c r="FDK36" s="292"/>
      <c r="FDL36" s="292"/>
      <c r="FDM36" s="292"/>
      <c r="FDN36" s="292"/>
      <c r="FDO36" s="292"/>
      <c r="FDP36" s="292"/>
      <c r="FDQ36" s="292"/>
      <c r="FDR36" s="292"/>
      <c r="FDS36" s="292"/>
      <c r="FDT36" s="292"/>
      <c r="FDU36" s="292"/>
      <c r="FDV36" s="292"/>
      <c r="FDW36" s="292"/>
      <c r="FDX36" s="292"/>
      <c r="FDY36" s="292"/>
      <c r="FDZ36" s="292"/>
      <c r="FEA36" s="292"/>
      <c r="FEB36" s="292"/>
      <c r="FEC36" s="292"/>
      <c r="FED36" s="292"/>
      <c r="FEE36" s="292"/>
      <c r="FEF36" s="292"/>
      <c r="FEG36" s="292"/>
      <c r="FEH36" s="292"/>
      <c r="FEI36" s="292"/>
      <c r="FEJ36" s="292"/>
      <c r="FEK36" s="292"/>
      <c r="FEL36" s="292"/>
      <c r="FEM36" s="292"/>
      <c r="FEN36" s="292"/>
      <c r="FEO36" s="292"/>
      <c r="FEP36" s="292"/>
      <c r="FEQ36" s="292"/>
      <c r="FER36" s="292"/>
      <c r="FES36" s="292"/>
      <c r="FET36" s="292"/>
      <c r="FEU36" s="292"/>
      <c r="FEV36" s="292"/>
      <c r="FEW36" s="292"/>
      <c r="FEX36" s="292"/>
      <c r="FEY36" s="292"/>
      <c r="FEZ36" s="292"/>
      <c r="FFA36" s="292"/>
      <c r="FFB36" s="292"/>
      <c r="FFC36" s="292"/>
      <c r="FFD36" s="292"/>
      <c r="FFE36" s="292"/>
      <c r="FFF36" s="292"/>
      <c r="FFG36" s="292"/>
      <c r="FFH36" s="292"/>
      <c r="FFI36" s="292"/>
      <c r="FFJ36" s="292"/>
      <c r="FFK36" s="292"/>
      <c r="FFL36" s="292"/>
      <c r="FFM36" s="292"/>
      <c r="FFN36" s="292"/>
      <c r="FFO36" s="292"/>
      <c r="FFP36" s="292"/>
      <c r="FFQ36" s="292"/>
      <c r="FFR36" s="292"/>
      <c r="FFS36" s="292"/>
      <c r="FFT36" s="292"/>
      <c r="FFU36" s="292"/>
      <c r="FFV36" s="292"/>
      <c r="FFW36" s="292"/>
      <c r="FFX36" s="292"/>
      <c r="FFY36" s="292"/>
      <c r="FFZ36" s="292"/>
      <c r="FGA36" s="292"/>
      <c r="FGB36" s="292"/>
      <c r="FGC36" s="292"/>
      <c r="FGD36" s="292"/>
      <c r="FGE36" s="292"/>
      <c r="FGF36" s="292"/>
      <c r="FGG36" s="292"/>
      <c r="FGH36" s="292"/>
      <c r="FGI36" s="292"/>
      <c r="FGJ36" s="292"/>
      <c r="FGK36" s="292"/>
      <c r="FGL36" s="292"/>
      <c r="FGM36" s="292"/>
      <c r="FGN36" s="292"/>
      <c r="FGO36" s="292"/>
      <c r="FGP36" s="292"/>
      <c r="FGQ36" s="292"/>
      <c r="FGR36" s="292"/>
      <c r="FGS36" s="292"/>
      <c r="FGT36" s="292"/>
      <c r="FGU36" s="292"/>
      <c r="FGV36" s="292"/>
      <c r="FGW36" s="292"/>
      <c r="FGX36" s="292"/>
      <c r="FGY36" s="292"/>
      <c r="FGZ36" s="292"/>
      <c r="FHA36" s="292"/>
      <c r="FHB36" s="292"/>
      <c r="FHC36" s="292"/>
      <c r="FHD36" s="292"/>
      <c r="FHE36" s="292"/>
      <c r="FHF36" s="292"/>
      <c r="FHG36" s="292"/>
      <c r="FHH36" s="292"/>
      <c r="FHI36" s="292"/>
      <c r="FHJ36" s="292"/>
      <c r="FHK36" s="292"/>
      <c r="FHL36" s="292"/>
      <c r="FHM36" s="292"/>
      <c r="FHN36" s="292"/>
      <c r="FHO36" s="292"/>
      <c r="FHP36" s="292"/>
      <c r="FHQ36" s="292"/>
      <c r="FHR36" s="292"/>
      <c r="FHS36" s="292"/>
      <c r="FHT36" s="292"/>
      <c r="FHU36" s="292"/>
      <c r="FHV36" s="292"/>
      <c r="FHW36" s="292"/>
      <c r="FHX36" s="292"/>
      <c r="FHY36" s="292"/>
      <c r="FHZ36" s="292"/>
      <c r="FIA36" s="292"/>
      <c r="FIB36" s="292"/>
      <c r="FIC36" s="292"/>
      <c r="FID36" s="292"/>
      <c r="FIE36" s="292"/>
      <c r="FIF36" s="292"/>
      <c r="FIG36" s="292"/>
      <c r="FIH36" s="292"/>
      <c r="FII36" s="292"/>
      <c r="FIJ36" s="292"/>
      <c r="FIK36" s="292"/>
      <c r="FIL36" s="292"/>
      <c r="FIM36" s="292"/>
      <c r="FIN36" s="292"/>
      <c r="FIO36" s="292"/>
      <c r="FIP36" s="292"/>
      <c r="FIQ36" s="292"/>
      <c r="FIR36" s="292"/>
      <c r="FIS36" s="292"/>
      <c r="FIT36" s="292"/>
      <c r="FIU36" s="292"/>
      <c r="FIV36" s="292"/>
      <c r="FIW36" s="292"/>
      <c r="FIX36" s="292"/>
      <c r="FIY36" s="292"/>
      <c r="FIZ36" s="292"/>
      <c r="FJA36" s="292"/>
      <c r="FJB36" s="292"/>
      <c r="FJC36" s="292"/>
      <c r="FJD36" s="292"/>
      <c r="FJE36" s="292"/>
      <c r="FJF36" s="292"/>
      <c r="FJG36" s="292"/>
      <c r="FJH36" s="292"/>
      <c r="FJI36" s="292"/>
      <c r="FJJ36" s="292"/>
      <c r="FJK36" s="292"/>
      <c r="FJL36" s="292"/>
      <c r="FJM36" s="292"/>
      <c r="FJN36" s="292"/>
      <c r="FJO36" s="292"/>
      <c r="FJP36" s="292"/>
      <c r="FJQ36" s="292"/>
      <c r="FJR36" s="292"/>
      <c r="FJS36" s="292"/>
      <c r="FJT36" s="292"/>
      <c r="FJU36" s="292"/>
      <c r="FJV36" s="292"/>
      <c r="FJW36" s="292"/>
      <c r="FJX36" s="292"/>
      <c r="FJY36" s="292"/>
      <c r="FJZ36" s="292"/>
      <c r="FKA36" s="292"/>
      <c r="FKB36" s="292"/>
      <c r="FKC36" s="292"/>
      <c r="FKD36" s="292"/>
      <c r="FKE36" s="292"/>
      <c r="FKF36" s="292"/>
      <c r="FKG36" s="292"/>
      <c r="FKH36" s="292"/>
      <c r="FKI36" s="292"/>
      <c r="FKJ36" s="292"/>
      <c r="FKK36" s="292"/>
      <c r="FKL36" s="292"/>
      <c r="FKM36" s="292"/>
      <c r="FKN36" s="292"/>
      <c r="FKO36" s="292"/>
      <c r="FKP36" s="292"/>
      <c r="FKQ36" s="292"/>
      <c r="FKR36" s="292"/>
      <c r="FKS36" s="292"/>
      <c r="FKT36" s="292"/>
      <c r="FKU36" s="292"/>
      <c r="FKV36" s="292"/>
      <c r="FKW36" s="292"/>
      <c r="FKX36" s="292"/>
      <c r="FKY36" s="292"/>
      <c r="FKZ36" s="292"/>
      <c r="FLA36" s="292"/>
      <c r="FLB36" s="292"/>
      <c r="FLC36" s="292"/>
      <c r="FLD36" s="292"/>
      <c r="FLE36" s="292"/>
      <c r="FLF36" s="292"/>
      <c r="FLG36" s="292"/>
      <c r="FLH36" s="292"/>
      <c r="FLI36" s="292"/>
      <c r="FLJ36" s="292"/>
      <c r="FLK36" s="292"/>
      <c r="FLL36" s="292"/>
      <c r="FLM36" s="292"/>
      <c r="FLN36" s="292"/>
      <c r="FLO36" s="292"/>
      <c r="FLP36" s="292"/>
      <c r="FLQ36" s="292"/>
      <c r="FLR36" s="292"/>
      <c r="FLS36" s="292"/>
      <c r="FLT36" s="292"/>
      <c r="FLU36" s="292"/>
      <c r="FLV36" s="292"/>
      <c r="FLW36" s="292"/>
      <c r="FLX36" s="292"/>
      <c r="FLY36" s="292"/>
      <c r="FLZ36" s="292"/>
      <c r="FMA36" s="292"/>
      <c r="FMB36" s="292"/>
      <c r="FMC36" s="292"/>
      <c r="FMD36" s="292"/>
      <c r="FME36" s="292"/>
      <c r="FMF36" s="292"/>
      <c r="FMG36" s="292"/>
      <c r="FMH36" s="292"/>
      <c r="FMI36" s="292"/>
      <c r="FMJ36" s="292"/>
      <c r="FMK36" s="292"/>
      <c r="FML36" s="292"/>
      <c r="FMM36" s="292"/>
      <c r="FMN36" s="292"/>
      <c r="FMO36" s="292"/>
      <c r="FMP36" s="292"/>
      <c r="FMQ36" s="292"/>
      <c r="FMR36" s="292"/>
      <c r="FMS36" s="292"/>
      <c r="FMT36" s="292"/>
      <c r="FMU36" s="292"/>
      <c r="FMV36" s="292"/>
      <c r="FMW36" s="292"/>
      <c r="FMX36" s="292"/>
      <c r="FMY36" s="292"/>
      <c r="FMZ36" s="292"/>
      <c r="FNA36" s="292"/>
      <c r="FNB36" s="292"/>
      <c r="FNC36" s="292"/>
      <c r="FND36" s="292"/>
      <c r="FNE36" s="292"/>
      <c r="FNF36" s="292"/>
      <c r="FNG36" s="292"/>
      <c r="FNH36" s="292"/>
      <c r="FNI36" s="292"/>
      <c r="FNJ36" s="292"/>
      <c r="FNK36" s="292"/>
      <c r="FNL36" s="292"/>
      <c r="FNM36" s="292"/>
      <c r="FNN36" s="292"/>
      <c r="FNO36" s="292"/>
      <c r="FNP36" s="292"/>
      <c r="FNQ36" s="292"/>
      <c r="FNR36" s="292"/>
      <c r="FNS36" s="292"/>
      <c r="FNT36" s="292"/>
      <c r="FNU36" s="292"/>
      <c r="FNV36" s="292"/>
      <c r="FNW36" s="292"/>
      <c r="FNX36" s="292"/>
      <c r="FNY36" s="292"/>
      <c r="FNZ36" s="292"/>
      <c r="FOA36" s="292"/>
      <c r="FOB36" s="292"/>
      <c r="FOC36" s="292"/>
      <c r="FOD36" s="292"/>
      <c r="FOE36" s="292"/>
      <c r="FOF36" s="292"/>
      <c r="FOG36" s="292"/>
      <c r="FOH36" s="292"/>
      <c r="FOI36" s="292"/>
      <c r="FOJ36" s="292"/>
      <c r="FOK36" s="292"/>
      <c r="FOL36" s="292"/>
      <c r="FOM36" s="292"/>
      <c r="FON36" s="292"/>
      <c r="FOO36" s="292"/>
      <c r="FOP36" s="292"/>
      <c r="FOQ36" s="292"/>
      <c r="FOR36" s="292"/>
      <c r="FOS36" s="292"/>
      <c r="FOT36" s="292"/>
      <c r="FOU36" s="292"/>
      <c r="FOV36" s="292"/>
      <c r="FOW36" s="292"/>
      <c r="FOX36" s="292"/>
      <c r="FOY36" s="292"/>
      <c r="FOZ36" s="292"/>
      <c r="FPA36" s="292"/>
      <c r="FPB36" s="292"/>
      <c r="FPC36" s="292"/>
      <c r="FPD36" s="292"/>
      <c r="FPE36" s="292"/>
      <c r="FPF36" s="292"/>
      <c r="FPG36" s="292"/>
      <c r="FPH36" s="292"/>
      <c r="FPI36" s="292"/>
      <c r="FPJ36" s="292"/>
      <c r="FPK36" s="292"/>
      <c r="FPL36" s="292"/>
      <c r="FPM36" s="292"/>
      <c r="FPN36" s="292"/>
      <c r="FPO36" s="292"/>
      <c r="FPP36" s="292"/>
      <c r="FPQ36" s="292"/>
      <c r="FPR36" s="292"/>
      <c r="FPS36" s="292"/>
      <c r="FPT36" s="292"/>
      <c r="FPU36" s="292"/>
      <c r="FPV36" s="292"/>
      <c r="FPW36" s="292"/>
      <c r="FPX36" s="292"/>
      <c r="FPY36" s="292"/>
      <c r="FPZ36" s="292"/>
      <c r="FQA36" s="292"/>
      <c r="FQB36" s="292"/>
      <c r="FQC36" s="292"/>
      <c r="FQD36" s="292"/>
      <c r="FQE36" s="292"/>
      <c r="FQF36" s="292"/>
      <c r="FQG36" s="292"/>
      <c r="FQH36" s="292"/>
      <c r="FQI36" s="292"/>
      <c r="FQJ36" s="292"/>
      <c r="FQK36" s="292"/>
      <c r="FQL36" s="292"/>
      <c r="FQM36" s="292"/>
      <c r="FQN36" s="292"/>
      <c r="FQO36" s="292"/>
      <c r="FQP36" s="292"/>
      <c r="FQQ36" s="292"/>
      <c r="FQR36" s="292"/>
      <c r="FQS36" s="292"/>
      <c r="FQT36" s="292"/>
      <c r="FQU36" s="292"/>
      <c r="FQV36" s="292"/>
      <c r="FQW36" s="292"/>
      <c r="FQX36" s="292"/>
      <c r="FQY36" s="292"/>
      <c r="FQZ36" s="292"/>
      <c r="FRA36" s="292"/>
      <c r="FRB36" s="292"/>
      <c r="FRC36" s="292"/>
      <c r="FRD36" s="292"/>
      <c r="FRE36" s="292"/>
      <c r="FRF36" s="292"/>
      <c r="FRG36" s="292"/>
      <c r="FRH36" s="292"/>
      <c r="FRI36" s="292"/>
      <c r="FRJ36" s="292"/>
      <c r="FRK36" s="292"/>
      <c r="FRL36" s="292"/>
      <c r="FRM36" s="292"/>
      <c r="FRN36" s="292"/>
      <c r="FRO36" s="292"/>
      <c r="FRP36" s="292"/>
      <c r="FRQ36" s="292"/>
      <c r="FRR36" s="292"/>
      <c r="FRS36" s="292"/>
      <c r="FRT36" s="292"/>
      <c r="FRU36" s="292"/>
      <c r="FRV36" s="292"/>
      <c r="FRW36" s="292"/>
      <c r="FRX36" s="292"/>
      <c r="FRY36" s="292"/>
      <c r="FRZ36" s="292"/>
      <c r="FSA36" s="292"/>
      <c r="FSB36" s="292"/>
      <c r="FSC36" s="292"/>
      <c r="FSD36" s="292"/>
      <c r="FSE36" s="292"/>
      <c r="FSF36" s="292"/>
      <c r="FSG36" s="292"/>
      <c r="FSH36" s="292"/>
      <c r="FSI36" s="292"/>
      <c r="FSJ36" s="292"/>
      <c r="FSK36" s="292"/>
      <c r="FSL36" s="292"/>
      <c r="FSM36" s="292"/>
      <c r="FSN36" s="292"/>
      <c r="FSO36" s="292"/>
      <c r="FSP36" s="292"/>
      <c r="FSQ36" s="292"/>
      <c r="FSR36" s="292"/>
      <c r="FSS36" s="292"/>
      <c r="FST36" s="292"/>
      <c r="FSU36" s="292"/>
      <c r="FSV36" s="292"/>
      <c r="FSW36" s="292"/>
      <c r="FSX36" s="292"/>
      <c r="FSY36" s="292"/>
      <c r="FSZ36" s="292"/>
      <c r="FTA36" s="292"/>
      <c r="FTB36" s="292"/>
      <c r="FTC36" s="292"/>
      <c r="FTD36" s="292"/>
      <c r="FTE36" s="292"/>
      <c r="FTF36" s="292"/>
      <c r="FTG36" s="292"/>
      <c r="FTH36" s="292"/>
      <c r="FTI36" s="292"/>
      <c r="FTJ36" s="292"/>
      <c r="FTK36" s="292"/>
      <c r="FTL36" s="292"/>
      <c r="FTM36" s="292"/>
      <c r="FTN36" s="292"/>
      <c r="FTO36" s="292"/>
      <c r="FTP36" s="292"/>
      <c r="FTQ36" s="292"/>
      <c r="FTR36" s="292"/>
      <c r="FTS36" s="292"/>
      <c r="FTT36" s="292"/>
      <c r="FTU36" s="292"/>
      <c r="FTV36" s="292"/>
      <c r="FTW36" s="292"/>
      <c r="FTX36" s="292"/>
      <c r="FTY36" s="292"/>
      <c r="FTZ36" s="292"/>
      <c r="FUA36" s="292"/>
      <c r="FUB36" s="292"/>
      <c r="FUC36" s="292"/>
      <c r="FUD36" s="292"/>
      <c r="FUE36" s="292"/>
      <c r="FUF36" s="292"/>
      <c r="FUG36" s="292"/>
      <c r="FUH36" s="292"/>
      <c r="FUI36" s="292"/>
      <c r="FUJ36" s="292"/>
      <c r="FUK36" s="292"/>
      <c r="FUL36" s="292"/>
      <c r="FUM36" s="292"/>
      <c r="FUN36" s="292"/>
      <c r="FUO36" s="292"/>
      <c r="FUP36" s="292"/>
      <c r="FUQ36" s="292"/>
      <c r="FUR36" s="292"/>
      <c r="FUS36" s="292"/>
      <c r="FUT36" s="292"/>
      <c r="FUU36" s="292"/>
      <c r="FUV36" s="292"/>
      <c r="FUW36" s="292"/>
      <c r="FUX36" s="292"/>
      <c r="FUY36" s="292"/>
      <c r="FUZ36" s="292"/>
      <c r="FVA36" s="292"/>
      <c r="FVB36" s="292"/>
      <c r="FVC36" s="292"/>
      <c r="FVD36" s="292"/>
      <c r="FVE36" s="292"/>
      <c r="FVF36" s="292"/>
      <c r="FVG36" s="292"/>
      <c r="FVH36" s="292"/>
      <c r="FVI36" s="292"/>
      <c r="FVJ36" s="292"/>
      <c r="FVK36" s="292"/>
      <c r="FVL36" s="292"/>
      <c r="FVM36" s="292"/>
      <c r="FVN36" s="292"/>
      <c r="FVO36" s="292"/>
      <c r="FVP36" s="292"/>
      <c r="FVQ36" s="292"/>
      <c r="FVR36" s="292"/>
      <c r="FVS36" s="292"/>
      <c r="FVT36" s="292"/>
      <c r="FVU36" s="292"/>
      <c r="FVV36" s="292"/>
      <c r="FVW36" s="292"/>
      <c r="FVX36" s="292"/>
      <c r="FVY36" s="292"/>
      <c r="FVZ36" s="292"/>
      <c r="FWA36" s="292"/>
      <c r="FWB36" s="292"/>
      <c r="FWC36" s="292"/>
      <c r="FWD36" s="292"/>
      <c r="FWE36" s="292"/>
      <c r="FWF36" s="292"/>
      <c r="FWG36" s="292"/>
      <c r="FWH36" s="292"/>
      <c r="FWI36" s="292"/>
      <c r="FWJ36" s="292"/>
      <c r="FWK36" s="292"/>
      <c r="FWL36" s="292"/>
      <c r="FWM36" s="292"/>
      <c r="FWN36" s="292"/>
      <c r="FWO36" s="292"/>
      <c r="FWP36" s="292"/>
      <c r="FWQ36" s="292"/>
      <c r="FWR36" s="292"/>
      <c r="FWS36" s="292"/>
      <c r="FWT36" s="292"/>
      <c r="FWU36" s="292"/>
      <c r="FWV36" s="292"/>
      <c r="FWW36" s="292"/>
      <c r="FWX36" s="292"/>
      <c r="FWY36" s="292"/>
      <c r="FWZ36" s="292"/>
      <c r="FXA36" s="292"/>
      <c r="FXB36" s="292"/>
      <c r="FXC36" s="292"/>
      <c r="FXD36" s="292"/>
      <c r="FXE36" s="292"/>
      <c r="FXF36" s="292"/>
      <c r="FXG36" s="292"/>
      <c r="FXH36" s="292"/>
      <c r="FXI36" s="292"/>
      <c r="FXJ36" s="292"/>
      <c r="FXK36" s="292"/>
      <c r="FXL36" s="292"/>
      <c r="FXM36" s="292"/>
      <c r="FXN36" s="292"/>
      <c r="FXO36" s="292"/>
      <c r="FXP36" s="292"/>
      <c r="FXQ36" s="292"/>
      <c r="FXR36" s="292"/>
      <c r="FXS36" s="292"/>
      <c r="FXT36" s="292"/>
      <c r="FXU36" s="292"/>
      <c r="FXV36" s="292"/>
      <c r="FXW36" s="292"/>
      <c r="FXX36" s="292"/>
      <c r="FXY36" s="292"/>
      <c r="FXZ36" s="292"/>
      <c r="FYA36" s="292"/>
      <c r="FYB36" s="292"/>
      <c r="FYC36" s="292"/>
      <c r="FYD36" s="292"/>
      <c r="FYE36" s="292"/>
      <c r="FYF36" s="292"/>
      <c r="FYG36" s="292"/>
      <c r="FYH36" s="292"/>
      <c r="FYI36" s="292"/>
      <c r="FYJ36" s="292"/>
      <c r="FYK36" s="292"/>
      <c r="FYL36" s="292"/>
      <c r="FYM36" s="292"/>
      <c r="FYN36" s="292"/>
      <c r="FYO36" s="292"/>
      <c r="FYP36" s="292"/>
      <c r="FYQ36" s="292"/>
      <c r="FYR36" s="292"/>
      <c r="FYS36" s="292"/>
      <c r="FYT36" s="292"/>
      <c r="FYU36" s="292"/>
      <c r="FYV36" s="292"/>
      <c r="FYW36" s="292"/>
      <c r="FYX36" s="292"/>
      <c r="FYY36" s="292"/>
      <c r="FYZ36" s="292"/>
      <c r="FZA36" s="292"/>
      <c r="FZB36" s="292"/>
      <c r="FZC36" s="292"/>
      <c r="FZD36" s="292"/>
      <c r="FZE36" s="292"/>
      <c r="FZF36" s="292"/>
      <c r="FZG36" s="292"/>
      <c r="FZH36" s="292"/>
      <c r="FZI36" s="292"/>
      <c r="FZJ36" s="292"/>
      <c r="FZK36" s="292"/>
      <c r="FZL36" s="292"/>
      <c r="FZM36" s="292"/>
      <c r="FZN36" s="292"/>
      <c r="FZO36" s="292"/>
      <c r="FZP36" s="292"/>
      <c r="FZQ36" s="292"/>
      <c r="FZR36" s="292"/>
      <c r="FZS36" s="292"/>
      <c r="FZT36" s="292"/>
      <c r="FZU36" s="292"/>
      <c r="FZV36" s="292"/>
      <c r="FZW36" s="292"/>
      <c r="FZX36" s="292"/>
      <c r="FZY36" s="292"/>
      <c r="FZZ36" s="292"/>
      <c r="GAA36" s="292"/>
      <c r="GAB36" s="292"/>
      <c r="GAC36" s="292"/>
      <c r="GAD36" s="292"/>
      <c r="GAE36" s="292"/>
      <c r="GAF36" s="292"/>
      <c r="GAG36" s="292"/>
      <c r="GAH36" s="292"/>
      <c r="GAI36" s="292"/>
      <c r="GAJ36" s="292"/>
      <c r="GAK36" s="292"/>
      <c r="GAL36" s="292"/>
      <c r="GAM36" s="292"/>
      <c r="GAN36" s="292"/>
      <c r="GAO36" s="292"/>
      <c r="GAP36" s="292"/>
      <c r="GAQ36" s="292"/>
      <c r="GAR36" s="292"/>
      <c r="GAS36" s="292"/>
      <c r="GAT36" s="292"/>
      <c r="GAU36" s="292"/>
      <c r="GAV36" s="292"/>
      <c r="GAW36" s="292"/>
      <c r="GAX36" s="292"/>
      <c r="GAY36" s="292"/>
      <c r="GAZ36" s="292"/>
      <c r="GBA36" s="292"/>
      <c r="GBB36" s="292"/>
      <c r="GBC36" s="292"/>
      <c r="GBD36" s="292"/>
      <c r="GBE36" s="292"/>
      <c r="GBF36" s="292"/>
      <c r="GBG36" s="292"/>
      <c r="GBH36" s="292"/>
      <c r="GBI36" s="292"/>
      <c r="GBJ36" s="292"/>
      <c r="GBK36" s="292"/>
      <c r="GBL36" s="292"/>
      <c r="GBM36" s="292"/>
      <c r="GBN36" s="292"/>
      <c r="GBO36" s="292"/>
      <c r="GBP36" s="292"/>
      <c r="GBQ36" s="292"/>
      <c r="GBR36" s="292"/>
      <c r="GBS36" s="292"/>
      <c r="GBT36" s="292"/>
      <c r="GBU36" s="292"/>
      <c r="GBV36" s="292"/>
      <c r="GBW36" s="292"/>
      <c r="GBX36" s="292"/>
      <c r="GBY36" s="292"/>
      <c r="GBZ36" s="292"/>
      <c r="GCA36" s="292"/>
      <c r="GCB36" s="292"/>
      <c r="GCC36" s="292"/>
      <c r="GCD36" s="292"/>
      <c r="GCE36" s="292"/>
      <c r="GCF36" s="292"/>
      <c r="GCG36" s="292"/>
      <c r="GCH36" s="292"/>
      <c r="GCI36" s="292"/>
      <c r="GCJ36" s="292"/>
      <c r="GCK36" s="292"/>
      <c r="GCL36" s="292"/>
      <c r="GCM36" s="292"/>
      <c r="GCN36" s="292"/>
      <c r="GCO36" s="292"/>
      <c r="GCP36" s="292"/>
      <c r="GCQ36" s="292"/>
      <c r="GCR36" s="292"/>
      <c r="GCS36" s="292"/>
      <c r="GCT36" s="292"/>
      <c r="GCU36" s="292"/>
      <c r="GCV36" s="292"/>
      <c r="GCW36" s="292"/>
      <c r="GCX36" s="292"/>
      <c r="GCY36" s="292"/>
      <c r="GCZ36" s="292"/>
      <c r="GDA36" s="292"/>
      <c r="GDB36" s="292"/>
      <c r="GDC36" s="292"/>
      <c r="GDD36" s="292"/>
      <c r="GDE36" s="292"/>
      <c r="GDF36" s="292"/>
      <c r="GDG36" s="292"/>
      <c r="GDH36" s="292"/>
      <c r="GDI36" s="292"/>
      <c r="GDJ36" s="292"/>
      <c r="GDK36" s="292"/>
      <c r="GDL36" s="292"/>
      <c r="GDM36" s="292"/>
      <c r="GDN36" s="292"/>
      <c r="GDO36" s="292"/>
      <c r="GDP36" s="292"/>
      <c r="GDQ36" s="292"/>
      <c r="GDR36" s="292"/>
      <c r="GDS36" s="292"/>
      <c r="GDT36" s="292"/>
      <c r="GDU36" s="292"/>
      <c r="GDV36" s="292"/>
      <c r="GDW36" s="292"/>
      <c r="GDX36" s="292"/>
      <c r="GDY36" s="292"/>
      <c r="GDZ36" s="292"/>
      <c r="GEA36" s="292"/>
      <c r="GEB36" s="292"/>
      <c r="GEC36" s="292"/>
      <c r="GED36" s="292"/>
      <c r="GEE36" s="292"/>
      <c r="GEF36" s="292"/>
      <c r="GEG36" s="292"/>
      <c r="GEH36" s="292"/>
      <c r="GEI36" s="292"/>
      <c r="GEJ36" s="292"/>
      <c r="GEK36" s="292"/>
      <c r="GEL36" s="292"/>
      <c r="GEM36" s="292"/>
      <c r="GEN36" s="292"/>
      <c r="GEO36" s="292"/>
      <c r="GEP36" s="292"/>
      <c r="GEQ36" s="292"/>
      <c r="GER36" s="292"/>
      <c r="GES36" s="292"/>
      <c r="GET36" s="292"/>
      <c r="GEU36" s="292"/>
      <c r="GEV36" s="292"/>
      <c r="GEW36" s="292"/>
      <c r="GEX36" s="292"/>
      <c r="GEY36" s="292"/>
      <c r="GEZ36" s="292"/>
      <c r="GFA36" s="292"/>
      <c r="GFB36" s="292"/>
      <c r="GFC36" s="292"/>
      <c r="GFD36" s="292"/>
      <c r="GFE36" s="292"/>
      <c r="GFF36" s="292"/>
      <c r="GFG36" s="292"/>
      <c r="GFH36" s="292"/>
      <c r="GFI36" s="292"/>
      <c r="GFJ36" s="292"/>
      <c r="GFK36" s="292"/>
      <c r="GFL36" s="292"/>
      <c r="GFM36" s="292"/>
      <c r="GFN36" s="292"/>
      <c r="GFO36" s="292"/>
      <c r="GFP36" s="292"/>
      <c r="GFQ36" s="292"/>
      <c r="GFR36" s="292"/>
      <c r="GFS36" s="292"/>
      <c r="GFT36" s="292"/>
      <c r="GFU36" s="292"/>
      <c r="GFV36" s="292"/>
      <c r="GFW36" s="292"/>
      <c r="GFX36" s="292"/>
      <c r="GFY36" s="292"/>
      <c r="GFZ36" s="292"/>
      <c r="GGA36" s="292"/>
      <c r="GGB36" s="292"/>
      <c r="GGC36" s="292"/>
      <c r="GGD36" s="292"/>
      <c r="GGE36" s="292"/>
      <c r="GGF36" s="292"/>
      <c r="GGG36" s="292"/>
      <c r="GGH36" s="292"/>
      <c r="GGI36" s="292"/>
      <c r="GGJ36" s="292"/>
      <c r="GGK36" s="292"/>
      <c r="GGL36" s="292"/>
      <c r="GGM36" s="292"/>
      <c r="GGN36" s="292"/>
      <c r="GGO36" s="292"/>
      <c r="GGP36" s="292"/>
      <c r="GGQ36" s="292"/>
      <c r="GGR36" s="292"/>
      <c r="GGS36" s="292"/>
      <c r="GGT36" s="292"/>
      <c r="GGU36" s="292"/>
      <c r="GGV36" s="292"/>
      <c r="GGW36" s="292"/>
      <c r="GGX36" s="292"/>
      <c r="GGY36" s="292"/>
      <c r="GGZ36" s="292"/>
      <c r="GHA36" s="292"/>
      <c r="GHB36" s="292"/>
      <c r="GHC36" s="292"/>
      <c r="GHD36" s="292"/>
      <c r="GHE36" s="292"/>
      <c r="GHF36" s="292"/>
      <c r="GHG36" s="292"/>
      <c r="GHH36" s="292"/>
      <c r="GHI36" s="292"/>
      <c r="GHJ36" s="292"/>
      <c r="GHK36" s="292"/>
      <c r="GHL36" s="292"/>
      <c r="GHM36" s="292"/>
      <c r="GHN36" s="292"/>
      <c r="GHO36" s="292"/>
      <c r="GHP36" s="292"/>
      <c r="GHQ36" s="292"/>
      <c r="GHR36" s="292"/>
      <c r="GHS36" s="292"/>
      <c r="GHT36" s="292"/>
      <c r="GHU36" s="292"/>
      <c r="GHV36" s="292"/>
      <c r="GHW36" s="292"/>
      <c r="GHX36" s="292"/>
      <c r="GHY36" s="292"/>
      <c r="GHZ36" s="292"/>
      <c r="GIA36" s="292"/>
      <c r="GIB36" s="292"/>
      <c r="GIC36" s="292"/>
      <c r="GID36" s="292"/>
      <c r="GIE36" s="292"/>
      <c r="GIF36" s="292"/>
      <c r="GIG36" s="292"/>
      <c r="GIH36" s="292"/>
      <c r="GII36" s="292"/>
      <c r="GIJ36" s="292"/>
      <c r="GIK36" s="292"/>
      <c r="GIL36" s="292"/>
      <c r="GIM36" s="292"/>
      <c r="GIN36" s="292"/>
      <c r="GIO36" s="292"/>
      <c r="GIP36" s="292"/>
      <c r="GIQ36" s="292"/>
      <c r="GIR36" s="292"/>
      <c r="GIS36" s="292"/>
      <c r="GIT36" s="292"/>
      <c r="GIU36" s="292"/>
      <c r="GIV36" s="292"/>
      <c r="GIW36" s="292"/>
      <c r="GIX36" s="292"/>
      <c r="GIY36" s="292"/>
      <c r="GIZ36" s="292"/>
      <c r="GJA36" s="292"/>
      <c r="GJB36" s="292"/>
      <c r="GJC36" s="292"/>
      <c r="GJD36" s="292"/>
      <c r="GJE36" s="292"/>
      <c r="GJF36" s="292"/>
      <c r="GJG36" s="292"/>
      <c r="GJH36" s="292"/>
      <c r="GJI36" s="292"/>
      <c r="GJJ36" s="292"/>
      <c r="GJK36" s="292"/>
      <c r="GJL36" s="292"/>
      <c r="GJM36" s="292"/>
      <c r="GJN36" s="292"/>
      <c r="GJO36" s="292"/>
      <c r="GJP36" s="292"/>
      <c r="GJQ36" s="292"/>
      <c r="GJR36" s="292"/>
      <c r="GJS36" s="292"/>
      <c r="GJT36" s="292"/>
      <c r="GJU36" s="292"/>
      <c r="GJV36" s="292"/>
      <c r="GJW36" s="292"/>
      <c r="GJX36" s="292"/>
      <c r="GJY36" s="292"/>
      <c r="GJZ36" s="292"/>
      <c r="GKA36" s="292"/>
      <c r="GKB36" s="292"/>
      <c r="GKC36" s="292"/>
      <c r="GKD36" s="292"/>
      <c r="GKE36" s="292"/>
      <c r="GKF36" s="292"/>
      <c r="GKG36" s="292"/>
      <c r="GKH36" s="292"/>
      <c r="GKI36" s="292"/>
      <c r="GKJ36" s="292"/>
      <c r="GKK36" s="292"/>
      <c r="GKL36" s="292"/>
      <c r="GKM36" s="292"/>
      <c r="GKN36" s="292"/>
      <c r="GKO36" s="292"/>
      <c r="GKP36" s="292"/>
      <c r="GKQ36" s="292"/>
      <c r="GKR36" s="292"/>
      <c r="GKS36" s="292"/>
      <c r="GKT36" s="292"/>
      <c r="GKU36" s="292"/>
      <c r="GKV36" s="292"/>
      <c r="GKW36" s="292"/>
      <c r="GKX36" s="292"/>
      <c r="GKY36" s="292"/>
      <c r="GKZ36" s="292"/>
      <c r="GLA36" s="292"/>
      <c r="GLB36" s="292"/>
      <c r="GLC36" s="292"/>
      <c r="GLD36" s="292"/>
      <c r="GLE36" s="292"/>
      <c r="GLF36" s="292"/>
      <c r="GLG36" s="292"/>
      <c r="GLH36" s="292"/>
      <c r="GLI36" s="292"/>
      <c r="GLJ36" s="292"/>
      <c r="GLK36" s="292"/>
      <c r="GLL36" s="292"/>
      <c r="GLM36" s="292"/>
      <c r="GLN36" s="292"/>
      <c r="GLO36" s="292"/>
      <c r="GLP36" s="292"/>
      <c r="GLQ36" s="292"/>
      <c r="GLR36" s="292"/>
      <c r="GLS36" s="292"/>
      <c r="GLT36" s="292"/>
      <c r="GLU36" s="292"/>
      <c r="GLV36" s="292"/>
      <c r="GLW36" s="292"/>
      <c r="GLX36" s="292"/>
      <c r="GLY36" s="292"/>
      <c r="GLZ36" s="292"/>
      <c r="GMA36" s="292"/>
      <c r="GMB36" s="292"/>
      <c r="GMC36" s="292"/>
      <c r="GMD36" s="292"/>
      <c r="GME36" s="292"/>
      <c r="GMF36" s="292"/>
      <c r="GMG36" s="292"/>
      <c r="GMH36" s="292"/>
      <c r="GMI36" s="292"/>
      <c r="GMJ36" s="292"/>
      <c r="GMK36" s="292"/>
      <c r="GML36" s="292"/>
      <c r="GMM36" s="292"/>
      <c r="GMN36" s="292"/>
      <c r="GMO36" s="292"/>
      <c r="GMP36" s="292"/>
      <c r="GMQ36" s="292"/>
      <c r="GMR36" s="292"/>
      <c r="GMS36" s="292"/>
      <c r="GMT36" s="292"/>
      <c r="GMU36" s="292"/>
      <c r="GMV36" s="292"/>
      <c r="GMW36" s="292"/>
      <c r="GMX36" s="292"/>
      <c r="GMY36" s="292"/>
      <c r="GMZ36" s="292"/>
      <c r="GNA36" s="292"/>
      <c r="GNB36" s="292"/>
      <c r="GNC36" s="292"/>
      <c r="GND36" s="292"/>
      <c r="GNE36" s="292"/>
      <c r="GNF36" s="292"/>
      <c r="GNG36" s="292"/>
      <c r="GNH36" s="292"/>
      <c r="GNI36" s="292"/>
      <c r="GNJ36" s="292"/>
      <c r="GNK36" s="292"/>
      <c r="GNL36" s="292"/>
      <c r="GNM36" s="292"/>
      <c r="GNN36" s="292"/>
      <c r="GNO36" s="292"/>
      <c r="GNP36" s="292"/>
      <c r="GNQ36" s="292"/>
      <c r="GNR36" s="292"/>
      <c r="GNS36" s="292"/>
      <c r="GNT36" s="292"/>
      <c r="GNU36" s="292"/>
      <c r="GNV36" s="292"/>
      <c r="GNW36" s="292"/>
      <c r="GNX36" s="292"/>
      <c r="GNY36" s="292"/>
      <c r="GNZ36" s="292"/>
      <c r="GOA36" s="292"/>
      <c r="GOB36" s="292"/>
      <c r="GOC36" s="292"/>
      <c r="GOD36" s="292"/>
      <c r="GOE36" s="292"/>
      <c r="GOF36" s="292"/>
      <c r="GOG36" s="292"/>
      <c r="GOH36" s="292"/>
      <c r="GOI36" s="292"/>
      <c r="GOJ36" s="292"/>
      <c r="GOK36" s="292"/>
      <c r="GOL36" s="292"/>
      <c r="GOM36" s="292"/>
      <c r="GON36" s="292"/>
      <c r="GOO36" s="292"/>
      <c r="GOP36" s="292"/>
      <c r="GOQ36" s="292"/>
      <c r="GOR36" s="292"/>
      <c r="GOS36" s="292"/>
      <c r="GOT36" s="292"/>
      <c r="GOU36" s="292"/>
      <c r="GOV36" s="292"/>
      <c r="GOW36" s="292"/>
      <c r="GOX36" s="292"/>
      <c r="GOY36" s="292"/>
      <c r="GOZ36" s="292"/>
      <c r="GPA36" s="292"/>
      <c r="GPB36" s="292"/>
      <c r="GPC36" s="292"/>
      <c r="GPD36" s="292"/>
      <c r="GPE36" s="292"/>
      <c r="GPF36" s="292"/>
      <c r="GPG36" s="292"/>
      <c r="GPH36" s="292"/>
      <c r="GPI36" s="292"/>
      <c r="GPJ36" s="292"/>
      <c r="GPK36" s="292"/>
      <c r="GPL36" s="292"/>
      <c r="GPM36" s="292"/>
      <c r="GPN36" s="292"/>
      <c r="GPO36" s="292"/>
      <c r="GPP36" s="292"/>
      <c r="GPQ36" s="292"/>
      <c r="GPR36" s="292"/>
      <c r="GPS36" s="292"/>
      <c r="GPT36" s="292"/>
      <c r="GPU36" s="292"/>
      <c r="GPV36" s="292"/>
      <c r="GPW36" s="292"/>
      <c r="GPX36" s="292"/>
      <c r="GPY36" s="292"/>
      <c r="GPZ36" s="292"/>
      <c r="GQA36" s="292"/>
      <c r="GQB36" s="292"/>
      <c r="GQC36" s="292"/>
      <c r="GQD36" s="292"/>
      <c r="GQE36" s="292"/>
      <c r="GQF36" s="292"/>
      <c r="GQG36" s="292"/>
      <c r="GQH36" s="292"/>
      <c r="GQI36" s="292"/>
      <c r="GQJ36" s="292"/>
      <c r="GQK36" s="292"/>
      <c r="GQL36" s="292"/>
      <c r="GQM36" s="292"/>
      <c r="GQN36" s="292"/>
      <c r="GQO36" s="292"/>
      <c r="GQP36" s="292"/>
      <c r="GQQ36" s="292"/>
      <c r="GQR36" s="292"/>
      <c r="GQS36" s="292"/>
      <c r="GQT36" s="292"/>
      <c r="GQU36" s="292"/>
      <c r="GQV36" s="292"/>
      <c r="GQW36" s="292"/>
      <c r="GQX36" s="292"/>
      <c r="GQY36" s="292"/>
      <c r="GQZ36" s="292"/>
      <c r="GRA36" s="292"/>
      <c r="GRB36" s="292"/>
      <c r="GRC36" s="292"/>
      <c r="GRD36" s="292"/>
      <c r="GRE36" s="292"/>
      <c r="GRF36" s="292"/>
      <c r="GRG36" s="292"/>
      <c r="GRH36" s="292"/>
      <c r="GRI36" s="292"/>
      <c r="GRJ36" s="292"/>
      <c r="GRK36" s="292"/>
      <c r="GRL36" s="292"/>
      <c r="GRM36" s="292"/>
      <c r="GRN36" s="292"/>
      <c r="GRO36" s="292"/>
      <c r="GRP36" s="292"/>
      <c r="GRQ36" s="292"/>
      <c r="GRR36" s="292"/>
      <c r="GRS36" s="292"/>
      <c r="GRT36" s="292"/>
      <c r="GRU36" s="292"/>
      <c r="GRV36" s="292"/>
      <c r="GRW36" s="292"/>
      <c r="GRX36" s="292"/>
      <c r="GRY36" s="292"/>
      <c r="GRZ36" s="292"/>
      <c r="GSA36" s="292"/>
      <c r="GSB36" s="292"/>
      <c r="GSC36" s="292"/>
      <c r="GSD36" s="292"/>
      <c r="GSE36" s="292"/>
      <c r="GSF36" s="292"/>
      <c r="GSG36" s="292"/>
      <c r="GSH36" s="292"/>
      <c r="GSI36" s="292"/>
      <c r="GSJ36" s="292"/>
      <c r="GSK36" s="292"/>
      <c r="GSL36" s="292"/>
      <c r="GSM36" s="292"/>
      <c r="GSN36" s="292"/>
      <c r="GSO36" s="292"/>
      <c r="GSP36" s="292"/>
      <c r="GSQ36" s="292"/>
      <c r="GSR36" s="292"/>
      <c r="GSS36" s="292"/>
      <c r="GST36" s="292"/>
      <c r="GSU36" s="292"/>
      <c r="GSV36" s="292"/>
      <c r="GSW36" s="292"/>
      <c r="GSX36" s="292"/>
      <c r="GSY36" s="292"/>
      <c r="GSZ36" s="292"/>
      <c r="GTA36" s="292"/>
      <c r="GTB36" s="292"/>
      <c r="GTC36" s="292"/>
      <c r="GTD36" s="292"/>
      <c r="GTE36" s="292"/>
      <c r="GTF36" s="292"/>
      <c r="GTG36" s="292"/>
      <c r="GTH36" s="292"/>
      <c r="GTI36" s="292"/>
      <c r="GTJ36" s="292"/>
      <c r="GTK36" s="292"/>
      <c r="GTL36" s="292"/>
      <c r="GTM36" s="292"/>
      <c r="GTN36" s="292"/>
      <c r="GTO36" s="292"/>
      <c r="GTP36" s="292"/>
      <c r="GTQ36" s="292"/>
      <c r="GTR36" s="292"/>
      <c r="GTS36" s="292"/>
      <c r="GTT36" s="292"/>
      <c r="GTU36" s="292"/>
      <c r="GTV36" s="292"/>
      <c r="GTW36" s="292"/>
      <c r="GTX36" s="292"/>
      <c r="GTY36" s="292"/>
      <c r="GTZ36" s="292"/>
      <c r="GUA36" s="292"/>
      <c r="GUB36" s="292"/>
      <c r="GUC36" s="292"/>
      <c r="GUD36" s="292"/>
      <c r="GUE36" s="292"/>
      <c r="GUF36" s="292"/>
      <c r="GUG36" s="292"/>
      <c r="GUH36" s="292"/>
      <c r="GUI36" s="292"/>
      <c r="GUJ36" s="292"/>
      <c r="GUK36" s="292"/>
      <c r="GUL36" s="292"/>
      <c r="GUM36" s="292"/>
      <c r="GUN36" s="292"/>
      <c r="GUO36" s="292"/>
      <c r="GUP36" s="292"/>
      <c r="GUQ36" s="292"/>
      <c r="GUR36" s="292"/>
      <c r="GUS36" s="292"/>
      <c r="GUT36" s="292"/>
      <c r="GUU36" s="292"/>
      <c r="GUV36" s="292"/>
      <c r="GUW36" s="292"/>
      <c r="GUX36" s="292"/>
      <c r="GUY36" s="292"/>
      <c r="GUZ36" s="292"/>
      <c r="GVA36" s="292"/>
      <c r="GVB36" s="292"/>
      <c r="GVC36" s="292"/>
      <c r="GVD36" s="292"/>
      <c r="GVE36" s="292"/>
      <c r="GVF36" s="292"/>
      <c r="GVG36" s="292"/>
      <c r="GVH36" s="292"/>
      <c r="GVI36" s="292"/>
      <c r="GVJ36" s="292"/>
      <c r="GVK36" s="292"/>
      <c r="GVL36" s="292"/>
      <c r="GVM36" s="292"/>
      <c r="GVN36" s="292"/>
      <c r="GVO36" s="292"/>
      <c r="GVP36" s="292"/>
      <c r="GVQ36" s="292"/>
      <c r="GVR36" s="292"/>
      <c r="GVS36" s="292"/>
      <c r="GVT36" s="292"/>
      <c r="GVU36" s="292"/>
      <c r="GVV36" s="292"/>
      <c r="GVW36" s="292"/>
      <c r="GVX36" s="292"/>
      <c r="GVY36" s="292"/>
      <c r="GVZ36" s="292"/>
      <c r="GWA36" s="292"/>
      <c r="GWB36" s="292"/>
      <c r="GWC36" s="292"/>
      <c r="GWD36" s="292"/>
      <c r="GWE36" s="292"/>
      <c r="GWF36" s="292"/>
      <c r="GWG36" s="292"/>
      <c r="GWH36" s="292"/>
      <c r="GWI36" s="292"/>
      <c r="GWJ36" s="292"/>
      <c r="GWK36" s="292"/>
      <c r="GWL36" s="292"/>
      <c r="GWM36" s="292"/>
      <c r="GWN36" s="292"/>
      <c r="GWO36" s="292"/>
      <c r="GWP36" s="292"/>
      <c r="GWQ36" s="292"/>
      <c r="GWR36" s="292"/>
      <c r="GWS36" s="292"/>
      <c r="GWT36" s="292"/>
      <c r="GWU36" s="292"/>
      <c r="GWV36" s="292"/>
      <c r="GWW36" s="292"/>
      <c r="GWX36" s="292"/>
      <c r="GWY36" s="292"/>
      <c r="GWZ36" s="292"/>
      <c r="GXA36" s="292"/>
      <c r="GXB36" s="292"/>
      <c r="GXC36" s="292"/>
      <c r="GXD36" s="292"/>
      <c r="GXE36" s="292"/>
      <c r="GXF36" s="292"/>
      <c r="GXG36" s="292"/>
      <c r="GXH36" s="292"/>
      <c r="GXI36" s="292"/>
      <c r="GXJ36" s="292"/>
      <c r="GXK36" s="292"/>
      <c r="GXL36" s="292"/>
      <c r="GXM36" s="292"/>
      <c r="GXN36" s="292"/>
      <c r="GXO36" s="292"/>
      <c r="GXP36" s="292"/>
      <c r="GXQ36" s="292"/>
      <c r="GXR36" s="292"/>
      <c r="GXS36" s="292"/>
      <c r="GXT36" s="292"/>
      <c r="GXU36" s="292"/>
      <c r="GXV36" s="292"/>
      <c r="GXW36" s="292"/>
      <c r="GXX36" s="292"/>
      <c r="GXY36" s="292"/>
      <c r="GXZ36" s="292"/>
      <c r="GYA36" s="292"/>
      <c r="GYB36" s="292"/>
      <c r="GYC36" s="292"/>
      <c r="GYD36" s="292"/>
      <c r="GYE36" s="292"/>
      <c r="GYF36" s="292"/>
      <c r="GYG36" s="292"/>
      <c r="GYH36" s="292"/>
      <c r="GYI36" s="292"/>
      <c r="GYJ36" s="292"/>
      <c r="GYK36" s="292"/>
      <c r="GYL36" s="292"/>
      <c r="GYM36" s="292"/>
      <c r="GYN36" s="292"/>
      <c r="GYO36" s="292"/>
      <c r="GYP36" s="292"/>
      <c r="GYQ36" s="292"/>
      <c r="GYR36" s="292"/>
      <c r="GYS36" s="292"/>
      <c r="GYT36" s="292"/>
      <c r="GYU36" s="292"/>
      <c r="GYV36" s="292"/>
      <c r="GYW36" s="292"/>
      <c r="GYX36" s="292"/>
      <c r="GYY36" s="292"/>
      <c r="GYZ36" s="292"/>
      <c r="GZA36" s="292"/>
      <c r="GZB36" s="292"/>
      <c r="GZC36" s="292"/>
      <c r="GZD36" s="292"/>
      <c r="GZE36" s="292"/>
      <c r="GZF36" s="292"/>
      <c r="GZG36" s="292"/>
      <c r="GZH36" s="292"/>
      <c r="GZI36" s="292"/>
      <c r="GZJ36" s="292"/>
      <c r="GZK36" s="292"/>
      <c r="GZL36" s="292"/>
      <c r="GZM36" s="292"/>
      <c r="GZN36" s="292"/>
      <c r="GZO36" s="292"/>
      <c r="GZP36" s="292"/>
      <c r="GZQ36" s="292"/>
      <c r="GZR36" s="292"/>
      <c r="GZS36" s="292"/>
      <c r="GZT36" s="292"/>
      <c r="GZU36" s="292"/>
      <c r="GZV36" s="292"/>
      <c r="GZW36" s="292"/>
      <c r="GZX36" s="292"/>
      <c r="GZY36" s="292"/>
      <c r="GZZ36" s="292"/>
      <c r="HAA36" s="292"/>
      <c r="HAB36" s="292"/>
      <c r="HAC36" s="292"/>
      <c r="HAD36" s="292"/>
      <c r="HAE36" s="292"/>
      <c r="HAF36" s="292"/>
      <c r="HAG36" s="292"/>
      <c r="HAH36" s="292"/>
      <c r="HAI36" s="292"/>
      <c r="HAJ36" s="292"/>
      <c r="HAK36" s="292"/>
      <c r="HAL36" s="292"/>
      <c r="HAM36" s="292"/>
      <c r="HAN36" s="292"/>
      <c r="HAO36" s="292"/>
      <c r="HAP36" s="292"/>
      <c r="HAQ36" s="292"/>
      <c r="HAR36" s="292"/>
      <c r="HAS36" s="292"/>
      <c r="HAT36" s="292"/>
      <c r="HAU36" s="292"/>
      <c r="HAV36" s="292"/>
      <c r="HAW36" s="292"/>
      <c r="HAX36" s="292"/>
      <c r="HAY36" s="292"/>
      <c r="HAZ36" s="292"/>
      <c r="HBA36" s="292"/>
      <c r="HBB36" s="292"/>
      <c r="HBC36" s="292"/>
      <c r="HBD36" s="292"/>
      <c r="HBE36" s="292"/>
      <c r="HBF36" s="292"/>
      <c r="HBG36" s="292"/>
      <c r="HBH36" s="292"/>
      <c r="HBI36" s="292"/>
      <c r="HBJ36" s="292"/>
      <c r="HBK36" s="292"/>
      <c r="HBL36" s="292"/>
      <c r="HBM36" s="292"/>
      <c r="HBN36" s="292"/>
      <c r="HBO36" s="292"/>
      <c r="HBP36" s="292"/>
      <c r="HBQ36" s="292"/>
      <c r="HBR36" s="292"/>
      <c r="HBS36" s="292"/>
      <c r="HBT36" s="292"/>
      <c r="HBU36" s="292"/>
      <c r="HBV36" s="292"/>
      <c r="HBW36" s="292"/>
      <c r="HBX36" s="292"/>
      <c r="HBY36" s="292"/>
      <c r="HBZ36" s="292"/>
      <c r="HCA36" s="292"/>
      <c r="HCB36" s="292"/>
      <c r="HCC36" s="292"/>
      <c r="HCD36" s="292"/>
      <c r="HCE36" s="292"/>
      <c r="HCF36" s="292"/>
      <c r="HCG36" s="292"/>
      <c r="HCH36" s="292"/>
      <c r="HCI36" s="292"/>
      <c r="HCJ36" s="292"/>
      <c r="HCK36" s="292"/>
      <c r="HCL36" s="292"/>
      <c r="HCM36" s="292"/>
      <c r="HCN36" s="292"/>
      <c r="HCO36" s="292"/>
      <c r="HCP36" s="292"/>
      <c r="HCQ36" s="292"/>
      <c r="HCR36" s="292"/>
      <c r="HCS36" s="292"/>
      <c r="HCT36" s="292"/>
      <c r="HCU36" s="292"/>
      <c r="HCV36" s="292"/>
      <c r="HCW36" s="292"/>
      <c r="HCX36" s="292"/>
      <c r="HCY36" s="292"/>
      <c r="HCZ36" s="292"/>
      <c r="HDA36" s="292"/>
      <c r="HDB36" s="292"/>
      <c r="HDC36" s="292"/>
      <c r="HDD36" s="292"/>
      <c r="HDE36" s="292"/>
      <c r="HDF36" s="292"/>
      <c r="HDG36" s="292"/>
      <c r="HDH36" s="292"/>
      <c r="HDI36" s="292"/>
      <c r="HDJ36" s="292"/>
      <c r="HDK36" s="292"/>
      <c r="HDL36" s="292"/>
      <c r="HDM36" s="292"/>
      <c r="HDN36" s="292"/>
      <c r="HDO36" s="292"/>
      <c r="HDP36" s="292"/>
      <c r="HDQ36" s="292"/>
      <c r="HDR36" s="292"/>
      <c r="HDS36" s="292"/>
      <c r="HDT36" s="292"/>
      <c r="HDU36" s="292"/>
      <c r="HDV36" s="292"/>
      <c r="HDW36" s="292"/>
      <c r="HDX36" s="292"/>
      <c r="HDY36" s="292"/>
      <c r="HDZ36" s="292"/>
      <c r="HEA36" s="292"/>
      <c r="HEB36" s="292"/>
      <c r="HEC36" s="292"/>
      <c r="HED36" s="292"/>
      <c r="HEE36" s="292"/>
      <c r="HEF36" s="292"/>
      <c r="HEG36" s="292"/>
      <c r="HEH36" s="292"/>
      <c r="HEI36" s="292"/>
      <c r="HEJ36" s="292"/>
      <c r="HEK36" s="292"/>
      <c r="HEL36" s="292"/>
      <c r="HEM36" s="292"/>
      <c r="HEN36" s="292"/>
      <c r="HEO36" s="292"/>
      <c r="HEP36" s="292"/>
      <c r="HEQ36" s="292"/>
      <c r="HER36" s="292"/>
      <c r="HES36" s="292"/>
      <c r="HET36" s="292"/>
      <c r="HEU36" s="292"/>
      <c r="HEV36" s="292"/>
      <c r="HEW36" s="292"/>
      <c r="HEX36" s="292"/>
      <c r="HEY36" s="292"/>
      <c r="HEZ36" s="292"/>
      <c r="HFA36" s="292"/>
      <c r="HFB36" s="292"/>
      <c r="HFC36" s="292"/>
      <c r="HFD36" s="292"/>
      <c r="HFE36" s="292"/>
      <c r="HFF36" s="292"/>
      <c r="HFG36" s="292"/>
      <c r="HFH36" s="292"/>
      <c r="HFI36" s="292"/>
      <c r="HFJ36" s="292"/>
      <c r="HFK36" s="292"/>
      <c r="HFL36" s="292"/>
      <c r="HFM36" s="292"/>
      <c r="HFN36" s="292"/>
      <c r="HFO36" s="292"/>
      <c r="HFP36" s="292"/>
      <c r="HFQ36" s="292"/>
      <c r="HFR36" s="292"/>
      <c r="HFS36" s="292"/>
      <c r="HFT36" s="292"/>
      <c r="HFU36" s="292"/>
      <c r="HFV36" s="292"/>
      <c r="HFW36" s="292"/>
      <c r="HFX36" s="292"/>
      <c r="HFY36" s="292"/>
      <c r="HFZ36" s="292"/>
      <c r="HGA36" s="292"/>
      <c r="HGB36" s="292"/>
      <c r="HGC36" s="292"/>
      <c r="HGD36" s="292"/>
      <c r="HGE36" s="292"/>
      <c r="HGF36" s="292"/>
      <c r="HGG36" s="292"/>
      <c r="HGH36" s="292"/>
      <c r="HGI36" s="292"/>
      <c r="HGJ36" s="292"/>
      <c r="HGK36" s="292"/>
      <c r="HGL36" s="292"/>
      <c r="HGM36" s="292"/>
      <c r="HGN36" s="292"/>
      <c r="HGO36" s="292"/>
      <c r="HGP36" s="292"/>
      <c r="HGQ36" s="292"/>
      <c r="HGR36" s="292"/>
      <c r="HGS36" s="292"/>
      <c r="HGT36" s="292"/>
      <c r="HGU36" s="292"/>
      <c r="HGV36" s="292"/>
      <c r="HGW36" s="292"/>
      <c r="HGX36" s="292"/>
      <c r="HGY36" s="292"/>
      <c r="HGZ36" s="292"/>
      <c r="HHA36" s="292"/>
      <c r="HHB36" s="292"/>
      <c r="HHC36" s="292"/>
      <c r="HHD36" s="292"/>
      <c r="HHE36" s="292"/>
      <c r="HHF36" s="292"/>
      <c r="HHG36" s="292"/>
      <c r="HHH36" s="292"/>
      <c r="HHI36" s="292"/>
      <c r="HHJ36" s="292"/>
      <c r="HHK36" s="292"/>
      <c r="HHL36" s="292"/>
      <c r="HHM36" s="292"/>
      <c r="HHN36" s="292"/>
      <c r="HHO36" s="292"/>
      <c r="HHP36" s="292"/>
      <c r="HHQ36" s="292"/>
      <c r="HHR36" s="292"/>
      <c r="HHS36" s="292"/>
      <c r="HHT36" s="292"/>
      <c r="HHU36" s="292"/>
      <c r="HHV36" s="292"/>
      <c r="HHW36" s="292"/>
      <c r="HHX36" s="292"/>
      <c r="HHY36" s="292"/>
      <c r="HHZ36" s="292"/>
      <c r="HIA36" s="292"/>
      <c r="HIB36" s="292"/>
      <c r="HIC36" s="292"/>
      <c r="HID36" s="292"/>
      <c r="HIE36" s="292"/>
      <c r="HIF36" s="292"/>
      <c r="HIG36" s="292"/>
      <c r="HIH36" s="292"/>
      <c r="HII36" s="292"/>
      <c r="HIJ36" s="292"/>
      <c r="HIK36" s="292"/>
      <c r="HIL36" s="292"/>
      <c r="HIM36" s="292"/>
      <c r="HIN36" s="292"/>
      <c r="HIO36" s="292"/>
      <c r="HIP36" s="292"/>
      <c r="HIQ36" s="292"/>
      <c r="HIR36" s="292"/>
      <c r="HIS36" s="292"/>
      <c r="HIT36" s="292"/>
      <c r="HIU36" s="292"/>
      <c r="HIV36" s="292"/>
      <c r="HIW36" s="292"/>
      <c r="HIX36" s="292"/>
      <c r="HIY36" s="292"/>
      <c r="HIZ36" s="292"/>
      <c r="HJA36" s="292"/>
      <c r="HJB36" s="292"/>
      <c r="HJC36" s="292"/>
      <c r="HJD36" s="292"/>
      <c r="HJE36" s="292"/>
      <c r="HJF36" s="292"/>
      <c r="HJG36" s="292"/>
      <c r="HJH36" s="292"/>
      <c r="HJI36" s="292"/>
      <c r="HJJ36" s="292"/>
      <c r="HJK36" s="292"/>
      <c r="HJL36" s="292"/>
      <c r="HJM36" s="292"/>
      <c r="HJN36" s="292"/>
      <c r="HJO36" s="292"/>
      <c r="HJP36" s="292"/>
      <c r="HJQ36" s="292"/>
      <c r="HJR36" s="292"/>
      <c r="HJS36" s="292"/>
      <c r="HJT36" s="292"/>
      <c r="HJU36" s="292"/>
      <c r="HJV36" s="292"/>
      <c r="HJW36" s="292"/>
      <c r="HJX36" s="292"/>
      <c r="HJY36" s="292"/>
      <c r="HJZ36" s="292"/>
      <c r="HKA36" s="292"/>
      <c r="HKB36" s="292"/>
      <c r="HKC36" s="292"/>
      <c r="HKD36" s="292"/>
      <c r="HKE36" s="292"/>
      <c r="HKF36" s="292"/>
      <c r="HKG36" s="292"/>
      <c r="HKH36" s="292"/>
      <c r="HKI36" s="292"/>
      <c r="HKJ36" s="292"/>
      <c r="HKK36" s="292"/>
      <c r="HKL36" s="292"/>
      <c r="HKM36" s="292"/>
      <c r="HKN36" s="292"/>
      <c r="HKO36" s="292"/>
      <c r="HKP36" s="292"/>
      <c r="HKQ36" s="292"/>
      <c r="HKR36" s="292"/>
      <c r="HKS36" s="292"/>
      <c r="HKT36" s="292"/>
      <c r="HKU36" s="292"/>
      <c r="HKV36" s="292"/>
      <c r="HKW36" s="292"/>
      <c r="HKX36" s="292"/>
      <c r="HKY36" s="292"/>
      <c r="HKZ36" s="292"/>
      <c r="HLA36" s="292"/>
      <c r="HLB36" s="292"/>
      <c r="HLC36" s="292"/>
      <c r="HLD36" s="292"/>
      <c r="HLE36" s="292"/>
      <c r="HLF36" s="292"/>
      <c r="HLG36" s="292"/>
      <c r="HLH36" s="292"/>
      <c r="HLI36" s="292"/>
      <c r="HLJ36" s="292"/>
      <c r="HLK36" s="292"/>
      <c r="HLL36" s="292"/>
      <c r="HLM36" s="292"/>
      <c r="HLN36" s="292"/>
      <c r="HLO36" s="292"/>
      <c r="HLP36" s="292"/>
      <c r="HLQ36" s="292"/>
      <c r="HLR36" s="292"/>
      <c r="HLS36" s="292"/>
      <c r="HLT36" s="292"/>
      <c r="HLU36" s="292"/>
      <c r="HLV36" s="292"/>
      <c r="HLW36" s="292"/>
      <c r="HLX36" s="292"/>
      <c r="HLY36" s="292"/>
      <c r="HLZ36" s="292"/>
      <c r="HMA36" s="292"/>
      <c r="HMB36" s="292"/>
      <c r="HMC36" s="292"/>
      <c r="HMD36" s="292"/>
      <c r="HME36" s="292"/>
      <c r="HMF36" s="292"/>
      <c r="HMG36" s="292"/>
      <c r="HMH36" s="292"/>
      <c r="HMI36" s="292"/>
      <c r="HMJ36" s="292"/>
      <c r="HMK36" s="292"/>
      <c r="HML36" s="292"/>
      <c r="HMM36" s="292"/>
      <c r="HMN36" s="292"/>
      <c r="HMO36" s="292"/>
      <c r="HMP36" s="292"/>
      <c r="HMQ36" s="292"/>
      <c r="HMR36" s="292"/>
      <c r="HMS36" s="292"/>
      <c r="HMT36" s="292"/>
      <c r="HMU36" s="292"/>
      <c r="HMV36" s="292"/>
      <c r="HMW36" s="292"/>
      <c r="HMX36" s="292"/>
      <c r="HMY36" s="292"/>
      <c r="HMZ36" s="292"/>
      <c r="HNA36" s="292"/>
      <c r="HNB36" s="292"/>
      <c r="HNC36" s="292"/>
      <c r="HND36" s="292"/>
      <c r="HNE36" s="292"/>
      <c r="HNF36" s="292"/>
      <c r="HNG36" s="292"/>
      <c r="HNH36" s="292"/>
      <c r="HNI36" s="292"/>
      <c r="HNJ36" s="292"/>
      <c r="HNK36" s="292"/>
      <c r="HNL36" s="292"/>
      <c r="HNM36" s="292"/>
      <c r="HNN36" s="292"/>
      <c r="HNO36" s="292"/>
      <c r="HNP36" s="292"/>
      <c r="HNQ36" s="292"/>
      <c r="HNR36" s="292"/>
      <c r="HNS36" s="292"/>
      <c r="HNT36" s="292"/>
      <c r="HNU36" s="292"/>
      <c r="HNV36" s="292"/>
      <c r="HNW36" s="292"/>
      <c r="HNX36" s="292"/>
      <c r="HNY36" s="292"/>
      <c r="HNZ36" s="292"/>
      <c r="HOA36" s="292"/>
      <c r="HOB36" s="292"/>
      <c r="HOC36" s="292"/>
      <c r="HOD36" s="292"/>
      <c r="HOE36" s="292"/>
      <c r="HOF36" s="292"/>
      <c r="HOG36" s="292"/>
      <c r="HOH36" s="292"/>
      <c r="HOI36" s="292"/>
      <c r="HOJ36" s="292"/>
      <c r="HOK36" s="292"/>
      <c r="HOL36" s="292"/>
      <c r="HOM36" s="292"/>
      <c r="HON36" s="292"/>
      <c r="HOO36" s="292"/>
      <c r="HOP36" s="292"/>
      <c r="HOQ36" s="292"/>
      <c r="HOR36" s="292"/>
      <c r="HOS36" s="292"/>
      <c r="HOT36" s="292"/>
      <c r="HOU36" s="292"/>
      <c r="HOV36" s="292"/>
      <c r="HOW36" s="292"/>
      <c r="HOX36" s="292"/>
      <c r="HOY36" s="292"/>
      <c r="HOZ36" s="292"/>
      <c r="HPA36" s="292"/>
      <c r="HPB36" s="292"/>
      <c r="HPC36" s="292"/>
      <c r="HPD36" s="292"/>
      <c r="HPE36" s="292"/>
      <c r="HPF36" s="292"/>
      <c r="HPG36" s="292"/>
      <c r="HPH36" s="292"/>
      <c r="HPI36" s="292"/>
      <c r="HPJ36" s="292"/>
      <c r="HPK36" s="292"/>
      <c r="HPL36" s="292"/>
      <c r="HPM36" s="292"/>
      <c r="HPN36" s="292"/>
      <c r="HPO36" s="292"/>
      <c r="HPP36" s="292"/>
      <c r="HPQ36" s="292"/>
      <c r="HPR36" s="292"/>
      <c r="HPS36" s="292"/>
      <c r="HPT36" s="292"/>
      <c r="HPU36" s="292"/>
      <c r="HPV36" s="292"/>
      <c r="HPW36" s="292"/>
      <c r="HPX36" s="292"/>
      <c r="HPY36" s="292"/>
      <c r="HPZ36" s="292"/>
      <c r="HQA36" s="292"/>
      <c r="HQB36" s="292"/>
      <c r="HQC36" s="292"/>
      <c r="HQD36" s="292"/>
      <c r="HQE36" s="292"/>
      <c r="HQF36" s="292"/>
      <c r="HQG36" s="292"/>
      <c r="HQH36" s="292"/>
      <c r="HQI36" s="292"/>
      <c r="HQJ36" s="292"/>
      <c r="HQK36" s="292"/>
      <c r="HQL36" s="292"/>
      <c r="HQM36" s="292"/>
      <c r="HQN36" s="292"/>
      <c r="HQO36" s="292"/>
      <c r="HQP36" s="292"/>
      <c r="HQQ36" s="292"/>
      <c r="HQR36" s="292"/>
      <c r="HQS36" s="292"/>
      <c r="HQT36" s="292"/>
      <c r="HQU36" s="292"/>
      <c r="HQV36" s="292"/>
      <c r="HQW36" s="292"/>
      <c r="HQX36" s="292"/>
      <c r="HQY36" s="292"/>
      <c r="HQZ36" s="292"/>
      <c r="HRA36" s="292"/>
      <c r="HRB36" s="292"/>
      <c r="HRC36" s="292"/>
      <c r="HRD36" s="292"/>
      <c r="HRE36" s="292"/>
      <c r="HRF36" s="292"/>
      <c r="HRG36" s="292"/>
      <c r="HRH36" s="292"/>
      <c r="HRI36" s="292"/>
      <c r="HRJ36" s="292"/>
      <c r="HRK36" s="292"/>
      <c r="HRL36" s="292"/>
      <c r="HRM36" s="292"/>
      <c r="HRN36" s="292"/>
      <c r="HRO36" s="292"/>
      <c r="HRP36" s="292"/>
      <c r="HRQ36" s="292"/>
      <c r="HRR36" s="292"/>
      <c r="HRS36" s="292"/>
      <c r="HRT36" s="292"/>
      <c r="HRU36" s="292"/>
      <c r="HRV36" s="292"/>
      <c r="HRW36" s="292"/>
      <c r="HRX36" s="292"/>
      <c r="HRY36" s="292"/>
      <c r="HRZ36" s="292"/>
      <c r="HSA36" s="292"/>
      <c r="HSB36" s="292"/>
      <c r="HSC36" s="292"/>
      <c r="HSD36" s="292"/>
      <c r="HSE36" s="292"/>
      <c r="HSF36" s="292"/>
      <c r="HSG36" s="292"/>
      <c r="HSH36" s="292"/>
      <c r="HSI36" s="292"/>
      <c r="HSJ36" s="292"/>
      <c r="HSK36" s="292"/>
      <c r="HSL36" s="292"/>
      <c r="HSM36" s="292"/>
      <c r="HSN36" s="292"/>
      <c r="HSO36" s="292"/>
      <c r="HSP36" s="292"/>
      <c r="HSQ36" s="292"/>
      <c r="HSR36" s="292"/>
      <c r="HSS36" s="292"/>
      <c r="HST36" s="292"/>
      <c r="HSU36" s="292"/>
      <c r="HSV36" s="292"/>
      <c r="HSW36" s="292"/>
      <c r="HSX36" s="292"/>
      <c r="HSY36" s="292"/>
      <c r="HSZ36" s="292"/>
      <c r="HTA36" s="292"/>
      <c r="HTB36" s="292"/>
      <c r="HTC36" s="292"/>
      <c r="HTD36" s="292"/>
      <c r="HTE36" s="292"/>
      <c r="HTF36" s="292"/>
      <c r="HTG36" s="292"/>
      <c r="HTH36" s="292"/>
      <c r="HTI36" s="292"/>
      <c r="HTJ36" s="292"/>
      <c r="HTK36" s="292"/>
      <c r="HTL36" s="292"/>
      <c r="HTM36" s="292"/>
      <c r="HTN36" s="292"/>
      <c r="HTO36" s="292"/>
      <c r="HTP36" s="292"/>
      <c r="HTQ36" s="292"/>
      <c r="HTR36" s="292"/>
      <c r="HTS36" s="292"/>
      <c r="HTT36" s="292"/>
      <c r="HTU36" s="292"/>
      <c r="HTV36" s="292"/>
      <c r="HTW36" s="292"/>
      <c r="HTX36" s="292"/>
      <c r="HTY36" s="292"/>
      <c r="HTZ36" s="292"/>
      <c r="HUA36" s="292"/>
      <c r="HUB36" s="292"/>
      <c r="HUC36" s="292"/>
      <c r="HUD36" s="292"/>
      <c r="HUE36" s="292"/>
      <c r="HUF36" s="292"/>
      <c r="HUG36" s="292"/>
      <c r="HUH36" s="292"/>
      <c r="HUI36" s="292"/>
      <c r="HUJ36" s="292"/>
      <c r="HUK36" s="292"/>
      <c r="HUL36" s="292"/>
      <c r="HUM36" s="292"/>
      <c r="HUN36" s="292"/>
      <c r="HUO36" s="292"/>
      <c r="HUP36" s="292"/>
      <c r="HUQ36" s="292"/>
      <c r="HUR36" s="292"/>
      <c r="HUS36" s="292"/>
      <c r="HUT36" s="292"/>
      <c r="HUU36" s="292"/>
      <c r="HUV36" s="292"/>
      <c r="HUW36" s="292"/>
      <c r="HUX36" s="292"/>
      <c r="HUY36" s="292"/>
      <c r="HUZ36" s="292"/>
      <c r="HVA36" s="292"/>
      <c r="HVB36" s="292"/>
      <c r="HVC36" s="292"/>
      <c r="HVD36" s="292"/>
      <c r="HVE36" s="292"/>
      <c r="HVF36" s="292"/>
      <c r="HVG36" s="292"/>
      <c r="HVH36" s="292"/>
      <c r="HVI36" s="292"/>
      <c r="HVJ36" s="292"/>
      <c r="HVK36" s="292"/>
      <c r="HVL36" s="292"/>
      <c r="HVM36" s="292"/>
      <c r="HVN36" s="292"/>
      <c r="HVO36" s="292"/>
      <c r="HVP36" s="292"/>
      <c r="HVQ36" s="292"/>
      <c r="HVR36" s="292"/>
      <c r="HVS36" s="292"/>
      <c r="HVT36" s="292"/>
      <c r="HVU36" s="292"/>
      <c r="HVV36" s="292"/>
      <c r="HVW36" s="292"/>
      <c r="HVX36" s="292"/>
      <c r="HVY36" s="292"/>
      <c r="HVZ36" s="292"/>
      <c r="HWA36" s="292"/>
      <c r="HWB36" s="292"/>
      <c r="HWC36" s="292"/>
      <c r="HWD36" s="292"/>
      <c r="HWE36" s="292"/>
      <c r="HWF36" s="292"/>
      <c r="HWG36" s="292"/>
      <c r="HWH36" s="292"/>
      <c r="HWI36" s="292"/>
      <c r="HWJ36" s="292"/>
      <c r="HWK36" s="292"/>
      <c r="HWL36" s="292"/>
      <c r="HWM36" s="292"/>
      <c r="HWN36" s="292"/>
      <c r="HWO36" s="292"/>
      <c r="HWP36" s="292"/>
      <c r="HWQ36" s="292"/>
      <c r="HWR36" s="292"/>
      <c r="HWS36" s="292"/>
      <c r="HWT36" s="292"/>
      <c r="HWU36" s="292"/>
      <c r="HWV36" s="292"/>
      <c r="HWW36" s="292"/>
      <c r="HWX36" s="292"/>
      <c r="HWY36" s="292"/>
      <c r="HWZ36" s="292"/>
      <c r="HXA36" s="292"/>
      <c r="HXB36" s="292"/>
      <c r="HXC36" s="292"/>
      <c r="HXD36" s="292"/>
      <c r="HXE36" s="292"/>
      <c r="HXF36" s="292"/>
      <c r="HXG36" s="292"/>
      <c r="HXH36" s="292"/>
      <c r="HXI36" s="292"/>
      <c r="HXJ36" s="292"/>
      <c r="HXK36" s="292"/>
      <c r="HXL36" s="292"/>
      <c r="HXM36" s="292"/>
      <c r="HXN36" s="292"/>
      <c r="HXO36" s="292"/>
      <c r="HXP36" s="292"/>
      <c r="HXQ36" s="292"/>
      <c r="HXR36" s="292"/>
      <c r="HXS36" s="292"/>
      <c r="HXT36" s="292"/>
      <c r="HXU36" s="292"/>
      <c r="HXV36" s="292"/>
      <c r="HXW36" s="292"/>
      <c r="HXX36" s="292"/>
      <c r="HXY36" s="292"/>
      <c r="HXZ36" s="292"/>
      <c r="HYA36" s="292"/>
      <c r="HYB36" s="292"/>
      <c r="HYC36" s="292"/>
      <c r="HYD36" s="292"/>
      <c r="HYE36" s="292"/>
      <c r="HYF36" s="292"/>
      <c r="HYG36" s="292"/>
      <c r="HYH36" s="292"/>
      <c r="HYI36" s="292"/>
      <c r="HYJ36" s="292"/>
      <c r="HYK36" s="292"/>
      <c r="HYL36" s="292"/>
      <c r="HYM36" s="292"/>
      <c r="HYN36" s="292"/>
      <c r="HYO36" s="292"/>
      <c r="HYP36" s="292"/>
      <c r="HYQ36" s="292"/>
      <c r="HYR36" s="292"/>
      <c r="HYS36" s="292"/>
      <c r="HYT36" s="292"/>
      <c r="HYU36" s="292"/>
      <c r="HYV36" s="292"/>
      <c r="HYW36" s="292"/>
      <c r="HYX36" s="292"/>
      <c r="HYY36" s="292"/>
      <c r="HYZ36" s="292"/>
      <c r="HZA36" s="292"/>
      <c r="HZB36" s="292"/>
      <c r="HZC36" s="292"/>
      <c r="HZD36" s="292"/>
      <c r="HZE36" s="292"/>
      <c r="HZF36" s="292"/>
      <c r="HZG36" s="292"/>
      <c r="HZH36" s="292"/>
      <c r="HZI36" s="292"/>
      <c r="HZJ36" s="292"/>
      <c r="HZK36" s="292"/>
      <c r="HZL36" s="292"/>
      <c r="HZM36" s="292"/>
      <c r="HZN36" s="292"/>
      <c r="HZO36" s="292"/>
      <c r="HZP36" s="292"/>
      <c r="HZQ36" s="292"/>
      <c r="HZR36" s="292"/>
      <c r="HZS36" s="292"/>
      <c r="HZT36" s="292"/>
      <c r="HZU36" s="292"/>
      <c r="HZV36" s="292"/>
      <c r="HZW36" s="292"/>
      <c r="HZX36" s="292"/>
      <c r="HZY36" s="292"/>
      <c r="HZZ36" s="292"/>
      <c r="IAA36" s="292"/>
      <c r="IAB36" s="292"/>
      <c r="IAC36" s="292"/>
      <c r="IAD36" s="292"/>
      <c r="IAE36" s="292"/>
      <c r="IAF36" s="292"/>
      <c r="IAG36" s="292"/>
      <c r="IAH36" s="292"/>
      <c r="IAI36" s="292"/>
      <c r="IAJ36" s="292"/>
      <c r="IAK36" s="292"/>
      <c r="IAL36" s="292"/>
      <c r="IAM36" s="292"/>
      <c r="IAN36" s="292"/>
      <c r="IAO36" s="292"/>
      <c r="IAP36" s="292"/>
      <c r="IAQ36" s="292"/>
      <c r="IAR36" s="292"/>
      <c r="IAS36" s="292"/>
      <c r="IAT36" s="292"/>
      <c r="IAU36" s="292"/>
      <c r="IAV36" s="292"/>
      <c r="IAW36" s="292"/>
      <c r="IAX36" s="292"/>
      <c r="IAY36" s="292"/>
      <c r="IAZ36" s="292"/>
      <c r="IBA36" s="292"/>
      <c r="IBB36" s="292"/>
      <c r="IBC36" s="292"/>
      <c r="IBD36" s="292"/>
      <c r="IBE36" s="292"/>
      <c r="IBF36" s="292"/>
      <c r="IBG36" s="292"/>
      <c r="IBH36" s="292"/>
      <c r="IBI36" s="292"/>
      <c r="IBJ36" s="292"/>
      <c r="IBK36" s="292"/>
      <c r="IBL36" s="292"/>
      <c r="IBM36" s="292"/>
      <c r="IBN36" s="292"/>
      <c r="IBO36" s="292"/>
      <c r="IBP36" s="292"/>
      <c r="IBQ36" s="292"/>
      <c r="IBR36" s="292"/>
      <c r="IBS36" s="292"/>
      <c r="IBT36" s="292"/>
      <c r="IBU36" s="292"/>
      <c r="IBV36" s="292"/>
      <c r="IBW36" s="292"/>
      <c r="IBX36" s="292"/>
      <c r="IBY36" s="292"/>
      <c r="IBZ36" s="292"/>
      <c r="ICA36" s="292"/>
      <c r="ICB36" s="292"/>
      <c r="ICC36" s="292"/>
      <c r="ICD36" s="292"/>
      <c r="ICE36" s="292"/>
      <c r="ICF36" s="292"/>
      <c r="ICG36" s="292"/>
      <c r="ICH36" s="292"/>
      <c r="ICI36" s="292"/>
      <c r="ICJ36" s="292"/>
      <c r="ICK36" s="292"/>
      <c r="ICL36" s="292"/>
      <c r="ICM36" s="292"/>
      <c r="ICN36" s="292"/>
      <c r="ICO36" s="292"/>
      <c r="ICP36" s="292"/>
      <c r="ICQ36" s="292"/>
      <c r="ICR36" s="292"/>
      <c r="ICS36" s="292"/>
      <c r="ICT36" s="292"/>
      <c r="ICU36" s="292"/>
      <c r="ICV36" s="292"/>
      <c r="ICW36" s="292"/>
      <c r="ICX36" s="292"/>
      <c r="ICY36" s="292"/>
      <c r="ICZ36" s="292"/>
      <c r="IDA36" s="292"/>
      <c r="IDB36" s="292"/>
      <c r="IDC36" s="292"/>
      <c r="IDD36" s="292"/>
      <c r="IDE36" s="292"/>
      <c r="IDF36" s="292"/>
      <c r="IDG36" s="292"/>
      <c r="IDH36" s="292"/>
      <c r="IDI36" s="292"/>
      <c r="IDJ36" s="292"/>
      <c r="IDK36" s="292"/>
      <c r="IDL36" s="292"/>
      <c r="IDM36" s="292"/>
      <c r="IDN36" s="292"/>
      <c r="IDO36" s="292"/>
      <c r="IDP36" s="292"/>
      <c r="IDQ36" s="292"/>
      <c r="IDR36" s="292"/>
      <c r="IDS36" s="292"/>
      <c r="IDT36" s="292"/>
      <c r="IDU36" s="292"/>
      <c r="IDV36" s="292"/>
      <c r="IDW36" s="292"/>
      <c r="IDX36" s="292"/>
      <c r="IDY36" s="292"/>
      <c r="IDZ36" s="292"/>
      <c r="IEA36" s="292"/>
      <c r="IEB36" s="292"/>
      <c r="IEC36" s="292"/>
      <c r="IED36" s="292"/>
      <c r="IEE36" s="292"/>
      <c r="IEF36" s="292"/>
      <c r="IEG36" s="292"/>
      <c r="IEH36" s="292"/>
      <c r="IEI36" s="292"/>
      <c r="IEJ36" s="292"/>
      <c r="IEK36" s="292"/>
      <c r="IEL36" s="292"/>
      <c r="IEM36" s="292"/>
      <c r="IEN36" s="292"/>
      <c r="IEO36" s="292"/>
      <c r="IEP36" s="292"/>
      <c r="IEQ36" s="292"/>
      <c r="IER36" s="292"/>
      <c r="IES36" s="292"/>
      <c r="IET36" s="292"/>
      <c r="IEU36" s="292"/>
      <c r="IEV36" s="292"/>
      <c r="IEW36" s="292"/>
      <c r="IEX36" s="292"/>
      <c r="IEY36" s="292"/>
      <c r="IEZ36" s="292"/>
      <c r="IFA36" s="292"/>
      <c r="IFB36" s="292"/>
      <c r="IFC36" s="292"/>
      <c r="IFD36" s="292"/>
      <c r="IFE36" s="292"/>
      <c r="IFF36" s="292"/>
      <c r="IFG36" s="292"/>
      <c r="IFH36" s="292"/>
      <c r="IFI36" s="292"/>
      <c r="IFJ36" s="292"/>
      <c r="IFK36" s="292"/>
      <c r="IFL36" s="292"/>
      <c r="IFM36" s="292"/>
      <c r="IFN36" s="292"/>
      <c r="IFO36" s="292"/>
      <c r="IFP36" s="292"/>
      <c r="IFQ36" s="292"/>
      <c r="IFR36" s="292"/>
      <c r="IFS36" s="292"/>
      <c r="IFT36" s="292"/>
      <c r="IFU36" s="292"/>
      <c r="IFV36" s="292"/>
      <c r="IFW36" s="292"/>
      <c r="IFX36" s="292"/>
      <c r="IFY36" s="292"/>
      <c r="IFZ36" s="292"/>
      <c r="IGA36" s="292"/>
      <c r="IGB36" s="292"/>
      <c r="IGC36" s="292"/>
      <c r="IGD36" s="292"/>
      <c r="IGE36" s="292"/>
      <c r="IGF36" s="292"/>
      <c r="IGG36" s="292"/>
      <c r="IGH36" s="292"/>
      <c r="IGI36" s="292"/>
      <c r="IGJ36" s="292"/>
      <c r="IGK36" s="292"/>
      <c r="IGL36" s="292"/>
      <c r="IGM36" s="292"/>
      <c r="IGN36" s="292"/>
      <c r="IGO36" s="292"/>
      <c r="IGP36" s="292"/>
      <c r="IGQ36" s="292"/>
      <c r="IGR36" s="292"/>
      <c r="IGS36" s="292"/>
      <c r="IGT36" s="292"/>
      <c r="IGU36" s="292"/>
      <c r="IGV36" s="292"/>
      <c r="IGW36" s="292"/>
      <c r="IGX36" s="292"/>
      <c r="IGY36" s="292"/>
      <c r="IGZ36" s="292"/>
      <c r="IHA36" s="292"/>
      <c r="IHB36" s="292"/>
      <c r="IHC36" s="292"/>
      <c r="IHD36" s="292"/>
      <c r="IHE36" s="292"/>
      <c r="IHF36" s="292"/>
      <c r="IHG36" s="292"/>
      <c r="IHH36" s="292"/>
      <c r="IHI36" s="292"/>
      <c r="IHJ36" s="292"/>
      <c r="IHK36" s="292"/>
      <c r="IHL36" s="292"/>
      <c r="IHM36" s="292"/>
      <c r="IHN36" s="292"/>
      <c r="IHO36" s="292"/>
      <c r="IHP36" s="292"/>
      <c r="IHQ36" s="292"/>
      <c r="IHR36" s="292"/>
      <c r="IHS36" s="292"/>
      <c r="IHT36" s="292"/>
      <c r="IHU36" s="292"/>
      <c r="IHV36" s="292"/>
      <c r="IHW36" s="292"/>
      <c r="IHX36" s="292"/>
      <c r="IHY36" s="292"/>
      <c r="IHZ36" s="292"/>
      <c r="IIA36" s="292"/>
      <c r="IIB36" s="292"/>
      <c r="IIC36" s="292"/>
      <c r="IID36" s="292"/>
      <c r="IIE36" s="292"/>
      <c r="IIF36" s="292"/>
      <c r="IIG36" s="292"/>
      <c r="IIH36" s="292"/>
      <c r="III36" s="292"/>
      <c r="IIJ36" s="292"/>
      <c r="IIK36" s="292"/>
      <c r="IIL36" s="292"/>
      <c r="IIM36" s="292"/>
      <c r="IIN36" s="292"/>
      <c r="IIO36" s="292"/>
      <c r="IIP36" s="292"/>
      <c r="IIQ36" s="292"/>
      <c r="IIR36" s="292"/>
      <c r="IIS36" s="292"/>
      <c r="IIT36" s="292"/>
      <c r="IIU36" s="292"/>
      <c r="IIV36" s="292"/>
      <c r="IIW36" s="292"/>
      <c r="IIX36" s="292"/>
      <c r="IIY36" s="292"/>
      <c r="IIZ36" s="292"/>
      <c r="IJA36" s="292"/>
      <c r="IJB36" s="292"/>
      <c r="IJC36" s="292"/>
      <c r="IJD36" s="292"/>
      <c r="IJE36" s="292"/>
      <c r="IJF36" s="292"/>
      <c r="IJG36" s="292"/>
      <c r="IJH36" s="292"/>
      <c r="IJI36" s="292"/>
      <c r="IJJ36" s="292"/>
      <c r="IJK36" s="292"/>
      <c r="IJL36" s="292"/>
      <c r="IJM36" s="292"/>
      <c r="IJN36" s="292"/>
      <c r="IJO36" s="292"/>
      <c r="IJP36" s="292"/>
      <c r="IJQ36" s="292"/>
      <c r="IJR36" s="292"/>
      <c r="IJS36" s="292"/>
      <c r="IJT36" s="292"/>
      <c r="IJU36" s="292"/>
      <c r="IJV36" s="292"/>
      <c r="IJW36" s="292"/>
      <c r="IJX36" s="292"/>
      <c r="IJY36" s="292"/>
      <c r="IJZ36" s="292"/>
      <c r="IKA36" s="292"/>
      <c r="IKB36" s="292"/>
      <c r="IKC36" s="292"/>
      <c r="IKD36" s="292"/>
      <c r="IKE36" s="292"/>
      <c r="IKF36" s="292"/>
      <c r="IKG36" s="292"/>
      <c r="IKH36" s="292"/>
      <c r="IKI36" s="292"/>
      <c r="IKJ36" s="292"/>
      <c r="IKK36" s="292"/>
      <c r="IKL36" s="292"/>
      <c r="IKM36" s="292"/>
      <c r="IKN36" s="292"/>
      <c r="IKO36" s="292"/>
      <c r="IKP36" s="292"/>
      <c r="IKQ36" s="292"/>
      <c r="IKR36" s="292"/>
      <c r="IKS36" s="292"/>
      <c r="IKT36" s="292"/>
      <c r="IKU36" s="292"/>
      <c r="IKV36" s="292"/>
      <c r="IKW36" s="292"/>
      <c r="IKX36" s="292"/>
      <c r="IKY36" s="292"/>
      <c r="IKZ36" s="292"/>
      <c r="ILA36" s="292"/>
      <c r="ILB36" s="292"/>
      <c r="ILC36" s="292"/>
      <c r="ILD36" s="292"/>
      <c r="ILE36" s="292"/>
      <c r="ILF36" s="292"/>
      <c r="ILG36" s="292"/>
      <c r="ILH36" s="292"/>
      <c r="ILI36" s="292"/>
      <c r="ILJ36" s="292"/>
      <c r="ILK36" s="292"/>
      <c r="ILL36" s="292"/>
      <c r="ILM36" s="292"/>
      <c r="ILN36" s="292"/>
      <c r="ILO36" s="292"/>
      <c r="ILP36" s="292"/>
      <c r="ILQ36" s="292"/>
      <c r="ILR36" s="292"/>
      <c r="ILS36" s="292"/>
      <c r="ILT36" s="292"/>
      <c r="ILU36" s="292"/>
      <c r="ILV36" s="292"/>
      <c r="ILW36" s="292"/>
      <c r="ILX36" s="292"/>
      <c r="ILY36" s="292"/>
      <c r="ILZ36" s="292"/>
      <c r="IMA36" s="292"/>
      <c r="IMB36" s="292"/>
      <c r="IMC36" s="292"/>
      <c r="IMD36" s="292"/>
      <c r="IME36" s="292"/>
      <c r="IMF36" s="292"/>
      <c r="IMG36" s="292"/>
      <c r="IMH36" s="292"/>
      <c r="IMI36" s="292"/>
      <c r="IMJ36" s="292"/>
      <c r="IMK36" s="292"/>
      <c r="IML36" s="292"/>
      <c r="IMM36" s="292"/>
      <c r="IMN36" s="292"/>
      <c r="IMO36" s="292"/>
      <c r="IMP36" s="292"/>
      <c r="IMQ36" s="292"/>
      <c r="IMR36" s="292"/>
      <c r="IMS36" s="292"/>
      <c r="IMT36" s="292"/>
      <c r="IMU36" s="292"/>
      <c r="IMV36" s="292"/>
      <c r="IMW36" s="292"/>
      <c r="IMX36" s="292"/>
      <c r="IMY36" s="292"/>
      <c r="IMZ36" s="292"/>
      <c r="INA36" s="292"/>
      <c r="INB36" s="292"/>
      <c r="INC36" s="292"/>
      <c r="IND36" s="292"/>
      <c r="INE36" s="292"/>
      <c r="INF36" s="292"/>
      <c r="ING36" s="292"/>
      <c r="INH36" s="292"/>
      <c r="INI36" s="292"/>
      <c r="INJ36" s="292"/>
      <c r="INK36" s="292"/>
      <c r="INL36" s="292"/>
      <c r="INM36" s="292"/>
      <c r="INN36" s="292"/>
      <c r="INO36" s="292"/>
      <c r="INP36" s="292"/>
      <c r="INQ36" s="292"/>
      <c r="INR36" s="292"/>
      <c r="INS36" s="292"/>
      <c r="INT36" s="292"/>
      <c r="INU36" s="292"/>
      <c r="INV36" s="292"/>
      <c r="INW36" s="292"/>
      <c r="INX36" s="292"/>
      <c r="INY36" s="292"/>
      <c r="INZ36" s="292"/>
      <c r="IOA36" s="292"/>
      <c r="IOB36" s="292"/>
      <c r="IOC36" s="292"/>
      <c r="IOD36" s="292"/>
      <c r="IOE36" s="292"/>
      <c r="IOF36" s="292"/>
      <c r="IOG36" s="292"/>
      <c r="IOH36" s="292"/>
      <c r="IOI36" s="292"/>
      <c r="IOJ36" s="292"/>
      <c r="IOK36" s="292"/>
      <c r="IOL36" s="292"/>
      <c r="IOM36" s="292"/>
      <c r="ION36" s="292"/>
      <c r="IOO36" s="292"/>
      <c r="IOP36" s="292"/>
      <c r="IOQ36" s="292"/>
      <c r="IOR36" s="292"/>
      <c r="IOS36" s="292"/>
      <c r="IOT36" s="292"/>
      <c r="IOU36" s="292"/>
      <c r="IOV36" s="292"/>
      <c r="IOW36" s="292"/>
      <c r="IOX36" s="292"/>
      <c r="IOY36" s="292"/>
      <c r="IOZ36" s="292"/>
      <c r="IPA36" s="292"/>
      <c r="IPB36" s="292"/>
      <c r="IPC36" s="292"/>
      <c r="IPD36" s="292"/>
      <c r="IPE36" s="292"/>
      <c r="IPF36" s="292"/>
      <c r="IPG36" s="292"/>
      <c r="IPH36" s="292"/>
      <c r="IPI36" s="292"/>
      <c r="IPJ36" s="292"/>
      <c r="IPK36" s="292"/>
      <c r="IPL36" s="292"/>
      <c r="IPM36" s="292"/>
      <c r="IPN36" s="292"/>
      <c r="IPO36" s="292"/>
      <c r="IPP36" s="292"/>
      <c r="IPQ36" s="292"/>
      <c r="IPR36" s="292"/>
      <c r="IPS36" s="292"/>
      <c r="IPT36" s="292"/>
      <c r="IPU36" s="292"/>
      <c r="IPV36" s="292"/>
      <c r="IPW36" s="292"/>
      <c r="IPX36" s="292"/>
      <c r="IPY36" s="292"/>
      <c r="IPZ36" s="292"/>
      <c r="IQA36" s="292"/>
      <c r="IQB36" s="292"/>
      <c r="IQC36" s="292"/>
      <c r="IQD36" s="292"/>
      <c r="IQE36" s="292"/>
      <c r="IQF36" s="292"/>
      <c r="IQG36" s="292"/>
      <c r="IQH36" s="292"/>
      <c r="IQI36" s="292"/>
      <c r="IQJ36" s="292"/>
      <c r="IQK36" s="292"/>
      <c r="IQL36" s="292"/>
      <c r="IQM36" s="292"/>
      <c r="IQN36" s="292"/>
      <c r="IQO36" s="292"/>
      <c r="IQP36" s="292"/>
      <c r="IQQ36" s="292"/>
      <c r="IQR36" s="292"/>
      <c r="IQS36" s="292"/>
      <c r="IQT36" s="292"/>
      <c r="IQU36" s="292"/>
      <c r="IQV36" s="292"/>
      <c r="IQW36" s="292"/>
      <c r="IQX36" s="292"/>
      <c r="IQY36" s="292"/>
      <c r="IQZ36" s="292"/>
      <c r="IRA36" s="292"/>
      <c r="IRB36" s="292"/>
      <c r="IRC36" s="292"/>
      <c r="IRD36" s="292"/>
      <c r="IRE36" s="292"/>
      <c r="IRF36" s="292"/>
      <c r="IRG36" s="292"/>
      <c r="IRH36" s="292"/>
      <c r="IRI36" s="292"/>
      <c r="IRJ36" s="292"/>
      <c r="IRK36" s="292"/>
      <c r="IRL36" s="292"/>
      <c r="IRM36" s="292"/>
      <c r="IRN36" s="292"/>
      <c r="IRO36" s="292"/>
      <c r="IRP36" s="292"/>
      <c r="IRQ36" s="292"/>
      <c r="IRR36" s="292"/>
      <c r="IRS36" s="292"/>
      <c r="IRT36" s="292"/>
      <c r="IRU36" s="292"/>
      <c r="IRV36" s="292"/>
      <c r="IRW36" s="292"/>
      <c r="IRX36" s="292"/>
      <c r="IRY36" s="292"/>
      <c r="IRZ36" s="292"/>
      <c r="ISA36" s="292"/>
      <c r="ISB36" s="292"/>
      <c r="ISC36" s="292"/>
      <c r="ISD36" s="292"/>
      <c r="ISE36" s="292"/>
      <c r="ISF36" s="292"/>
      <c r="ISG36" s="292"/>
      <c r="ISH36" s="292"/>
      <c r="ISI36" s="292"/>
      <c r="ISJ36" s="292"/>
      <c r="ISK36" s="292"/>
      <c r="ISL36" s="292"/>
      <c r="ISM36" s="292"/>
      <c r="ISN36" s="292"/>
      <c r="ISO36" s="292"/>
      <c r="ISP36" s="292"/>
      <c r="ISQ36" s="292"/>
      <c r="ISR36" s="292"/>
      <c r="ISS36" s="292"/>
      <c r="IST36" s="292"/>
      <c r="ISU36" s="292"/>
      <c r="ISV36" s="292"/>
      <c r="ISW36" s="292"/>
      <c r="ISX36" s="292"/>
      <c r="ISY36" s="292"/>
      <c r="ISZ36" s="292"/>
      <c r="ITA36" s="292"/>
      <c r="ITB36" s="292"/>
      <c r="ITC36" s="292"/>
      <c r="ITD36" s="292"/>
      <c r="ITE36" s="292"/>
      <c r="ITF36" s="292"/>
      <c r="ITG36" s="292"/>
      <c r="ITH36" s="292"/>
      <c r="ITI36" s="292"/>
      <c r="ITJ36" s="292"/>
      <c r="ITK36" s="292"/>
      <c r="ITL36" s="292"/>
      <c r="ITM36" s="292"/>
      <c r="ITN36" s="292"/>
      <c r="ITO36" s="292"/>
      <c r="ITP36" s="292"/>
      <c r="ITQ36" s="292"/>
      <c r="ITR36" s="292"/>
      <c r="ITS36" s="292"/>
      <c r="ITT36" s="292"/>
      <c r="ITU36" s="292"/>
      <c r="ITV36" s="292"/>
      <c r="ITW36" s="292"/>
      <c r="ITX36" s="292"/>
      <c r="ITY36" s="292"/>
      <c r="ITZ36" s="292"/>
      <c r="IUA36" s="292"/>
      <c r="IUB36" s="292"/>
      <c r="IUC36" s="292"/>
      <c r="IUD36" s="292"/>
      <c r="IUE36" s="292"/>
      <c r="IUF36" s="292"/>
      <c r="IUG36" s="292"/>
      <c r="IUH36" s="292"/>
      <c r="IUI36" s="292"/>
      <c r="IUJ36" s="292"/>
      <c r="IUK36" s="292"/>
      <c r="IUL36" s="292"/>
      <c r="IUM36" s="292"/>
      <c r="IUN36" s="292"/>
      <c r="IUO36" s="292"/>
      <c r="IUP36" s="292"/>
      <c r="IUQ36" s="292"/>
      <c r="IUR36" s="292"/>
      <c r="IUS36" s="292"/>
      <c r="IUT36" s="292"/>
      <c r="IUU36" s="292"/>
      <c r="IUV36" s="292"/>
      <c r="IUW36" s="292"/>
      <c r="IUX36" s="292"/>
      <c r="IUY36" s="292"/>
      <c r="IUZ36" s="292"/>
      <c r="IVA36" s="292"/>
      <c r="IVB36" s="292"/>
      <c r="IVC36" s="292"/>
      <c r="IVD36" s="292"/>
      <c r="IVE36" s="292"/>
      <c r="IVF36" s="292"/>
      <c r="IVG36" s="292"/>
      <c r="IVH36" s="292"/>
      <c r="IVI36" s="292"/>
      <c r="IVJ36" s="292"/>
      <c r="IVK36" s="292"/>
      <c r="IVL36" s="292"/>
      <c r="IVM36" s="292"/>
      <c r="IVN36" s="292"/>
      <c r="IVO36" s="292"/>
      <c r="IVP36" s="292"/>
      <c r="IVQ36" s="292"/>
      <c r="IVR36" s="292"/>
      <c r="IVS36" s="292"/>
      <c r="IVT36" s="292"/>
      <c r="IVU36" s="292"/>
      <c r="IVV36" s="292"/>
      <c r="IVW36" s="292"/>
      <c r="IVX36" s="292"/>
      <c r="IVY36" s="292"/>
      <c r="IVZ36" s="292"/>
      <c r="IWA36" s="292"/>
      <c r="IWB36" s="292"/>
      <c r="IWC36" s="292"/>
      <c r="IWD36" s="292"/>
      <c r="IWE36" s="292"/>
      <c r="IWF36" s="292"/>
      <c r="IWG36" s="292"/>
      <c r="IWH36" s="292"/>
      <c r="IWI36" s="292"/>
      <c r="IWJ36" s="292"/>
      <c r="IWK36" s="292"/>
      <c r="IWL36" s="292"/>
      <c r="IWM36" s="292"/>
      <c r="IWN36" s="292"/>
      <c r="IWO36" s="292"/>
      <c r="IWP36" s="292"/>
      <c r="IWQ36" s="292"/>
      <c r="IWR36" s="292"/>
      <c r="IWS36" s="292"/>
      <c r="IWT36" s="292"/>
      <c r="IWU36" s="292"/>
      <c r="IWV36" s="292"/>
      <c r="IWW36" s="292"/>
      <c r="IWX36" s="292"/>
      <c r="IWY36" s="292"/>
      <c r="IWZ36" s="292"/>
      <c r="IXA36" s="292"/>
      <c r="IXB36" s="292"/>
      <c r="IXC36" s="292"/>
      <c r="IXD36" s="292"/>
      <c r="IXE36" s="292"/>
      <c r="IXF36" s="292"/>
      <c r="IXG36" s="292"/>
      <c r="IXH36" s="292"/>
      <c r="IXI36" s="292"/>
      <c r="IXJ36" s="292"/>
      <c r="IXK36" s="292"/>
      <c r="IXL36" s="292"/>
      <c r="IXM36" s="292"/>
      <c r="IXN36" s="292"/>
      <c r="IXO36" s="292"/>
      <c r="IXP36" s="292"/>
      <c r="IXQ36" s="292"/>
      <c r="IXR36" s="292"/>
      <c r="IXS36" s="292"/>
      <c r="IXT36" s="292"/>
      <c r="IXU36" s="292"/>
      <c r="IXV36" s="292"/>
      <c r="IXW36" s="292"/>
      <c r="IXX36" s="292"/>
      <c r="IXY36" s="292"/>
      <c r="IXZ36" s="292"/>
      <c r="IYA36" s="292"/>
      <c r="IYB36" s="292"/>
      <c r="IYC36" s="292"/>
      <c r="IYD36" s="292"/>
      <c r="IYE36" s="292"/>
      <c r="IYF36" s="292"/>
      <c r="IYG36" s="292"/>
      <c r="IYH36" s="292"/>
      <c r="IYI36" s="292"/>
      <c r="IYJ36" s="292"/>
      <c r="IYK36" s="292"/>
      <c r="IYL36" s="292"/>
      <c r="IYM36" s="292"/>
      <c r="IYN36" s="292"/>
      <c r="IYO36" s="292"/>
      <c r="IYP36" s="292"/>
      <c r="IYQ36" s="292"/>
      <c r="IYR36" s="292"/>
      <c r="IYS36" s="292"/>
      <c r="IYT36" s="292"/>
      <c r="IYU36" s="292"/>
      <c r="IYV36" s="292"/>
      <c r="IYW36" s="292"/>
      <c r="IYX36" s="292"/>
      <c r="IYY36" s="292"/>
      <c r="IYZ36" s="292"/>
      <c r="IZA36" s="292"/>
      <c r="IZB36" s="292"/>
      <c r="IZC36" s="292"/>
      <c r="IZD36" s="292"/>
      <c r="IZE36" s="292"/>
      <c r="IZF36" s="292"/>
      <c r="IZG36" s="292"/>
      <c r="IZH36" s="292"/>
      <c r="IZI36" s="292"/>
      <c r="IZJ36" s="292"/>
      <c r="IZK36" s="292"/>
      <c r="IZL36" s="292"/>
      <c r="IZM36" s="292"/>
      <c r="IZN36" s="292"/>
      <c r="IZO36" s="292"/>
      <c r="IZP36" s="292"/>
      <c r="IZQ36" s="292"/>
      <c r="IZR36" s="292"/>
      <c r="IZS36" s="292"/>
      <c r="IZT36" s="292"/>
      <c r="IZU36" s="292"/>
      <c r="IZV36" s="292"/>
      <c r="IZW36" s="292"/>
      <c r="IZX36" s="292"/>
      <c r="IZY36" s="292"/>
      <c r="IZZ36" s="292"/>
      <c r="JAA36" s="292"/>
      <c r="JAB36" s="292"/>
      <c r="JAC36" s="292"/>
      <c r="JAD36" s="292"/>
      <c r="JAE36" s="292"/>
      <c r="JAF36" s="292"/>
      <c r="JAG36" s="292"/>
      <c r="JAH36" s="292"/>
      <c r="JAI36" s="292"/>
      <c r="JAJ36" s="292"/>
      <c r="JAK36" s="292"/>
      <c r="JAL36" s="292"/>
      <c r="JAM36" s="292"/>
      <c r="JAN36" s="292"/>
      <c r="JAO36" s="292"/>
      <c r="JAP36" s="292"/>
      <c r="JAQ36" s="292"/>
      <c r="JAR36" s="292"/>
      <c r="JAS36" s="292"/>
      <c r="JAT36" s="292"/>
      <c r="JAU36" s="292"/>
      <c r="JAV36" s="292"/>
      <c r="JAW36" s="292"/>
      <c r="JAX36" s="292"/>
      <c r="JAY36" s="292"/>
      <c r="JAZ36" s="292"/>
      <c r="JBA36" s="292"/>
      <c r="JBB36" s="292"/>
      <c r="JBC36" s="292"/>
      <c r="JBD36" s="292"/>
      <c r="JBE36" s="292"/>
      <c r="JBF36" s="292"/>
      <c r="JBG36" s="292"/>
      <c r="JBH36" s="292"/>
      <c r="JBI36" s="292"/>
      <c r="JBJ36" s="292"/>
      <c r="JBK36" s="292"/>
      <c r="JBL36" s="292"/>
      <c r="JBM36" s="292"/>
      <c r="JBN36" s="292"/>
      <c r="JBO36" s="292"/>
      <c r="JBP36" s="292"/>
      <c r="JBQ36" s="292"/>
      <c r="JBR36" s="292"/>
      <c r="JBS36" s="292"/>
      <c r="JBT36" s="292"/>
      <c r="JBU36" s="292"/>
      <c r="JBV36" s="292"/>
      <c r="JBW36" s="292"/>
      <c r="JBX36" s="292"/>
      <c r="JBY36" s="292"/>
      <c r="JBZ36" s="292"/>
      <c r="JCA36" s="292"/>
      <c r="JCB36" s="292"/>
      <c r="JCC36" s="292"/>
      <c r="JCD36" s="292"/>
      <c r="JCE36" s="292"/>
      <c r="JCF36" s="292"/>
      <c r="JCG36" s="292"/>
      <c r="JCH36" s="292"/>
      <c r="JCI36" s="292"/>
      <c r="JCJ36" s="292"/>
      <c r="JCK36" s="292"/>
      <c r="JCL36" s="292"/>
      <c r="JCM36" s="292"/>
      <c r="JCN36" s="292"/>
      <c r="JCO36" s="292"/>
      <c r="JCP36" s="292"/>
      <c r="JCQ36" s="292"/>
      <c r="JCR36" s="292"/>
      <c r="JCS36" s="292"/>
      <c r="JCT36" s="292"/>
      <c r="JCU36" s="292"/>
      <c r="JCV36" s="292"/>
      <c r="JCW36" s="292"/>
      <c r="JCX36" s="292"/>
      <c r="JCY36" s="292"/>
      <c r="JCZ36" s="292"/>
      <c r="JDA36" s="292"/>
      <c r="JDB36" s="292"/>
      <c r="JDC36" s="292"/>
      <c r="JDD36" s="292"/>
      <c r="JDE36" s="292"/>
      <c r="JDF36" s="292"/>
      <c r="JDG36" s="292"/>
      <c r="JDH36" s="292"/>
      <c r="JDI36" s="292"/>
      <c r="JDJ36" s="292"/>
      <c r="JDK36" s="292"/>
      <c r="JDL36" s="292"/>
      <c r="JDM36" s="292"/>
      <c r="JDN36" s="292"/>
      <c r="JDO36" s="292"/>
      <c r="JDP36" s="292"/>
      <c r="JDQ36" s="292"/>
      <c r="JDR36" s="292"/>
      <c r="JDS36" s="292"/>
      <c r="JDT36" s="292"/>
      <c r="JDU36" s="292"/>
      <c r="JDV36" s="292"/>
      <c r="JDW36" s="292"/>
      <c r="JDX36" s="292"/>
      <c r="JDY36" s="292"/>
      <c r="JDZ36" s="292"/>
      <c r="JEA36" s="292"/>
      <c r="JEB36" s="292"/>
      <c r="JEC36" s="292"/>
      <c r="JED36" s="292"/>
      <c r="JEE36" s="292"/>
      <c r="JEF36" s="292"/>
      <c r="JEG36" s="292"/>
      <c r="JEH36" s="292"/>
      <c r="JEI36" s="292"/>
      <c r="JEJ36" s="292"/>
      <c r="JEK36" s="292"/>
      <c r="JEL36" s="292"/>
      <c r="JEM36" s="292"/>
      <c r="JEN36" s="292"/>
      <c r="JEO36" s="292"/>
      <c r="JEP36" s="292"/>
      <c r="JEQ36" s="292"/>
      <c r="JER36" s="292"/>
      <c r="JES36" s="292"/>
      <c r="JET36" s="292"/>
      <c r="JEU36" s="292"/>
      <c r="JEV36" s="292"/>
      <c r="JEW36" s="292"/>
      <c r="JEX36" s="292"/>
      <c r="JEY36" s="292"/>
      <c r="JEZ36" s="292"/>
      <c r="JFA36" s="292"/>
      <c r="JFB36" s="292"/>
      <c r="JFC36" s="292"/>
      <c r="JFD36" s="292"/>
      <c r="JFE36" s="292"/>
      <c r="JFF36" s="292"/>
      <c r="JFG36" s="292"/>
      <c r="JFH36" s="292"/>
      <c r="JFI36" s="292"/>
      <c r="JFJ36" s="292"/>
      <c r="JFK36" s="292"/>
      <c r="JFL36" s="292"/>
      <c r="JFM36" s="292"/>
      <c r="JFN36" s="292"/>
      <c r="JFO36" s="292"/>
      <c r="JFP36" s="292"/>
      <c r="JFQ36" s="292"/>
      <c r="JFR36" s="292"/>
      <c r="JFS36" s="292"/>
      <c r="JFT36" s="292"/>
      <c r="JFU36" s="292"/>
      <c r="JFV36" s="292"/>
      <c r="JFW36" s="292"/>
      <c r="JFX36" s="292"/>
      <c r="JFY36" s="292"/>
      <c r="JFZ36" s="292"/>
      <c r="JGA36" s="292"/>
      <c r="JGB36" s="292"/>
      <c r="JGC36" s="292"/>
      <c r="JGD36" s="292"/>
      <c r="JGE36" s="292"/>
      <c r="JGF36" s="292"/>
      <c r="JGG36" s="292"/>
      <c r="JGH36" s="292"/>
      <c r="JGI36" s="292"/>
      <c r="JGJ36" s="292"/>
      <c r="JGK36" s="292"/>
      <c r="JGL36" s="292"/>
      <c r="JGM36" s="292"/>
      <c r="JGN36" s="292"/>
      <c r="JGO36" s="292"/>
      <c r="JGP36" s="292"/>
      <c r="JGQ36" s="292"/>
      <c r="JGR36" s="292"/>
      <c r="JGS36" s="292"/>
      <c r="JGT36" s="292"/>
      <c r="JGU36" s="292"/>
      <c r="JGV36" s="292"/>
      <c r="JGW36" s="292"/>
      <c r="JGX36" s="292"/>
      <c r="JGY36" s="292"/>
      <c r="JGZ36" s="292"/>
      <c r="JHA36" s="292"/>
      <c r="JHB36" s="292"/>
      <c r="JHC36" s="292"/>
      <c r="JHD36" s="292"/>
      <c r="JHE36" s="292"/>
      <c r="JHF36" s="292"/>
      <c r="JHG36" s="292"/>
      <c r="JHH36" s="292"/>
      <c r="JHI36" s="292"/>
      <c r="JHJ36" s="292"/>
      <c r="JHK36" s="292"/>
      <c r="JHL36" s="292"/>
      <c r="JHM36" s="292"/>
      <c r="JHN36" s="292"/>
      <c r="JHO36" s="292"/>
      <c r="JHP36" s="292"/>
      <c r="JHQ36" s="292"/>
      <c r="JHR36" s="292"/>
      <c r="JHS36" s="292"/>
      <c r="JHT36" s="292"/>
      <c r="JHU36" s="292"/>
      <c r="JHV36" s="292"/>
      <c r="JHW36" s="292"/>
      <c r="JHX36" s="292"/>
      <c r="JHY36" s="292"/>
      <c r="JHZ36" s="292"/>
      <c r="JIA36" s="292"/>
      <c r="JIB36" s="292"/>
      <c r="JIC36" s="292"/>
      <c r="JID36" s="292"/>
      <c r="JIE36" s="292"/>
      <c r="JIF36" s="292"/>
      <c r="JIG36" s="292"/>
      <c r="JIH36" s="292"/>
      <c r="JII36" s="292"/>
      <c r="JIJ36" s="292"/>
      <c r="JIK36" s="292"/>
      <c r="JIL36" s="292"/>
      <c r="JIM36" s="292"/>
      <c r="JIN36" s="292"/>
      <c r="JIO36" s="292"/>
      <c r="JIP36" s="292"/>
      <c r="JIQ36" s="292"/>
      <c r="JIR36" s="292"/>
      <c r="JIS36" s="292"/>
      <c r="JIT36" s="292"/>
      <c r="JIU36" s="292"/>
      <c r="JIV36" s="292"/>
      <c r="JIW36" s="292"/>
      <c r="JIX36" s="292"/>
      <c r="JIY36" s="292"/>
      <c r="JIZ36" s="292"/>
      <c r="JJA36" s="292"/>
      <c r="JJB36" s="292"/>
      <c r="JJC36" s="292"/>
      <c r="JJD36" s="292"/>
      <c r="JJE36" s="292"/>
      <c r="JJF36" s="292"/>
      <c r="JJG36" s="292"/>
      <c r="JJH36" s="292"/>
      <c r="JJI36" s="292"/>
      <c r="JJJ36" s="292"/>
      <c r="JJK36" s="292"/>
      <c r="JJL36" s="292"/>
      <c r="JJM36" s="292"/>
      <c r="JJN36" s="292"/>
      <c r="JJO36" s="292"/>
      <c r="JJP36" s="292"/>
      <c r="JJQ36" s="292"/>
      <c r="JJR36" s="292"/>
      <c r="JJS36" s="292"/>
      <c r="JJT36" s="292"/>
      <c r="JJU36" s="292"/>
      <c r="JJV36" s="292"/>
      <c r="JJW36" s="292"/>
      <c r="JJX36" s="292"/>
      <c r="JJY36" s="292"/>
      <c r="JJZ36" s="292"/>
      <c r="JKA36" s="292"/>
      <c r="JKB36" s="292"/>
      <c r="JKC36" s="292"/>
      <c r="JKD36" s="292"/>
      <c r="JKE36" s="292"/>
      <c r="JKF36" s="292"/>
      <c r="JKG36" s="292"/>
      <c r="JKH36" s="292"/>
      <c r="JKI36" s="292"/>
      <c r="JKJ36" s="292"/>
      <c r="JKK36" s="292"/>
      <c r="JKL36" s="292"/>
      <c r="JKM36" s="292"/>
      <c r="JKN36" s="292"/>
      <c r="JKO36" s="292"/>
      <c r="JKP36" s="292"/>
      <c r="JKQ36" s="292"/>
      <c r="JKR36" s="292"/>
      <c r="JKS36" s="292"/>
      <c r="JKT36" s="292"/>
      <c r="JKU36" s="292"/>
      <c r="JKV36" s="292"/>
      <c r="JKW36" s="292"/>
      <c r="JKX36" s="292"/>
      <c r="JKY36" s="292"/>
      <c r="JKZ36" s="292"/>
      <c r="JLA36" s="292"/>
      <c r="JLB36" s="292"/>
      <c r="JLC36" s="292"/>
      <c r="JLD36" s="292"/>
      <c r="JLE36" s="292"/>
      <c r="JLF36" s="292"/>
      <c r="JLG36" s="292"/>
      <c r="JLH36" s="292"/>
      <c r="JLI36" s="292"/>
      <c r="JLJ36" s="292"/>
      <c r="JLK36" s="292"/>
      <c r="JLL36" s="292"/>
      <c r="JLM36" s="292"/>
      <c r="JLN36" s="292"/>
      <c r="JLO36" s="292"/>
      <c r="JLP36" s="292"/>
      <c r="JLQ36" s="292"/>
      <c r="JLR36" s="292"/>
      <c r="JLS36" s="292"/>
      <c r="JLT36" s="292"/>
      <c r="JLU36" s="292"/>
      <c r="JLV36" s="292"/>
      <c r="JLW36" s="292"/>
      <c r="JLX36" s="292"/>
      <c r="JLY36" s="292"/>
      <c r="JLZ36" s="292"/>
      <c r="JMA36" s="292"/>
      <c r="JMB36" s="292"/>
      <c r="JMC36" s="292"/>
      <c r="JMD36" s="292"/>
      <c r="JME36" s="292"/>
      <c r="JMF36" s="292"/>
      <c r="JMG36" s="292"/>
      <c r="JMH36" s="292"/>
      <c r="JMI36" s="292"/>
      <c r="JMJ36" s="292"/>
      <c r="JMK36" s="292"/>
      <c r="JML36" s="292"/>
      <c r="JMM36" s="292"/>
      <c r="JMN36" s="292"/>
      <c r="JMO36" s="292"/>
      <c r="JMP36" s="292"/>
      <c r="JMQ36" s="292"/>
      <c r="JMR36" s="292"/>
      <c r="JMS36" s="292"/>
      <c r="JMT36" s="292"/>
      <c r="JMU36" s="292"/>
      <c r="JMV36" s="292"/>
      <c r="JMW36" s="292"/>
      <c r="JMX36" s="292"/>
      <c r="JMY36" s="292"/>
      <c r="JMZ36" s="292"/>
      <c r="JNA36" s="292"/>
      <c r="JNB36" s="292"/>
      <c r="JNC36" s="292"/>
      <c r="JND36" s="292"/>
      <c r="JNE36" s="292"/>
      <c r="JNF36" s="292"/>
      <c r="JNG36" s="292"/>
      <c r="JNH36" s="292"/>
      <c r="JNI36" s="292"/>
      <c r="JNJ36" s="292"/>
      <c r="JNK36" s="292"/>
      <c r="JNL36" s="292"/>
      <c r="JNM36" s="292"/>
      <c r="JNN36" s="292"/>
      <c r="JNO36" s="292"/>
      <c r="JNP36" s="292"/>
      <c r="JNQ36" s="292"/>
      <c r="JNR36" s="292"/>
      <c r="JNS36" s="292"/>
      <c r="JNT36" s="292"/>
      <c r="JNU36" s="292"/>
      <c r="JNV36" s="292"/>
      <c r="JNW36" s="292"/>
      <c r="JNX36" s="292"/>
      <c r="JNY36" s="292"/>
      <c r="JNZ36" s="292"/>
      <c r="JOA36" s="292"/>
      <c r="JOB36" s="292"/>
      <c r="JOC36" s="292"/>
      <c r="JOD36" s="292"/>
      <c r="JOE36" s="292"/>
      <c r="JOF36" s="292"/>
      <c r="JOG36" s="292"/>
      <c r="JOH36" s="292"/>
      <c r="JOI36" s="292"/>
      <c r="JOJ36" s="292"/>
      <c r="JOK36" s="292"/>
      <c r="JOL36" s="292"/>
      <c r="JOM36" s="292"/>
      <c r="JON36" s="292"/>
      <c r="JOO36" s="292"/>
      <c r="JOP36" s="292"/>
      <c r="JOQ36" s="292"/>
      <c r="JOR36" s="292"/>
      <c r="JOS36" s="292"/>
      <c r="JOT36" s="292"/>
      <c r="JOU36" s="292"/>
      <c r="JOV36" s="292"/>
      <c r="JOW36" s="292"/>
      <c r="JOX36" s="292"/>
      <c r="JOY36" s="292"/>
      <c r="JOZ36" s="292"/>
      <c r="JPA36" s="292"/>
      <c r="JPB36" s="292"/>
      <c r="JPC36" s="292"/>
      <c r="JPD36" s="292"/>
      <c r="JPE36" s="292"/>
      <c r="JPF36" s="292"/>
      <c r="JPG36" s="292"/>
      <c r="JPH36" s="292"/>
      <c r="JPI36" s="292"/>
      <c r="JPJ36" s="292"/>
      <c r="JPK36" s="292"/>
      <c r="JPL36" s="292"/>
      <c r="JPM36" s="292"/>
      <c r="JPN36" s="292"/>
      <c r="JPO36" s="292"/>
      <c r="JPP36" s="292"/>
      <c r="JPQ36" s="292"/>
      <c r="JPR36" s="292"/>
      <c r="JPS36" s="292"/>
      <c r="JPT36" s="292"/>
      <c r="JPU36" s="292"/>
      <c r="JPV36" s="292"/>
      <c r="JPW36" s="292"/>
      <c r="JPX36" s="292"/>
      <c r="JPY36" s="292"/>
      <c r="JPZ36" s="292"/>
      <c r="JQA36" s="292"/>
      <c r="JQB36" s="292"/>
      <c r="JQC36" s="292"/>
      <c r="JQD36" s="292"/>
      <c r="JQE36" s="292"/>
      <c r="JQF36" s="292"/>
      <c r="JQG36" s="292"/>
      <c r="JQH36" s="292"/>
      <c r="JQI36" s="292"/>
      <c r="JQJ36" s="292"/>
      <c r="JQK36" s="292"/>
      <c r="JQL36" s="292"/>
      <c r="JQM36" s="292"/>
      <c r="JQN36" s="292"/>
      <c r="JQO36" s="292"/>
      <c r="JQP36" s="292"/>
      <c r="JQQ36" s="292"/>
      <c r="JQR36" s="292"/>
      <c r="JQS36" s="292"/>
      <c r="JQT36" s="292"/>
      <c r="JQU36" s="292"/>
      <c r="JQV36" s="292"/>
      <c r="JQW36" s="292"/>
      <c r="JQX36" s="292"/>
      <c r="JQY36" s="292"/>
      <c r="JQZ36" s="292"/>
      <c r="JRA36" s="292"/>
      <c r="JRB36" s="292"/>
      <c r="JRC36" s="292"/>
      <c r="JRD36" s="292"/>
      <c r="JRE36" s="292"/>
      <c r="JRF36" s="292"/>
      <c r="JRG36" s="292"/>
      <c r="JRH36" s="292"/>
      <c r="JRI36" s="292"/>
      <c r="JRJ36" s="292"/>
      <c r="JRK36" s="292"/>
      <c r="JRL36" s="292"/>
      <c r="JRM36" s="292"/>
      <c r="JRN36" s="292"/>
      <c r="JRO36" s="292"/>
      <c r="JRP36" s="292"/>
      <c r="JRQ36" s="292"/>
      <c r="JRR36" s="292"/>
      <c r="JRS36" s="292"/>
      <c r="JRT36" s="292"/>
      <c r="JRU36" s="292"/>
      <c r="JRV36" s="292"/>
      <c r="JRW36" s="292"/>
      <c r="JRX36" s="292"/>
      <c r="JRY36" s="292"/>
      <c r="JRZ36" s="292"/>
      <c r="JSA36" s="292"/>
      <c r="JSB36" s="292"/>
      <c r="JSC36" s="292"/>
      <c r="JSD36" s="292"/>
      <c r="JSE36" s="292"/>
      <c r="JSF36" s="292"/>
      <c r="JSG36" s="292"/>
      <c r="JSH36" s="292"/>
      <c r="JSI36" s="292"/>
      <c r="JSJ36" s="292"/>
      <c r="JSK36" s="292"/>
      <c r="JSL36" s="292"/>
      <c r="JSM36" s="292"/>
      <c r="JSN36" s="292"/>
      <c r="JSO36" s="292"/>
      <c r="JSP36" s="292"/>
      <c r="JSQ36" s="292"/>
      <c r="JSR36" s="292"/>
      <c r="JSS36" s="292"/>
      <c r="JST36" s="292"/>
      <c r="JSU36" s="292"/>
      <c r="JSV36" s="292"/>
      <c r="JSW36" s="292"/>
      <c r="JSX36" s="292"/>
      <c r="JSY36" s="292"/>
      <c r="JSZ36" s="292"/>
      <c r="JTA36" s="292"/>
      <c r="JTB36" s="292"/>
      <c r="JTC36" s="292"/>
      <c r="JTD36" s="292"/>
      <c r="JTE36" s="292"/>
      <c r="JTF36" s="292"/>
      <c r="JTG36" s="292"/>
      <c r="JTH36" s="292"/>
      <c r="JTI36" s="292"/>
      <c r="JTJ36" s="292"/>
      <c r="JTK36" s="292"/>
      <c r="JTL36" s="292"/>
      <c r="JTM36" s="292"/>
      <c r="JTN36" s="292"/>
      <c r="JTO36" s="292"/>
      <c r="JTP36" s="292"/>
      <c r="JTQ36" s="292"/>
      <c r="JTR36" s="292"/>
      <c r="JTS36" s="292"/>
      <c r="JTT36" s="292"/>
      <c r="JTU36" s="292"/>
      <c r="JTV36" s="292"/>
      <c r="JTW36" s="292"/>
      <c r="JTX36" s="292"/>
      <c r="JTY36" s="292"/>
      <c r="JTZ36" s="292"/>
      <c r="JUA36" s="292"/>
      <c r="JUB36" s="292"/>
      <c r="JUC36" s="292"/>
      <c r="JUD36" s="292"/>
      <c r="JUE36" s="292"/>
      <c r="JUF36" s="292"/>
      <c r="JUG36" s="292"/>
      <c r="JUH36" s="292"/>
      <c r="JUI36" s="292"/>
      <c r="JUJ36" s="292"/>
      <c r="JUK36" s="292"/>
      <c r="JUL36" s="292"/>
      <c r="JUM36" s="292"/>
      <c r="JUN36" s="292"/>
      <c r="JUO36" s="292"/>
      <c r="JUP36" s="292"/>
      <c r="JUQ36" s="292"/>
      <c r="JUR36" s="292"/>
      <c r="JUS36" s="292"/>
      <c r="JUT36" s="292"/>
      <c r="JUU36" s="292"/>
      <c r="JUV36" s="292"/>
      <c r="JUW36" s="292"/>
      <c r="JUX36" s="292"/>
      <c r="JUY36" s="292"/>
      <c r="JUZ36" s="292"/>
      <c r="JVA36" s="292"/>
      <c r="JVB36" s="292"/>
      <c r="JVC36" s="292"/>
      <c r="JVD36" s="292"/>
      <c r="JVE36" s="292"/>
      <c r="JVF36" s="292"/>
      <c r="JVG36" s="292"/>
      <c r="JVH36" s="292"/>
      <c r="JVI36" s="292"/>
      <c r="JVJ36" s="292"/>
      <c r="JVK36" s="292"/>
      <c r="JVL36" s="292"/>
      <c r="JVM36" s="292"/>
      <c r="JVN36" s="292"/>
      <c r="JVO36" s="292"/>
      <c r="JVP36" s="292"/>
      <c r="JVQ36" s="292"/>
      <c r="JVR36" s="292"/>
      <c r="JVS36" s="292"/>
      <c r="JVT36" s="292"/>
      <c r="JVU36" s="292"/>
      <c r="JVV36" s="292"/>
      <c r="JVW36" s="292"/>
      <c r="JVX36" s="292"/>
      <c r="JVY36" s="292"/>
      <c r="JVZ36" s="292"/>
      <c r="JWA36" s="292"/>
      <c r="JWB36" s="292"/>
      <c r="JWC36" s="292"/>
      <c r="JWD36" s="292"/>
      <c r="JWE36" s="292"/>
      <c r="JWF36" s="292"/>
      <c r="JWG36" s="292"/>
      <c r="JWH36" s="292"/>
      <c r="JWI36" s="292"/>
      <c r="JWJ36" s="292"/>
      <c r="JWK36" s="292"/>
      <c r="JWL36" s="292"/>
      <c r="JWM36" s="292"/>
      <c r="JWN36" s="292"/>
      <c r="JWO36" s="292"/>
      <c r="JWP36" s="292"/>
      <c r="JWQ36" s="292"/>
      <c r="JWR36" s="292"/>
      <c r="JWS36" s="292"/>
      <c r="JWT36" s="292"/>
      <c r="JWU36" s="292"/>
      <c r="JWV36" s="292"/>
      <c r="JWW36" s="292"/>
      <c r="JWX36" s="292"/>
      <c r="JWY36" s="292"/>
      <c r="JWZ36" s="292"/>
      <c r="JXA36" s="292"/>
      <c r="JXB36" s="292"/>
      <c r="JXC36" s="292"/>
      <c r="JXD36" s="292"/>
      <c r="JXE36" s="292"/>
      <c r="JXF36" s="292"/>
      <c r="JXG36" s="292"/>
      <c r="JXH36" s="292"/>
      <c r="JXI36" s="292"/>
      <c r="JXJ36" s="292"/>
      <c r="JXK36" s="292"/>
      <c r="JXL36" s="292"/>
      <c r="JXM36" s="292"/>
      <c r="JXN36" s="292"/>
      <c r="JXO36" s="292"/>
      <c r="JXP36" s="292"/>
      <c r="JXQ36" s="292"/>
      <c r="JXR36" s="292"/>
      <c r="JXS36" s="292"/>
      <c r="JXT36" s="292"/>
      <c r="JXU36" s="292"/>
      <c r="JXV36" s="292"/>
      <c r="JXW36" s="292"/>
      <c r="JXX36" s="292"/>
      <c r="JXY36" s="292"/>
      <c r="JXZ36" s="292"/>
      <c r="JYA36" s="292"/>
      <c r="JYB36" s="292"/>
      <c r="JYC36" s="292"/>
      <c r="JYD36" s="292"/>
      <c r="JYE36" s="292"/>
      <c r="JYF36" s="292"/>
      <c r="JYG36" s="292"/>
      <c r="JYH36" s="292"/>
      <c r="JYI36" s="292"/>
      <c r="JYJ36" s="292"/>
      <c r="JYK36" s="292"/>
      <c r="JYL36" s="292"/>
      <c r="JYM36" s="292"/>
      <c r="JYN36" s="292"/>
      <c r="JYO36" s="292"/>
      <c r="JYP36" s="292"/>
      <c r="JYQ36" s="292"/>
      <c r="JYR36" s="292"/>
      <c r="JYS36" s="292"/>
      <c r="JYT36" s="292"/>
      <c r="JYU36" s="292"/>
      <c r="JYV36" s="292"/>
      <c r="JYW36" s="292"/>
      <c r="JYX36" s="292"/>
      <c r="JYY36" s="292"/>
      <c r="JYZ36" s="292"/>
      <c r="JZA36" s="292"/>
      <c r="JZB36" s="292"/>
      <c r="JZC36" s="292"/>
      <c r="JZD36" s="292"/>
      <c r="JZE36" s="292"/>
      <c r="JZF36" s="292"/>
      <c r="JZG36" s="292"/>
      <c r="JZH36" s="292"/>
      <c r="JZI36" s="292"/>
      <c r="JZJ36" s="292"/>
      <c r="JZK36" s="292"/>
      <c r="JZL36" s="292"/>
      <c r="JZM36" s="292"/>
      <c r="JZN36" s="292"/>
      <c r="JZO36" s="292"/>
      <c r="JZP36" s="292"/>
      <c r="JZQ36" s="292"/>
      <c r="JZR36" s="292"/>
      <c r="JZS36" s="292"/>
      <c r="JZT36" s="292"/>
      <c r="JZU36" s="292"/>
      <c r="JZV36" s="292"/>
      <c r="JZW36" s="292"/>
      <c r="JZX36" s="292"/>
      <c r="JZY36" s="292"/>
      <c r="JZZ36" s="292"/>
      <c r="KAA36" s="292"/>
      <c r="KAB36" s="292"/>
      <c r="KAC36" s="292"/>
      <c r="KAD36" s="292"/>
      <c r="KAE36" s="292"/>
      <c r="KAF36" s="292"/>
      <c r="KAG36" s="292"/>
      <c r="KAH36" s="292"/>
      <c r="KAI36" s="292"/>
      <c r="KAJ36" s="292"/>
      <c r="KAK36" s="292"/>
      <c r="KAL36" s="292"/>
      <c r="KAM36" s="292"/>
      <c r="KAN36" s="292"/>
      <c r="KAO36" s="292"/>
      <c r="KAP36" s="292"/>
      <c r="KAQ36" s="292"/>
      <c r="KAR36" s="292"/>
      <c r="KAS36" s="292"/>
      <c r="KAT36" s="292"/>
      <c r="KAU36" s="292"/>
      <c r="KAV36" s="292"/>
      <c r="KAW36" s="292"/>
      <c r="KAX36" s="292"/>
      <c r="KAY36" s="292"/>
      <c r="KAZ36" s="292"/>
      <c r="KBA36" s="292"/>
      <c r="KBB36" s="292"/>
      <c r="KBC36" s="292"/>
      <c r="KBD36" s="292"/>
      <c r="KBE36" s="292"/>
      <c r="KBF36" s="292"/>
      <c r="KBG36" s="292"/>
      <c r="KBH36" s="292"/>
      <c r="KBI36" s="292"/>
      <c r="KBJ36" s="292"/>
      <c r="KBK36" s="292"/>
      <c r="KBL36" s="292"/>
      <c r="KBM36" s="292"/>
      <c r="KBN36" s="292"/>
      <c r="KBO36" s="292"/>
      <c r="KBP36" s="292"/>
      <c r="KBQ36" s="292"/>
      <c r="KBR36" s="292"/>
      <c r="KBS36" s="292"/>
      <c r="KBT36" s="292"/>
      <c r="KBU36" s="292"/>
      <c r="KBV36" s="292"/>
      <c r="KBW36" s="292"/>
      <c r="KBX36" s="292"/>
      <c r="KBY36" s="292"/>
      <c r="KBZ36" s="292"/>
      <c r="KCA36" s="292"/>
      <c r="KCB36" s="292"/>
      <c r="KCC36" s="292"/>
      <c r="KCD36" s="292"/>
      <c r="KCE36" s="292"/>
      <c r="KCF36" s="292"/>
      <c r="KCG36" s="292"/>
      <c r="KCH36" s="292"/>
      <c r="KCI36" s="292"/>
      <c r="KCJ36" s="292"/>
      <c r="KCK36" s="292"/>
      <c r="KCL36" s="292"/>
      <c r="KCM36" s="292"/>
      <c r="KCN36" s="292"/>
      <c r="KCO36" s="292"/>
      <c r="KCP36" s="292"/>
      <c r="KCQ36" s="292"/>
      <c r="KCR36" s="292"/>
      <c r="KCS36" s="292"/>
      <c r="KCT36" s="292"/>
      <c r="KCU36" s="292"/>
      <c r="KCV36" s="292"/>
      <c r="KCW36" s="292"/>
      <c r="KCX36" s="292"/>
      <c r="KCY36" s="292"/>
      <c r="KCZ36" s="292"/>
      <c r="KDA36" s="292"/>
      <c r="KDB36" s="292"/>
      <c r="KDC36" s="292"/>
      <c r="KDD36" s="292"/>
      <c r="KDE36" s="292"/>
      <c r="KDF36" s="292"/>
      <c r="KDG36" s="292"/>
      <c r="KDH36" s="292"/>
      <c r="KDI36" s="292"/>
      <c r="KDJ36" s="292"/>
      <c r="KDK36" s="292"/>
      <c r="KDL36" s="292"/>
      <c r="KDM36" s="292"/>
      <c r="KDN36" s="292"/>
      <c r="KDO36" s="292"/>
      <c r="KDP36" s="292"/>
      <c r="KDQ36" s="292"/>
      <c r="KDR36" s="292"/>
      <c r="KDS36" s="292"/>
      <c r="KDT36" s="292"/>
      <c r="KDU36" s="292"/>
      <c r="KDV36" s="292"/>
      <c r="KDW36" s="292"/>
      <c r="KDX36" s="292"/>
      <c r="KDY36" s="292"/>
      <c r="KDZ36" s="292"/>
      <c r="KEA36" s="292"/>
      <c r="KEB36" s="292"/>
      <c r="KEC36" s="292"/>
      <c r="KED36" s="292"/>
      <c r="KEE36" s="292"/>
      <c r="KEF36" s="292"/>
      <c r="KEG36" s="292"/>
      <c r="KEH36" s="292"/>
      <c r="KEI36" s="292"/>
      <c r="KEJ36" s="292"/>
      <c r="KEK36" s="292"/>
      <c r="KEL36" s="292"/>
      <c r="KEM36" s="292"/>
      <c r="KEN36" s="292"/>
      <c r="KEO36" s="292"/>
      <c r="KEP36" s="292"/>
      <c r="KEQ36" s="292"/>
      <c r="KER36" s="292"/>
      <c r="KES36" s="292"/>
      <c r="KET36" s="292"/>
      <c r="KEU36" s="292"/>
      <c r="KEV36" s="292"/>
      <c r="KEW36" s="292"/>
      <c r="KEX36" s="292"/>
      <c r="KEY36" s="292"/>
      <c r="KEZ36" s="292"/>
      <c r="KFA36" s="292"/>
      <c r="KFB36" s="292"/>
      <c r="KFC36" s="292"/>
      <c r="KFD36" s="292"/>
      <c r="KFE36" s="292"/>
      <c r="KFF36" s="292"/>
      <c r="KFG36" s="292"/>
      <c r="KFH36" s="292"/>
      <c r="KFI36" s="292"/>
      <c r="KFJ36" s="292"/>
      <c r="KFK36" s="292"/>
      <c r="KFL36" s="292"/>
      <c r="KFM36" s="292"/>
      <c r="KFN36" s="292"/>
      <c r="KFO36" s="292"/>
      <c r="KFP36" s="292"/>
      <c r="KFQ36" s="292"/>
      <c r="KFR36" s="292"/>
      <c r="KFS36" s="292"/>
      <c r="KFT36" s="292"/>
      <c r="KFU36" s="292"/>
      <c r="KFV36" s="292"/>
      <c r="KFW36" s="292"/>
      <c r="KFX36" s="292"/>
      <c r="KFY36" s="292"/>
      <c r="KFZ36" s="292"/>
      <c r="KGA36" s="292"/>
      <c r="KGB36" s="292"/>
      <c r="KGC36" s="292"/>
      <c r="KGD36" s="292"/>
      <c r="KGE36" s="292"/>
      <c r="KGF36" s="292"/>
      <c r="KGG36" s="292"/>
      <c r="KGH36" s="292"/>
      <c r="KGI36" s="292"/>
      <c r="KGJ36" s="292"/>
      <c r="KGK36" s="292"/>
      <c r="KGL36" s="292"/>
      <c r="KGM36" s="292"/>
      <c r="KGN36" s="292"/>
      <c r="KGO36" s="292"/>
      <c r="KGP36" s="292"/>
      <c r="KGQ36" s="292"/>
      <c r="KGR36" s="292"/>
      <c r="KGS36" s="292"/>
      <c r="KGT36" s="292"/>
      <c r="KGU36" s="292"/>
      <c r="KGV36" s="292"/>
      <c r="KGW36" s="292"/>
      <c r="KGX36" s="292"/>
      <c r="KGY36" s="292"/>
      <c r="KGZ36" s="292"/>
      <c r="KHA36" s="292"/>
      <c r="KHB36" s="292"/>
      <c r="KHC36" s="292"/>
      <c r="KHD36" s="292"/>
      <c r="KHE36" s="292"/>
      <c r="KHF36" s="292"/>
      <c r="KHG36" s="292"/>
      <c r="KHH36" s="292"/>
      <c r="KHI36" s="292"/>
      <c r="KHJ36" s="292"/>
      <c r="KHK36" s="292"/>
      <c r="KHL36" s="292"/>
      <c r="KHM36" s="292"/>
      <c r="KHN36" s="292"/>
      <c r="KHO36" s="292"/>
      <c r="KHP36" s="292"/>
      <c r="KHQ36" s="292"/>
      <c r="KHR36" s="292"/>
      <c r="KHS36" s="292"/>
      <c r="KHT36" s="292"/>
      <c r="KHU36" s="292"/>
      <c r="KHV36" s="292"/>
      <c r="KHW36" s="292"/>
      <c r="KHX36" s="292"/>
      <c r="KHY36" s="292"/>
      <c r="KHZ36" s="292"/>
      <c r="KIA36" s="292"/>
      <c r="KIB36" s="292"/>
      <c r="KIC36" s="292"/>
      <c r="KID36" s="292"/>
      <c r="KIE36" s="292"/>
      <c r="KIF36" s="292"/>
      <c r="KIG36" s="292"/>
      <c r="KIH36" s="292"/>
      <c r="KII36" s="292"/>
      <c r="KIJ36" s="292"/>
      <c r="KIK36" s="292"/>
      <c r="KIL36" s="292"/>
      <c r="KIM36" s="292"/>
      <c r="KIN36" s="292"/>
      <c r="KIO36" s="292"/>
      <c r="KIP36" s="292"/>
      <c r="KIQ36" s="292"/>
      <c r="KIR36" s="292"/>
      <c r="KIS36" s="292"/>
      <c r="KIT36" s="292"/>
      <c r="KIU36" s="292"/>
      <c r="KIV36" s="292"/>
      <c r="KIW36" s="292"/>
      <c r="KIX36" s="292"/>
      <c r="KIY36" s="292"/>
      <c r="KIZ36" s="292"/>
      <c r="KJA36" s="292"/>
      <c r="KJB36" s="292"/>
      <c r="KJC36" s="292"/>
      <c r="KJD36" s="292"/>
      <c r="KJE36" s="292"/>
      <c r="KJF36" s="292"/>
      <c r="KJG36" s="292"/>
      <c r="KJH36" s="292"/>
      <c r="KJI36" s="292"/>
      <c r="KJJ36" s="292"/>
      <c r="KJK36" s="292"/>
      <c r="KJL36" s="292"/>
      <c r="KJM36" s="292"/>
      <c r="KJN36" s="292"/>
      <c r="KJO36" s="292"/>
      <c r="KJP36" s="292"/>
      <c r="KJQ36" s="292"/>
      <c r="KJR36" s="292"/>
      <c r="KJS36" s="292"/>
      <c r="KJT36" s="292"/>
      <c r="KJU36" s="292"/>
      <c r="KJV36" s="292"/>
      <c r="KJW36" s="292"/>
      <c r="KJX36" s="292"/>
      <c r="KJY36" s="292"/>
      <c r="KJZ36" s="292"/>
      <c r="KKA36" s="292"/>
      <c r="KKB36" s="292"/>
      <c r="KKC36" s="292"/>
      <c r="KKD36" s="292"/>
      <c r="KKE36" s="292"/>
      <c r="KKF36" s="292"/>
      <c r="KKG36" s="292"/>
      <c r="KKH36" s="292"/>
      <c r="KKI36" s="292"/>
      <c r="KKJ36" s="292"/>
      <c r="KKK36" s="292"/>
      <c r="KKL36" s="292"/>
      <c r="KKM36" s="292"/>
      <c r="KKN36" s="292"/>
      <c r="KKO36" s="292"/>
      <c r="KKP36" s="292"/>
      <c r="KKQ36" s="292"/>
      <c r="KKR36" s="292"/>
      <c r="KKS36" s="292"/>
      <c r="KKT36" s="292"/>
      <c r="KKU36" s="292"/>
      <c r="KKV36" s="292"/>
      <c r="KKW36" s="292"/>
      <c r="KKX36" s="292"/>
      <c r="KKY36" s="292"/>
      <c r="KKZ36" s="292"/>
      <c r="KLA36" s="292"/>
      <c r="KLB36" s="292"/>
      <c r="KLC36" s="292"/>
      <c r="KLD36" s="292"/>
      <c r="KLE36" s="292"/>
      <c r="KLF36" s="292"/>
      <c r="KLG36" s="292"/>
      <c r="KLH36" s="292"/>
      <c r="KLI36" s="292"/>
      <c r="KLJ36" s="292"/>
      <c r="KLK36" s="292"/>
      <c r="KLL36" s="292"/>
      <c r="KLM36" s="292"/>
      <c r="KLN36" s="292"/>
      <c r="KLO36" s="292"/>
      <c r="KLP36" s="292"/>
      <c r="KLQ36" s="292"/>
      <c r="KLR36" s="292"/>
      <c r="KLS36" s="292"/>
      <c r="KLT36" s="292"/>
      <c r="KLU36" s="292"/>
      <c r="KLV36" s="292"/>
      <c r="KLW36" s="292"/>
      <c r="KLX36" s="292"/>
      <c r="KLY36" s="292"/>
      <c r="KLZ36" s="292"/>
      <c r="KMA36" s="292"/>
      <c r="KMB36" s="292"/>
      <c r="KMC36" s="292"/>
      <c r="KMD36" s="292"/>
      <c r="KME36" s="292"/>
      <c r="KMF36" s="292"/>
      <c r="KMG36" s="292"/>
      <c r="KMH36" s="292"/>
      <c r="KMI36" s="292"/>
      <c r="KMJ36" s="292"/>
      <c r="KMK36" s="292"/>
      <c r="KML36" s="292"/>
      <c r="KMM36" s="292"/>
      <c r="KMN36" s="292"/>
      <c r="KMO36" s="292"/>
      <c r="KMP36" s="292"/>
      <c r="KMQ36" s="292"/>
      <c r="KMR36" s="292"/>
      <c r="KMS36" s="292"/>
      <c r="KMT36" s="292"/>
      <c r="KMU36" s="292"/>
      <c r="KMV36" s="292"/>
      <c r="KMW36" s="292"/>
      <c r="KMX36" s="292"/>
      <c r="KMY36" s="292"/>
      <c r="KMZ36" s="292"/>
      <c r="KNA36" s="292"/>
      <c r="KNB36" s="292"/>
      <c r="KNC36" s="292"/>
      <c r="KND36" s="292"/>
      <c r="KNE36" s="292"/>
      <c r="KNF36" s="292"/>
      <c r="KNG36" s="292"/>
      <c r="KNH36" s="292"/>
      <c r="KNI36" s="292"/>
      <c r="KNJ36" s="292"/>
      <c r="KNK36" s="292"/>
      <c r="KNL36" s="292"/>
      <c r="KNM36" s="292"/>
      <c r="KNN36" s="292"/>
      <c r="KNO36" s="292"/>
      <c r="KNP36" s="292"/>
      <c r="KNQ36" s="292"/>
      <c r="KNR36" s="292"/>
      <c r="KNS36" s="292"/>
      <c r="KNT36" s="292"/>
      <c r="KNU36" s="292"/>
      <c r="KNV36" s="292"/>
      <c r="KNW36" s="292"/>
      <c r="KNX36" s="292"/>
      <c r="KNY36" s="292"/>
      <c r="KNZ36" s="292"/>
      <c r="KOA36" s="292"/>
      <c r="KOB36" s="292"/>
      <c r="KOC36" s="292"/>
      <c r="KOD36" s="292"/>
      <c r="KOE36" s="292"/>
      <c r="KOF36" s="292"/>
      <c r="KOG36" s="292"/>
      <c r="KOH36" s="292"/>
      <c r="KOI36" s="292"/>
      <c r="KOJ36" s="292"/>
      <c r="KOK36" s="292"/>
      <c r="KOL36" s="292"/>
      <c r="KOM36" s="292"/>
      <c r="KON36" s="292"/>
      <c r="KOO36" s="292"/>
      <c r="KOP36" s="292"/>
      <c r="KOQ36" s="292"/>
      <c r="KOR36" s="292"/>
      <c r="KOS36" s="292"/>
      <c r="KOT36" s="292"/>
      <c r="KOU36" s="292"/>
      <c r="KOV36" s="292"/>
      <c r="KOW36" s="292"/>
      <c r="KOX36" s="292"/>
      <c r="KOY36" s="292"/>
      <c r="KOZ36" s="292"/>
      <c r="KPA36" s="292"/>
      <c r="KPB36" s="292"/>
      <c r="KPC36" s="292"/>
      <c r="KPD36" s="292"/>
      <c r="KPE36" s="292"/>
      <c r="KPF36" s="292"/>
      <c r="KPG36" s="292"/>
      <c r="KPH36" s="292"/>
      <c r="KPI36" s="292"/>
      <c r="KPJ36" s="292"/>
      <c r="KPK36" s="292"/>
      <c r="KPL36" s="292"/>
      <c r="KPM36" s="292"/>
      <c r="KPN36" s="292"/>
      <c r="KPO36" s="292"/>
      <c r="KPP36" s="292"/>
      <c r="KPQ36" s="292"/>
      <c r="KPR36" s="292"/>
      <c r="KPS36" s="292"/>
      <c r="KPT36" s="292"/>
      <c r="KPU36" s="292"/>
      <c r="KPV36" s="292"/>
      <c r="KPW36" s="292"/>
      <c r="KPX36" s="292"/>
      <c r="KPY36" s="292"/>
      <c r="KPZ36" s="292"/>
      <c r="KQA36" s="292"/>
      <c r="KQB36" s="292"/>
      <c r="KQC36" s="292"/>
      <c r="KQD36" s="292"/>
      <c r="KQE36" s="292"/>
      <c r="KQF36" s="292"/>
      <c r="KQG36" s="292"/>
      <c r="KQH36" s="292"/>
      <c r="KQI36" s="292"/>
      <c r="KQJ36" s="292"/>
      <c r="KQK36" s="292"/>
      <c r="KQL36" s="292"/>
      <c r="KQM36" s="292"/>
      <c r="KQN36" s="292"/>
      <c r="KQO36" s="292"/>
      <c r="KQP36" s="292"/>
      <c r="KQQ36" s="292"/>
      <c r="KQR36" s="292"/>
      <c r="KQS36" s="292"/>
      <c r="KQT36" s="292"/>
      <c r="KQU36" s="292"/>
      <c r="KQV36" s="292"/>
      <c r="KQW36" s="292"/>
      <c r="KQX36" s="292"/>
      <c r="KQY36" s="292"/>
      <c r="KQZ36" s="292"/>
      <c r="KRA36" s="292"/>
      <c r="KRB36" s="292"/>
      <c r="KRC36" s="292"/>
      <c r="KRD36" s="292"/>
      <c r="KRE36" s="292"/>
      <c r="KRF36" s="292"/>
      <c r="KRG36" s="292"/>
      <c r="KRH36" s="292"/>
      <c r="KRI36" s="292"/>
      <c r="KRJ36" s="292"/>
      <c r="KRK36" s="292"/>
      <c r="KRL36" s="292"/>
      <c r="KRM36" s="292"/>
      <c r="KRN36" s="292"/>
      <c r="KRO36" s="292"/>
      <c r="KRP36" s="292"/>
      <c r="KRQ36" s="292"/>
      <c r="KRR36" s="292"/>
      <c r="KRS36" s="292"/>
      <c r="KRT36" s="292"/>
      <c r="KRU36" s="292"/>
      <c r="KRV36" s="292"/>
      <c r="KRW36" s="292"/>
      <c r="KRX36" s="292"/>
      <c r="KRY36" s="292"/>
      <c r="KRZ36" s="292"/>
      <c r="KSA36" s="292"/>
      <c r="KSB36" s="292"/>
      <c r="KSC36" s="292"/>
      <c r="KSD36" s="292"/>
      <c r="KSE36" s="292"/>
      <c r="KSF36" s="292"/>
      <c r="KSG36" s="292"/>
      <c r="KSH36" s="292"/>
      <c r="KSI36" s="292"/>
      <c r="KSJ36" s="292"/>
      <c r="KSK36" s="292"/>
      <c r="KSL36" s="292"/>
      <c r="KSM36" s="292"/>
      <c r="KSN36" s="292"/>
      <c r="KSO36" s="292"/>
      <c r="KSP36" s="292"/>
      <c r="KSQ36" s="292"/>
      <c r="KSR36" s="292"/>
      <c r="KSS36" s="292"/>
      <c r="KST36" s="292"/>
      <c r="KSU36" s="292"/>
      <c r="KSV36" s="292"/>
      <c r="KSW36" s="292"/>
      <c r="KSX36" s="292"/>
      <c r="KSY36" s="292"/>
      <c r="KSZ36" s="292"/>
      <c r="KTA36" s="292"/>
      <c r="KTB36" s="292"/>
      <c r="KTC36" s="292"/>
      <c r="KTD36" s="292"/>
      <c r="KTE36" s="292"/>
      <c r="KTF36" s="292"/>
      <c r="KTG36" s="292"/>
      <c r="KTH36" s="292"/>
      <c r="KTI36" s="292"/>
      <c r="KTJ36" s="292"/>
      <c r="KTK36" s="292"/>
      <c r="KTL36" s="292"/>
      <c r="KTM36" s="292"/>
      <c r="KTN36" s="292"/>
      <c r="KTO36" s="292"/>
      <c r="KTP36" s="292"/>
      <c r="KTQ36" s="292"/>
      <c r="KTR36" s="292"/>
      <c r="KTS36" s="292"/>
      <c r="KTT36" s="292"/>
      <c r="KTU36" s="292"/>
      <c r="KTV36" s="292"/>
      <c r="KTW36" s="292"/>
      <c r="KTX36" s="292"/>
      <c r="KTY36" s="292"/>
      <c r="KTZ36" s="292"/>
      <c r="KUA36" s="292"/>
      <c r="KUB36" s="292"/>
      <c r="KUC36" s="292"/>
      <c r="KUD36" s="292"/>
      <c r="KUE36" s="292"/>
      <c r="KUF36" s="292"/>
      <c r="KUG36" s="292"/>
      <c r="KUH36" s="292"/>
      <c r="KUI36" s="292"/>
      <c r="KUJ36" s="292"/>
      <c r="KUK36" s="292"/>
      <c r="KUL36" s="292"/>
      <c r="KUM36" s="292"/>
      <c r="KUN36" s="292"/>
      <c r="KUO36" s="292"/>
      <c r="KUP36" s="292"/>
      <c r="KUQ36" s="292"/>
      <c r="KUR36" s="292"/>
      <c r="KUS36" s="292"/>
      <c r="KUT36" s="292"/>
      <c r="KUU36" s="292"/>
      <c r="KUV36" s="292"/>
      <c r="KUW36" s="292"/>
      <c r="KUX36" s="292"/>
      <c r="KUY36" s="292"/>
      <c r="KUZ36" s="292"/>
      <c r="KVA36" s="292"/>
      <c r="KVB36" s="292"/>
      <c r="KVC36" s="292"/>
      <c r="KVD36" s="292"/>
      <c r="KVE36" s="292"/>
      <c r="KVF36" s="292"/>
      <c r="KVG36" s="292"/>
      <c r="KVH36" s="292"/>
      <c r="KVI36" s="292"/>
      <c r="KVJ36" s="292"/>
      <c r="KVK36" s="292"/>
      <c r="KVL36" s="292"/>
      <c r="KVM36" s="292"/>
      <c r="KVN36" s="292"/>
      <c r="KVO36" s="292"/>
      <c r="KVP36" s="292"/>
      <c r="KVQ36" s="292"/>
      <c r="KVR36" s="292"/>
      <c r="KVS36" s="292"/>
      <c r="KVT36" s="292"/>
      <c r="KVU36" s="292"/>
      <c r="KVV36" s="292"/>
      <c r="KVW36" s="292"/>
      <c r="KVX36" s="292"/>
      <c r="KVY36" s="292"/>
      <c r="KVZ36" s="292"/>
      <c r="KWA36" s="292"/>
      <c r="KWB36" s="292"/>
      <c r="KWC36" s="292"/>
      <c r="KWD36" s="292"/>
      <c r="KWE36" s="292"/>
      <c r="KWF36" s="292"/>
      <c r="KWG36" s="292"/>
      <c r="KWH36" s="292"/>
      <c r="KWI36" s="292"/>
      <c r="KWJ36" s="292"/>
      <c r="KWK36" s="292"/>
      <c r="KWL36" s="292"/>
      <c r="KWM36" s="292"/>
      <c r="KWN36" s="292"/>
      <c r="KWO36" s="292"/>
      <c r="KWP36" s="292"/>
      <c r="KWQ36" s="292"/>
      <c r="KWR36" s="292"/>
      <c r="KWS36" s="292"/>
      <c r="KWT36" s="292"/>
      <c r="KWU36" s="292"/>
      <c r="KWV36" s="292"/>
      <c r="KWW36" s="292"/>
      <c r="KWX36" s="292"/>
      <c r="KWY36" s="292"/>
      <c r="KWZ36" s="292"/>
      <c r="KXA36" s="292"/>
      <c r="KXB36" s="292"/>
      <c r="KXC36" s="292"/>
      <c r="KXD36" s="292"/>
      <c r="KXE36" s="292"/>
      <c r="KXF36" s="292"/>
      <c r="KXG36" s="292"/>
      <c r="KXH36" s="292"/>
      <c r="KXI36" s="292"/>
      <c r="KXJ36" s="292"/>
      <c r="KXK36" s="292"/>
      <c r="KXL36" s="292"/>
      <c r="KXM36" s="292"/>
      <c r="KXN36" s="292"/>
      <c r="KXO36" s="292"/>
      <c r="KXP36" s="292"/>
      <c r="KXQ36" s="292"/>
      <c r="KXR36" s="292"/>
      <c r="KXS36" s="292"/>
      <c r="KXT36" s="292"/>
      <c r="KXU36" s="292"/>
      <c r="KXV36" s="292"/>
      <c r="KXW36" s="292"/>
      <c r="KXX36" s="292"/>
      <c r="KXY36" s="292"/>
      <c r="KXZ36" s="292"/>
      <c r="KYA36" s="292"/>
      <c r="KYB36" s="292"/>
      <c r="KYC36" s="292"/>
      <c r="KYD36" s="292"/>
      <c r="KYE36" s="292"/>
      <c r="KYF36" s="292"/>
      <c r="KYG36" s="292"/>
      <c r="KYH36" s="292"/>
      <c r="KYI36" s="292"/>
      <c r="KYJ36" s="292"/>
      <c r="KYK36" s="292"/>
      <c r="KYL36" s="292"/>
      <c r="KYM36" s="292"/>
      <c r="KYN36" s="292"/>
      <c r="KYO36" s="292"/>
      <c r="KYP36" s="292"/>
      <c r="KYQ36" s="292"/>
      <c r="KYR36" s="292"/>
      <c r="KYS36" s="292"/>
      <c r="KYT36" s="292"/>
      <c r="KYU36" s="292"/>
      <c r="KYV36" s="292"/>
      <c r="KYW36" s="292"/>
      <c r="KYX36" s="292"/>
      <c r="KYY36" s="292"/>
      <c r="KYZ36" s="292"/>
      <c r="KZA36" s="292"/>
      <c r="KZB36" s="292"/>
      <c r="KZC36" s="292"/>
      <c r="KZD36" s="292"/>
      <c r="KZE36" s="292"/>
      <c r="KZF36" s="292"/>
      <c r="KZG36" s="292"/>
      <c r="KZH36" s="292"/>
      <c r="KZI36" s="292"/>
      <c r="KZJ36" s="292"/>
      <c r="KZK36" s="292"/>
      <c r="KZL36" s="292"/>
      <c r="KZM36" s="292"/>
      <c r="KZN36" s="292"/>
      <c r="KZO36" s="292"/>
      <c r="KZP36" s="292"/>
      <c r="KZQ36" s="292"/>
      <c r="KZR36" s="292"/>
      <c r="KZS36" s="292"/>
      <c r="KZT36" s="292"/>
      <c r="KZU36" s="292"/>
      <c r="KZV36" s="292"/>
      <c r="KZW36" s="292"/>
      <c r="KZX36" s="292"/>
      <c r="KZY36" s="292"/>
      <c r="KZZ36" s="292"/>
      <c r="LAA36" s="292"/>
      <c r="LAB36" s="292"/>
      <c r="LAC36" s="292"/>
      <c r="LAD36" s="292"/>
      <c r="LAE36" s="292"/>
      <c r="LAF36" s="292"/>
      <c r="LAG36" s="292"/>
      <c r="LAH36" s="292"/>
      <c r="LAI36" s="292"/>
      <c r="LAJ36" s="292"/>
      <c r="LAK36" s="292"/>
      <c r="LAL36" s="292"/>
      <c r="LAM36" s="292"/>
      <c r="LAN36" s="292"/>
      <c r="LAO36" s="292"/>
      <c r="LAP36" s="292"/>
      <c r="LAQ36" s="292"/>
      <c r="LAR36" s="292"/>
      <c r="LAS36" s="292"/>
      <c r="LAT36" s="292"/>
      <c r="LAU36" s="292"/>
      <c r="LAV36" s="292"/>
      <c r="LAW36" s="292"/>
      <c r="LAX36" s="292"/>
      <c r="LAY36" s="292"/>
      <c r="LAZ36" s="292"/>
      <c r="LBA36" s="292"/>
      <c r="LBB36" s="292"/>
      <c r="LBC36" s="292"/>
      <c r="LBD36" s="292"/>
      <c r="LBE36" s="292"/>
      <c r="LBF36" s="292"/>
      <c r="LBG36" s="292"/>
      <c r="LBH36" s="292"/>
      <c r="LBI36" s="292"/>
      <c r="LBJ36" s="292"/>
      <c r="LBK36" s="292"/>
      <c r="LBL36" s="292"/>
      <c r="LBM36" s="292"/>
      <c r="LBN36" s="292"/>
      <c r="LBO36" s="292"/>
      <c r="LBP36" s="292"/>
      <c r="LBQ36" s="292"/>
      <c r="LBR36" s="292"/>
      <c r="LBS36" s="292"/>
      <c r="LBT36" s="292"/>
      <c r="LBU36" s="292"/>
      <c r="LBV36" s="292"/>
      <c r="LBW36" s="292"/>
      <c r="LBX36" s="292"/>
      <c r="LBY36" s="292"/>
      <c r="LBZ36" s="292"/>
      <c r="LCA36" s="292"/>
      <c r="LCB36" s="292"/>
      <c r="LCC36" s="292"/>
      <c r="LCD36" s="292"/>
      <c r="LCE36" s="292"/>
      <c r="LCF36" s="292"/>
      <c r="LCG36" s="292"/>
      <c r="LCH36" s="292"/>
      <c r="LCI36" s="292"/>
      <c r="LCJ36" s="292"/>
      <c r="LCK36" s="292"/>
      <c r="LCL36" s="292"/>
      <c r="LCM36" s="292"/>
      <c r="LCN36" s="292"/>
      <c r="LCO36" s="292"/>
      <c r="LCP36" s="292"/>
      <c r="LCQ36" s="292"/>
      <c r="LCR36" s="292"/>
      <c r="LCS36" s="292"/>
      <c r="LCT36" s="292"/>
      <c r="LCU36" s="292"/>
      <c r="LCV36" s="292"/>
      <c r="LCW36" s="292"/>
      <c r="LCX36" s="292"/>
      <c r="LCY36" s="292"/>
      <c r="LCZ36" s="292"/>
      <c r="LDA36" s="292"/>
      <c r="LDB36" s="292"/>
      <c r="LDC36" s="292"/>
      <c r="LDD36" s="292"/>
      <c r="LDE36" s="292"/>
      <c r="LDF36" s="292"/>
      <c r="LDG36" s="292"/>
      <c r="LDH36" s="292"/>
      <c r="LDI36" s="292"/>
      <c r="LDJ36" s="292"/>
      <c r="LDK36" s="292"/>
      <c r="LDL36" s="292"/>
      <c r="LDM36" s="292"/>
      <c r="LDN36" s="292"/>
      <c r="LDO36" s="292"/>
      <c r="LDP36" s="292"/>
      <c r="LDQ36" s="292"/>
      <c r="LDR36" s="292"/>
      <c r="LDS36" s="292"/>
      <c r="LDT36" s="292"/>
      <c r="LDU36" s="292"/>
      <c r="LDV36" s="292"/>
      <c r="LDW36" s="292"/>
      <c r="LDX36" s="292"/>
      <c r="LDY36" s="292"/>
      <c r="LDZ36" s="292"/>
      <c r="LEA36" s="292"/>
      <c r="LEB36" s="292"/>
      <c r="LEC36" s="292"/>
      <c r="LED36" s="292"/>
      <c r="LEE36" s="292"/>
      <c r="LEF36" s="292"/>
      <c r="LEG36" s="292"/>
      <c r="LEH36" s="292"/>
      <c r="LEI36" s="292"/>
      <c r="LEJ36" s="292"/>
      <c r="LEK36" s="292"/>
      <c r="LEL36" s="292"/>
      <c r="LEM36" s="292"/>
      <c r="LEN36" s="292"/>
      <c r="LEO36" s="292"/>
      <c r="LEP36" s="292"/>
      <c r="LEQ36" s="292"/>
      <c r="LER36" s="292"/>
      <c r="LES36" s="292"/>
      <c r="LET36" s="292"/>
      <c r="LEU36" s="292"/>
      <c r="LEV36" s="292"/>
      <c r="LEW36" s="292"/>
      <c r="LEX36" s="292"/>
      <c r="LEY36" s="292"/>
      <c r="LEZ36" s="292"/>
      <c r="LFA36" s="292"/>
      <c r="LFB36" s="292"/>
      <c r="LFC36" s="292"/>
      <c r="LFD36" s="292"/>
      <c r="LFE36" s="292"/>
      <c r="LFF36" s="292"/>
      <c r="LFG36" s="292"/>
      <c r="LFH36" s="292"/>
      <c r="LFI36" s="292"/>
      <c r="LFJ36" s="292"/>
      <c r="LFK36" s="292"/>
      <c r="LFL36" s="292"/>
      <c r="LFM36" s="292"/>
      <c r="LFN36" s="292"/>
      <c r="LFO36" s="292"/>
      <c r="LFP36" s="292"/>
      <c r="LFQ36" s="292"/>
      <c r="LFR36" s="292"/>
      <c r="LFS36" s="292"/>
      <c r="LFT36" s="292"/>
      <c r="LFU36" s="292"/>
      <c r="LFV36" s="292"/>
      <c r="LFW36" s="292"/>
      <c r="LFX36" s="292"/>
      <c r="LFY36" s="292"/>
      <c r="LFZ36" s="292"/>
      <c r="LGA36" s="292"/>
      <c r="LGB36" s="292"/>
      <c r="LGC36" s="292"/>
      <c r="LGD36" s="292"/>
      <c r="LGE36" s="292"/>
      <c r="LGF36" s="292"/>
      <c r="LGG36" s="292"/>
      <c r="LGH36" s="292"/>
      <c r="LGI36" s="292"/>
      <c r="LGJ36" s="292"/>
      <c r="LGK36" s="292"/>
      <c r="LGL36" s="292"/>
      <c r="LGM36" s="292"/>
      <c r="LGN36" s="292"/>
      <c r="LGO36" s="292"/>
      <c r="LGP36" s="292"/>
      <c r="LGQ36" s="292"/>
      <c r="LGR36" s="292"/>
      <c r="LGS36" s="292"/>
      <c r="LGT36" s="292"/>
      <c r="LGU36" s="292"/>
      <c r="LGV36" s="292"/>
      <c r="LGW36" s="292"/>
      <c r="LGX36" s="292"/>
      <c r="LGY36" s="292"/>
      <c r="LGZ36" s="292"/>
      <c r="LHA36" s="292"/>
      <c r="LHB36" s="292"/>
      <c r="LHC36" s="292"/>
      <c r="LHD36" s="292"/>
      <c r="LHE36" s="292"/>
      <c r="LHF36" s="292"/>
      <c r="LHG36" s="292"/>
      <c r="LHH36" s="292"/>
      <c r="LHI36" s="292"/>
      <c r="LHJ36" s="292"/>
      <c r="LHK36" s="292"/>
      <c r="LHL36" s="292"/>
      <c r="LHM36" s="292"/>
      <c r="LHN36" s="292"/>
      <c r="LHO36" s="292"/>
      <c r="LHP36" s="292"/>
      <c r="LHQ36" s="292"/>
      <c r="LHR36" s="292"/>
      <c r="LHS36" s="292"/>
      <c r="LHT36" s="292"/>
      <c r="LHU36" s="292"/>
      <c r="LHV36" s="292"/>
      <c r="LHW36" s="292"/>
      <c r="LHX36" s="292"/>
      <c r="LHY36" s="292"/>
      <c r="LHZ36" s="292"/>
      <c r="LIA36" s="292"/>
      <c r="LIB36" s="292"/>
      <c r="LIC36" s="292"/>
      <c r="LID36" s="292"/>
      <c r="LIE36" s="292"/>
      <c r="LIF36" s="292"/>
      <c r="LIG36" s="292"/>
      <c r="LIH36" s="292"/>
      <c r="LII36" s="292"/>
      <c r="LIJ36" s="292"/>
      <c r="LIK36" s="292"/>
      <c r="LIL36" s="292"/>
      <c r="LIM36" s="292"/>
      <c r="LIN36" s="292"/>
      <c r="LIO36" s="292"/>
      <c r="LIP36" s="292"/>
      <c r="LIQ36" s="292"/>
      <c r="LIR36" s="292"/>
      <c r="LIS36" s="292"/>
      <c r="LIT36" s="292"/>
      <c r="LIU36" s="292"/>
      <c r="LIV36" s="292"/>
      <c r="LIW36" s="292"/>
      <c r="LIX36" s="292"/>
      <c r="LIY36" s="292"/>
      <c r="LIZ36" s="292"/>
      <c r="LJA36" s="292"/>
      <c r="LJB36" s="292"/>
      <c r="LJC36" s="292"/>
      <c r="LJD36" s="292"/>
      <c r="LJE36" s="292"/>
      <c r="LJF36" s="292"/>
      <c r="LJG36" s="292"/>
      <c r="LJH36" s="292"/>
      <c r="LJI36" s="292"/>
      <c r="LJJ36" s="292"/>
      <c r="LJK36" s="292"/>
      <c r="LJL36" s="292"/>
      <c r="LJM36" s="292"/>
      <c r="LJN36" s="292"/>
      <c r="LJO36" s="292"/>
      <c r="LJP36" s="292"/>
      <c r="LJQ36" s="292"/>
      <c r="LJR36" s="292"/>
      <c r="LJS36" s="292"/>
      <c r="LJT36" s="292"/>
      <c r="LJU36" s="292"/>
      <c r="LJV36" s="292"/>
      <c r="LJW36" s="292"/>
      <c r="LJX36" s="292"/>
      <c r="LJY36" s="292"/>
      <c r="LJZ36" s="292"/>
      <c r="LKA36" s="292"/>
      <c r="LKB36" s="292"/>
      <c r="LKC36" s="292"/>
      <c r="LKD36" s="292"/>
      <c r="LKE36" s="292"/>
      <c r="LKF36" s="292"/>
      <c r="LKG36" s="292"/>
      <c r="LKH36" s="292"/>
      <c r="LKI36" s="292"/>
      <c r="LKJ36" s="292"/>
      <c r="LKK36" s="292"/>
      <c r="LKL36" s="292"/>
      <c r="LKM36" s="292"/>
      <c r="LKN36" s="292"/>
      <c r="LKO36" s="292"/>
      <c r="LKP36" s="292"/>
      <c r="LKQ36" s="292"/>
      <c r="LKR36" s="292"/>
      <c r="LKS36" s="292"/>
      <c r="LKT36" s="292"/>
      <c r="LKU36" s="292"/>
      <c r="LKV36" s="292"/>
      <c r="LKW36" s="292"/>
      <c r="LKX36" s="292"/>
      <c r="LKY36" s="292"/>
      <c r="LKZ36" s="292"/>
      <c r="LLA36" s="292"/>
      <c r="LLB36" s="292"/>
      <c r="LLC36" s="292"/>
      <c r="LLD36" s="292"/>
      <c r="LLE36" s="292"/>
      <c r="LLF36" s="292"/>
      <c r="LLG36" s="292"/>
      <c r="LLH36" s="292"/>
      <c r="LLI36" s="292"/>
      <c r="LLJ36" s="292"/>
      <c r="LLK36" s="292"/>
      <c r="LLL36" s="292"/>
      <c r="LLM36" s="292"/>
      <c r="LLN36" s="292"/>
      <c r="LLO36" s="292"/>
      <c r="LLP36" s="292"/>
      <c r="LLQ36" s="292"/>
      <c r="LLR36" s="292"/>
      <c r="LLS36" s="292"/>
      <c r="LLT36" s="292"/>
      <c r="LLU36" s="292"/>
      <c r="LLV36" s="292"/>
      <c r="LLW36" s="292"/>
      <c r="LLX36" s="292"/>
      <c r="LLY36" s="292"/>
      <c r="LLZ36" s="292"/>
      <c r="LMA36" s="292"/>
      <c r="LMB36" s="292"/>
      <c r="LMC36" s="292"/>
      <c r="LMD36" s="292"/>
      <c r="LME36" s="292"/>
      <c r="LMF36" s="292"/>
      <c r="LMG36" s="292"/>
      <c r="LMH36" s="292"/>
      <c r="LMI36" s="292"/>
      <c r="LMJ36" s="292"/>
      <c r="LMK36" s="292"/>
      <c r="LML36" s="292"/>
      <c r="LMM36" s="292"/>
      <c r="LMN36" s="292"/>
      <c r="LMO36" s="292"/>
      <c r="LMP36" s="292"/>
      <c r="LMQ36" s="292"/>
      <c r="LMR36" s="292"/>
      <c r="LMS36" s="292"/>
      <c r="LMT36" s="292"/>
      <c r="LMU36" s="292"/>
      <c r="LMV36" s="292"/>
      <c r="LMW36" s="292"/>
      <c r="LMX36" s="292"/>
      <c r="LMY36" s="292"/>
      <c r="LMZ36" s="292"/>
      <c r="LNA36" s="292"/>
      <c r="LNB36" s="292"/>
      <c r="LNC36" s="292"/>
      <c r="LND36" s="292"/>
      <c r="LNE36" s="292"/>
      <c r="LNF36" s="292"/>
      <c r="LNG36" s="292"/>
      <c r="LNH36" s="292"/>
      <c r="LNI36" s="292"/>
      <c r="LNJ36" s="292"/>
      <c r="LNK36" s="292"/>
      <c r="LNL36" s="292"/>
      <c r="LNM36" s="292"/>
      <c r="LNN36" s="292"/>
      <c r="LNO36" s="292"/>
      <c r="LNP36" s="292"/>
      <c r="LNQ36" s="292"/>
      <c r="LNR36" s="292"/>
      <c r="LNS36" s="292"/>
      <c r="LNT36" s="292"/>
      <c r="LNU36" s="292"/>
      <c r="LNV36" s="292"/>
      <c r="LNW36" s="292"/>
      <c r="LNX36" s="292"/>
      <c r="LNY36" s="292"/>
      <c r="LNZ36" s="292"/>
      <c r="LOA36" s="292"/>
      <c r="LOB36" s="292"/>
      <c r="LOC36" s="292"/>
      <c r="LOD36" s="292"/>
      <c r="LOE36" s="292"/>
      <c r="LOF36" s="292"/>
      <c r="LOG36" s="292"/>
      <c r="LOH36" s="292"/>
      <c r="LOI36" s="292"/>
      <c r="LOJ36" s="292"/>
      <c r="LOK36" s="292"/>
      <c r="LOL36" s="292"/>
      <c r="LOM36" s="292"/>
      <c r="LON36" s="292"/>
      <c r="LOO36" s="292"/>
      <c r="LOP36" s="292"/>
      <c r="LOQ36" s="292"/>
      <c r="LOR36" s="292"/>
      <c r="LOS36" s="292"/>
      <c r="LOT36" s="292"/>
      <c r="LOU36" s="292"/>
      <c r="LOV36" s="292"/>
      <c r="LOW36" s="292"/>
      <c r="LOX36" s="292"/>
      <c r="LOY36" s="292"/>
      <c r="LOZ36" s="292"/>
      <c r="LPA36" s="292"/>
      <c r="LPB36" s="292"/>
      <c r="LPC36" s="292"/>
      <c r="LPD36" s="292"/>
      <c r="LPE36" s="292"/>
      <c r="LPF36" s="292"/>
      <c r="LPG36" s="292"/>
      <c r="LPH36" s="292"/>
      <c r="LPI36" s="292"/>
      <c r="LPJ36" s="292"/>
      <c r="LPK36" s="292"/>
      <c r="LPL36" s="292"/>
      <c r="LPM36" s="292"/>
      <c r="LPN36" s="292"/>
      <c r="LPO36" s="292"/>
      <c r="LPP36" s="292"/>
      <c r="LPQ36" s="292"/>
      <c r="LPR36" s="292"/>
      <c r="LPS36" s="292"/>
      <c r="LPT36" s="292"/>
      <c r="LPU36" s="292"/>
      <c r="LPV36" s="292"/>
      <c r="LPW36" s="292"/>
      <c r="LPX36" s="292"/>
      <c r="LPY36" s="292"/>
      <c r="LPZ36" s="292"/>
      <c r="LQA36" s="292"/>
      <c r="LQB36" s="292"/>
      <c r="LQC36" s="292"/>
      <c r="LQD36" s="292"/>
      <c r="LQE36" s="292"/>
      <c r="LQF36" s="292"/>
      <c r="LQG36" s="292"/>
      <c r="LQH36" s="292"/>
      <c r="LQI36" s="292"/>
      <c r="LQJ36" s="292"/>
      <c r="LQK36" s="292"/>
      <c r="LQL36" s="292"/>
      <c r="LQM36" s="292"/>
      <c r="LQN36" s="292"/>
      <c r="LQO36" s="292"/>
      <c r="LQP36" s="292"/>
      <c r="LQQ36" s="292"/>
      <c r="LQR36" s="292"/>
      <c r="LQS36" s="292"/>
      <c r="LQT36" s="292"/>
      <c r="LQU36" s="292"/>
      <c r="LQV36" s="292"/>
      <c r="LQW36" s="292"/>
      <c r="LQX36" s="292"/>
      <c r="LQY36" s="292"/>
      <c r="LQZ36" s="292"/>
      <c r="LRA36" s="292"/>
      <c r="LRB36" s="292"/>
      <c r="LRC36" s="292"/>
      <c r="LRD36" s="292"/>
      <c r="LRE36" s="292"/>
      <c r="LRF36" s="292"/>
      <c r="LRG36" s="292"/>
      <c r="LRH36" s="292"/>
      <c r="LRI36" s="292"/>
      <c r="LRJ36" s="292"/>
      <c r="LRK36" s="292"/>
      <c r="LRL36" s="292"/>
      <c r="LRM36" s="292"/>
      <c r="LRN36" s="292"/>
      <c r="LRO36" s="292"/>
      <c r="LRP36" s="292"/>
      <c r="LRQ36" s="292"/>
      <c r="LRR36" s="292"/>
      <c r="LRS36" s="292"/>
      <c r="LRT36" s="292"/>
      <c r="LRU36" s="292"/>
      <c r="LRV36" s="292"/>
      <c r="LRW36" s="292"/>
      <c r="LRX36" s="292"/>
      <c r="LRY36" s="292"/>
      <c r="LRZ36" s="292"/>
      <c r="LSA36" s="292"/>
      <c r="LSB36" s="292"/>
      <c r="LSC36" s="292"/>
      <c r="LSD36" s="292"/>
      <c r="LSE36" s="292"/>
      <c r="LSF36" s="292"/>
      <c r="LSG36" s="292"/>
      <c r="LSH36" s="292"/>
      <c r="LSI36" s="292"/>
      <c r="LSJ36" s="292"/>
      <c r="LSK36" s="292"/>
      <c r="LSL36" s="292"/>
      <c r="LSM36" s="292"/>
      <c r="LSN36" s="292"/>
      <c r="LSO36" s="292"/>
      <c r="LSP36" s="292"/>
      <c r="LSQ36" s="292"/>
      <c r="LSR36" s="292"/>
      <c r="LSS36" s="292"/>
      <c r="LST36" s="292"/>
      <c r="LSU36" s="292"/>
      <c r="LSV36" s="292"/>
      <c r="LSW36" s="292"/>
      <c r="LSX36" s="292"/>
      <c r="LSY36" s="292"/>
      <c r="LSZ36" s="292"/>
      <c r="LTA36" s="292"/>
      <c r="LTB36" s="292"/>
      <c r="LTC36" s="292"/>
      <c r="LTD36" s="292"/>
      <c r="LTE36" s="292"/>
      <c r="LTF36" s="292"/>
      <c r="LTG36" s="292"/>
      <c r="LTH36" s="292"/>
      <c r="LTI36" s="292"/>
      <c r="LTJ36" s="292"/>
      <c r="LTK36" s="292"/>
      <c r="LTL36" s="292"/>
      <c r="LTM36" s="292"/>
      <c r="LTN36" s="292"/>
      <c r="LTO36" s="292"/>
      <c r="LTP36" s="292"/>
      <c r="LTQ36" s="292"/>
      <c r="LTR36" s="292"/>
      <c r="LTS36" s="292"/>
      <c r="LTT36" s="292"/>
      <c r="LTU36" s="292"/>
      <c r="LTV36" s="292"/>
      <c r="LTW36" s="292"/>
      <c r="LTX36" s="292"/>
      <c r="LTY36" s="292"/>
      <c r="LTZ36" s="292"/>
      <c r="LUA36" s="292"/>
      <c r="LUB36" s="292"/>
      <c r="LUC36" s="292"/>
      <c r="LUD36" s="292"/>
      <c r="LUE36" s="292"/>
      <c r="LUF36" s="292"/>
      <c r="LUG36" s="292"/>
      <c r="LUH36" s="292"/>
      <c r="LUI36" s="292"/>
      <c r="LUJ36" s="292"/>
      <c r="LUK36" s="292"/>
      <c r="LUL36" s="292"/>
      <c r="LUM36" s="292"/>
      <c r="LUN36" s="292"/>
      <c r="LUO36" s="292"/>
      <c r="LUP36" s="292"/>
      <c r="LUQ36" s="292"/>
      <c r="LUR36" s="292"/>
      <c r="LUS36" s="292"/>
      <c r="LUT36" s="292"/>
      <c r="LUU36" s="292"/>
      <c r="LUV36" s="292"/>
      <c r="LUW36" s="292"/>
      <c r="LUX36" s="292"/>
      <c r="LUY36" s="292"/>
      <c r="LUZ36" s="292"/>
      <c r="LVA36" s="292"/>
      <c r="LVB36" s="292"/>
      <c r="LVC36" s="292"/>
      <c r="LVD36" s="292"/>
      <c r="LVE36" s="292"/>
      <c r="LVF36" s="292"/>
      <c r="LVG36" s="292"/>
      <c r="LVH36" s="292"/>
      <c r="LVI36" s="292"/>
      <c r="LVJ36" s="292"/>
      <c r="LVK36" s="292"/>
      <c r="LVL36" s="292"/>
      <c r="LVM36" s="292"/>
      <c r="LVN36" s="292"/>
      <c r="LVO36" s="292"/>
      <c r="LVP36" s="292"/>
      <c r="LVQ36" s="292"/>
      <c r="LVR36" s="292"/>
      <c r="LVS36" s="292"/>
      <c r="LVT36" s="292"/>
      <c r="LVU36" s="292"/>
      <c r="LVV36" s="292"/>
      <c r="LVW36" s="292"/>
      <c r="LVX36" s="292"/>
      <c r="LVY36" s="292"/>
      <c r="LVZ36" s="292"/>
      <c r="LWA36" s="292"/>
      <c r="LWB36" s="292"/>
      <c r="LWC36" s="292"/>
      <c r="LWD36" s="292"/>
      <c r="LWE36" s="292"/>
      <c r="LWF36" s="292"/>
      <c r="LWG36" s="292"/>
      <c r="LWH36" s="292"/>
      <c r="LWI36" s="292"/>
      <c r="LWJ36" s="292"/>
      <c r="LWK36" s="292"/>
      <c r="LWL36" s="292"/>
      <c r="LWM36" s="292"/>
      <c r="LWN36" s="292"/>
      <c r="LWO36" s="292"/>
      <c r="LWP36" s="292"/>
      <c r="LWQ36" s="292"/>
      <c r="LWR36" s="292"/>
      <c r="LWS36" s="292"/>
      <c r="LWT36" s="292"/>
      <c r="LWU36" s="292"/>
      <c r="LWV36" s="292"/>
      <c r="LWW36" s="292"/>
      <c r="LWX36" s="292"/>
      <c r="LWY36" s="292"/>
      <c r="LWZ36" s="292"/>
      <c r="LXA36" s="292"/>
      <c r="LXB36" s="292"/>
      <c r="LXC36" s="292"/>
      <c r="LXD36" s="292"/>
      <c r="LXE36" s="292"/>
      <c r="LXF36" s="292"/>
      <c r="LXG36" s="292"/>
      <c r="LXH36" s="292"/>
      <c r="LXI36" s="292"/>
      <c r="LXJ36" s="292"/>
      <c r="LXK36" s="292"/>
      <c r="LXL36" s="292"/>
      <c r="LXM36" s="292"/>
      <c r="LXN36" s="292"/>
      <c r="LXO36" s="292"/>
      <c r="LXP36" s="292"/>
      <c r="LXQ36" s="292"/>
      <c r="LXR36" s="292"/>
      <c r="LXS36" s="292"/>
      <c r="LXT36" s="292"/>
      <c r="LXU36" s="292"/>
      <c r="LXV36" s="292"/>
      <c r="LXW36" s="292"/>
      <c r="LXX36" s="292"/>
      <c r="LXY36" s="292"/>
      <c r="LXZ36" s="292"/>
      <c r="LYA36" s="292"/>
      <c r="LYB36" s="292"/>
      <c r="LYC36" s="292"/>
      <c r="LYD36" s="292"/>
      <c r="LYE36" s="292"/>
      <c r="LYF36" s="292"/>
      <c r="LYG36" s="292"/>
      <c r="LYH36" s="292"/>
      <c r="LYI36" s="292"/>
      <c r="LYJ36" s="292"/>
      <c r="LYK36" s="292"/>
      <c r="LYL36" s="292"/>
      <c r="LYM36" s="292"/>
      <c r="LYN36" s="292"/>
      <c r="LYO36" s="292"/>
      <c r="LYP36" s="292"/>
      <c r="LYQ36" s="292"/>
      <c r="LYR36" s="292"/>
      <c r="LYS36" s="292"/>
      <c r="LYT36" s="292"/>
      <c r="LYU36" s="292"/>
      <c r="LYV36" s="292"/>
      <c r="LYW36" s="292"/>
      <c r="LYX36" s="292"/>
      <c r="LYY36" s="292"/>
      <c r="LYZ36" s="292"/>
      <c r="LZA36" s="292"/>
      <c r="LZB36" s="292"/>
      <c r="LZC36" s="292"/>
      <c r="LZD36" s="292"/>
      <c r="LZE36" s="292"/>
      <c r="LZF36" s="292"/>
      <c r="LZG36" s="292"/>
      <c r="LZH36" s="292"/>
      <c r="LZI36" s="292"/>
      <c r="LZJ36" s="292"/>
      <c r="LZK36" s="292"/>
      <c r="LZL36" s="292"/>
      <c r="LZM36" s="292"/>
      <c r="LZN36" s="292"/>
      <c r="LZO36" s="292"/>
      <c r="LZP36" s="292"/>
      <c r="LZQ36" s="292"/>
      <c r="LZR36" s="292"/>
      <c r="LZS36" s="292"/>
      <c r="LZT36" s="292"/>
      <c r="LZU36" s="292"/>
      <c r="LZV36" s="292"/>
      <c r="LZW36" s="292"/>
      <c r="LZX36" s="292"/>
      <c r="LZY36" s="292"/>
      <c r="LZZ36" s="292"/>
      <c r="MAA36" s="292"/>
      <c r="MAB36" s="292"/>
      <c r="MAC36" s="292"/>
      <c r="MAD36" s="292"/>
      <c r="MAE36" s="292"/>
      <c r="MAF36" s="292"/>
      <c r="MAG36" s="292"/>
      <c r="MAH36" s="292"/>
      <c r="MAI36" s="292"/>
      <c r="MAJ36" s="292"/>
      <c r="MAK36" s="292"/>
      <c r="MAL36" s="292"/>
      <c r="MAM36" s="292"/>
      <c r="MAN36" s="292"/>
      <c r="MAO36" s="292"/>
      <c r="MAP36" s="292"/>
      <c r="MAQ36" s="292"/>
      <c r="MAR36" s="292"/>
      <c r="MAS36" s="292"/>
      <c r="MAT36" s="292"/>
      <c r="MAU36" s="292"/>
      <c r="MAV36" s="292"/>
      <c r="MAW36" s="292"/>
      <c r="MAX36" s="292"/>
      <c r="MAY36" s="292"/>
      <c r="MAZ36" s="292"/>
      <c r="MBA36" s="292"/>
      <c r="MBB36" s="292"/>
      <c r="MBC36" s="292"/>
      <c r="MBD36" s="292"/>
      <c r="MBE36" s="292"/>
      <c r="MBF36" s="292"/>
      <c r="MBG36" s="292"/>
      <c r="MBH36" s="292"/>
      <c r="MBI36" s="292"/>
      <c r="MBJ36" s="292"/>
      <c r="MBK36" s="292"/>
      <c r="MBL36" s="292"/>
      <c r="MBM36" s="292"/>
      <c r="MBN36" s="292"/>
      <c r="MBO36" s="292"/>
      <c r="MBP36" s="292"/>
      <c r="MBQ36" s="292"/>
      <c r="MBR36" s="292"/>
      <c r="MBS36" s="292"/>
      <c r="MBT36" s="292"/>
      <c r="MBU36" s="292"/>
      <c r="MBV36" s="292"/>
      <c r="MBW36" s="292"/>
      <c r="MBX36" s="292"/>
      <c r="MBY36" s="292"/>
      <c r="MBZ36" s="292"/>
      <c r="MCA36" s="292"/>
      <c r="MCB36" s="292"/>
      <c r="MCC36" s="292"/>
      <c r="MCD36" s="292"/>
      <c r="MCE36" s="292"/>
      <c r="MCF36" s="292"/>
      <c r="MCG36" s="292"/>
      <c r="MCH36" s="292"/>
      <c r="MCI36" s="292"/>
      <c r="MCJ36" s="292"/>
      <c r="MCK36" s="292"/>
      <c r="MCL36" s="292"/>
      <c r="MCM36" s="292"/>
      <c r="MCN36" s="292"/>
      <c r="MCO36" s="292"/>
      <c r="MCP36" s="292"/>
      <c r="MCQ36" s="292"/>
      <c r="MCR36" s="292"/>
      <c r="MCS36" s="292"/>
      <c r="MCT36" s="292"/>
      <c r="MCU36" s="292"/>
      <c r="MCV36" s="292"/>
      <c r="MCW36" s="292"/>
      <c r="MCX36" s="292"/>
      <c r="MCY36" s="292"/>
      <c r="MCZ36" s="292"/>
      <c r="MDA36" s="292"/>
      <c r="MDB36" s="292"/>
      <c r="MDC36" s="292"/>
      <c r="MDD36" s="292"/>
      <c r="MDE36" s="292"/>
      <c r="MDF36" s="292"/>
      <c r="MDG36" s="292"/>
      <c r="MDH36" s="292"/>
      <c r="MDI36" s="292"/>
      <c r="MDJ36" s="292"/>
      <c r="MDK36" s="292"/>
      <c r="MDL36" s="292"/>
      <c r="MDM36" s="292"/>
      <c r="MDN36" s="292"/>
      <c r="MDO36" s="292"/>
      <c r="MDP36" s="292"/>
      <c r="MDQ36" s="292"/>
      <c r="MDR36" s="292"/>
      <c r="MDS36" s="292"/>
      <c r="MDT36" s="292"/>
      <c r="MDU36" s="292"/>
      <c r="MDV36" s="292"/>
      <c r="MDW36" s="292"/>
      <c r="MDX36" s="292"/>
      <c r="MDY36" s="292"/>
      <c r="MDZ36" s="292"/>
      <c r="MEA36" s="292"/>
      <c r="MEB36" s="292"/>
      <c r="MEC36" s="292"/>
      <c r="MED36" s="292"/>
      <c r="MEE36" s="292"/>
      <c r="MEF36" s="292"/>
      <c r="MEG36" s="292"/>
      <c r="MEH36" s="292"/>
      <c r="MEI36" s="292"/>
      <c r="MEJ36" s="292"/>
      <c r="MEK36" s="292"/>
      <c r="MEL36" s="292"/>
      <c r="MEM36" s="292"/>
      <c r="MEN36" s="292"/>
      <c r="MEO36" s="292"/>
      <c r="MEP36" s="292"/>
      <c r="MEQ36" s="292"/>
      <c r="MER36" s="292"/>
      <c r="MES36" s="292"/>
      <c r="MET36" s="292"/>
      <c r="MEU36" s="292"/>
      <c r="MEV36" s="292"/>
      <c r="MEW36" s="292"/>
      <c r="MEX36" s="292"/>
      <c r="MEY36" s="292"/>
      <c r="MEZ36" s="292"/>
      <c r="MFA36" s="292"/>
      <c r="MFB36" s="292"/>
      <c r="MFC36" s="292"/>
      <c r="MFD36" s="292"/>
      <c r="MFE36" s="292"/>
      <c r="MFF36" s="292"/>
      <c r="MFG36" s="292"/>
      <c r="MFH36" s="292"/>
      <c r="MFI36" s="292"/>
      <c r="MFJ36" s="292"/>
      <c r="MFK36" s="292"/>
      <c r="MFL36" s="292"/>
      <c r="MFM36" s="292"/>
      <c r="MFN36" s="292"/>
      <c r="MFO36" s="292"/>
      <c r="MFP36" s="292"/>
      <c r="MFQ36" s="292"/>
      <c r="MFR36" s="292"/>
      <c r="MFS36" s="292"/>
      <c r="MFT36" s="292"/>
      <c r="MFU36" s="292"/>
      <c r="MFV36" s="292"/>
      <c r="MFW36" s="292"/>
      <c r="MFX36" s="292"/>
      <c r="MFY36" s="292"/>
      <c r="MFZ36" s="292"/>
      <c r="MGA36" s="292"/>
      <c r="MGB36" s="292"/>
      <c r="MGC36" s="292"/>
      <c r="MGD36" s="292"/>
      <c r="MGE36" s="292"/>
      <c r="MGF36" s="292"/>
      <c r="MGG36" s="292"/>
      <c r="MGH36" s="292"/>
      <c r="MGI36" s="292"/>
      <c r="MGJ36" s="292"/>
      <c r="MGK36" s="292"/>
      <c r="MGL36" s="292"/>
      <c r="MGM36" s="292"/>
      <c r="MGN36" s="292"/>
      <c r="MGO36" s="292"/>
      <c r="MGP36" s="292"/>
      <c r="MGQ36" s="292"/>
      <c r="MGR36" s="292"/>
      <c r="MGS36" s="292"/>
      <c r="MGT36" s="292"/>
      <c r="MGU36" s="292"/>
      <c r="MGV36" s="292"/>
      <c r="MGW36" s="292"/>
      <c r="MGX36" s="292"/>
      <c r="MGY36" s="292"/>
      <c r="MGZ36" s="292"/>
      <c r="MHA36" s="292"/>
      <c r="MHB36" s="292"/>
      <c r="MHC36" s="292"/>
      <c r="MHD36" s="292"/>
      <c r="MHE36" s="292"/>
      <c r="MHF36" s="292"/>
      <c r="MHG36" s="292"/>
      <c r="MHH36" s="292"/>
      <c r="MHI36" s="292"/>
      <c r="MHJ36" s="292"/>
      <c r="MHK36" s="292"/>
      <c r="MHL36" s="292"/>
      <c r="MHM36" s="292"/>
      <c r="MHN36" s="292"/>
      <c r="MHO36" s="292"/>
      <c r="MHP36" s="292"/>
      <c r="MHQ36" s="292"/>
      <c r="MHR36" s="292"/>
      <c r="MHS36" s="292"/>
      <c r="MHT36" s="292"/>
      <c r="MHU36" s="292"/>
      <c r="MHV36" s="292"/>
      <c r="MHW36" s="292"/>
      <c r="MHX36" s="292"/>
      <c r="MHY36" s="292"/>
      <c r="MHZ36" s="292"/>
      <c r="MIA36" s="292"/>
      <c r="MIB36" s="292"/>
      <c r="MIC36" s="292"/>
      <c r="MID36" s="292"/>
      <c r="MIE36" s="292"/>
      <c r="MIF36" s="292"/>
      <c r="MIG36" s="292"/>
      <c r="MIH36" s="292"/>
      <c r="MII36" s="292"/>
      <c r="MIJ36" s="292"/>
      <c r="MIK36" s="292"/>
      <c r="MIL36" s="292"/>
      <c r="MIM36" s="292"/>
      <c r="MIN36" s="292"/>
      <c r="MIO36" s="292"/>
      <c r="MIP36" s="292"/>
      <c r="MIQ36" s="292"/>
      <c r="MIR36" s="292"/>
      <c r="MIS36" s="292"/>
      <c r="MIT36" s="292"/>
      <c r="MIU36" s="292"/>
      <c r="MIV36" s="292"/>
      <c r="MIW36" s="292"/>
      <c r="MIX36" s="292"/>
      <c r="MIY36" s="292"/>
      <c r="MIZ36" s="292"/>
      <c r="MJA36" s="292"/>
      <c r="MJB36" s="292"/>
      <c r="MJC36" s="292"/>
      <c r="MJD36" s="292"/>
      <c r="MJE36" s="292"/>
      <c r="MJF36" s="292"/>
      <c r="MJG36" s="292"/>
      <c r="MJH36" s="292"/>
      <c r="MJI36" s="292"/>
      <c r="MJJ36" s="292"/>
      <c r="MJK36" s="292"/>
      <c r="MJL36" s="292"/>
      <c r="MJM36" s="292"/>
      <c r="MJN36" s="292"/>
      <c r="MJO36" s="292"/>
      <c r="MJP36" s="292"/>
      <c r="MJQ36" s="292"/>
      <c r="MJR36" s="292"/>
      <c r="MJS36" s="292"/>
      <c r="MJT36" s="292"/>
      <c r="MJU36" s="292"/>
      <c r="MJV36" s="292"/>
      <c r="MJW36" s="292"/>
      <c r="MJX36" s="292"/>
      <c r="MJY36" s="292"/>
      <c r="MJZ36" s="292"/>
      <c r="MKA36" s="292"/>
      <c r="MKB36" s="292"/>
      <c r="MKC36" s="292"/>
      <c r="MKD36" s="292"/>
      <c r="MKE36" s="292"/>
      <c r="MKF36" s="292"/>
      <c r="MKG36" s="292"/>
      <c r="MKH36" s="292"/>
      <c r="MKI36" s="292"/>
      <c r="MKJ36" s="292"/>
      <c r="MKK36" s="292"/>
      <c r="MKL36" s="292"/>
      <c r="MKM36" s="292"/>
      <c r="MKN36" s="292"/>
      <c r="MKO36" s="292"/>
      <c r="MKP36" s="292"/>
      <c r="MKQ36" s="292"/>
      <c r="MKR36" s="292"/>
      <c r="MKS36" s="292"/>
      <c r="MKT36" s="292"/>
      <c r="MKU36" s="292"/>
      <c r="MKV36" s="292"/>
      <c r="MKW36" s="292"/>
      <c r="MKX36" s="292"/>
      <c r="MKY36" s="292"/>
      <c r="MKZ36" s="292"/>
      <c r="MLA36" s="292"/>
      <c r="MLB36" s="292"/>
      <c r="MLC36" s="292"/>
      <c r="MLD36" s="292"/>
      <c r="MLE36" s="292"/>
      <c r="MLF36" s="292"/>
      <c r="MLG36" s="292"/>
      <c r="MLH36" s="292"/>
      <c r="MLI36" s="292"/>
      <c r="MLJ36" s="292"/>
      <c r="MLK36" s="292"/>
      <c r="MLL36" s="292"/>
      <c r="MLM36" s="292"/>
      <c r="MLN36" s="292"/>
      <c r="MLO36" s="292"/>
      <c r="MLP36" s="292"/>
      <c r="MLQ36" s="292"/>
      <c r="MLR36" s="292"/>
      <c r="MLS36" s="292"/>
      <c r="MLT36" s="292"/>
      <c r="MLU36" s="292"/>
      <c r="MLV36" s="292"/>
      <c r="MLW36" s="292"/>
      <c r="MLX36" s="292"/>
      <c r="MLY36" s="292"/>
      <c r="MLZ36" s="292"/>
      <c r="MMA36" s="292"/>
      <c r="MMB36" s="292"/>
      <c r="MMC36" s="292"/>
      <c r="MMD36" s="292"/>
      <c r="MME36" s="292"/>
      <c r="MMF36" s="292"/>
      <c r="MMG36" s="292"/>
      <c r="MMH36" s="292"/>
      <c r="MMI36" s="292"/>
      <c r="MMJ36" s="292"/>
      <c r="MMK36" s="292"/>
      <c r="MML36" s="292"/>
      <c r="MMM36" s="292"/>
      <c r="MMN36" s="292"/>
      <c r="MMO36" s="292"/>
      <c r="MMP36" s="292"/>
      <c r="MMQ36" s="292"/>
      <c r="MMR36" s="292"/>
      <c r="MMS36" s="292"/>
      <c r="MMT36" s="292"/>
      <c r="MMU36" s="292"/>
      <c r="MMV36" s="292"/>
      <c r="MMW36" s="292"/>
      <c r="MMX36" s="292"/>
      <c r="MMY36" s="292"/>
      <c r="MMZ36" s="292"/>
      <c r="MNA36" s="292"/>
      <c r="MNB36" s="292"/>
      <c r="MNC36" s="292"/>
      <c r="MND36" s="292"/>
      <c r="MNE36" s="292"/>
      <c r="MNF36" s="292"/>
      <c r="MNG36" s="292"/>
      <c r="MNH36" s="292"/>
      <c r="MNI36" s="292"/>
      <c r="MNJ36" s="292"/>
      <c r="MNK36" s="292"/>
      <c r="MNL36" s="292"/>
      <c r="MNM36" s="292"/>
      <c r="MNN36" s="292"/>
      <c r="MNO36" s="292"/>
      <c r="MNP36" s="292"/>
      <c r="MNQ36" s="292"/>
      <c r="MNR36" s="292"/>
      <c r="MNS36" s="292"/>
      <c r="MNT36" s="292"/>
      <c r="MNU36" s="292"/>
      <c r="MNV36" s="292"/>
      <c r="MNW36" s="292"/>
      <c r="MNX36" s="292"/>
      <c r="MNY36" s="292"/>
      <c r="MNZ36" s="292"/>
      <c r="MOA36" s="292"/>
      <c r="MOB36" s="292"/>
      <c r="MOC36" s="292"/>
      <c r="MOD36" s="292"/>
      <c r="MOE36" s="292"/>
      <c r="MOF36" s="292"/>
      <c r="MOG36" s="292"/>
      <c r="MOH36" s="292"/>
      <c r="MOI36" s="292"/>
      <c r="MOJ36" s="292"/>
      <c r="MOK36" s="292"/>
      <c r="MOL36" s="292"/>
      <c r="MOM36" s="292"/>
      <c r="MON36" s="292"/>
      <c r="MOO36" s="292"/>
      <c r="MOP36" s="292"/>
      <c r="MOQ36" s="292"/>
      <c r="MOR36" s="292"/>
      <c r="MOS36" s="292"/>
      <c r="MOT36" s="292"/>
      <c r="MOU36" s="292"/>
      <c r="MOV36" s="292"/>
      <c r="MOW36" s="292"/>
      <c r="MOX36" s="292"/>
      <c r="MOY36" s="292"/>
      <c r="MOZ36" s="292"/>
      <c r="MPA36" s="292"/>
      <c r="MPB36" s="292"/>
      <c r="MPC36" s="292"/>
      <c r="MPD36" s="292"/>
      <c r="MPE36" s="292"/>
      <c r="MPF36" s="292"/>
      <c r="MPG36" s="292"/>
      <c r="MPH36" s="292"/>
      <c r="MPI36" s="292"/>
      <c r="MPJ36" s="292"/>
      <c r="MPK36" s="292"/>
      <c r="MPL36" s="292"/>
      <c r="MPM36" s="292"/>
      <c r="MPN36" s="292"/>
      <c r="MPO36" s="292"/>
      <c r="MPP36" s="292"/>
      <c r="MPQ36" s="292"/>
      <c r="MPR36" s="292"/>
      <c r="MPS36" s="292"/>
      <c r="MPT36" s="292"/>
      <c r="MPU36" s="292"/>
      <c r="MPV36" s="292"/>
      <c r="MPW36" s="292"/>
      <c r="MPX36" s="292"/>
      <c r="MPY36" s="292"/>
      <c r="MPZ36" s="292"/>
      <c r="MQA36" s="292"/>
      <c r="MQB36" s="292"/>
      <c r="MQC36" s="292"/>
      <c r="MQD36" s="292"/>
      <c r="MQE36" s="292"/>
      <c r="MQF36" s="292"/>
      <c r="MQG36" s="292"/>
      <c r="MQH36" s="292"/>
      <c r="MQI36" s="292"/>
      <c r="MQJ36" s="292"/>
      <c r="MQK36" s="292"/>
      <c r="MQL36" s="292"/>
      <c r="MQM36" s="292"/>
      <c r="MQN36" s="292"/>
      <c r="MQO36" s="292"/>
      <c r="MQP36" s="292"/>
      <c r="MQQ36" s="292"/>
      <c r="MQR36" s="292"/>
      <c r="MQS36" s="292"/>
      <c r="MQT36" s="292"/>
      <c r="MQU36" s="292"/>
      <c r="MQV36" s="292"/>
      <c r="MQW36" s="292"/>
      <c r="MQX36" s="292"/>
      <c r="MQY36" s="292"/>
      <c r="MQZ36" s="292"/>
      <c r="MRA36" s="292"/>
      <c r="MRB36" s="292"/>
      <c r="MRC36" s="292"/>
      <c r="MRD36" s="292"/>
      <c r="MRE36" s="292"/>
      <c r="MRF36" s="292"/>
      <c r="MRG36" s="292"/>
      <c r="MRH36" s="292"/>
      <c r="MRI36" s="292"/>
      <c r="MRJ36" s="292"/>
      <c r="MRK36" s="292"/>
      <c r="MRL36" s="292"/>
      <c r="MRM36" s="292"/>
      <c r="MRN36" s="292"/>
      <c r="MRO36" s="292"/>
      <c r="MRP36" s="292"/>
      <c r="MRQ36" s="292"/>
      <c r="MRR36" s="292"/>
      <c r="MRS36" s="292"/>
      <c r="MRT36" s="292"/>
      <c r="MRU36" s="292"/>
      <c r="MRV36" s="292"/>
      <c r="MRW36" s="292"/>
      <c r="MRX36" s="292"/>
      <c r="MRY36" s="292"/>
      <c r="MRZ36" s="292"/>
      <c r="MSA36" s="292"/>
      <c r="MSB36" s="292"/>
      <c r="MSC36" s="292"/>
      <c r="MSD36" s="292"/>
      <c r="MSE36" s="292"/>
      <c r="MSF36" s="292"/>
      <c r="MSG36" s="292"/>
      <c r="MSH36" s="292"/>
      <c r="MSI36" s="292"/>
      <c r="MSJ36" s="292"/>
      <c r="MSK36" s="292"/>
      <c r="MSL36" s="292"/>
      <c r="MSM36" s="292"/>
      <c r="MSN36" s="292"/>
      <c r="MSO36" s="292"/>
      <c r="MSP36" s="292"/>
      <c r="MSQ36" s="292"/>
      <c r="MSR36" s="292"/>
      <c r="MSS36" s="292"/>
      <c r="MST36" s="292"/>
      <c r="MSU36" s="292"/>
      <c r="MSV36" s="292"/>
      <c r="MSW36" s="292"/>
      <c r="MSX36" s="292"/>
      <c r="MSY36" s="292"/>
      <c r="MSZ36" s="292"/>
      <c r="MTA36" s="292"/>
      <c r="MTB36" s="292"/>
      <c r="MTC36" s="292"/>
      <c r="MTD36" s="292"/>
      <c r="MTE36" s="292"/>
      <c r="MTF36" s="292"/>
      <c r="MTG36" s="292"/>
      <c r="MTH36" s="292"/>
      <c r="MTI36" s="292"/>
      <c r="MTJ36" s="292"/>
      <c r="MTK36" s="292"/>
      <c r="MTL36" s="292"/>
      <c r="MTM36" s="292"/>
      <c r="MTN36" s="292"/>
      <c r="MTO36" s="292"/>
      <c r="MTP36" s="292"/>
      <c r="MTQ36" s="292"/>
      <c r="MTR36" s="292"/>
      <c r="MTS36" s="292"/>
      <c r="MTT36" s="292"/>
      <c r="MTU36" s="292"/>
      <c r="MTV36" s="292"/>
      <c r="MTW36" s="292"/>
      <c r="MTX36" s="292"/>
      <c r="MTY36" s="292"/>
      <c r="MTZ36" s="292"/>
      <c r="MUA36" s="292"/>
      <c r="MUB36" s="292"/>
      <c r="MUC36" s="292"/>
      <c r="MUD36" s="292"/>
      <c r="MUE36" s="292"/>
      <c r="MUF36" s="292"/>
      <c r="MUG36" s="292"/>
      <c r="MUH36" s="292"/>
      <c r="MUI36" s="292"/>
      <c r="MUJ36" s="292"/>
      <c r="MUK36" s="292"/>
      <c r="MUL36" s="292"/>
      <c r="MUM36" s="292"/>
      <c r="MUN36" s="292"/>
      <c r="MUO36" s="292"/>
      <c r="MUP36" s="292"/>
      <c r="MUQ36" s="292"/>
      <c r="MUR36" s="292"/>
      <c r="MUS36" s="292"/>
      <c r="MUT36" s="292"/>
      <c r="MUU36" s="292"/>
      <c r="MUV36" s="292"/>
      <c r="MUW36" s="292"/>
      <c r="MUX36" s="292"/>
      <c r="MUY36" s="292"/>
      <c r="MUZ36" s="292"/>
      <c r="MVA36" s="292"/>
      <c r="MVB36" s="292"/>
      <c r="MVC36" s="292"/>
      <c r="MVD36" s="292"/>
      <c r="MVE36" s="292"/>
      <c r="MVF36" s="292"/>
      <c r="MVG36" s="292"/>
      <c r="MVH36" s="292"/>
      <c r="MVI36" s="292"/>
      <c r="MVJ36" s="292"/>
      <c r="MVK36" s="292"/>
      <c r="MVL36" s="292"/>
      <c r="MVM36" s="292"/>
      <c r="MVN36" s="292"/>
      <c r="MVO36" s="292"/>
      <c r="MVP36" s="292"/>
      <c r="MVQ36" s="292"/>
      <c r="MVR36" s="292"/>
      <c r="MVS36" s="292"/>
      <c r="MVT36" s="292"/>
      <c r="MVU36" s="292"/>
      <c r="MVV36" s="292"/>
      <c r="MVW36" s="292"/>
      <c r="MVX36" s="292"/>
      <c r="MVY36" s="292"/>
      <c r="MVZ36" s="292"/>
      <c r="MWA36" s="292"/>
      <c r="MWB36" s="292"/>
      <c r="MWC36" s="292"/>
      <c r="MWD36" s="292"/>
      <c r="MWE36" s="292"/>
      <c r="MWF36" s="292"/>
      <c r="MWG36" s="292"/>
      <c r="MWH36" s="292"/>
      <c r="MWI36" s="292"/>
      <c r="MWJ36" s="292"/>
      <c r="MWK36" s="292"/>
      <c r="MWL36" s="292"/>
      <c r="MWM36" s="292"/>
      <c r="MWN36" s="292"/>
      <c r="MWO36" s="292"/>
      <c r="MWP36" s="292"/>
      <c r="MWQ36" s="292"/>
      <c r="MWR36" s="292"/>
      <c r="MWS36" s="292"/>
      <c r="MWT36" s="292"/>
      <c r="MWU36" s="292"/>
      <c r="MWV36" s="292"/>
      <c r="MWW36" s="292"/>
      <c r="MWX36" s="292"/>
      <c r="MWY36" s="292"/>
      <c r="MWZ36" s="292"/>
      <c r="MXA36" s="292"/>
      <c r="MXB36" s="292"/>
      <c r="MXC36" s="292"/>
      <c r="MXD36" s="292"/>
      <c r="MXE36" s="292"/>
      <c r="MXF36" s="292"/>
      <c r="MXG36" s="292"/>
      <c r="MXH36" s="292"/>
      <c r="MXI36" s="292"/>
      <c r="MXJ36" s="292"/>
      <c r="MXK36" s="292"/>
      <c r="MXL36" s="292"/>
      <c r="MXM36" s="292"/>
      <c r="MXN36" s="292"/>
      <c r="MXO36" s="292"/>
      <c r="MXP36" s="292"/>
      <c r="MXQ36" s="292"/>
      <c r="MXR36" s="292"/>
      <c r="MXS36" s="292"/>
      <c r="MXT36" s="292"/>
      <c r="MXU36" s="292"/>
      <c r="MXV36" s="292"/>
      <c r="MXW36" s="292"/>
      <c r="MXX36" s="292"/>
      <c r="MXY36" s="292"/>
      <c r="MXZ36" s="292"/>
      <c r="MYA36" s="292"/>
      <c r="MYB36" s="292"/>
      <c r="MYC36" s="292"/>
      <c r="MYD36" s="292"/>
      <c r="MYE36" s="292"/>
      <c r="MYF36" s="292"/>
      <c r="MYG36" s="292"/>
      <c r="MYH36" s="292"/>
      <c r="MYI36" s="292"/>
      <c r="MYJ36" s="292"/>
      <c r="MYK36" s="292"/>
      <c r="MYL36" s="292"/>
      <c r="MYM36" s="292"/>
      <c r="MYN36" s="292"/>
      <c r="MYO36" s="292"/>
      <c r="MYP36" s="292"/>
      <c r="MYQ36" s="292"/>
      <c r="MYR36" s="292"/>
      <c r="MYS36" s="292"/>
      <c r="MYT36" s="292"/>
      <c r="MYU36" s="292"/>
      <c r="MYV36" s="292"/>
      <c r="MYW36" s="292"/>
      <c r="MYX36" s="292"/>
      <c r="MYY36" s="292"/>
      <c r="MYZ36" s="292"/>
      <c r="MZA36" s="292"/>
      <c r="MZB36" s="292"/>
      <c r="MZC36" s="292"/>
      <c r="MZD36" s="292"/>
      <c r="MZE36" s="292"/>
      <c r="MZF36" s="292"/>
      <c r="MZG36" s="292"/>
      <c r="MZH36" s="292"/>
      <c r="MZI36" s="292"/>
      <c r="MZJ36" s="292"/>
      <c r="MZK36" s="292"/>
      <c r="MZL36" s="292"/>
      <c r="MZM36" s="292"/>
      <c r="MZN36" s="292"/>
      <c r="MZO36" s="292"/>
      <c r="MZP36" s="292"/>
      <c r="MZQ36" s="292"/>
      <c r="MZR36" s="292"/>
      <c r="MZS36" s="292"/>
      <c r="MZT36" s="292"/>
      <c r="MZU36" s="292"/>
      <c r="MZV36" s="292"/>
      <c r="MZW36" s="292"/>
      <c r="MZX36" s="292"/>
      <c r="MZY36" s="292"/>
      <c r="MZZ36" s="292"/>
      <c r="NAA36" s="292"/>
      <c r="NAB36" s="292"/>
      <c r="NAC36" s="292"/>
      <c r="NAD36" s="292"/>
      <c r="NAE36" s="292"/>
      <c r="NAF36" s="292"/>
      <c r="NAG36" s="292"/>
      <c r="NAH36" s="292"/>
      <c r="NAI36" s="292"/>
      <c r="NAJ36" s="292"/>
      <c r="NAK36" s="292"/>
      <c r="NAL36" s="292"/>
      <c r="NAM36" s="292"/>
      <c r="NAN36" s="292"/>
      <c r="NAO36" s="292"/>
      <c r="NAP36" s="292"/>
      <c r="NAQ36" s="292"/>
      <c r="NAR36" s="292"/>
      <c r="NAS36" s="292"/>
      <c r="NAT36" s="292"/>
      <c r="NAU36" s="292"/>
      <c r="NAV36" s="292"/>
      <c r="NAW36" s="292"/>
      <c r="NAX36" s="292"/>
      <c r="NAY36" s="292"/>
      <c r="NAZ36" s="292"/>
      <c r="NBA36" s="292"/>
      <c r="NBB36" s="292"/>
      <c r="NBC36" s="292"/>
      <c r="NBD36" s="292"/>
      <c r="NBE36" s="292"/>
      <c r="NBF36" s="292"/>
      <c r="NBG36" s="292"/>
      <c r="NBH36" s="292"/>
      <c r="NBI36" s="292"/>
      <c r="NBJ36" s="292"/>
      <c r="NBK36" s="292"/>
      <c r="NBL36" s="292"/>
      <c r="NBM36" s="292"/>
      <c r="NBN36" s="292"/>
      <c r="NBO36" s="292"/>
      <c r="NBP36" s="292"/>
      <c r="NBQ36" s="292"/>
      <c r="NBR36" s="292"/>
      <c r="NBS36" s="292"/>
      <c r="NBT36" s="292"/>
      <c r="NBU36" s="292"/>
      <c r="NBV36" s="292"/>
      <c r="NBW36" s="292"/>
      <c r="NBX36" s="292"/>
      <c r="NBY36" s="292"/>
      <c r="NBZ36" s="292"/>
      <c r="NCA36" s="292"/>
      <c r="NCB36" s="292"/>
      <c r="NCC36" s="292"/>
      <c r="NCD36" s="292"/>
      <c r="NCE36" s="292"/>
      <c r="NCF36" s="292"/>
      <c r="NCG36" s="292"/>
      <c r="NCH36" s="292"/>
      <c r="NCI36" s="292"/>
      <c r="NCJ36" s="292"/>
      <c r="NCK36" s="292"/>
      <c r="NCL36" s="292"/>
      <c r="NCM36" s="292"/>
      <c r="NCN36" s="292"/>
      <c r="NCO36" s="292"/>
      <c r="NCP36" s="292"/>
      <c r="NCQ36" s="292"/>
      <c r="NCR36" s="292"/>
      <c r="NCS36" s="292"/>
      <c r="NCT36" s="292"/>
      <c r="NCU36" s="292"/>
      <c r="NCV36" s="292"/>
      <c r="NCW36" s="292"/>
      <c r="NCX36" s="292"/>
      <c r="NCY36" s="292"/>
      <c r="NCZ36" s="292"/>
      <c r="NDA36" s="292"/>
      <c r="NDB36" s="292"/>
      <c r="NDC36" s="292"/>
      <c r="NDD36" s="292"/>
      <c r="NDE36" s="292"/>
      <c r="NDF36" s="292"/>
      <c r="NDG36" s="292"/>
      <c r="NDH36" s="292"/>
      <c r="NDI36" s="292"/>
      <c r="NDJ36" s="292"/>
      <c r="NDK36" s="292"/>
      <c r="NDL36" s="292"/>
      <c r="NDM36" s="292"/>
      <c r="NDN36" s="292"/>
      <c r="NDO36" s="292"/>
      <c r="NDP36" s="292"/>
      <c r="NDQ36" s="292"/>
      <c r="NDR36" s="292"/>
      <c r="NDS36" s="292"/>
      <c r="NDT36" s="292"/>
      <c r="NDU36" s="292"/>
      <c r="NDV36" s="292"/>
      <c r="NDW36" s="292"/>
      <c r="NDX36" s="292"/>
      <c r="NDY36" s="292"/>
      <c r="NDZ36" s="292"/>
      <c r="NEA36" s="292"/>
      <c r="NEB36" s="292"/>
      <c r="NEC36" s="292"/>
      <c r="NED36" s="292"/>
      <c r="NEE36" s="292"/>
      <c r="NEF36" s="292"/>
      <c r="NEG36" s="292"/>
      <c r="NEH36" s="292"/>
      <c r="NEI36" s="292"/>
      <c r="NEJ36" s="292"/>
      <c r="NEK36" s="292"/>
      <c r="NEL36" s="292"/>
      <c r="NEM36" s="292"/>
      <c r="NEN36" s="292"/>
      <c r="NEO36" s="292"/>
      <c r="NEP36" s="292"/>
      <c r="NEQ36" s="292"/>
      <c r="NER36" s="292"/>
      <c r="NES36" s="292"/>
      <c r="NET36" s="292"/>
      <c r="NEU36" s="292"/>
      <c r="NEV36" s="292"/>
      <c r="NEW36" s="292"/>
      <c r="NEX36" s="292"/>
      <c r="NEY36" s="292"/>
      <c r="NEZ36" s="292"/>
      <c r="NFA36" s="292"/>
      <c r="NFB36" s="292"/>
      <c r="NFC36" s="292"/>
      <c r="NFD36" s="292"/>
      <c r="NFE36" s="292"/>
      <c r="NFF36" s="292"/>
      <c r="NFG36" s="292"/>
      <c r="NFH36" s="292"/>
      <c r="NFI36" s="292"/>
      <c r="NFJ36" s="292"/>
      <c r="NFK36" s="292"/>
      <c r="NFL36" s="292"/>
      <c r="NFM36" s="292"/>
      <c r="NFN36" s="292"/>
      <c r="NFO36" s="292"/>
      <c r="NFP36" s="292"/>
      <c r="NFQ36" s="292"/>
      <c r="NFR36" s="292"/>
      <c r="NFS36" s="292"/>
      <c r="NFT36" s="292"/>
      <c r="NFU36" s="292"/>
      <c r="NFV36" s="292"/>
      <c r="NFW36" s="292"/>
      <c r="NFX36" s="292"/>
      <c r="NFY36" s="292"/>
      <c r="NFZ36" s="292"/>
      <c r="NGA36" s="292"/>
      <c r="NGB36" s="292"/>
      <c r="NGC36" s="292"/>
      <c r="NGD36" s="292"/>
      <c r="NGE36" s="292"/>
      <c r="NGF36" s="292"/>
      <c r="NGG36" s="292"/>
      <c r="NGH36" s="292"/>
      <c r="NGI36" s="292"/>
      <c r="NGJ36" s="292"/>
      <c r="NGK36" s="292"/>
      <c r="NGL36" s="292"/>
      <c r="NGM36" s="292"/>
      <c r="NGN36" s="292"/>
      <c r="NGO36" s="292"/>
      <c r="NGP36" s="292"/>
      <c r="NGQ36" s="292"/>
      <c r="NGR36" s="292"/>
      <c r="NGS36" s="292"/>
      <c r="NGT36" s="292"/>
      <c r="NGU36" s="292"/>
      <c r="NGV36" s="292"/>
      <c r="NGW36" s="292"/>
      <c r="NGX36" s="292"/>
      <c r="NGY36" s="292"/>
      <c r="NGZ36" s="292"/>
      <c r="NHA36" s="292"/>
      <c r="NHB36" s="292"/>
      <c r="NHC36" s="292"/>
      <c r="NHD36" s="292"/>
      <c r="NHE36" s="292"/>
      <c r="NHF36" s="292"/>
      <c r="NHG36" s="292"/>
      <c r="NHH36" s="292"/>
      <c r="NHI36" s="292"/>
      <c r="NHJ36" s="292"/>
      <c r="NHK36" s="292"/>
      <c r="NHL36" s="292"/>
      <c r="NHM36" s="292"/>
      <c r="NHN36" s="292"/>
      <c r="NHO36" s="292"/>
      <c r="NHP36" s="292"/>
      <c r="NHQ36" s="292"/>
      <c r="NHR36" s="292"/>
      <c r="NHS36" s="292"/>
      <c r="NHT36" s="292"/>
      <c r="NHU36" s="292"/>
      <c r="NHV36" s="292"/>
      <c r="NHW36" s="292"/>
      <c r="NHX36" s="292"/>
      <c r="NHY36" s="292"/>
      <c r="NHZ36" s="292"/>
      <c r="NIA36" s="292"/>
      <c r="NIB36" s="292"/>
      <c r="NIC36" s="292"/>
      <c r="NID36" s="292"/>
      <c r="NIE36" s="292"/>
      <c r="NIF36" s="292"/>
      <c r="NIG36" s="292"/>
      <c r="NIH36" s="292"/>
      <c r="NII36" s="292"/>
      <c r="NIJ36" s="292"/>
      <c r="NIK36" s="292"/>
      <c r="NIL36" s="292"/>
      <c r="NIM36" s="292"/>
      <c r="NIN36" s="292"/>
      <c r="NIO36" s="292"/>
      <c r="NIP36" s="292"/>
      <c r="NIQ36" s="292"/>
      <c r="NIR36" s="292"/>
      <c r="NIS36" s="292"/>
      <c r="NIT36" s="292"/>
      <c r="NIU36" s="292"/>
      <c r="NIV36" s="292"/>
      <c r="NIW36" s="292"/>
      <c r="NIX36" s="292"/>
      <c r="NIY36" s="292"/>
      <c r="NIZ36" s="292"/>
      <c r="NJA36" s="292"/>
      <c r="NJB36" s="292"/>
      <c r="NJC36" s="292"/>
      <c r="NJD36" s="292"/>
      <c r="NJE36" s="292"/>
      <c r="NJF36" s="292"/>
      <c r="NJG36" s="292"/>
      <c r="NJH36" s="292"/>
      <c r="NJI36" s="292"/>
      <c r="NJJ36" s="292"/>
      <c r="NJK36" s="292"/>
      <c r="NJL36" s="292"/>
      <c r="NJM36" s="292"/>
      <c r="NJN36" s="292"/>
      <c r="NJO36" s="292"/>
      <c r="NJP36" s="292"/>
      <c r="NJQ36" s="292"/>
      <c r="NJR36" s="292"/>
      <c r="NJS36" s="292"/>
      <c r="NJT36" s="292"/>
      <c r="NJU36" s="292"/>
      <c r="NJV36" s="292"/>
      <c r="NJW36" s="292"/>
      <c r="NJX36" s="292"/>
      <c r="NJY36" s="292"/>
      <c r="NJZ36" s="292"/>
      <c r="NKA36" s="292"/>
      <c r="NKB36" s="292"/>
      <c r="NKC36" s="292"/>
      <c r="NKD36" s="292"/>
      <c r="NKE36" s="292"/>
      <c r="NKF36" s="292"/>
      <c r="NKG36" s="292"/>
      <c r="NKH36" s="292"/>
      <c r="NKI36" s="292"/>
      <c r="NKJ36" s="292"/>
      <c r="NKK36" s="292"/>
      <c r="NKL36" s="292"/>
      <c r="NKM36" s="292"/>
      <c r="NKN36" s="292"/>
      <c r="NKO36" s="292"/>
      <c r="NKP36" s="292"/>
      <c r="NKQ36" s="292"/>
      <c r="NKR36" s="292"/>
      <c r="NKS36" s="292"/>
      <c r="NKT36" s="292"/>
      <c r="NKU36" s="292"/>
      <c r="NKV36" s="292"/>
      <c r="NKW36" s="292"/>
      <c r="NKX36" s="292"/>
      <c r="NKY36" s="292"/>
      <c r="NKZ36" s="292"/>
      <c r="NLA36" s="292"/>
      <c r="NLB36" s="292"/>
      <c r="NLC36" s="292"/>
      <c r="NLD36" s="292"/>
      <c r="NLE36" s="292"/>
      <c r="NLF36" s="292"/>
      <c r="NLG36" s="292"/>
      <c r="NLH36" s="292"/>
      <c r="NLI36" s="292"/>
      <c r="NLJ36" s="292"/>
      <c r="NLK36" s="292"/>
      <c r="NLL36" s="292"/>
      <c r="NLM36" s="292"/>
      <c r="NLN36" s="292"/>
      <c r="NLO36" s="292"/>
      <c r="NLP36" s="292"/>
      <c r="NLQ36" s="292"/>
      <c r="NLR36" s="292"/>
      <c r="NLS36" s="292"/>
      <c r="NLT36" s="292"/>
      <c r="NLU36" s="292"/>
      <c r="NLV36" s="292"/>
      <c r="NLW36" s="292"/>
      <c r="NLX36" s="292"/>
      <c r="NLY36" s="292"/>
      <c r="NLZ36" s="292"/>
      <c r="NMA36" s="292"/>
      <c r="NMB36" s="292"/>
      <c r="NMC36" s="292"/>
      <c r="NMD36" s="292"/>
      <c r="NME36" s="292"/>
      <c r="NMF36" s="292"/>
      <c r="NMG36" s="292"/>
      <c r="NMH36" s="292"/>
      <c r="NMI36" s="292"/>
      <c r="NMJ36" s="292"/>
      <c r="NMK36" s="292"/>
      <c r="NML36" s="292"/>
      <c r="NMM36" s="292"/>
      <c r="NMN36" s="292"/>
      <c r="NMO36" s="292"/>
      <c r="NMP36" s="292"/>
      <c r="NMQ36" s="292"/>
      <c r="NMR36" s="292"/>
      <c r="NMS36" s="292"/>
      <c r="NMT36" s="292"/>
      <c r="NMU36" s="292"/>
      <c r="NMV36" s="292"/>
      <c r="NMW36" s="292"/>
      <c r="NMX36" s="292"/>
      <c r="NMY36" s="292"/>
      <c r="NMZ36" s="292"/>
      <c r="NNA36" s="292"/>
      <c r="NNB36" s="292"/>
      <c r="NNC36" s="292"/>
      <c r="NND36" s="292"/>
      <c r="NNE36" s="292"/>
      <c r="NNF36" s="292"/>
      <c r="NNG36" s="292"/>
      <c r="NNH36" s="292"/>
      <c r="NNI36" s="292"/>
      <c r="NNJ36" s="292"/>
      <c r="NNK36" s="292"/>
      <c r="NNL36" s="292"/>
      <c r="NNM36" s="292"/>
      <c r="NNN36" s="292"/>
      <c r="NNO36" s="292"/>
      <c r="NNP36" s="292"/>
      <c r="NNQ36" s="292"/>
      <c r="NNR36" s="292"/>
      <c r="NNS36" s="292"/>
      <c r="NNT36" s="292"/>
      <c r="NNU36" s="292"/>
      <c r="NNV36" s="292"/>
      <c r="NNW36" s="292"/>
      <c r="NNX36" s="292"/>
      <c r="NNY36" s="292"/>
      <c r="NNZ36" s="292"/>
      <c r="NOA36" s="292"/>
      <c r="NOB36" s="292"/>
      <c r="NOC36" s="292"/>
      <c r="NOD36" s="292"/>
      <c r="NOE36" s="292"/>
      <c r="NOF36" s="292"/>
      <c r="NOG36" s="292"/>
      <c r="NOH36" s="292"/>
      <c r="NOI36" s="292"/>
      <c r="NOJ36" s="292"/>
      <c r="NOK36" s="292"/>
      <c r="NOL36" s="292"/>
      <c r="NOM36" s="292"/>
      <c r="NON36" s="292"/>
      <c r="NOO36" s="292"/>
      <c r="NOP36" s="292"/>
      <c r="NOQ36" s="292"/>
      <c r="NOR36" s="292"/>
      <c r="NOS36" s="292"/>
      <c r="NOT36" s="292"/>
      <c r="NOU36" s="292"/>
      <c r="NOV36" s="292"/>
      <c r="NOW36" s="292"/>
      <c r="NOX36" s="292"/>
      <c r="NOY36" s="292"/>
      <c r="NOZ36" s="292"/>
      <c r="NPA36" s="292"/>
      <c r="NPB36" s="292"/>
      <c r="NPC36" s="292"/>
      <c r="NPD36" s="292"/>
      <c r="NPE36" s="292"/>
      <c r="NPF36" s="292"/>
      <c r="NPG36" s="292"/>
      <c r="NPH36" s="292"/>
      <c r="NPI36" s="292"/>
      <c r="NPJ36" s="292"/>
      <c r="NPK36" s="292"/>
      <c r="NPL36" s="292"/>
      <c r="NPM36" s="292"/>
      <c r="NPN36" s="292"/>
      <c r="NPO36" s="292"/>
      <c r="NPP36" s="292"/>
      <c r="NPQ36" s="292"/>
      <c r="NPR36" s="292"/>
      <c r="NPS36" s="292"/>
      <c r="NPT36" s="292"/>
      <c r="NPU36" s="292"/>
      <c r="NPV36" s="292"/>
      <c r="NPW36" s="292"/>
      <c r="NPX36" s="292"/>
      <c r="NPY36" s="292"/>
      <c r="NPZ36" s="292"/>
      <c r="NQA36" s="292"/>
      <c r="NQB36" s="292"/>
      <c r="NQC36" s="292"/>
      <c r="NQD36" s="292"/>
      <c r="NQE36" s="292"/>
      <c r="NQF36" s="292"/>
      <c r="NQG36" s="292"/>
      <c r="NQH36" s="292"/>
      <c r="NQI36" s="292"/>
      <c r="NQJ36" s="292"/>
      <c r="NQK36" s="292"/>
      <c r="NQL36" s="292"/>
      <c r="NQM36" s="292"/>
      <c r="NQN36" s="292"/>
      <c r="NQO36" s="292"/>
      <c r="NQP36" s="292"/>
      <c r="NQQ36" s="292"/>
      <c r="NQR36" s="292"/>
      <c r="NQS36" s="292"/>
      <c r="NQT36" s="292"/>
      <c r="NQU36" s="292"/>
      <c r="NQV36" s="292"/>
      <c r="NQW36" s="292"/>
      <c r="NQX36" s="292"/>
      <c r="NQY36" s="292"/>
      <c r="NQZ36" s="292"/>
      <c r="NRA36" s="292"/>
      <c r="NRB36" s="292"/>
      <c r="NRC36" s="292"/>
      <c r="NRD36" s="292"/>
      <c r="NRE36" s="292"/>
      <c r="NRF36" s="292"/>
      <c r="NRG36" s="292"/>
      <c r="NRH36" s="292"/>
      <c r="NRI36" s="292"/>
      <c r="NRJ36" s="292"/>
      <c r="NRK36" s="292"/>
      <c r="NRL36" s="292"/>
      <c r="NRM36" s="292"/>
      <c r="NRN36" s="292"/>
      <c r="NRO36" s="292"/>
      <c r="NRP36" s="292"/>
      <c r="NRQ36" s="292"/>
      <c r="NRR36" s="292"/>
      <c r="NRS36" s="292"/>
      <c r="NRT36" s="292"/>
      <c r="NRU36" s="292"/>
      <c r="NRV36" s="292"/>
      <c r="NRW36" s="292"/>
      <c r="NRX36" s="292"/>
      <c r="NRY36" s="292"/>
      <c r="NRZ36" s="292"/>
      <c r="NSA36" s="292"/>
      <c r="NSB36" s="292"/>
      <c r="NSC36" s="292"/>
      <c r="NSD36" s="292"/>
      <c r="NSE36" s="292"/>
      <c r="NSF36" s="292"/>
      <c r="NSG36" s="292"/>
      <c r="NSH36" s="292"/>
      <c r="NSI36" s="292"/>
      <c r="NSJ36" s="292"/>
      <c r="NSK36" s="292"/>
      <c r="NSL36" s="292"/>
      <c r="NSM36" s="292"/>
      <c r="NSN36" s="292"/>
      <c r="NSO36" s="292"/>
      <c r="NSP36" s="292"/>
      <c r="NSQ36" s="292"/>
      <c r="NSR36" s="292"/>
      <c r="NSS36" s="292"/>
      <c r="NST36" s="292"/>
      <c r="NSU36" s="292"/>
      <c r="NSV36" s="292"/>
      <c r="NSW36" s="292"/>
      <c r="NSX36" s="292"/>
      <c r="NSY36" s="292"/>
      <c r="NSZ36" s="292"/>
      <c r="NTA36" s="292"/>
      <c r="NTB36" s="292"/>
      <c r="NTC36" s="292"/>
      <c r="NTD36" s="292"/>
      <c r="NTE36" s="292"/>
      <c r="NTF36" s="292"/>
      <c r="NTG36" s="292"/>
      <c r="NTH36" s="292"/>
      <c r="NTI36" s="292"/>
      <c r="NTJ36" s="292"/>
      <c r="NTK36" s="292"/>
      <c r="NTL36" s="292"/>
      <c r="NTM36" s="292"/>
      <c r="NTN36" s="292"/>
      <c r="NTO36" s="292"/>
      <c r="NTP36" s="292"/>
      <c r="NTQ36" s="292"/>
      <c r="NTR36" s="292"/>
      <c r="NTS36" s="292"/>
      <c r="NTT36" s="292"/>
      <c r="NTU36" s="292"/>
      <c r="NTV36" s="292"/>
      <c r="NTW36" s="292"/>
      <c r="NTX36" s="292"/>
      <c r="NTY36" s="292"/>
      <c r="NTZ36" s="292"/>
      <c r="NUA36" s="292"/>
      <c r="NUB36" s="292"/>
      <c r="NUC36" s="292"/>
      <c r="NUD36" s="292"/>
      <c r="NUE36" s="292"/>
      <c r="NUF36" s="292"/>
      <c r="NUG36" s="292"/>
      <c r="NUH36" s="292"/>
      <c r="NUI36" s="292"/>
      <c r="NUJ36" s="292"/>
      <c r="NUK36" s="292"/>
      <c r="NUL36" s="292"/>
      <c r="NUM36" s="292"/>
      <c r="NUN36" s="292"/>
      <c r="NUO36" s="292"/>
      <c r="NUP36" s="292"/>
      <c r="NUQ36" s="292"/>
      <c r="NUR36" s="292"/>
      <c r="NUS36" s="292"/>
      <c r="NUT36" s="292"/>
      <c r="NUU36" s="292"/>
      <c r="NUV36" s="292"/>
      <c r="NUW36" s="292"/>
      <c r="NUX36" s="292"/>
      <c r="NUY36" s="292"/>
      <c r="NUZ36" s="292"/>
      <c r="NVA36" s="292"/>
      <c r="NVB36" s="292"/>
      <c r="NVC36" s="292"/>
      <c r="NVD36" s="292"/>
      <c r="NVE36" s="292"/>
      <c r="NVF36" s="292"/>
      <c r="NVG36" s="292"/>
      <c r="NVH36" s="292"/>
      <c r="NVI36" s="292"/>
      <c r="NVJ36" s="292"/>
      <c r="NVK36" s="292"/>
      <c r="NVL36" s="292"/>
      <c r="NVM36" s="292"/>
      <c r="NVN36" s="292"/>
      <c r="NVO36" s="292"/>
      <c r="NVP36" s="292"/>
      <c r="NVQ36" s="292"/>
      <c r="NVR36" s="292"/>
      <c r="NVS36" s="292"/>
      <c r="NVT36" s="292"/>
      <c r="NVU36" s="292"/>
      <c r="NVV36" s="292"/>
      <c r="NVW36" s="292"/>
      <c r="NVX36" s="292"/>
      <c r="NVY36" s="292"/>
      <c r="NVZ36" s="292"/>
      <c r="NWA36" s="292"/>
      <c r="NWB36" s="292"/>
      <c r="NWC36" s="292"/>
      <c r="NWD36" s="292"/>
      <c r="NWE36" s="292"/>
      <c r="NWF36" s="292"/>
      <c r="NWG36" s="292"/>
      <c r="NWH36" s="292"/>
      <c r="NWI36" s="292"/>
      <c r="NWJ36" s="292"/>
      <c r="NWK36" s="292"/>
      <c r="NWL36" s="292"/>
      <c r="NWM36" s="292"/>
      <c r="NWN36" s="292"/>
      <c r="NWO36" s="292"/>
      <c r="NWP36" s="292"/>
      <c r="NWQ36" s="292"/>
      <c r="NWR36" s="292"/>
      <c r="NWS36" s="292"/>
      <c r="NWT36" s="292"/>
      <c r="NWU36" s="292"/>
      <c r="NWV36" s="292"/>
      <c r="NWW36" s="292"/>
      <c r="NWX36" s="292"/>
      <c r="NWY36" s="292"/>
      <c r="NWZ36" s="292"/>
      <c r="NXA36" s="292"/>
      <c r="NXB36" s="292"/>
      <c r="NXC36" s="292"/>
      <c r="NXD36" s="292"/>
      <c r="NXE36" s="292"/>
      <c r="NXF36" s="292"/>
      <c r="NXG36" s="292"/>
      <c r="NXH36" s="292"/>
      <c r="NXI36" s="292"/>
      <c r="NXJ36" s="292"/>
      <c r="NXK36" s="292"/>
      <c r="NXL36" s="292"/>
      <c r="NXM36" s="292"/>
      <c r="NXN36" s="292"/>
      <c r="NXO36" s="292"/>
      <c r="NXP36" s="292"/>
      <c r="NXQ36" s="292"/>
      <c r="NXR36" s="292"/>
      <c r="NXS36" s="292"/>
      <c r="NXT36" s="292"/>
      <c r="NXU36" s="292"/>
      <c r="NXV36" s="292"/>
      <c r="NXW36" s="292"/>
      <c r="NXX36" s="292"/>
      <c r="NXY36" s="292"/>
      <c r="NXZ36" s="292"/>
      <c r="NYA36" s="292"/>
      <c r="NYB36" s="292"/>
      <c r="NYC36" s="292"/>
      <c r="NYD36" s="292"/>
      <c r="NYE36" s="292"/>
      <c r="NYF36" s="292"/>
      <c r="NYG36" s="292"/>
      <c r="NYH36" s="292"/>
      <c r="NYI36" s="292"/>
      <c r="NYJ36" s="292"/>
      <c r="NYK36" s="292"/>
      <c r="NYL36" s="292"/>
      <c r="NYM36" s="292"/>
      <c r="NYN36" s="292"/>
      <c r="NYO36" s="292"/>
      <c r="NYP36" s="292"/>
      <c r="NYQ36" s="292"/>
      <c r="NYR36" s="292"/>
      <c r="NYS36" s="292"/>
      <c r="NYT36" s="292"/>
      <c r="NYU36" s="292"/>
      <c r="NYV36" s="292"/>
      <c r="NYW36" s="292"/>
      <c r="NYX36" s="292"/>
      <c r="NYY36" s="292"/>
      <c r="NYZ36" s="292"/>
      <c r="NZA36" s="292"/>
      <c r="NZB36" s="292"/>
      <c r="NZC36" s="292"/>
      <c r="NZD36" s="292"/>
      <c r="NZE36" s="292"/>
      <c r="NZF36" s="292"/>
      <c r="NZG36" s="292"/>
      <c r="NZH36" s="292"/>
      <c r="NZI36" s="292"/>
      <c r="NZJ36" s="292"/>
      <c r="NZK36" s="292"/>
      <c r="NZL36" s="292"/>
      <c r="NZM36" s="292"/>
      <c r="NZN36" s="292"/>
      <c r="NZO36" s="292"/>
      <c r="NZP36" s="292"/>
      <c r="NZQ36" s="292"/>
      <c r="NZR36" s="292"/>
      <c r="NZS36" s="292"/>
      <c r="NZT36" s="292"/>
      <c r="NZU36" s="292"/>
      <c r="NZV36" s="292"/>
      <c r="NZW36" s="292"/>
      <c r="NZX36" s="292"/>
      <c r="NZY36" s="292"/>
      <c r="NZZ36" s="292"/>
      <c r="OAA36" s="292"/>
      <c r="OAB36" s="292"/>
      <c r="OAC36" s="292"/>
      <c r="OAD36" s="292"/>
      <c r="OAE36" s="292"/>
      <c r="OAF36" s="292"/>
      <c r="OAG36" s="292"/>
      <c r="OAH36" s="292"/>
      <c r="OAI36" s="292"/>
      <c r="OAJ36" s="292"/>
      <c r="OAK36" s="292"/>
      <c r="OAL36" s="292"/>
      <c r="OAM36" s="292"/>
      <c r="OAN36" s="292"/>
      <c r="OAO36" s="292"/>
      <c r="OAP36" s="292"/>
      <c r="OAQ36" s="292"/>
      <c r="OAR36" s="292"/>
      <c r="OAS36" s="292"/>
      <c r="OAT36" s="292"/>
      <c r="OAU36" s="292"/>
      <c r="OAV36" s="292"/>
      <c r="OAW36" s="292"/>
      <c r="OAX36" s="292"/>
      <c r="OAY36" s="292"/>
      <c r="OAZ36" s="292"/>
      <c r="OBA36" s="292"/>
      <c r="OBB36" s="292"/>
      <c r="OBC36" s="292"/>
      <c r="OBD36" s="292"/>
      <c r="OBE36" s="292"/>
      <c r="OBF36" s="292"/>
      <c r="OBG36" s="292"/>
      <c r="OBH36" s="292"/>
      <c r="OBI36" s="292"/>
      <c r="OBJ36" s="292"/>
      <c r="OBK36" s="292"/>
      <c r="OBL36" s="292"/>
      <c r="OBM36" s="292"/>
      <c r="OBN36" s="292"/>
      <c r="OBO36" s="292"/>
      <c r="OBP36" s="292"/>
      <c r="OBQ36" s="292"/>
      <c r="OBR36" s="292"/>
      <c r="OBS36" s="292"/>
      <c r="OBT36" s="292"/>
      <c r="OBU36" s="292"/>
      <c r="OBV36" s="292"/>
      <c r="OBW36" s="292"/>
      <c r="OBX36" s="292"/>
      <c r="OBY36" s="292"/>
      <c r="OBZ36" s="292"/>
      <c r="OCA36" s="292"/>
      <c r="OCB36" s="292"/>
      <c r="OCC36" s="292"/>
      <c r="OCD36" s="292"/>
      <c r="OCE36" s="292"/>
      <c r="OCF36" s="292"/>
      <c r="OCG36" s="292"/>
      <c r="OCH36" s="292"/>
      <c r="OCI36" s="292"/>
      <c r="OCJ36" s="292"/>
      <c r="OCK36" s="292"/>
      <c r="OCL36" s="292"/>
      <c r="OCM36" s="292"/>
      <c r="OCN36" s="292"/>
      <c r="OCO36" s="292"/>
      <c r="OCP36" s="292"/>
      <c r="OCQ36" s="292"/>
      <c r="OCR36" s="292"/>
      <c r="OCS36" s="292"/>
      <c r="OCT36" s="292"/>
      <c r="OCU36" s="292"/>
      <c r="OCV36" s="292"/>
      <c r="OCW36" s="292"/>
      <c r="OCX36" s="292"/>
      <c r="OCY36" s="292"/>
      <c r="OCZ36" s="292"/>
      <c r="ODA36" s="292"/>
      <c r="ODB36" s="292"/>
      <c r="ODC36" s="292"/>
      <c r="ODD36" s="292"/>
      <c r="ODE36" s="292"/>
      <c r="ODF36" s="292"/>
      <c r="ODG36" s="292"/>
      <c r="ODH36" s="292"/>
      <c r="ODI36" s="292"/>
      <c r="ODJ36" s="292"/>
      <c r="ODK36" s="292"/>
      <c r="ODL36" s="292"/>
      <c r="ODM36" s="292"/>
      <c r="ODN36" s="292"/>
      <c r="ODO36" s="292"/>
      <c r="ODP36" s="292"/>
      <c r="ODQ36" s="292"/>
      <c r="ODR36" s="292"/>
      <c r="ODS36" s="292"/>
      <c r="ODT36" s="292"/>
      <c r="ODU36" s="292"/>
      <c r="ODV36" s="292"/>
      <c r="ODW36" s="292"/>
      <c r="ODX36" s="292"/>
      <c r="ODY36" s="292"/>
      <c r="ODZ36" s="292"/>
      <c r="OEA36" s="292"/>
      <c r="OEB36" s="292"/>
      <c r="OEC36" s="292"/>
      <c r="OED36" s="292"/>
      <c r="OEE36" s="292"/>
      <c r="OEF36" s="292"/>
      <c r="OEG36" s="292"/>
      <c r="OEH36" s="292"/>
      <c r="OEI36" s="292"/>
      <c r="OEJ36" s="292"/>
      <c r="OEK36" s="292"/>
      <c r="OEL36" s="292"/>
      <c r="OEM36" s="292"/>
      <c r="OEN36" s="292"/>
      <c r="OEO36" s="292"/>
      <c r="OEP36" s="292"/>
      <c r="OEQ36" s="292"/>
      <c r="OER36" s="292"/>
      <c r="OES36" s="292"/>
      <c r="OET36" s="292"/>
      <c r="OEU36" s="292"/>
      <c r="OEV36" s="292"/>
      <c r="OEW36" s="292"/>
      <c r="OEX36" s="292"/>
      <c r="OEY36" s="292"/>
      <c r="OEZ36" s="292"/>
      <c r="OFA36" s="292"/>
      <c r="OFB36" s="292"/>
      <c r="OFC36" s="292"/>
      <c r="OFD36" s="292"/>
      <c r="OFE36" s="292"/>
      <c r="OFF36" s="292"/>
      <c r="OFG36" s="292"/>
      <c r="OFH36" s="292"/>
      <c r="OFI36" s="292"/>
      <c r="OFJ36" s="292"/>
      <c r="OFK36" s="292"/>
      <c r="OFL36" s="292"/>
      <c r="OFM36" s="292"/>
      <c r="OFN36" s="292"/>
      <c r="OFO36" s="292"/>
      <c r="OFP36" s="292"/>
      <c r="OFQ36" s="292"/>
      <c r="OFR36" s="292"/>
      <c r="OFS36" s="292"/>
      <c r="OFT36" s="292"/>
      <c r="OFU36" s="292"/>
      <c r="OFV36" s="292"/>
      <c r="OFW36" s="292"/>
      <c r="OFX36" s="292"/>
      <c r="OFY36" s="292"/>
      <c r="OFZ36" s="292"/>
      <c r="OGA36" s="292"/>
      <c r="OGB36" s="292"/>
      <c r="OGC36" s="292"/>
      <c r="OGD36" s="292"/>
      <c r="OGE36" s="292"/>
      <c r="OGF36" s="292"/>
      <c r="OGG36" s="292"/>
      <c r="OGH36" s="292"/>
      <c r="OGI36" s="292"/>
      <c r="OGJ36" s="292"/>
      <c r="OGK36" s="292"/>
      <c r="OGL36" s="292"/>
      <c r="OGM36" s="292"/>
      <c r="OGN36" s="292"/>
      <c r="OGO36" s="292"/>
      <c r="OGP36" s="292"/>
      <c r="OGQ36" s="292"/>
      <c r="OGR36" s="292"/>
      <c r="OGS36" s="292"/>
      <c r="OGT36" s="292"/>
      <c r="OGU36" s="292"/>
      <c r="OGV36" s="292"/>
      <c r="OGW36" s="292"/>
      <c r="OGX36" s="292"/>
      <c r="OGY36" s="292"/>
      <c r="OGZ36" s="292"/>
      <c r="OHA36" s="292"/>
      <c r="OHB36" s="292"/>
      <c r="OHC36" s="292"/>
      <c r="OHD36" s="292"/>
      <c r="OHE36" s="292"/>
      <c r="OHF36" s="292"/>
      <c r="OHG36" s="292"/>
      <c r="OHH36" s="292"/>
      <c r="OHI36" s="292"/>
      <c r="OHJ36" s="292"/>
      <c r="OHK36" s="292"/>
      <c r="OHL36" s="292"/>
      <c r="OHM36" s="292"/>
      <c r="OHN36" s="292"/>
      <c r="OHO36" s="292"/>
      <c r="OHP36" s="292"/>
      <c r="OHQ36" s="292"/>
      <c r="OHR36" s="292"/>
      <c r="OHS36" s="292"/>
      <c r="OHT36" s="292"/>
      <c r="OHU36" s="292"/>
      <c r="OHV36" s="292"/>
      <c r="OHW36" s="292"/>
      <c r="OHX36" s="292"/>
      <c r="OHY36" s="292"/>
      <c r="OHZ36" s="292"/>
      <c r="OIA36" s="292"/>
      <c r="OIB36" s="292"/>
      <c r="OIC36" s="292"/>
      <c r="OID36" s="292"/>
      <c r="OIE36" s="292"/>
      <c r="OIF36" s="292"/>
      <c r="OIG36" s="292"/>
      <c r="OIH36" s="292"/>
      <c r="OII36" s="292"/>
      <c r="OIJ36" s="292"/>
      <c r="OIK36" s="292"/>
      <c r="OIL36" s="292"/>
      <c r="OIM36" s="292"/>
      <c r="OIN36" s="292"/>
      <c r="OIO36" s="292"/>
      <c r="OIP36" s="292"/>
      <c r="OIQ36" s="292"/>
      <c r="OIR36" s="292"/>
      <c r="OIS36" s="292"/>
      <c r="OIT36" s="292"/>
      <c r="OIU36" s="292"/>
      <c r="OIV36" s="292"/>
      <c r="OIW36" s="292"/>
      <c r="OIX36" s="292"/>
      <c r="OIY36" s="292"/>
      <c r="OIZ36" s="292"/>
      <c r="OJA36" s="292"/>
      <c r="OJB36" s="292"/>
      <c r="OJC36" s="292"/>
      <c r="OJD36" s="292"/>
      <c r="OJE36" s="292"/>
      <c r="OJF36" s="292"/>
      <c r="OJG36" s="292"/>
      <c r="OJH36" s="292"/>
      <c r="OJI36" s="292"/>
      <c r="OJJ36" s="292"/>
      <c r="OJK36" s="292"/>
      <c r="OJL36" s="292"/>
      <c r="OJM36" s="292"/>
      <c r="OJN36" s="292"/>
      <c r="OJO36" s="292"/>
      <c r="OJP36" s="292"/>
      <c r="OJQ36" s="292"/>
      <c r="OJR36" s="292"/>
      <c r="OJS36" s="292"/>
      <c r="OJT36" s="292"/>
      <c r="OJU36" s="292"/>
      <c r="OJV36" s="292"/>
      <c r="OJW36" s="292"/>
      <c r="OJX36" s="292"/>
      <c r="OJY36" s="292"/>
      <c r="OJZ36" s="292"/>
      <c r="OKA36" s="292"/>
      <c r="OKB36" s="292"/>
      <c r="OKC36" s="292"/>
      <c r="OKD36" s="292"/>
      <c r="OKE36" s="292"/>
      <c r="OKF36" s="292"/>
      <c r="OKG36" s="292"/>
      <c r="OKH36" s="292"/>
      <c r="OKI36" s="292"/>
      <c r="OKJ36" s="292"/>
      <c r="OKK36" s="292"/>
      <c r="OKL36" s="292"/>
      <c r="OKM36" s="292"/>
      <c r="OKN36" s="292"/>
      <c r="OKO36" s="292"/>
      <c r="OKP36" s="292"/>
      <c r="OKQ36" s="292"/>
      <c r="OKR36" s="292"/>
      <c r="OKS36" s="292"/>
      <c r="OKT36" s="292"/>
      <c r="OKU36" s="292"/>
      <c r="OKV36" s="292"/>
      <c r="OKW36" s="292"/>
      <c r="OKX36" s="292"/>
      <c r="OKY36" s="292"/>
      <c r="OKZ36" s="292"/>
      <c r="OLA36" s="292"/>
      <c r="OLB36" s="292"/>
      <c r="OLC36" s="292"/>
      <c r="OLD36" s="292"/>
      <c r="OLE36" s="292"/>
      <c r="OLF36" s="292"/>
      <c r="OLG36" s="292"/>
      <c r="OLH36" s="292"/>
      <c r="OLI36" s="292"/>
      <c r="OLJ36" s="292"/>
      <c r="OLK36" s="292"/>
      <c r="OLL36" s="292"/>
      <c r="OLM36" s="292"/>
      <c r="OLN36" s="292"/>
      <c r="OLO36" s="292"/>
      <c r="OLP36" s="292"/>
      <c r="OLQ36" s="292"/>
      <c r="OLR36" s="292"/>
      <c r="OLS36" s="292"/>
      <c r="OLT36" s="292"/>
      <c r="OLU36" s="292"/>
      <c r="OLV36" s="292"/>
      <c r="OLW36" s="292"/>
      <c r="OLX36" s="292"/>
      <c r="OLY36" s="292"/>
      <c r="OLZ36" s="292"/>
      <c r="OMA36" s="292"/>
      <c r="OMB36" s="292"/>
      <c r="OMC36" s="292"/>
      <c r="OMD36" s="292"/>
      <c r="OME36" s="292"/>
      <c r="OMF36" s="292"/>
      <c r="OMG36" s="292"/>
      <c r="OMH36" s="292"/>
      <c r="OMI36" s="292"/>
      <c r="OMJ36" s="292"/>
      <c r="OMK36" s="292"/>
      <c r="OML36" s="292"/>
      <c r="OMM36" s="292"/>
      <c r="OMN36" s="292"/>
      <c r="OMO36" s="292"/>
      <c r="OMP36" s="292"/>
      <c r="OMQ36" s="292"/>
      <c r="OMR36" s="292"/>
      <c r="OMS36" s="292"/>
      <c r="OMT36" s="292"/>
      <c r="OMU36" s="292"/>
      <c r="OMV36" s="292"/>
      <c r="OMW36" s="292"/>
      <c r="OMX36" s="292"/>
      <c r="OMY36" s="292"/>
      <c r="OMZ36" s="292"/>
      <c r="ONA36" s="292"/>
      <c r="ONB36" s="292"/>
      <c r="ONC36" s="292"/>
      <c r="OND36" s="292"/>
      <c r="ONE36" s="292"/>
      <c r="ONF36" s="292"/>
      <c r="ONG36" s="292"/>
      <c r="ONH36" s="292"/>
      <c r="ONI36" s="292"/>
      <c r="ONJ36" s="292"/>
      <c r="ONK36" s="292"/>
      <c r="ONL36" s="292"/>
      <c r="ONM36" s="292"/>
      <c r="ONN36" s="292"/>
      <c r="ONO36" s="292"/>
      <c r="ONP36" s="292"/>
      <c r="ONQ36" s="292"/>
      <c r="ONR36" s="292"/>
      <c r="ONS36" s="292"/>
      <c r="ONT36" s="292"/>
      <c r="ONU36" s="292"/>
      <c r="ONV36" s="292"/>
      <c r="ONW36" s="292"/>
      <c r="ONX36" s="292"/>
      <c r="ONY36" s="292"/>
      <c r="ONZ36" s="292"/>
      <c r="OOA36" s="292"/>
      <c r="OOB36" s="292"/>
      <c r="OOC36" s="292"/>
      <c r="OOD36" s="292"/>
      <c r="OOE36" s="292"/>
      <c r="OOF36" s="292"/>
      <c r="OOG36" s="292"/>
      <c r="OOH36" s="292"/>
      <c r="OOI36" s="292"/>
      <c r="OOJ36" s="292"/>
      <c r="OOK36" s="292"/>
      <c r="OOL36" s="292"/>
      <c r="OOM36" s="292"/>
      <c r="OON36" s="292"/>
      <c r="OOO36" s="292"/>
      <c r="OOP36" s="292"/>
      <c r="OOQ36" s="292"/>
      <c r="OOR36" s="292"/>
      <c r="OOS36" s="292"/>
      <c r="OOT36" s="292"/>
      <c r="OOU36" s="292"/>
      <c r="OOV36" s="292"/>
      <c r="OOW36" s="292"/>
      <c r="OOX36" s="292"/>
      <c r="OOY36" s="292"/>
      <c r="OOZ36" s="292"/>
      <c r="OPA36" s="292"/>
      <c r="OPB36" s="292"/>
      <c r="OPC36" s="292"/>
      <c r="OPD36" s="292"/>
      <c r="OPE36" s="292"/>
      <c r="OPF36" s="292"/>
      <c r="OPG36" s="292"/>
      <c r="OPH36" s="292"/>
      <c r="OPI36" s="292"/>
      <c r="OPJ36" s="292"/>
      <c r="OPK36" s="292"/>
      <c r="OPL36" s="292"/>
      <c r="OPM36" s="292"/>
      <c r="OPN36" s="292"/>
      <c r="OPO36" s="292"/>
      <c r="OPP36" s="292"/>
      <c r="OPQ36" s="292"/>
      <c r="OPR36" s="292"/>
      <c r="OPS36" s="292"/>
      <c r="OPT36" s="292"/>
      <c r="OPU36" s="292"/>
      <c r="OPV36" s="292"/>
      <c r="OPW36" s="292"/>
      <c r="OPX36" s="292"/>
      <c r="OPY36" s="292"/>
      <c r="OPZ36" s="292"/>
      <c r="OQA36" s="292"/>
      <c r="OQB36" s="292"/>
      <c r="OQC36" s="292"/>
      <c r="OQD36" s="292"/>
      <c r="OQE36" s="292"/>
      <c r="OQF36" s="292"/>
      <c r="OQG36" s="292"/>
      <c r="OQH36" s="292"/>
      <c r="OQI36" s="292"/>
      <c r="OQJ36" s="292"/>
      <c r="OQK36" s="292"/>
      <c r="OQL36" s="292"/>
      <c r="OQM36" s="292"/>
      <c r="OQN36" s="292"/>
      <c r="OQO36" s="292"/>
      <c r="OQP36" s="292"/>
      <c r="OQQ36" s="292"/>
      <c r="OQR36" s="292"/>
      <c r="OQS36" s="292"/>
      <c r="OQT36" s="292"/>
      <c r="OQU36" s="292"/>
      <c r="OQV36" s="292"/>
      <c r="OQW36" s="292"/>
      <c r="OQX36" s="292"/>
      <c r="OQY36" s="292"/>
      <c r="OQZ36" s="292"/>
      <c r="ORA36" s="292"/>
      <c r="ORB36" s="292"/>
      <c r="ORC36" s="292"/>
      <c r="ORD36" s="292"/>
      <c r="ORE36" s="292"/>
      <c r="ORF36" s="292"/>
      <c r="ORG36" s="292"/>
      <c r="ORH36" s="292"/>
      <c r="ORI36" s="292"/>
      <c r="ORJ36" s="292"/>
      <c r="ORK36" s="292"/>
      <c r="ORL36" s="292"/>
      <c r="ORM36" s="292"/>
      <c r="ORN36" s="292"/>
      <c r="ORO36" s="292"/>
      <c r="ORP36" s="292"/>
      <c r="ORQ36" s="292"/>
      <c r="ORR36" s="292"/>
      <c r="ORS36" s="292"/>
      <c r="ORT36" s="292"/>
      <c r="ORU36" s="292"/>
      <c r="ORV36" s="292"/>
      <c r="ORW36" s="292"/>
      <c r="ORX36" s="292"/>
      <c r="ORY36" s="292"/>
      <c r="ORZ36" s="292"/>
      <c r="OSA36" s="292"/>
      <c r="OSB36" s="292"/>
      <c r="OSC36" s="292"/>
      <c r="OSD36" s="292"/>
      <c r="OSE36" s="292"/>
      <c r="OSF36" s="292"/>
      <c r="OSG36" s="292"/>
      <c r="OSH36" s="292"/>
      <c r="OSI36" s="292"/>
      <c r="OSJ36" s="292"/>
      <c r="OSK36" s="292"/>
      <c r="OSL36" s="292"/>
      <c r="OSM36" s="292"/>
      <c r="OSN36" s="292"/>
      <c r="OSO36" s="292"/>
      <c r="OSP36" s="292"/>
      <c r="OSQ36" s="292"/>
      <c r="OSR36" s="292"/>
      <c r="OSS36" s="292"/>
      <c r="OST36" s="292"/>
      <c r="OSU36" s="292"/>
      <c r="OSV36" s="292"/>
      <c r="OSW36" s="292"/>
      <c r="OSX36" s="292"/>
      <c r="OSY36" s="292"/>
      <c r="OSZ36" s="292"/>
      <c r="OTA36" s="292"/>
      <c r="OTB36" s="292"/>
      <c r="OTC36" s="292"/>
      <c r="OTD36" s="292"/>
      <c r="OTE36" s="292"/>
      <c r="OTF36" s="292"/>
      <c r="OTG36" s="292"/>
      <c r="OTH36" s="292"/>
      <c r="OTI36" s="292"/>
      <c r="OTJ36" s="292"/>
      <c r="OTK36" s="292"/>
      <c r="OTL36" s="292"/>
      <c r="OTM36" s="292"/>
      <c r="OTN36" s="292"/>
      <c r="OTO36" s="292"/>
      <c r="OTP36" s="292"/>
      <c r="OTQ36" s="292"/>
      <c r="OTR36" s="292"/>
      <c r="OTS36" s="292"/>
      <c r="OTT36" s="292"/>
      <c r="OTU36" s="292"/>
      <c r="OTV36" s="292"/>
      <c r="OTW36" s="292"/>
      <c r="OTX36" s="292"/>
      <c r="OTY36" s="292"/>
      <c r="OTZ36" s="292"/>
      <c r="OUA36" s="292"/>
      <c r="OUB36" s="292"/>
      <c r="OUC36" s="292"/>
      <c r="OUD36" s="292"/>
      <c r="OUE36" s="292"/>
      <c r="OUF36" s="292"/>
      <c r="OUG36" s="292"/>
      <c r="OUH36" s="292"/>
      <c r="OUI36" s="292"/>
      <c r="OUJ36" s="292"/>
      <c r="OUK36" s="292"/>
      <c r="OUL36" s="292"/>
      <c r="OUM36" s="292"/>
      <c r="OUN36" s="292"/>
      <c r="OUO36" s="292"/>
      <c r="OUP36" s="292"/>
      <c r="OUQ36" s="292"/>
      <c r="OUR36" s="292"/>
      <c r="OUS36" s="292"/>
      <c r="OUT36" s="292"/>
      <c r="OUU36" s="292"/>
      <c r="OUV36" s="292"/>
      <c r="OUW36" s="292"/>
      <c r="OUX36" s="292"/>
      <c r="OUY36" s="292"/>
      <c r="OUZ36" s="292"/>
      <c r="OVA36" s="292"/>
      <c r="OVB36" s="292"/>
      <c r="OVC36" s="292"/>
      <c r="OVD36" s="292"/>
      <c r="OVE36" s="292"/>
      <c r="OVF36" s="292"/>
      <c r="OVG36" s="292"/>
      <c r="OVH36" s="292"/>
      <c r="OVI36" s="292"/>
      <c r="OVJ36" s="292"/>
      <c r="OVK36" s="292"/>
      <c r="OVL36" s="292"/>
      <c r="OVM36" s="292"/>
      <c r="OVN36" s="292"/>
      <c r="OVO36" s="292"/>
      <c r="OVP36" s="292"/>
      <c r="OVQ36" s="292"/>
      <c r="OVR36" s="292"/>
      <c r="OVS36" s="292"/>
      <c r="OVT36" s="292"/>
      <c r="OVU36" s="292"/>
      <c r="OVV36" s="292"/>
      <c r="OVW36" s="292"/>
      <c r="OVX36" s="292"/>
      <c r="OVY36" s="292"/>
      <c r="OVZ36" s="292"/>
      <c r="OWA36" s="292"/>
      <c r="OWB36" s="292"/>
      <c r="OWC36" s="292"/>
      <c r="OWD36" s="292"/>
      <c r="OWE36" s="292"/>
      <c r="OWF36" s="292"/>
      <c r="OWG36" s="292"/>
      <c r="OWH36" s="292"/>
      <c r="OWI36" s="292"/>
      <c r="OWJ36" s="292"/>
      <c r="OWK36" s="292"/>
      <c r="OWL36" s="292"/>
      <c r="OWM36" s="292"/>
      <c r="OWN36" s="292"/>
      <c r="OWO36" s="292"/>
      <c r="OWP36" s="292"/>
      <c r="OWQ36" s="292"/>
      <c r="OWR36" s="292"/>
      <c r="OWS36" s="292"/>
      <c r="OWT36" s="292"/>
      <c r="OWU36" s="292"/>
      <c r="OWV36" s="292"/>
      <c r="OWW36" s="292"/>
      <c r="OWX36" s="292"/>
      <c r="OWY36" s="292"/>
      <c r="OWZ36" s="292"/>
      <c r="OXA36" s="292"/>
      <c r="OXB36" s="292"/>
      <c r="OXC36" s="292"/>
      <c r="OXD36" s="292"/>
      <c r="OXE36" s="292"/>
      <c r="OXF36" s="292"/>
      <c r="OXG36" s="292"/>
      <c r="OXH36" s="292"/>
      <c r="OXI36" s="292"/>
      <c r="OXJ36" s="292"/>
      <c r="OXK36" s="292"/>
      <c r="OXL36" s="292"/>
      <c r="OXM36" s="292"/>
      <c r="OXN36" s="292"/>
      <c r="OXO36" s="292"/>
      <c r="OXP36" s="292"/>
      <c r="OXQ36" s="292"/>
      <c r="OXR36" s="292"/>
      <c r="OXS36" s="292"/>
      <c r="OXT36" s="292"/>
      <c r="OXU36" s="292"/>
      <c r="OXV36" s="292"/>
      <c r="OXW36" s="292"/>
      <c r="OXX36" s="292"/>
      <c r="OXY36" s="292"/>
      <c r="OXZ36" s="292"/>
      <c r="OYA36" s="292"/>
      <c r="OYB36" s="292"/>
      <c r="OYC36" s="292"/>
      <c r="OYD36" s="292"/>
      <c r="OYE36" s="292"/>
      <c r="OYF36" s="292"/>
      <c r="OYG36" s="292"/>
      <c r="OYH36" s="292"/>
      <c r="OYI36" s="292"/>
      <c r="OYJ36" s="292"/>
      <c r="OYK36" s="292"/>
      <c r="OYL36" s="292"/>
      <c r="OYM36" s="292"/>
      <c r="OYN36" s="292"/>
      <c r="OYO36" s="292"/>
      <c r="OYP36" s="292"/>
      <c r="OYQ36" s="292"/>
      <c r="OYR36" s="292"/>
      <c r="OYS36" s="292"/>
      <c r="OYT36" s="292"/>
      <c r="OYU36" s="292"/>
      <c r="OYV36" s="292"/>
      <c r="OYW36" s="292"/>
      <c r="OYX36" s="292"/>
      <c r="OYY36" s="292"/>
      <c r="OYZ36" s="292"/>
      <c r="OZA36" s="292"/>
      <c r="OZB36" s="292"/>
      <c r="OZC36" s="292"/>
      <c r="OZD36" s="292"/>
      <c r="OZE36" s="292"/>
      <c r="OZF36" s="292"/>
      <c r="OZG36" s="292"/>
      <c r="OZH36" s="292"/>
      <c r="OZI36" s="292"/>
      <c r="OZJ36" s="292"/>
      <c r="OZK36" s="292"/>
      <c r="OZL36" s="292"/>
      <c r="OZM36" s="292"/>
      <c r="OZN36" s="292"/>
      <c r="OZO36" s="292"/>
      <c r="OZP36" s="292"/>
      <c r="OZQ36" s="292"/>
      <c r="OZR36" s="292"/>
      <c r="OZS36" s="292"/>
      <c r="OZT36" s="292"/>
      <c r="OZU36" s="292"/>
      <c r="OZV36" s="292"/>
      <c r="OZW36" s="292"/>
      <c r="OZX36" s="292"/>
      <c r="OZY36" s="292"/>
      <c r="OZZ36" s="292"/>
      <c r="PAA36" s="292"/>
      <c r="PAB36" s="292"/>
      <c r="PAC36" s="292"/>
      <c r="PAD36" s="292"/>
      <c r="PAE36" s="292"/>
      <c r="PAF36" s="292"/>
      <c r="PAG36" s="292"/>
      <c r="PAH36" s="292"/>
      <c r="PAI36" s="292"/>
      <c r="PAJ36" s="292"/>
      <c r="PAK36" s="292"/>
      <c r="PAL36" s="292"/>
      <c r="PAM36" s="292"/>
      <c r="PAN36" s="292"/>
      <c r="PAO36" s="292"/>
      <c r="PAP36" s="292"/>
      <c r="PAQ36" s="292"/>
      <c r="PAR36" s="292"/>
      <c r="PAS36" s="292"/>
      <c r="PAT36" s="292"/>
      <c r="PAU36" s="292"/>
      <c r="PAV36" s="292"/>
      <c r="PAW36" s="292"/>
      <c r="PAX36" s="292"/>
      <c r="PAY36" s="292"/>
      <c r="PAZ36" s="292"/>
      <c r="PBA36" s="292"/>
      <c r="PBB36" s="292"/>
      <c r="PBC36" s="292"/>
      <c r="PBD36" s="292"/>
      <c r="PBE36" s="292"/>
      <c r="PBF36" s="292"/>
      <c r="PBG36" s="292"/>
      <c r="PBH36" s="292"/>
      <c r="PBI36" s="292"/>
      <c r="PBJ36" s="292"/>
      <c r="PBK36" s="292"/>
      <c r="PBL36" s="292"/>
      <c r="PBM36" s="292"/>
      <c r="PBN36" s="292"/>
      <c r="PBO36" s="292"/>
      <c r="PBP36" s="292"/>
      <c r="PBQ36" s="292"/>
      <c r="PBR36" s="292"/>
      <c r="PBS36" s="292"/>
      <c r="PBT36" s="292"/>
      <c r="PBU36" s="292"/>
      <c r="PBV36" s="292"/>
      <c r="PBW36" s="292"/>
      <c r="PBX36" s="292"/>
      <c r="PBY36" s="292"/>
      <c r="PBZ36" s="292"/>
      <c r="PCA36" s="292"/>
      <c r="PCB36" s="292"/>
      <c r="PCC36" s="292"/>
      <c r="PCD36" s="292"/>
      <c r="PCE36" s="292"/>
      <c r="PCF36" s="292"/>
      <c r="PCG36" s="292"/>
      <c r="PCH36" s="292"/>
      <c r="PCI36" s="292"/>
      <c r="PCJ36" s="292"/>
      <c r="PCK36" s="292"/>
      <c r="PCL36" s="292"/>
      <c r="PCM36" s="292"/>
      <c r="PCN36" s="292"/>
      <c r="PCO36" s="292"/>
      <c r="PCP36" s="292"/>
      <c r="PCQ36" s="292"/>
      <c r="PCR36" s="292"/>
      <c r="PCS36" s="292"/>
      <c r="PCT36" s="292"/>
      <c r="PCU36" s="292"/>
      <c r="PCV36" s="292"/>
      <c r="PCW36" s="292"/>
      <c r="PCX36" s="292"/>
      <c r="PCY36" s="292"/>
      <c r="PCZ36" s="292"/>
      <c r="PDA36" s="292"/>
      <c r="PDB36" s="292"/>
      <c r="PDC36" s="292"/>
      <c r="PDD36" s="292"/>
      <c r="PDE36" s="292"/>
      <c r="PDF36" s="292"/>
      <c r="PDG36" s="292"/>
      <c r="PDH36" s="292"/>
      <c r="PDI36" s="292"/>
      <c r="PDJ36" s="292"/>
      <c r="PDK36" s="292"/>
      <c r="PDL36" s="292"/>
      <c r="PDM36" s="292"/>
      <c r="PDN36" s="292"/>
      <c r="PDO36" s="292"/>
      <c r="PDP36" s="292"/>
      <c r="PDQ36" s="292"/>
      <c r="PDR36" s="292"/>
      <c r="PDS36" s="292"/>
      <c r="PDT36" s="292"/>
      <c r="PDU36" s="292"/>
      <c r="PDV36" s="292"/>
      <c r="PDW36" s="292"/>
      <c r="PDX36" s="292"/>
      <c r="PDY36" s="292"/>
      <c r="PDZ36" s="292"/>
      <c r="PEA36" s="292"/>
      <c r="PEB36" s="292"/>
      <c r="PEC36" s="292"/>
      <c r="PED36" s="292"/>
      <c r="PEE36" s="292"/>
      <c r="PEF36" s="292"/>
      <c r="PEG36" s="292"/>
      <c r="PEH36" s="292"/>
      <c r="PEI36" s="292"/>
      <c r="PEJ36" s="292"/>
      <c r="PEK36" s="292"/>
      <c r="PEL36" s="292"/>
      <c r="PEM36" s="292"/>
      <c r="PEN36" s="292"/>
      <c r="PEO36" s="292"/>
      <c r="PEP36" s="292"/>
      <c r="PEQ36" s="292"/>
      <c r="PER36" s="292"/>
      <c r="PES36" s="292"/>
      <c r="PET36" s="292"/>
      <c r="PEU36" s="292"/>
      <c r="PEV36" s="292"/>
      <c r="PEW36" s="292"/>
      <c r="PEX36" s="292"/>
      <c r="PEY36" s="292"/>
      <c r="PEZ36" s="292"/>
      <c r="PFA36" s="292"/>
      <c r="PFB36" s="292"/>
      <c r="PFC36" s="292"/>
      <c r="PFD36" s="292"/>
      <c r="PFE36" s="292"/>
      <c r="PFF36" s="292"/>
      <c r="PFG36" s="292"/>
      <c r="PFH36" s="292"/>
      <c r="PFI36" s="292"/>
      <c r="PFJ36" s="292"/>
      <c r="PFK36" s="292"/>
      <c r="PFL36" s="292"/>
      <c r="PFM36" s="292"/>
      <c r="PFN36" s="292"/>
      <c r="PFO36" s="292"/>
      <c r="PFP36" s="292"/>
      <c r="PFQ36" s="292"/>
      <c r="PFR36" s="292"/>
      <c r="PFS36" s="292"/>
      <c r="PFT36" s="292"/>
      <c r="PFU36" s="292"/>
      <c r="PFV36" s="292"/>
      <c r="PFW36" s="292"/>
      <c r="PFX36" s="292"/>
      <c r="PFY36" s="292"/>
      <c r="PFZ36" s="292"/>
      <c r="PGA36" s="292"/>
      <c r="PGB36" s="292"/>
      <c r="PGC36" s="292"/>
      <c r="PGD36" s="292"/>
      <c r="PGE36" s="292"/>
      <c r="PGF36" s="292"/>
      <c r="PGG36" s="292"/>
      <c r="PGH36" s="292"/>
      <c r="PGI36" s="292"/>
      <c r="PGJ36" s="292"/>
      <c r="PGK36" s="292"/>
      <c r="PGL36" s="292"/>
      <c r="PGM36" s="292"/>
      <c r="PGN36" s="292"/>
      <c r="PGO36" s="292"/>
      <c r="PGP36" s="292"/>
      <c r="PGQ36" s="292"/>
      <c r="PGR36" s="292"/>
      <c r="PGS36" s="292"/>
      <c r="PGT36" s="292"/>
      <c r="PGU36" s="292"/>
      <c r="PGV36" s="292"/>
      <c r="PGW36" s="292"/>
      <c r="PGX36" s="292"/>
      <c r="PGY36" s="292"/>
      <c r="PGZ36" s="292"/>
      <c r="PHA36" s="292"/>
      <c r="PHB36" s="292"/>
      <c r="PHC36" s="292"/>
      <c r="PHD36" s="292"/>
      <c r="PHE36" s="292"/>
      <c r="PHF36" s="292"/>
      <c r="PHG36" s="292"/>
      <c r="PHH36" s="292"/>
      <c r="PHI36" s="292"/>
      <c r="PHJ36" s="292"/>
      <c r="PHK36" s="292"/>
      <c r="PHL36" s="292"/>
      <c r="PHM36" s="292"/>
      <c r="PHN36" s="292"/>
      <c r="PHO36" s="292"/>
      <c r="PHP36" s="292"/>
      <c r="PHQ36" s="292"/>
      <c r="PHR36" s="292"/>
      <c r="PHS36" s="292"/>
      <c r="PHT36" s="292"/>
      <c r="PHU36" s="292"/>
      <c r="PHV36" s="292"/>
      <c r="PHW36" s="292"/>
      <c r="PHX36" s="292"/>
      <c r="PHY36" s="292"/>
      <c r="PHZ36" s="292"/>
      <c r="PIA36" s="292"/>
      <c r="PIB36" s="292"/>
      <c r="PIC36" s="292"/>
      <c r="PID36" s="292"/>
      <c r="PIE36" s="292"/>
      <c r="PIF36" s="292"/>
      <c r="PIG36" s="292"/>
      <c r="PIH36" s="292"/>
      <c r="PII36" s="292"/>
      <c r="PIJ36" s="292"/>
      <c r="PIK36" s="292"/>
      <c r="PIL36" s="292"/>
      <c r="PIM36" s="292"/>
      <c r="PIN36" s="292"/>
      <c r="PIO36" s="292"/>
      <c r="PIP36" s="292"/>
      <c r="PIQ36" s="292"/>
      <c r="PIR36" s="292"/>
      <c r="PIS36" s="292"/>
      <c r="PIT36" s="292"/>
      <c r="PIU36" s="292"/>
      <c r="PIV36" s="292"/>
      <c r="PIW36" s="292"/>
      <c r="PIX36" s="292"/>
      <c r="PIY36" s="292"/>
      <c r="PIZ36" s="292"/>
      <c r="PJA36" s="292"/>
      <c r="PJB36" s="292"/>
      <c r="PJC36" s="292"/>
      <c r="PJD36" s="292"/>
      <c r="PJE36" s="292"/>
      <c r="PJF36" s="292"/>
      <c r="PJG36" s="292"/>
      <c r="PJH36" s="292"/>
      <c r="PJI36" s="292"/>
      <c r="PJJ36" s="292"/>
      <c r="PJK36" s="292"/>
      <c r="PJL36" s="292"/>
      <c r="PJM36" s="292"/>
      <c r="PJN36" s="292"/>
      <c r="PJO36" s="292"/>
      <c r="PJP36" s="292"/>
      <c r="PJQ36" s="292"/>
      <c r="PJR36" s="292"/>
      <c r="PJS36" s="292"/>
      <c r="PJT36" s="292"/>
      <c r="PJU36" s="292"/>
      <c r="PJV36" s="292"/>
      <c r="PJW36" s="292"/>
      <c r="PJX36" s="292"/>
      <c r="PJY36" s="292"/>
      <c r="PJZ36" s="292"/>
      <c r="PKA36" s="292"/>
      <c r="PKB36" s="292"/>
      <c r="PKC36" s="292"/>
      <c r="PKD36" s="292"/>
      <c r="PKE36" s="292"/>
      <c r="PKF36" s="292"/>
      <c r="PKG36" s="292"/>
      <c r="PKH36" s="292"/>
      <c r="PKI36" s="292"/>
      <c r="PKJ36" s="292"/>
      <c r="PKK36" s="292"/>
      <c r="PKL36" s="292"/>
      <c r="PKM36" s="292"/>
      <c r="PKN36" s="292"/>
      <c r="PKO36" s="292"/>
      <c r="PKP36" s="292"/>
      <c r="PKQ36" s="292"/>
      <c r="PKR36" s="292"/>
      <c r="PKS36" s="292"/>
      <c r="PKT36" s="292"/>
      <c r="PKU36" s="292"/>
      <c r="PKV36" s="292"/>
      <c r="PKW36" s="292"/>
      <c r="PKX36" s="292"/>
      <c r="PKY36" s="292"/>
      <c r="PKZ36" s="292"/>
      <c r="PLA36" s="292"/>
      <c r="PLB36" s="292"/>
      <c r="PLC36" s="292"/>
      <c r="PLD36" s="292"/>
      <c r="PLE36" s="292"/>
      <c r="PLF36" s="292"/>
      <c r="PLG36" s="292"/>
      <c r="PLH36" s="292"/>
      <c r="PLI36" s="292"/>
      <c r="PLJ36" s="292"/>
      <c r="PLK36" s="292"/>
      <c r="PLL36" s="292"/>
      <c r="PLM36" s="292"/>
      <c r="PLN36" s="292"/>
      <c r="PLO36" s="292"/>
      <c r="PLP36" s="292"/>
      <c r="PLQ36" s="292"/>
      <c r="PLR36" s="292"/>
      <c r="PLS36" s="292"/>
      <c r="PLT36" s="292"/>
      <c r="PLU36" s="292"/>
      <c r="PLV36" s="292"/>
      <c r="PLW36" s="292"/>
      <c r="PLX36" s="292"/>
      <c r="PLY36" s="292"/>
      <c r="PLZ36" s="292"/>
      <c r="PMA36" s="292"/>
      <c r="PMB36" s="292"/>
      <c r="PMC36" s="292"/>
      <c r="PMD36" s="292"/>
      <c r="PME36" s="292"/>
      <c r="PMF36" s="292"/>
      <c r="PMG36" s="292"/>
      <c r="PMH36" s="292"/>
      <c r="PMI36" s="292"/>
      <c r="PMJ36" s="292"/>
      <c r="PMK36" s="292"/>
      <c r="PML36" s="292"/>
      <c r="PMM36" s="292"/>
      <c r="PMN36" s="292"/>
      <c r="PMO36" s="292"/>
      <c r="PMP36" s="292"/>
      <c r="PMQ36" s="292"/>
      <c r="PMR36" s="292"/>
      <c r="PMS36" s="292"/>
      <c r="PMT36" s="292"/>
      <c r="PMU36" s="292"/>
      <c r="PMV36" s="292"/>
      <c r="PMW36" s="292"/>
      <c r="PMX36" s="292"/>
      <c r="PMY36" s="292"/>
      <c r="PMZ36" s="292"/>
      <c r="PNA36" s="292"/>
      <c r="PNB36" s="292"/>
      <c r="PNC36" s="292"/>
      <c r="PND36" s="292"/>
      <c r="PNE36" s="292"/>
      <c r="PNF36" s="292"/>
      <c r="PNG36" s="292"/>
      <c r="PNH36" s="292"/>
      <c r="PNI36" s="292"/>
      <c r="PNJ36" s="292"/>
      <c r="PNK36" s="292"/>
      <c r="PNL36" s="292"/>
      <c r="PNM36" s="292"/>
      <c r="PNN36" s="292"/>
      <c r="PNO36" s="292"/>
      <c r="PNP36" s="292"/>
      <c r="PNQ36" s="292"/>
      <c r="PNR36" s="292"/>
      <c r="PNS36" s="292"/>
      <c r="PNT36" s="292"/>
      <c r="PNU36" s="292"/>
      <c r="PNV36" s="292"/>
      <c r="PNW36" s="292"/>
      <c r="PNX36" s="292"/>
      <c r="PNY36" s="292"/>
      <c r="PNZ36" s="292"/>
      <c r="POA36" s="292"/>
      <c r="POB36" s="292"/>
      <c r="POC36" s="292"/>
      <c r="POD36" s="292"/>
      <c r="POE36" s="292"/>
      <c r="POF36" s="292"/>
      <c r="POG36" s="292"/>
      <c r="POH36" s="292"/>
      <c r="POI36" s="292"/>
      <c r="POJ36" s="292"/>
      <c r="POK36" s="292"/>
      <c r="POL36" s="292"/>
      <c r="POM36" s="292"/>
      <c r="PON36" s="292"/>
      <c r="POO36" s="292"/>
      <c r="POP36" s="292"/>
      <c r="POQ36" s="292"/>
      <c r="POR36" s="292"/>
      <c r="POS36" s="292"/>
      <c r="POT36" s="292"/>
      <c r="POU36" s="292"/>
      <c r="POV36" s="292"/>
      <c r="POW36" s="292"/>
      <c r="POX36" s="292"/>
      <c r="POY36" s="292"/>
      <c r="POZ36" s="292"/>
      <c r="PPA36" s="292"/>
      <c r="PPB36" s="292"/>
      <c r="PPC36" s="292"/>
      <c r="PPD36" s="292"/>
      <c r="PPE36" s="292"/>
      <c r="PPF36" s="292"/>
      <c r="PPG36" s="292"/>
      <c r="PPH36" s="292"/>
      <c r="PPI36" s="292"/>
      <c r="PPJ36" s="292"/>
      <c r="PPK36" s="292"/>
      <c r="PPL36" s="292"/>
      <c r="PPM36" s="292"/>
      <c r="PPN36" s="292"/>
      <c r="PPO36" s="292"/>
      <c r="PPP36" s="292"/>
      <c r="PPQ36" s="292"/>
      <c r="PPR36" s="292"/>
      <c r="PPS36" s="292"/>
      <c r="PPT36" s="292"/>
      <c r="PPU36" s="292"/>
      <c r="PPV36" s="292"/>
      <c r="PPW36" s="292"/>
      <c r="PPX36" s="292"/>
      <c r="PPY36" s="292"/>
      <c r="PPZ36" s="292"/>
      <c r="PQA36" s="292"/>
      <c r="PQB36" s="292"/>
      <c r="PQC36" s="292"/>
      <c r="PQD36" s="292"/>
      <c r="PQE36" s="292"/>
      <c r="PQF36" s="292"/>
      <c r="PQG36" s="292"/>
      <c r="PQH36" s="292"/>
      <c r="PQI36" s="292"/>
      <c r="PQJ36" s="292"/>
      <c r="PQK36" s="292"/>
      <c r="PQL36" s="292"/>
      <c r="PQM36" s="292"/>
      <c r="PQN36" s="292"/>
      <c r="PQO36" s="292"/>
      <c r="PQP36" s="292"/>
      <c r="PQQ36" s="292"/>
      <c r="PQR36" s="292"/>
      <c r="PQS36" s="292"/>
      <c r="PQT36" s="292"/>
      <c r="PQU36" s="292"/>
      <c r="PQV36" s="292"/>
      <c r="PQW36" s="292"/>
      <c r="PQX36" s="292"/>
      <c r="PQY36" s="292"/>
      <c r="PQZ36" s="292"/>
      <c r="PRA36" s="292"/>
      <c r="PRB36" s="292"/>
      <c r="PRC36" s="292"/>
      <c r="PRD36" s="292"/>
      <c r="PRE36" s="292"/>
      <c r="PRF36" s="292"/>
      <c r="PRG36" s="292"/>
      <c r="PRH36" s="292"/>
      <c r="PRI36" s="292"/>
      <c r="PRJ36" s="292"/>
      <c r="PRK36" s="292"/>
      <c r="PRL36" s="292"/>
      <c r="PRM36" s="292"/>
      <c r="PRN36" s="292"/>
      <c r="PRO36" s="292"/>
      <c r="PRP36" s="292"/>
      <c r="PRQ36" s="292"/>
      <c r="PRR36" s="292"/>
      <c r="PRS36" s="292"/>
      <c r="PRT36" s="292"/>
      <c r="PRU36" s="292"/>
      <c r="PRV36" s="292"/>
      <c r="PRW36" s="292"/>
      <c r="PRX36" s="292"/>
      <c r="PRY36" s="292"/>
      <c r="PRZ36" s="292"/>
      <c r="PSA36" s="292"/>
      <c r="PSB36" s="292"/>
      <c r="PSC36" s="292"/>
      <c r="PSD36" s="292"/>
      <c r="PSE36" s="292"/>
      <c r="PSF36" s="292"/>
      <c r="PSG36" s="292"/>
      <c r="PSH36" s="292"/>
      <c r="PSI36" s="292"/>
      <c r="PSJ36" s="292"/>
      <c r="PSK36" s="292"/>
      <c r="PSL36" s="292"/>
      <c r="PSM36" s="292"/>
      <c r="PSN36" s="292"/>
      <c r="PSO36" s="292"/>
      <c r="PSP36" s="292"/>
      <c r="PSQ36" s="292"/>
      <c r="PSR36" s="292"/>
      <c r="PSS36" s="292"/>
      <c r="PST36" s="292"/>
      <c r="PSU36" s="292"/>
      <c r="PSV36" s="292"/>
      <c r="PSW36" s="292"/>
      <c r="PSX36" s="292"/>
      <c r="PSY36" s="292"/>
      <c r="PSZ36" s="292"/>
      <c r="PTA36" s="292"/>
      <c r="PTB36" s="292"/>
      <c r="PTC36" s="292"/>
      <c r="PTD36" s="292"/>
      <c r="PTE36" s="292"/>
      <c r="PTF36" s="292"/>
      <c r="PTG36" s="292"/>
      <c r="PTH36" s="292"/>
      <c r="PTI36" s="292"/>
      <c r="PTJ36" s="292"/>
      <c r="PTK36" s="292"/>
      <c r="PTL36" s="292"/>
      <c r="PTM36" s="292"/>
      <c r="PTN36" s="292"/>
      <c r="PTO36" s="292"/>
      <c r="PTP36" s="292"/>
      <c r="PTQ36" s="292"/>
      <c r="PTR36" s="292"/>
      <c r="PTS36" s="292"/>
      <c r="PTT36" s="292"/>
      <c r="PTU36" s="292"/>
      <c r="PTV36" s="292"/>
      <c r="PTW36" s="292"/>
      <c r="PTX36" s="292"/>
      <c r="PTY36" s="292"/>
      <c r="PTZ36" s="292"/>
      <c r="PUA36" s="292"/>
      <c r="PUB36" s="292"/>
      <c r="PUC36" s="292"/>
      <c r="PUD36" s="292"/>
      <c r="PUE36" s="292"/>
      <c r="PUF36" s="292"/>
      <c r="PUG36" s="292"/>
      <c r="PUH36" s="292"/>
      <c r="PUI36" s="292"/>
      <c r="PUJ36" s="292"/>
      <c r="PUK36" s="292"/>
      <c r="PUL36" s="292"/>
      <c r="PUM36" s="292"/>
      <c r="PUN36" s="292"/>
      <c r="PUO36" s="292"/>
      <c r="PUP36" s="292"/>
      <c r="PUQ36" s="292"/>
      <c r="PUR36" s="292"/>
      <c r="PUS36" s="292"/>
      <c r="PUT36" s="292"/>
      <c r="PUU36" s="292"/>
      <c r="PUV36" s="292"/>
      <c r="PUW36" s="292"/>
      <c r="PUX36" s="292"/>
      <c r="PUY36" s="292"/>
      <c r="PUZ36" s="292"/>
      <c r="PVA36" s="292"/>
      <c r="PVB36" s="292"/>
      <c r="PVC36" s="292"/>
      <c r="PVD36" s="292"/>
      <c r="PVE36" s="292"/>
      <c r="PVF36" s="292"/>
      <c r="PVG36" s="292"/>
      <c r="PVH36" s="292"/>
      <c r="PVI36" s="292"/>
      <c r="PVJ36" s="292"/>
      <c r="PVK36" s="292"/>
      <c r="PVL36" s="292"/>
      <c r="PVM36" s="292"/>
      <c r="PVN36" s="292"/>
      <c r="PVO36" s="292"/>
      <c r="PVP36" s="292"/>
      <c r="PVQ36" s="292"/>
      <c r="PVR36" s="292"/>
      <c r="PVS36" s="292"/>
      <c r="PVT36" s="292"/>
      <c r="PVU36" s="292"/>
      <c r="PVV36" s="292"/>
      <c r="PVW36" s="292"/>
      <c r="PVX36" s="292"/>
      <c r="PVY36" s="292"/>
      <c r="PVZ36" s="292"/>
      <c r="PWA36" s="292"/>
      <c r="PWB36" s="292"/>
      <c r="PWC36" s="292"/>
      <c r="PWD36" s="292"/>
      <c r="PWE36" s="292"/>
      <c r="PWF36" s="292"/>
      <c r="PWG36" s="292"/>
      <c r="PWH36" s="292"/>
      <c r="PWI36" s="292"/>
      <c r="PWJ36" s="292"/>
      <c r="PWK36" s="292"/>
      <c r="PWL36" s="292"/>
      <c r="PWM36" s="292"/>
      <c r="PWN36" s="292"/>
      <c r="PWO36" s="292"/>
      <c r="PWP36" s="292"/>
      <c r="PWQ36" s="292"/>
      <c r="PWR36" s="292"/>
      <c r="PWS36" s="292"/>
      <c r="PWT36" s="292"/>
      <c r="PWU36" s="292"/>
      <c r="PWV36" s="292"/>
      <c r="PWW36" s="292"/>
      <c r="PWX36" s="292"/>
      <c r="PWY36" s="292"/>
      <c r="PWZ36" s="292"/>
      <c r="PXA36" s="292"/>
      <c r="PXB36" s="292"/>
      <c r="PXC36" s="292"/>
      <c r="PXD36" s="292"/>
      <c r="PXE36" s="292"/>
      <c r="PXF36" s="292"/>
      <c r="PXG36" s="292"/>
      <c r="PXH36" s="292"/>
      <c r="PXI36" s="292"/>
      <c r="PXJ36" s="292"/>
      <c r="PXK36" s="292"/>
      <c r="PXL36" s="292"/>
      <c r="PXM36" s="292"/>
      <c r="PXN36" s="292"/>
      <c r="PXO36" s="292"/>
      <c r="PXP36" s="292"/>
      <c r="PXQ36" s="292"/>
      <c r="PXR36" s="292"/>
      <c r="PXS36" s="292"/>
      <c r="PXT36" s="292"/>
      <c r="PXU36" s="292"/>
      <c r="PXV36" s="292"/>
      <c r="PXW36" s="292"/>
      <c r="PXX36" s="292"/>
      <c r="PXY36" s="292"/>
      <c r="PXZ36" s="292"/>
      <c r="PYA36" s="292"/>
      <c r="PYB36" s="292"/>
      <c r="PYC36" s="292"/>
      <c r="PYD36" s="292"/>
      <c r="PYE36" s="292"/>
      <c r="PYF36" s="292"/>
      <c r="PYG36" s="292"/>
      <c r="PYH36" s="292"/>
      <c r="PYI36" s="292"/>
      <c r="PYJ36" s="292"/>
      <c r="PYK36" s="292"/>
      <c r="PYL36" s="292"/>
      <c r="PYM36" s="292"/>
      <c r="PYN36" s="292"/>
      <c r="PYO36" s="292"/>
      <c r="PYP36" s="292"/>
      <c r="PYQ36" s="292"/>
      <c r="PYR36" s="292"/>
      <c r="PYS36" s="292"/>
      <c r="PYT36" s="292"/>
      <c r="PYU36" s="292"/>
      <c r="PYV36" s="292"/>
      <c r="PYW36" s="292"/>
      <c r="PYX36" s="292"/>
      <c r="PYY36" s="292"/>
      <c r="PYZ36" s="292"/>
      <c r="PZA36" s="292"/>
      <c r="PZB36" s="292"/>
      <c r="PZC36" s="292"/>
      <c r="PZD36" s="292"/>
      <c r="PZE36" s="292"/>
      <c r="PZF36" s="292"/>
      <c r="PZG36" s="292"/>
      <c r="PZH36" s="292"/>
      <c r="PZI36" s="292"/>
      <c r="PZJ36" s="292"/>
      <c r="PZK36" s="292"/>
      <c r="PZL36" s="292"/>
      <c r="PZM36" s="292"/>
      <c r="PZN36" s="292"/>
      <c r="PZO36" s="292"/>
      <c r="PZP36" s="292"/>
      <c r="PZQ36" s="292"/>
      <c r="PZR36" s="292"/>
      <c r="PZS36" s="292"/>
      <c r="PZT36" s="292"/>
      <c r="PZU36" s="292"/>
      <c r="PZV36" s="292"/>
      <c r="PZW36" s="292"/>
      <c r="PZX36" s="292"/>
      <c r="PZY36" s="292"/>
      <c r="PZZ36" s="292"/>
      <c r="QAA36" s="292"/>
      <c r="QAB36" s="292"/>
      <c r="QAC36" s="292"/>
      <c r="QAD36" s="292"/>
      <c r="QAE36" s="292"/>
      <c r="QAF36" s="292"/>
      <c r="QAG36" s="292"/>
      <c r="QAH36" s="292"/>
      <c r="QAI36" s="292"/>
      <c r="QAJ36" s="292"/>
      <c r="QAK36" s="292"/>
      <c r="QAL36" s="292"/>
      <c r="QAM36" s="292"/>
      <c r="QAN36" s="292"/>
      <c r="QAO36" s="292"/>
      <c r="QAP36" s="292"/>
      <c r="QAQ36" s="292"/>
      <c r="QAR36" s="292"/>
      <c r="QAS36" s="292"/>
      <c r="QAT36" s="292"/>
      <c r="QAU36" s="292"/>
      <c r="QAV36" s="292"/>
      <c r="QAW36" s="292"/>
      <c r="QAX36" s="292"/>
      <c r="QAY36" s="292"/>
      <c r="QAZ36" s="292"/>
      <c r="QBA36" s="292"/>
      <c r="QBB36" s="292"/>
      <c r="QBC36" s="292"/>
      <c r="QBD36" s="292"/>
      <c r="QBE36" s="292"/>
      <c r="QBF36" s="292"/>
      <c r="QBG36" s="292"/>
      <c r="QBH36" s="292"/>
      <c r="QBI36" s="292"/>
      <c r="QBJ36" s="292"/>
      <c r="QBK36" s="292"/>
      <c r="QBL36" s="292"/>
      <c r="QBM36" s="292"/>
      <c r="QBN36" s="292"/>
      <c r="QBO36" s="292"/>
      <c r="QBP36" s="292"/>
      <c r="QBQ36" s="292"/>
      <c r="QBR36" s="292"/>
      <c r="QBS36" s="292"/>
      <c r="QBT36" s="292"/>
      <c r="QBU36" s="292"/>
      <c r="QBV36" s="292"/>
      <c r="QBW36" s="292"/>
      <c r="QBX36" s="292"/>
      <c r="QBY36" s="292"/>
      <c r="QBZ36" s="292"/>
      <c r="QCA36" s="292"/>
      <c r="QCB36" s="292"/>
      <c r="QCC36" s="292"/>
      <c r="QCD36" s="292"/>
      <c r="QCE36" s="292"/>
      <c r="QCF36" s="292"/>
      <c r="QCG36" s="292"/>
      <c r="QCH36" s="292"/>
      <c r="QCI36" s="292"/>
      <c r="QCJ36" s="292"/>
      <c r="QCK36" s="292"/>
      <c r="QCL36" s="292"/>
      <c r="QCM36" s="292"/>
      <c r="QCN36" s="292"/>
      <c r="QCO36" s="292"/>
      <c r="QCP36" s="292"/>
      <c r="QCQ36" s="292"/>
      <c r="QCR36" s="292"/>
      <c r="QCS36" s="292"/>
      <c r="QCT36" s="292"/>
      <c r="QCU36" s="292"/>
      <c r="QCV36" s="292"/>
      <c r="QCW36" s="292"/>
      <c r="QCX36" s="292"/>
      <c r="QCY36" s="292"/>
      <c r="QCZ36" s="292"/>
      <c r="QDA36" s="292"/>
      <c r="QDB36" s="292"/>
      <c r="QDC36" s="292"/>
      <c r="QDD36" s="292"/>
      <c r="QDE36" s="292"/>
      <c r="QDF36" s="292"/>
      <c r="QDG36" s="292"/>
      <c r="QDH36" s="292"/>
      <c r="QDI36" s="292"/>
      <c r="QDJ36" s="292"/>
      <c r="QDK36" s="292"/>
      <c r="QDL36" s="292"/>
      <c r="QDM36" s="292"/>
      <c r="QDN36" s="292"/>
      <c r="QDO36" s="292"/>
      <c r="QDP36" s="292"/>
      <c r="QDQ36" s="292"/>
      <c r="QDR36" s="292"/>
      <c r="QDS36" s="292"/>
      <c r="QDT36" s="292"/>
      <c r="QDU36" s="292"/>
      <c r="QDV36" s="292"/>
      <c r="QDW36" s="292"/>
      <c r="QDX36" s="292"/>
      <c r="QDY36" s="292"/>
      <c r="QDZ36" s="292"/>
      <c r="QEA36" s="292"/>
      <c r="QEB36" s="292"/>
      <c r="QEC36" s="292"/>
      <c r="QED36" s="292"/>
      <c r="QEE36" s="292"/>
      <c r="QEF36" s="292"/>
      <c r="QEG36" s="292"/>
      <c r="QEH36" s="292"/>
      <c r="QEI36" s="292"/>
      <c r="QEJ36" s="292"/>
      <c r="QEK36" s="292"/>
      <c r="QEL36" s="292"/>
      <c r="QEM36" s="292"/>
      <c r="QEN36" s="292"/>
      <c r="QEO36" s="292"/>
      <c r="QEP36" s="292"/>
      <c r="QEQ36" s="292"/>
      <c r="QER36" s="292"/>
      <c r="QES36" s="292"/>
      <c r="QET36" s="292"/>
      <c r="QEU36" s="292"/>
      <c r="QEV36" s="292"/>
      <c r="QEW36" s="292"/>
      <c r="QEX36" s="292"/>
      <c r="QEY36" s="292"/>
      <c r="QEZ36" s="292"/>
      <c r="QFA36" s="292"/>
      <c r="QFB36" s="292"/>
      <c r="QFC36" s="292"/>
      <c r="QFD36" s="292"/>
      <c r="QFE36" s="292"/>
      <c r="QFF36" s="292"/>
      <c r="QFG36" s="292"/>
      <c r="QFH36" s="292"/>
      <c r="QFI36" s="292"/>
      <c r="QFJ36" s="292"/>
      <c r="QFK36" s="292"/>
      <c r="QFL36" s="292"/>
      <c r="QFM36" s="292"/>
      <c r="QFN36" s="292"/>
      <c r="QFO36" s="292"/>
      <c r="QFP36" s="292"/>
      <c r="QFQ36" s="292"/>
      <c r="QFR36" s="292"/>
      <c r="QFS36" s="292"/>
      <c r="QFT36" s="292"/>
      <c r="QFU36" s="292"/>
      <c r="QFV36" s="292"/>
      <c r="QFW36" s="292"/>
      <c r="QFX36" s="292"/>
      <c r="QFY36" s="292"/>
      <c r="QFZ36" s="292"/>
      <c r="QGA36" s="292"/>
      <c r="QGB36" s="292"/>
      <c r="QGC36" s="292"/>
      <c r="QGD36" s="292"/>
      <c r="QGE36" s="292"/>
      <c r="QGF36" s="292"/>
      <c r="QGG36" s="292"/>
      <c r="QGH36" s="292"/>
      <c r="QGI36" s="292"/>
      <c r="QGJ36" s="292"/>
      <c r="QGK36" s="292"/>
      <c r="QGL36" s="292"/>
      <c r="QGM36" s="292"/>
      <c r="QGN36" s="292"/>
      <c r="QGO36" s="292"/>
      <c r="QGP36" s="292"/>
      <c r="QGQ36" s="292"/>
      <c r="QGR36" s="292"/>
      <c r="QGS36" s="292"/>
      <c r="QGT36" s="292"/>
      <c r="QGU36" s="292"/>
      <c r="QGV36" s="292"/>
      <c r="QGW36" s="292"/>
      <c r="QGX36" s="292"/>
      <c r="QGY36" s="292"/>
      <c r="QGZ36" s="292"/>
      <c r="QHA36" s="292"/>
      <c r="QHB36" s="292"/>
      <c r="QHC36" s="292"/>
      <c r="QHD36" s="292"/>
      <c r="QHE36" s="292"/>
      <c r="QHF36" s="292"/>
      <c r="QHG36" s="292"/>
      <c r="QHH36" s="292"/>
      <c r="QHI36" s="292"/>
      <c r="QHJ36" s="292"/>
      <c r="QHK36" s="292"/>
      <c r="QHL36" s="292"/>
      <c r="QHM36" s="292"/>
      <c r="QHN36" s="292"/>
      <c r="QHO36" s="292"/>
      <c r="QHP36" s="292"/>
      <c r="QHQ36" s="292"/>
      <c r="QHR36" s="292"/>
      <c r="QHS36" s="292"/>
      <c r="QHT36" s="292"/>
      <c r="QHU36" s="292"/>
      <c r="QHV36" s="292"/>
      <c r="QHW36" s="292"/>
      <c r="QHX36" s="292"/>
      <c r="QHY36" s="292"/>
      <c r="QHZ36" s="292"/>
      <c r="QIA36" s="292"/>
      <c r="QIB36" s="292"/>
      <c r="QIC36" s="292"/>
      <c r="QID36" s="292"/>
      <c r="QIE36" s="292"/>
      <c r="QIF36" s="292"/>
      <c r="QIG36" s="292"/>
      <c r="QIH36" s="292"/>
      <c r="QII36" s="292"/>
      <c r="QIJ36" s="292"/>
      <c r="QIK36" s="292"/>
      <c r="QIL36" s="292"/>
      <c r="QIM36" s="292"/>
      <c r="QIN36" s="292"/>
      <c r="QIO36" s="292"/>
      <c r="QIP36" s="292"/>
      <c r="QIQ36" s="292"/>
      <c r="QIR36" s="292"/>
      <c r="QIS36" s="292"/>
      <c r="QIT36" s="292"/>
      <c r="QIU36" s="292"/>
      <c r="QIV36" s="292"/>
      <c r="QIW36" s="292"/>
      <c r="QIX36" s="292"/>
      <c r="QIY36" s="292"/>
      <c r="QIZ36" s="292"/>
      <c r="QJA36" s="292"/>
      <c r="QJB36" s="292"/>
      <c r="QJC36" s="292"/>
      <c r="QJD36" s="292"/>
      <c r="QJE36" s="292"/>
      <c r="QJF36" s="292"/>
      <c r="QJG36" s="292"/>
      <c r="QJH36" s="292"/>
      <c r="QJI36" s="292"/>
      <c r="QJJ36" s="292"/>
      <c r="QJK36" s="292"/>
      <c r="QJL36" s="292"/>
      <c r="QJM36" s="292"/>
      <c r="QJN36" s="292"/>
      <c r="QJO36" s="292"/>
      <c r="QJP36" s="292"/>
      <c r="QJQ36" s="292"/>
      <c r="QJR36" s="292"/>
      <c r="QJS36" s="292"/>
      <c r="QJT36" s="292"/>
      <c r="QJU36" s="292"/>
      <c r="QJV36" s="292"/>
      <c r="QJW36" s="292"/>
      <c r="QJX36" s="292"/>
      <c r="QJY36" s="292"/>
      <c r="QJZ36" s="292"/>
      <c r="QKA36" s="292"/>
      <c r="QKB36" s="292"/>
      <c r="QKC36" s="292"/>
      <c r="QKD36" s="292"/>
      <c r="QKE36" s="292"/>
      <c r="QKF36" s="292"/>
      <c r="QKG36" s="292"/>
      <c r="QKH36" s="292"/>
      <c r="QKI36" s="292"/>
      <c r="QKJ36" s="292"/>
      <c r="QKK36" s="292"/>
      <c r="QKL36" s="292"/>
      <c r="QKM36" s="292"/>
      <c r="QKN36" s="292"/>
      <c r="QKO36" s="292"/>
      <c r="QKP36" s="292"/>
      <c r="QKQ36" s="292"/>
      <c r="QKR36" s="292"/>
      <c r="QKS36" s="292"/>
      <c r="QKT36" s="292"/>
      <c r="QKU36" s="292"/>
      <c r="QKV36" s="292"/>
      <c r="QKW36" s="292"/>
      <c r="QKX36" s="292"/>
      <c r="QKY36" s="292"/>
      <c r="QKZ36" s="292"/>
      <c r="QLA36" s="292"/>
      <c r="QLB36" s="292"/>
      <c r="QLC36" s="292"/>
      <c r="QLD36" s="292"/>
      <c r="QLE36" s="292"/>
      <c r="QLF36" s="292"/>
      <c r="QLG36" s="292"/>
      <c r="QLH36" s="292"/>
      <c r="QLI36" s="292"/>
      <c r="QLJ36" s="292"/>
      <c r="QLK36" s="292"/>
      <c r="QLL36" s="292"/>
      <c r="QLM36" s="292"/>
      <c r="QLN36" s="292"/>
      <c r="QLO36" s="292"/>
      <c r="QLP36" s="292"/>
      <c r="QLQ36" s="292"/>
      <c r="QLR36" s="292"/>
      <c r="QLS36" s="292"/>
      <c r="QLT36" s="292"/>
      <c r="QLU36" s="292"/>
      <c r="QLV36" s="292"/>
      <c r="QLW36" s="292"/>
      <c r="QLX36" s="292"/>
      <c r="QLY36" s="292"/>
      <c r="QLZ36" s="292"/>
      <c r="QMA36" s="292"/>
      <c r="QMB36" s="292"/>
      <c r="QMC36" s="292"/>
      <c r="QMD36" s="292"/>
      <c r="QME36" s="292"/>
      <c r="QMF36" s="292"/>
      <c r="QMG36" s="292"/>
      <c r="QMH36" s="292"/>
      <c r="QMI36" s="292"/>
      <c r="QMJ36" s="292"/>
      <c r="QMK36" s="292"/>
      <c r="QML36" s="292"/>
      <c r="QMM36" s="292"/>
      <c r="QMN36" s="292"/>
      <c r="QMO36" s="292"/>
      <c r="QMP36" s="292"/>
      <c r="QMQ36" s="292"/>
      <c r="QMR36" s="292"/>
      <c r="QMS36" s="292"/>
      <c r="QMT36" s="292"/>
      <c r="QMU36" s="292"/>
      <c r="QMV36" s="292"/>
      <c r="QMW36" s="292"/>
      <c r="QMX36" s="292"/>
      <c r="QMY36" s="292"/>
      <c r="QMZ36" s="292"/>
      <c r="QNA36" s="292"/>
      <c r="QNB36" s="292"/>
      <c r="QNC36" s="292"/>
      <c r="QND36" s="292"/>
      <c r="QNE36" s="292"/>
      <c r="QNF36" s="292"/>
      <c r="QNG36" s="292"/>
      <c r="QNH36" s="292"/>
      <c r="QNI36" s="292"/>
      <c r="QNJ36" s="292"/>
      <c r="QNK36" s="292"/>
      <c r="QNL36" s="292"/>
      <c r="QNM36" s="292"/>
      <c r="QNN36" s="292"/>
      <c r="QNO36" s="292"/>
      <c r="QNP36" s="292"/>
      <c r="QNQ36" s="292"/>
      <c r="QNR36" s="292"/>
      <c r="QNS36" s="292"/>
      <c r="QNT36" s="292"/>
      <c r="QNU36" s="292"/>
      <c r="QNV36" s="292"/>
      <c r="QNW36" s="292"/>
      <c r="QNX36" s="292"/>
      <c r="QNY36" s="292"/>
      <c r="QNZ36" s="292"/>
      <c r="QOA36" s="292"/>
      <c r="QOB36" s="292"/>
      <c r="QOC36" s="292"/>
      <c r="QOD36" s="292"/>
      <c r="QOE36" s="292"/>
      <c r="QOF36" s="292"/>
      <c r="QOG36" s="292"/>
      <c r="QOH36" s="292"/>
      <c r="QOI36" s="292"/>
      <c r="QOJ36" s="292"/>
      <c r="QOK36" s="292"/>
      <c r="QOL36" s="292"/>
      <c r="QOM36" s="292"/>
      <c r="QON36" s="292"/>
      <c r="QOO36" s="292"/>
      <c r="QOP36" s="292"/>
      <c r="QOQ36" s="292"/>
      <c r="QOR36" s="292"/>
      <c r="QOS36" s="292"/>
      <c r="QOT36" s="292"/>
      <c r="QOU36" s="292"/>
      <c r="QOV36" s="292"/>
      <c r="QOW36" s="292"/>
      <c r="QOX36" s="292"/>
      <c r="QOY36" s="292"/>
      <c r="QOZ36" s="292"/>
      <c r="QPA36" s="292"/>
      <c r="QPB36" s="292"/>
      <c r="QPC36" s="292"/>
      <c r="QPD36" s="292"/>
      <c r="QPE36" s="292"/>
      <c r="QPF36" s="292"/>
      <c r="QPG36" s="292"/>
      <c r="QPH36" s="292"/>
      <c r="QPI36" s="292"/>
      <c r="QPJ36" s="292"/>
      <c r="QPK36" s="292"/>
      <c r="QPL36" s="292"/>
      <c r="QPM36" s="292"/>
      <c r="QPN36" s="292"/>
      <c r="QPO36" s="292"/>
      <c r="QPP36" s="292"/>
      <c r="QPQ36" s="292"/>
      <c r="QPR36" s="292"/>
      <c r="QPS36" s="292"/>
      <c r="QPT36" s="292"/>
      <c r="QPU36" s="292"/>
      <c r="QPV36" s="292"/>
      <c r="QPW36" s="292"/>
      <c r="QPX36" s="292"/>
      <c r="QPY36" s="292"/>
      <c r="QPZ36" s="292"/>
      <c r="QQA36" s="292"/>
      <c r="QQB36" s="292"/>
      <c r="QQC36" s="292"/>
      <c r="QQD36" s="292"/>
      <c r="QQE36" s="292"/>
      <c r="QQF36" s="292"/>
      <c r="QQG36" s="292"/>
      <c r="QQH36" s="292"/>
      <c r="QQI36" s="292"/>
      <c r="QQJ36" s="292"/>
      <c r="QQK36" s="292"/>
      <c r="QQL36" s="292"/>
      <c r="QQM36" s="292"/>
      <c r="QQN36" s="292"/>
      <c r="QQO36" s="292"/>
      <c r="QQP36" s="292"/>
      <c r="QQQ36" s="292"/>
      <c r="QQR36" s="292"/>
      <c r="QQS36" s="292"/>
      <c r="QQT36" s="292"/>
      <c r="QQU36" s="292"/>
      <c r="QQV36" s="292"/>
      <c r="QQW36" s="292"/>
      <c r="QQX36" s="292"/>
      <c r="QQY36" s="292"/>
      <c r="QQZ36" s="292"/>
      <c r="QRA36" s="292"/>
      <c r="QRB36" s="292"/>
      <c r="QRC36" s="292"/>
      <c r="QRD36" s="292"/>
      <c r="QRE36" s="292"/>
      <c r="QRF36" s="292"/>
      <c r="QRG36" s="292"/>
      <c r="QRH36" s="292"/>
      <c r="QRI36" s="292"/>
      <c r="QRJ36" s="292"/>
      <c r="QRK36" s="292"/>
      <c r="QRL36" s="292"/>
      <c r="QRM36" s="292"/>
      <c r="QRN36" s="292"/>
      <c r="QRO36" s="292"/>
      <c r="QRP36" s="292"/>
      <c r="QRQ36" s="292"/>
      <c r="QRR36" s="292"/>
      <c r="QRS36" s="292"/>
      <c r="QRT36" s="292"/>
      <c r="QRU36" s="292"/>
      <c r="QRV36" s="292"/>
      <c r="QRW36" s="292"/>
      <c r="QRX36" s="292"/>
      <c r="QRY36" s="292"/>
      <c r="QRZ36" s="292"/>
      <c r="QSA36" s="292"/>
      <c r="QSB36" s="292"/>
      <c r="QSC36" s="292"/>
      <c r="QSD36" s="292"/>
      <c r="QSE36" s="292"/>
      <c r="QSF36" s="292"/>
      <c r="QSG36" s="292"/>
      <c r="QSH36" s="292"/>
      <c r="QSI36" s="292"/>
      <c r="QSJ36" s="292"/>
      <c r="QSK36" s="292"/>
      <c r="QSL36" s="292"/>
      <c r="QSM36" s="292"/>
      <c r="QSN36" s="292"/>
      <c r="QSO36" s="292"/>
      <c r="QSP36" s="292"/>
      <c r="QSQ36" s="292"/>
      <c r="QSR36" s="292"/>
      <c r="QSS36" s="292"/>
      <c r="QST36" s="292"/>
      <c r="QSU36" s="292"/>
      <c r="QSV36" s="292"/>
      <c r="QSW36" s="292"/>
      <c r="QSX36" s="292"/>
      <c r="QSY36" s="292"/>
      <c r="QSZ36" s="292"/>
      <c r="QTA36" s="292"/>
      <c r="QTB36" s="292"/>
      <c r="QTC36" s="292"/>
      <c r="QTD36" s="292"/>
      <c r="QTE36" s="292"/>
      <c r="QTF36" s="292"/>
      <c r="QTG36" s="292"/>
      <c r="QTH36" s="292"/>
      <c r="QTI36" s="292"/>
      <c r="QTJ36" s="292"/>
      <c r="QTK36" s="292"/>
      <c r="QTL36" s="292"/>
      <c r="QTM36" s="292"/>
      <c r="QTN36" s="292"/>
      <c r="QTO36" s="292"/>
      <c r="QTP36" s="292"/>
      <c r="QTQ36" s="292"/>
      <c r="QTR36" s="292"/>
      <c r="QTS36" s="292"/>
      <c r="QTT36" s="292"/>
      <c r="QTU36" s="292"/>
      <c r="QTV36" s="292"/>
      <c r="QTW36" s="292"/>
      <c r="QTX36" s="292"/>
      <c r="QTY36" s="292"/>
      <c r="QTZ36" s="292"/>
      <c r="QUA36" s="292"/>
      <c r="QUB36" s="292"/>
      <c r="QUC36" s="292"/>
      <c r="QUD36" s="292"/>
      <c r="QUE36" s="292"/>
      <c r="QUF36" s="292"/>
      <c r="QUG36" s="292"/>
      <c r="QUH36" s="292"/>
      <c r="QUI36" s="292"/>
      <c r="QUJ36" s="292"/>
      <c r="QUK36" s="292"/>
      <c r="QUL36" s="292"/>
      <c r="QUM36" s="292"/>
      <c r="QUN36" s="292"/>
      <c r="QUO36" s="292"/>
      <c r="QUP36" s="292"/>
      <c r="QUQ36" s="292"/>
      <c r="QUR36" s="292"/>
      <c r="QUS36" s="292"/>
      <c r="QUT36" s="292"/>
      <c r="QUU36" s="292"/>
      <c r="QUV36" s="292"/>
      <c r="QUW36" s="292"/>
      <c r="QUX36" s="292"/>
      <c r="QUY36" s="292"/>
      <c r="QUZ36" s="292"/>
      <c r="QVA36" s="292"/>
      <c r="QVB36" s="292"/>
      <c r="QVC36" s="292"/>
      <c r="QVD36" s="292"/>
      <c r="QVE36" s="292"/>
      <c r="QVF36" s="292"/>
      <c r="QVG36" s="292"/>
      <c r="QVH36" s="292"/>
      <c r="QVI36" s="292"/>
      <c r="QVJ36" s="292"/>
      <c r="QVK36" s="292"/>
      <c r="QVL36" s="292"/>
      <c r="QVM36" s="292"/>
      <c r="QVN36" s="292"/>
      <c r="QVO36" s="292"/>
      <c r="QVP36" s="292"/>
      <c r="QVQ36" s="292"/>
      <c r="QVR36" s="292"/>
      <c r="QVS36" s="292"/>
      <c r="QVT36" s="292"/>
      <c r="QVU36" s="292"/>
      <c r="QVV36" s="292"/>
      <c r="QVW36" s="292"/>
      <c r="QVX36" s="292"/>
      <c r="QVY36" s="292"/>
      <c r="QVZ36" s="292"/>
      <c r="QWA36" s="292"/>
      <c r="QWB36" s="292"/>
      <c r="QWC36" s="292"/>
      <c r="QWD36" s="292"/>
      <c r="QWE36" s="292"/>
      <c r="QWF36" s="292"/>
      <c r="QWG36" s="292"/>
      <c r="QWH36" s="292"/>
      <c r="QWI36" s="292"/>
      <c r="QWJ36" s="292"/>
      <c r="QWK36" s="292"/>
      <c r="QWL36" s="292"/>
      <c r="QWM36" s="292"/>
      <c r="QWN36" s="292"/>
      <c r="QWO36" s="292"/>
      <c r="QWP36" s="292"/>
      <c r="QWQ36" s="292"/>
      <c r="QWR36" s="292"/>
      <c r="QWS36" s="292"/>
      <c r="QWT36" s="292"/>
      <c r="QWU36" s="292"/>
      <c r="QWV36" s="292"/>
      <c r="QWW36" s="292"/>
      <c r="QWX36" s="292"/>
      <c r="QWY36" s="292"/>
      <c r="QWZ36" s="292"/>
      <c r="QXA36" s="292"/>
      <c r="QXB36" s="292"/>
      <c r="QXC36" s="292"/>
      <c r="QXD36" s="292"/>
      <c r="QXE36" s="292"/>
      <c r="QXF36" s="292"/>
      <c r="QXG36" s="292"/>
      <c r="QXH36" s="292"/>
      <c r="QXI36" s="292"/>
      <c r="QXJ36" s="292"/>
      <c r="QXK36" s="292"/>
      <c r="QXL36" s="292"/>
      <c r="QXM36" s="292"/>
      <c r="QXN36" s="292"/>
      <c r="QXO36" s="292"/>
      <c r="QXP36" s="292"/>
      <c r="QXQ36" s="292"/>
      <c r="QXR36" s="292"/>
      <c r="QXS36" s="292"/>
      <c r="QXT36" s="292"/>
      <c r="QXU36" s="292"/>
      <c r="QXV36" s="292"/>
      <c r="QXW36" s="292"/>
      <c r="QXX36" s="292"/>
      <c r="QXY36" s="292"/>
      <c r="QXZ36" s="292"/>
      <c r="QYA36" s="292"/>
      <c r="QYB36" s="292"/>
      <c r="QYC36" s="292"/>
      <c r="QYD36" s="292"/>
      <c r="QYE36" s="292"/>
      <c r="QYF36" s="292"/>
      <c r="QYG36" s="292"/>
      <c r="QYH36" s="292"/>
      <c r="QYI36" s="292"/>
      <c r="QYJ36" s="292"/>
      <c r="QYK36" s="292"/>
      <c r="QYL36" s="292"/>
      <c r="QYM36" s="292"/>
      <c r="QYN36" s="292"/>
      <c r="QYO36" s="292"/>
      <c r="QYP36" s="292"/>
      <c r="QYQ36" s="292"/>
      <c r="QYR36" s="292"/>
      <c r="QYS36" s="292"/>
      <c r="QYT36" s="292"/>
      <c r="QYU36" s="292"/>
      <c r="QYV36" s="292"/>
      <c r="QYW36" s="292"/>
      <c r="QYX36" s="292"/>
      <c r="QYY36" s="292"/>
      <c r="QYZ36" s="292"/>
      <c r="QZA36" s="292"/>
      <c r="QZB36" s="292"/>
      <c r="QZC36" s="292"/>
      <c r="QZD36" s="292"/>
      <c r="QZE36" s="292"/>
      <c r="QZF36" s="292"/>
      <c r="QZG36" s="292"/>
      <c r="QZH36" s="292"/>
      <c r="QZI36" s="292"/>
      <c r="QZJ36" s="292"/>
      <c r="QZK36" s="292"/>
      <c r="QZL36" s="292"/>
      <c r="QZM36" s="292"/>
      <c r="QZN36" s="292"/>
      <c r="QZO36" s="292"/>
      <c r="QZP36" s="292"/>
      <c r="QZQ36" s="292"/>
      <c r="QZR36" s="292"/>
      <c r="QZS36" s="292"/>
      <c r="QZT36" s="292"/>
      <c r="QZU36" s="292"/>
      <c r="QZV36" s="292"/>
      <c r="QZW36" s="292"/>
      <c r="QZX36" s="292"/>
      <c r="QZY36" s="292"/>
      <c r="QZZ36" s="292"/>
      <c r="RAA36" s="292"/>
      <c r="RAB36" s="292"/>
      <c r="RAC36" s="292"/>
      <c r="RAD36" s="292"/>
      <c r="RAE36" s="292"/>
      <c r="RAF36" s="292"/>
      <c r="RAG36" s="292"/>
      <c r="RAH36" s="292"/>
      <c r="RAI36" s="292"/>
      <c r="RAJ36" s="292"/>
      <c r="RAK36" s="292"/>
      <c r="RAL36" s="292"/>
      <c r="RAM36" s="292"/>
      <c r="RAN36" s="292"/>
      <c r="RAO36" s="292"/>
      <c r="RAP36" s="292"/>
      <c r="RAQ36" s="292"/>
      <c r="RAR36" s="292"/>
      <c r="RAS36" s="292"/>
      <c r="RAT36" s="292"/>
      <c r="RAU36" s="292"/>
      <c r="RAV36" s="292"/>
      <c r="RAW36" s="292"/>
      <c r="RAX36" s="292"/>
      <c r="RAY36" s="292"/>
      <c r="RAZ36" s="292"/>
      <c r="RBA36" s="292"/>
      <c r="RBB36" s="292"/>
      <c r="RBC36" s="292"/>
      <c r="RBD36" s="292"/>
      <c r="RBE36" s="292"/>
      <c r="RBF36" s="292"/>
      <c r="RBG36" s="292"/>
      <c r="RBH36" s="292"/>
      <c r="RBI36" s="292"/>
      <c r="RBJ36" s="292"/>
      <c r="RBK36" s="292"/>
      <c r="RBL36" s="292"/>
      <c r="RBM36" s="292"/>
      <c r="RBN36" s="292"/>
      <c r="RBO36" s="292"/>
      <c r="RBP36" s="292"/>
      <c r="RBQ36" s="292"/>
      <c r="RBR36" s="292"/>
      <c r="RBS36" s="292"/>
      <c r="RBT36" s="292"/>
      <c r="RBU36" s="292"/>
      <c r="RBV36" s="292"/>
      <c r="RBW36" s="292"/>
      <c r="RBX36" s="292"/>
      <c r="RBY36" s="292"/>
      <c r="RBZ36" s="292"/>
      <c r="RCA36" s="292"/>
      <c r="RCB36" s="292"/>
      <c r="RCC36" s="292"/>
      <c r="RCD36" s="292"/>
      <c r="RCE36" s="292"/>
      <c r="RCF36" s="292"/>
      <c r="RCG36" s="292"/>
      <c r="RCH36" s="292"/>
      <c r="RCI36" s="292"/>
      <c r="RCJ36" s="292"/>
      <c r="RCK36" s="292"/>
      <c r="RCL36" s="292"/>
      <c r="RCM36" s="292"/>
      <c r="RCN36" s="292"/>
      <c r="RCO36" s="292"/>
      <c r="RCP36" s="292"/>
      <c r="RCQ36" s="292"/>
      <c r="RCR36" s="292"/>
      <c r="RCS36" s="292"/>
      <c r="RCT36" s="292"/>
      <c r="RCU36" s="292"/>
      <c r="RCV36" s="292"/>
      <c r="RCW36" s="292"/>
      <c r="RCX36" s="292"/>
      <c r="RCY36" s="292"/>
      <c r="RCZ36" s="292"/>
      <c r="RDA36" s="292"/>
      <c r="RDB36" s="292"/>
      <c r="RDC36" s="292"/>
      <c r="RDD36" s="292"/>
      <c r="RDE36" s="292"/>
      <c r="RDF36" s="292"/>
      <c r="RDG36" s="292"/>
      <c r="RDH36" s="292"/>
      <c r="RDI36" s="292"/>
      <c r="RDJ36" s="292"/>
      <c r="RDK36" s="292"/>
      <c r="RDL36" s="292"/>
      <c r="RDM36" s="292"/>
      <c r="RDN36" s="292"/>
      <c r="RDO36" s="292"/>
      <c r="RDP36" s="292"/>
      <c r="RDQ36" s="292"/>
      <c r="RDR36" s="292"/>
      <c r="RDS36" s="292"/>
      <c r="RDT36" s="292"/>
      <c r="RDU36" s="292"/>
      <c r="RDV36" s="292"/>
      <c r="RDW36" s="292"/>
      <c r="RDX36" s="292"/>
      <c r="RDY36" s="292"/>
      <c r="RDZ36" s="292"/>
      <c r="REA36" s="292"/>
      <c r="REB36" s="292"/>
      <c r="REC36" s="292"/>
      <c r="RED36" s="292"/>
      <c r="REE36" s="292"/>
      <c r="REF36" s="292"/>
      <c r="REG36" s="292"/>
      <c r="REH36" s="292"/>
      <c r="REI36" s="292"/>
      <c r="REJ36" s="292"/>
      <c r="REK36" s="292"/>
      <c r="REL36" s="292"/>
      <c r="REM36" s="292"/>
      <c r="REN36" s="292"/>
      <c r="REO36" s="292"/>
      <c r="REP36" s="292"/>
      <c r="REQ36" s="292"/>
      <c r="RER36" s="292"/>
      <c r="RES36" s="292"/>
      <c r="RET36" s="292"/>
      <c r="REU36" s="292"/>
      <c r="REV36" s="292"/>
      <c r="REW36" s="292"/>
      <c r="REX36" s="292"/>
      <c r="REY36" s="292"/>
      <c r="REZ36" s="292"/>
      <c r="RFA36" s="292"/>
      <c r="RFB36" s="292"/>
      <c r="RFC36" s="292"/>
      <c r="RFD36" s="292"/>
      <c r="RFE36" s="292"/>
      <c r="RFF36" s="292"/>
      <c r="RFG36" s="292"/>
      <c r="RFH36" s="292"/>
      <c r="RFI36" s="292"/>
      <c r="RFJ36" s="292"/>
      <c r="RFK36" s="292"/>
      <c r="RFL36" s="292"/>
      <c r="RFM36" s="292"/>
      <c r="RFN36" s="292"/>
      <c r="RFO36" s="292"/>
      <c r="RFP36" s="292"/>
      <c r="RFQ36" s="292"/>
      <c r="RFR36" s="292"/>
      <c r="RFS36" s="292"/>
      <c r="RFT36" s="292"/>
      <c r="RFU36" s="292"/>
      <c r="RFV36" s="292"/>
      <c r="RFW36" s="292"/>
      <c r="RFX36" s="292"/>
      <c r="RFY36" s="292"/>
      <c r="RFZ36" s="292"/>
      <c r="RGA36" s="292"/>
      <c r="RGB36" s="292"/>
      <c r="RGC36" s="292"/>
      <c r="RGD36" s="292"/>
      <c r="RGE36" s="292"/>
      <c r="RGF36" s="292"/>
      <c r="RGG36" s="292"/>
      <c r="RGH36" s="292"/>
      <c r="RGI36" s="292"/>
      <c r="RGJ36" s="292"/>
      <c r="RGK36" s="292"/>
      <c r="RGL36" s="292"/>
      <c r="RGM36" s="292"/>
      <c r="RGN36" s="292"/>
      <c r="RGO36" s="292"/>
      <c r="RGP36" s="292"/>
      <c r="RGQ36" s="292"/>
      <c r="RGR36" s="292"/>
      <c r="RGS36" s="292"/>
      <c r="RGT36" s="292"/>
      <c r="RGU36" s="292"/>
      <c r="RGV36" s="292"/>
      <c r="RGW36" s="292"/>
      <c r="RGX36" s="292"/>
      <c r="RGY36" s="292"/>
      <c r="RGZ36" s="292"/>
      <c r="RHA36" s="292"/>
      <c r="RHB36" s="292"/>
      <c r="RHC36" s="292"/>
      <c r="RHD36" s="292"/>
      <c r="RHE36" s="292"/>
      <c r="RHF36" s="292"/>
      <c r="RHG36" s="292"/>
      <c r="RHH36" s="292"/>
      <c r="RHI36" s="292"/>
      <c r="RHJ36" s="292"/>
      <c r="RHK36" s="292"/>
      <c r="RHL36" s="292"/>
      <c r="RHM36" s="292"/>
      <c r="RHN36" s="292"/>
      <c r="RHO36" s="292"/>
      <c r="RHP36" s="292"/>
      <c r="RHQ36" s="292"/>
      <c r="RHR36" s="292"/>
      <c r="RHS36" s="292"/>
      <c r="RHT36" s="292"/>
      <c r="RHU36" s="292"/>
      <c r="RHV36" s="292"/>
      <c r="RHW36" s="292"/>
      <c r="RHX36" s="292"/>
      <c r="RHY36" s="292"/>
      <c r="RHZ36" s="292"/>
      <c r="RIA36" s="292"/>
      <c r="RIB36" s="292"/>
      <c r="RIC36" s="292"/>
      <c r="RID36" s="292"/>
      <c r="RIE36" s="292"/>
      <c r="RIF36" s="292"/>
      <c r="RIG36" s="292"/>
      <c r="RIH36" s="292"/>
      <c r="RII36" s="292"/>
      <c r="RIJ36" s="292"/>
      <c r="RIK36" s="292"/>
      <c r="RIL36" s="292"/>
      <c r="RIM36" s="292"/>
      <c r="RIN36" s="292"/>
      <c r="RIO36" s="292"/>
      <c r="RIP36" s="292"/>
      <c r="RIQ36" s="292"/>
      <c r="RIR36" s="292"/>
      <c r="RIS36" s="292"/>
      <c r="RIT36" s="292"/>
      <c r="RIU36" s="292"/>
      <c r="RIV36" s="292"/>
      <c r="RIW36" s="292"/>
      <c r="RIX36" s="292"/>
      <c r="RIY36" s="292"/>
      <c r="RIZ36" s="292"/>
      <c r="RJA36" s="292"/>
      <c r="RJB36" s="292"/>
      <c r="RJC36" s="292"/>
      <c r="RJD36" s="292"/>
      <c r="RJE36" s="292"/>
      <c r="RJF36" s="292"/>
      <c r="RJG36" s="292"/>
      <c r="RJH36" s="292"/>
      <c r="RJI36" s="292"/>
      <c r="RJJ36" s="292"/>
      <c r="RJK36" s="292"/>
      <c r="RJL36" s="292"/>
      <c r="RJM36" s="292"/>
      <c r="RJN36" s="292"/>
      <c r="RJO36" s="292"/>
      <c r="RJP36" s="292"/>
      <c r="RJQ36" s="292"/>
      <c r="RJR36" s="292"/>
      <c r="RJS36" s="292"/>
      <c r="RJT36" s="292"/>
      <c r="RJU36" s="292"/>
      <c r="RJV36" s="292"/>
      <c r="RJW36" s="292"/>
      <c r="RJX36" s="292"/>
      <c r="RJY36" s="292"/>
      <c r="RJZ36" s="292"/>
      <c r="RKA36" s="292"/>
      <c r="RKB36" s="292"/>
      <c r="RKC36" s="292"/>
      <c r="RKD36" s="292"/>
      <c r="RKE36" s="292"/>
      <c r="RKF36" s="292"/>
      <c r="RKG36" s="292"/>
      <c r="RKH36" s="292"/>
      <c r="RKI36" s="292"/>
      <c r="RKJ36" s="292"/>
      <c r="RKK36" s="292"/>
      <c r="RKL36" s="292"/>
      <c r="RKM36" s="292"/>
      <c r="RKN36" s="292"/>
      <c r="RKO36" s="292"/>
      <c r="RKP36" s="292"/>
      <c r="RKQ36" s="292"/>
      <c r="RKR36" s="292"/>
      <c r="RKS36" s="292"/>
      <c r="RKT36" s="292"/>
      <c r="RKU36" s="292"/>
      <c r="RKV36" s="292"/>
      <c r="RKW36" s="292"/>
      <c r="RKX36" s="292"/>
      <c r="RKY36" s="292"/>
      <c r="RKZ36" s="292"/>
      <c r="RLA36" s="292"/>
      <c r="RLB36" s="292"/>
      <c r="RLC36" s="292"/>
      <c r="RLD36" s="292"/>
      <c r="RLE36" s="292"/>
      <c r="RLF36" s="292"/>
      <c r="RLG36" s="292"/>
      <c r="RLH36" s="292"/>
      <c r="RLI36" s="292"/>
      <c r="RLJ36" s="292"/>
      <c r="RLK36" s="292"/>
      <c r="RLL36" s="292"/>
      <c r="RLM36" s="292"/>
      <c r="RLN36" s="292"/>
      <c r="RLO36" s="292"/>
      <c r="RLP36" s="292"/>
      <c r="RLQ36" s="292"/>
      <c r="RLR36" s="292"/>
      <c r="RLS36" s="292"/>
      <c r="RLT36" s="292"/>
      <c r="RLU36" s="292"/>
      <c r="RLV36" s="292"/>
      <c r="RLW36" s="292"/>
      <c r="RLX36" s="292"/>
      <c r="RLY36" s="292"/>
      <c r="RLZ36" s="292"/>
      <c r="RMA36" s="292"/>
      <c r="RMB36" s="292"/>
      <c r="RMC36" s="292"/>
      <c r="RMD36" s="292"/>
      <c r="RME36" s="292"/>
      <c r="RMF36" s="292"/>
      <c r="RMG36" s="292"/>
      <c r="RMH36" s="292"/>
      <c r="RMI36" s="292"/>
      <c r="RMJ36" s="292"/>
      <c r="RMK36" s="292"/>
      <c r="RML36" s="292"/>
      <c r="RMM36" s="292"/>
      <c r="RMN36" s="292"/>
      <c r="RMO36" s="292"/>
      <c r="RMP36" s="292"/>
      <c r="RMQ36" s="292"/>
      <c r="RMR36" s="292"/>
      <c r="RMS36" s="292"/>
      <c r="RMT36" s="292"/>
      <c r="RMU36" s="292"/>
      <c r="RMV36" s="292"/>
      <c r="RMW36" s="292"/>
      <c r="RMX36" s="292"/>
      <c r="RMY36" s="292"/>
      <c r="RMZ36" s="292"/>
      <c r="RNA36" s="292"/>
      <c r="RNB36" s="292"/>
      <c r="RNC36" s="292"/>
      <c r="RND36" s="292"/>
      <c r="RNE36" s="292"/>
      <c r="RNF36" s="292"/>
      <c r="RNG36" s="292"/>
      <c r="RNH36" s="292"/>
      <c r="RNI36" s="292"/>
      <c r="RNJ36" s="292"/>
      <c r="RNK36" s="292"/>
      <c r="RNL36" s="292"/>
      <c r="RNM36" s="292"/>
      <c r="RNN36" s="292"/>
      <c r="RNO36" s="292"/>
      <c r="RNP36" s="292"/>
      <c r="RNQ36" s="292"/>
      <c r="RNR36" s="292"/>
      <c r="RNS36" s="292"/>
      <c r="RNT36" s="292"/>
      <c r="RNU36" s="292"/>
      <c r="RNV36" s="292"/>
      <c r="RNW36" s="292"/>
      <c r="RNX36" s="292"/>
      <c r="RNY36" s="292"/>
      <c r="RNZ36" s="292"/>
      <c r="ROA36" s="292"/>
      <c r="ROB36" s="292"/>
      <c r="ROC36" s="292"/>
      <c r="ROD36" s="292"/>
      <c r="ROE36" s="292"/>
      <c r="ROF36" s="292"/>
      <c r="ROG36" s="292"/>
      <c r="ROH36" s="292"/>
      <c r="ROI36" s="292"/>
      <c r="ROJ36" s="292"/>
      <c r="ROK36" s="292"/>
      <c r="ROL36" s="292"/>
      <c r="ROM36" s="292"/>
      <c r="RON36" s="292"/>
      <c r="ROO36" s="292"/>
      <c r="ROP36" s="292"/>
      <c r="ROQ36" s="292"/>
      <c r="ROR36" s="292"/>
      <c r="ROS36" s="292"/>
      <c r="ROT36" s="292"/>
      <c r="ROU36" s="292"/>
      <c r="ROV36" s="292"/>
      <c r="ROW36" s="292"/>
      <c r="ROX36" s="292"/>
      <c r="ROY36" s="292"/>
      <c r="ROZ36" s="292"/>
      <c r="RPA36" s="292"/>
      <c r="RPB36" s="292"/>
      <c r="RPC36" s="292"/>
      <c r="RPD36" s="292"/>
      <c r="RPE36" s="292"/>
      <c r="RPF36" s="292"/>
      <c r="RPG36" s="292"/>
      <c r="RPH36" s="292"/>
      <c r="RPI36" s="292"/>
      <c r="RPJ36" s="292"/>
      <c r="RPK36" s="292"/>
      <c r="RPL36" s="292"/>
      <c r="RPM36" s="292"/>
      <c r="RPN36" s="292"/>
      <c r="RPO36" s="292"/>
      <c r="RPP36" s="292"/>
      <c r="RPQ36" s="292"/>
      <c r="RPR36" s="292"/>
      <c r="RPS36" s="292"/>
      <c r="RPT36" s="292"/>
      <c r="RPU36" s="292"/>
      <c r="RPV36" s="292"/>
      <c r="RPW36" s="292"/>
      <c r="RPX36" s="292"/>
      <c r="RPY36" s="292"/>
      <c r="RPZ36" s="292"/>
      <c r="RQA36" s="292"/>
      <c r="RQB36" s="292"/>
      <c r="RQC36" s="292"/>
      <c r="RQD36" s="292"/>
      <c r="RQE36" s="292"/>
      <c r="RQF36" s="292"/>
      <c r="RQG36" s="292"/>
      <c r="RQH36" s="292"/>
      <c r="RQI36" s="292"/>
      <c r="RQJ36" s="292"/>
      <c r="RQK36" s="292"/>
      <c r="RQL36" s="292"/>
      <c r="RQM36" s="292"/>
      <c r="RQN36" s="292"/>
      <c r="RQO36" s="292"/>
      <c r="RQP36" s="292"/>
      <c r="RQQ36" s="292"/>
      <c r="RQR36" s="292"/>
      <c r="RQS36" s="292"/>
      <c r="RQT36" s="292"/>
      <c r="RQU36" s="292"/>
      <c r="RQV36" s="292"/>
      <c r="RQW36" s="292"/>
      <c r="RQX36" s="292"/>
      <c r="RQY36" s="292"/>
      <c r="RQZ36" s="292"/>
      <c r="RRA36" s="292"/>
      <c r="RRB36" s="292"/>
      <c r="RRC36" s="292"/>
      <c r="RRD36" s="292"/>
      <c r="RRE36" s="292"/>
      <c r="RRF36" s="292"/>
      <c r="RRG36" s="292"/>
      <c r="RRH36" s="292"/>
      <c r="RRI36" s="292"/>
      <c r="RRJ36" s="292"/>
      <c r="RRK36" s="292"/>
      <c r="RRL36" s="292"/>
      <c r="RRM36" s="292"/>
      <c r="RRN36" s="292"/>
      <c r="RRO36" s="292"/>
      <c r="RRP36" s="292"/>
      <c r="RRQ36" s="292"/>
      <c r="RRR36" s="292"/>
      <c r="RRS36" s="292"/>
      <c r="RRT36" s="292"/>
      <c r="RRU36" s="292"/>
      <c r="RRV36" s="292"/>
      <c r="RRW36" s="292"/>
      <c r="RRX36" s="292"/>
      <c r="RRY36" s="292"/>
      <c r="RRZ36" s="292"/>
      <c r="RSA36" s="292"/>
      <c r="RSB36" s="292"/>
      <c r="RSC36" s="292"/>
      <c r="RSD36" s="292"/>
      <c r="RSE36" s="292"/>
      <c r="RSF36" s="292"/>
      <c r="RSG36" s="292"/>
      <c r="RSH36" s="292"/>
      <c r="RSI36" s="292"/>
      <c r="RSJ36" s="292"/>
      <c r="RSK36" s="292"/>
      <c r="RSL36" s="292"/>
      <c r="RSM36" s="292"/>
      <c r="RSN36" s="292"/>
      <c r="RSO36" s="292"/>
      <c r="RSP36" s="292"/>
      <c r="RSQ36" s="292"/>
      <c r="RSR36" s="292"/>
      <c r="RSS36" s="292"/>
      <c r="RST36" s="292"/>
      <c r="RSU36" s="292"/>
      <c r="RSV36" s="292"/>
      <c r="RSW36" s="292"/>
      <c r="RSX36" s="292"/>
      <c r="RSY36" s="292"/>
      <c r="RSZ36" s="292"/>
      <c r="RTA36" s="292"/>
      <c r="RTB36" s="292"/>
      <c r="RTC36" s="292"/>
      <c r="RTD36" s="292"/>
      <c r="RTE36" s="292"/>
      <c r="RTF36" s="292"/>
      <c r="RTG36" s="292"/>
      <c r="RTH36" s="292"/>
      <c r="RTI36" s="292"/>
      <c r="RTJ36" s="292"/>
      <c r="RTK36" s="292"/>
      <c r="RTL36" s="292"/>
      <c r="RTM36" s="292"/>
      <c r="RTN36" s="292"/>
      <c r="RTO36" s="292"/>
      <c r="RTP36" s="292"/>
      <c r="RTQ36" s="292"/>
      <c r="RTR36" s="292"/>
      <c r="RTS36" s="292"/>
      <c r="RTT36" s="292"/>
      <c r="RTU36" s="292"/>
      <c r="RTV36" s="292"/>
      <c r="RTW36" s="292"/>
      <c r="RTX36" s="292"/>
      <c r="RTY36" s="292"/>
      <c r="RTZ36" s="292"/>
      <c r="RUA36" s="292"/>
      <c r="RUB36" s="292"/>
      <c r="RUC36" s="292"/>
      <c r="RUD36" s="292"/>
      <c r="RUE36" s="292"/>
      <c r="RUF36" s="292"/>
      <c r="RUG36" s="292"/>
      <c r="RUH36" s="292"/>
      <c r="RUI36" s="292"/>
      <c r="RUJ36" s="292"/>
      <c r="RUK36" s="292"/>
      <c r="RUL36" s="292"/>
      <c r="RUM36" s="292"/>
      <c r="RUN36" s="292"/>
      <c r="RUO36" s="292"/>
      <c r="RUP36" s="292"/>
      <c r="RUQ36" s="292"/>
      <c r="RUR36" s="292"/>
      <c r="RUS36" s="292"/>
      <c r="RUT36" s="292"/>
      <c r="RUU36" s="292"/>
      <c r="RUV36" s="292"/>
      <c r="RUW36" s="292"/>
      <c r="RUX36" s="292"/>
      <c r="RUY36" s="292"/>
      <c r="RUZ36" s="292"/>
      <c r="RVA36" s="292"/>
      <c r="RVB36" s="292"/>
      <c r="RVC36" s="292"/>
      <c r="RVD36" s="292"/>
      <c r="RVE36" s="292"/>
      <c r="RVF36" s="292"/>
      <c r="RVG36" s="292"/>
      <c r="RVH36" s="292"/>
      <c r="RVI36" s="292"/>
      <c r="RVJ36" s="292"/>
      <c r="RVK36" s="292"/>
      <c r="RVL36" s="292"/>
      <c r="RVM36" s="292"/>
      <c r="RVN36" s="292"/>
      <c r="RVO36" s="292"/>
      <c r="RVP36" s="292"/>
      <c r="RVQ36" s="292"/>
      <c r="RVR36" s="292"/>
      <c r="RVS36" s="292"/>
      <c r="RVT36" s="292"/>
      <c r="RVU36" s="292"/>
      <c r="RVV36" s="292"/>
      <c r="RVW36" s="292"/>
      <c r="RVX36" s="292"/>
      <c r="RVY36" s="292"/>
      <c r="RVZ36" s="292"/>
      <c r="RWA36" s="292"/>
      <c r="RWB36" s="292"/>
      <c r="RWC36" s="292"/>
      <c r="RWD36" s="292"/>
      <c r="RWE36" s="292"/>
      <c r="RWF36" s="292"/>
      <c r="RWG36" s="292"/>
      <c r="RWH36" s="292"/>
      <c r="RWI36" s="292"/>
      <c r="RWJ36" s="292"/>
      <c r="RWK36" s="292"/>
      <c r="RWL36" s="292"/>
      <c r="RWM36" s="292"/>
      <c r="RWN36" s="292"/>
      <c r="RWO36" s="292"/>
      <c r="RWP36" s="292"/>
      <c r="RWQ36" s="292"/>
      <c r="RWR36" s="292"/>
      <c r="RWS36" s="292"/>
      <c r="RWT36" s="292"/>
      <c r="RWU36" s="292"/>
      <c r="RWV36" s="292"/>
      <c r="RWW36" s="292"/>
      <c r="RWX36" s="292"/>
      <c r="RWY36" s="292"/>
      <c r="RWZ36" s="292"/>
      <c r="RXA36" s="292"/>
      <c r="RXB36" s="292"/>
      <c r="RXC36" s="292"/>
      <c r="RXD36" s="292"/>
      <c r="RXE36" s="292"/>
      <c r="RXF36" s="292"/>
      <c r="RXG36" s="292"/>
      <c r="RXH36" s="292"/>
      <c r="RXI36" s="292"/>
      <c r="RXJ36" s="292"/>
      <c r="RXK36" s="292"/>
      <c r="RXL36" s="292"/>
      <c r="RXM36" s="292"/>
      <c r="RXN36" s="292"/>
      <c r="RXO36" s="292"/>
      <c r="RXP36" s="292"/>
      <c r="RXQ36" s="292"/>
      <c r="RXR36" s="292"/>
      <c r="RXS36" s="292"/>
      <c r="RXT36" s="292"/>
      <c r="RXU36" s="292"/>
      <c r="RXV36" s="292"/>
      <c r="RXW36" s="292"/>
      <c r="RXX36" s="292"/>
      <c r="RXY36" s="292"/>
      <c r="RXZ36" s="292"/>
      <c r="RYA36" s="292"/>
      <c r="RYB36" s="292"/>
      <c r="RYC36" s="292"/>
      <c r="RYD36" s="292"/>
      <c r="RYE36" s="292"/>
      <c r="RYF36" s="292"/>
      <c r="RYG36" s="292"/>
      <c r="RYH36" s="292"/>
      <c r="RYI36" s="292"/>
      <c r="RYJ36" s="292"/>
      <c r="RYK36" s="292"/>
      <c r="RYL36" s="292"/>
      <c r="RYM36" s="292"/>
      <c r="RYN36" s="292"/>
      <c r="RYO36" s="292"/>
      <c r="RYP36" s="292"/>
      <c r="RYQ36" s="292"/>
      <c r="RYR36" s="292"/>
      <c r="RYS36" s="292"/>
      <c r="RYT36" s="292"/>
      <c r="RYU36" s="292"/>
      <c r="RYV36" s="292"/>
      <c r="RYW36" s="292"/>
      <c r="RYX36" s="292"/>
      <c r="RYY36" s="292"/>
      <c r="RYZ36" s="292"/>
      <c r="RZA36" s="292"/>
      <c r="RZB36" s="292"/>
      <c r="RZC36" s="292"/>
      <c r="RZD36" s="292"/>
      <c r="RZE36" s="292"/>
      <c r="RZF36" s="292"/>
      <c r="RZG36" s="292"/>
      <c r="RZH36" s="292"/>
      <c r="RZI36" s="292"/>
      <c r="RZJ36" s="292"/>
      <c r="RZK36" s="292"/>
      <c r="RZL36" s="292"/>
      <c r="RZM36" s="292"/>
      <c r="RZN36" s="292"/>
      <c r="RZO36" s="292"/>
      <c r="RZP36" s="292"/>
      <c r="RZQ36" s="292"/>
      <c r="RZR36" s="292"/>
      <c r="RZS36" s="292"/>
      <c r="RZT36" s="292"/>
      <c r="RZU36" s="292"/>
      <c r="RZV36" s="292"/>
      <c r="RZW36" s="292"/>
      <c r="RZX36" s="292"/>
      <c r="RZY36" s="292"/>
      <c r="RZZ36" s="292"/>
      <c r="SAA36" s="292"/>
      <c r="SAB36" s="292"/>
      <c r="SAC36" s="292"/>
      <c r="SAD36" s="292"/>
      <c r="SAE36" s="292"/>
      <c r="SAF36" s="292"/>
      <c r="SAG36" s="292"/>
      <c r="SAH36" s="292"/>
      <c r="SAI36" s="292"/>
      <c r="SAJ36" s="292"/>
      <c r="SAK36" s="292"/>
      <c r="SAL36" s="292"/>
      <c r="SAM36" s="292"/>
      <c r="SAN36" s="292"/>
      <c r="SAO36" s="292"/>
      <c r="SAP36" s="292"/>
      <c r="SAQ36" s="292"/>
      <c r="SAR36" s="292"/>
      <c r="SAS36" s="292"/>
      <c r="SAT36" s="292"/>
      <c r="SAU36" s="292"/>
      <c r="SAV36" s="292"/>
      <c r="SAW36" s="292"/>
      <c r="SAX36" s="292"/>
      <c r="SAY36" s="292"/>
      <c r="SAZ36" s="292"/>
      <c r="SBA36" s="292"/>
      <c r="SBB36" s="292"/>
      <c r="SBC36" s="292"/>
      <c r="SBD36" s="292"/>
      <c r="SBE36" s="292"/>
      <c r="SBF36" s="292"/>
      <c r="SBG36" s="292"/>
      <c r="SBH36" s="292"/>
      <c r="SBI36" s="292"/>
      <c r="SBJ36" s="292"/>
      <c r="SBK36" s="292"/>
      <c r="SBL36" s="292"/>
      <c r="SBM36" s="292"/>
      <c r="SBN36" s="292"/>
      <c r="SBO36" s="292"/>
      <c r="SBP36" s="292"/>
      <c r="SBQ36" s="292"/>
      <c r="SBR36" s="292"/>
      <c r="SBS36" s="292"/>
      <c r="SBT36" s="292"/>
      <c r="SBU36" s="292"/>
      <c r="SBV36" s="292"/>
      <c r="SBW36" s="292"/>
      <c r="SBX36" s="292"/>
      <c r="SBY36" s="292"/>
      <c r="SBZ36" s="292"/>
      <c r="SCA36" s="292"/>
      <c r="SCB36" s="292"/>
      <c r="SCC36" s="292"/>
      <c r="SCD36" s="292"/>
      <c r="SCE36" s="292"/>
      <c r="SCF36" s="292"/>
      <c r="SCG36" s="292"/>
      <c r="SCH36" s="292"/>
      <c r="SCI36" s="292"/>
      <c r="SCJ36" s="292"/>
      <c r="SCK36" s="292"/>
      <c r="SCL36" s="292"/>
      <c r="SCM36" s="292"/>
      <c r="SCN36" s="292"/>
      <c r="SCO36" s="292"/>
      <c r="SCP36" s="292"/>
      <c r="SCQ36" s="292"/>
      <c r="SCR36" s="292"/>
      <c r="SCS36" s="292"/>
      <c r="SCT36" s="292"/>
      <c r="SCU36" s="292"/>
      <c r="SCV36" s="292"/>
      <c r="SCW36" s="292"/>
      <c r="SCX36" s="292"/>
      <c r="SCY36" s="292"/>
      <c r="SCZ36" s="292"/>
      <c r="SDA36" s="292"/>
      <c r="SDB36" s="292"/>
      <c r="SDC36" s="292"/>
      <c r="SDD36" s="292"/>
      <c r="SDE36" s="292"/>
      <c r="SDF36" s="292"/>
      <c r="SDG36" s="292"/>
      <c r="SDH36" s="292"/>
      <c r="SDI36" s="292"/>
      <c r="SDJ36" s="292"/>
      <c r="SDK36" s="292"/>
      <c r="SDL36" s="292"/>
      <c r="SDM36" s="292"/>
      <c r="SDN36" s="292"/>
      <c r="SDO36" s="292"/>
      <c r="SDP36" s="292"/>
      <c r="SDQ36" s="292"/>
      <c r="SDR36" s="292"/>
      <c r="SDS36" s="292"/>
      <c r="SDT36" s="292"/>
      <c r="SDU36" s="292"/>
      <c r="SDV36" s="292"/>
      <c r="SDW36" s="292"/>
      <c r="SDX36" s="292"/>
      <c r="SDY36" s="292"/>
      <c r="SDZ36" s="292"/>
      <c r="SEA36" s="292"/>
      <c r="SEB36" s="292"/>
      <c r="SEC36" s="292"/>
      <c r="SED36" s="292"/>
      <c r="SEE36" s="292"/>
      <c r="SEF36" s="292"/>
      <c r="SEG36" s="292"/>
      <c r="SEH36" s="292"/>
      <c r="SEI36" s="292"/>
      <c r="SEJ36" s="292"/>
      <c r="SEK36" s="292"/>
      <c r="SEL36" s="292"/>
      <c r="SEM36" s="292"/>
      <c r="SEN36" s="292"/>
      <c r="SEO36" s="292"/>
      <c r="SEP36" s="292"/>
      <c r="SEQ36" s="292"/>
      <c r="SER36" s="292"/>
      <c r="SES36" s="292"/>
      <c r="SET36" s="292"/>
      <c r="SEU36" s="292"/>
      <c r="SEV36" s="292"/>
      <c r="SEW36" s="292"/>
      <c r="SEX36" s="292"/>
      <c r="SEY36" s="292"/>
      <c r="SEZ36" s="292"/>
      <c r="SFA36" s="292"/>
      <c r="SFB36" s="292"/>
      <c r="SFC36" s="292"/>
      <c r="SFD36" s="292"/>
      <c r="SFE36" s="292"/>
      <c r="SFF36" s="292"/>
      <c r="SFG36" s="292"/>
      <c r="SFH36" s="292"/>
      <c r="SFI36" s="292"/>
      <c r="SFJ36" s="292"/>
      <c r="SFK36" s="292"/>
      <c r="SFL36" s="292"/>
      <c r="SFM36" s="292"/>
      <c r="SFN36" s="292"/>
      <c r="SFO36" s="292"/>
      <c r="SFP36" s="292"/>
      <c r="SFQ36" s="292"/>
      <c r="SFR36" s="292"/>
      <c r="SFS36" s="292"/>
      <c r="SFT36" s="292"/>
      <c r="SFU36" s="292"/>
      <c r="SFV36" s="292"/>
      <c r="SFW36" s="292"/>
      <c r="SFX36" s="292"/>
      <c r="SFY36" s="292"/>
      <c r="SFZ36" s="292"/>
      <c r="SGA36" s="292"/>
      <c r="SGB36" s="292"/>
      <c r="SGC36" s="292"/>
      <c r="SGD36" s="292"/>
      <c r="SGE36" s="292"/>
      <c r="SGF36" s="292"/>
      <c r="SGG36" s="292"/>
      <c r="SGH36" s="292"/>
      <c r="SGI36" s="292"/>
      <c r="SGJ36" s="292"/>
      <c r="SGK36" s="292"/>
      <c r="SGL36" s="292"/>
      <c r="SGM36" s="292"/>
      <c r="SGN36" s="292"/>
      <c r="SGO36" s="292"/>
      <c r="SGP36" s="292"/>
      <c r="SGQ36" s="292"/>
      <c r="SGR36" s="292"/>
      <c r="SGS36" s="292"/>
      <c r="SGT36" s="292"/>
      <c r="SGU36" s="292"/>
      <c r="SGV36" s="292"/>
      <c r="SGW36" s="292"/>
      <c r="SGX36" s="292"/>
      <c r="SGY36" s="292"/>
      <c r="SGZ36" s="292"/>
      <c r="SHA36" s="292"/>
      <c r="SHB36" s="292"/>
      <c r="SHC36" s="292"/>
      <c r="SHD36" s="292"/>
      <c r="SHE36" s="292"/>
      <c r="SHF36" s="292"/>
      <c r="SHG36" s="292"/>
      <c r="SHH36" s="292"/>
      <c r="SHI36" s="292"/>
      <c r="SHJ36" s="292"/>
      <c r="SHK36" s="292"/>
      <c r="SHL36" s="292"/>
      <c r="SHM36" s="292"/>
      <c r="SHN36" s="292"/>
      <c r="SHO36" s="292"/>
      <c r="SHP36" s="292"/>
      <c r="SHQ36" s="292"/>
      <c r="SHR36" s="292"/>
      <c r="SHS36" s="292"/>
      <c r="SHT36" s="292"/>
      <c r="SHU36" s="292"/>
      <c r="SHV36" s="292"/>
      <c r="SHW36" s="292"/>
      <c r="SHX36" s="292"/>
      <c r="SHY36" s="292"/>
      <c r="SHZ36" s="292"/>
      <c r="SIA36" s="292"/>
      <c r="SIB36" s="292"/>
      <c r="SIC36" s="292"/>
      <c r="SID36" s="292"/>
      <c r="SIE36" s="292"/>
      <c r="SIF36" s="292"/>
      <c r="SIG36" s="292"/>
      <c r="SIH36" s="292"/>
      <c r="SII36" s="292"/>
      <c r="SIJ36" s="292"/>
      <c r="SIK36" s="292"/>
      <c r="SIL36" s="292"/>
      <c r="SIM36" s="292"/>
      <c r="SIN36" s="292"/>
      <c r="SIO36" s="292"/>
      <c r="SIP36" s="292"/>
      <c r="SIQ36" s="292"/>
      <c r="SIR36" s="292"/>
      <c r="SIS36" s="292"/>
      <c r="SIT36" s="292"/>
      <c r="SIU36" s="292"/>
      <c r="SIV36" s="292"/>
      <c r="SIW36" s="292"/>
      <c r="SIX36" s="292"/>
      <c r="SIY36" s="292"/>
      <c r="SIZ36" s="292"/>
      <c r="SJA36" s="292"/>
      <c r="SJB36" s="292"/>
      <c r="SJC36" s="292"/>
      <c r="SJD36" s="292"/>
      <c r="SJE36" s="292"/>
      <c r="SJF36" s="292"/>
      <c r="SJG36" s="292"/>
      <c r="SJH36" s="292"/>
      <c r="SJI36" s="292"/>
      <c r="SJJ36" s="292"/>
      <c r="SJK36" s="292"/>
      <c r="SJL36" s="292"/>
      <c r="SJM36" s="292"/>
      <c r="SJN36" s="292"/>
      <c r="SJO36" s="292"/>
      <c r="SJP36" s="292"/>
      <c r="SJQ36" s="292"/>
      <c r="SJR36" s="292"/>
      <c r="SJS36" s="292"/>
      <c r="SJT36" s="292"/>
      <c r="SJU36" s="292"/>
      <c r="SJV36" s="292"/>
      <c r="SJW36" s="292"/>
      <c r="SJX36" s="292"/>
      <c r="SJY36" s="292"/>
      <c r="SJZ36" s="292"/>
      <c r="SKA36" s="292"/>
      <c r="SKB36" s="292"/>
      <c r="SKC36" s="292"/>
      <c r="SKD36" s="292"/>
      <c r="SKE36" s="292"/>
      <c r="SKF36" s="292"/>
      <c r="SKG36" s="292"/>
      <c r="SKH36" s="292"/>
      <c r="SKI36" s="292"/>
      <c r="SKJ36" s="292"/>
      <c r="SKK36" s="292"/>
      <c r="SKL36" s="292"/>
      <c r="SKM36" s="292"/>
      <c r="SKN36" s="292"/>
      <c r="SKO36" s="292"/>
      <c r="SKP36" s="292"/>
      <c r="SKQ36" s="292"/>
      <c r="SKR36" s="292"/>
      <c r="SKS36" s="292"/>
      <c r="SKT36" s="292"/>
      <c r="SKU36" s="292"/>
      <c r="SKV36" s="292"/>
      <c r="SKW36" s="292"/>
      <c r="SKX36" s="292"/>
      <c r="SKY36" s="292"/>
      <c r="SKZ36" s="292"/>
      <c r="SLA36" s="292"/>
      <c r="SLB36" s="292"/>
      <c r="SLC36" s="292"/>
      <c r="SLD36" s="292"/>
      <c r="SLE36" s="292"/>
      <c r="SLF36" s="292"/>
      <c r="SLG36" s="292"/>
      <c r="SLH36" s="292"/>
      <c r="SLI36" s="292"/>
      <c r="SLJ36" s="292"/>
      <c r="SLK36" s="292"/>
      <c r="SLL36" s="292"/>
      <c r="SLM36" s="292"/>
      <c r="SLN36" s="292"/>
      <c r="SLO36" s="292"/>
      <c r="SLP36" s="292"/>
      <c r="SLQ36" s="292"/>
      <c r="SLR36" s="292"/>
      <c r="SLS36" s="292"/>
      <c r="SLT36" s="292"/>
      <c r="SLU36" s="292"/>
      <c r="SLV36" s="292"/>
      <c r="SLW36" s="292"/>
      <c r="SLX36" s="292"/>
      <c r="SLY36" s="292"/>
      <c r="SLZ36" s="292"/>
      <c r="SMA36" s="292"/>
      <c r="SMB36" s="292"/>
      <c r="SMC36" s="292"/>
      <c r="SMD36" s="292"/>
      <c r="SME36" s="292"/>
      <c r="SMF36" s="292"/>
      <c r="SMG36" s="292"/>
      <c r="SMH36" s="292"/>
      <c r="SMI36" s="292"/>
      <c r="SMJ36" s="292"/>
      <c r="SMK36" s="292"/>
      <c r="SML36" s="292"/>
      <c r="SMM36" s="292"/>
      <c r="SMN36" s="292"/>
      <c r="SMO36" s="292"/>
      <c r="SMP36" s="292"/>
      <c r="SMQ36" s="292"/>
      <c r="SMR36" s="292"/>
      <c r="SMS36" s="292"/>
      <c r="SMT36" s="292"/>
      <c r="SMU36" s="292"/>
      <c r="SMV36" s="292"/>
      <c r="SMW36" s="292"/>
      <c r="SMX36" s="292"/>
      <c r="SMY36" s="292"/>
      <c r="SMZ36" s="292"/>
      <c r="SNA36" s="292"/>
      <c r="SNB36" s="292"/>
      <c r="SNC36" s="292"/>
      <c r="SND36" s="292"/>
      <c r="SNE36" s="292"/>
      <c r="SNF36" s="292"/>
      <c r="SNG36" s="292"/>
      <c r="SNH36" s="292"/>
      <c r="SNI36" s="292"/>
      <c r="SNJ36" s="292"/>
      <c r="SNK36" s="292"/>
      <c r="SNL36" s="292"/>
      <c r="SNM36" s="292"/>
      <c r="SNN36" s="292"/>
      <c r="SNO36" s="292"/>
      <c r="SNP36" s="292"/>
      <c r="SNQ36" s="292"/>
      <c r="SNR36" s="292"/>
      <c r="SNS36" s="292"/>
      <c r="SNT36" s="292"/>
      <c r="SNU36" s="292"/>
      <c r="SNV36" s="292"/>
      <c r="SNW36" s="292"/>
      <c r="SNX36" s="292"/>
      <c r="SNY36" s="292"/>
      <c r="SNZ36" s="292"/>
      <c r="SOA36" s="292"/>
      <c r="SOB36" s="292"/>
      <c r="SOC36" s="292"/>
      <c r="SOD36" s="292"/>
      <c r="SOE36" s="292"/>
      <c r="SOF36" s="292"/>
      <c r="SOG36" s="292"/>
      <c r="SOH36" s="292"/>
      <c r="SOI36" s="292"/>
      <c r="SOJ36" s="292"/>
      <c r="SOK36" s="292"/>
      <c r="SOL36" s="292"/>
      <c r="SOM36" s="292"/>
      <c r="SON36" s="292"/>
      <c r="SOO36" s="292"/>
      <c r="SOP36" s="292"/>
      <c r="SOQ36" s="292"/>
      <c r="SOR36" s="292"/>
      <c r="SOS36" s="292"/>
      <c r="SOT36" s="292"/>
      <c r="SOU36" s="292"/>
      <c r="SOV36" s="292"/>
      <c r="SOW36" s="292"/>
      <c r="SOX36" s="292"/>
      <c r="SOY36" s="292"/>
      <c r="SOZ36" s="292"/>
      <c r="SPA36" s="292"/>
      <c r="SPB36" s="292"/>
      <c r="SPC36" s="292"/>
      <c r="SPD36" s="292"/>
      <c r="SPE36" s="292"/>
      <c r="SPF36" s="292"/>
      <c r="SPG36" s="292"/>
      <c r="SPH36" s="292"/>
      <c r="SPI36" s="292"/>
      <c r="SPJ36" s="292"/>
      <c r="SPK36" s="292"/>
      <c r="SPL36" s="292"/>
      <c r="SPM36" s="292"/>
      <c r="SPN36" s="292"/>
      <c r="SPO36" s="292"/>
      <c r="SPP36" s="292"/>
      <c r="SPQ36" s="292"/>
      <c r="SPR36" s="292"/>
      <c r="SPS36" s="292"/>
      <c r="SPT36" s="292"/>
      <c r="SPU36" s="292"/>
      <c r="SPV36" s="292"/>
      <c r="SPW36" s="292"/>
      <c r="SPX36" s="292"/>
      <c r="SPY36" s="292"/>
      <c r="SPZ36" s="292"/>
      <c r="SQA36" s="292"/>
      <c r="SQB36" s="292"/>
      <c r="SQC36" s="292"/>
      <c r="SQD36" s="292"/>
      <c r="SQE36" s="292"/>
      <c r="SQF36" s="292"/>
      <c r="SQG36" s="292"/>
      <c r="SQH36" s="292"/>
      <c r="SQI36" s="292"/>
      <c r="SQJ36" s="292"/>
      <c r="SQK36" s="292"/>
      <c r="SQL36" s="292"/>
      <c r="SQM36" s="292"/>
      <c r="SQN36" s="292"/>
      <c r="SQO36" s="292"/>
      <c r="SQP36" s="292"/>
      <c r="SQQ36" s="292"/>
      <c r="SQR36" s="292"/>
      <c r="SQS36" s="292"/>
      <c r="SQT36" s="292"/>
      <c r="SQU36" s="292"/>
      <c r="SQV36" s="292"/>
      <c r="SQW36" s="292"/>
      <c r="SQX36" s="292"/>
      <c r="SQY36" s="292"/>
      <c r="SQZ36" s="292"/>
      <c r="SRA36" s="292"/>
      <c r="SRB36" s="292"/>
      <c r="SRC36" s="292"/>
      <c r="SRD36" s="292"/>
      <c r="SRE36" s="292"/>
      <c r="SRF36" s="292"/>
      <c r="SRG36" s="292"/>
      <c r="SRH36" s="292"/>
      <c r="SRI36" s="292"/>
      <c r="SRJ36" s="292"/>
      <c r="SRK36" s="292"/>
      <c r="SRL36" s="292"/>
      <c r="SRM36" s="292"/>
      <c r="SRN36" s="292"/>
      <c r="SRO36" s="292"/>
      <c r="SRP36" s="292"/>
      <c r="SRQ36" s="292"/>
      <c r="SRR36" s="292"/>
      <c r="SRS36" s="292"/>
      <c r="SRT36" s="292"/>
      <c r="SRU36" s="292"/>
      <c r="SRV36" s="292"/>
      <c r="SRW36" s="292"/>
      <c r="SRX36" s="292"/>
      <c r="SRY36" s="292"/>
      <c r="SRZ36" s="292"/>
      <c r="SSA36" s="292"/>
      <c r="SSB36" s="292"/>
      <c r="SSC36" s="292"/>
      <c r="SSD36" s="292"/>
      <c r="SSE36" s="292"/>
      <c r="SSF36" s="292"/>
      <c r="SSG36" s="292"/>
      <c r="SSH36" s="292"/>
      <c r="SSI36" s="292"/>
      <c r="SSJ36" s="292"/>
      <c r="SSK36" s="292"/>
      <c r="SSL36" s="292"/>
      <c r="SSM36" s="292"/>
      <c r="SSN36" s="292"/>
      <c r="SSO36" s="292"/>
      <c r="SSP36" s="292"/>
      <c r="SSQ36" s="292"/>
      <c r="SSR36" s="292"/>
      <c r="SSS36" s="292"/>
      <c r="SST36" s="292"/>
      <c r="SSU36" s="292"/>
      <c r="SSV36" s="292"/>
      <c r="SSW36" s="292"/>
      <c r="SSX36" s="292"/>
      <c r="SSY36" s="292"/>
      <c r="SSZ36" s="292"/>
      <c r="STA36" s="292"/>
      <c r="STB36" s="292"/>
      <c r="STC36" s="292"/>
      <c r="STD36" s="292"/>
      <c r="STE36" s="292"/>
      <c r="STF36" s="292"/>
      <c r="STG36" s="292"/>
      <c r="STH36" s="292"/>
      <c r="STI36" s="292"/>
      <c r="STJ36" s="292"/>
      <c r="STK36" s="292"/>
      <c r="STL36" s="292"/>
      <c r="STM36" s="292"/>
      <c r="STN36" s="292"/>
      <c r="STO36" s="292"/>
      <c r="STP36" s="292"/>
      <c r="STQ36" s="292"/>
      <c r="STR36" s="292"/>
      <c r="STS36" s="292"/>
      <c r="STT36" s="292"/>
      <c r="STU36" s="292"/>
      <c r="STV36" s="292"/>
      <c r="STW36" s="292"/>
      <c r="STX36" s="292"/>
      <c r="STY36" s="292"/>
      <c r="STZ36" s="292"/>
      <c r="SUA36" s="292"/>
      <c r="SUB36" s="292"/>
      <c r="SUC36" s="292"/>
      <c r="SUD36" s="292"/>
      <c r="SUE36" s="292"/>
      <c r="SUF36" s="292"/>
      <c r="SUG36" s="292"/>
      <c r="SUH36" s="292"/>
      <c r="SUI36" s="292"/>
      <c r="SUJ36" s="292"/>
      <c r="SUK36" s="292"/>
      <c r="SUL36" s="292"/>
      <c r="SUM36" s="292"/>
      <c r="SUN36" s="292"/>
      <c r="SUO36" s="292"/>
      <c r="SUP36" s="292"/>
      <c r="SUQ36" s="292"/>
      <c r="SUR36" s="292"/>
      <c r="SUS36" s="292"/>
      <c r="SUT36" s="292"/>
      <c r="SUU36" s="292"/>
      <c r="SUV36" s="292"/>
      <c r="SUW36" s="292"/>
      <c r="SUX36" s="292"/>
      <c r="SUY36" s="292"/>
      <c r="SUZ36" s="292"/>
      <c r="SVA36" s="292"/>
      <c r="SVB36" s="292"/>
      <c r="SVC36" s="292"/>
      <c r="SVD36" s="292"/>
      <c r="SVE36" s="292"/>
      <c r="SVF36" s="292"/>
      <c r="SVG36" s="292"/>
      <c r="SVH36" s="292"/>
      <c r="SVI36" s="292"/>
      <c r="SVJ36" s="292"/>
      <c r="SVK36" s="292"/>
      <c r="SVL36" s="292"/>
      <c r="SVM36" s="292"/>
      <c r="SVN36" s="292"/>
      <c r="SVO36" s="292"/>
      <c r="SVP36" s="292"/>
      <c r="SVQ36" s="292"/>
      <c r="SVR36" s="292"/>
      <c r="SVS36" s="292"/>
      <c r="SVT36" s="292"/>
      <c r="SVU36" s="292"/>
      <c r="SVV36" s="292"/>
      <c r="SVW36" s="292"/>
      <c r="SVX36" s="292"/>
      <c r="SVY36" s="292"/>
      <c r="SVZ36" s="292"/>
      <c r="SWA36" s="292"/>
      <c r="SWB36" s="292"/>
      <c r="SWC36" s="292"/>
      <c r="SWD36" s="292"/>
      <c r="SWE36" s="292"/>
      <c r="SWF36" s="292"/>
      <c r="SWG36" s="292"/>
      <c r="SWH36" s="292"/>
      <c r="SWI36" s="292"/>
      <c r="SWJ36" s="292"/>
      <c r="SWK36" s="292"/>
      <c r="SWL36" s="292"/>
      <c r="SWM36" s="292"/>
      <c r="SWN36" s="292"/>
      <c r="SWO36" s="292"/>
      <c r="SWP36" s="292"/>
      <c r="SWQ36" s="292"/>
      <c r="SWR36" s="292"/>
      <c r="SWS36" s="292"/>
      <c r="SWT36" s="292"/>
      <c r="SWU36" s="292"/>
      <c r="SWV36" s="292"/>
      <c r="SWW36" s="292"/>
      <c r="SWX36" s="292"/>
      <c r="SWY36" s="292"/>
      <c r="SWZ36" s="292"/>
      <c r="SXA36" s="292"/>
      <c r="SXB36" s="292"/>
      <c r="SXC36" s="292"/>
      <c r="SXD36" s="292"/>
      <c r="SXE36" s="292"/>
      <c r="SXF36" s="292"/>
      <c r="SXG36" s="292"/>
      <c r="SXH36" s="292"/>
      <c r="SXI36" s="292"/>
      <c r="SXJ36" s="292"/>
      <c r="SXK36" s="292"/>
      <c r="SXL36" s="292"/>
      <c r="SXM36" s="292"/>
      <c r="SXN36" s="292"/>
      <c r="SXO36" s="292"/>
      <c r="SXP36" s="292"/>
      <c r="SXQ36" s="292"/>
      <c r="SXR36" s="292"/>
      <c r="SXS36" s="292"/>
      <c r="SXT36" s="292"/>
      <c r="SXU36" s="292"/>
      <c r="SXV36" s="292"/>
      <c r="SXW36" s="292"/>
      <c r="SXX36" s="292"/>
      <c r="SXY36" s="292"/>
      <c r="SXZ36" s="292"/>
      <c r="SYA36" s="292"/>
      <c r="SYB36" s="292"/>
      <c r="SYC36" s="292"/>
      <c r="SYD36" s="292"/>
      <c r="SYE36" s="292"/>
      <c r="SYF36" s="292"/>
      <c r="SYG36" s="292"/>
      <c r="SYH36" s="292"/>
      <c r="SYI36" s="292"/>
      <c r="SYJ36" s="292"/>
      <c r="SYK36" s="292"/>
      <c r="SYL36" s="292"/>
      <c r="SYM36" s="292"/>
      <c r="SYN36" s="292"/>
      <c r="SYO36" s="292"/>
      <c r="SYP36" s="292"/>
      <c r="SYQ36" s="292"/>
      <c r="SYR36" s="292"/>
      <c r="SYS36" s="292"/>
      <c r="SYT36" s="292"/>
      <c r="SYU36" s="292"/>
      <c r="SYV36" s="292"/>
      <c r="SYW36" s="292"/>
      <c r="SYX36" s="292"/>
      <c r="SYY36" s="292"/>
      <c r="SYZ36" s="292"/>
      <c r="SZA36" s="292"/>
      <c r="SZB36" s="292"/>
      <c r="SZC36" s="292"/>
      <c r="SZD36" s="292"/>
      <c r="SZE36" s="292"/>
      <c r="SZF36" s="292"/>
      <c r="SZG36" s="292"/>
      <c r="SZH36" s="292"/>
      <c r="SZI36" s="292"/>
      <c r="SZJ36" s="292"/>
      <c r="SZK36" s="292"/>
      <c r="SZL36" s="292"/>
      <c r="SZM36" s="292"/>
      <c r="SZN36" s="292"/>
      <c r="SZO36" s="292"/>
      <c r="SZP36" s="292"/>
      <c r="SZQ36" s="292"/>
      <c r="SZR36" s="292"/>
      <c r="SZS36" s="292"/>
      <c r="SZT36" s="292"/>
      <c r="SZU36" s="292"/>
      <c r="SZV36" s="292"/>
      <c r="SZW36" s="292"/>
      <c r="SZX36" s="292"/>
      <c r="SZY36" s="292"/>
      <c r="SZZ36" s="292"/>
      <c r="TAA36" s="292"/>
      <c r="TAB36" s="292"/>
      <c r="TAC36" s="292"/>
      <c r="TAD36" s="292"/>
      <c r="TAE36" s="292"/>
      <c r="TAF36" s="292"/>
      <c r="TAG36" s="292"/>
      <c r="TAH36" s="292"/>
      <c r="TAI36" s="292"/>
      <c r="TAJ36" s="292"/>
      <c r="TAK36" s="292"/>
      <c r="TAL36" s="292"/>
      <c r="TAM36" s="292"/>
      <c r="TAN36" s="292"/>
      <c r="TAO36" s="292"/>
      <c r="TAP36" s="292"/>
      <c r="TAQ36" s="292"/>
      <c r="TAR36" s="292"/>
      <c r="TAS36" s="292"/>
      <c r="TAT36" s="292"/>
      <c r="TAU36" s="292"/>
      <c r="TAV36" s="292"/>
      <c r="TAW36" s="292"/>
      <c r="TAX36" s="292"/>
      <c r="TAY36" s="292"/>
      <c r="TAZ36" s="292"/>
      <c r="TBA36" s="292"/>
      <c r="TBB36" s="292"/>
      <c r="TBC36" s="292"/>
      <c r="TBD36" s="292"/>
      <c r="TBE36" s="292"/>
      <c r="TBF36" s="292"/>
      <c r="TBG36" s="292"/>
      <c r="TBH36" s="292"/>
      <c r="TBI36" s="292"/>
      <c r="TBJ36" s="292"/>
      <c r="TBK36" s="292"/>
      <c r="TBL36" s="292"/>
      <c r="TBM36" s="292"/>
      <c r="TBN36" s="292"/>
      <c r="TBO36" s="292"/>
      <c r="TBP36" s="292"/>
      <c r="TBQ36" s="292"/>
      <c r="TBR36" s="292"/>
      <c r="TBS36" s="292"/>
      <c r="TBT36" s="292"/>
      <c r="TBU36" s="292"/>
      <c r="TBV36" s="292"/>
      <c r="TBW36" s="292"/>
      <c r="TBX36" s="292"/>
      <c r="TBY36" s="292"/>
      <c r="TBZ36" s="292"/>
      <c r="TCA36" s="292"/>
      <c r="TCB36" s="292"/>
      <c r="TCC36" s="292"/>
      <c r="TCD36" s="292"/>
      <c r="TCE36" s="292"/>
      <c r="TCF36" s="292"/>
      <c r="TCG36" s="292"/>
      <c r="TCH36" s="292"/>
      <c r="TCI36" s="292"/>
      <c r="TCJ36" s="292"/>
      <c r="TCK36" s="292"/>
      <c r="TCL36" s="292"/>
      <c r="TCM36" s="292"/>
      <c r="TCN36" s="292"/>
      <c r="TCO36" s="292"/>
      <c r="TCP36" s="292"/>
      <c r="TCQ36" s="292"/>
      <c r="TCR36" s="292"/>
      <c r="TCS36" s="292"/>
      <c r="TCT36" s="292"/>
      <c r="TCU36" s="292"/>
      <c r="TCV36" s="292"/>
      <c r="TCW36" s="292"/>
      <c r="TCX36" s="292"/>
      <c r="TCY36" s="292"/>
      <c r="TCZ36" s="292"/>
      <c r="TDA36" s="292"/>
      <c r="TDB36" s="292"/>
      <c r="TDC36" s="292"/>
      <c r="TDD36" s="292"/>
      <c r="TDE36" s="292"/>
      <c r="TDF36" s="292"/>
      <c r="TDG36" s="292"/>
      <c r="TDH36" s="292"/>
      <c r="TDI36" s="292"/>
      <c r="TDJ36" s="292"/>
      <c r="TDK36" s="292"/>
      <c r="TDL36" s="292"/>
      <c r="TDM36" s="292"/>
      <c r="TDN36" s="292"/>
      <c r="TDO36" s="292"/>
      <c r="TDP36" s="292"/>
      <c r="TDQ36" s="292"/>
      <c r="TDR36" s="292"/>
      <c r="TDS36" s="292"/>
      <c r="TDT36" s="292"/>
      <c r="TDU36" s="292"/>
      <c r="TDV36" s="292"/>
      <c r="TDW36" s="292"/>
      <c r="TDX36" s="292"/>
      <c r="TDY36" s="292"/>
      <c r="TDZ36" s="292"/>
      <c r="TEA36" s="292"/>
      <c r="TEB36" s="292"/>
      <c r="TEC36" s="292"/>
      <c r="TED36" s="292"/>
      <c r="TEE36" s="292"/>
      <c r="TEF36" s="292"/>
      <c r="TEG36" s="292"/>
      <c r="TEH36" s="292"/>
      <c r="TEI36" s="292"/>
      <c r="TEJ36" s="292"/>
      <c r="TEK36" s="292"/>
      <c r="TEL36" s="292"/>
      <c r="TEM36" s="292"/>
      <c r="TEN36" s="292"/>
      <c r="TEO36" s="292"/>
      <c r="TEP36" s="292"/>
      <c r="TEQ36" s="292"/>
      <c r="TER36" s="292"/>
      <c r="TES36" s="292"/>
      <c r="TET36" s="292"/>
      <c r="TEU36" s="292"/>
      <c r="TEV36" s="292"/>
      <c r="TEW36" s="292"/>
      <c r="TEX36" s="292"/>
      <c r="TEY36" s="292"/>
      <c r="TEZ36" s="292"/>
      <c r="TFA36" s="292"/>
      <c r="TFB36" s="292"/>
      <c r="TFC36" s="292"/>
      <c r="TFD36" s="292"/>
      <c r="TFE36" s="292"/>
      <c r="TFF36" s="292"/>
      <c r="TFG36" s="292"/>
      <c r="TFH36" s="292"/>
      <c r="TFI36" s="292"/>
      <c r="TFJ36" s="292"/>
      <c r="TFK36" s="292"/>
      <c r="TFL36" s="292"/>
      <c r="TFM36" s="292"/>
      <c r="TFN36" s="292"/>
      <c r="TFO36" s="292"/>
      <c r="TFP36" s="292"/>
      <c r="TFQ36" s="292"/>
      <c r="TFR36" s="292"/>
      <c r="TFS36" s="292"/>
      <c r="TFT36" s="292"/>
      <c r="TFU36" s="292"/>
      <c r="TFV36" s="292"/>
      <c r="TFW36" s="292"/>
      <c r="TFX36" s="292"/>
      <c r="TFY36" s="292"/>
      <c r="TFZ36" s="292"/>
      <c r="TGA36" s="292"/>
      <c r="TGB36" s="292"/>
      <c r="TGC36" s="292"/>
      <c r="TGD36" s="292"/>
      <c r="TGE36" s="292"/>
      <c r="TGF36" s="292"/>
      <c r="TGG36" s="292"/>
      <c r="TGH36" s="292"/>
      <c r="TGI36" s="292"/>
      <c r="TGJ36" s="292"/>
      <c r="TGK36" s="292"/>
      <c r="TGL36" s="292"/>
      <c r="TGM36" s="292"/>
      <c r="TGN36" s="292"/>
      <c r="TGO36" s="292"/>
      <c r="TGP36" s="292"/>
      <c r="TGQ36" s="292"/>
      <c r="TGR36" s="292"/>
      <c r="TGS36" s="292"/>
      <c r="TGT36" s="292"/>
      <c r="TGU36" s="292"/>
      <c r="TGV36" s="292"/>
      <c r="TGW36" s="292"/>
      <c r="TGX36" s="292"/>
      <c r="TGY36" s="292"/>
      <c r="TGZ36" s="292"/>
      <c r="THA36" s="292"/>
      <c r="THB36" s="292"/>
      <c r="THC36" s="292"/>
      <c r="THD36" s="292"/>
      <c r="THE36" s="292"/>
      <c r="THF36" s="292"/>
      <c r="THG36" s="292"/>
      <c r="THH36" s="292"/>
      <c r="THI36" s="292"/>
      <c r="THJ36" s="292"/>
      <c r="THK36" s="292"/>
      <c r="THL36" s="292"/>
      <c r="THM36" s="292"/>
      <c r="THN36" s="292"/>
      <c r="THO36" s="292"/>
      <c r="THP36" s="292"/>
      <c r="THQ36" s="292"/>
      <c r="THR36" s="292"/>
      <c r="THS36" s="292"/>
      <c r="THT36" s="292"/>
      <c r="THU36" s="292"/>
      <c r="THV36" s="292"/>
      <c r="THW36" s="292"/>
      <c r="THX36" s="292"/>
      <c r="THY36" s="292"/>
      <c r="THZ36" s="292"/>
      <c r="TIA36" s="292"/>
      <c r="TIB36" s="292"/>
      <c r="TIC36" s="292"/>
      <c r="TID36" s="292"/>
      <c r="TIE36" s="292"/>
      <c r="TIF36" s="292"/>
      <c r="TIG36" s="292"/>
      <c r="TIH36" s="292"/>
      <c r="TII36" s="292"/>
      <c r="TIJ36" s="292"/>
      <c r="TIK36" s="292"/>
      <c r="TIL36" s="292"/>
      <c r="TIM36" s="292"/>
      <c r="TIN36" s="292"/>
      <c r="TIO36" s="292"/>
      <c r="TIP36" s="292"/>
      <c r="TIQ36" s="292"/>
      <c r="TIR36" s="292"/>
      <c r="TIS36" s="292"/>
      <c r="TIT36" s="292"/>
      <c r="TIU36" s="292"/>
      <c r="TIV36" s="292"/>
      <c r="TIW36" s="292"/>
      <c r="TIX36" s="292"/>
      <c r="TIY36" s="292"/>
      <c r="TIZ36" s="292"/>
      <c r="TJA36" s="292"/>
      <c r="TJB36" s="292"/>
      <c r="TJC36" s="292"/>
      <c r="TJD36" s="292"/>
      <c r="TJE36" s="292"/>
      <c r="TJF36" s="292"/>
      <c r="TJG36" s="292"/>
      <c r="TJH36" s="292"/>
      <c r="TJI36" s="292"/>
      <c r="TJJ36" s="292"/>
      <c r="TJK36" s="292"/>
      <c r="TJL36" s="292"/>
      <c r="TJM36" s="292"/>
      <c r="TJN36" s="292"/>
      <c r="TJO36" s="292"/>
      <c r="TJP36" s="292"/>
      <c r="TJQ36" s="292"/>
      <c r="TJR36" s="292"/>
      <c r="TJS36" s="292"/>
      <c r="TJT36" s="292"/>
      <c r="TJU36" s="292"/>
      <c r="TJV36" s="292"/>
      <c r="TJW36" s="292"/>
      <c r="TJX36" s="292"/>
      <c r="TJY36" s="292"/>
      <c r="TJZ36" s="292"/>
      <c r="TKA36" s="292"/>
      <c r="TKB36" s="292"/>
      <c r="TKC36" s="292"/>
      <c r="TKD36" s="292"/>
      <c r="TKE36" s="292"/>
      <c r="TKF36" s="292"/>
      <c r="TKG36" s="292"/>
      <c r="TKH36" s="292"/>
      <c r="TKI36" s="292"/>
      <c r="TKJ36" s="292"/>
      <c r="TKK36" s="292"/>
      <c r="TKL36" s="292"/>
      <c r="TKM36" s="292"/>
      <c r="TKN36" s="292"/>
      <c r="TKO36" s="292"/>
      <c r="TKP36" s="292"/>
      <c r="TKQ36" s="292"/>
      <c r="TKR36" s="292"/>
      <c r="TKS36" s="292"/>
      <c r="TKT36" s="292"/>
      <c r="TKU36" s="292"/>
      <c r="TKV36" s="292"/>
      <c r="TKW36" s="292"/>
      <c r="TKX36" s="292"/>
      <c r="TKY36" s="292"/>
      <c r="TKZ36" s="292"/>
      <c r="TLA36" s="292"/>
      <c r="TLB36" s="292"/>
      <c r="TLC36" s="292"/>
      <c r="TLD36" s="292"/>
      <c r="TLE36" s="292"/>
      <c r="TLF36" s="292"/>
      <c r="TLG36" s="292"/>
      <c r="TLH36" s="292"/>
      <c r="TLI36" s="292"/>
      <c r="TLJ36" s="292"/>
      <c r="TLK36" s="292"/>
      <c r="TLL36" s="292"/>
      <c r="TLM36" s="292"/>
      <c r="TLN36" s="292"/>
      <c r="TLO36" s="292"/>
      <c r="TLP36" s="292"/>
      <c r="TLQ36" s="292"/>
      <c r="TLR36" s="292"/>
      <c r="TLS36" s="292"/>
      <c r="TLT36" s="292"/>
      <c r="TLU36" s="292"/>
      <c r="TLV36" s="292"/>
      <c r="TLW36" s="292"/>
      <c r="TLX36" s="292"/>
      <c r="TLY36" s="292"/>
      <c r="TLZ36" s="292"/>
      <c r="TMA36" s="292"/>
      <c r="TMB36" s="292"/>
      <c r="TMC36" s="292"/>
      <c r="TMD36" s="292"/>
      <c r="TME36" s="292"/>
      <c r="TMF36" s="292"/>
      <c r="TMG36" s="292"/>
      <c r="TMH36" s="292"/>
      <c r="TMI36" s="292"/>
      <c r="TMJ36" s="292"/>
      <c r="TMK36" s="292"/>
      <c r="TML36" s="292"/>
      <c r="TMM36" s="292"/>
      <c r="TMN36" s="292"/>
      <c r="TMO36" s="292"/>
      <c r="TMP36" s="292"/>
      <c r="TMQ36" s="292"/>
      <c r="TMR36" s="292"/>
      <c r="TMS36" s="292"/>
      <c r="TMT36" s="292"/>
      <c r="TMU36" s="292"/>
      <c r="TMV36" s="292"/>
      <c r="TMW36" s="292"/>
      <c r="TMX36" s="292"/>
      <c r="TMY36" s="292"/>
      <c r="TMZ36" s="292"/>
      <c r="TNA36" s="292"/>
      <c r="TNB36" s="292"/>
      <c r="TNC36" s="292"/>
      <c r="TND36" s="292"/>
      <c r="TNE36" s="292"/>
      <c r="TNF36" s="292"/>
      <c r="TNG36" s="292"/>
      <c r="TNH36" s="292"/>
      <c r="TNI36" s="292"/>
      <c r="TNJ36" s="292"/>
      <c r="TNK36" s="292"/>
      <c r="TNL36" s="292"/>
      <c r="TNM36" s="292"/>
      <c r="TNN36" s="292"/>
      <c r="TNO36" s="292"/>
      <c r="TNP36" s="292"/>
      <c r="TNQ36" s="292"/>
      <c r="TNR36" s="292"/>
      <c r="TNS36" s="292"/>
      <c r="TNT36" s="292"/>
      <c r="TNU36" s="292"/>
      <c r="TNV36" s="292"/>
      <c r="TNW36" s="292"/>
      <c r="TNX36" s="292"/>
      <c r="TNY36" s="292"/>
      <c r="TNZ36" s="292"/>
      <c r="TOA36" s="292"/>
      <c r="TOB36" s="292"/>
      <c r="TOC36" s="292"/>
      <c r="TOD36" s="292"/>
      <c r="TOE36" s="292"/>
      <c r="TOF36" s="292"/>
      <c r="TOG36" s="292"/>
      <c r="TOH36" s="292"/>
      <c r="TOI36" s="292"/>
      <c r="TOJ36" s="292"/>
      <c r="TOK36" s="292"/>
      <c r="TOL36" s="292"/>
      <c r="TOM36" s="292"/>
      <c r="TON36" s="292"/>
      <c r="TOO36" s="292"/>
      <c r="TOP36" s="292"/>
      <c r="TOQ36" s="292"/>
      <c r="TOR36" s="292"/>
      <c r="TOS36" s="292"/>
      <c r="TOT36" s="292"/>
      <c r="TOU36" s="292"/>
      <c r="TOV36" s="292"/>
      <c r="TOW36" s="292"/>
      <c r="TOX36" s="292"/>
      <c r="TOY36" s="292"/>
      <c r="TOZ36" s="292"/>
      <c r="TPA36" s="292"/>
      <c r="TPB36" s="292"/>
      <c r="TPC36" s="292"/>
      <c r="TPD36" s="292"/>
      <c r="TPE36" s="292"/>
      <c r="TPF36" s="292"/>
      <c r="TPG36" s="292"/>
      <c r="TPH36" s="292"/>
      <c r="TPI36" s="292"/>
      <c r="TPJ36" s="292"/>
      <c r="TPK36" s="292"/>
      <c r="TPL36" s="292"/>
      <c r="TPM36" s="292"/>
      <c r="TPN36" s="292"/>
      <c r="TPO36" s="292"/>
      <c r="TPP36" s="292"/>
      <c r="TPQ36" s="292"/>
      <c r="TPR36" s="292"/>
      <c r="TPS36" s="292"/>
      <c r="TPT36" s="292"/>
      <c r="TPU36" s="292"/>
      <c r="TPV36" s="292"/>
      <c r="TPW36" s="292"/>
      <c r="TPX36" s="292"/>
      <c r="TPY36" s="292"/>
      <c r="TPZ36" s="292"/>
      <c r="TQA36" s="292"/>
      <c r="TQB36" s="292"/>
      <c r="TQC36" s="292"/>
      <c r="TQD36" s="292"/>
      <c r="TQE36" s="292"/>
      <c r="TQF36" s="292"/>
      <c r="TQG36" s="292"/>
      <c r="TQH36" s="292"/>
      <c r="TQI36" s="292"/>
      <c r="TQJ36" s="292"/>
      <c r="TQK36" s="292"/>
      <c r="TQL36" s="292"/>
      <c r="TQM36" s="292"/>
      <c r="TQN36" s="292"/>
      <c r="TQO36" s="292"/>
      <c r="TQP36" s="292"/>
      <c r="TQQ36" s="292"/>
      <c r="TQR36" s="292"/>
      <c r="TQS36" s="292"/>
      <c r="TQT36" s="292"/>
      <c r="TQU36" s="292"/>
      <c r="TQV36" s="292"/>
      <c r="TQW36" s="292"/>
      <c r="TQX36" s="292"/>
      <c r="TQY36" s="292"/>
      <c r="TQZ36" s="292"/>
      <c r="TRA36" s="292"/>
      <c r="TRB36" s="292"/>
      <c r="TRC36" s="292"/>
      <c r="TRD36" s="292"/>
      <c r="TRE36" s="292"/>
      <c r="TRF36" s="292"/>
      <c r="TRG36" s="292"/>
      <c r="TRH36" s="292"/>
      <c r="TRI36" s="292"/>
      <c r="TRJ36" s="292"/>
      <c r="TRK36" s="292"/>
      <c r="TRL36" s="292"/>
      <c r="TRM36" s="292"/>
      <c r="TRN36" s="292"/>
      <c r="TRO36" s="292"/>
      <c r="TRP36" s="292"/>
      <c r="TRQ36" s="292"/>
      <c r="TRR36" s="292"/>
      <c r="TRS36" s="292"/>
      <c r="TRT36" s="292"/>
      <c r="TRU36" s="292"/>
      <c r="TRV36" s="292"/>
      <c r="TRW36" s="292"/>
      <c r="TRX36" s="292"/>
      <c r="TRY36" s="292"/>
      <c r="TRZ36" s="292"/>
      <c r="TSA36" s="292"/>
      <c r="TSB36" s="292"/>
      <c r="TSC36" s="292"/>
      <c r="TSD36" s="292"/>
      <c r="TSE36" s="292"/>
      <c r="TSF36" s="292"/>
      <c r="TSG36" s="292"/>
      <c r="TSH36" s="292"/>
      <c r="TSI36" s="292"/>
      <c r="TSJ36" s="292"/>
      <c r="TSK36" s="292"/>
      <c r="TSL36" s="292"/>
      <c r="TSM36" s="292"/>
      <c r="TSN36" s="292"/>
      <c r="TSO36" s="292"/>
      <c r="TSP36" s="292"/>
      <c r="TSQ36" s="292"/>
      <c r="TSR36" s="292"/>
      <c r="TSS36" s="292"/>
      <c r="TST36" s="292"/>
      <c r="TSU36" s="292"/>
      <c r="TSV36" s="292"/>
      <c r="TSW36" s="292"/>
      <c r="TSX36" s="292"/>
      <c r="TSY36" s="292"/>
      <c r="TSZ36" s="292"/>
      <c r="TTA36" s="292"/>
      <c r="TTB36" s="292"/>
      <c r="TTC36" s="292"/>
      <c r="TTD36" s="292"/>
      <c r="TTE36" s="292"/>
      <c r="TTF36" s="292"/>
      <c r="TTG36" s="292"/>
      <c r="TTH36" s="292"/>
      <c r="TTI36" s="292"/>
      <c r="TTJ36" s="292"/>
      <c r="TTK36" s="292"/>
      <c r="TTL36" s="292"/>
      <c r="TTM36" s="292"/>
      <c r="TTN36" s="292"/>
      <c r="TTO36" s="292"/>
      <c r="TTP36" s="292"/>
      <c r="TTQ36" s="292"/>
      <c r="TTR36" s="292"/>
      <c r="TTS36" s="292"/>
      <c r="TTT36" s="292"/>
      <c r="TTU36" s="292"/>
      <c r="TTV36" s="292"/>
      <c r="TTW36" s="292"/>
      <c r="TTX36" s="292"/>
      <c r="TTY36" s="292"/>
      <c r="TTZ36" s="292"/>
      <c r="TUA36" s="292"/>
      <c r="TUB36" s="292"/>
      <c r="TUC36" s="292"/>
      <c r="TUD36" s="292"/>
      <c r="TUE36" s="292"/>
      <c r="TUF36" s="292"/>
      <c r="TUG36" s="292"/>
      <c r="TUH36" s="292"/>
      <c r="TUI36" s="292"/>
      <c r="TUJ36" s="292"/>
      <c r="TUK36" s="292"/>
      <c r="TUL36" s="292"/>
      <c r="TUM36" s="292"/>
      <c r="TUN36" s="292"/>
      <c r="TUO36" s="292"/>
      <c r="TUP36" s="292"/>
      <c r="TUQ36" s="292"/>
      <c r="TUR36" s="292"/>
      <c r="TUS36" s="292"/>
      <c r="TUT36" s="292"/>
      <c r="TUU36" s="292"/>
      <c r="TUV36" s="292"/>
      <c r="TUW36" s="292"/>
      <c r="TUX36" s="292"/>
      <c r="TUY36" s="292"/>
      <c r="TUZ36" s="292"/>
      <c r="TVA36" s="292"/>
      <c r="TVB36" s="292"/>
      <c r="TVC36" s="292"/>
      <c r="TVD36" s="292"/>
      <c r="TVE36" s="292"/>
      <c r="TVF36" s="292"/>
      <c r="TVG36" s="292"/>
      <c r="TVH36" s="292"/>
      <c r="TVI36" s="292"/>
      <c r="TVJ36" s="292"/>
      <c r="TVK36" s="292"/>
      <c r="TVL36" s="292"/>
      <c r="TVM36" s="292"/>
      <c r="TVN36" s="292"/>
      <c r="TVO36" s="292"/>
      <c r="TVP36" s="292"/>
      <c r="TVQ36" s="292"/>
      <c r="TVR36" s="292"/>
      <c r="TVS36" s="292"/>
      <c r="TVT36" s="292"/>
      <c r="TVU36" s="292"/>
      <c r="TVV36" s="292"/>
      <c r="TVW36" s="292"/>
      <c r="TVX36" s="292"/>
      <c r="TVY36" s="292"/>
      <c r="TVZ36" s="292"/>
      <c r="TWA36" s="292"/>
      <c r="TWB36" s="292"/>
      <c r="TWC36" s="292"/>
      <c r="TWD36" s="292"/>
      <c r="TWE36" s="292"/>
      <c r="TWF36" s="292"/>
      <c r="TWG36" s="292"/>
      <c r="TWH36" s="292"/>
      <c r="TWI36" s="292"/>
      <c r="TWJ36" s="292"/>
      <c r="TWK36" s="292"/>
      <c r="TWL36" s="292"/>
      <c r="TWM36" s="292"/>
      <c r="TWN36" s="292"/>
      <c r="TWO36" s="292"/>
      <c r="TWP36" s="292"/>
      <c r="TWQ36" s="292"/>
      <c r="TWR36" s="292"/>
      <c r="TWS36" s="292"/>
      <c r="TWT36" s="292"/>
      <c r="TWU36" s="292"/>
      <c r="TWV36" s="292"/>
      <c r="TWW36" s="292"/>
      <c r="TWX36" s="292"/>
      <c r="TWY36" s="292"/>
      <c r="TWZ36" s="292"/>
      <c r="TXA36" s="292"/>
      <c r="TXB36" s="292"/>
      <c r="TXC36" s="292"/>
      <c r="TXD36" s="292"/>
      <c r="TXE36" s="292"/>
      <c r="TXF36" s="292"/>
      <c r="TXG36" s="292"/>
      <c r="TXH36" s="292"/>
      <c r="TXI36" s="292"/>
      <c r="TXJ36" s="292"/>
      <c r="TXK36" s="292"/>
      <c r="TXL36" s="292"/>
      <c r="TXM36" s="292"/>
      <c r="TXN36" s="292"/>
      <c r="TXO36" s="292"/>
      <c r="TXP36" s="292"/>
      <c r="TXQ36" s="292"/>
      <c r="TXR36" s="292"/>
      <c r="TXS36" s="292"/>
      <c r="TXT36" s="292"/>
      <c r="TXU36" s="292"/>
      <c r="TXV36" s="292"/>
      <c r="TXW36" s="292"/>
      <c r="TXX36" s="292"/>
      <c r="TXY36" s="292"/>
      <c r="TXZ36" s="292"/>
      <c r="TYA36" s="292"/>
      <c r="TYB36" s="292"/>
      <c r="TYC36" s="292"/>
      <c r="TYD36" s="292"/>
      <c r="TYE36" s="292"/>
      <c r="TYF36" s="292"/>
      <c r="TYG36" s="292"/>
      <c r="TYH36" s="292"/>
      <c r="TYI36" s="292"/>
      <c r="TYJ36" s="292"/>
      <c r="TYK36" s="292"/>
      <c r="TYL36" s="292"/>
      <c r="TYM36" s="292"/>
      <c r="TYN36" s="292"/>
      <c r="TYO36" s="292"/>
      <c r="TYP36" s="292"/>
      <c r="TYQ36" s="292"/>
      <c r="TYR36" s="292"/>
      <c r="TYS36" s="292"/>
      <c r="TYT36" s="292"/>
      <c r="TYU36" s="292"/>
      <c r="TYV36" s="292"/>
      <c r="TYW36" s="292"/>
      <c r="TYX36" s="292"/>
      <c r="TYY36" s="292"/>
      <c r="TYZ36" s="292"/>
      <c r="TZA36" s="292"/>
      <c r="TZB36" s="292"/>
      <c r="TZC36" s="292"/>
      <c r="TZD36" s="292"/>
      <c r="TZE36" s="292"/>
      <c r="TZF36" s="292"/>
      <c r="TZG36" s="292"/>
      <c r="TZH36" s="292"/>
      <c r="TZI36" s="292"/>
      <c r="TZJ36" s="292"/>
      <c r="TZK36" s="292"/>
      <c r="TZL36" s="292"/>
      <c r="TZM36" s="292"/>
      <c r="TZN36" s="292"/>
      <c r="TZO36" s="292"/>
      <c r="TZP36" s="292"/>
      <c r="TZQ36" s="292"/>
      <c r="TZR36" s="292"/>
      <c r="TZS36" s="292"/>
      <c r="TZT36" s="292"/>
      <c r="TZU36" s="292"/>
      <c r="TZV36" s="292"/>
      <c r="TZW36" s="292"/>
      <c r="TZX36" s="292"/>
      <c r="TZY36" s="292"/>
      <c r="TZZ36" s="292"/>
      <c r="UAA36" s="292"/>
      <c r="UAB36" s="292"/>
      <c r="UAC36" s="292"/>
      <c r="UAD36" s="292"/>
      <c r="UAE36" s="292"/>
      <c r="UAF36" s="292"/>
      <c r="UAG36" s="292"/>
      <c r="UAH36" s="292"/>
      <c r="UAI36" s="292"/>
      <c r="UAJ36" s="292"/>
      <c r="UAK36" s="292"/>
      <c r="UAL36" s="292"/>
      <c r="UAM36" s="292"/>
      <c r="UAN36" s="292"/>
      <c r="UAO36" s="292"/>
      <c r="UAP36" s="292"/>
      <c r="UAQ36" s="292"/>
      <c r="UAR36" s="292"/>
      <c r="UAS36" s="292"/>
      <c r="UAT36" s="292"/>
      <c r="UAU36" s="292"/>
      <c r="UAV36" s="292"/>
      <c r="UAW36" s="292"/>
      <c r="UAX36" s="292"/>
      <c r="UAY36" s="292"/>
      <c r="UAZ36" s="292"/>
      <c r="UBA36" s="292"/>
      <c r="UBB36" s="292"/>
      <c r="UBC36" s="292"/>
      <c r="UBD36" s="292"/>
      <c r="UBE36" s="292"/>
      <c r="UBF36" s="292"/>
      <c r="UBG36" s="292"/>
      <c r="UBH36" s="292"/>
      <c r="UBI36" s="292"/>
      <c r="UBJ36" s="292"/>
      <c r="UBK36" s="292"/>
      <c r="UBL36" s="292"/>
      <c r="UBM36" s="292"/>
      <c r="UBN36" s="292"/>
      <c r="UBO36" s="292"/>
      <c r="UBP36" s="292"/>
      <c r="UBQ36" s="292"/>
      <c r="UBR36" s="292"/>
      <c r="UBS36" s="292"/>
      <c r="UBT36" s="292"/>
      <c r="UBU36" s="292"/>
      <c r="UBV36" s="292"/>
      <c r="UBW36" s="292"/>
      <c r="UBX36" s="292"/>
      <c r="UBY36" s="292"/>
      <c r="UBZ36" s="292"/>
      <c r="UCA36" s="292"/>
      <c r="UCB36" s="292"/>
      <c r="UCC36" s="292"/>
      <c r="UCD36" s="292"/>
      <c r="UCE36" s="292"/>
      <c r="UCF36" s="292"/>
      <c r="UCG36" s="292"/>
      <c r="UCH36" s="292"/>
      <c r="UCI36" s="292"/>
      <c r="UCJ36" s="292"/>
      <c r="UCK36" s="292"/>
      <c r="UCL36" s="292"/>
      <c r="UCM36" s="292"/>
      <c r="UCN36" s="292"/>
      <c r="UCO36" s="292"/>
      <c r="UCP36" s="292"/>
      <c r="UCQ36" s="292"/>
      <c r="UCR36" s="292"/>
      <c r="UCS36" s="292"/>
      <c r="UCT36" s="292"/>
      <c r="UCU36" s="292"/>
      <c r="UCV36" s="292"/>
      <c r="UCW36" s="292"/>
      <c r="UCX36" s="292"/>
      <c r="UCY36" s="292"/>
      <c r="UCZ36" s="292"/>
      <c r="UDA36" s="292"/>
      <c r="UDB36" s="292"/>
      <c r="UDC36" s="292"/>
      <c r="UDD36" s="292"/>
      <c r="UDE36" s="292"/>
      <c r="UDF36" s="292"/>
      <c r="UDG36" s="292"/>
      <c r="UDH36" s="292"/>
      <c r="UDI36" s="292"/>
      <c r="UDJ36" s="292"/>
      <c r="UDK36" s="292"/>
      <c r="UDL36" s="292"/>
      <c r="UDM36" s="292"/>
      <c r="UDN36" s="292"/>
      <c r="UDO36" s="292"/>
      <c r="UDP36" s="292"/>
      <c r="UDQ36" s="292"/>
      <c r="UDR36" s="292"/>
      <c r="UDS36" s="292"/>
      <c r="UDT36" s="292"/>
      <c r="UDU36" s="292"/>
      <c r="UDV36" s="292"/>
      <c r="UDW36" s="292"/>
      <c r="UDX36" s="292"/>
      <c r="UDY36" s="292"/>
      <c r="UDZ36" s="292"/>
      <c r="UEA36" s="292"/>
      <c r="UEB36" s="292"/>
      <c r="UEC36" s="292"/>
      <c r="UED36" s="292"/>
      <c r="UEE36" s="292"/>
      <c r="UEF36" s="292"/>
      <c r="UEG36" s="292"/>
      <c r="UEH36" s="292"/>
      <c r="UEI36" s="292"/>
      <c r="UEJ36" s="292"/>
      <c r="UEK36" s="292"/>
      <c r="UEL36" s="292"/>
      <c r="UEM36" s="292"/>
      <c r="UEN36" s="292"/>
      <c r="UEO36" s="292"/>
      <c r="UEP36" s="292"/>
      <c r="UEQ36" s="292"/>
      <c r="UER36" s="292"/>
      <c r="UES36" s="292"/>
      <c r="UET36" s="292"/>
      <c r="UEU36" s="292"/>
      <c r="UEV36" s="292"/>
      <c r="UEW36" s="292"/>
      <c r="UEX36" s="292"/>
      <c r="UEY36" s="292"/>
      <c r="UEZ36" s="292"/>
      <c r="UFA36" s="292"/>
      <c r="UFB36" s="292"/>
      <c r="UFC36" s="292"/>
      <c r="UFD36" s="292"/>
      <c r="UFE36" s="292"/>
      <c r="UFF36" s="292"/>
      <c r="UFG36" s="292"/>
      <c r="UFH36" s="292"/>
      <c r="UFI36" s="292"/>
      <c r="UFJ36" s="292"/>
      <c r="UFK36" s="292"/>
      <c r="UFL36" s="292"/>
      <c r="UFM36" s="292"/>
      <c r="UFN36" s="292"/>
      <c r="UFO36" s="292"/>
      <c r="UFP36" s="292"/>
      <c r="UFQ36" s="292"/>
      <c r="UFR36" s="292"/>
      <c r="UFS36" s="292"/>
      <c r="UFT36" s="292"/>
      <c r="UFU36" s="292"/>
      <c r="UFV36" s="292"/>
      <c r="UFW36" s="292"/>
      <c r="UFX36" s="292"/>
      <c r="UFY36" s="292"/>
      <c r="UFZ36" s="292"/>
      <c r="UGA36" s="292"/>
      <c r="UGB36" s="292"/>
      <c r="UGC36" s="292"/>
      <c r="UGD36" s="292"/>
      <c r="UGE36" s="292"/>
      <c r="UGF36" s="292"/>
      <c r="UGG36" s="292"/>
      <c r="UGH36" s="292"/>
      <c r="UGI36" s="292"/>
      <c r="UGJ36" s="292"/>
      <c r="UGK36" s="292"/>
      <c r="UGL36" s="292"/>
      <c r="UGM36" s="292"/>
      <c r="UGN36" s="292"/>
      <c r="UGO36" s="292"/>
      <c r="UGP36" s="292"/>
      <c r="UGQ36" s="292"/>
      <c r="UGR36" s="292"/>
      <c r="UGS36" s="292"/>
      <c r="UGT36" s="292"/>
      <c r="UGU36" s="292"/>
      <c r="UGV36" s="292"/>
      <c r="UGW36" s="292"/>
      <c r="UGX36" s="292"/>
      <c r="UGY36" s="292"/>
      <c r="UGZ36" s="292"/>
      <c r="UHA36" s="292"/>
      <c r="UHB36" s="292"/>
      <c r="UHC36" s="292"/>
      <c r="UHD36" s="292"/>
      <c r="UHE36" s="292"/>
      <c r="UHF36" s="292"/>
      <c r="UHG36" s="292"/>
      <c r="UHH36" s="292"/>
      <c r="UHI36" s="292"/>
      <c r="UHJ36" s="292"/>
      <c r="UHK36" s="292"/>
      <c r="UHL36" s="292"/>
      <c r="UHM36" s="292"/>
      <c r="UHN36" s="292"/>
      <c r="UHO36" s="292"/>
      <c r="UHP36" s="292"/>
      <c r="UHQ36" s="292"/>
      <c r="UHR36" s="292"/>
      <c r="UHS36" s="292"/>
      <c r="UHT36" s="292"/>
      <c r="UHU36" s="292"/>
      <c r="UHV36" s="292"/>
      <c r="UHW36" s="292"/>
      <c r="UHX36" s="292"/>
      <c r="UHY36" s="292"/>
      <c r="UHZ36" s="292"/>
      <c r="UIA36" s="292"/>
      <c r="UIB36" s="292"/>
      <c r="UIC36" s="292"/>
      <c r="UID36" s="292"/>
      <c r="UIE36" s="292"/>
      <c r="UIF36" s="292"/>
      <c r="UIG36" s="292"/>
      <c r="UIH36" s="292"/>
      <c r="UII36" s="292"/>
      <c r="UIJ36" s="292"/>
      <c r="UIK36" s="292"/>
      <c r="UIL36" s="292"/>
      <c r="UIM36" s="292"/>
      <c r="UIN36" s="292"/>
      <c r="UIO36" s="292"/>
      <c r="UIP36" s="292"/>
      <c r="UIQ36" s="292"/>
      <c r="UIR36" s="292"/>
      <c r="UIS36" s="292"/>
      <c r="UIT36" s="292"/>
      <c r="UIU36" s="292"/>
      <c r="UIV36" s="292"/>
      <c r="UIW36" s="292"/>
      <c r="UIX36" s="292"/>
      <c r="UIY36" s="292"/>
      <c r="UIZ36" s="292"/>
      <c r="UJA36" s="292"/>
      <c r="UJB36" s="292"/>
      <c r="UJC36" s="292"/>
      <c r="UJD36" s="292"/>
      <c r="UJE36" s="292"/>
      <c r="UJF36" s="292"/>
      <c r="UJG36" s="292"/>
      <c r="UJH36" s="292"/>
      <c r="UJI36" s="292"/>
      <c r="UJJ36" s="292"/>
      <c r="UJK36" s="292"/>
      <c r="UJL36" s="292"/>
      <c r="UJM36" s="292"/>
      <c r="UJN36" s="292"/>
      <c r="UJO36" s="292"/>
      <c r="UJP36" s="292"/>
      <c r="UJQ36" s="292"/>
      <c r="UJR36" s="292"/>
      <c r="UJS36" s="292"/>
      <c r="UJT36" s="292"/>
      <c r="UJU36" s="292"/>
      <c r="UJV36" s="292"/>
      <c r="UJW36" s="292"/>
      <c r="UJX36" s="292"/>
      <c r="UJY36" s="292"/>
      <c r="UJZ36" s="292"/>
      <c r="UKA36" s="292"/>
      <c r="UKB36" s="292"/>
      <c r="UKC36" s="292"/>
      <c r="UKD36" s="292"/>
      <c r="UKE36" s="292"/>
      <c r="UKF36" s="292"/>
      <c r="UKG36" s="292"/>
      <c r="UKH36" s="292"/>
      <c r="UKI36" s="292"/>
      <c r="UKJ36" s="292"/>
      <c r="UKK36" s="292"/>
      <c r="UKL36" s="292"/>
      <c r="UKM36" s="292"/>
      <c r="UKN36" s="292"/>
      <c r="UKO36" s="292"/>
      <c r="UKP36" s="292"/>
      <c r="UKQ36" s="292"/>
      <c r="UKR36" s="292"/>
      <c r="UKS36" s="292"/>
      <c r="UKT36" s="292"/>
      <c r="UKU36" s="292"/>
      <c r="UKV36" s="292"/>
      <c r="UKW36" s="292"/>
      <c r="UKX36" s="292"/>
      <c r="UKY36" s="292"/>
      <c r="UKZ36" s="292"/>
      <c r="ULA36" s="292"/>
      <c r="ULB36" s="292"/>
      <c r="ULC36" s="292"/>
      <c r="ULD36" s="292"/>
      <c r="ULE36" s="292"/>
      <c r="ULF36" s="292"/>
      <c r="ULG36" s="292"/>
      <c r="ULH36" s="292"/>
      <c r="ULI36" s="292"/>
      <c r="ULJ36" s="292"/>
      <c r="ULK36" s="292"/>
      <c r="ULL36" s="292"/>
      <c r="ULM36" s="292"/>
      <c r="ULN36" s="292"/>
      <c r="ULO36" s="292"/>
      <c r="ULP36" s="292"/>
      <c r="ULQ36" s="292"/>
      <c r="ULR36" s="292"/>
      <c r="ULS36" s="292"/>
      <c r="ULT36" s="292"/>
      <c r="ULU36" s="292"/>
      <c r="ULV36" s="292"/>
      <c r="ULW36" s="292"/>
      <c r="ULX36" s="292"/>
      <c r="ULY36" s="292"/>
      <c r="ULZ36" s="292"/>
      <c r="UMA36" s="292"/>
      <c r="UMB36" s="292"/>
      <c r="UMC36" s="292"/>
      <c r="UMD36" s="292"/>
      <c r="UME36" s="292"/>
      <c r="UMF36" s="292"/>
      <c r="UMG36" s="292"/>
      <c r="UMH36" s="292"/>
      <c r="UMI36" s="292"/>
      <c r="UMJ36" s="292"/>
      <c r="UMK36" s="292"/>
      <c r="UML36" s="292"/>
      <c r="UMM36" s="292"/>
      <c r="UMN36" s="292"/>
      <c r="UMO36" s="292"/>
      <c r="UMP36" s="292"/>
      <c r="UMQ36" s="292"/>
      <c r="UMR36" s="292"/>
      <c r="UMS36" s="292"/>
      <c r="UMT36" s="292"/>
      <c r="UMU36" s="292"/>
      <c r="UMV36" s="292"/>
      <c r="UMW36" s="292"/>
      <c r="UMX36" s="292"/>
      <c r="UMY36" s="292"/>
      <c r="UMZ36" s="292"/>
      <c r="UNA36" s="292"/>
      <c r="UNB36" s="292"/>
      <c r="UNC36" s="292"/>
      <c r="UND36" s="292"/>
      <c r="UNE36" s="292"/>
      <c r="UNF36" s="292"/>
      <c r="UNG36" s="292"/>
      <c r="UNH36" s="292"/>
      <c r="UNI36" s="292"/>
      <c r="UNJ36" s="292"/>
      <c r="UNK36" s="292"/>
      <c r="UNL36" s="292"/>
      <c r="UNM36" s="292"/>
      <c r="UNN36" s="292"/>
      <c r="UNO36" s="292"/>
      <c r="UNP36" s="292"/>
      <c r="UNQ36" s="292"/>
      <c r="UNR36" s="292"/>
      <c r="UNS36" s="292"/>
      <c r="UNT36" s="292"/>
      <c r="UNU36" s="292"/>
      <c r="UNV36" s="292"/>
      <c r="UNW36" s="292"/>
      <c r="UNX36" s="292"/>
      <c r="UNY36" s="292"/>
      <c r="UNZ36" s="292"/>
      <c r="UOA36" s="292"/>
      <c r="UOB36" s="292"/>
      <c r="UOC36" s="292"/>
      <c r="UOD36" s="292"/>
      <c r="UOE36" s="292"/>
      <c r="UOF36" s="292"/>
      <c r="UOG36" s="292"/>
      <c r="UOH36" s="292"/>
      <c r="UOI36" s="292"/>
      <c r="UOJ36" s="292"/>
      <c r="UOK36" s="292"/>
      <c r="UOL36" s="292"/>
      <c r="UOM36" s="292"/>
      <c r="UON36" s="292"/>
      <c r="UOO36" s="292"/>
      <c r="UOP36" s="292"/>
      <c r="UOQ36" s="292"/>
      <c r="UOR36" s="292"/>
      <c r="UOS36" s="292"/>
      <c r="UOT36" s="292"/>
      <c r="UOU36" s="292"/>
      <c r="UOV36" s="292"/>
      <c r="UOW36" s="292"/>
      <c r="UOX36" s="292"/>
      <c r="UOY36" s="292"/>
      <c r="UOZ36" s="292"/>
      <c r="UPA36" s="292"/>
      <c r="UPB36" s="292"/>
      <c r="UPC36" s="292"/>
      <c r="UPD36" s="292"/>
      <c r="UPE36" s="292"/>
      <c r="UPF36" s="292"/>
      <c r="UPG36" s="292"/>
      <c r="UPH36" s="292"/>
      <c r="UPI36" s="292"/>
      <c r="UPJ36" s="292"/>
      <c r="UPK36" s="292"/>
      <c r="UPL36" s="292"/>
      <c r="UPM36" s="292"/>
      <c r="UPN36" s="292"/>
      <c r="UPO36" s="292"/>
      <c r="UPP36" s="292"/>
      <c r="UPQ36" s="292"/>
      <c r="UPR36" s="292"/>
      <c r="UPS36" s="292"/>
      <c r="UPT36" s="292"/>
      <c r="UPU36" s="292"/>
      <c r="UPV36" s="292"/>
      <c r="UPW36" s="292"/>
      <c r="UPX36" s="292"/>
      <c r="UPY36" s="292"/>
      <c r="UPZ36" s="292"/>
      <c r="UQA36" s="292"/>
      <c r="UQB36" s="292"/>
      <c r="UQC36" s="292"/>
      <c r="UQD36" s="292"/>
      <c r="UQE36" s="292"/>
      <c r="UQF36" s="292"/>
      <c r="UQG36" s="292"/>
      <c r="UQH36" s="292"/>
      <c r="UQI36" s="292"/>
      <c r="UQJ36" s="292"/>
      <c r="UQK36" s="292"/>
      <c r="UQL36" s="292"/>
      <c r="UQM36" s="292"/>
      <c r="UQN36" s="292"/>
      <c r="UQO36" s="292"/>
      <c r="UQP36" s="292"/>
      <c r="UQQ36" s="292"/>
      <c r="UQR36" s="292"/>
      <c r="UQS36" s="292"/>
      <c r="UQT36" s="292"/>
      <c r="UQU36" s="292"/>
      <c r="UQV36" s="292"/>
      <c r="UQW36" s="292"/>
      <c r="UQX36" s="292"/>
      <c r="UQY36" s="292"/>
      <c r="UQZ36" s="292"/>
      <c r="URA36" s="292"/>
      <c r="URB36" s="292"/>
      <c r="URC36" s="292"/>
      <c r="URD36" s="292"/>
      <c r="URE36" s="292"/>
      <c r="URF36" s="292"/>
      <c r="URG36" s="292"/>
      <c r="URH36" s="292"/>
      <c r="URI36" s="292"/>
      <c r="URJ36" s="292"/>
      <c r="URK36" s="292"/>
      <c r="URL36" s="292"/>
      <c r="URM36" s="292"/>
      <c r="URN36" s="292"/>
      <c r="URO36" s="292"/>
      <c r="URP36" s="292"/>
      <c r="URQ36" s="292"/>
      <c r="URR36" s="292"/>
      <c r="URS36" s="292"/>
      <c r="URT36" s="292"/>
      <c r="URU36" s="292"/>
      <c r="URV36" s="292"/>
      <c r="URW36" s="292"/>
      <c r="URX36" s="292"/>
      <c r="URY36" s="292"/>
      <c r="URZ36" s="292"/>
      <c r="USA36" s="292"/>
      <c r="USB36" s="292"/>
      <c r="USC36" s="292"/>
      <c r="USD36" s="292"/>
      <c r="USE36" s="292"/>
      <c r="USF36" s="292"/>
      <c r="USG36" s="292"/>
      <c r="USH36" s="292"/>
      <c r="USI36" s="292"/>
      <c r="USJ36" s="292"/>
      <c r="USK36" s="292"/>
      <c r="USL36" s="292"/>
      <c r="USM36" s="292"/>
      <c r="USN36" s="292"/>
      <c r="USO36" s="292"/>
      <c r="USP36" s="292"/>
      <c r="USQ36" s="292"/>
      <c r="USR36" s="292"/>
      <c r="USS36" s="292"/>
      <c r="UST36" s="292"/>
      <c r="USU36" s="292"/>
      <c r="USV36" s="292"/>
      <c r="USW36" s="292"/>
      <c r="USX36" s="292"/>
      <c r="USY36" s="292"/>
      <c r="USZ36" s="292"/>
      <c r="UTA36" s="292"/>
      <c r="UTB36" s="292"/>
      <c r="UTC36" s="292"/>
      <c r="UTD36" s="292"/>
      <c r="UTE36" s="292"/>
      <c r="UTF36" s="292"/>
      <c r="UTG36" s="292"/>
      <c r="UTH36" s="292"/>
      <c r="UTI36" s="292"/>
      <c r="UTJ36" s="292"/>
      <c r="UTK36" s="292"/>
      <c r="UTL36" s="292"/>
      <c r="UTM36" s="292"/>
      <c r="UTN36" s="292"/>
      <c r="UTO36" s="292"/>
      <c r="UTP36" s="292"/>
      <c r="UTQ36" s="292"/>
      <c r="UTR36" s="292"/>
      <c r="UTS36" s="292"/>
      <c r="UTT36" s="292"/>
      <c r="UTU36" s="292"/>
      <c r="UTV36" s="292"/>
      <c r="UTW36" s="292"/>
      <c r="UTX36" s="292"/>
      <c r="UTY36" s="292"/>
      <c r="UTZ36" s="292"/>
      <c r="UUA36" s="292"/>
      <c r="UUB36" s="292"/>
      <c r="UUC36" s="292"/>
      <c r="UUD36" s="292"/>
      <c r="UUE36" s="292"/>
      <c r="UUF36" s="292"/>
      <c r="UUG36" s="292"/>
      <c r="UUH36" s="292"/>
      <c r="UUI36" s="292"/>
      <c r="UUJ36" s="292"/>
      <c r="UUK36" s="292"/>
      <c r="UUL36" s="292"/>
      <c r="UUM36" s="292"/>
      <c r="UUN36" s="292"/>
      <c r="UUO36" s="292"/>
      <c r="UUP36" s="292"/>
      <c r="UUQ36" s="292"/>
      <c r="UUR36" s="292"/>
      <c r="UUS36" s="292"/>
      <c r="UUT36" s="292"/>
      <c r="UUU36" s="292"/>
      <c r="UUV36" s="292"/>
      <c r="UUW36" s="292"/>
      <c r="UUX36" s="292"/>
      <c r="UUY36" s="292"/>
      <c r="UUZ36" s="292"/>
      <c r="UVA36" s="292"/>
      <c r="UVB36" s="292"/>
      <c r="UVC36" s="292"/>
      <c r="UVD36" s="292"/>
      <c r="UVE36" s="292"/>
      <c r="UVF36" s="292"/>
      <c r="UVG36" s="292"/>
      <c r="UVH36" s="292"/>
      <c r="UVI36" s="292"/>
      <c r="UVJ36" s="292"/>
      <c r="UVK36" s="292"/>
      <c r="UVL36" s="292"/>
      <c r="UVM36" s="292"/>
      <c r="UVN36" s="292"/>
      <c r="UVO36" s="292"/>
      <c r="UVP36" s="292"/>
      <c r="UVQ36" s="292"/>
      <c r="UVR36" s="292"/>
      <c r="UVS36" s="292"/>
      <c r="UVT36" s="292"/>
      <c r="UVU36" s="292"/>
      <c r="UVV36" s="292"/>
      <c r="UVW36" s="292"/>
      <c r="UVX36" s="292"/>
      <c r="UVY36" s="292"/>
      <c r="UVZ36" s="292"/>
      <c r="UWA36" s="292"/>
      <c r="UWB36" s="292"/>
      <c r="UWC36" s="292"/>
      <c r="UWD36" s="292"/>
      <c r="UWE36" s="292"/>
      <c r="UWF36" s="292"/>
      <c r="UWG36" s="292"/>
      <c r="UWH36" s="292"/>
      <c r="UWI36" s="292"/>
      <c r="UWJ36" s="292"/>
      <c r="UWK36" s="292"/>
      <c r="UWL36" s="292"/>
      <c r="UWM36" s="292"/>
      <c r="UWN36" s="292"/>
      <c r="UWO36" s="292"/>
      <c r="UWP36" s="292"/>
      <c r="UWQ36" s="292"/>
      <c r="UWR36" s="292"/>
      <c r="UWS36" s="292"/>
      <c r="UWT36" s="292"/>
      <c r="UWU36" s="292"/>
      <c r="UWV36" s="292"/>
      <c r="UWW36" s="292"/>
      <c r="UWX36" s="292"/>
      <c r="UWY36" s="292"/>
      <c r="UWZ36" s="292"/>
      <c r="UXA36" s="292"/>
      <c r="UXB36" s="292"/>
      <c r="UXC36" s="292"/>
      <c r="UXD36" s="292"/>
      <c r="UXE36" s="292"/>
      <c r="UXF36" s="292"/>
      <c r="UXG36" s="292"/>
      <c r="UXH36" s="292"/>
      <c r="UXI36" s="292"/>
      <c r="UXJ36" s="292"/>
      <c r="UXK36" s="292"/>
      <c r="UXL36" s="292"/>
      <c r="UXM36" s="292"/>
      <c r="UXN36" s="292"/>
      <c r="UXO36" s="292"/>
      <c r="UXP36" s="292"/>
      <c r="UXQ36" s="292"/>
      <c r="UXR36" s="292"/>
      <c r="UXS36" s="292"/>
      <c r="UXT36" s="292"/>
      <c r="UXU36" s="292"/>
      <c r="UXV36" s="292"/>
      <c r="UXW36" s="292"/>
      <c r="UXX36" s="292"/>
      <c r="UXY36" s="292"/>
      <c r="UXZ36" s="292"/>
      <c r="UYA36" s="292"/>
      <c r="UYB36" s="292"/>
      <c r="UYC36" s="292"/>
      <c r="UYD36" s="292"/>
      <c r="UYE36" s="292"/>
      <c r="UYF36" s="292"/>
      <c r="UYG36" s="292"/>
      <c r="UYH36" s="292"/>
      <c r="UYI36" s="292"/>
      <c r="UYJ36" s="292"/>
      <c r="UYK36" s="292"/>
      <c r="UYL36" s="292"/>
      <c r="UYM36" s="292"/>
      <c r="UYN36" s="292"/>
      <c r="UYO36" s="292"/>
      <c r="UYP36" s="292"/>
      <c r="UYQ36" s="292"/>
      <c r="UYR36" s="292"/>
      <c r="UYS36" s="292"/>
      <c r="UYT36" s="292"/>
      <c r="UYU36" s="292"/>
      <c r="UYV36" s="292"/>
      <c r="UYW36" s="292"/>
      <c r="UYX36" s="292"/>
      <c r="UYY36" s="292"/>
      <c r="UYZ36" s="292"/>
      <c r="UZA36" s="292"/>
      <c r="UZB36" s="292"/>
      <c r="UZC36" s="292"/>
      <c r="UZD36" s="292"/>
      <c r="UZE36" s="292"/>
      <c r="UZF36" s="292"/>
      <c r="UZG36" s="292"/>
      <c r="UZH36" s="292"/>
      <c r="UZI36" s="292"/>
      <c r="UZJ36" s="292"/>
      <c r="UZK36" s="292"/>
      <c r="UZL36" s="292"/>
      <c r="UZM36" s="292"/>
      <c r="UZN36" s="292"/>
      <c r="UZO36" s="292"/>
      <c r="UZP36" s="292"/>
      <c r="UZQ36" s="292"/>
      <c r="UZR36" s="292"/>
      <c r="UZS36" s="292"/>
      <c r="UZT36" s="292"/>
      <c r="UZU36" s="292"/>
      <c r="UZV36" s="292"/>
      <c r="UZW36" s="292"/>
      <c r="UZX36" s="292"/>
      <c r="UZY36" s="292"/>
      <c r="UZZ36" s="292"/>
      <c r="VAA36" s="292"/>
      <c r="VAB36" s="292"/>
      <c r="VAC36" s="292"/>
      <c r="VAD36" s="292"/>
      <c r="VAE36" s="292"/>
      <c r="VAF36" s="292"/>
      <c r="VAG36" s="292"/>
      <c r="VAH36" s="292"/>
      <c r="VAI36" s="292"/>
      <c r="VAJ36" s="292"/>
      <c r="VAK36" s="292"/>
      <c r="VAL36" s="292"/>
      <c r="VAM36" s="292"/>
      <c r="VAN36" s="292"/>
      <c r="VAO36" s="292"/>
      <c r="VAP36" s="292"/>
      <c r="VAQ36" s="292"/>
      <c r="VAR36" s="292"/>
      <c r="VAS36" s="292"/>
      <c r="VAT36" s="292"/>
      <c r="VAU36" s="292"/>
      <c r="VAV36" s="292"/>
      <c r="VAW36" s="292"/>
      <c r="VAX36" s="292"/>
      <c r="VAY36" s="292"/>
      <c r="VAZ36" s="292"/>
      <c r="VBA36" s="292"/>
      <c r="VBB36" s="292"/>
      <c r="VBC36" s="292"/>
      <c r="VBD36" s="292"/>
      <c r="VBE36" s="292"/>
      <c r="VBF36" s="292"/>
      <c r="VBG36" s="292"/>
      <c r="VBH36" s="292"/>
      <c r="VBI36" s="292"/>
      <c r="VBJ36" s="292"/>
      <c r="VBK36" s="292"/>
      <c r="VBL36" s="292"/>
      <c r="VBM36" s="292"/>
      <c r="VBN36" s="292"/>
      <c r="VBO36" s="292"/>
      <c r="VBP36" s="292"/>
      <c r="VBQ36" s="292"/>
      <c r="VBR36" s="292"/>
      <c r="VBS36" s="292"/>
      <c r="VBT36" s="292"/>
      <c r="VBU36" s="292"/>
      <c r="VBV36" s="292"/>
      <c r="VBW36" s="292"/>
      <c r="VBX36" s="292"/>
      <c r="VBY36" s="292"/>
      <c r="VBZ36" s="292"/>
      <c r="VCA36" s="292"/>
      <c r="VCB36" s="292"/>
      <c r="VCC36" s="292"/>
      <c r="VCD36" s="292"/>
      <c r="VCE36" s="292"/>
      <c r="VCF36" s="292"/>
      <c r="VCG36" s="292"/>
      <c r="VCH36" s="292"/>
      <c r="VCI36" s="292"/>
      <c r="VCJ36" s="292"/>
      <c r="VCK36" s="292"/>
      <c r="VCL36" s="292"/>
      <c r="VCM36" s="292"/>
      <c r="VCN36" s="292"/>
      <c r="VCO36" s="292"/>
      <c r="VCP36" s="292"/>
      <c r="VCQ36" s="292"/>
      <c r="VCR36" s="292"/>
      <c r="VCS36" s="292"/>
      <c r="VCT36" s="292"/>
      <c r="VCU36" s="292"/>
      <c r="VCV36" s="292"/>
      <c r="VCW36" s="292"/>
      <c r="VCX36" s="292"/>
      <c r="VCY36" s="292"/>
      <c r="VCZ36" s="292"/>
      <c r="VDA36" s="292"/>
      <c r="VDB36" s="292"/>
      <c r="VDC36" s="292"/>
      <c r="VDD36" s="292"/>
      <c r="VDE36" s="292"/>
      <c r="VDF36" s="292"/>
      <c r="VDG36" s="292"/>
      <c r="VDH36" s="292"/>
      <c r="VDI36" s="292"/>
      <c r="VDJ36" s="292"/>
      <c r="VDK36" s="292"/>
      <c r="VDL36" s="292"/>
      <c r="VDM36" s="292"/>
      <c r="VDN36" s="292"/>
      <c r="VDO36" s="292"/>
      <c r="VDP36" s="292"/>
      <c r="VDQ36" s="292"/>
      <c r="VDR36" s="292"/>
      <c r="VDS36" s="292"/>
      <c r="VDT36" s="292"/>
      <c r="VDU36" s="292"/>
      <c r="VDV36" s="292"/>
      <c r="VDW36" s="292"/>
      <c r="VDX36" s="292"/>
      <c r="VDY36" s="292"/>
      <c r="VDZ36" s="292"/>
      <c r="VEA36" s="292"/>
      <c r="VEB36" s="292"/>
      <c r="VEC36" s="292"/>
      <c r="VED36" s="292"/>
      <c r="VEE36" s="292"/>
      <c r="VEF36" s="292"/>
      <c r="VEG36" s="292"/>
      <c r="VEH36" s="292"/>
      <c r="VEI36" s="292"/>
      <c r="VEJ36" s="292"/>
      <c r="VEK36" s="292"/>
      <c r="VEL36" s="292"/>
      <c r="VEM36" s="292"/>
      <c r="VEN36" s="292"/>
      <c r="VEO36" s="292"/>
      <c r="VEP36" s="292"/>
      <c r="VEQ36" s="292"/>
      <c r="VER36" s="292"/>
      <c r="VES36" s="292"/>
      <c r="VET36" s="292"/>
      <c r="VEU36" s="292"/>
      <c r="VEV36" s="292"/>
      <c r="VEW36" s="292"/>
      <c r="VEX36" s="292"/>
      <c r="VEY36" s="292"/>
      <c r="VEZ36" s="292"/>
      <c r="VFA36" s="292"/>
      <c r="VFB36" s="292"/>
      <c r="VFC36" s="292"/>
      <c r="VFD36" s="292"/>
      <c r="VFE36" s="292"/>
      <c r="VFF36" s="292"/>
      <c r="VFG36" s="292"/>
      <c r="VFH36" s="292"/>
      <c r="VFI36" s="292"/>
      <c r="VFJ36" s="292"/>
      <c r="VFK36" s="292"/>
      <c r="VFL36" s="292"/>
      <c r="VFM36" s="292"/>
      <c r="VFN36" s="292"/>
      <c r="VFO36" s="292"/>
      <c r="VFP36" s="292"/>
      <c r="VFQ36" s="292"/>
      <c r="VFR36" s="292"/>
      <c r="VFS36" s="292"/>
      <c r="VFT36" s="292"/>
      <c r="VFU36" s="292"/>
      <c r="VFV36" s="292"/>
      <c r="VFW36" s="292"/>
      <c r="VFX36" s="292"/>
      <c r="VFY36" s="292"/>
      <c r="VFZ36" s="292"/>
      <c r="VGA36" s="292"/>
      <c r="VGB36" s="292"/>
      <c r="VGC36" s="292"/>
      <c r="VGD36" s="292"/>
      <c r="VGE36" s="292"/>
      <c r="VGF36" s="292"/>
      <c r="VGG36" s="292"/>
      <c r="VGH36" s="292"/>
      <c r="VGI36" s="292"/>
      <c r="VGJ36" s="292"/>
      <c r="VGK36" s="292"/>
      <c r="VGL36" s="292"/>
      <c r="VGM36" s="292"/>
      <c r="VGN36" s="292"/>
      <c r="VGO36" s="292"/>
      <c r="VGP36" s="292"/>
      <c r="VGQ36" s="292"/>
      <c r="VGR36" s="292"/>
      <c r="VGS36" s="292"/>
      <c r="VGT36" s="292"/>
      <c r="VGU36" s="292"/>
      <c r="VGV36" s="292"/>
      <c r="VGW36" s="292"/>
      <c r="VGX36" s="292"/>
      <c r="VGY36" s="292"/>
      <c r="VGZ36" s="292"/>
      <c r="VHA36" s="292"/>
      <c r="VHB36" s="292"/>
      <c r="VHC36" s="292"/>
      <c r="VHD36" s="292"/>
      <c r="VHE36" s="292"/>
      <c r="VHF36" s="292"/>
      <c r="VHG36" s="292"/>
      <c r="VHH36" s="292"/>
      <c r="VHI36" s="292"/>
      <c r="VHJ36" s="292"/>
      <c r="VHK36" s="292"/>
      <c r="VHL36" s="292"/>
      <c r="VHM36" s="292"/>
      <c r="VHN36" s="292"/>
      <c r="VHO36" s="292"/>
      <c r="VHP36" s="292"/>
      <c r="VHQ36" s="292"/>
      <c r="VHR36" s="292"/>
      <c r="VHS36" s="292"/>
      <c r="VHT36" s="292"/>
      <c r="VHU36" s="292"/>
      <c r="VHV36" s="292"/>
      <c r="VHW36" s="292"/>
      <c r="VHX36" s="292"/>
      <c r="VHY36" s="292"/>
      <c r="VHZ36" s="292"/>
      <c r="VIA36" s="292"/>
      <c r="VIB36" s="292"/>
      <c r="VIC36" s="292"/>
      <c r="VID36" s="292"/>
      <c r="VIE36" s="292"/>
      <c r="VIF36" s="292"/>
      <c r="VIG36" s="292"/>
      <c r="VIH36" s="292"/>
      <c r="VII36" s="292"/>
      <c r="VIJ36" s="292"/>
      <c r="VIK36" s="292"/>
      <c r="VIL36" s="292"/>
      <c r="VIM36" s="292"/>
      <c r="VIN36" s="292"/>
      <c r="VIO36" s="292"/>
      <c r="VIP36" s="292"/>
      <c r="VIQ36" s="292"/>
      <c r="VIR36" s="292"/>
      <c r="VIS36" s="292"/>
      <c r="VIT36" s="292"/>
      <c r="VIU36" s="292"/>
      <c r="VIV36" s="292"/>
      <c r="VIW36" s="292"/>
      <c r="VIX36" s="292"/>
      <c r="VIY36" s="292"/>
      <c r="VIZ36" s="292"/>
      <c r="VJA36" s="292"/>
      <c r="VJB36" s="292"/>
      <c r="VJC36" s="292"/>
      <c r="VJD36" s="292"/>
      <c r="VJE36" s="292"/>
      <c r="VJF36" s="292"/>
      <c r="VJG36" s="292"/>
      <c r="VJH36" s="292"/>
      <c r="VJI36" s="292"/>
      <c r="VJJ36" s="292"/>
      <c r="VJK36" s="292"/>
      <c r="VJL36" s="292"/>
      <c r="VJM36" s="292"/>
      <c r="VJN36" s="292"/>
      <c r="VJO36" s="292"/>
      <c r="VJP36" s="292"/>
      <c r="VJQ36" s="292"/>
      <c r="VJR36" s="292"/>
      <c r="VJS36" s="292"/>
      <c r="VJT36" s="292"/>
      <c r="VJU36" s="292"/>
      <c r="VJV36" s="292"/>
      <c r="VJW36" s="292"/>
      <c r="VJX36" s="292"/>
      <c r="VJY36" s="292"/>
      <c r="VJZ36" s="292"/>
      <c r="VKA36" s="292"/>
      <c r="VKB36" s="292"/>
      <c r="VKC36" s="292"/>
      <c r="VKD36" s="292"/>
      <c r="VKE36" s="292"/>
      <c r="VKF36" s="292"/>
      <c r="VKG36" s="292"/>
      <c r="VKH36" s="292"/>
      <c r="VKI36" s="292"/>
      <c r="VKJ36" s="292"/>
      <c r="VKK36" s="292"/>
      <c r="VKL36" s="292"/>
      <c r="VKM36" s="292"/>
      <c r="VKN36" s="292"/>
      <c r="VKO36" s="292"/>
      <c r="VKP36" s="292"/>
      <c r="VKQ36" s="292"/>
      <c r="VKR36" s="292"/>
      <c r="VKS36" s="292"/>
      <c r="VKT36" s="292"/>
      <c r="VKU36" s="292"/>
      <c r="VKV36" s="292"/>
      <c r="VKW36" s="292"/>
      <c r="VKX36" s="292"/>
      <c r="VKY36" s="292"/>
      <c r="VKZ36" s="292"/>
      <c r="VLA36" s="292"/>
      <c r="VLB36" s="292"/>
      <c r="VLC36" s="292"/>
      <c r="VLD36" s="292"/>
      <c r="VLE36" s="292"/>
      <c r="VLF36" s="292"/>
      <c r="VLG36" s="292"/>
      <c r="VLH36" s="292"/>
      <c r="VLI36" s="292"/>
      <c r="VLJ36" s="292"/>
      <c r="VLK36" s="292"/>
      <c r="VLL36" s="292"/>
      <c r="VLM36" s="292"/>
      <c r="VLN36" s="292"/>
      <c r="VLO36" s="292"/>
      <c r="VLP36" s="292"/>
      <c r="VLQ36" s="292"/>
      <c r="VLR36" s="292"/>
      <c r="VLS36" s="292"/>
      <c r="VLT36" s="292"/>
      <c r="VLU36" s="292"/>
      <c r="VLV36" s="292"/>
      <c r="VLW36" s="292"/>
      <c r="VLX36" s="292"/>
      <c r="VLY36" s="292"/>
      <c r="VLZ36" s="292"/>
      <c r="VMA36" s="292"/>
      <c r="VMB36" s="292"/>
      <c r="VMC36" s="292"/>
      <c r="VMD36" s="292"/>
      <c r="VME36" s="292"/>
      <c r="VMF36" s="292"/>
      <c r="VMG36" s="292"/>
      <c r="VMH36" s="292"/>
      <c r="VMI36" s="292"/>
      <c r="VMJ36" s="292"/>
      <c r="VMK36" s="292"/>
      <c r="VML36" s="292"/>
      <c r="VMM36" s="292"/>
      <c r="VMN36" s="292"/>
      <c r="VMO36" s="292"/>
      <c r="VMP36" s="292"/>
      <c r="VMQ36" s="292"/>
      <c r="VMR36" s="292"/>
      <c r="VMS36" s="292"/>
      <c r="VMT36" s="292"/>
      <c r="VMU36" s="292"/>
      <c r="VMV36" s="292"/>
      <c r="VMW36" s="292"/>
      <c r="VMX36" s="292"/>
      <c r="VMY36" s="292"/>
      <c r="VMZ36" s="292"/>
      <c r="VNA36" s="292"/>
      <c r="VNB36" s="292"/>
      <c r="VNC36" s="292"/>
      <c r="VND36" s="292"/>
      <c r="VNE36" s="292"/>
      <c r="VNF36" s="292"/>
      <c r="VNG36" s="292"/>
      <c r="VNH36" s="292"/>
      <c r="VNI36" s="292"/>
      <c r="VNJ36" s="292"/>
      <c r="VNK36" s="292"/>
      <c r="VNL36" s="292"/>
      <c r="VNM36" s="292"/>
      <c r="VNN36" s="292"/>
      <c r="VNO36" s="292"/>
      <c r="VNP36" s="292"/>
      <c r="VNQ36" s="292"/>
      <c r="VNR36" s="292"/>
      <c r="VNS36" s="292"/>
      <c r="VNT36" s="292"/>
      <c r="VNU36" s="292"/>
      <c r="VNV36" s="292"/>
      <c r="VNW36" s="292"/>
      <c r="VNX36" s="292"/>
      <c r="VNY36" s="292"/>
      <c r="VNZ36" s="292"/>
      <c r="VOA36" s="292"/>
      <c r="VOB36" s="292"/>
      <c r="VOC36" s="292"/>
      <c r="VOD36" s="292"/>
      <c r="VOE36" s="292"/>
      <c r="VOF36" s="292"/>
      <c r="VOG36" s="292"/>
      <c r="VOH36" s="292"/>
      <c r="VOI36" s="292"/>
      <c r="VOJ36" s="292"/>
      <c r="VOK36" s="292"/>
      <c r="VOL36" s="292"/>
      <c r="VOM36" s="292"/>
      <c r="VON36" s="292"/>
      <c r="VOO36" s="292"/>
      <c r="VOP36" s="292"/>
      <c r="VOQ36" s="292"/>
      <c r="VOR36" s="292"/>
      <c r="VOS36" s="292"/>
      <c r="VOT36" s="292"/>
      <c r="VOU36" s="292"/>
      <c r="VOV36" s="292"/>
      <c r="VOW36" s="292"/>
      <c r="VOX36" s="292"/>
      <c r="VOY36" s="292"/>
      <c r="VOZ36" s="292"/>
      <c r="VPA36" s="292"/>
      <c r="VPB36" s="292"/>
      <c r="VPC36" s="292"/>
      <c r="VPD36" s="292"/>
      <c r="VPE36" s="292"/>
      <c r="VPF36" s="292"/>
      <c r="VPG36" s="292"/>
      <c r="VPH36" s="292"/>
      <c r="VPI36" s="292"/>
      <c r="VPJ36" s="292"/>
      <c r="VPK36" s="292"/>
      <c r="VPL36" s="292"/>
      <c r="VPM36" s="292"/>
      <c r="VPN36" s="292"/>
      <c r="VPO36" s="292"/>
      <c r="VPP36" s="292"/>
      <c r="VPQ36" s="292"/>
      <c r="VPR36" s="292"/>
      <c r="VPS36" s="292"/>
      <c r="VPT36" s="292"/>
      <c r="VPU36" s="292"/>
      <c r="VPV36" s="292"/>
      <c r="VPW36" s="292"/>
      <c r="VPX36" s="292"/>
      <c r="VPY36" s="292"/>
      <c r="VPZ36" s="292"/>
      <c r="VQA36" s="292"/>
      <c r="VQB36" s="292"/>
      <c r="VQC36" s="292"/>
      <c r="VQD36" s="292"/>
      <c r="VQE36" s="292"/>
      <c r="VQF36" s="292"/>
      <c r="VQG36" s="292"/>
      <c r="VQH36" s="292"/>
      <c r="VQI36" s="292"/>
      <c r="VQJ36" s="292"/>
      <c r="VQK36" s="292"/>
      <c r="VQL36" s="292"/>
      <c r="VQM36" s="292"/>
      <c r="VQN36" s="292"/>
      <c r="VQO36" s="292"/>
      <c r="VQP36" s="292"/>
      <c r="VQQ36" s="292"/>
      <c r="VQR36" s="292"/>
      <c r="VQS36" s="292"/>
      <c r="VQT36" s="292"/>
      <c r="VQU36" s="292"/>
      <c r="VQV36" s="292"/>
      <c r="VQW36" s="292"/>
      <c r="VQX36" s="292"/>
      <c r="VQY36" s="292"/>
      <c r="VQZ36" s="292"/>
      <c r="VRA36" s="292"/>
      <c r="VRB36" s="292"/>
      <c r="VRC36" s="292"/>
      <c r="VRD36" s="292"/>
      <c r="VRE36" s="292"/>
      <c r="VRF36" s="292"/>
      <c r="VRG36" s="292"/>
      <c r="VRH36" s="292"/>
      <c r="VRI36" s="292"/>
      <c r="VRJ36" s="292"/>
      <c r="VRK36" s="292"/>
      <c r="VRL36" s="292"/>
      <c r="VRM36" s="292"/>
      <c r="VRN36" s="292"/>
      <c r="VRO36" s="292"/>
      <c r="VRP36" s="292"/>
      <c r="VRQ36" s="292"/>
      <c r="VRR36" s="292"/>
      <c r="VRS36" s="292"/>
      <c r="VRT36" s="292"/>
      <c r="VRU36" s="292"/>
      <c r="VRV36" s="292"/>
      <c r="VRW36" s="292"/>
      <c r="VRX36" s="292"/>
      <c r="VRY36" s="292"/>
      <c r="VRZ36" s="292"/>
      <c r="VSA36" s="292"/>
      <c r="VSB36" s="292"/>
      <c r="VSC36" s="292"/>
      <c r="VSD36" s="292"/>
      <c r="VSE36" s="292"/>
      <c r="VSF36" s="292"/>
      <c r="VSG36" s="292"/>
      <c r="VSH36" s="292"/>
      <c r="VSI36" s="292"/>
      <c r="VSJ36" s="292"/>
      <c r="VSK36" s="292"/>
      <c r="VSL36" s="292"/>
      <c r="VSM36" s="292"/>
      <c r="VSN36" s="292"/>
      <c r="VSO36" s="292"/>
      <c r="VSP36" s="292"/>
      <c r="VSQ36" s="292"/>
      <c r="VSR36" s="292"/>
      <c r="VSS36" s="292"/>
      <c r="VST36" s="292"/>
      <c r="VSU36" s="292"/>
      <c r="VSV36" s="292"/>
      <c r="VSW36" s="292"/>
      <c r="VSX36" s="292"/>
      <c r="VSY36" s="292"/>
      <c r="VSZ36" s="292"/>
      <c r="VTA36" s="292"/>
      <c r="VTB36" s="292"/>
      <c r="VTC36" s="292"/>
      <c r="VTD36" s="292"/>
      <c r="VTE36" s="292"/>
      <c r="VTF36" s="292"/>
      <c r="VTG36" s="292"/>
      <c r="VTH36" s="292"/>
      <c r="VTI36" s="292"/>
      <c r="VTJ36" s="292"/>
      <c r="VTK36" s="292"/>
      <c r="VTL36" s="292"/>
      <c r="VTM36" s="292"/>
      <c r="VTN36" s="292"/>
      <c r="VTO36" s="292"/>
      <c r="VTP36" s="292"/>
      <c r="VTQ36" s="292"/>
      <c r="VTR36" s="292"/>
      <c r="VTS36" s="292"/>
      <c r="VTT36" s="292"/>
      <c r="VTU36" s="292"/>
      <c r="VTV36" s="292"/>
      <c r="VTW36" s="292"/>
      <c r="VTX36" s="292"/>
      <c r="VTY36" s="292"/>
      <c r="VTZ36" s="292"/>
      <c r="VUA36" s="292"/>
      <c r="VUB36" s="292"/>
      <c r="VUC36" s="292"/>
      <c r="VUD36" s="292"/>
      <c r="VUE36" s="292"/>
      <c r="VUF36" s="292"/>
      <c r="VUG36" s="292"/>
      <c r="VUH36" s="292"/>
      <c r="VUI36" s="292"/>
      <c r="VUJ36" s="292"/>
      <c r="VUK36" s="292"/>
      <c r="VUL36" s="292"/>
      <c r="VUM36" s="292"/>
      <c r="VUN36" s="292"/>
      <c r="VUO36" s="292"/>
      <c r="VUP36" s="292"/>
      <c r="VUQ36" s="292"/>
      <c r="VUR36" s="292"/>
      <c r="VUS36" s="292"/>
      <c r="VUT36" s="292"/>
      <c r="VUU36" s="292"/>
      <c r="VUV36" s="292"/>
      <c r="VUW36" s="292"/>
      <c r="VUX36" s="292"/>
      <c r="VUY36" s="292"/>
      <c r="VUZ36" s="292"/>
      <c r="VVA36" s="292"/>
      <c r="VVB36" s="292"/>
      <c r="VVC36" s="292"/>
      <c r="VVD36" s="292"/>
      <c r="VVE36" s="292"/>
      <c r="VVF36" s="292"/>
      <c r="VVG36" s="292"/>
      <c r="VVH36" s="292"/>
      <c r="VVI36" s="292"/>
      <c r="VVJ36" s="292"/>
      <c r="VVK36" s="292"/>
      <c r="VVL36" s="292"/>
      <c r="VVM36" s="292"/>
      <c r="VVN36" s="292"/>
      <c r="VVO36" s="292"/>
      <c r="VVP36" s="292"/>
      <c r="VVQ36" s="292"/>
      <c r="VVR36" s="292"/>
      <c r="VVS36" s="292"/>
      <c r="VVT36" s="292"/>
      <c r="VVU36" s="292"/>
      <c r="VVV36" s="292"/>
      <c r="VVW36" s="292"/>
      <c r="VVX36" s="292"/>
      <c r="VVY36" s="292"/>
      <c r="VVZ36" s="292"/>
      <c r="VWA36" s="292"/>
      <c r="VWB36" s="292"/>
      <c r="VWC36" s="292"/>
      <c r="VWD36" s="292"/>
      <c r="VWE36" s="292"/>
      <c r="VWF36" s="292"/>
      <c r="VWG36" s="292"/>
      <c r="VWH36" s="292"/>
      <c r="VWI36" s="292"/>
      <c r="VWJ36" s="292"/>
      <c r="VWK36" s="292"/>
      <c r="VWL36" s="292"/>
      <c r="VWM36" s="292"/>
      <c r="VWN36" s="292"/>
      <c r="VWO36" s="292"/>
      <c r="VWP36" s="292"/>
      <c r="VWQ36" s="292"/>
      <c r="VWR36" s="292"/>
      <c r="VWS36" s="292"/>
      <c r="VWT36" s="292"/>
      <c r="VWU36" s="292"/>
      <c r="VWV36" s="292"/>
      <c r="VWW36" s="292"/>
      <c r="VWX36" s="292"/>
      <c r="VWY36" s="292"/>
      <c r="VWZ36" s="292"/>
      <c r="VXA36" s="292"/>
      <c r="VXB36" s="292"/>
      <c r="VXC36" s="292"/>
      <c r="VXD36" s="292"/>
      <c r="VXE36" s="292"/>
      <c r="VXF36" s="292"/>
      <c r="VXG36" s="292"/>
      <c r="VXH36" s="292"/>
      <c r="VXI36" s="292"/>
      <c r="VXJ36" s="292"/>
      <c r="VXK36" s="292"/>
      <c r="VXL36" s="292"/>
      <c r="VXM36" s="292"/>
      <c r="VXN36" s="292"/>
      <c r="VXO36" s="292"/>
      <c r="VXP36" s="292"/>
      <c r="VXQ36" s="292"/>
      <c r="VXR36" s="292"/>
      <c r="VXS36" s="292"/>
      <c r="VXT36" s="292"/>
      <c r="VXU36" s="292"/>
      <c r="VXV36" s="292"/>
      <c r="VXW36" s="292"/>
      <c r="VXX36" s="292"/>
      <c r="VXY36" s="292"/>
      <c r="VXZ36" s="292"/>
      <c r="VYA36" s="292"/>
      <c r="VYB36" s="292"/>
      <c r="VYC36" s="292"/>
      <c r="VYD36" s="292"/>
      <c r="VYE36" s="292"/>
      <c r="VYF36" s="292"/>
      <c r="VYG36" s="292"/>
      <c r="VYH36" s="292"/>
      <c r="VYI36" s="292"/>
      <c r="VYJ36" s="292"/>
      <c r="VYK36" s="292"/>
      <c r="VYL36" s="292"/>
      <c r="VYM36" s="292"/>
      <c r="VYN36" s="292"/>
      <c r="VYO36" s="292"/>
      <c r="VYP36" s="292"/>
      <c r="VYQ36" s="292"/>
      <c r="VYR36" s="292"/>
      <c r="VYS36" s="292"/>
      <c r="VYT36" s="292"/>
      <c r="VYU36" s="292"/>
      <c r="VYV36" s="292"/>
      <c r="VYW36" s="292"/>
      <c r="VYX36" s="292"/>
      <c r="VYY36" s="292"/>
      <c r="VYZ36" s="292"/>
      <c r="VZA36" s="292"/>
      <c r="VZB36" s="292"/>
      <c r="VZC36" s="292"/>
      <c r="VZD36" s="292"/>
      <c r="VZE36" s="292"/>
      <c r="VZF36" s="292"/>
      <c r="VZG36" s="292"/>
      <c r="VZH36" s="292"/>
      <c r="VZI36" s="292"/>
      <c r="VZJ36" s="292"/>
      <c r="VZK36" s="292"/>
      <c r="VZL36" s="292"/>
      <c r="VZM36" s="292"/>
      <c r="VZN36" s="292"/>
      <c r="VZO36" s="292"/>
      <c r="VZP36" s="292"/>
      <c r="VZQ36" s="292"/>
      <c r="VZR36" s="292"/>
      <c r="VZS36" s="292"/>
      <c r="VZT36" s="292"/>
      <c r="VZU36" s="292"/>
      <c r="VZV36" s="292"/>
      <c r="VZW36" s="292"/>
      <c r="VZX36" s="292"/>
      <c r="VZY36" s="292"/>
      <c r="VZZ36" s="292"/>
      <c r="WAA36" s="292"/>
      <c r="WAB36" s="292"/>
      <c r="WAC36" s="292"/>
      <c r="WAD36" s="292"/>
      <c r="WAE36" s="292"/>
      <c r="WAF36" s="292"/>
      <c r="WAG36" s="292"/>
      <c r="WAH36" s="292"/>
      <c r="WAI36" s="292"/>
      <c r="WAJ36" s="292"/>
      <c r="WAK36" s="292"/>
      <c r="WAL36" s="292"/>
      <c r="WAM36" s="292"/>
      <c r="WAN36" s="292"/>
      <c r="WAO36" s="292"/>
      <c r="WAP36" s="292"/>
      <c r="WAQ36" s="292"/>
      <c r="WAR36" s="292"/>
      <c r="WAS36" s="292"/>
      <c r="WAT36" s="292"/>
      <c r="WAU36" s="292"/>
      <c r="WAV36" s="292"/>
      <c r="WAW36" s="292"/>
      <c r="WAX36" s="292"/>
      <c r="WAY36" s="292"/>
      <c r="WAZ36" s="292"/>
      <c r="WBA36" s="292"/>
      <c r="WBB36" s="292"/>
      <c r="WBC36" s="292"/>
      <c r="WBD36" s="292"/>
      <c r="WBE36" s="292"/>
      <c r="WBF36" s="292"/>
      <c r="WBG36" s="292"/>
      <c r="WBH36" s="292"/>
      <c r="WBI36" s="292"/>
      <c r="WBJ36" s="292"/>
      <c r="WBK36" s="292"/>
      <c r="WBL36" s="292"/>
      <c r="WBM36" s="292"/>
      <c r="WBN36" s="292"/>
      <c r="WBO36" s="292"/>
      <c r="WBP36" s="292"/>
      <c r="WBQ36" s="292"/>
      <c r="WBR36" s="292"/>
      <c r="WBS36" s="292"/>
      <c r="WBT36" s="292"/>
      <c r="WBU36" s="292"/>
      <c r="WBV36" s="292"/>
      <c r="WBW36" s="292"/>
      <c r="WBX36" s="292"/>
      <c r="WBY36" s="292"/>
      <c r="WBZ36" s="292"/>
      <c r="WCA36" s="292"/>
      <c r="WCB36" s="292"/>
      <c r="WCC36" s="292"/>
      <c r="WCD36" s="292"/>
      <c r="WCE36" s="292"/>
      <c r="WCF36" s="292"/>
      <c r="WCG36" s="292"/>
      <c r="WCH36" s="292"/>
      <c r="WCI36" s="292"/>
      <c r="WCJ36" s="292"/>
      <c r="WCK36" s="292"/>
      <c r="WCL36" s="292"/>
      <c r="WCM36" s="292"/>
      <c r="WCN36" s="292"/>
      <c r="WCO36" s="292"/>
      <c r="WCP36" s="292"/>
      <c r="WCQ36" s="292"/>
      <c r="WCR36" s="292"/>
      <c r="WCS36" s="292"/>
      <c r="WCT36" s="292"/>
      <c r="WCU36" s="292"/>
      <c r="WCV36" s="292"/>
      <c r="WCW36" s="292"/>
      <c r="WCX36" s="292"/>
      <c r="WCY36" s="292"/>
      <c r="WCZ36" s="292"/>
      <c r="WDA36" s="292"/>
      <c r="WDB36" s="292"/>
      <c r="WDC36" s="292"/>
      <c r="WDD36" s="292"/>
      <c r="WDE36" s="292"/>
      <c r="WDF36" s="292"/>
      <c r="WDG36" s="292"/>
      <c r="WDH36" s="292"/>
      <c r="WDI36" s="292"/>
      <c r="WDJ36" s="292"/>
      <c r="WDK36" s="292"/>
      <c r="WDL36" s="292"/>
      <c r="WDM36" s="292"/>
      <c r="WDN36" s="292"/>
      <c r="WDO36" s="292"/>
      <c r="WDP36" s="292"/>
      <c r="WDQ36" s="292"/>
      <c r="WDR36" s="292"/>
      <c r="WDS36" s="292"/>
      <c r="WDT36" s="292"/>
      <c r="WDU36" s="292"/>
      <c r="WDV36" s="292"/>
      <c r="WDW36" s="292"/>
      <c r="WDX36" s="292"/>
      <c r="WDY36" s="292"/>
      <c r="WDZ36" s="292"/>
      <c r="WEA36" s="292"/>
      <c r="WEB36" s="292"/>
      <c r="WEC36" s="292"/>
      <c r="WED36" s="292"/>
      <c r="WEE36" s="292"/>
      <c r="WEF36" s="292"/>
      <c r="WEG36" s="292"/>
      <c r="WEH36" s="292"/>
      <c r="WEI36" s="292"/>
      <c r="WEJ36" s="292"/>
      <c r="WEK36" s="292"/>
      <c r="WEL36" s="292"/>
      <c r="WEM36" s="292"/>
      <c r="WEN36" s="292"/>
      <c r="WEO36" s="292"/>
      <c r="WEP36" s="292"/>
      <c r="WEQ36" s="292"/>
      <c r="WER36" s="292"/>
      <c r="WES36" s="292"/>
      <c r="WET36" s="292"/>
      <c r="WEU36" s="292"/>
      <c r="WEV36" s="292"/>
      <c r="WEW36" s="292"/>
      <c r="WEX36" s="292"/>
      <c r="WEY36" s="292"/>
      <c r="WEZ36" s="292"/>
      <c r="WFA36" s="292"/>
      <c r="WFB36" s="292"/>
      <c r="WFC36" s="292"/>
      <c r="WFD36" s="292"/>
      <c r="WFE36" s="292"/>
      <c r="WFF36" s="292"/>
      <c r="WFG36" s="292"/>
      <c r="WFH36" s="292"/>
      <c r="WFI36" s="292"/>
      <c r="WFJ36" s="292"/>
      <c r="WFK36" s="292"/>
      <c r="WFL36" s="292"/>
      <c r="WFM36" s="292"/>
      <c r="WFN36" s="292"/>
      <c r="WFO36" s="292"/>
      <c r="WFP36" s="292"/>
      <c r="WFQ36" s="292"/>
      <c r="WFR36" s="292"/>
      <c r="WFS36" s="292"/>
      <c r="WFT36" s="292"/>
      <c r="WFU36" s="292"/>
      <c r="WFV36" s="292"/>
      <c r="WFW36" s="292"/>
      <c r="WFX36" s="292"/>
      <c r="WFY36" s="292"/>
      <c r="WFZ36" s="292"/>
      <c r="WGA36" s="292"/>
      <c r="WGB36" s="292"/>
      <c r="WGC36" s="292"/>
      <c r="WGD36" s="292"/>
      <c r="WGE36" s="292"/>
      <c r="WGF36" s="292"/>
      <c r="WGG36" s="292"/>
      <c r="WGH36" s="292"/>
      <c r="WGI36" s="292"/>
      <c r="WGJ36" s="292"/>
      <c r="WGK36" s="292"/>
      <c r="WGL36" s="292"/>
      <c r="WGM36" s="292"/>
      <c r="WGN36" s="292"/>
      <c r="WGO36" s="292"/>
      <c r="WGP36" s="292"/>
      <c r="WGQ36" s="292"/>
      <c r="WGR36" s="292"/>
      <c r="WGS36" s="292"/>
      <c r="WGT36" s="292"/>
      <c r="WGU36" s="292"/>
      <c r="WGV36" s="292"/>
      <c r="WGW36" s="292"/>
      <c r="WGX36" s="292"/>
      <c r="WGY36" s="292"/>
      <c r="WGZ36" s="292"/>
      <c r="WHA36" s="292"/>
      <c r="WHB36" s="292"/>
      <c r="WHC36" s="292"/>
      <c r="WHD36" s="292"/>
      <c r="WHE36" s="292"/>
      <c r="WHF36" s="292"/>
      <c r="WHG36" s="292"/>
      <c r="WHH36" s="292"/>
      <c r="WHI36" s="292"/>
      <c r="WHJ36" s="292"/>
      <c r="WHK36" s="292"/>
      <c r="WHL36" s="292"/>
      <c r="WHM36" s="292"/>
      <c r="WHN36" s="292"/>
      <c r="WHO36" s="292"/>
      <c r="WHP36" s="292"/>
      <c r="WHQ36" s="292"/>
      <c r="WHR36" s="292"/>
      <c r="WHS36" s="292"/>
      <c r="WHT36" s="292"/>
      <c r="WHU36" s="292"/>
      <c r="WHV36" s="292"/>
      <c r="WHW36" s="292"/>
      <c r="WHX36" s="292"/>
      <c r="WHY36" s="292"/>
      <c r="WHZ36" s="292"/>
      <c r="WIA36" s="292"/>
      <c r="WIB36" s="292"/>
      <c r="WIC36" s="292"/>
      <c r="WID36" s="292"/>
      <c r="WIE36" s="292"/>
      <c r="WIF36" s="292"/>
      <c r="WIG36" s="292"/>
      <c r="WIH36" s="292"/>
      <c r="WII36" s="292"/>
      <c r="WIJ36" s="292"/>
      <c r="WIK36" s="292"/>
      <c r="WIL36" s="292"/>
      <c r="WIM36" s="292"/>
      <c r="WIN36" s="292"/>
      <c r="WIO36" s="292"/>
      <c r="WIP36" s="292"/>
      <c r="WIQ36" s="292"/>
      <c r="WIR36" s="292"/>
      <c r="WIS36" s="292"/>
      <c r="WIT36" s="292"/>
      <c r="WIU36" s="292"/>
      <c r="WIV36" s="292"/>
      <c r="WIW36" s="292"/>
      <c r="WIX36" s="292"/>
      <c r="WIY36" s="292"/>
      <c r="WIZ36" s="292"/>
      <c r="WJA36" s="292"/>
      <c r="WJB36" s="292"/>
      <c r="WJC36" s="292"/>
      <c r="WJD36" s="292"/>
      <c r="WJE36" s="292"/>
      <c r="WJF36" s="292"/>
      <c r="WJG36" s="292"/>
      <c r="WJH36" s="292"/>
      <c r="WJI36" s="292"/>
      <c r="WJJ36" s="292"/>
      <c r="WJK36" s="292"/>
      <c r="WJL36" s="292"/>
      <c r="WJM36" s="292"/>
      <c r="WJN36" s="292"/>
      <c r="WJO36" s="292"/>
      <c r="WJP36" s="292"/>
      <c r="WJQ36" s="292"/>
      <c r="WJR36" s="292"/>
      <c r="WJS36" s="292"/>
      <c r="WJT36" s="292"/>
      <c r="WJU36" s="292"/>
      <c r="WJV36" s="292"/>
      <c r="WJW36" s="292"/>
      <c r="WJX36" s="292"/>
      <c r="WJY36" s="292"/>
      <c r="WJZ36" s="292"/>
      <c r="WKA36" s="292"/>
      <c r="WKB36" s="292"/>
      <c r="WKC36" s="292"/>
      <c r="WKD36" s="292"/>
      <c r="WKE36" s="292"/>
      <c r="WKF36" s="292"/>
      <c r="WKG36" s="292"/>
      <c r="WKH36" s="292"/>
      <c r="WKI36" s="292"/>
      <c r="WKJ36" s="292"/>
      <c r="WKK36" s="292"/>
      <c r="WKL36" s="292"/>
      <c r="WKM36" s="292"/>
      <c r="WKN36" s="292"/>
      <c r="WKO36" s="292"/>
      <c r="WKP36" s="292"/>
      <c r="WKQ36" s="292"/>
      <c r="WKR36" s="292"/>
      <c r="WKS36" s="292"/>
      <c r="WKT36" s="292"/>
      <c r="WKU36" s="292"/>
      <c r="WKV36" s="292"/>
      <c r="WKW36" s="292"/>
      <c r="WKX36" s="292"/>
      <c r="WKY36" s="292"/>
      <c r="WKZ36" s="292"/>
      <c r="WLA36" s="292"/>
      <c r="WLB36" s="292"/>
      <c r="WLC36" s="292"/>
      <c r="WLD36" s="292"/>
      <c r="WLE36" s="292"/>
      <c r="WLF36" s="292"/>
      <c r="WLG36" s="292"/>
      <c r="WLH36" s="292"/>
      <c r="WLI36" s="292"/>
      <c r="WLJ36" s="292"/>
      <c r="WLK36" s="292"/>
      <c r="WLL36" s="292"/>
      <c r="WLM36" s="292"/>
      <c r="WLN36" s="292"/>
      <c r="WLO36" s="292"/>
      <c r="WLP36" s="292"/>
      <c r="WLQ36" s="292"/>
      <c r="WLR36" s="292"/>
      <c r="WLS36" s="292"/>
      <c r="WLT36" s="292"/>
      <c r="WLU36" s="292"/>
      <c r="WLV36" s="292"/>
      <c r="WLW36" s="292"/>
      <c r="WLX36" s="292"/>
      <c r="WLY36" s="292"/>
      <c r="WLZ36" s="292"/>
      <c r="WMA36" s="292"/>
      <c r="WMB36" s="292"/>
      <c r="WMC36" s="292"/>
      <c r="WMD36" s="292"/>
      <c r="WME36" s="292"/>
      <c r="WMF36" s="292"/>
      <c r="WMG36" s="292"/>
      <c r="WMH36" s="292"/>
      <c r="WMI36" s="292"/>
      <c r="WMJ36" s="292"/>
      <c r="WMK36" s="292"/>
      <c r="WML36" s="292"/>
      <c r="WMM36" s="292"/>
      <c r="WMN36" s="292"/>
      <c r="WMO36" s="292"/>
      <c r="WMP36" s="292"/>
      <c r="WMQ36" s="292"/>
      <c r="WMR36" s="292"/>
      <c r="WMS36" s="292"/>
      <c r="WMT36" s="292"/>
      <c r="WMU36" s="292"/>
      <c r="WMV36" s="292"/>
      <c r="WMW36" s="292"/>
      <c r="WMX36" s="292"/>
      <c r="WMY36" s="292"/>
      <c r="WMZ36" s="292"/>
      <c r="WNA36" s="292"/>
      <c r="WNB36" s="292"/>
      <c r="WNC36" s="292"/>
      <c r="WND36" s="292"/>
      <c r="WNE36" s="292"/>
      <c r="WNF36" s="292"/>
      <c r="WNG36" s="292"/>
      <c r="WNH36" s="292"/>
      <c r="WNI36" s="292"/>
      <c r="WNJ36" s="292"/>
      <c r="WNK36" s="292"/>
      <c r="WNL36" s="292"/>
      <c r="WNM36" s="292"/>
      <c r="WNN36" s="292"/>
      <c r="WNO36" s="292"/>
      <c r="WNP36" s="292"/>
      <c r="WNQ36" s="292"/>
      <c r="WNR36" s="292"/>
      <c r="WNS36" s="292"/>
      <c r="WNT36" s="292"/>
      <c r="WNU36" s="292"/>
      <c r="WNV36" s="292"/>
      <c r="WNW36" s="292"/>
      <c r="WNX36" s="292"/>
      <c r="WNY36" s="292"/>
      <c r="WNZ36" s="292"/>
      <c r="WOA36" s="292"/>
      <c r="WOB36" s="292"/>
      <c r="WOC36" s="292"/>
      <c r="WOD36" s="292"/>
      <c r="WOE36" s="292"/>
      <c r="WOF36" s="292"/>
      <c r="WOG36" s="292"/>
      <c r="WOH36" s="292"/>
      <c r="WOI36" s="292"/>
      <c r="WOJ36" s="292"/>
      <c r="WOK36" s="292"/>
      <c r="WOL36" s="292"/>
      <c r="WOM36" s="292"/>
      <c r="WON36" s="292"/>
      <c r="WOO36" s="292"/>
      <c r="WOP36" s="292"/>
      <c r="WOQ36" s="292"/>
      <c r="WOR36" s="292"/>
      <c r="WOS36" s="292"/>
      <c r="WOT36" s="292"/>
      <c r="WOU36" s="292"/>
      <c r="WOV36" s="292"/>
      <c r="WOW36" s="292"/>
      <c r="WOX36" s="292"/>
      <c r="WOY36" s="292"/>
      <c r="WOZ36" s="292"/>
      <c r="WPA36" s="292"/>
      <c r="WPB36" s="292"/>
      <c r="WPC36" s="292"/>
      <c r="WPD36" s="292"/>
      <c r="WPE36" s="292"/>
      <c r="WPF36" s="292"/>
      <c r="WPG36" s="292"/>
      <c r="WPH36" s="292"/>
      <c r="WPI36" s="292"/>
      <c r="WPJ36" s="292"/>
      <c r="WPK36" s="292"/>
      <c r="WPL36" s="292"/>
      <c r="WPM36" s="292"/>
      <c r="WPN36" s="292"/>
      <c r="WPO36" s="292"/>
      <c r="WPP36" s="292"/>
      <c r="WPQ36" s="292"/>
      <c r="WPR36" s="292"/>
      <c r="WPS36" s="292"/>
      <c r="WPT36" s="292"/>
      <c r="WPU36" s="292"/>
      <c r="WPV36" s="292"/>
      <c r="WPW36" s="292"/>
      <c r="WPX36" s="292"/>
      <c r="WPY36" s="292"/>
      <c r="WPZ36" s="292"/>
      <c r="WQA36" s="292"/>
      <c r="WQB36" s="292"/>
      <c r="WQC36" s="292"/>
      <c r="WQD36" s="292"/>
      <c r="WQE36" s="292"/>
      <c r="WQF36" s="292"/>
      <c r="WQG36" s="292"/>
      <c r="WQH36" s="292"/>
      <c r="WQI36" s="292"/>
      <c r="WQJ36" s="292"/>
      <c r="WQK36" s="292"/>
      <c r="WQL36" s="292"/>
      <c r="WQM36" s="292"/>
      <c r="WQN36" s="292"/>
      <c r="WQO36" s="292"/>
      <c r="WQP36" s="292"/>
      <c r="WQQ36" s="292"/>
      <c r="WQR36" s="292"/>
      <c r="WQS36" s="292"/>
      <c r="WQT36" s="292"/>
      <c r="WQU36" s="292"/>
      <c r="WQV36" s="292"/>
      <c r="WQW36" s="292"/>
      <c r="WQX36" s="292"/>
      <c r="WQY36" s="292"/>
      <c r="WQZ36" s="292"/>
      <c r="WRA36" s="292"/>
      <c r="WRB36" s="292"/>
      <c r="WRC36" s="292"/>
      <c r="WRD36" s="292"/>
      <c r="WRE36" s="292"/>
      <c r="WRF36" s="292"/>
      <c r="WRG36" s="292"/>
      <c r="WRH36" s="292"/>
      <c r="WRI36" s="292"/>
      <c r="WRJ36" s="292"/>
      <c r="WRK36" s="292"/>
      <c r="WRL36" s="292"/>
      <c r="WRM36" s="292"/>
      <c r="WRN36" s="292"/>
      <c r="WRO36" s="292"/>
      <c r="WRP36" s="292"/>
      <c r="WRQ36" s="292"/>
      <c r="WRR36" s="292"/>
      <c r="WRS36" s="292"/>
      <c r="WRT36" s="292"/>
      <c r="WRU36" s="292"/>
      <c r="WRV36" s="292"/>
      <c r="WRW36" s="292"/>
      <c r="WRX36" s="292"/>
      <c r="WRY36" s="292"/>
      <c r="WRZ36" s="292"/>
      <c r="WSA36" s="292"/>
      <c r="WSB36" s="292"/>
      <c r="WSC36" s="292"/>
      <c r="WSD36" s="292"/>
      <c r="WSE36" s="292"/>
      <c r="WSF36" s="292"/>
      <c r="WSG36" s="292"/>
      <c r="WSH36" s="292"/>
      <c r="WSI36" s="292"/>
      <c r="WSJ36" s="292"/>
      <c r="WSK36" s="292"/>
      <c r="WSL36" s="292"/>
      <c r="WSM36" s="292"/>
      <c r="WSN36" s="292"/>
      <c r="WSO36" s="292"/>
      <c r="WSP36" s="292"/>
      <c r="WSQ36" s="292"/>
      <c r="WSR36" s="292"/>
      <c r="WSS36" s="292"/>
      <c r="WST36" s="292"/>
      <c r="WSU36" s="292"/>
      <c r="WSV36" s="292"/>
      <c r="WSW36" s="292"/>
      <c r="WSX36" s="292"/>
      <c r="WSY36" s="292"/>
      <c r="WSZ36" s="292"/>
      <c r="WTA36" s="292"/>
      <c r="WTB36" s="292"/>
      <c r="WTC36" s="292"/>
      <c r="WTD36" s="292"/>
      <c r="WTE36" s="292"/>
      <c r="WTF36" s="292"/>
      <c r="WTG36" s="292"/>
      <c r="WTH36" s="292"/>
      <c r="WTI36" s="292"/>
      <c r="WTJ36" s="292"/>
      <c r="WTK36" s="292"/>
      <c r="WTL36" s="292"/>
      <c r="WTM36" s="292"/>
      <c r="WTN36" s="292"/>
      <c r="WTO36" s="292"/>
      <c r="WTP36" s="292"/>
      <c r="WTQ36" s="292"/>
      <c r="WTR36" s="292"/>
      <c r="WTS36" s="292"/>
      <c r="WTT36" s="292"/>
      <c r="WTU36" s="292"/>
      <c r="WTV36" s="292"/>
      <c r="WTW36" s="292"/>
      <c r="WTX36" s="292"/>
      <c r="WTY36" s="292"/>
      <c r="WTZ36" s="292"/>
      <c r="WUA36" s="292"/>
      <c r="WUB36" s="292"/>
      <c r="WUC36" s="292"/>
      <c r="WUD36" s="292"/>
      <c r="WUE36" s="292"/>
      <c r="WUF36" s="292"/>
      <c r="WUG36" s="292"/>
      <c r="WUH36" s="292"/>
      <c r="WUI36" s="292"/>
      <c r="WUJ36" s="292"/>
      <c r="WUK36" s="292"/>
      <c r="WUL36" s="292"/>
      <c r="WUM36" s="292"/>
      <c r="WUN36" s="292"/>
      <c r="WUO36" s="292"/>
      <c r="WUP36" s="292"/>
      <c r="WUQ36" s="292"/>
      <c r="WUR36" s="292"/>
      <c r="WUS36" s="292"/>
      <c r="WUT36" s="292"/>
      <c r="WUU36" s="292"/>
      <c r="WUV36" s="292"/>
      <c r="WUW36" s="292"/>
      <c r="WUX36" s="292"/>
      <c r="WUY36" s="292"/>
      <c r="WUZ36" s="292"/>
      <c r="WVA36" s="292"/>
      <c r="WVB36" s="292"/>
      <c r="WVC36" s="292"/>
      <c r="WVD36" s="292"/>
      <c r="WVE36" s="292"/>
      <c r="WVF36" s="292"/>
      <c r="WVG36" s="292"/>
      <c r="WVH36" s="292"/>
      <c r="WVI36" s="292"/>
      <c r="WVJ36" s="292"/>
      <c r="WVK36" s="292"/>
      <c r="WVL36" s="292"/>
      <c r="WVM36" s="292"/>
      <c r="WVN36" s="292"/>
      <c r="WVO36" s="292"/>
      <c r="WVP36" s="292"/>
      <c r="WVQ36" s="292"/>
      <c r="WVR36" s="292"/>
      <c r="WVS36" s="292"/>
      <c r="WVT36" s="292"/>
      <c r="WVU36" s="292"/>
      <c r="WVV36" s="292"/>
      <c r="WVW36" s="292"/>
      <c r="WVX36" s="292"/>
      <c r="WVY36" s="292"/>
      <c r="WVZ36" s="292"/>
      <c r="WWA36" s="292"/>
      <c r="WWB36" s="292"/>
      <c r="WWC36" s="292"/>
      <c r="WWD36" s="292"/>
      <c r="WWE36" s="292"/>
      <c r="WWF36" s="292"/>
      <c r="WWG36" s="292"/>
      <c r="WWH36" s="292"/>
      <c r="WWI36" s="292"/>
      <c r="WWJ36" s="292"/>
      <c r="WWK36" s="292"/>
      <c r="WWL36" s="292"/>
      <c r="WWM36" s="292"/>
      <c r="WWN36" s="292"/>
      <c r="WWO36" s="292"/>
      <c r="WWP36" s="292"/>
      <c r="WWQ36" s="292"/>
      <c r="WWR36" s="292"/>
      <c r="WWS36" s="292"/>
      <c r="WWT36" s="292"/>
      <c r="WWU36" s="292"/>
      <c r="WWV36" s="292"/>
      <c r="WWW36" s="292"/>
      <c r="WWX36" s="292"/>
      <c r="WWY36" s="292"/>
      <c r="WWZ36" s="292"/>
      <c r="WXA36" s="292"/>
      <c r="WXB36" s="292"/>
      <c r="WXC36" s="292"/>
      <c r="WXD36" s="292"/>
      <c r="WXE36" s="292"/>
      <c r="WXF36" s="292"/>
      <c r="WXG36" s="292"/>
      <c r="WXH36" s="292"/>
      <c r="WXI36" s="292"/>
      <c r="WXJ36" s="292"/>
      <c r="WXK36" s="292"/>
      <c r="WXL36" s="292"/>
      <c r="WXM36" s="292"/>
      <c r="WXN36" s="292"/>
      <c r="WXO36" s="292"/>
      <c r="WXP36" s="292"/>
      <c r="WXQ36" s="292"/>
      <c r="WXR36" s="292"/>
      <c r="WXS36" s="292"/>
      <c r="WXT36" s="292"/>
      <c r="WXU36" s="292"/>
      <c r="WXV36" s="292"/>
      <c r="WXW36" s="292"/>
      <c r="WXX36" s="292"/>
      <c r="WXY36" s="292"/>
      <c r="WXZ36" s="292"/>
      <c r="WYA36" s="292"/>
      <c r="WYB36" s="292"/>
      <c r="WYC36" s="292"/>
      <c r="WYD36" s="292"/>
      <c r="WYE36" s="292"/>
      <c r="WYF36" s="292"/>
      <c r="WYG36" s="292"/>
      <c r="WYH36" s="292"/>
      <c r="WYI36" s="292"/>
      <c r="WYJ36" s="292"/>
      <c r="WYK36" s="292"/>
      <c r="WYL36" s="292"/>
      <c r="WYM36" s="292"/>
      <c r="WYN36" s="292"/>
      <c r="WYO36" s="292"/>
      <c r="WYP36" s="292"/>
      <c r="WYQ36" s="292"/>
      <c r="WYR36" s="292"/>
      <c r="WYS36" s="292"/>
      <c r="WYT36" s="292"/>
      <c r="WYU36" s="292"/>
      <c r="WYV36" s="292"/>
      <c r="WYW36" s="292"/>
      <c r="WYX36" s="292"/>
      <c r="WYY36" s="292"/>
      <c r="WYZ36" s="292"/>
      <c r="WZA36" s="292"/>
      <c r="WZB36" s="292"/>
      <c r="WZC36" s="292"/>
      <c r="WZD36" s="292"/>
      <c r="WZE36" s="292"/>
      <c r="WZF36" s="292"/>
      <c r="WZG36" s="292"/>
      <c r="WZH36" s="292"/>
      <c r="WZI36" s="292"/>
      <c r="WZJ36" s="292"/>
      <c r="WZK36" s="292"/>
      <c r="WZL36" s="292"/>
      <c r="WZM36" s="292"/>
      <c r="WZN36" s="292"/>
      <c r="WZO36" s="292"/>
      <c r="WZP36" s="292"/>
      <c r="WZQ36" s="292"/>
      <c r="WZR36" s="292"/>
      <c r="WZS36" s="292"/>
      <c r="WZT36" s="292"/>
      <c r="WZU36" s="292"/>
      <c r="WZV36" s="292"/>
      <c r="WZW36" s="292"/>
      <c r="WZX36" s="292"/>
      <c r="WZY36" s="292"/>
      <c r="WZZ36" s="292"/>
      <c r="XAA36" s="292"/>
      <c r="XAB36" s="292"/>
      <c r="XAC36" s="292"/>
      <c r="XAD36" s="292"/>
      <c r="XAE36" s="292"/>
      <c r="XAF36" s="292"/>
      <c r="XAG36" s="292"/>
      <c r="XAH36" s="292"/>
      <c r="XAI36" s="292"/>
      <c r="XAJ36" s="292"/>
      <c r="XAK36" s="292"/>
      <c r="XAL36" s="292"/>
      <c r="XAM36" s="292"/>
      <c r="XAN36" s="292"/>
      <c r="XAO36" s="292"/>
      <c r="XAP36" s="292"/>
      <c r="XAQ36" s="292"/>
      <c r="XAR36" s="292"/>
      <c r="XAS36" s="292"/>
      <c r="XAT36" s="292"/>
      <c r="XAU36" s="292"/>
      <c r="XAV36" s="292"/>
      <c r="XAW36" s="292"/>
      <c r="XAX36" s="292"/>
      <c r="XAY36" s="292"/>
      <c r="XAZ36" s="292"/>
      <c r="XBA36" s="292"/>
      <c r="XBB36" s="292"/>
      <c r="XBC36" s="292"/>
      <c r="XBD36" s="292"/>
      <c r="XBE36" s="292"/>
      <c r="XBF36" s="292"/>
      <c r="XBG36" s="292"/>
      <c r="XBH36" s="292"/>
      <c r="XBI36" s="292"/>
      <c r="XBJ36" s="292"/>
      <c r="XBK36" s="292"/>
      <c r="XBL36" s="292"/>
      <c r="XBM36" s="292"/>
      <c r="XBN36" s="292"/>
      <c r="XBO36" s="292"/>
      <c r="XBP36" s="292"/>
      <c r="XBQ36" s="292"/>
      <c r="XBR36" s="292"/>
      <c r="XBS36" s="292"/>
      <c r="XBT36" s="292"/>
      <c r="XBU36" s="292"/>
      <c r="XBV36" s="292"/>
      <c r="XBW36" s="292"/>
      <c r="XBX36" s="292"/>
      <c r="XBY36" s="292"/>
      <c r="XBZ36" s="292"/>
      <c r="XCA36" s="292"/>
      <c r="XCB36" s="292"/>
      <c r="XCC36" s="292"/>
      <c r="XCD36" s="292"/>
      <c r="XCE36" s="292"/>
      <c r="XCF36" s="292"/>
      <c r="XCG36" s="292"/>
      <c r="XCH36" s="292"/>
      <c r="XCI36" s="292"/>
      <c r="XCJ36" s="292"/>
      <c r="XCK36" s="292"/>
      <c r="XCL36" s="292"/>
      <c r="XCM36" s="292"/>
      <c r="XCN36" s="292"/>
      <c r="XCO36" s="292"/>
      <c r="XCP36" s="292"/>
      <c r="XCQ36" s="292"/>
      <c r="XCR36" s="292"/>
      <c r="XCS36" s="292"/>
      <c r="XCT36" s="292"/>
      <c r="XCU36" s="292"/>
      <c r="XCV36" s="292"/>
      <c r="XCW36" s="292"/>
      <c r="XCX36" s="292"/>
      <c r="XCY36" s="292"/>
      <c r="XCZ36" s="292"/>
      <c r="XDA36" s="292"/>
      <c r="XDB36" s="292"/>
      <c r="XDC36" s="292"/>
      <c r="XDD36" s="292"/>
      <c r="XDE36" s="292"/>
      <c r="XDF36" s="292"/>
      <c r="XDG36" s="292"/>
      <c r="XDH36" s="292"/>
      <c r="XDI36" s="292"/>
      <c r="XDJ36" s="292"/>
      <c r="XDK36" s="292"/>
      <c r="XDL36" s="292"/>
      <c r="XDM36" s="292"/>
      <c r="XDN36" s="292"/>
      <c r="XDO36" s="292"/>
      <c r="XDP36" s="292"/>
      <c r="XDQ36" s="292"/>
      <c r="XDR36" s="292"/>
      <c r="XDS36" s="292"/>
      <c r="XDT36" s="292"/>
      <c r="XDU36" s="292"/>
      <c r="XDV36" s="292"/>
      <c r="XDW36" s="292"/>
      <c r="XDX36" s="292"/>
      <c r="XDY36" s="292"/>
      <c r="XDZ36" s="292"/>
      <c r="XEA36" s="292"/>
      <c r="XEB36" s="292"/>
      <c r="XEC36" s="292"/>
      <c r="XED36" s="292"/>
      <c r="XEE36" s="292"/>
      <c r="XEF36" s="292"/>
      <c r="XEG36" s="292"/>
      <c r="XEH36" s="292"/>
      <c r="XEI36" s="292"/>
      <c r="XEJ36" s="292"/>
      <c r="XEK36" s="292"/>
      <c r="XEL36" s="292"/>
      <c r="XEM36" s="292"/>
      <c r="XEN36" s="292"/>
      <c r="XEO36" s="292"/>
      <c r="XEP36" s="292"/>
      <c r="XEQ36" s="292"/>
      <c r="XER36" s="292"/>
      <c r="XES36" s="292"/>
      <c r="XET36" s="292"/>
      <c r="XEU36" s="292"/>
      <c r="XEV36" s="292"/>
      <c r="XEW36" s="292"/>
      <c r="XEX36" s="292"/>
      <c r="XEY36" s="292"/>
      <c r="XEZ36" s="292"/>
      <c r="XFA36" s="292"/>
      <c r="XFB36" s="292"/>
      <c r="XFC36" s="292"/>
      <c r="XFD36" s="292"/>
    </row>
    <row r="37" ht="15.75" customHeight="1">
      <c r="A37" s="292"/>
      <c r="B37" s="292"/>
      <c r="C37" s="292" t="s">
        <v>675</v>
      </c>
      <c r="D37" s="292" t="s">
        <v>678</v>
      </c>
      <c r="E37" s="292"/>
      <c r="F37" s="292"/>
      <c r="G37" s="292"/>
      <c r="H37" s="292"/>
      <c r="I37" s="292"/>
      <c r="J37" s="292"/>
      <c r="K37" s="292"/>
      <c r="L37" s="292"/>
      <c r="M37" s="292"/>
      <c r="N37" s="292"/>
      <c r="O37" s="292"/>
      <c r="P37" s="292"/>
      <c r="Q37" s="292"/>
      <c r="R37" s="292"/>
      <c r="S37" s="292"/>
      <c r="T37" s="292"/>
      <c r="U37" s="292"/>
      <c r="V37" s="292"/>
      <c r="W37" s="292"/>
      <c r="X37" s="292"/>
      <c r="Y37" s="292"/>
      <c r="Z37" s="292"/>
      <c r="AA37" s="292"/>
      <c r="AB37" s="292"/>
      <c r="AC37" s="292"/>
      <c r="AD37" s="292"/>
      <c r="AE37" s="292"/>
      <c r="AF37" s="292"/>
      <c r="AG37" s="292"/>
      <c r="AH37" s="292"/>
      <c r="AI37" s="292"/>
      <c r="AJ37" s="292"/>
      <c r="AK37" s="292"/>
      <c r="AL37" s="292"/>
      <c r="AM37" s="292"/>
      <c r="AN37" s="292"/>
      <c r="AO37" s="292"/>
      <c r="AP37" s="292"/>
      <c r="AQ37" s="292"/>
      <c r="AR37" s="292"/>
      <c r="AS37" s="292"/>
      <c r="AT37" s="292"/>
      <c r="AU37" s="292"/>
      <c r="AV37" s="292"/>
      <c r="AW37" s="292"/>
      <c r="AX37" s="292"/>
      <c r="AY37" s="292"/>
      <c r="AZ37" s="292"/>
      <c r="BA37" s="292"/>
      <c r="BB37" s="292"/>
      <c r="BC37" s="292"/>
      <c r="BD37" s="292"/>
      <c r="BE37" s="292"/>
      <c r="BF37" s="292"/>
      <c r="BG37" s="292"/>
      <c r="BH37" s="292"/>
      <c r="BI37" s="292"/>
      <c r="BJ37" s="292"/>
      <c r="BK37" s="292"/>
      <c r="BL37" s="292"/>
      <c r="BM37" s="292"/>
      <c r="BN37" s="292"/>
      <c r="BO37" s="292"/>
      <c r="BP37" s="292"/>
      <c r="BQ37" s="292"/>
      <c r="BR37" s="292"/>
      <c r="BS37" s="292"/>
      <c r="BT37" s="292"/>
      <c r="BU37" s="292"/>
      <c r="BV37" s="292"/>
      <c r="BW37" s="292"/>
      <c r="BX37" s="292"/>
      <c r="BY37" s="292"/>
      <c r="BZ37" s="292"/>
      <c r="CA37" s="292"/>
      <c r="CB37" s="292"/>
      <c r="CC37" s="292"/>
      <c r="CD37" s="292"/>
      <c r="CE37" s="292"/>
      <c r="CF37" s="292"/>
      <c r="CG37" s="292"/>
      <c r="CH37" s="292"/>
      <c r="CI37" s="292"/>
      <c r="CJ37" s="292"/>
      <c r="CK37" s="292"/>
      <c r="CL37" s="292"/>
      <c r="CM37" s="292"/>
      <c r="CN37" s="292"/>
      <c r="CO37" s="292"/>
      <c r="CP37" s="292"/>
      <c r="CQ37" s="292"/>
      <c r="CR37" s="292"/>
      <c r="CS37" s="292"/>
      <c r="CT37" s="292"/>
      <c r="CU37" s="292"/>
      <c r="CV37" s="292"/>
      <c r="CW37" s="292"/>
      <c r="CX37" s="292"/>
      <c r="CY37" s="292"/>
      <c r="CZ37" s="292"/>
      <c r="DA37" s="292"/>
      <c r="DB37" s="292"/>
      <c r="DC37" s="292"/>
      <c r="DD37" s="292"/>
      <c r="DE37" s="292"/>
      <c r="DF37" s="292"/>
      <c r="DG37" s="292"/>
      <c r="DH37" s="292"/>
      <c r="DI37" s="292"/>
      <c r="DJ37" s="292"/>
      <c r="DK37" s="292"/>
      <c r="DL37" s="292"/>
      <c r="DM37" s="292"/>
      <c r="DN37" s="292"/>
      <c r="DO37" s="292"/>
      <c r="DP37" s="292"/>
      <c r="DQ37" s="292"/>
      <c r="DR37" s="292"/>
      <c r="DS37" s="292"/>
      <c r="DT37" s="292"/>
      <c r="DU37" s="292"/>
      <c r="DV37" s="292"/>
      <c r="DW37" s="292"/>
      <c r="DX37" s="292"/>
      <c r="DY37" s="292"/>
      <c r="DZ37" s="292"/>
      <c r="EA37" s="292"/>
      <c r="EB37" s="292"/>
      <c r="EC37" s="292"/>
      <c r="ED37" s="292"/>
      <c r="EE37" s="292"/>
      <c r="EF37" s="292"/>
      <c r="EG37" s="292"/>
      <c r="EH37" s="292"/>
      <c r="EI37" s="292"/>
      <c r="EJ37" s="292"/>
      <c r="EK37" s="292"/>
      <c r="EL37" s="292"/>
      <c r="EM37" s="292"/>
      <c r="EN37" s="292"/>
      <c r="EO37" s="292"/>
      <c r="EP37" s="292"/>
      <c r="EQ37" s="292"/>
      <c r="ER37" s="292"/>
      <c r="ES37" s="292"/>
      <c r="ET37" s="292"/>
      <c r="EU37" s="292"/>
      <c r="EV37" s="292"/>
      <c r="EW37" s="292"/>
      <c r="EX37" s="292"/>
      <c r="EY37" s="292"/>
      <c r="EZ37" s="292"/>
      <c r="FA37" s="292"/>
      <c r="FB37" s="292"/>
      <c r="FC37" s="292"/>
      <c r="FD37" s="292"/>
      <c r="FE37" s="292"/>
      <c r="FF37" s="292"/>
      <c r="FG37" s="292"/>
      <c r="FH37" s="292"/>
      <c r="FI37" s="292"/>
      <c r="FJ37" s="292"/>
      <c r="FK37" s="292"/>
      <c r="FL37" s="292"/>
      <c r="FM37" s="292"/>
      <c r="FN37" s="292"/>
      <c r="FO37" s="292"/>
      <c r="FP37" s="292"/>
      <c r="FQ37" s="292"/>
      <c r="FR37" s="292"/>
      <c r="FS37" s="292"/>
      <c r="FT37" s="292"/>
      <c r="FU37" s="292"/>
      <c r="FV37" s="292"/>
      <c r="FW37" s="292"/>
      <c r="FX37" s="292"/>
      <c r="FY37" s="292"/>
      <c r="FZ37" s="292"/>
      <c r="GA37" s="292"/>
      <c r="GB37" s="292"/>
      <c r="GC37" s="292"/>
      <c r="GD37" s="292"/>
      <c r="GE37" s="292"/>
      <c r="GF37" s="292"/>
      <c r="GG37" s="292"/>
      <c r="GH37" s="292"/>
      <c r="GI37" s="292"/>
      <c r="GJ37" s="292"/>
      <c r="GK37" s="292"/>
      <c r="GL37" s="292"/>
      <c r="GM37" s="292"/>
      <c r="GN37" s="292"/>
      <c r="GO37" s="292"/>
      <c r="GP37" s="292"/>
      <c r="GQ37" s="292"/>
      <c r="GR37" s="292"/>
      <c r="GS37" s="292"/>
      <c r="GT37" s="292"/>
      <c r="GU37" s="292"/>
      <c r="GV37" s="292"/>
      <c r="GW37" s="292"/>
      <c r="GX37" s="292"/>
      <c r="GY37" s="292"/>
      <c r="GZ37" s="292"/>
      <c r="HA37" s="292"/>
      <c r="HB37" s="292"/>
      <c r="HC37" s="292"/>
      <c r="HD37" s="292"/>
      <c r="HE37" s="292"/>
      <c r="HF37" s="292"/>
      <c r="HG37" s="292"/>
      <c r="HH37" s="292"/>
      <c r="HI37" s="292"/>
      <c r="HJ37" s="292"/>
      <c r="HK37" s="292"/>
      <c r="HL37" s="292"/>
      <c r="HM37" s="292"/>
      <c r="HN37" s="292"/>
      <c r="HO37" s="292"/>
      <c r="HP37" s="292"/>
      <c r="HQ37" s="292"/>
      <c r="HR37" s="292"/>
      <c r="HS37" s="292"/>
      <c r="HT37" s="292"/>
      <c r="HU37" s="292"/>
      <c r="HV37" s="292"/>
      <c r="HW37" s="292"/>
      <c r="HX37" s="292"/>
      <c r="HY37" s="292"/>
      <c r="HZ37" s="292"/>
      <c r="IA37" s="292"/>
      <c r="IB37" s="292"/>
      <c r="IC37" s="292"/>
      <c r="ID37" s="292"/>
      <c r="IE37" s="292"/>
      <c r="IF37" s="292"/>
      <c r="IG37" s="292"/>
      <c r="IH37" s="292"/>
      <c r="II37" s="292"/>
      <c r="IJ37" s="292"/>
      <c r="IK37" s="292"/>
      <c r="IL37" s="292"/>
      <c r="IM37" s="292"/>
      <c r="IN37" s="292"/>
      <c r="IO37" s="292"/>
      <c r="IP37" s="292"/>
      <c r="IQ37" s="292"/>
      <c r="IR37" s="292"/>
      <c r="IS37" s="292"/>
      <c r="IT37" s="292"/>
      <c r="IU37" s="292"/>
      <c r="IV37" s="292"/>
      <c r="IW37" s="292"/>
      <c r="IX37" s="292"/>
      <c r="IY37" s="292"/>
      <c r="IZ37" s="292"/>
      <c r="JA37" s="292"/>
      <c r="JB37" s="292"/>
      <c r="JC37" s="292"/>
      <c r="JD37" s="292"/>
      <c r="JE37" s="292"/>
      <c r="JF37" s="292"/>
      <c r="JG37" s="292"/>
      <c r="JH37" s="292"/>
      <c r="JI37" s="292"/>
      <c r="JJ37" s="292"/>
      <c r="JK37" s="292"/>
      <c r="JL37" s="292"/>
      <c r="JM37" s="292"/>
      <c r="JN37" s="292"/>
      <c r="JO37" s="292"/>
      <c r="JP37" s="292"/>
      <c r="JQ37" s="292"/>
      <c r="JR37" s="292"/>
      <c r="JS37" s="292"/>
      <c r="JT37" s="292"/>
      <c r="JU37" s="292"/>
      <c r="JV37" s="292"/>
      <c r="JW37" s="292"/>
      <c r="JX37" s="292"/>
      <c r="JY37" s="292"/>
      <c r="JZ37" s="292"/>
      <c r="KA37" s="292"/>
      <c r="KB37" s="292"/>
      <c r="KC37" s="292"/>
      <c r="KD37" s="292"/>
      <c r="KE37" s="292"/>
      <c r="KF37" s="292"/>
      <c r="KG37" s="292"/>
      <c r="KH37" s="292"/>
      <c r="KI37" s="292"/>
      <c r="KJ37" s="292"/>
      <c r="KK37" s="292"/>
      <c r="KL37" s="292"/>
      <c r="KM37" s="292"/>
      <c r="KN37" s="292"/>
      <c r="KO37" s="292"/>
      <c r="KP37" s="292"/>
      <c r="KQ37" s="292"/>
      <c r="KR37" s="292"/>
      <c r="KS37" s="292"/>
      <c r="KT37" s="292"/>
      <c r="KU37" s="292"/>
      <c r="KV37" s="292"/>
      <c r="KW37" s="292"/>
      <c r="KX37" s="292"/>
      <c r="KY37" s="292"/>
      <c r="KZ37" s="292"/>
      <c r="LA37" s="292"/>
      <c r="LB37" s="292"/>
      <c r="LC37" s="292"/>
      <c r="LD37" s="292"/>
      <c r="LE37" s="292"/>
      <c r="LF37" s="292"/>
      <c r="LG37" s="292"/>
      <c r="LH37" s="292"/>
      <c r="LI37" s="292"/>
      <c r="LJ37" s="292"/>
      <c r="LK37" s="292"/>
      <c r="LL37" s="292"/>
      <c r="LM37" s="292"/>
      <c r="LN37" s="292"/>
      <c r="LO37" s="292"/>
      <c r="LP37" s="292"/>
      <c r="LQ37" s="292"/>
      <c r="LR37" s="292"/>
      <c r="LS37" s="292"/>
      <c r="LT37" s="292"/>
      <c r="LU37" s="292"/>
      <c r="LV37" s="292"/>
      <c r="LW37" s="292"/>
      <c r="LX37" s="292"/>
      <c r="LY37" s="292"/>
      <c r="LZ37" s="292"/>
      <c r="MA37" s="292"/>
      <c r="MB37" s="292"/>
      <c r="MC37" s="292"/>
      <c r="MD37" s="292"/>
      <c r="ME37" s="292"/>
      <c r="MF37" s="292"/>
      <c r="MG37" s="292"/>
      <c r="MH37" s="292"/>
      <c r="MI37" s="292"/>
      <c r="MJ37" s="292"/>
      <c r="MK37" s="292"/>
      <c r="ML37" s="292"/>
      <c r="MM37" s="292"/>
      <c r="MN37" s="292"/>
      <c r="MO37" s="292"/>
      <c r="MP37" s="292"/>
      <c r="MQ37" s="292"/>
      <c r="MR37" s="292"/>
      <c r="MS37" s="292"/>
      <c r="MT37" s="292"/>
      <c r="MU37" s="292"/>
      <c r="MV37" s="292"/>
      <c r="MW37" s="292"/>
      <c r="MX37" s="292"/>
      <c r="MY37" s="292"/>
      <c r="MZ37" s="292"/>
      <c r="NA37" s="292"/>
      <c r="NB37" s="292"/>
      <c r="NC37" s="292"/>
      <c r="ND37" s="292"/>
      <c r="NE37" s="292"/>
      <c r="NF37" s="292"/>
      <c r="NG37" s="292"/>
      <c r="NH37" s="292"/>
      <c r="NI37" s="292"/>
      <c r="NJ37" s="292"/>
      <c r="NK37" s="292"/>
      <c r="NL37" s="292"/>
      <c r="NM37" s="292"/>
      <c r="NN37" s="292"/>
      <c r="NO37" s="292"/>
      <c r="NP37" s="292"/>
      <c r="NQ37" s="292"/>
      <c r="NR37" s="292"/>
      <c r="NS37" s="292"/>
      <c r="NT37" s="292"/>
      <c r="NU37" s="292"/>
      <c r="NV37" s="292"/>
      <c r="NW37" s="292"/>
      <c r="NX37" s="292"/>
      <c r="NY37" s="292"/>
      <c r="NZ37" s="292"/>
      <c r="OA37" s="292"/>
      <c r="OB37" s="292"/>
      <c r="OC37" s="292"/>
      <c r="OD37" s="292"/>
      <c r="OE37" s="292"/>
      <c r="OF37" s="292"/>
      <c r="OG37" s="292"/>
      <c r="OH37" s="292"/>
      <c r="OI37" s="292"/>
      <c r="OJ37" s="292"/>
      <c r="OK37" s="292"/>
      <c r="OL37" s="292"/>
      <c r="OM37" s="292"/>
      <c r="ON37" s="292"/>
      <c r="OO37" s="292"/>
      <c r="OP37" s="292"/>
      <c r="OQ37" s="292"/>
      <c r="OR37" s="292"/>
      <c r="OS37" s="292"/>
      <c r="OT37" s="292"/>
      <c r="OU37" s="292"/>
      <c r="OV37" s="292"/>
      <c r="OW37" s="292"/>
      <c r="OX37" s="292"/>
      <c r="OY37" s="292"/>
      <c r="OZ37" s="292"/>
      <c r="PA37" s="292"/>
      <c r="PB37" s="292"/>
      <c r="PC37" s="292"/>
      <c r="PD37" s="292"/>
      <c r="PE37" s="292"/>
      <c r="PF37" s="292"/>
      <c r="PG37" s="292"/>
      <c r="PH37" s="292"/>
      <c r="PI37" s="292"/>
      <c r="PJ37" s="292"/>
      <c r="PK37" s="292"/>
      <c r="PL37" s="292"/>
      <c r="PM37" s="292"/>
      <c r="PN37" s="292"/>
      <c r="PO37" s="292"/>
      <c r="PP37" s="292"/>
      <c r="PQ37" s="292"/>
      <c r="PR37" s="292"/>
      <c r="PS37" s="292"/>
      <c r="PT37" s="292"/>
      <c r="PU37" s="292"/>
      <c r="PV37" s="292"/>
      <c r="PW37" s="292"/>
      <c r="PX37" s="292"/>
      <c r="PY37" s="292"/>
      <c r="PZ37" s="292"/>
      <c r="QA37" s="292"/>
      <c r="QB37" s="292"/>
      <c r="QC37" s="292"/>
      <c r="QD37" s="292"/>
      <c r="QE37" s="292"/>
      <c r="QF37" s="292"/>
      <c r="QG37" s="292"/>
      <c r="QH37" s="292"/>
      <c r="QI37" s="292"/>
      <c r="QJ37" s="292"/>
      <c r="QK37" s="292"/>
      <c r="QL37" s="292"/>
      <c r="QM37" s="292"/>
      <c r="QN37" s="292"/>
      <c r="QO37" s="292"/>
      <c r="QP37" s="292"/>
      <c r="QQ37" s="292"/>
      <c r="QR37" s="292"/>
      <c r="QS37" s="292"/>
      <c r="QT37" s="292"/>
      <c r="QU37" s="292"/>
      <c r="QV37" s="292"/>
      <c r="QW37" s="292"/>
      <c r="QX37" s="292"/>
      <c r="QY37" s="292"/>
      <c r="QZ37" s="292"/>
      <c r="RA37" s="292"/>
      <c r="RB37" s="292"/>
      <c r="RC37" s="292"/>
      <c r="RD37" s="292"/>
      <c r="RE37" s="292"/>
      <c r="RF37" s="292"/>
      <c r="RG37" s="292"/>
      <c r="RH37" s="292"/>
      <c r="RI37" s="292"/>
      <c r="RJ37" s="292"/>
      <c r="RK37" s="292"/>
      <c r="RL37" s="292"/>
      <c r="RM37" s="292"/>
      <c r="RN37" s="292"/>
      <c r="RO37" s="292"/>
      <c r="RP37" s="292"/>
      <c r="RQ37" s="292"/>
      <c r="RR37" s="292"/>
      <c r="RS37" s="292"/>
      <c r="RT37" s="292"/>
      <c r="RU37" s="292"/>
      <c r="RV37" s="292"/>
      <c r="RW37" s="292"/>
      <c r="RX37" s="292"/>
      <c r="RY37" s="292"/>
      <c r="RZ37" s="292"/>
      <c r="SA37" s="292"/>
      <c r="SB37" s="292"/>
      <c r="SC37" s="292"/>
      <c r="SD37" s="292"/>
      <c r="SE37" s="292"/>
      <c r="SF37" s="292"/>
      <c r="SG37" s="292"/>
      <c r="SH37" s="292"/>
      <c r="SI37" s="292"/>
      <c r="SJ37" s="292"/>
      <c r="SK37" s="292"/>
      <c r="SL37" s="292"/>
      <c r="SM37" s="292"/>
      <c r="SN37" s="292"/>
      <c r="SO37" s="292"/>
      <c r="SP37" s="292"/>
      <c r="SQ37" s="292"/>
      <c r="SR37" s="292"/>
      <c r="SS37" s="292"/>
      <c r="ST37" s="292"/>
      <c r="SU37" s="292"/>
      <c r="SV37" s="292"/>
      <c r="SW37" s="292"/>
      <c r="SX37" s="292"/>
      <c r="SY37" s="292"/>
      <c r="SZ37" s="292"/>
      <c r="TA37" s="292"/>
      <c r="TB37" s="292"/>
      <c r="TC37" s="292"/>
      <c r="TD37" s="292"/>
      <c r="TE37" s="292"/>
      <c r="TF37" s="292"/>
      <c r="TG37" s="292"/>
      <c r="TH37" s="292"/>
      <c r="TI37" s="292"/>
      <c r="TJ37" s="292"/>
      <c r="TK37" s="292"/>
      <c r="TL37" s="292"/>
      <c r="TM37" s="292"/>
      <c r="TN37" s="292"/>
      <c r="TO37" s="292"/>
      <c r="TP37" s="292"/>
      <c r="TQ37" s="292"/>
      <c r="TR37" s="292"/>
      <c r="TS37" s="292"/>
      <c r="TT37" s="292"/>
      <c r="TU37" s="292"/>
      <c r="TV37" s="292"/>
      <c r="TW37" s="292"/>
      <c r="TX37" s="292"/>
      <c r="TY37" s="292"/>
      <c r="TZ37" s="292"/>
      <c r="UA37" s="292"/>
      <c r="UB37" s="292"/>
      <c r="UC37" s="292"/>
      <c r="UD37" s="292"/>
      <c r="UE37" s="292"/>
      <c r="UF37" s="292"/>
      <c r="UG37" s="292"/>
      <c r="UH37" s="292"/>
      <c r="UI37" s="292"/>
      <c r="UJ37" s="292"/>
      <c r="UK37" s="292"/>
      <c r="UL37" s="292"/>
      <c r="UM37" s="292"/>
      <c r="UN37" s="292"/>
      <c r="UO37" s="292"/>
      <c r="UP37" s="292"/>
      <c r="UQ37" s="292"/>
      <c r="UR37" s="292"/>
      <c r="US37" s="292"/>
      <c r="UT37" s="292"/>
      <c r="UU37" s="292"/>
      <c r="UV37" s="292"/>
      <c r="UW37" s="292"/>
      <c r="UX37" s="292"/>
      <c r="UY37" s="292"/>
      <c r="UZ37" s="292"/>
      <c r="VA37" s="292"/>
      <c r="VB37" s="292"/>
      <c r="VC37" s="292"/>
      <c r="VD37" s="292"/>
      <c r="VE37" s="292"/>
      <c r="VF37" s="292"/>
      <c r="VG37" s="292"/>
      <c r="VH37" s="292"/>
      <c r="VI37" s="292"/>
      <c r="VJ37" s="292"/>
      <c r="VK37" s="292"/>
      <c r="VL37" s="292"/>
      <c r="VM37" s="292"/>
      <c r="VN37" s="292"/>
      <c r="VO37" s="292"/>
      <c r="VP37" s="292"/>
      <c r="VQ37" s="292"/>
      <c r="VR37" s="292"/>
      <c r="VS37" s="292"/>
      <c r="VT37" s="292"/>
      <c r="VU37" s="292"/>
      <c r="VV37" s="292"/>
      <c r="VW37" s="292"/>
      <c r="VX37" s="292"/>
      <c r="VY37" s="292"/>
      <c r="VZ37" s="292"/>
      <c r="WA37" s="292"/>
      <c r="WB37" s="292"/>
      <c r="WC37" s="292"/>
      <c r="WD37" s="292"/>
      <c r="WE37" s="292"/>
      <c r="WF37" s="292"/>
      <c r="WG37" s="292"/>
      <c r="WH37" s="292"/>
      <c r="WI37" s="292"/>
      <c r="WJ37" s="292"/>
      <c r="WK37" s="292"/>
      <c r="WL37" s="292"/>
      <c r="WM37" s="292"/>
      <c r="WN37" s="292"/>
      <c r="WO37" s="292"/>
      <c r="WP37" s="292"/>
      <c r="WQ37" s="292"/>
      <c r="WR37" s="292"/>
      <c r="WS37" s="292"/>
      <c r="WT37" s="292"/>
      <c r="WU37" s="292"/>
      <c r="WV37" s="292"/>
      <c r="WW37" s="292"/>
      <c r="WX37" s="292"/>
      <c r="WY37" s="292"/>
      <c r="WZ37" s="292"/>
      <c r="XA37" s="292"/>
      <c r="XB37" s="292"/>
      <c r="XC37" s="292"/>
      <c r="XD37" s="292"/>
      <c r="XE37" s="292"/>
      <c r="XF37" s="292"/>
      <c r="XG37" s="292"/>
      <c r="XH37" s="292"/>
      <c r="XI37" s="292"/>
      <c r="XJ37" s="292"/>
      <c r="XK37" s="292"/>
      <c r="XL37" s="292"/>
      <c r="XM37" s="292"/>
      <c r="XN37" s="292"/>
      <c r="XO37" s="292"/>
      <c r="XP37" s="292"/>
      <c r="XQ37" s="292"/>
      <c r="XR37" s="292"/>
      <c r="XS37" s="292"/>
      <c r="XT37" s="292"/>
      <c r="XU37" s="292"/>
      <c r="XV37" s="292"/>
      <c r="XW37" s="292"/>
      <c r="XX37" s="292"/>
      <c r="XY37" s="292"/>
      <c r="XZ37" s="292"/>
      <c r="YA37" s="292"/>
      <c r="YB37" s="292"/>
      <c r="YC37" s="292"/>
      <c r="YD37" s="292"/>
      <c r="YE37" s="292"/>
      <c r="YF37" s="292"/>
      <c r="YG37" s="292"/>
      <c r="YH37" s="292"/>
      <c r="YI37" s="292"/>
      <c r="YJ37" s="292"/>
      <c r="YK37" s="292"/>
      <c r="YL37" s="292"/>
      <c r="YM37" s="292"/>
      <c r="YN37" s="292"/>
      <c r="YO37" s="292"/>
      <c r="YP37" s="292"/>
      <c r="YQ37" s="292"/>
      <c r="YR37" s="292"/>
      <c r="YS37" s="292"/>
      <c r="YT37" s="292"/>
      <c r="YU37" s="292"/>
      <c r="YV37" s="292"/>
      <c r="YW37" s="292"/>
      <c r="YX37" s="292"/>
      <c r="YY37" s="292"/>
      <c r="YZ37" s="292"/>
      <c r="ZA37" s="292"/>
      <c r="ZB37" s="292"/>
      <c r="ZC37" s="292"/>
      <c r="ZD37" s="292"/>
      <c r="ZE37" s="292"/>
      <c r="ZF37" s="292"/>
      <c r="ZG37" s="292"/>
      <c r="ZH37" s="292"/>
      <c r="ZI37" s="292"/>
      <c r="ZJ37" s="292"/>
      <c r="ZK37" s="292"/>
      <c r="ZL37" s="292"/>
      <c r="ZM37" s="292"/>
      <c r="ZN37" s="292"/>
      <c r="ZO37" s="292"/>
      <c r="ZP37" s="292"/>
      <c r="ZQ37" s="292"/>
      <c r="ZR37" s="292"/>
      <c r="ZS37" s="292"/>
      <c r="ZT37" s="292"/>
      <c r="ZU37" s="292"/>
      <c r="ZV37" s="292"/>
      <c r="ZW37" s="292"/>
      <c r="ZX37" s="292"/>
      <c r="ZY37" s="292"/>
      <c r="ZZ37" s="292"/>
      <c r="AAA37" s="292"/>
      <c r="AAB37" s="292"/>
      <c r="AAC37" s="292"/>
      <c r="AAD37" s="292"/>
      <c r="AAE37" s="292"/>
      <c r="AAF37" s="292"/>
      <c r="AAG37" s="292"/>
      <c r="AAH37" s="292"/>
      <c r="AAI37" s="292"/>
      <c r="AAJ37" s="292"/>
      <c r="AAK37" s="292"/>
      <c r="AAL37" s="292"/>
      <c r="AAM37" s="292"/>
      <c r="AAN37" s="292"/>
      <c r="AAO37" s="292"/>
      <c r="AAP37" s="292"/>
      <c r="AAQ37" s="292"/>
      <c r="AAR37" s="292"/>
      <c r="AAS37" s="292"/>
      <c r="AAT37" s="292"/>
      <c r="AAU37" s="292"/>
      <c r="AAV37" s="292"/>
      <c r="AAW37" s="292"/>
      <c r="AAX37" s="292"/>
      <c r="AAY37" s="292"/>
      <c r="AAZ37" s="292"/>
      <c r="ABA37" s="292"/>
      <c r="ABB37" s="292"/>
      <c r="ABC37" s="292"/>
      <c r="ABD37" s="292"/>
      <c r="ABE37" s="292"/>
      <c r="ABF37" s="292"/>
      <c r="ABG37" s="292"/>
      <c r="ABH37" s="292"/>
      <c r="ABI37" s="292"/>
      <c r="ABJ37" s="292"/>
      <c r="ABK37" s="292"/>
      <c r="ABL37" s="292"/>
      <c r="ABM37" s="292"/>
      <c r="ABN37" s="292"/>
      <c r="ABO37" s="292"/>
      <c r="ABP37" s="292"/>
      <c r="ABQ37" s="292"/>
      <c r="ABR37" s="292"/>
      <c r="ABS37" s="292"/>
      <c r="ABT37" s="292"/>
      <c r="ABU37" s="292"/>
      <c r="ABV37" s="292"/>
      <c r="ABW37" s="292"/>
      <c r="ABX37" s="292"/>
      <c r="ABY37" s="292"/>
      <c r="ABZ37" s="292"/>
      <c r="ACA37" s="292"/>
      <c r="ACB37" s="292"/>
      <c r="ACC37" s="292"/>
      <c r="ACD37" s="292"/>
      <c r="ACE37" s="292"/>
      <c r="ACF37" s="292"/>
      <c r="ACG37" s="292"/>
      <c r="ACH37" s="292"/>
      <c r="ACI37" s="292"/>
      <c r="ACJ37" s="292"/>
      <c r="ACK37" s="292"/>
      <c r="ACL37" s="292"/>
      <c r="ACM37" s="292"/>
      <c r="ACN37" s="292"/>
      <c r="ACO37" s="292"/>
      <c r="ACP37" s="292"/>
      <c r="ACQ37" s="292"/>
      <c r="ACR37" s="292"/>
      <c r="ACS37" s="292"/>
      <c r="ACT37" s="292"/>
      <c r="ACU37" s="292"/>
      <c r="ACV37" s="292"/>
      <c r="ACW37" s="292"/>
      <c r="ACX37" s="292"/>
      <c r="ACY37" s="292"/>
      <c r="ACZ37" s="292"/>
      <c r="ADA37" s="292"/>
      <c r="ADB37" s="292"/>
      <c r="ADC37" s="292"/>
      <c r="ADD37" s="292"/>
      <c r="ADE37" s="292"/>
      <c r="ADF37" s="292"/>
      <c r="ADG37" s="292"/>
      <c r="ADH37" s="292"/>
      <c r="ADI37" s="292"/>
      <c r="ADJ37" s="292"/>
      <c r="ADK37" s="292"/>
      <c r="ADL37" s="292"/>
      <c r="ADM37" s="292"/>
      <c r="ADN37" s="292"/>
      <c r="ADO37" s="292"/>
      <c r="ADP37" s="292"/>
      <c r="ADQ37" s="292"/>
      <c r="ADR37" s="292"/>
      <c r="ADS37" s="292"/>
      <c r="ADT37" s="292"/>
      <c r="ADU37" s="292"/>
      <c r="ADV37" s="292"/>
      <c r="ADW37" s="292"/>
      <c r="ADX37" s="292"/>
      <c r="ADY37" s="292"/>
      <c r="ADZ37" s="292"/>
      <c r="AEA37" s="292"/>
      <c r="AEB37" s="292"/>
      <c r="AEC37" s="292"/>
      <c r="AED37" s="292"/>
      <c r="AEE37" s="292"/>
      <c r="AEF37" s="292"/>
      <c r="AEG37" s="292"/>
      <c r="AEH37" s="292"/>
      <c r="AEI37" s="292"/>
      <c r="AEJ37" s="292"/>
      <c r="AEK37" s="292"/>
      <c r="AEL37" s="292"/>
      <c r="AEM37" s="292"/>
      <c r="AEN37" s="292"/>
      <c r="AEO37" s="292"/>
      <c r="AEP37" s="292"/>
      <c r="AEQ37" s="292"/>
      <c r="AER37" s="292"/>
      <c r="AES37" s="292"/>
      <c r="AET37" s="292"/>
      <c r="AEU37" s="292"/>
      <c r="AEV37" s="292"/>
      <c r="AEW37" s="292"/>
      <c r="AEX37" s="292"/>
      <c r="AEY37" s="292"/>
      <c r="AEZ37" s="292"/>
      <c r="AFA37" s="292"/>
      <c r="AFB37" s="292"/>
      <c r="AFC37" s="292"/>
      <c r="AFD37" s="292"/>
      <c r="AFE37" s="292"/>
      <c r="AFF37" s="292"/>
      <c r="AFG37" s="292"/>
      <c r="AFH37" s="292"/>
      <c r="AFI37" s="292"/>
      <c r="AFJ37" s="292"/>
      <c r="AFK37" s="292"/>
      <c r="AFL37" s="292"/>
      <c r="AFM37" s="292"/>
      <c r="AFN37" s="292"/>
      <c r="AFO37" s="292"/>
      <c r="AFP37" s="292"/>
      <c r="AFQ37" s="292"/>
      <c r="AFR37" s="292"/>
      <c r="AFS37" s="292"/>
      <c r="AFT37" s="292"/>
      <c r="AFU37" s="292"/>
      <c r="AFV37" s="292"/>
      <c r="AFW37" s="292"/>
      <c r="AFX37" s="292"/>
      <c r="AFY37" s="292"/>
      <c r="AFZ37" s="292"/>
      <c r="AGA37" s="292"/>
      <c r="AGB37" s="292"/>
      <c r="AGC37" s="292"/>
      <c r="AGD37" s="292"/>
      <c r="AGE37" s="292"/>
      <c r="AGF37" s="292"/>
      <c r="AGG37" s="292"/>
      <c r="AGH37" s="292"/>
      <c r="AGI37" s="292"/>
      <c r="AGJ37" s="292"/>
      <c r="AGK37" s="292"/>
      <c r="AGL37" s="292"/>
      <c r="AGM37" s="292"/>
      <c r="AGN37" s="292"/>
      <c r="AGO37" s="292"/>
      <c r="AGP37" s="292"/>
      <c r="AGQ37" s="292"/>
      <c r="AGR37" s="292"/>
      <c r="AGS37" s="292"/>
      <c r="AGT37" s="292"/>
      <c r="AGU37" s="292"/>
      <c r="AGV37" s="292"/>
      <c r="AGW37" s="292"/>
      <c r="AGX37" s="292"/>
      <c r="AGY37" s="292"/>
      <c r="AGZ37" s="292"/>
      <c r="AHA37" s="292"/>
      <c r="AHB37" s="292"/>
      <c r="AHC37" s="292"/>
      <c r="AHD37" s="292"/>
      <c r="AHE37" s="292"/>
      <c r="AHF37" s="292"/>
      <c r="AHG37" s="292"/>
      <c r="AHH37" s="292"/>
      <c r="AHI37" s="292"/>
      <c r="AHJ37" s="292"/>
      <c r="AHK37" s="292"/>
      <c r="AHL37" s="292"/>
      <c r="AHM37" s="292"/>
      <c r="AHN37" s="292"/>
      <c r="AHO37" s="292"/>
      <c r="AHP37" s="292"/>
      <c r="AHQ37" s="292"/>
      <c r="AHR37" s="292"/>
      <c r="AHS37" s="292"/>
      <c r="AHT37" s="292"/>
      <c r="AHU37" s="292"/>
      <c r="AHV37" s="292"/>
      <c r="AHW37" s="292"/>
      <c r="AHX37" s="292"/>
      <c r="AHY37" s="292"/>
      <c r="AHZ37" s="292"/>
      <c r="AIA37" s="292"/>
      <c r="AIB37" s="292"/>
      <c r="AIC37" s="292"/>
      <c r="AID37" s="292"/>
      <c r="AIE37" s="292"/>
      <c r="AIF37" s="292"/>
      <c r="AIG37" s="292"/>
      <c r="AIH37" s="292"/>
      <c r="AII37" s="292"/>
      <c r="AIJ37" s="292"/>
      <c r="AIK37" s="292"/>
      <c r="AIL37" s="292"/>
      <c r="AIM37" s="292"/>
      <c r="AIN37" s="292"/>
      <c r="AIO37" s="292"/>
      <c r="AIP37" s="292"/>
      <c r="AIQ37" s="292"/>
      <c r="AIR37" s="292"/>
      <c r="AIS37" s="292"/>
      <c r="AIT37" s="292"/>
      <c r="AIU37" s="292"/>
      <c r="AIV37" s="292"/>
      <c r="AIW37" s="292"/>
      <c r="AIX37" s="292"/>
      <c r="AIY37" s="292"/>
      <c r="AIZ37" s="292"/>
      <c r="AJA37" s="292"/>
      <c r="AJB37" s="292"/>
      <c r="AJC37" s="292"/>
      <c r="AJD37" s="292"/>
      <c r="AJE37" s="292"/>
      <c r="AJF37" s="292"/>
      <c r="AJG37" s="292"/>
      <c r="AJH37" s="292"/>
      <c r="AJI37" s="292"/>
      <c r="AJJ37" s="292"/>
      <c r="AJK37" s="292"/>
      <c r="AJL37" s="292"/>
      <c r="AJM37" s="292"/>
      <c r="AJN37" s="292"/>
      <c r="AJO37" s="292"/>
      <c r="AJP37" s="292"/>
      <c r="AJQ37" s="292"/>
      <c r="AJR37" s="292"/>
      <c r="AJS37" s="292"/>
      <c r="AJT37" s="292"/>
      <c r="AJU37" s="292"/>
      <c r="AJV37" s="292"/>
      <c r="AJW37" s="292"/>
      <c r="AJX37" s="292"/>
      <c r="AJY37" s="292"/>
      <c r="AJZ37" s="292"/>
      <c r="AKA37" s="292"/>
      <c r="AKB37" s="292"/>
      <c r="AKC37" s="292"/>
      <c r="AKD37" s="292"/>
      <c r="AKE37" s="292"/>
      <c r="AKF37" s="292"/>
      <c r="AKG37" s="292"/>
      <c r="AKH37" s="292"/>
      <c r="AKI37" s="292"/>
      <c r="AKJ37" s="292"/>
      <c r="AKK37" s="292"/>
      <c r="AKL37" s="292"/>
      <c r="AKM37" s="292"/>
      <c r="AKN37" s="292"/>
      <c r="AKO37" s="292"/>
      <c r="AKP37" s="292"/>
      <c r="AKQ37" s="292"/>
      <c r="AKR37" s="292"/>
      <c r="AKS37" s="292"/>
      <c r="AKT37" s="292"/>
      <c r="AKU37" s="292"/>
      <c r="AKV37" s="292"/>
      <c r="AKW37" s="292"/>
      <c r="AKX37" s="292"/>
      <c r="AKY37" s="292"/>
      <c r="AKZ37" s="292"/>
      <c r="ALA37" s="292"/>
      <c r="ALB37" s="292"/>
      <c r="ALC37" s="292"/>
      <c r="ALD37" s="292"/>
      <c r="ALE37" s="292"/>
      <c r="ALF37" s="292"/>
      <c r="ALG37" s="292"/>
      <c r="ALH37" s="292"/>
      <c r="ALI37" s="292"/>
      <c r="ALJ37" s="292"/>
      <c r="ALK37" s="292"/>
      <c r="ALL37" s="292"/>
      <c r="ALM37" s="292"/>
      <c r="ALN37" s="292"/>
      <c r="ALO37" s="292"/>
      <c r="ALP37" s="292"/>
      <c r="ALQ37" s="292"/>
      <c r="ALR37" s="292"/>
      <c r="ALS37" s="292"/>
      <c r="ALT37" s="292"/>
      <c r="ALU37" s="292"/>
      <c r="ALV37" s="292"/>
      <c r="ALW37" s="292"/>
      <c r="ALX37" s="292"/>
      <c r="ALY37" s="292"/>
      <c r="ALZ37" s="292"/>
      <c r="AMA37" s="292"/>
      <c r="AMB37" s="292"/>
      <c r="AMC37" s="292"/>
      <c r="AMD37" s="292"/>
      <c r="AME37" s="292"/>
      <c r="AMF37" s="292"/>
      <c r="AMG37" s="292"/>
      <c r="AMH37" s="292"/>
      <c r="AMI37" s="292"/>
      <c r="AMJ37" s="292"/>
      <c r="AMK37" s="292"/>
      <c r="AML37" s="292"/>
      <c r="AMM37" s="292"/>
      <c r="AMN37" s="292"/>
      <c r="AMO37" s="292"/>
      <c r="AMP37" s="292"/>
      <c r="AMQ37" s="292"/>
      <c r="AMR37" s="292"/>
      <c r="AMS37" s="292"/>
      <c r="AMT37" s="292"/>
      <c r="AMU37" s="292"/>
      <c r="AMV37" s="292"/>
      <c r="AMW37" s="292"/>
      <c r="AMX37" s="292"/>
      <c r="AMY37" s="292"/>
      <c r="AMZ37" s="292"/>
      <c r="ANA37" s="292"/>
      <c r="ANB37" s="292"/>
      <c r="ANC37" s="292"/>
      <c r="AND37" s="292"/>
      <c r="ANE37" s="292"/>
      <c r="ANF37" s="292"/>
      <c r="ANG37" s="292"/>
      <c r="ANH37" s="292"/>
      <c r="ANI37" s="292"/>
      <c r="ANJ37" s="292"/>
      <c r="ANK37" s="292"/>
      <c r="ANL37" s="292"/>
      <c r="ANM37" s="292"/>
      <c r="ANN37" s="292"/>
      <c r="ANO37" s="292"/>
      <c r="ANP37" s="292"/>
      <c r="ANQ37" s="292"/>
      <c r="ANR37" s="292"/>
      <c r="ANS37" s="292"/>
      <c r="ANT37" s="292"/>
      <c r="ANU37" s="292"/>
      <c r="ANV37" s="292"/>
      <c r="ANW37" s="292"/>
      <c r="ANX37" s="292"/>
      <c r="ANY37" s="292"/>
      <c r="ANZ37" s="292"/>
      <c r="AOA37" s="292"/>
      <c r="AOB37" s="292"/>
      <c r="AOC37" s="292"/>
      <c r="AOD37" s="292"/>
      <c r="AOE37" s="292"/>
      <c r="AOF37" s="292"/>
      <c r="AOG37" s="292"/>
      <c r="AOH37" s="292"/>
      <c r="AOI37" s="292"/>
      <c r="AOJ37" s="292"/>
      <c r="AOK37" s="292"/>
      <c r="AOL37" s="292"/>
      <c r="AOM37" s="292"/>
      <c r="AON37" s="292"/>
      <c r="AOO37" s="292"/>
      <c r="AOP37" s="292"/>
      <c r="AOQ37" s="292"/>
      <c r="AOR37" s="292"/>
      <c r="AOS37" s="292"/>
      <c r="AOT37" s="292"/>
      <c r="AOU37" s="292"/>
      <c r="AOV37" s="292"/>
      <c r="AOW37" s="292"/>
      <c r="AOX37" s="292"/>
      <c r="AOY37" s="292"/>
      <c r="AOZ37" s="292"/>
      <c r="APA37" s="292"/>
      <c r="APB37" s="292"/>
      <c r="APC37" s="292"/>
      <c r="APD37" s="292"/>
      <c r="APE37" s="292"/>
      <c r="APF37" s="292"/>
      <c r="APG37" s="292"/>
      <c r="APH37" s="292"/>
      <c r="API37" s="292"/>
      <c r="APJ37" s="292"/>
      <c r="APK37" s="292"/>
      <c r="APL37" s="292"/>
      <c r="APM37" s="292"/>
      <c r="APN37" s="292"/>
      <c r="APO37" s="292"/>
      <c r="APP37" s="292"/>
      <c r="APQ37" s="292"/>
      <c r="APR37" s="292"/>
      <c r="APS37" s="292"/>
      <c r="APT37" s="292"/>
      <c r="APU37" s="292"/>
      <c r="APV37" s="292"/>
      <c r="APW37" s="292"/>
      <c r="APX37" s="292"/>
      <c r="APY37" s="292"/>
      <c r="APZ37" s="292"/>
      <c r="AQA37" s="292"/>
      <c r="AQB37" s="292"/>
      <c r="AQC37" s="292"/>
      <c r="AQD37" s="292"/>
      <c r="AQE37" s="292"/>
      <c r="AQF37" s="292"/>
      <c r="AQG37" s="292"/>
      <c r="AQH37" s="292"/>
      <c r="AQI37" s="292"/>
      <c r="AQJ37" s="292"/>
      <c r="AQK37" s="292"/>
      <c r="AQL37" s="292"/>
      <c r="AQM37" s="292"/>
      <c r="AQN37" s="292"/>
      <c r="AQO37" s="292"/>
      <c r="AQP37" s="292"/>
      <c r="AQQ37" s="292"/>
      <c r="AQR37" s="292"/>
      <c r="AQS37" s="292"/>
      <c r="AQT37" s="292"/>
      <c r="AQU37" s="292"/>
      <c r="AQV37" s="292"/>
      <c r="AQW37" s="292"/>
      <c r="AQX37" s="292"/>
      <c r="AQY37" s="292"/>
      <c r="AQZ37" s="292"/>
      <c r="ARA37" s="292"/>
      <c r="ARB37" s="292"/>
      <c r="ARC37" s="292"/>
      <c r="ARD37" s="292"/>
      <c r="ARE37" s="292"/>
      <c r="ARF37" s="292"/>
      <c r="ARG37" s="292"/>
      <c r="ARH37" s="292"/>
      <c r="ARI37" s="292"/>
      <c r="ARJ37" s="292"/>
      <c r="ARK37" s="292"/>
      <c r="ARL37" s="292"/>
      <c r="ARM37" s="292"/>
      <c r="ARN37" s="292"/>
      <c r="ARO37" s="292"/>
      <c r="ARP37" s="292"/>
      <c r="ARQ37" s="292"/>
      <c r="ARR37" s="292"/>
      <c r="ARS37" s="292"/>
      <c r="ART37" s="292"/>
      <c r="ARU37" s="292"/>
      <c r="ARV37" s="292"/>
      <c r="ARW37" s="292"/>
      <c r="ARX37" s="292"/>
      <c r="ARY37" s="292"/>
      <c r="ARZ37" s="292"/>
      <c r="ASA37" s="292"/>
      <c r="ASB37" s="292"/>
      <c r="ASC37" s="292"/>
      <c r="ASD37" s="292"/>
      <c r="ASE37" s="292"/>
      <c r="ASF37" s="292"/>
      <c r="ASG37" s="292"/>
      <c r="ASH37" s="292"/>
      <c r="ASI37" s="292"/>
      <c r="ASJ37" s="292"/>
      <c r="ASK37" s="292"/>
      <c r="ASL37" s="292"/>
      <c r="ASM37" s="292"/>
      <c r="ASN37" s="292"/>
      <c r="ASO37" s="292"/>
      <c r="ASP37" s="292"/>
      <c r="ASQ37" s="292"/>
      <c r="ASR37" s="292"/>
      <c r="ASS37" s="292"/>
      <c r="AST37" s="292"/>
      <c r="ASU37" s="292"/>
      <c r="ASV37" s="292"/>
      <c r="ASW37" s="292"/>
      <c r="ASX37" s="292"/>
      <c r="ASY37" s="292"/>
      <c r="ASZ37" s="292"/>
      <c r="ATA37" s="292"/>
      <c r="ATB37" s="292"/>
      <c r="ATC37" s="292"/>
      <c r="ATD37" s="292"/>
      <c r="ATE37" s="292"/>
      <c r="ATF37" s="292"/>
      <c r="ATG37" s="292"/>
      <c r="ATH37" s="292"/>
      <c r="ATI37" s="292"/>
      <c r="ATJ37" s="292"/>
      <c r="ATK37" s="292"/>
      <c r="ATL37" s="292"/>
      <c r="ATM37" s="292"/>
      <c r="ATN37" s="292"/>
      <c r="ATO37" s="292"/>
      <c r="ATP37" s="292"/>
      <c r="ATQ37" s="292"/>
      <c r="ATR37" s="292"/>
      <c r="ATS37" s="292"/>
      <c r="ATT37" s="292"/>
      <c r="ATU37" s="292"/>
      <c r="ATV37" s="292"/>
      <c r="ATW37" s="292"/>
      <c r="ATX37" s="292"/>
      <c r="ATY37" s="292"/>
      <c r="ATZ37" s="292"/>
      <c r="AUA37" s="292"/>
      <c r="AUB37" s="292"/>
      <c r="AUC37" s="292"/>
      <c r="AUD37" s="292"/>
      <c r="AUE37" s="292"/>
      <c r="AUF37" s="292"/>
      <c r="AUG37" s="292"/>
      <c r="AUH37" s="292"/>
      <c r="AUI37" s="292"/>
      <c r="AUJ37" s="292"/>
      <c r="AUK37" s="292"/>
      <c r="AUL37" s="292"/>
      <c r="AUM37" s="292"/>
      <c r="AUN37" s="292"/>
      <c r="AUO37" s="292"/>
      <c r="AUP37" s="292"/>
      <c r="AUQ37" s="292"/>
      <c r="AUR37" s="292"/>
      <c r="AUS37" s="292"/>
      <c r="AUT37" s="292"/>
      <c r="AUU37" s="292"/>
      <c r="AUV37" s="292"/>
      <c r="AUW37" s="292"/>
      <c r="AUX37" s="292"/>
      <c r="AUY37" s="292"/>
      <c r="AUZ37" s="292"/>
      <c r="AVA37" s="292"/>
      <c r="AVB37" s="292"/>
      <c r="AVC37" s="292"/>
      <c r="AVD37" s="292"/>
      <c r="AVE37" s="292"/>
      <c r="AVF37" s="292"/>
      <c r="AVG37" s="292"/>
      <c r="AVH37" s="292"/>
      <c r="AVI37" s="292"/>
      <c r="AVJ37" s="292"/>
      <c r="AVK37" s="292"/>
      <c r="AVL37" s="292"/>
      <c r="AVM37" s="292"/>
      <c r="AVN37" s="292"/>
      <c r="AVO37" s="292"/>
      <c r="AVP37" s="292"/>
      <c r="AVQ37" s="292"/>
      <c r="AVR37" s="292"/>
      <c r="AVS37" s="292"/>
      <c r="AVT37" s="292"/>
      <c r="AVU37" s="292"/>
      <c r="AVV37" s="292"/>
      <c r="AVW37" s="292"/>
      <c r="AVX37" s="292"/>
      <c r="AVY37" s="292"/>
      <c r="AVZ37" s="292"/>
      <c r="AWA37" s="292"/>
      <c r="AWB37" s="292"/>
      <c r="AWC37" s="292"/>
      <c r="AWD37" s="292"/>
      <c r="AWE37" s="292"/>
      <c r="AWF37" s="292"/>
      <c r="AWG37" s="292"/>
      <c r="AWH37" s="292"/>
      <c r="AWI37" s="292"/>
      <c r="AWJ37" s="292"/>
      <c r="AWK37" s="292"/>
      <c r="AWL37" s="292"/>
      <c r="AWM37" s="292"/>
      <c r="AWN37" s="292"/>
      <c r="AWO37" s="292"/>
      <c r="AWP37" s="292"/>
      <c r="AWQ37" s="292"/>
      <c r="AWR37" s="292"/>
      <c r="AWS37" s="292"/>
      <c r="AWT37" s="292"/>
      <c r="AWU37" s="292"/>
      <c r="AWV37" s="292"/>
      <c r="AWW37" s="292"/>
      <c r="AWX37" s="292"/>
      <c r="AWY37" s="292"/>
      <c r="AWZ37" s="292"/>
      <c r="AXA37" s="292"/>
      <c r="AXB37" s="292"/>
      <c r="AXC37" s="292"/>
      <c r="AXD37" s="292"/>
      <c r="AXE37" s="292"/>
      <c r="AXF37" s="292"/>
      <c r="AXG37" s="292"/>
      <c r="AXH37" s="292"/>
      <c r="AXI37" s="292"/>
      <c r="AXJ37" s="292"/>
      <c r="AXK37" s="292"/>
      <c r="AXL37" s="292"/>
      <c r="AXM37" s="292"/>
      <c r="AXN37" s="292"/>
      <c r="AXO37" s="292"/>
      <c r="AXP37" s="292"/>
      <c r="AXQ37" s="292"/>
      <c r="AXR37" s="292"/>
      <c r="AXS37" s="292"/>
      <c r="AXT37" s="292"/>
      <c r="AXU37" s="292"/>
      <c r="AXV37" s="292"/>
      <c r="AXW37" s="292"/>
      <c r="AXX37" s="292"/>
      <c r="AXY37" s="292"/>
      <c r="AXZ37" s="292"/>
      <c r="AYA37" s="292"/>
      <c r="AYB37" s="292"/>
      <c r="AYC37" s="292"/>
      <c r="AYD37" s="292"/>
      <c r="AYE37" s="292"/>
      <c r="AYF37" s="292"/>
      <c r="AYG37" s="292"/>
      <c r="AYH37" s="292"/>
      <c r="AYI37" s="292"/>
      <c r="AYJ37" s="292"/>
      <c r="AYK37" s="292"/>
      <c r="AYL37" s="292"/>
      <c r="AYM37" s="292"/>
      <c r="AYN37" s="292"/>
      <c r="AYO37" s="292"/>
      <c r="AYP37" s="292"/>
      <c r="AYQ37" s="292"/>
      <c r="AYR37" s="292"/>
      <c r="AYS37" s="292"/>
      <c r="AYT37" s="292"/>
      <c r="AYU37" s="292"/>
      <c r="AYV37" s="292"/>
      <c r="AYW37" s="292"/>
      <c r="AYX37" s="292"/>
      <c r="AYY37" s="292"/>
      <c r="AYZ37" s="292"/>
      <c r="AZA37" s="292"/>
      <c r="AZB37" s="292"/>
      <c r="AZC37" s="292"/>
      <c r="AZD37" s="292"/>
      <c r="AZE37" s="292"/>
      <c r="AZF37" s="292"/>
      <c r="AZG37" s="292"/>
      <c r="AZH37" s="292"/>
      <c r="AZI37" s="292"/>
      <c r="AZJ37" s="292"/>
      <c r="AZK37" s="292"/>
      <c r="AZL37" s="292"/>
      <c r="AZM37" s="292"/>
      <c r="AZN37" s="292"/>
      <c r="AZO37" s="292"/>
      <c r="AZP37" s="292"/>
      <c r="AZQ37" s="292"/>
      <c r="AZR37" s="292"/>
      <c r="AZS37" s="292"/>
      <c r="AZT37" s="292"/>
      <c r="AZU37" s="292"/>
      <c r="AZV37" s="292"/>
      <c r="AZW37" s="292"/>
      <c r="AZX37" s="292"/>
      <c r="AZY37" s="292"/>
      <c r="AZZ37" s="292"/>
      <c r="BAA37" s="292"/>
      <c r="BAB37" s="292"/>
      <c r="BAC37" s="292"/>
      <c r="BAD37" s="292"/>
      <c r="BAE37" s="292"/>
      <c r="BAF37" s="292"/>
      <c r="BAG37" s="292"/>
      <c r="BAH37" s="292"/>
      <c r="BAI37" s="292"/>
      <c r="BAJ37" s="292"/>
      <c r="BAK37" s="292"/>
      <c r="BAL37" s="292"/>
      <c r="BAM37" s="292"/>
      <c r="BAN37" s="292"/>
      <c r="BAO37" s="292"/>
      <c r="BAP37" s="292"/>
      <c r="BAQ37" s="292"/>
      <c r="BAR37" s="292"/>
      <c r="BAS37" s="292"/>
      <c r="BAT37" s="292"/>
      <c r="BAU37" s="292"/>
      <c r="BAV37" s="292"/>
      <c r="BAW37" s="292"/>
      <c r="BAX37" s="292"/>
      <c r="BAY37" s="292"/>
      <c r="BAZ37" s="292"/>
      <c r="BBA37" s="292"/>
      <c r="BBB37" s="292"/>
      <c r="BBC37" s="292"/>
      <c r="BBD37" s="292"/>
      <c r="BBE37" s="292"/>
      <c r="BBF37" s="292"/>
      <c r="BBG37" s="292"/>
      <c r="BBH37" s="292"/>
      <c r="BBI37" s="292"/>
      <c r="BBJ37" s="292"/>
      <c r="BBK37" s="292"/>
      <c r="BBL37" s="292"/>
      <c r="BBM37" s="292"/>
      <c r="BBN37" s="292"/>
      <c r="BBO37" s="292"/>
      <c r="BBP37" s="292"/>
      <c r="BBQ37" s="292"/>
      <c r="BBR37" s="292"/>
      <c r="BBS37" s="292"/>
      <c r="BBT37" s="292"/>
      <c r="BBU37" s="292"/>
      <c r="BBV37" s="292"/>
      <c r="BBW37" s="292"/>
      <c r="BBX37" s="292"/>
      <c r="BBY37" s="292"/>
      <c r="BBZ37" s="292"/>
      <c r="BCA37" s="292"/>
      <c r="BCB37" s="292"/>
      <c r="BCC37" s="292"/>
      <c r="BCD37" s="292"/>
      <c r="BCE37" s="292"/>
      <c r="BCF37" s="292"/>
      <c r="BCG37" s="292"/>
      <c r="BCH37" s="292"/>
      <c r="BCI37" s="292"/>
      <c r="BCJ37" s="292"/>
      <c r="BCK37" s="292"/>
      <c r="BCL37" s="292"/>
      <c r="BCM37" s="292"/>
      <c r="BCN37" s="292"/>
      <c r="BCO37" s="292"/>
      <c r="BCP37" s="292"/>
      <c r="BCQ37" s="292"/>
      <c r="BCR37" s="292"/>
      <c r="BCS37" s="292"/>
      <c r="BCT37" s="292"/>
      <c r="BCU37" s="292"/>
      <c r="BCV37" s="292"/>
      <c r="BCW37" s="292"/>
      <c r="BCX37" s="292"/>
      <c r="BCY37" s="292"/>
      <c r="BCZ37" s="292"/>
      <c r="BDA37" s="292"/>
      <c r="BDB37" s="292"/>
      <c r="BDC37" s="292"/>
      <c r="BDD37" s="292"/>
      <c r="BDE37" s="292"/>
      <c r="BDF37" s="292"/>
      <c r="BDG37" s="292"/>
      <c r="BDH37" s="292"/>
      <c r="BDI37" s="292"/>
      <c r="BDJ37" s="292"/>
      <c r="BDK37" s="292"/>
      <c r="BDL37" s="292"/>
      <c r="BDM37" s="292"/>
      <c r="BDN37" s="292"/>
      <c r="BDO37" s="292"/>
      <c r="BDP37" s="292"/>
      <c r="BDQ37" s="292"/>
      <c r="BDR37" s="292"/>
      <c r="BDS37" s="292"/>
      <c r="BDT37" s="292"/>
      <c r="BDU37" s="292"/>
      <c r="BDV37" s="292"/>
      <c r="BDW37" s="292"/>
      <c r="BDX37" s="292"/>
      <c r="BDY37" s="292"/>
      <c r="BDZ37" s="292"/>
      <c r="BEA37" s="292"/>
      <c r="BEB37" s="292"/>
      <c r="BEC37" s="292"/>
      <c r="BED37" s="292"/>
      <c r="BEE37" s="292"/>
      <c r="BEF37" s="292"/>
      <c r="BEG37" s="292"/>
      <c r="BEH37" s="292"/>
      <c r="BEI37" s="292"/>
      <c r="BEJ37" s="292"/>
      <c r="BEK37" s="292"/>
      <c r="BEL37" s="292"/>
      <c r="BEM37" s="292"/>
      <c r="BEN37" s="292"/>
      <c r="BEO37" s="292"/>
      <c r="BEP37" s="292"/>
      <c r="BEQ37" s="292"/>
      <c r="BER37" s="292"/>
      <c r="BES37" s="292"/>
      <c r="BET37" s="292"/>
      <c r="BEU37" s="292"/>
      <c r="BEV37" s="292"/>
      <c r="BEW37" s="292"/>
      <c r="BEX37" s="292"/>
      <c r="BEY37" s="292"/>
      <c r="BEZ37" s="292"/>
      <c r="BFA37" s="292"/>
      <c r="BFB37" s="292"/>
      <c r="BFC37" s="292"/>
      <c r="BFD37" s="292"/>
      <c r="BFE37" s="292"/>
      <c r="BFF37" s="292"/>
      <c r="BFG37" s="292"/>
      <c r="BFH37" s="292"/>
      <c r="BFI37" s="292"/>
      <c r="BFJ37" s="292"/>
      <c r="BFK37" s="292"/>
      <c r="BFL37" s="292"/>
      <c r="BFM37" s="292"/>
      <c r="BFN37" s="292"/>
      <c r="BFO37" s="292"/>
      <c r="BFP37" s="292"/>
      <c r="BFQ37" s="292"/>
      <c r="BFR37" s="292"/>
      <c r="BFS37" s="292"/>
      <c r="BFT37" s="292"/>
      <c r="BFU37" s="292"/>
      <c r="BFV37" s="292"/>
      <c r="BFW37" s="292"/>
      <c r="BFX37" s="292"/>
      <c r="BFY37" s="292"/>
      <c r="BFZ37" s="292"/>
      <c r="BGA37" s="292"/>
      <c r="BGB37" s="292"/>
      <c r="BGC37" s="292"/>
      <c r="BGD37" s="292"/>
      <c r="BGE37" s="292"/>
      <c r="BGF37" s="292"/>
      <c r="BGG37" s="292"/>
      <c r="BGH37" s="292"/>
      <c r="BGI37" s="292"/>
      <c r="BGJ37" s="292"/>
      <c r="BGK37" s="292"/>
      <c r="BGL37" s="292"/>
      <c r="BGM37" s="292"/>
      <c r="BGN37" s="292"/>
      <c r="BGO37" s="292"/>
      <c r="BGP37" s="292"/>
      <c r="BGQ37" s="292"/>
      <c r="BGR37" s="292"/>
      <c r="BGS37" s="292"/>
      <c r="BGT37" s="292"/>
      <c r="BGU37" s="292"/>
      <c r="BGV37" s="292"/>
      <c r="BGW37" s="292"/>
      <c r="BGX37" s="292"/>
      <c r="BGY37" s="292"/>
      <c r="BGZ37" s="292"/>
      <c r="BHA37" s="292"/>
      <c r="BHB37" s="292"/>
      <c r="BHC37" s="292"/>
      <c r="BHD37" s="292"/>
      <c r="BHE37" s="292"/>
      <c r="BHF37" s="292"/>
      <c r="BHG37" s="292"/>
      <c r="BHH37" s="292"/>
      <c r="BHI37" s="292"/>
      <c r="BHJ37" s="292"/>
      <c r="BHK37" s="292"/>
      <c r="BHL37" s="292"/>
      <c r="BHM37" s="292"/>
      <c r="BHN37" s="292"/>
      <c r="BHO37" s="292"/>
      <c r="BHP37" s="292"/>
      <c r="BHQ37" s="292"/>
      <c r="BHR37" s="292"/>
      <c r="BHS37" s="292"/>
      <c r="BHT37" s="292"/>
      <c r="BHU37" s="292"/>
      <c r="BHV37" s="292"/>
      <c r="BHW37" s="292"/>
      <c r="BHX37" s="292"/>
      <c r="BHY37" s="292"/>
      <c r="BHZ37" s="292"/>
      <c r="BIA37" s="292"/>
      <c r="BIB37" s="292"/>
      <c r="BIC37" s="292"/>
      <c r="BID37" s="292"/>
      <c r="BIE37" s="292"/>
      <c r="BIF37" s="292"/>
      <c r="BIG37" s="292"/>
      <c r="BIH37" s="292"/>
      <c r="BII37" s="292"/>
      <c r="BIJ37" s="292"/>
      <c r="BIK37" s="292"/>
      <c r="BIL37" s="292"/>
      <c r="BIM37" s="292"/>
      <c r="BIN37" s="292"/>
      <c r="BIO37" s="292"/>
      <c r="BIP37" s="292"/>
      <c r="BIQ37" s="292"/>
      <c r="BIR37" s="292"/>
      <c r="BIS37" s="292"/>
      <c r="BIT37" s="292"/>
      <c r="BIU37" s="292"/>
      <c r="BIV37" s="292"/>
      <c r="BIW37" s="292"/>
      <c r="BIX37" s="292"/>
      <c r="BIY37" s="292"/>
      <c r="BIZ37" s="292"/>
      <c r="BJA37" s="292"/>
      <c r="BJB37" s="292"/>
      <c r="BJC37" s="292"/>
      <c r="BJD37" s="292"/>
      <c r="BJE37" s="292"/>
      <c r="BJF37" s="292"/>
      <c r="BJG37" s="292"/>
      <c r="BJH37" s="292"/>
      <c r="BJI37" s="292"/>
      <c r="BJJ37" s="292"/>
      <c r="BJK37" s="292"/>
      <c r="BJL37" s="292"/>
      <c r="BJM37" s="292"/>
      <c r="BJN37" s="292"/>
      <c r="BJO37" s="292"/>
      <c r="BJP37" s="292"/>
      <c r="BJQ37" s="292"/>
      <c r="BJR37" s="292"/>
      <c r="BJS37" s="292"/>
      <c r="BJT37" s="292"/>
      <c r="BJU37" s="292"/>
      <c r="BJV37" s="292"/>
      <c r="BJW37" s="292"/>
      <c r="BJX37" s="292"/>
      <c r="BJY37" s="292"/>
      <c r="BJZ37" s="292"/>
      <c r="BKA37" s="292"/>
      <c r="BKB37" s="292"/>
      <c r="BKC37" s="292"/>
      <c r="BKD37" s="292"/>
      <c r="BKE37" s="292"/>
      <c r="BKF37" s="292"/>
      <c r="BKG37" s="292"/>
      <c r="BKH37" s="292"/>
      <c r="BKI37" s="292"/>
      <c r="BKJ37" s="292"/>
      <c r="BKK37" s="292"/>
      <c r="BKL37" s="292"/>
      <c r="BKM37" s="292"/>
      <c r="BKN37" s="292"/>
      <c r="BKO37" s="292"/>
      <c r="BKP37" s="292"/>
      <c r="BKQ37" s="292"/>
      <c r="BKR37" s="292"/>
      <c r="BKS37" s="292"/>
      <c r="BKT37" s="292"/>
      <c r="BKU37" s="292"/>
      <c r="BKV37" s="292"/>
      <c r="BKW37" s="292"/>
      <c r="BKX37" s="292"/>
      <c r="BKY37" s="292"/>
      <c r="BKZ37" s="292"/>
      <c r="BLA37" s="292"/>
      <c r="BLB37" s="292"/>
      <c r="BLC37" s="292"/>
      <c r="BLD37" s="292"/>
      <c r="BLE37" s="292"/>
      <c r="BLF37" s="292"/>
      <c r="BLG37" s="292"/>
      <c r="BLH37" s="292"/>
      <c r="BLI37" s="292"/>
      <c r="BLJ37" s="292"/>
      <c r="BLK37" s="292"/>
      <c r="BLL37" s="292"/>
      <c r="BLM37" s="292"/>
      <c r="BLN37" s="292"/>
      <c r="BLO37" s="292"/>
      <c r="BLP37" s="292"/>
      <c r="BLQ37" s="292"/>
      <c r="BLR37" s="292"/>
      <c r="BLS37" s="292"/>
      <c r="BLT37" s="292"/>
      <c r="BLU37" s="292"/>
      <c r="BLV37" s="292"/>
      <c r="BLW37" s="292"/>
      <c r="BLX37" s="292"/>
      <c r="BLY37" s="292"/>
      <c r="BLZ37" s="292"/>
      <c r="BMA37" s="292"/>
      <c r="BMB37" s="292"/>
      <c r="BMC37" s="292"/>
      <c r="BMD37" s="292"/>
      <c r="BME37" s="292"/>
      <c r="BMF37" s="292"/>
      <c r="BMG37" s="292"/>
      <c r="BMH37" s="292"/>
      <c r="BMI37" s="292"/>
      <c r="BMJ37" s="292"/>
      <c r="BMK37" s="292"/>
      <c r="BML37" s="292"/>
      <c r="BMM37" s="292"/>
      <c r="BMN37" s="292"/>
      <c r="BMO37" s="292"/>
      <c r="BMP37" s="292"/>
      <c r="BMQ37" s="292"/>
      <c r="BMR37" s="292"/>
      <c r="BMS37" s="292"/>
      <c r="BMT37" s="292"/>
      <c r="BMU37" s="292"/>
      <c r="BMV37" s="292"/>
      <c r="BMW37" s="292"/>
      <c r="BMX37" s="292"/>
      <c r="BMY37" s="292"/>
      <c r="BMZ37" s="292"/>
      <c r="BNA37" s="292"/>
      <c r="BNB37" s="292"/>
      <c r="BNC37" s="292"/>
      <c r="BND37" s="292"/>
      <c r="BNE37" s="292"/>
      <c r="BNF37" s="292"/>
      <c r="BNG37" s="292"/>
      <c r="BNH37" s="292"/>
      <c r="BNI37" s="292"/>
      <c r="BNJ37" s="292"/>
      <c r="BNK37" s="292"/>
      <c r="BNL37" s="292"/>
      <c r="BNM37" s="292"/>
      <c r="BNN37" s="292"/>
      <c r="BNO37" s="292"/>
      <c r="BNP37" s="292"/>
      <c r="BNQ37" s="292"/>
      <c r="BNR37" s="292"/>
      <c r="BNS37" s="292"/>
      <c r="BNT37" s="292"/>
      <c r="BNU37" s="292"/>
      <c r="BNV37" s="292"/>
      <c r="BNW37" s="292"/>
      <c r="BNX37" s="292"/>
      <c r="BNY37" s="292"/>
      <c r="BNZ37" s="292"/>
      <c r="BOA37" s="292"/>
      <c r="BOB37" s="292"/>
      <c r="BOC37" s="292"/>
      <c r="BOD37" s="292"/>
      <c r="BOE37" s="292"/>
      <c r="BOF37" s="292"/>
      <c r="BOG37" s="292"/>
      <c r="BOH37" s="292"/>
      <c r="BOI37" s="292"/>
      <c r="BOJ37" s="292"/>
      <c r="BOK37" s="292"/>
      <c r="BOL37" s="292"/>
      <c r="BOM37" s="292"/>
      <c r="BON37" s="292"/>
      <c r="BOO37" s="292"/>
      <c r="BOP37" s="292"/>
      <c r="BOQ37" s="292"/>
      <c r="BOR37" s="292"/>
      <c r="BOS37" s="292"/>
      <c r="BOT37" s="292"/>
      <c r="BOU37" s="292"/>
      <c r="BOV37" s="292"/>
      <c r="BOW37" s="292"/>
      <c r="BOX37" s="292"/>
      <c r="BOY37" s="292"/>
      <c r="BOZ37" s="292"/>
      <c r="BPA37" s="292"/>
      <c r="BPB37" s="292"/>
      <c r="BPC37" s="292"/>
      <c r="BPD37" s="292"/>
      <c r="BPE37" s="292"/>
      <c r="BPF37" s="292"/>
      <c r="BPG37" s="292"/>
      <c r="BPH37" s="292"/>
      <c r="BPI37" s="292"/>
      <c r="BPJ37" s="292"/>
      <c r="BPK37" s="292"/>
      <c r="BPL37" s="292"/>
      <c r="BPM37" s="292"/>
      <c r="BPN37" s="292"/>
      <c r="BPO37" s="292"/>
      <c r="BPP37" s="292"/>
      <c r="BPQ37" s="292"/>
      <c r="BPR37" s="292"/>
      <c r="BPS37" s="292"/>
      <c r="BPT37" s="292"/>
      <c r="BPU37" s="292"/>
      <c r="BPV37" s="292"/>
      <c r="BPW37" s="292"/>
      <c r="BPX37" s="292"/>
      <c r="BPY37" s="292"/>
      <c r="BPZ37" s="292"/>
      <c r="BQA37" s="292"/>
      <c r="BQB37" s="292"/>
      <c r="BQC37" s="292"/>
      <c r="BQD37" s="292"/>
      <c r="BQE37" s="292"/>
      <c r="BQF37" s="292"/>
      <c r="BQG37" s="292"/>
      <c r="BQH37" s="292"/>
      <c r="BQI37" s="292"/>
      <c r="BQJ37" s="292"/>
      <c r="BQK37" s="292"/>
      <c r="BQL37" s="292"/>
      <c r="BQM37" s="292"/>
      <c r="BQN37" s="292"/>
      <c r="BQO37" s="292"/>
      <c r="BQP37" s="292"/>
      <c r="BQQ37" s="292"/>
      <c r="BQR37" s="292"/>
      <c r="BQS37" s="292"/>
      <c r="BQT37" s="292"/>
      <c r="BQU37" s="292"/>
      <c r="BQV37" s="292"/>
      <c r="BQW37" s="292"/>
      <c r="BQX37" s="292"/>
      <c r="BQY37" s="292"/>
      <c r="BQZ37" s="292"/>
      <c r="BRA37" s="292"/>
      <c r="BRB37" s="292"/>
      <c r="BRC37" s="292"/>
      <c r="BRD37" s="292"/>
      <c r="BRE37" s="292"/>
      <c r="BRF37" s="292"/>
      <c r="BRG37" s="292"/>
      <c r="BRH37" s="292"/>
      <c r="BRI37" s="292"/>
      <c r="BRJ37" s="292"/>
      <c r="BRK37" s="292"/>
      <c r="BRL37" s="292"/>
      <c r="BRM37" s="292"/>
      <c r="BRN37" s="292"/>
      <c r="BRO37" s="292"/>
      <c r="BRP37" s="292"/>
      <c r="BRQ37" s="292"/>
      <c r="BRR37" s="292"/>
      <c r="BRS37" s="292"/>
      <c r="BRT37" s="292"/>
      <c r="BRU37" s="292"/>
      <c r="BRV37" s="292"/>
      <c r="BRW37" s="292"/>
      <c r="BRX37" s="292"/>
      <c r="BRY37" s="292"/>
      <c r="BRZ37" s="292"/>
      <c r="BSA37" s="292"/>
      <c r="BSB37" s="292"/>
      <c r="BSC37" s="292"/>
      <c r="BSD37" s="292"/>
      <c r="BSE37" s="292"/>
      <c r="BSF37" s="292"/>
      <c r="BSG37" s="292"/>
      <c r="BSH37" s="292"/>
      <c r="BSI37" s="292"/>
      <c r="BSJ37" s="292"/>
      <c r="BSK37" s="292"/>
      <c r="BSL37" s="292"/>
      <c r="BSM37" s="292"/>
      <c r="BSN37" s="292"/>
      <c r="BSO37" s="292"/>
      <c r="BSP37" s="292"/>
      <c r="BSQ37" s="292"/>
      <c r="BSR37" s="292"/>
      <c r="BSS37" s="292"/>
      <c r="BST37" s="292"/>
      <c r="BSU37" s="292"/>
      <c r="BSV37" s="292"/>
      <c r="BSW37" s="292"/>
      <c r="BSX37" s="292"/>
      <c r="BSY37" s="292"/>
      <c r="BSZ37" s="292"/>
      <c r="BTA37" s="292"/>
      <c r="BTB37" s="292"/>
      <c r="BTC37" s="292"/>
      <c r="BTD37" s="292"/>
      <c r="BTE37" s="292"/>
      <c r="BTF37" s="292"/>
      <c r="BTG37" s="292"/>
      <c r="BTH37" s="292"/>
      <c r="BTI37" s="292"/>
      <c r="BTJ37" s="292"/>
      <c r="BTK37" s="292"/>
      <c r="BTL37" s="292"/>
      <c r="BTM37" s="292"/>
      <c r="BTN37" s="292"/>
      <c r="BTO37" s="292"/>
      <c r="BTP37" s="292"/>
      <c r="BTQ37" s="292"/>
      <c r="BTR37" s="292"/>
      <c r="BTS37" s="292"/>
      <c r="BTT37" s="292"/>
      <c r="BTU37" s="292"/>
      <c r="BTV37" s="292"/>
      <c r="BTW37" s="292"/>
      <c r="BTX37" s="292"/>
      <c r="BTY37" s="292"/>
      <c r="BTZ37" s="292"/>
      <c r="BUA37" s="292"/>
      <c r="BUB37" s="292"/>
      <c r="BUC37" s="292"/>
      <c r="BUD37" s="292"/>
      <c r="BUE37" s="292"/>
      <c r="BUF37" s="292"/>
      <c r="BUG37" s="292"/>
      <c r="BUH37" s="292"/>
      <c r="BUI37" s="292"/>
      <c r="BUJ37" s="292"/>
      <c r="BUK37" s="292"/>
      <c r="BUL37" s="292"/>
      <c r="BUM37" s="292"/>
      <c r="BUN37" s="292"/>
      <c r="BUO37" s="292"/>
      <c r="BUP37" s="292"/>
      <c r="BUQ37" s="292"/>
      <c r="BUR37" s="292"/>
      <c r="BUS37" s="292"/>
      <c r="BUT37" s="292"/>
      <c r="BUU37" s="292"/>
      <c r="BUV37" s="292"/>
      <c r="BUW37" s="292"/>
      <c r="BUX37" s="292"/>
      <c r="BUY37" s="292"/>
      <c r="BUZ37" s="292"/>
      <c r="BVA37" s="292"/>
      <c r="BVB37" s="292"/>
      <c r="BVC37" s="292"/>
      <c r="BVD37" s="292"/>
      <c r="BVE37" s="292"/>
      <c r="BVF37" s="292"/>
      <c r="BVG37" s="292"/>
      <c r="BVH37" s="292"/>
      <c r="BVI37" s="292"/>
      <c r="BVJ37" s="292"/>
      <c r="BVK37" s="292"/>
      <c r="BVL37" s="292"/>
      <c r="BVM37" s="292"/>
      <c r="BVN37" s="292"/>
      <c r="BVO37" s="292"/>
      <c r="BVP37" s="292"/>
      <c r="BVQ37" s="292"/>
      <c r="BVR37" s="292"/>
      <c r="BVS37" s="292"/>
      <c r="BVT37" s="292"/>
      <c r="BVU37" s="292"/>
      <c r="BVV37" s="292"/>
      <c r="BVW37" s="292"/>
      <c r="BVX37" s="292"/>
      <c r="BVY37" s="292"/>
      <c r="BVZ37" s="292"/>
      <c r="BWA37" s="292"/>
      <c r="BWB37" s="292"/>
      <c r="BWC37" s="292"/>
      <c r="BWD37" s="292"/>
      <c r="BWE37" s="292"/>
      <c r="BWF37" s="292"/>
      <c r="BWG37" s="292"/>
      <c r="BWH37" s="292"/>
      <c r="BWI37" s="292"/>
      <c r="BWJ37" s="292"/>
      <c r="BWK37" s="292"/>
      <c r="BWL37" s="292"/>
      <c r="BWM37" s="292"/>
      <c r="BWN37" s="292"/>
      <c r="BWO37" s="292"/>
      <c r="BWP37" s="292"/>
      <c r="BWQ37" s="292"/>
      <c r="BWR37" s="292"/>
      <c r="BWS37" s="292"/>
      <c r="BWT37" s="292"/>
      <c r="BWU37" s="292"/>
      <c r="BWV37" s="292"/>
      <c r="BWW37" s="292"/>
      <c r="BWX37" s="292"/>
      <c r="BWY37" s="292"/>
      <c r="BWZ37" s="292"/>
      <c r="BXA37" s="292"/>
      <c r="BXB37" s="292"/>
      <c r="BXC37" s="292"/>
      <c r="BXD37" s="292"/>
      <c r="BXE37" s="292"/>
      <c r="BXF37" s="292"/>
      <c r="BXG37" s="292"/>
      <c r="BXH37" s="292"/>
      <c r="BXI37" s="292"/>
      <c r="BXJ37" s="292"/>
      <c r="BXK37" s="292"/>
      <c r="BXL37" s="292"/>
      <c r="BXM37" s="292"/>
      <c r="BXN37" s="292"/>
      <c r="BXO37" s="292"/>
      <c r="BXP37" s="292"/>
      <c r="BXQ37" s="292"/>
      <c r="BXR37" s="292"/>
      <c r="BXS37" s="292"/>
      <c r="BXT37" s="292"/>
      <c r="BXU37" s="292"/>
      <c r="BXV37" s="292"/>
      <c r="BXW37" s="292"/>
      <c r="BXX37" s="292"/>
      <c r="BXY37" s="292"/>
      <c r="BXZ37" s="292"/>
      <c r="BYA37" s="292"/>
      <c r="BYB37" s="292"/>
      <c r="BYC37" s="292"/>
      <c r="BYD37" s="292"/>
      <c r="BYE37" s="292"/>
      <c r="BYF37" s="292"/>
      <c r="BYG37" s="292"/>
      <c r="BYH37" s="292"/>
      <c r="BYI37" s="292"/>
      <c r="BYJ37" s="292"/>
      <c r="BYK37" s="292"/>
      <c r="BYL37" s="292"/>
      <c r="BYM37" s="292"/>
      <c r="BYN37" s="292"/>
      <c r="BYO37" s="292"/>
      <c r="BYP37" s="292"/>
      <c r="BYQ37" s="292"/>
      <c r="BYR37" s="292"/>
      <c r="BYS37" s="292"/>
      <c r="BYT37" s="292"/>
      <c r="BYU37" s="292"/>
      <c r="BYV37" s="292"/>
      <c r="BYW37" s="292"/>
      <c r="BYX37" s="292"/>
      <c r="BYY37" s="292"/>
      <c r="BYZ37" s="292"/>
      <c r="BZA37" s="292"/>
      <c r="BZB37" s="292"/>
      <c r="BZC37" s="292"/>
      <c r="BZD37" s="292"/>
      <c r="BZE37" s="292"/>
      <c r="BZF37" s="292"/>
      <c r="BZG37" s="292"/>
      <c r="BZH37" s="292"/>
      <c r="BZI37" s="292"/>
      <c r="BZJ37" s="292"/>
      <c r="BZK37" s="292"/>
      <c r="BZL37" s="292"/>
      <c r="BZM37" s="292"/>
      <c r="BZN37" s="292"/>
      <c r="BZO37" s="292"/>
      <c r="BZP37" s="292"/>
      <c r="BZQ37" s="292"/>
      <c r="BZR37" s="292"/>
      <c r="BZS37" s="292"/>
      <c r="BZT37" s="292"/>
      <c r="BZU37" s="292"/>
      <c r="BZV37" s="292"/>
      <c r="BZW37" s="292"/>
      <c r="BZX37" s="292"/>
      <c r="BZY37" s="292"/>
      <c r="BZZ37" s="292"/>
      <c r="CAA37" s="292"/>
      <c r="CAB37" s="292"/>
      <c r="CAC37" s="292"/>
      <c r="CAD37" s="292"/>
      <c r="CAE37" s="292"/>
      <c r="CAF37" s="292"/>
      <c r="CAG37" s="292"/>
      <c r="CAH37" s="292"/>
      <c r="CAI37" s="292"/>
      <c r="CAJ37" s="292"/>
      <c r="CAK37" s="292"/>
      <c r="CAL37" s="292"/>
      <c r="CAM37" s="292"/>
      <c r="CAN37" s="292"/>
      <c r="CAO37" s="292"/>
      <c r="CAP37" s="292"/>
      <c r="CAQ37" s="292"/>
      <c r="CAR37" s="292"/>
      <c r="CAS37" s="292"/>
      <c r="CAT37" s="292"/>
      <c r="CAU37" s="292"/>
      <c r="CAV37" s="292"/>
      <c r="CAW37" s="292"/>
      <c r="CAX37" s="292"/>
      <c r="CAY37" s="292"/>
      <c r="CAZ37" s="292"/>
      <c r="CBA37" s="292"/>
      <c r="CBB37" s="292"/>
      <c r="CBC37" s="292"/>
      <c r="CBD37" s="292"/>
      <c r="CBE37" s="292"/>
      <c r="CBF37" s="292"/>
      <c r="CBG37" s="292"/>
      <c r="CBH37" s="292"/>
      <c r="CBI37" s="292"/>
      <c r="CBJ37" s="292"/>
      <c r="CBK37" s="292"/>
      <c r="CBL37" s="292"/>
      <c r="CBM37" s="292"/>
      <c r="CBN37" s="292"/>
      <c r="CBO37" s="292"/>
      <c r="CBP37" s="292"/>
      <c r="CBQ37" s="292"/>
      <c r="CBR37" s="292"/>
      <c r="CBS37" s="292"/>
      <c r="CBT37" s="292"/>
      <c r="CBU37" s="292"/>
      <c r="CBV37" s="292"/>
      <c r="CBW37" s="292"/>
      <c r="CBX37" s="292"/>
      <c r="CBY37" s="292"/>
      <c r="CBZ37" s="292"/>
      <c r="CCA37" s="292"/>
      <c r="CCB37" s="292"/>
      <c r="CCC37" s="292"/>
      <c r="CCD37" s="292"/>
      <c r="CCE37" s="292"/>
      <c r="CCF37" s="292"/>
      <c r="CCG37" s="292"/>
      <c r="CCH37" s="292"/>
      <c r="CCI37" s="292"/>
      <c r="CCJ37" s="292"/>
      <c r="CCK37" s="292"/>
      <c r="CCL37" s="292"/>
      <c r="CCM37" s="292"/>
      <c r="CCN37" s="292"/>
      <c r="CCO37" s="292"/>
      <c r="CCP37" s="292"/>
      <c r="CCQ37" s="292"/>
      <c r="CCR37" s="292"/>
      <c r="CCS37" s="292"/>
      <c r="CCT37" s="292"/>
      <c r="CCU37" s="292"/>
      <c r="CCV37" s="292"/>
      <c r="CCW37" s="292"/>
      <c r="CCX37" s="292"/>
      <c r="CCY37" s="292"/>
      <c r="CCZ37" s="292"/>
      <c r="CDA37" s="292"/>
      <c r="CDB37" s="292"/>
      <c r="CDC37" s="292"/>
      <c r="CDD37" s="292"/>
      <c r="CDE37" s="292"/>
      <c r="CDF37" s="292"/>
      <c r="CDG37" s="292"/>
      <c r="CDH37" s="292"/>
      <c r="CDI37" s="292"/>
      <c r="CDJ37" s="292"/>
      <c r="CDK37" s="292"/>
      <c r="CDL37" s="292"/>
      <c r="CDM37" s="292"/>
      <c r="CDN37" s="292"/>
      <c r="CDO37" s="292"/>
      <c r="CDP37" s="292"/>
      <c r="CDQ37" s="292"/>
      <c r="CDR37" s="292"/>
      <c r="CDS37" s="292"/>
      <c r="CDT37" s="292"/>
      <c r="CDU37" s="292"/>
      <c r="CDV37" s="292"/>
      <c r="CDW37" s="292"/>
      <c r="CDX37" s="292"/>
      <c r="CDY37" s="292"/>
      <c r="CDZ37" s="292"/>
      <c r="CEA37" s="292"/>
      <c r="CEB37" s="292"/>
      <c r="CEC37" s="292"/>
      <c r="CED37" s="292"/>
      <c r="CEE37" s="292"/>
      <c r="CEF37" s="292"/>
      <c r="CEG37" s="292"/>
      <c r="CEH37" s="292"/>
      <c r="CEI37" s="292"/>
      <c r="CEJ37" s="292"/>
      <c r="CEK37" s="292"/>
      <c r="CEL37" s="292"/>
      <c r="CEM37" s="292"/>
      <c r="CEN37" s="292"/>
      <c r="CEO37" s="292"/>
      <c r="CEP37" s="292"/>
      <c r="CEQ37" s="292"/>
      <c r="CER37" s="292"/>
      <c r="CES37" s="292"/>
      <c r="CET37" s="292"/>
      <c r="CEU37" s="292"/>
      <c r="CEV37" s="292"/>
      <c r="CEW37" s="292"/>
      <c r="CEX37" s="292"/>
      <c r="CEY37" s="292"/>
      <c r="CEZ37" s="292"/>
      <c r="CFA37" s="292"/>
      <c r="CFB37" s="292"/>
      <c r="CFC37" s="292"/>
      <c r="CFD37" s="292"/>
      <c r="CFE37" s="292"/>
      <c r="CFF37" s="292"/>
      <c r="CFG37" s="292"/>
      <c r="CFH37" s="292"/>
      <c r="CFI37" s="292"/>
      <c r="CFJ37" s="292"/>
      <c r="CFK37" s="292"/>
      <c r="CFL37" s="292"/>
      <c r="CFM37" s="292"/>
      <c r="CFN37" s="292"/>
      <c r="CFO37" s="292"/>
      <c r="CFP37" s="292"/>
      <c r="CFQ37" s="292"/>
      <c r="CFR37" s="292"/>
      <c r="CFS37" s="292"/>
      <c r="CFT37" s="292"/>
      <c r="CFU37" s="292"/>
      <c r="CFV37" s="292"/>
      <c r="CFW37" s="292"/>
      <c r="CFX37" s="292"/>
      <c r="CFY37" s="292"/>
      <c r="CFZ37" s="292"/>
      <c r="CGA37" s="292"/>
      <c r="CGB37" s="292"/>
      <c r="CGC37" s="292"/>
      <c r="CGD37" s="292"/>
      <c r="CGE37" s="292"/>
      <c r="CGF37" s="292"/>
      <c r="CGG37" s="292"/>
      <c r="CGH37" s="292"/>
      <c r="CGI37" s="292"/>
      <c r="CGJ37" s="292"/>
      <c r="CGK37" s="292"/>
      <c r="CGL37" s="292"/>
      <c r="CGM37" s="292"/>
      <c r="CGN37" s="292"/>
      <c r="CGO37" s="292"/>
      <c r="CGP37" s="292"/>
      <c r="CGQ37" s="292"/>
      <c r="CGR37" s="292"/>
      <c r="CGS37" s="292"/>
      <c r="CGT37" s="292"/>
      <c r="CGU37" s="292"/>
      <c r="CGV37" s="292"/>
      <c r="CGW37" s="292"/>
      <c r="CGX37" s="292"/>
      <c r="CGY37" s="292"/>
      <c r="CGZ37" s="292"/>
      <c r="CHA37" s="292"/>
      <c r="CHB37" s="292"/>
      <c r="CHC37" s="292"/>
      <c r="CHD37" s="292"/>
      <c r="CHE37" s="292"/>
      <c r="CHF37" s="292"/>
      <c r="CHG37" s="292"/>
      <c r="CHH37" s="292"/>
      <c r="CHI37" s="292"/>
      <c r="CHJ37" s="292"/>
      <c r="CHK37" s="292"/>
      <c r="CHL37" s="292"/>
      <c r="CHM37" s="292"/>
      <c r="CHN37" s="292"/>
      <c r="CHO37" s="292"/>
      <c r="CHP37" s="292"/>
      <c r="CHQ37" s="292"/>
      <c r="CHR37" s="292"/>
      <c r="CHS37" s="292"/>
      <c r="CHT37" s="292"/>
      <c r="CHU37" s="292"/>
      <c r="CHV37" s="292"/>
      <c r="CHW37" s="292"/>
      <c r="CHX37" s="292"/>
      <c r="CHY37" s="292"/>
      <c r="CHZ37" s="292"/>
      <c r="CIA37" s="292"/>
      <c r="CIB37" s="292"/>
      <c r="CIC37" s="292"/>
      <c r="CID37" s="292"/>
      <c r="CIE37" s="292"/>
      <c r="CIF37" s="292"/>
      <c r="CIG37" s="292"/>
      <c r="CIH37" s="292"/>
      <c r="CII37" s="292"/>
      <c r="CIJ37" s="292"/>
      <c r="CIK37" s="292"/>
      <c r="CIL37" s="292"/>
      <c r="CIM37" s="292"/>
      <c r="CIN37" s="292"/>
      <c r="CIO37" s="292"/>
      <c r="CIP37" s="292"/>
      <c r="CIQ37" s="292"/>
      <c r="CIR37" s="292"/>
      <c r="CIS37" s="292"/>
      <c r="CIT37" s="292"/>
      <c r="CIU37" s="292"/>
      <c r="CIV37" s="292"/>
      <c r="CIW37" s="292"/>
      <c r="CIX37" s="292"/>
      <c r="CIY37" s="292"/>
      <c r="CIZ37" s="292"/>
      <c r="CJA37" s="292"/>
      <c r="CJB37" s="292"/>
      <c r="CJC37" s="292"/>
      <c r="CJD37" s="292"/>
      <c r="CJE37" s="292"/>
      <c r="CJF37" s="292"/>
      <c r="CJG37" s="292"/>
      <c r="CJH37" s="292"/>
      <c r="CJI37" s="292"/>
      <c r="CJJ37" s="292"/>
      <c r="CJK37" s="292"/>
      <c r="CJL37" s="292"/>
      <c r="CJM37" s="292"/>
      <c r="CJN37" s="292"/>
      <c r="CJO37" s="292"/>
      <c r="CJP37" s="292"/>
      <c r="CJQ37" s="292"/>
      <c r="CJR37" s="292"/>
      <c r="CJS37" s="292"/>
      <c r="CJT37" s="292"/>
      <c r="CJU37" s="292"/>
      <c r="CJV37" s="292"/>
      <c r="CJW37" s="292"/>
      <c r="CJX37" s="292"/>
      <c r="CJY37" s="292"/>
      <c r="CJZ37" s="292"/>
      <c r="CKA37" s="292"/>
      <c r="CKB37" s="292"/>
      <c r="CKC37" s="292"/>
      <c r="CKD37" s="292"/>
      <c r="CKE37" s="292"/>
      <c r="CKF37" s="292"/>
      <c r="CKG37" s="292"/>
      <c r="CKH37" s="292"/>
      <c r="CKI37" s="292"/>
      <c r="CKJ37" s="292"/>
      <c r="CKK37" s="292"/>
      <c r="CKL37" s="292"/>
      <c r="CKM37" s="292"/>
      <c r="CKN37" s="292"/>
      <c r="CKO37" s="292"/>
      <c r="CKP37" s="292"/>
      <c r="CKQ37" s="292"/>
      <c r="CKR37" s="292"/>
      <c r="CKS37" s="292"/>
      <c r="CKT37" s="292"/>
      <c r="CKU37" s="292"/>
      <c r="CKV37" s="292"/>
      <c r="CKW37" s="292"/>
      <c r="CKX37" s="292"/>
      <c r="CKY37" s="292"/>
      <c r="CKZ37" s="292"/>
      <c r="CLA37" s="292"/>
      <c r="CLB37" s="292"/>
      <c r="CLC37" s="292"/>
      <c r="CLD37" s="292"/>
      <c r="CLE37" s="292"/>
      <c r="CLF37" s="292"/>
      <c r="CLG37" s="292"/>
      <c r="CLH37" s="292"/>
      <c r="CLI37" s="292"/>
      <c r="CLJ37" s="292"/>
      <c r="CLK37" s="292"/>
      <c r="CLL37" s="292"/>
      <c r="CLM37" s="292"/>
      <c r="CLN37" s="292"/>
      <c r="CLO37" s="292"/>
      <c r="CLP37" s="292"/>
      <c r="CLQ37" s="292"/>
      <c r="CLR37" s="292"/>
      <c r="CLS37" s="292"/>
      <c r="CLT37" s="292"/>
      <c r="CLU37" s="292"/>
      <c r="CLV37" s="292"/>
      <c r="CLW37" s="292"/>
      <c r="CLX37" s="292"/>
      <c r="CLY37" s="292"/>
      <c r="CLZ37" s="292"/>
      <c r="CMA37" s="292"/>
      <c r="CMB37" s="292"/>
      <c r="CMC37" s="292"/>
      <c r="CMD37" s="292"/>
      <c r="CME37" s="292"/>
      <c r="CMF37" s="292"/>
      <c r="CMG37" s="292"/>
      <c r="CMH37" s="292"/>
      <c r="CMI37" s="292"/>
      <c r="CMJ37" s="292"/>
      <c r="CMK37" s="292"/>
      <c r="CML37" s="292"/>
      <c r="CMM37" s="292"/>
      <c r="CMN37" s="292"/>
      <c r="CMO37" s="292"/>
      <c r="CMP37" s="292"/>
      <c r="CMQ37" s="292"/>
      <c r="CMR37" s="292"/>
      <c r="CMS37" s="292"/>
      <c r="CMT37" s="292"/>
      <c r="CMU37" s="292"/>
      <c r="CMV37" s="292"/>
      <c r="CMW37" s="292"/>
      <c r="CMX37" s="292"/>
      <c r="CMY37" s="292"/>
      <c r="CMZ37" s="292"/>
      <c r="CNA37" s="292"/>
      <c r="CNB37" s="292"/>
      <c r="CNC37" s="292"/>
      <c r="CND37" s="292"/>
      <c r="CNE37" s="292"/>
      <c r="CNF37" s="292"/>
      <c r="CNG37" s="292"/>
      <c r="CNH37" s="292"/>
      <c r="CNI37" s="292"/>
      <c r="CNJ37" s="292"/>
      <c r="CNK37" s="292"/>
      <c r="CNL37" s="292"/>
      <c r="CNM37" s="292"/>
      <c r="CNN37" s="292"/>
      <c r="CNO37" s="292"/>
      <c r="CNP37" s="292"/>
      <c r="CNQ37" s="292"/>
      <c r="CNR37" s="292"/>
      <c r="CNS37" s="292"/>
      <c r="CNT37" s="292"/>
      <c r="CNU37" s="292"/>
      <c r="CNV37" s="292"/>
      <c r="CNW37" s="292"/>
      <c r="CNX37" s="292"/>
      <c r="CNY37" s="292"/>
      <c r="CNZ37" s="292"/>
      <c r="COA37" s="292"/>
      <c r="COB37" s="292"/>
      <c r="COC37" s="292"/>
      <c r="COD37" s="292"/>
      <c r="COE37" s="292"/>
      <c r="COF37" s="292"/>
      <c r="COG37" s="292"/>
      <c r="COH37" s="292"/>
      <c r="COI37" s="292"/>
      <c r="COJ37" s="292"/>
      <c r="COK37" s="292"/>
      <c r="COL37" s="292"/>
      <c r="COM37" s="292"/>
      <c r="CON37" s="292"/>
      <c r="COO37" s="292"/>
      <c r="COP37" s="292"/>
      <c r="COQ37" s="292"/>
      <c r="COR37" s="292"/>
      <c r="COS37" s="292"/>
      <c r="COT37" s="292"/>
      <c r="COU37" s="292"/>
      <c r="COV37" s="292"/>
      <c r="COW37" s="292"/>
      <c r="COX37" s="292"/>
      <c r="COY37" s="292"/>
      <c r="COZ37" s="292"/>
      <c r="CPA37" s="292"/>
      <c r="CPB37" s="292"/>
      <c r="CPC37" s="292"/>
      <c r="CPD37" s="292"/>
      <c r="CPE37" s="292"/>
      <c r="CPF37" s="292"/>
      <c r="CPG37" s="292"/>
      <c r="CPH37" s="292"/>
      <c r="CPI37" s="292"/>
      <c r="CPJ37" s="292"/>
      <c r="CPK37" s="292"/>
      <c r="CPL37" s="292"/>
      <c r="CPM37" s="292"/>
      <c r="CPN37" s="292"/>
      <c r="CPO37" s="292"/>
      <c r="CPP37" s="292"/>
      <c r="CPQ37" s="292"/>
      <c r="CPR37" s="292"/>
      <c r="CPS37" s="292"/>
      <c r="CPT37" s="292"/>
      <c r="CPU37" s="292"/>
      <c r="CPV37" s="292"/>
      <c r="CPW37" s="292"/>
      <c r="CPX37" s="292"/>
      <c r="CPY37" s="292"/>
      <c r="CPZ37" s="292"/>
      <c r="CQA37" s="292"/>
      <c r="CQB37" s="292"/>
      <c r="CQC37" s="292"/>
      <c r="CQD37" s="292"/>
      <c r="CQE37" s="292"/>
      <c r="CQF37" s="292"/>
      <c r="CQG37" s="292"/>
      <c r="CQH37" s="292"/>
      <c r="CQI37" s="292"/>
      <c r="CQJ37" s="292"/>
      <c r="CQK37" s="292"/>
      <c r="CQL37" s="292"/>
      <c r="CQM37" s="292"/>
      <c r="CQN37" s="292"/>
      <c r="CQO37" s="292"/>
      <c r="CQP37" s="292"/>
      <c r="CQQ37" s="292"/>
      <c r="CQR37" s="292"/>
      <c r="CQS37" s="292"/>
      <c r="CQT37" s="292"/>
      <c r="CQU37" s="292"/>
      <c r="CQV37" s="292"/>
      <c r="CQW37" s="292"/>
      <c r="CQX37" s="292"/>
      <c r="CQY37" s="292"/>
      <c r="CQZ37" s="292"/>
      <c r="CRA37" s="292"/>
      <c r="CRB37" s="292"/>
      <c r="CRC37" s="292"/>
      <c r="CRD37" s="292"/>
      <c r="CRE37" s="292"/>
      <c r="CRF37" s="292"/>
      <c r="CRG37" s="292"/>
      <c r="CRH37" s="292"/>
      <c r="CRI37" s="292"/>
      <c r="CRJ37" s="292"/>
      <c r="CRK37" s="292"/>
      <c r="CRL37" s="292"/>
      <c r="CRM37" s="292"/>
      <c r="CRN37" s="292"/>
      <c r="CRO37" s="292"/>
      <c r="CRP37" s="292"/>
      <c r="CRQ37" s="292"/>
      <c r="CRR37" s="292"/>
      <c r="CRS37" s="292"/>
      <c r="CRT37" s="292"/>
      <c r="CRU37" s="292"/>
      <c r="CRV37" s="292"/>
      <c r="CRW37" s="292"/>
      <c r="CRX37" s="292"/>
      <c r="CRY37" s="292"/>
      <c r="CRZ37" s="292"/>
      <c r="CSA37" s="292"/>
      <c r="CSB37" s="292"/>
      <c r="CSC37" s="292"/>
      <c r="CSD37" s="292"/>
      <c r="CSE37" s="292"/>
      <c r="CSF37" s="292"/>
      <c r="CSG37" s="292"/>
      <c r="CSH37" s="292"/>
      <c r="CSI37" s="292"/>
      <c r="CSJ37" s="292"/>
      <c r="CSK37" s="292"/>
      <c r="CSL37" s="292"/>
      <c r="CSM37" s="292"/>
      <c r="CSN37" s="292"/>
      <c r="CSO37" s="292"/>
      <c r="CSP37" s="292"/>
      <c r="CSQ37" s="292"/>
      <c r="CSR37" s="292"/>
      <c r="CSS37" s="292"/>
      <c r="CST37" s="292"/>
      <c r="CSU37" s="292"/>
      <c r="CSV37" s="292"/>
      <c r="CSW37" s="292"/>
      <c r="CSX37" s="292"/>
      <c r="CSY37" s="292"/>
      <c r="CSZ37" s="292"/>
      <c r="CTA37" s="292"/>
      <c r="CTB37" s="292"/>
      <c r="CTC37" s="292"/>
      <c r="CTD37" s="292"/>
      <c r="CTE37" s="292"/>
      <c r="CTF37" s="292"/>
      <c r="CTG37" s="292"/>
      <c r="CTH37" s="292"/>
      <c r="CTI37" s="292"/>
      <c r="CTJ37" s="292"/>
      <c r="CTK37" s="292"/>
      <c r="CTL37" s="292"/>
      <c r="CTM37" s="292"/>
      <c r="CTN37" s="292"/>
      <c r="CTO37" s="292"/>
      <c r="CTP37" s="292"/>
      <c r="CTQ37" s="292"/>
      <c r="CTR37" s="292"/>
      <c r="CTS37" s="292"/>
      <c r="CTT37" s="292"/>
      <c r="CTU37" s="292"/>
      <c r="CTV37" s="292"/>
      <c r="CTW37" s="292"/>
      <c r="CTX37" s="292"/>
      <c r="CTY37" s="292"/>
      <c r="CTZ37" s="292"/>
      <c r="CUA37" s="292"/>
      <c r="CUB37" s="292"/>
      <c r="CUC37" s="292"/>
      <c r="CUD37" s="292"/>
      <c r="CUE37" s="292"/>
      <c r="CUF37" s="292"/>
      <c r="CUG37" s="292"/>
      <c r="CUH37" s="292"/>
      <c r="CUI37" s="292"/>
      <c r="CUJ37" s="292"/>
      <c r="CUK37" s="292"/>
      <c r="CUL37" s="292"/>
      <c r="CUM37" s="292"/>
      <c r="CUN37" s="292"/>
      <c r="CUO37" s="292"/>
      <c r="CUP37" s="292"/>
      <c r="CUQ37" s="292"/>
      <c r="CUR37" s="292"/>
      <c r="CUS37" s="292"/>
      <c r="CUT37" s="292"/>
      <c r="CUU37" s="292"/>
      <c r="CUV37" s="292"/>
      <c r="CUW37" s="292"/>
      <c r="CUX37" s="292"/>
      <c r="CUY37" s="292"/>
      <c r="CUZ37" s="292"/>
      <c r="CVA37" s="292"/>
      <c r="CVB37" s="292"/>
      <c r="CVC37" s="292"/>
      <c r="CVD37" s="292"/>
      <c r="CVE37" s="292"/>
      <c r="CVF37" s="292"/>
      <c r="CVG37" s="292"/>
      <c r="CVH37" s="292"/>
      <c r="CVI37" s="292"/>
      <c r="CVJ37" s="292"/>
      <c r="CVK37" s="292"/>
      <c r="CVL37" s="292"/>
      <c r="CVM37" s="292"/>
      <c r="CVN37" s="292"/>
      <c r="CVO37" s="292"/>
      <c r="CVP37" s="292"/>
      <c r="CVQ37" s="292"/>
      <c r="CVR37" s="292"/>
      <c r="CVS37" s="292"/>
      <c r="CVT37" s="292"/>
      <c r="CVU37" s="292"/>
      <c r="CVV37" s="292"/>
      <c r="CVW37" s="292"/>
      <c r="CVX37" s="292"/>
      <c r="CVY37" s="292"/>
      <c r="CVZ37" s="292"/>
      <c r="CWA37" s="292"/>
      <c r="CWB37" s="292"/>
      <c r="CWC37" s="292"/>
      <c r="CWD37" s="292"/>
      <c r="CWE37" s="292"/>
      <c r="CWF37" s="292"/>
      <c r="CWG37" s="292"/>
      <c r="CWH37" s="292"/>
      <c r="CWI37" s="292"/>
      <c r="CWJ37" s="292"/>
      <c r="CWK37" s="292"/>
      <c r="CWL37" s="292"/>
      <c r="CWM37" s="292"/>
      <c r="CWN37" s="292"/>
      <c r="CWO37" s="292"/>
      <c r="CWP37" s="292"/>
      <c r="CWQ37" s="292"/>
      <c r="CWR37" s="292"/>
      <c r="CWS37" s="292"/>
      <c r="CWT37" s="292"/>
      <c r="CWU37" s="292"/>
      <c r="CWV37" s="292"/>
      <c r="CWW37" s="292"/>
      <c r="CWX37" s="292"/>
      <c r="CWY37" s="292"/>
      <c r="CWZ37" s="292"/>
      <c r="CXA37" s="292"/>
      <c r="CXB37" s="292"/>
      <c r="CXC37" s="292"/>
      <c r="CXD37" s="292"/>
      <c r="CXE37" s="292"/>
      <c r="CXF37" s="292"/>
      <c r="CXG37" s="292"/>
      <c r="CXH37" s="292"/>
      <c r="CXI37" s="292"/>
      <c r="CXJ37" s="292"/>
      <c r="CXK37" s="292"/>
      <c r="CXL37" s="292"/>
      <c r="CXM37" s="292"/>
      <c r="CXN37" s="292"/>
      <c r="CXO37" s="292"/>
      <c r="CXP37" s="292"/>
      <c r="CXQ37" s="292"/>
      <c r="CXR37" s="292"/>
      <c r="CXS37" s="292"/>
      <c r="CXT37" s="292"/>
      <c r="CXU37" s="292"/>
      <c r="CXV37" s="292"/>
      <c r="CXW37" s="292"/>
      <c r="CXX37" s="292"/>
      <c r="CXY37" s="292"/>
      <c r="CXZ37" s="292"/>
      <c r="CYA37" s="292"/>
      <c r="CYB37" s="292"/>
      <c r="CYC37" s="292"/>
      <c r="CYD37" s="292"/>
      <c r="CYE37" s="292"/>
      <c r="CYF37" s="292"/>
      <c r="CYG37" s="292"/>
      <c r="CYH37" s="292"/>
      <c r="CYI37" s="292"/>
      <c r="CYJ37" s="292"/>
      <c r="CYK37" s="292"/>
      <c r="CYL37" s="292"/>
      <c r="CYM37" s="292"/>
      <c r="CYN37" s="292"/>
      <c r="CYO37" s="292"/>
      <c r="CYP37" s="292"/>
      <c r="CYQ37" s="292"/>
      <c r="CYR37" s="292"/>
      <c r="CYS37" s="292"/>
      <c r="CYT37" s="292"/>
      <c r="CYU37" s="292"/>
      <c r="CYV37" s="292"/>
      <c r="CYW37" s="292"/>
      <c r="CYX37" s="292"/>
      <c r="CYY37" s="292"/>
      <c r="CYZ37" s="292"/>
      <c r="CZA37" s="292"/>
      <c r="CZB37" s="292"/>
      <c r="CZC37" s="292"/>
      <c r="CZD37" s="292"/>
      <c r="CZE37" s="292"/>
      <c r="CZF37" s="292"/>
      <c r="CZG37" s="292"/>
      <c r="CZH37" s="292"/>
      <c r="CZI37" s="292"/>
      <c r="CZJ37" s="292"/>
      <c r="CZK37" s="292"/>
      <c r="CZL37" s="292"/>
      <c r="CZM37" s="292"/>
      <c r="CZN37" s="292"/>
      <c r="CZO37" s="292"/>
      <c r="CZP37" s="292"/>
      <c r="CZQ37" s="292"/>
      <c r="CZR37" s="292"/>
      <c r="CZS37" s="292"/>
      <c r="CZT37" s="292"/>
      <c r="CZU37" s="292"/>
      <c r="CZV37" s="292"/>
      <c r="CZW37" s="292"/>
      <c r="CZX37" s="292"/>
      <c r="CZY37" s="292"/>
      <c r="CZZ37" s="292"/>
      <c r="DAA37" s="292"/>
      <c r="DAB37" s="292"/>
      <c r="DAC37" s="292"/>
      <c r="DAD37" s="292"/>
      <c r="DAE37" s="292"/>
      <c r="DAF37" s="292"/>
      <c r="DAG37" s="292"/>
      <c r="DAH37" s="292"/>
      <c r="DAI37" s="292"/>
      <c r="DAJ37" s="292"/>
      <c r="DAK37" s="292"/>
      <c r="DAL37" s="292"/>
      <c r="DAM37" s="292"/>
      <c r="DAN37" s="292"/>
      <c r="DAO37" s="292"/>
      <c r="DAP37" s="292"/>
      <c r="DAQ37" s="292"/>
      <c r="DAR37" s="292"/>
      <c r="DAS37" s="292"/>
      <c r="DAT37" s="292"/>
      <c r="DAU37" s="292"/>
      <c r="DAV37" s="292"/>
      <c r="DAW37" s="292"/>
      <c r="DAX37" s="292"/>
      <c r="DAY37" s="292"/>
      <c r="DAZ37" s="292"/>
      <c r="DBA37" s="292"/>
      <c r="DBB37" s="292"/>
      <c r="DBC37" s="292"/>
      <c r="DBD37" s="292"/>
      <c r="DBE37" s="292"/>
      <c r="DBF37" s="292"/>
      <c r="DBG37" s="292"/>
      <c r="DBH37" s="292"/>
      <c r="DBI37" s="292"/>
      <c r="DBJ37" s="292"/>
      <c r="DBK37" s="292"/>
      <c r="DBL37" s="292"/>
      <c r="DBM37" s="292"/>
      <c r="DBN37" s="292"/>
      <c r="DBO37" s="292"/>
      <c r="DBP37" s="292"/>
      <c r="DBQ37" s="292"/>
      <c r="DBR37" s="292"/>
      <c r="DBS37" s="292"/>
      <c r="DBT37" s="292"/>
      <c r="DBU37" s="292"/>
      <c r="DBV37" s="292"/>
      <c r="DBW37" s="292"/>
      <c r="DBX37" s="292"/>
      <c r="DBY37" s="292"/>
      <c r="DBZ37" s="292"/>
      <c r="DCA37" s="292"/>
      <c r="DCB37" s="292"/>
      <c r="DCC37" s="292"/>
      <c r="DCD37" s="292"/>
      <c r="DCE37" s="292"/>
      <c r="DCF37" s="292"/>
      <c r="DCG37" s="292"/>
      <c r="DCH37" s="292"/>
      <c r="DCI37" s="292"/>
      <c r="DCJ37" s="292"/>
      <c r="DCK37" s="292"/>
      <c r="DCL37" s="292"/>
      <c r="DCM37" s="292"/>
      <c r="DCN37" s="292"/>
      <c r="DCO37" s="292"/>
      <c r="DCP37" s="292"/>
      <c r="DCQ37" s="292"/>
      <c r="DCR37" s="292"/>
      <c r="DCS37" s="292"/>
      <c r="DCT37" s="292"/>
      <c r="DCU37" s="292"/>
      <c r="DCV37" s="292"/>
      <c r="DCW37" s="292"/>
      <c r="DCX37" s="292"/>
      <c r="DCY37" s="292"/>
      <c r="DCZ37" s="292"/>
      <c r="DDA37" s="292"/>
      <c r="DDB37" s="292"/>
      <c r="DDC37" s="292"/>
      <c r="DDD37" s="292"/>
      <c r="DDE37" s="292"/>
      <c r="DDF37" s="292"/>
      <c r="DDG37" s="292"/>
      <c r="DDH37" s="292"/>
      <c r="DDI37" s="292"/>
      <c r="DDJ37" s="292"/>
      <c r="DDK37" s="292"/>
      <c r="DDL37" s="292"/>
      <c r="DDM37" s="292"/>
      <c r="DDN37" s="292"/>
      <c r="DDO37" s="292"/>
      <c r="DDP37" s="292"/>
      <c r="DDQ37" s="292"/>
      <c r="DDR37" s="292"/>
      <c r="DDS37" s="292"/>
      <c r="DDT37" s="292"/>
      <c r="DDU37" s="292"/>
      <c r="DDV37" s="292"/>
      <c r="DDW37" s="292"/>
      <c r="DDX37" s="292"/>
      <c r="DDY37" s="292"/>
      <c r="DDZ37" s="292"/>
      <c r="DEA37" s="292"/>
      <c r="DEB37" s="292"/>
      <c r="DEC37" s="292"/>
      <c r="DED37" s="292"/>
      <c r="DEE37" s="292"/>
      <c r="DEF37" s="292"/>
      <c r="DEG37" s="292"/>
      <c r="DEH37" s="292"/>
      <c r="DEI37" s="292"/>
      <c r="DEJ37" s="292"/>
      <c r="DEK37" s="292"/>
      <c r="DEL37" s="292"/>
      <c r="DEM37" s="292"/>
      <c r="DEN37" s="292"/>
      <c r="DEO37" s="292"/>
      <c r="DEP37" s="292"/>
      <c r="DEQ37" s="292"/>
      <c r="DER37" s="292"/>
      <c r="DES37" s="292"/>
      <c r="DET37" s="292"/>
      <c r="DEU37" s="292"/>
      <c r="DEV37" s="292"/>
      <c r="DEW37" s="292"/>
      <c r="DEX37" s="292"/>
      <c r="DEY37" s="292"/>
      <c r="DEZ37" s="292"/>
      <c r="DFA37" s="292"/>
      <c r="DFB37" s="292"/>
      <c r="DFC37" s="292"/>
      <c r="DFD37" s="292"/>
      <c r="DFE37" s="292"/>
      <c r="DFF37" s="292"/>
      <c r="DFG37" s="292"/>
      <c r="DFH37" s="292"/>
      <c r="DFI37" s="292"/>
      <c r="DFJ37" s="292"/>
      <c r="DFK37" s="292"/>
      <c r="DFL37" s="292"/>
      <c r="DFM37" s="292"/>
      <c r="DFN37" s="292"/>
      <c r="DFO37" s="292"/>
      <c r="DFP37" s="292"/>
      <c r="DFQ37" s="292"/>
      <c r="DFR37" s="292"/>
      <c r="DFS37" s="292"/>
      <c r="DFT37" s="292"/>
      <c r="DFU37" s="292"/>
      <c r="DFV37" s="292"/>
      <c r="DFW37" s="292"/>
      <c r="DFX37" s="292"/>
      <c r="DFY37" s="292"/>
      <c r="DFZ37" s="292"/>
      <c r="DGA37" s="292"/>
      <c r="DGB37" s="292"/>
      <c r="DGC37" s="292"/>
      <c r="DGD37" s="292"/>
      <c r="DGE37" s="292"/>
      <c r="DGF37" s="292"/>
      <c r="DGG37" s="292"/>
      <c r="DGH37" s="292"/>
      <c r="DGI37" s="292"/>
      <c r="DGJ37" s="292"/>
      <c r="DGK37" s="292"/>
      <c r="DGL37" s="292"/>
      <c r="DGM37" s="292"/>
      <c r="DGN37" s="292"/>
      <c r="DGO37" s="292"/>
      <c r="DGP37" s="292"/>
      <c r="DGQ37" s="292"/>
      <c r="DGR37" s="292"/>
      <c r="DGS37" s="292"/>
      <c r="DGT37" s="292"/>
      <c r="DGU37" s="292"/>
      <c r="DGV37" s="292"/>
      <c r="DGW37" s="292"/>
      <c r="DGX37" s="292"/>
      <c r="DGY37" s="292"/>
      <c r="DGZ37" s="292"/>
      <c r="DHA37" s="292"/>
      <c r="DHB37" s="292"/>
      <c r="DHC37" s="292"/>
      <c r="DHD37" s="292"/>
      <c r="DHE37" s="292"/>
      <c r="DHF37" s="292"/>
      <c r="DHG37" s="292"/>
      <c r="DHH37" s="292"/>
      <c r="DHI37" s="292"/>
      <c r="DHJ37" s="292"/>
      <c r="DHK37" s="292"/>
      <c r="DHL37" s="292"/>
      <c r="DHM37" s="292"/>
      <c r="DHN37" s="292"/>
      <c r="DHO37" s="292"/>
      <c r="DHP37" s="292"/>
      <c r="DHQ37" s="292"/>
      <c r="DHR37" s="292"/>
      <c r="DHS37" s="292"/>
      <c r="DHT37" s="292"/>
      <c r="DHU37" s="292"/>
      <c r="DHV37" s="292"/>
      <c r="DHW37" s="292"/>
      <c r="DHX37" s="292"/>
      <c r="DHY37" s="292"/>
      <c r="DHZ37" s="292"/>
      <c r="DIA37" s="292"/>
      <c r="DIB37" s="292"/>
      <c r="DIC37" s="292"/>
      <c r="DID37" s="292"/>
      <c r="DIE37" s="292"/>
      <c r="DIF37" s="292"/>
      <c r="DIG37" s="292"/>
      <c r="DIH37" s="292"/>
      <c r="DII37" s="292"/>
      <c r="DIJ37" s="292"/>
      <c r="DIK37" s="292"/>
      <c r="DIL37" s="292"/>
      <c r="DIM37" s="292"/>
      <c r="DIN37" s="292"/>
      <c r="DIO37" s="292"/>
      <c r="DIP37" s="292"/>
      <c r="DIQ37" s="292"/>
      <c r="DIR37" s="292"/>
      <c r="DIS37" s="292"/>
      <c r="DIT37" s="292"/>
      <c r="DIU37" s="292"/>
      <c r="DIV37" s="292"/>
      <c r="DIW37" s="292"/>
      <c r="DIX37" s="292"/>
      <c r="DIY37" s="292"/>
      <c r="DIZ37" s="292"/>
      <c r="DJA37" s="292"/>
      <c r="DJB37" s="292"/>
      <c r="DJC37" s="292"/>
      <c r="DJD37" s="292"/>
      <c r="DJE37" s="292"/>
      <c r="DJF37" s="292"/>
      <c r="DJG37" s="292"/>
      <c r="DJH37" s="292"/>
      <c r="DJI37" s="292"/>
      <c r="DJJ37" s="292"/>
      <c r="DJK37" s="292"/>
      <c r="DJL37" s="292"/>
      <c r="DJM37" s="292"/>
      <c r="DJN37" s="292"/>
      <c r="DJO37" s="292"/>
      <c r="DJP37" s="292"/>
      <c r="DJQ37" s="292"/>
      <c r="DJR37" s="292"/>
      <c r="DJS37" s="292"/>
      <c r="DJT37" s="292"/>
      <c r="DJU37" s="292"/>
      <c r="DJV37" s="292"/>
      <c r="DJW37" s="292"/>
      <c r="DJX37" s="292"/>
      <c r="DJY37" s="292"/>
      <c r="DJZ37" s="292"/>
      <c r="DKA37" s="292"/>
      <c r="DKB37" s="292"/>
      <c r="DKC37" s="292"/>
      <c r="DKD37" s="292"/>
      <c r="DKE37" s="292"/>
      <c r="DKF37" s="292"/>
      <c r="DKG37" s="292"/>
      <c r="DKH37" s="292"/>
      <c r="DKI37" s="292"/>
      <c r="DKJ37" s="292"/>
      <c r="DKK37" s="292"/>
      <c r="DKL37" s="292"/>
      <c r="DKM37" s="292"/>
      <c r="DKN37" s="292"/>
      <c r="DKO37" s="292"/>
      <c r="DKP37" s="292"/>
      <c r="DKQ37" s="292"/>
      <c r="DKR37" s="292"/>
      <c r="DKS37" s="292"/>
      <c r="DKT37" s="292"/>
      <c r="DKU37" s="292"/>
      <c r="DKV37" s="292"/>
      <c r="DKW37" s="292"/>
      <c r="DKX37" s="292"/>
      <c r="DKY37" s="292"/>
      <c r="DKZ37" s="292"/>
      <c r="DLA37" s="292"/>
      <c r="DLB37" s="292"/>
      <c r="DLC37" s="292"/>
      <c r="DLD37" s="292"/>
      <c r="DLE37" s="292"/>
      <c r="DLF37" s="292"/>
      <c r="DLG37" s="292"/>
      <c r="DLH37" s="292"/>
      <c r="DLI37" s="292"/>
      <c r="DLJ37" s="292"/>
      <c r="DLK37" s="292"/>
      <c r="DLL37" s="292"/>
      <c r="DLM37" s="292"/>
      <c r="DLN37" s="292"/>
      <c r="DLO37" s="292"/>
      <c r="DLP37" s="292"/>
      <c r="DLQ37" s="292"/>
      <c r="DLR37" s="292"/>
      <c r="DLS37" s="292"/>
      <c r="DLT37" s="292"/>
      <c r="DLU37" s="292"/>
      <c r="DLV37" s="292"/>
      <c r="DLW37" s="292"/>
      <c r="DLX37" s="292"/>
      <c r="DLY37" s="292"/>
      <c r="DLZ37" s="292"/>
      <c r="DMA37" s="292"/>
      <c r="DMB37" s="292"/>
      <c r="DMC37" s="292"/>
      <c r="DMD37" s="292"/>
      <c r="DME37" s="292"/>
      <c r="DMF37" s="292"/>
      <c r="DMG37" s="292"/>
      <c r="DMH37" s="292"/>
      <c r="DMI37" s="292"/>
      <c r="DMJ37" s="292"/>
      <c r="DMK37" s="292"/>
      <c r="DML37" s="292"/>
      <c r="DMM37" s="292"/>
      <c r="DMN37" s="292"/>
      <c r="DMO37" s="292"/>
      <c r="DMP37" s="292"/>
      <c r="DMQ37" s="292"/>
      <c r="DMR37" s="292"/>
      <c r="DMS37" s="292"/>
      <c r="DMT37" s="292"/>
      <c r="DMU37" s="292"/>
      <c r="DMV37" s="292"/>
      <c r="DMW37" s="292"/>
      <c r="DMX37" s="292"/>
      <c r="DMY37" s="292"/>
      <c r="DMZ37" s="292"/>
      <c r="DNA37" s="292"/>
      <c r="DNB37" s="292"/>
      <c r="DNC37" s="292"/>
      <c r="DND37" s="292"/>
      <c r="DNE37" s="292"/>
      <c r="DNF37" s="292"/>
      <c r="DNG37" s="292"/>
      <c r="DNH37" s="292"/>
      <c r="DNI37" s="292"/>
      <c r="DNJ37" s="292"/>
      <c r="DNK37" s="292"/>
      <c r="DNL37" s="292"/>
      <c r="DNM37" s="292"/>
      <c r="DNN37" s="292"/>
      <c r="DNO37" s="292"/>
      <c r="DNP37" s="292"/>
      <c r="DNQ37" s="292"/>
      <c r="DNR37" s="292"/>
      <c r="DNS37" s="292"/>
      <c r="DNT37" s="292"/>
      <c r="DNU37" s="292"/>
      <c r="DNV37" s="292"/>
      <c r="DNW37" s="292"/>
      <c r="DNX37" s="292"/>
      <c r="DNY37" s="292"/>
      <c r="DNZ37" s="292"/>
      <c r="DOA37" s="292"/>
      <c r="DOB37" s="292"/>
      <c r="DOC37" s="292"/>
      <c r="DOD37" s="292"/>
      <c r="DOE37" s="292"/>
      <c r="DOF37" s="292"/>
      <c r="DOG37" s="292"/>
      <c r="DOH37" s="292"/>
      <c r="DOI37" s="292"/>
      <c r="DOJ37" s="292"/>
      <c r="DOK37" s="292"/>
      <c r="DOL37" s="292"/>
      <c r="DOM37" s="292"/>
      <c r="DON37" s="292"/>
      <c r="DOO37" s="292"/>
      <c r="DOP37" s="292"/>
      <c r="DOQ37" s="292"/>
      <c r="DOR37" s="292"/>
      <c r="DOS37" s="292"/>
      <c r="DOT37" s="292"/>
      <c r="DOU37" s="292"/>
      <c r="DOV37" s="292"/>
      <c r="DOW37" s="292"/>
      <c r="DOX37" s="292"/>
      <c r="DOY37" s="292"/>
      <c r="DOZ37" s="292"/>
      <c r="DPA37" s="292"/>
      <c r="DPB37" s="292"/>
      <c r="DPC37" s="292"/>
      <c r="DPD37" s="292"/>
      <c r="DPE37" s="292"/>
      <c r="DPF37" s="292"/>
      <c r="DPG37" s="292"/>
      <c r="DPH37" s="292"/>
      <c r="DPI37" s="292"/>
      <c r="DPJ37" s="292"/>
      <c r="DPK37" s="292"/>
      <c r="DPL37" s="292"/>
      <c r="DPM37" s="292"/>
      <c r="DPN37" s="292"/>
      <c r="DPO37" s="292"/>
      <c r="DPP37" s="292"/>
      <c r="DPQ37" s="292"/>
      <c r="DPR37" s="292"/>
      <c r="DPS37" s="292"/>
      <c r="DPT37" s="292"/>
      <c r="DPU37" s="292"/>
      <c r="DPV37" s="292"/>
      <c r="DPW37" s="292"/>
      <c r="DPX37" s="292"/>
      <c r="DPY37" s="292"/>
      <c r="DPZ37" s="292"/>
      <c r="DQA37" s="292"/>
      <c r="DQB37" s="292"/>
      <c r="DQC37" s="292"/>
      <c r="DQD37" s="292"/>
      <c r="DQE37" s="292"/>
      <c r="DQF37" s="292"/>
      <c r="DQG37" s="292"/>
      <c r="DQH37" s="292"/>
      <c r="DQI37" s="292"/>
      <c r="DQJ37" s="292"/>
      <c r="DQK37" s="292"/>
      <c r="DQL37" s="292"/>
      <c r="DQM37" s="292"/>
      <c r="DQN37" s="292"/>
      <c r="DQO37" s="292"/>
      <c r="DQP37" s="292"/>
      <c r="DQQ37" s="292"/>
      <c r="DQR37" s="292"/>
      <c r="DQS37" s="292"/>
      <c r="DQT37" s="292"/>
      <c r="DQU37" s="292"/>
      <c r="DQV37" s="292"/>
      <c r="DQW37" s="292"/>
      <c r="DQX37" s="292"/>
      <c r="DQY37" s="292"/>
      <c r="DQZ37" s="292"/>
      <c r="DRA37" s="292"/>
      <c r="DRB37" s="292"/>
      <c r="DRC37" s="292"/>
      <c r="DRD37" s="292"/>
      <c r="DRE37" s="292"/>
      <c r="DRF37" s="292"/>
      <c r="DRG37" s="292"/>
      <c r="DRH37" s="292"/>
      <c r="DRI37" s="292"/>
      <c r="DRJ37" s="292"/>
      <c r="DRK37" s="292"/>
      <c r="DRL37" s="292"/>
      <c r="DRM37" s="292"/>
      <c r="DRN37" s="292"/>
      <c r="DRO37" s="292"/>
      <c r="DRP37" s="292"/>
      <c r="DRQ37" s="292"/>
      <c r="DRR37" s="292"/>
      <c r="DRS37" s="292"/>
      <c r="DRT37" s="292"/>
      <c r="DRU37" s="292"/>
      <c r="DRV37" s="292"/>
      <c r="DRW37" s="292"/>
      <c r="DRX37" s="292"/>
      <c r="DRY37" s="292"/>
      <c r="DRZ37" s="292"/>
      <c r="DSA37" s="292"/>
      <c r="DSB37" s="292"/>
      <c r="DSC37" s="292"/>
      <c r="DSD37" s="292"/>
      <c r="DSE37" s="292"/>
      <c r="DSF37" s="292"/>
      <c r="DSG37" s="292"/>
      <c r="DSH37" s="292"/>
      <c r="DSI37" s="292"/>
      <c r="DSJ37" s="292"/>
      <c r="DSK37" s="292"/>
      <c r="DSL37" s="292"/>
      <c r="DSM37" s="292"/>
      <c r="DSN37" s="292"/>
      <c r="DSO37" s="292"/>
      <c r="DSP37" s="292"/>
      <c r="DSQ37" s="292"/>
      <c r="DSR37" s="292"/>
      <c r="DSS37" s="292"/>
      <c r="DST37" s="292"/>
      <c r="DSU37" s="292"/>
      <c r="DSV37" s="292"/>
      <c r="DSW37" s="292"/>
      <c r="DSX37" s="292"/>
      <c r="DSY37" s="292"/>
      <c r="DSZ37" s="292"/>
      <c r="DTA37" s="292"/>
      <c r="DTB37" s="292"/>
      <c r="DTC37" s="292"/>
      <c r="DTD37" s="292"/>
      <c r="DTE37" s="292"/>
      <c r="DTF37" s="292"/>
      <c r="DTG37" s="292"/>
      <c r="DTH37" s="292"/>
      <c r="DTI37" s="292"/>
      <c r="DTJ37" s="292"/>
      <c r="DTK37" s="292"/>
      <c r="DTL37" s="292"/>
      <c r="DTM37" s="292"/>
      <c r="DTN37" s="292"/>
      <c r="DTO37" s="292"/>
      <c r="DTP37" s="292"/>
      <c r="DTQ37" s="292"/>
      <c r="DTR37" s="292"/>
      <c r="DTS37" s="292"/>
      <c r="DTT37" s="292"/>
      <c r="DTU37" s="292"/>
      <c r="DTV37" s="292"/>
      <c r="DTW37" s="292"/>
      <c r="DTX37" s="292"/>
      <c r="DTY37" s="292"/>
      <c r="DTZ37" s="292"/>
      <c r="DUA37" s="292"/>
      <c r="DUB37" s="292"/>
      <c r="DUC37" s="292"/>
      <c r="DUD37" s="292"/>
      <c r="DUE37" s="292"/>
      <c r="DUF37" s="292"/>
      <c r="DUG37" s="292"/>
      <c r="DUH37" s="292"/>
      <c r="DUI37" s="292"/>
      <c r="DUJ37" s="292"/>
      <c r="DUK37" s="292"/>
      <c r="DUL37" s="292"/>
      <c r="DUM37" s="292"/>
      <c r="DUN37" s="292"/>
      <c r="DUO37" s="292"/>
      <c r="DUP37" s="292"/>
      <c r="DUQ37" s="292"/>
      <c r="DUR37" s="292"/>
      <c r="DUS37" s="292"/>
      <c r="DUT37" s="292"/>
      <c r="DUU37" s="292"/>
      <c r="DUV37" s="292"/>
      <c r="DUW37" s="292"/>
      <c r="DUX37" s="292"/>
      <c r="DUY37" s="292"/>
      <c r="DUZ37" s="292"/>
      <c r="DVA37" s="292"/>
      <c r="DVB37" s="292"/>
      <c r="DVC37" s="292"/>
      <c r="DVD37" s="292"/>
      <c r="DVE37" s="292"/>
      <c r="DVF37" s="292"/>
      <c r="DVG37" s="292"/>
      <c r="DVH37" s="292"/>
      <c r="DVI37" s="292"/>
      <c r="DVJ37" s="292"/>
      <c r="DVK37" s="292"/>
      <c r="DVL37" s="292"/>
      <c r="DVM37" s="292"/>
      <c r="DVN37" s="292"/>
      <c r="DVO37" s="292"/>
      <c r="DVP37" s="292"/>
      <c r="DVQ37" s="292"/>
      <c r="DVR37" s="292"/>
      <c r="DVS37" s="292"/>
      <c r="DVT37" s="292"/>
      <c r="DVU37" s="292"/>
      <c r="DVV37" s="292"/>
      <c r="DVW37" s="292"/>
      <c r="DVX37" s="292"/>
      <c r="DVY37" s="292"/>
      <c r="DVZ37" s="292"/>
      <c r="DWA37" s="292"/>
      <c r="DWB37" s="292"/>
      <c r="DWC37" s="292"/>
      <c r="DWD37" s="292"/>
      <c r="DWE37" s="292"/>
      <c r="DWF37" s="292"/>
      <c r="DWG37" s="292"/>
      <c r="DWH37" s="292"/>
      <c r="DWI37" s="292"/>
      <c r="DWJ37" s="292"/>
      <c r="DWK37" s="292"/>
      <c r="DWL37" s="292"/>
      <c r="DWM37" s="292"/>
      <c r="DWN37" s="292"/>
      <c r="DWO37" s="292"/>
      <c r="DWP37" s="292"/>
      <c r="DWQ37" s="292"/>
      <c r="DWR37" s="292"/>
      <c r="DWS37" s="292"/>
      <c r="DWT37" s="292"/>
      <c r="DWU37" s="292"/>
      <c r="DWV37" s="292"/>
      <c r="DWW37" s="292"/>
      <c r="DWX37" s="292"/>
      <c r="DWY37" s="292"/>
      <c r="DWZ37" s="292"/>
      <c r="DXA37" s="292"/>
      <c r="DXB37" s="292"/>
      <c r="DXC37" s="292"/>
      <c r="DXD37" s="292"/>
      <c r="DXE37" s="292"/>
      <c r="DXF37" s="292"/>
      <c r="DXG37" s="292"/>
      <c r="DXH37" s="292"/>
      <c r="DXI37" s="292"/>
      <c r="DXJ37" s="292"/>
      <c r="DXK37" s="292"/>
      <c r="DXL37" s="292"/>
      <c r="DXM37" s="292"/>
      <c r="DXN37" s="292"/>
      <c r="DXO37" s="292"/>
      <c r="DXP37" s="292"/>
      <c r="DXQ37" s="292"/>
      <c r="DXR37" s="292"/>
      <c r="DXS37" s="292"/>
      <c r="DXT37" s="292"/>
      <c r="DXU37" s="292"/>
      <c r="DXV37" s="292"/>
      <c r="DXW37" s="292"/>
      <c r="DXX37" s="292"/>
      <c r="DXY37" s="292"/>
      <c r="DXZ37" s="292"/>
      <c r="DYA37" s="292"/>
      <c r="DYB37" s="292"/>
      <c r="DYC37" s="292"/>
      <c r="DYD37" s="292"/>
      <c r="DYE37" s="292"/>
      <c r="DYF37" s="292"/>
      <c r="DYG37" s="292"/>
      <c r="DYH37" s="292"/>
      <c r="DYI37" s="292"/>
      <c r="DYJ37" s="292"/>
      <c r="DYK37" s="292"/>
      <c r="DYL37" s="292"/>
      <c r="DYM37" s="292"/>
      <c r="DYN37" s="292"/>
      <c r="DYO37" s="292"/>
      <c r="DYP37" s="292"/>
      <c r="DYQ37" s="292"/>
      <c r="DYR37" s="292"/>
      <c r="DYS37" s="292"/>
      <c r="DYT37" s="292"/>
      <c r="DYU37" s="292"/>
      <c r="DYV37" s="292"/>
      <c r="DYW37" s="292"/>
      <c r="DYX37" s="292"/>
      <c r="DYY37" s="292"/>
      <c r="DYZ37" s="292"/>
      <c r="DZA37" s="292"/>
      <c r="DZB37" s="292"/>
      <c r="DZC37" s="292"/>
      <c r="DZD37" s="292"/>
      <c r="DZE37" s="292"/>
      <c r="DZF37" s="292"/>
      <c r="DZG37" s="292"/>
      <c r="DZH37" s="292"/>
      <c r="DZI37" s="292"/>
      <c r="DZJ37" s="292"/>
      <c r="DZK37" s="292"/>
      <c r="DZL37" s="292"/>
      <c r="DZM37" s="292"/>
      <c r="DZN37" s="292"/>
      <c r="DZO37" s="292"/>
      <c r="DZP37" s="292"/>
      <c r="DZQ37" s="292"/>
      <c r="DZR37" s="292"/>
      <c r="DZS37" s="292"/>
      <c r="DZT37" s="292"/>
      <c r="DZU37" s="292"/>
      <c r="DZV37" s="292"/>
      <c r="DZW37" s="292"/>
      <c r="DZX37" s="292"/>
      <c r="DZY37" s="292"/>
      <c r="DZZ37" s="292"/>
      <c r="EAA37" s="292"/>
      <c r="EAB37" s="292"/>
      <c r="EAC37" s="292"/>
      <c r="EAD37" s="292"/>
      <c r="EAE37" s="292"/>
      <c r="EAF37" s="292"/>
      <c r="EAG37" s="292"/>
      <c r="EAH37" s="292"/>
      <c r="EAI37" s="292"/>
      <c r="EAJ37" s="292"/>
      <c r="EAK37" s="292"/>
      <c r="EAL37" s="292"/>
      <c r="EAM37" s="292"/>
      <c r="EAN37" s="292"/>
      <c r="EAO37" s="292"/>
      <c r="EAP37" s="292"/>
      <c r="EAQ37" s="292"/>
      <c r="EAR37" s="292"/>
      <c r="EAS37" s="292"/>
      <c r="EAT37" s="292"/>
      <c r="EAU37" s="292"/>
      <c r="EAV37" s="292"/>
      <c r="EAW37" s="292"/>
      <c r="EAX37" s="292"/>
      <c r="EAY37" s="292"/>
      <c r="EAZ37" s="292"/>
      <c r="EBA37" s="292"/>
      <c r="EBB37" s="292"/>
      <c r="EBC37" s="292"/>
      <c r="EBD37" s="292"/>
      <c r="EBE37" s="292"/>
      <c r="EBF37" s="292"/>
      <c r="EBG37" s="292"/>
      <c r="EBH37" s="292"/>
      <c r="EBI37" s="292"/>
      <c r="EBJ37" s="292"/>
      <c r="EBK37" s="292"/>
      <c r="EBL37" s="292"/>
      <c r="EBM37" s="292"/>
      <c r="EBN37" s="292"/>
      <c r="EBO37" s="292"/>
      <c r="EBP37" s="292"/>
      <c r="EBQ37" s="292"/>
      <c r="EBR37" s="292"/>
      <c r="EBS37" s="292"/>
      <c r="EBT37" s="292"/>
      <c r="EBU37" s="292"/>
      <c r="EBV37" s="292"/>
      <c r="EBW37" s="292"/>
      <c r="EBX37" s="292"/>
      <c r="EBY37" s="292"/>
      <c r="EBZ37" s="292"/>
      <c r="ECA37" s="292"/>
      <c r="ECB37" s="292"/>
      <c r="ECC37" s="292"/>
      <c r="ECD37" s="292"/>
      <c r="ECE37" s="292"/>
      <c r="ECF37" s="292"/>
      <c r="ECG37" s="292"/>
      <c r="ECH37" s="292"/>
      <c r="ECI37" s="292"/>
      <c r="ECJ37" s="292"/>
      <c r="ECK37" s="292"/>
      <c r="ECL37" s="292"/>
      <c r="ECM37" s="292"/>
      <c r="ECN37" s="292"/>
      <c r="ECO37" s="292"/>
      <c r="ECP37" s="292"/>
      <c r="ECQ37" s="292"/>
      <c r="ECR37" s="292"/>
      <c r="ECS37" s="292"/>
      <c r="ECT37" s="292"/>
      <c r="ECU37" s="292"/>
      <c r="ECV37" s="292"/>
      <c r="ECW37" s="292"/>
      <c r="ECX37" s="292"/>
      <c r="ECY37" s="292"/>
      <c r="ECZ37" s="292"/>
      <c r="EDA37" s="292"/>
      <c r="EDB37" s="292"/>
      <c r="EDC37" s="292"/>
      <c r="EDD37" s="292"/>
      <c r="EDE37" s="292"/>
      <c r="EDF37" s="292"/>
      <c r="EDG37" s="292"/>
      <c r="EDH37" s="292"/>
      <c r="EDI37" s="292"/>
      <c r="EDJ37" s="292"/>
      <c r="EDK37" s="292"/>
      <c r="EDL37" s="292"/>
      <c r="EDM37" s="292"/>
      <c r="EDN37" s="292"/>
      <c r="EDO37" s="292"/>
      <c r="EDP37" s="292"/>
      <c r="EDQ37" s="292"/>
      <c r="EDR37" s="292"/>
      <c r="EDS37" s="292"/>
      <c r="EDT37" s="292"/>
      <c r="EDU37" s="292"/>
      <c r="EDV37" s="292"/>
      <c r="EDW37" s="292"/>
      <c r="EDX37" s="292"/>
      <c r="EDY37" s="292"/>
      <c r="EDZ37" s="292"/>
      <c r="EEA37" s="292"/>
      <c r="EEB37" s="292"/>
      <c r="EEC37" s="292"/>
      <c r="EED37" s="292"/>
      <c r="EEE37" s="292"/>
      <c r="EEF37" s="292"/>
      <c r="EEG37" s="292"/>
      <c r="EEH37" s="292"/>
      <c r="EEI37" s="292"/>
      <c r="EEJ37" s="292"/>
      <c r="EEK37" s="292"/>
      <c r="EEL37" s="292"/>
      <c r="EEM37" s="292"/>
      <c r="EEN37" s="292"/>
      <c r="EEO37" s="292"/>
      <c r="EEP37" s="292"/>
      <c r="EEQ37" s="292"/>
      <c r="EER37" s="292"/>
      <c r="EES37" s="292"/>
      <c r="EET37" s="292"/>
      <c r="EEU37" s="292"/>
      <c r="EEV37" s="292"/>
      <c r="EEW37" s="292"/>
      <c r="EEX37" s="292"/>
      <c r="EEY37" s="292"/>
      <c r="EEZ37" s="292"/>
      <c r="EFA37" s="292"/>
      <c r="EFB37" s="292"/>
      <c r="EFC37" s="292"/>
      <c r="EFD37" s="292"/>
      <c r="EFE37" s="292"/>
      <c r="EFF37" s="292"/>
      <c r="EFG37" s="292"/>
      <c r="EFH37" s="292"/>
      <c r="EFI37" s="292"/>
      <c r="EFJ37" s="292"/>
      <c r="EFK37" s="292"/>
      <c r="EFL37" s="292"/>
      <c r="EFM37" s="292"/>
      <c r="EFN37" s="292"/>
      <c r="EFO37" s="292"/>
      <c r="EFP37" s="292"/>
      <c r="EFQ37" s="292"/>
      <c r="EFR37" s="292"/>
      <c r="EFS37" s="292"/>
      <c r="EFT37" s="292"/>
      <c r="EFU37" s="292"/>
      <c r="EFV37" s="292"/>
      <c r="EFW37" s="292"/>
      <c r="EFX37" s="292"/>
      <c r="EFY37" s="292"/>
      <c r="EFZ37" s="292"/>
      <c r="EGA37" s="292"/>
      <c r="EGB37" s="292"/>
      <c r="EGC37" s="292"/>
      <c r="EGD37" s="292"/>
      <c r="EGE37" s="292"/>
      <c r="EGF37" s="292"/>
      <c r="EGG37" s="292"/>
      <c r="EGH37" s="292"/>
      <c r="EGI37" s="292"/>
      <c r="EGJ37" s="292"/>
      <c r="EGK37" s="292"/>
      <c r="EGL37" s="292"/>
      <c r="EGM37" s="292"/>
      <c r="EGN37" s="292"/>
      <c r="EGO37" s="292"/>
      <c r="EGP37" s="292"/>
      <c r="EGQ37" s="292"/>
      <c r="EGR37" s="292"/>
      <c r="EGS37" s="292"/>
      <c r="EGT37" s="292"/>
      <c r="EGU37" s="292"/>
      <c r="EGV37" s="292"/>
      <c r="EGW37" s="292"/>
      <c r="EGX37" s="292"/>
      <c r="EGY37" s="292"/>
      <c r="EGZ37" s="292"/>
      <c r="EHA37" s="292"/>
      <c r="EHB37" s="292"/>
      <c r="EHC37" s="292"/>
      <c r="EHD37" s="292"/>
      <c r="EHE37" s="292"/>
      <c r="EHF37" s="292"/>
      <c r="EHG37" s="292"/>
      <c r="EHH37" s="292"/>
      <c r="EHI37" s="292"/>
      <c r="EHJ37" s="292"/>
      <c r="EHK37" s="292"/>
      <c r="EHL37" s="292"/>
      <c r="EHM37" s="292"/>
      <c r="EHN37" s="292"/>
      <c r="EHO37" s="292"/>
      <c r="EHP37" s="292"/>
      <c r="EHQ37" s="292"/>
      <c r="EHR37" s="292"/>
      <c r="EHS37" s="292"/>
      <c r="EHT37" s="292"/>
      <c r="EHU37" s="292"/>
      <c r="EHV37" s="292"/>
      <c r="EHW37" s="292"/>
      <c r="EHX37" s="292"/>
      <c r="EHY37" s="292"/>
      <c r="EHZ37" s="292"/>
      <c r="EIA37" s="292"/>
      <c r="EIB37" s="292"/>
      <c r="EIC37" s="292"/>
      <c r="EID37" s="292"/>
      <c r="EIE37" s="292"/>
      <c r="EIF37" s="292"/>
      <c r="EIG37" s="292"/>
      <c r="EIH37" s="292"/>
      <c r="EII37" s="292"/>
      <c r="EIJ37" s="292"/>
      <c r="EIK37" s="292"/>
      <c r="EIL37" s="292"/>
      <c r="EIM37" s="292"/>
      <c r="EIN37" s="292"/>
      <c r="EIO37" s="292"/>
      <c r="EIP37" s="292"/>
      <c r="EIQ37" s="292"/>
      <c r="EIR37" s="292"/>
      <c r="EIS37" s="292"/>
      <c r="EIT37" s="292"/>
      <c r="EIU37" s="292"/>
      <c r="EIV37" s="292"/>
      <c r="EIW37" s="292"/>
      <c r="EIX37" s="292"/>
      <c r="EIY37" s="292"/>
      <c r="EIZ37" s="292"/>
      <c r="EJA37" s="292"/>
      <c r="EJB37" s="292"/>
      <c r="EJC37" s="292"/>
      <c r="EJD37" s="292"/>
      <c r="EJE37" s="292"/>
      <c r="EJF37" s="292"/>
      <c r="EJG37" s="292"/>
      <c r="EJH37" s="292"/>
      <c r="EJI37" s="292"/>
      <c r="EJJ37" s="292"/>
      <c r="EJK37" s="292"/>
      <c r="EJL37" s="292"/>
      <c r="EJM37" s="292"/>
      <c r="EJN37" s="292"/>
      <c r="EJO37" s="292"/>
      <c r="EJP37" s="292"/>
      <c r="EJQ37" s="292"/>
      <c r="EJR37" s="292"/>
      <c r="EJS37" s="292"/>
      <c r="EJT37" s="292"/>
      <c r="EJU37" s="292"/>
      <c r="EJV37" s="292"/>
      <c r="EJW37" s="292"/>
      <c r="EJX37" s="292"/>
      <c r="EJY37" s="292"/>
      <c r="EJZ37" s="292"/>
      <c r="EKA37" s="292"/>
      <c r="EKB37" s="292"/>
      <c r="EKC37" s="292"/>
      <c r="EKD37" s="292"/>
      <c r="EKE37" s="292"/>
      <c r="EKF37" s="292"/>
      <c r="EKG37" s="292"/>
      <c r="EKH37" s="292"/>
      <c r="EKI37" s="292"/>
      <c r="EKJ37" s="292"/>
      <c r="EKK37" s="292"/>
      <c r="EKL37" s="292"/>
      <c r="EKM37" s="292"/>
      <c r="EKN37" s="292"/>
      <c r="EKO37" s="292"/>
      <c r="EKP37" s="292"/>
      <c r="EKQ37" s="292"/>
      <c r="EKR37" s="292"/>
      <c r="EKS37" s="292"/>
      <c r="EKT37" s="292"/>
      <c r="EKU37" s="292"/>
      <c r="EKV37" s="292"/>
      <c r="EKW37" s="292"/>
      <c r="EKX37" s="292"/>
      <c r="EKY37" s="292"/>
      <c r="EKZ37" s="292"/>
      <c r="ELA37" s="292"/>
      <c r="ELB37" s="292"/>
      <c r="ELC37" s="292"/>
      <c r="ELD37" s="292"/>
      <c r="ELE37" s="292"/>
      <c r="ELF37" s="292"/>
      <c r="ELG37" s="292"/>
      <c r="ELH37" s="292"/>
      <c r="ELI37" s="292"/>
      <c r="ELJ37" s="292"/>
      <c r="ELK37" s="292"/>
      <c r="ELL37" s="292"/>
      <c r="ELM37" s="292"/>
      <c r="ELN37" s="292"/>
      <c r="ELO37" s="292"/>
      <c r="ELP37" s="292"/>
      <c r="ELQ37" s="292"/>
      <c r="ELR37" s="292"/>
      <c r="ELS37" s="292"/>
      <c r="ELT37" s="292"/>
      <c r="ELU37" s="292"/>
      <c r="ELV37" s="292"/>
      <c r="ELW37" s="292"/>
      <c r="ELX37" s="292"/>
      <c r="ELY37" s="292"/>
      <c r="ELZ37" s="292"/>
      <c r="EMA37" s="292"/>
      <c r="EMB37" s="292"/>
      <c r="EMC37" s="292"/>
      <c r="EMD37" s="292"/>
      <c r="EME37" s="292"/>
      <c r="EMF37" s="292"/>
      <c r="EMG37" s="292"/>
      <c r="EMH37" s="292"/>
      <c r="EMI37" s="292"/>
      <c r="EMJ37" s="292"/>
      <c r="EMK37" s="292"/>
      <c r="EML37" s="292"/>
      <c r="EMM37" s="292"/>
      <c r="EMN37" s="292"/>
      <c r="EMO37" s="292"/>
      <c r="EMP37" s="292"/>
      <c r="EMQ37" s="292"/>
      <c r="EMR37" s="292"/>
      <c r="EMS37" s="292"/>
      <c r="EMT37" s="292"/>
      <c r="EMU37" s="292"/>
      <c r="EMV37" s="292"/>
      <c r="EMW37" s="292"/>
      <c r="EMX37" s="292"/>
      <c r="EMY37" s="292"/>
      <c r="EMZ37" s="292"/>
      <c r="ENA37" s="292"/>
      <c r="ENB37" s="292"/>
      <c r="ENC37" s="292"/>
      <c r="END37" s="292"/>
      <c r="ENE37" s="292"/>
      <c r="ENF37" s="292"/>
      <c r="ENG37" s="292"/>
      <c r="ENH37" s="292"/>
      <c r="ENI37" s="292"/>
      <c r="ENJ37" s="292"/>
      <c r="ENK37" s="292"/>
      <c r="ENL37" s="292"/>
      <c r="ENM37" s="292"/>
      <c r="ENN37" s="292"/>
      <c r="ENO37" s="292"/>
      <c r="ENP37" s="292"/>
      <c r="ENQ37" s="292"/>
      <c r="ENR37" s="292"/>
      <c r="ENS37" s="292"/>
      <c r="ENT37" s="292"/>
      <c r="ENU37" s="292"/>
      <c r="ENV37" s="292"/>
      <c r="ENW37" s="292"/>
      <c r="ENX37" s="292"/>
      <c r="ENY37" s="292"/>
      <c r="ENZ37" s="292"/>
      <c r="EOA37" s="292"/>
      <c r="EOB37" s="292"/>
      <c r="EOC37" s="292"/>
      <c r="EOD37" s="292"/>
      <c r="EOE37" s="292"/>
      <c r="EOF37" s="292"/>
      <c r="EOG37" s="292"/>
      <c r="EOH37" s="292"/>
      <c r="EOI37" s="292"/>
      <c r="EOJ37" s="292"/>
      <c r="EOK37" s="292"/>
      <c r="EOL37" s="292"/>
      <c r="EOM37" s="292"/>
      <c r="EON37" s="292"/>
      <c r="EOO37" s="292"/>
      <c r="EOP37" s="292"/>
      <c r="EOQ37" s="292"/>
      <c r="EOR37" s="292"/>
      <c r="EOS37" s="292"/>
      <c r="EOT37" s="292"/>
      <c r="EOU37" s="292"/>
      <c r="EOV37" s="292"/>
      <c r="EOW37" s="292"/>
      <c r="EOX37" s="292"/>
      <c r="EOY37" s="292"/>
      <c r="EOZ37" s="292"/>
      <c r="EPA37" s="292"/>
      <c r="EPB37" s="292"/>
      <c r="EPC37" s="292"/>
      <c r="EPD37" s="292"/>
      <c r="EPE37" s="292"/>
      <c r="EPF37" s="292"/>
      <c r="EPG37" s="292"/>
      <c r="EPH37" s="292"/>
      <c r="EPI37" s="292"/>
      <c r="EPJ37" s="292"/>
      <c r="EPK37" s="292"/>
      <c r="EPL37" s="292"/>
      <c r="EPM37" s="292"/>
      <c r="EPN37" s="292"/>
      <c r="EPO37" s="292"/>
      <c r="EPP37" s="292"/>
      <c r="EPQ37" s="292"/>
      <c r="EPR37" s="292"/>
      <c r="EPS37" s="292"/>
      <c r="EPT37" s="292"/>
      <c r="EPU37" s="292"/>
      <c r="EPV37" s="292"/>
      <c r="EPW37" s="292"/>
      <c r="EPX37" s="292"/>
      <c r="EPY37" s="292"/>
      <c r="EPZ37" s="292"/>
      <c r="EQA37" s="292"/>
      <c r="EQB37" s="292"/>
      <c r="EQC37" s="292"/>
      <c r="EQD37" s="292"/>
      <c r="EQE37" s="292"/>
      <c r="EQF37" s="292"/>
      <c r="EQG37" s="292"/>
      <c r="EQH37" s="292"/>
      <c r="EQI37" s="292"/>
      <c r="EQJ37" s="292"/>
      <c r="EQK37" s="292"/>
      <c r="EQL37" s="292"/>
      <c r="EQM37" s="292"/>
      <c r="EQN37" s="292"/>
      <c r="EQO37" s="292"/>
      <c r="EQP37" s="292"/>
      <c r="EQQ37" s="292"/>
      <c r="EQR37" s="292"/>
      <c r="EQS37" s="292"/>
      <c r="EQT37" s="292"/>
      <c r="EQU37" s="292"/>
      <c r="EQV37" s="292"/>
      <c r="EQW37" s="292"/>
      <c r="EQX37" s="292"/>
      <c r="EQY37" s="292"/>
      <c r="EQZ37" s="292"/>
      <c r="ERA37" s="292"/>
      <c r="ERB37" s="292"/>
      <c r="ERC37" s="292"/>
      <c r="ERD37" s="292"/>
      <c r="ERE37" s="292"/>
      <c r="ERF37" s="292"/>
      <c r="ERG37" s="292"/>
      <c r="ERH37" s="292"/>
      <c r="ERI37" s="292"/>
      <c r="ERJ37" s="292"/>
      <c r="ERK37" s="292"/>
      <c r="ERL37" s="292"/>
      <c r="ERM37" s="292"/>
      <c r="ERN37" s="292"/>
      <c r="ERO37" s="292"/>
      <c r="ERP37" s="292"/>
      <c r="ERQ37" s="292"/>
      <c r="ERR37" s="292"/>
      <c r="ERS37" s="292"/>
      <c r="ERT37" s="292"/>
      <c r="ERU37" s="292"/>
      <c r="ERV37" s="292"/>
      <c r="ERW37" s="292"/>
      <c r="ERX37" s="292"/>
      <c r="ERY37" s="292"/>
      <c r="ERZ37" s="292"/>
      <c r="ESA37" s="292"/>
      <c r="ESB37" s="292"/>
      <c r="ESC37" s="292"/>
      <c r="ESD37" s="292"/>
      <c r="ESE37" s="292"/>
      <c r="ESF37" s="292"/>
      <c r="ESG37" s="292"/>
      <c r="ESH37" s="292"/>
      <c r="ESI37" s="292"/>
      <c r="ESJ37" s="292"/>
      <c r="ESK37" s="292"/>
      <c r="ESL37" s="292"/>
      <c r="ESM37" s="292"/>
      <c r="ESN37" s="292"/>
      <c r="ESO37" s="292"/>
      <c r="ESP37" s="292"/>
      <c r="ESQ37" s="292"/>
      <c r="ESR37" s="292"/>
      <c r="ESS37" s="292"/>
      <c r="EST37" s="292"/>
      <c r="ESU37" s="292"/>
      <c r="ESV37" s="292"/>
      <c r="ESW37" s="292"/>
      <c r="ESX37" s="292"/>
      <c r="ESY37" s="292"/>
      <c r="ESZ37" s="292"/>
      <c r="ETA37" s="292"/>
      <c r="ETB37" s="292"/>
      <c r="ETC37" s="292"/>
      <c r="ETD37" s="292"/>
      <c r="ETE37" s="292"/>
      <c r="ETF37" s="292"/>
      <c r="ETG37" s="292"/>
      <c r="ETH37" s="292"/>
      <c r="ETI37" s="292"/>
      <c r="ETJ37" s="292"/>
      <c r="ETK37" s="292"/>
      <c r="ETL37" s="292"/>
      <c r="ETM37" s="292"/>
      <c r="ETN37" s="292"/>
      <c r="ETO37" s="292"/>
      <c r="ETP37" s="292"/>
      <c r="ETQ37" s="292"/>
      <c r="ETR37" s="292"/>
      <c r="ETS37" s="292"/>
      <c r="ETT37" s="292"/>
      <c r="ETU37" s="292"/>
      <c r="ETV37" s="292"/>
      <c r="ETW37" s="292"/>
      <c r="ETX37" s="292"/>
      <c r="ETY37" s="292"/>
      <c r="ETZ37" s="292"/>
      <c r="EUA37" s="292"/>
      <c r="EUB37" s="292"/>
      <c r="EUC37" s="292"/>
      <c r="EUD37" s="292"/>
      <c r="EUE37" s="292"/>
      <c r="EUF37" s="292"/>
      <c r="EUG37" s="292"/>
      <c r="EUH37" s="292"/>
      <c r="EUI37" s="292"/>
      <c r="EUJ37" s="292"/>
      <c r="EUK37" s="292"/>
      <c r="EUL37" s="292"/>
      <c r="EUM37" s="292"/>
      <c r="EUN37" s="292"/>
      <c r="EUO37" s="292"/>
      <c r="EUP37" s="292"/>
      <c r="EUQ37" s="292"/>
      <c r="EUR37" s="292"/>
      <c r="EUS37" s="292"/>
      <c r="EUT37" s="292"/>
      <c r="EUU37" s="292"/>
      <c r="EUV37" s="292"/>
      <c r="EUW37" s="292"/>
      <c r="EUX37" s="292"/>
      <c r="EUY37" s="292"/>
      <c r="EUZ37" s="292"/>
      <c r="EVA37" s="292"/>
      <c r="EVB37" s="292"/>
      <c r="EVC37" s="292"/>
      <c r="EVD37" s="292"/>
      <c r="EVE37" s="292"/>
      <c r="EVF37" s="292"/>
      <c r="EVG37" s="292"/>
      <c r="EVH37" s="292"/>
      <c r="EVI37" s="292"/>
      <c r="EVJ37" s="292"/>
      <c r="EVK37" s="292"/>
      <c r="EVL37" s="292"/>
      <c r="EVM37" s="292"/>
      <c r="EVN37" s="292"/>
      <c r="EVO37" s="292"/>
      <c r="EVP37" s="292"/>
      <c r="EVQ37" s="292"/>
      <c r="EVR37" s="292"/>
      <c r="EVS37" s="292"/>
      <c r="EVT37" s="292"/>
      <c r="EVU37" s="292"/>
      <c r="EVV37" s="292"/>
      <c r="EVW37" s="292"/>
      <c r="EVX37" s="292"/>
      <c r="EVY37" s="292"/>
      <c r="EVZ37" s="292"/>
      <c r="EWA37" s="292"/>
      <c r="EWB37" s="292"/>
      <c r="EWC37" s="292"/>
      <c r="EWD37" s="292"/>
      <c r="EWE37" s="292"/>
      <c r="EWF37" s="292"/>
      <c r="EWG37" s="292"/>
      <c r="EWH37" s="292"/>
      <c r="EWI37" s="292"/>
      <c r="EWJ37" s="292"/>
      <c r="EWK37" s="292"/>
      <c r="EWL37" s="292"/>
      <c r="EWM37" s="292"/>
      <c r="EWN37" s="292"/>
      <c r="EWO37" s="292"/>
      <c r="EWP37" s="292"/>
      <c r="EWQ37" s="292"/>
      <c r="EWR37" s="292"/>
      <c r="EWS37" s="292"/>
      <c r="EWT37" s="292"/>
      <c r="EWU37" s="292"/>
      <c r="EWV37" s="292"/>
      <c r="EWW37" s="292"/>
      <c r="EWX37" s="292"/>
      <c r="EWY37" s="292"/>
      <c r="EWZ37" s="292"/>
      <c r="EXA37" s="292"/>
      <c r="EXB37" s="292"/>
      <c r="EXC37" s="292"/>
      <c r="EXD37" s="292"/>
      <c r="EXE37" s="292"/>
      <c r="EXF37" s="292"/>
      <c r="EXG37" s="292"/>
      <c r="EXH37" s="292"/>
      <c r="EXI37" s="292"/>
      <c r="EXJ37" s="292"/>
      <c r="EXK37" s="292"/>
      <c r="EXL37" s="292"/>
      <c r="EXM37" s="292"/>
      <c r="EXN37" s="292"/>
      <c r="EXO37" s="292"/>
      <c r="EXP37" s="292"/>
      <c r="EXQ37" s="292"/>
      <c r="EXR37" s="292"/>
      <c r="EXS37" s="292"/>
      <c r="EXT37" s="292"/>
      <c r="EXU37" s="292"/>
      <c r="EXV37" s="292"/>
      <c r="EXW37" s="292"/>
      <c r="EXX37" s="292"/>
      <c r="EXY37" s="292"/>
      <c r="EXZ37" s="292"/>
      <c r="EYA37" s="292"/>
      <c r="EYB37" s="292"/>
      <c r="EYC37" s="292"/>
      <c r="EYD37" s="292"/>
      <c r="EYE37" s="292"/>
      <c r="EYF37" s="292"/>
      <c r="EYG37" s="292"/>
      <c r="EYH37" s="292"/>
      <c r="EYI37" s="292"/>
      <c r="EYJ37" s="292"/>
      <c r="EYK37" s="292"/>
      <c r="EYL37" s="292"/>
      <c r="EYM37" s="292"/>
      <c r="EYN37" s="292"/>
      <c r="EYO37" s="292"/>
      <c r="EYP37" s="292"/>
      <c r="EYQ37" s="292"/>
      <c r="EYR37" s="292"/>
      <c r="EYS37" s="292"/>
      <c r="EYT37" s="292"/>
      <c r="EYU37" s="292"/>
      <c r="EYV37" s="292"/>
      <c r="EYW37" s="292"/>
      <c r="EYX37" s="292"/>
      <c r="EYY37" s="292"/>
      <c r="EYZ37" s="292"/>
      <c r="EZA37" s="292"/>
      <c r="EZB37" s="292"/>
      <c r="EZC37" s="292"/>
      <c r="EZD37" s="292"/>
      <c r="EZE37" s="292"/>
      <c r="EZF37" s="292"/>
      <c r="EZG37" s="292"/>
      <c r="EZH37" s="292"/>
      <c r="EZI37" s="292"/>
      <c r="EZJ37" s="292"/>
      <c r="EZK37" s="292"/>
      <c r="EZL37" s="292"/>
      <c r="EZM37" s="292"/>
      <c r="EZN37" s="292"/>
      <c r="EZO37" s="292"/>
      <c r="EZP37" s="292"/>
      <c r="EZQ37" s="292"/>
      <c r="EZR37" s="292"/>
      <c r="EZS37" s="292"/>
      <c r="EZT37" s="292"/>
      <c r="EZU37" s="292"/>
      <c r="EZV37" s="292"/>
      <c r="EZW37" s="292"/>
      <c r="EZX37" s="292"/>
      <c r="EZY37" s="292"/>
      <c r="EZZ37" s="292"/>
      <c r="FAA37" s="292"/>
      <c r="FAB37" s="292"/>
      <c r="FAC37" s="292"/>
      <c r="FAD37" s="292"/>
      <c r="FAE37" s="292"/>
      <c r="FAF37" s="292"/>
      <c r="FAG37" s="292"/>
      <c r="FAH37" s="292"/>
      <c r="FAI37" s="292"/>
      <c r="FAJ37" s="292"/>
      <c r="FAK37" s="292"/>
      <c r="FAL37" s="292"/>
      <c r="FAM37" s="292"/>
      <c r="FAN37" s="292"/>
      <c r="FAO37" s="292"/>
      <c r="FAP37" s="292"/>
      <c r="FAQ37" s="292"/>
      <c r="FAR37" s="292"/>
      <c r="FAS37" s="292"/>
      <c r="FAT37" s="292"/>
      <c r="FAU37" s="292"/>
      <c r="FAV37" s="292"/>
      <c r="FAW37" s="292"/>
      <c r="FAX37" s="292"/>
      <c r="FAY37" s="292"/>
      <c r="FAZ37" s="292"/>
      <c r="FBA37" s="292"/>
      <c r="FBB37" s="292"/>
      <c r="FBC37" s="292"/>
      <c r="FBD37" s="292"/>
      <c r="FBE37" s="292"/>
      <c r="FBF37" s="292"/>
      <c r="FBG37" s="292"/>
      <c r="FBH37" s="292"/>
      <c r="FBI37" s="292"/>
      <c r="FBJ37" s="292"/>
      <c r="FBK37" s="292"/>
      <c r="FBL37" s="292"/>
      <c r="FBM37" s="292"/>
      <c r="FBN37" s="292"/>
      <c r="FBO37" s="292"/>
      <c r="FBP37" s="292"/>
      <c r="FBQ37" s="292"/>
      <c r="FBR37" s="292"/>
      <c r="FBS37" s="292"/>
      <c r="FBT37" s="292"/>
      <c r="FBU37" s="292"/>
      <c r="FBV37" s="292"/>
      <c r="FBW37" s="292"/>
      <c r="FBX37" s="292"/>
      <c r="FBY37" s="292"/>
      <c r="FBZ37" s="292"/>
      <c r="FCA37" s="292"/>
      <c r="FCB37" s="292"/>
      <c r="FCC37" s="292"/>
      <c r="FCD37" s="292"/>
      <c r="FCE37" s="292"/>
      <c r="FCF37" s="292"/>
      <c r="FCG37" s="292"/>
      <c r="FCH37" s="292"/>
      <c r="FCI37" s="292"/>
      <c r="FCJ37" s="292"/>
      <c r="FCK37" s="292"/>
      <c r="FCL37" s="292"/>
      <c r="FCM37" s="292"/>
      <c r="FCN37" s="292"/>
      <c r="FCO37" s="292"/>
      <c r="FCP37" s="292"/>
      <c r="FCQ37" s="292"/>
      <c r="FCR37" s="292"/>
      <c r="FCS37" s="292"/>
      <c r="FCT37" s="292"/>
      <c r="FCU37" s="292"/>
      <c r="FCV37" s="292"/>
      <c r="FCW37" s="292"/>
      <c r="FCX37" s="292"/>
      <c r="FCY37" s="292"/>
      <c r="FCZ37" s="292"/>
      <c r="FDA37" s="292"/>
      <c r="FDB37" s="292"/>
      <c r="FDC37" s="292"/>
      <c r="FDD37" s="292"/>
      <c r="FDE37" s="292"/>
      <c r="FDF37" s="292"/>
      <c r="FDG37" s="292"/>
      <c r="FDH37" s="292"/>
      <c r="FDI37" s="292"/>
      <c r="FDJ37" s="292"/>
      <c r="FDK37" s="292"/>
      <c r="FDL37" s="292"/>
      <c r="FDM37" s="292"/>
      <c r="FDN37" s="292"/>
      <c r="FDO37" s="292"/>
      <c r="FDP37" s="292"/>
      <c r="FDQ37" s="292"/>
      <c r="FDR37" s="292"/>
      <c r="FDS37" s="292"/>
      <c r="FDT37" s="292"/>
      <c r="FDU37" s="292"/>
      <c r="FDV37" s="292"/>
      <c r="FDW37" s="292"/>
      <c r="FDX37" s="292"/>
      <c r="FDY37" s="292"/>
      <c r="FDZ37" s="292"/>
      <c r="FEA37" s="292"/>
      <c r="FEB37" s="292"/>
      <c r="FEC37" s="292"/>
      <c r="FED37" s="292"/>
      <c r="FEE37" s="292"/>
      <c r="FEF37" s="292"/>
      <c r="FEG37" s="292"/>
      <c r="FEH37" s="292"/>
      <c r="FEI37" s="292"/>
      <c r="FEJ37" s="292"/>
      <c r="FEK37" s="292"/>
      <c r="FEL37" s="292"/>
      <c r="FEM37" s="292"/>
      <c r="FEN37" s="292"/>
      <c r="FEO37" s="292"/>
      <c r="FEP37" s="292"/>
      <c r="FEQ37" s="292"/>
      <c r="FER37" s="292"/>
      <c r="FES37" s="292"/>
      <c r="FET37" s="292"/>
      <c r="FEU37" s="292"/>
      <c r="FEV37" s="292"/>
      <c r="FEW37" s="292"/>
      <c r="FEX37" s="292"/>
      <c r="FEY37" s="292"/>
      <c r="FEZ37" s="292"/>
      <c r="FFA37" s="292"/>
      <c r="FFB37" s="292"/>
      <c r="FFC37" s="292"/>
      <c r="FFD37" s="292"/>
      <c r="FFE37" s="292"/>
      <c r="FFF37" s="292"/>
      <c r="FFG37" s="292"/>
      <c r="FFH37" s="292"/>
      <c r="FFI37" s="292"/>
      <c r="FFJ37" s="292"/>
      <c r="FFK37" s="292"/>
      <c r="FFL37" s="292"/>
      <c r="FFM37" s="292"/>
      <c r="FFN37" s="292"/>
      <c r="FFO37" s="292"/>
      <c r="FFP37" s="292"/>
      <c r="FFQ37" s="292"/>
      <c r="FFR37" s="292"/>
      <c r="FFS37" s="292"/>
      <c r="FFT37" s="292"/>
      <c r="FFU37" s="292"/>
      <c r="FFV37" s="292"/>
      <c r="FFW37" s="292"/>
      <c r="FFX37" s="292"/>
      <c r="FFY37" s="292"/>
      <c r="FFZ37" s="292"/>
      <c r="FGA37" s="292"/>
      <c r="FGB37" s="292"/>
      <c r="FGC37" s="292"/>
      <c r="FGD37" s="292"/>
      <c r="FGE37" s="292"/>
      <c r="FGF37" s="292"/>
      <c r="FGG37" s="292"/>
      <c r="FGH37" s="292"/>
      <c r="FGI37" s="292"/>
      <c r="FGJ37" s="292"/>
      <c r="FGK37" s="292"/>
      <c r="FGL37" s="292"/>
      <c r="FGM37" s="292"/>
      <c r="FGN37" s="292"/>
      <c r="FGO37" s="292"/>
      <c r="FGP37" s="292"/>
      <c r="FGQ37" s="292"/>
      <c r="FGR37" s="292"/>
      <c r="FGS37" s="292"/>
      <c r="FGT37" s="292"/>
      <c r="FGU37" s="292"/>
      <c r="FGV37" s="292"/>
      <c r="FGW37" s="292"/>
      <c r="FGX37" s="292"/>
      <c r="FGY37" s="292"/>
      <c r="FGZ37" s="292"/>
      <c r="FHA37" s="292"/>
      <c r="FHB37" s="292"/>
      <c r="FHC37" s="292"/>
      <c r="FHD37" s="292"/>
      <c r="FHE37" s="292"/>
      <c r="FHF37" s="292"/>
      <c r="FHG37" s="292"/>
      <c r="FHH37" s="292"/>
      <c r="FHI37" s="292"/>
      <c r="FHJ37" s="292"/>
      <c r="FHK37" s="292"/>
      <c r="FHL37" s="292"/>
      <c r="FHM37" s="292"/>
      <c r="FHN37" s="292"/>
      <c r="FHO37" s="292"/>
      <c r="FHP37" s="292"/>
      <c r="FHQ37" s="292"/>
      <c r="FHR37" s="292"/>
      <c r="FHS37" s="292"/>
      <c r="FHT37" s="292"/>
      <c r="FHU37" s="292"/>
      <c r="FHV37" s="292"/>
      <c r="FHW37" s="292"/>
      <c r="FHX37" s="292"/>
      <c r="FHY37" s="292"/>
      <c r="FHZ37" s="292"/>
      <c r="FIA37" s="292"/>
      <c r="FIB37" s="292"/>
      <c r="FIC37" s="292"/>
      <c r="FID37" s="292"/>
      <c r="FIE37" s="292"/>
      <c r="FIF37" s="292"/>
      <c r="FIG37" s="292"/>
      <c r="FIH37" s="292"/>
      <c r="FII37" s="292"/>
      <c r="FIJ37" s="292"/>
      <c r="FIK37" s="292"/>
      <c r="FIL37" s="292"/>
      <c r="FIM37" s="292"/>
      <c r="FIN37" s="292"/>
      <c r="FIO37" s="292"/>
      <c r="FIP37" s="292"/>
      <c r="FIQ37" s="292"/>
      <c r="FIR37" s="292"/>
      <c r="FIS37" s="292"/>
      <c r="FIT37" s="292"/>
      <c r="FIU37" s="292"/>
      <c r="FIV37" s="292"/>
      <c r="FIW37" s="292"/>
      <c r="FIX37" s="292"/>
      <c r="FIY37" s="292"/>
      <c r="FIZ37" s="292"/>
      <c r="FJA37" s="292"/>
      <c r="FJB37" s="292"/>
      <c r="FJC37" s="292"/>
      <c r="FJD37" s="292"/>
      <c r="FJE37" s="292"/>
      <c r="FJF37" s="292"/>
      <c r="FJG37" s="292"/>
      <c r="FJH37" s="292"/>
      <c r="FJI37" s="292"/>
      <c r="FJJ37" s="292"/>
      <c r="FJK37" s="292"/>
      <c r="FJL37" s="292"/>
      <c r="FJM37" s="292"/>
      <c r="FJN37" s="292"/>
      <c r="FJO37" s="292"/>
      <c r="FJP37" s="292"/>
      <c r="FJQ37" s="292"/>
      <c r="FJR37" s="292"/>
      <c r="FJS37" s="292"/>
      <c r="FJT37" s="292"/>
      <c r="FJU37" s="292"/>
      <c r="FJV37" s="292"/>
      <c r="FJW37" s="292"/>
      <c r="FJX37" s="292"/>
      <c r="FJY37" s="292"/>
      <c r="FJZ37" s="292"/>
      <c r="FKA37" s="292"/>
      <c r="FKB37" s="292"/>
      <c r="FKC37" s="292"/>
      <c r="FKD37" s="292"/>
      <c r="FKE37" s="292"/>
      <c r="FKF37" s="292"/>
      <c r="FKG37" s="292"/>
      <c r="FKH37" s="292"/>
      <c r="FKI37" s="292"/>
      <c r="FKJ37" s="292"/>
      <c r="FKK37" s="292"/>
      <c r="FKL37" s="292"/>
      <c r="FKM37" s="292"/>
      <c r="FKN37" s="292"/>
      <c r="FKO37" s="292"/>
      <c r="FKP37" s="292"/>
      <c r="FKQ37" s="292"/>
      <c r="FKR37" s="292"/>
      <c r="FKS37" s="292"/>
      <c r="FKT37" s="292"/>
      <c r="FKU37" s="292"/>
      <c r="FKV37" s="292"/>
      <c r="FKW37" s="292"/>
      <c r="FKX37" s="292"/>
      <c r="FKY37" s="292"/>
      <c r="FKZ37" s="292"/>
      <c r="FLA37" s="292"/>
      <c r="FLB37" s="292"/>
      <c r="FLC37" s="292"/>
      <c r="FLD37" s="292"/>
      <c r="FLE37" s="292"/>
      <c r="FLF37" s="292"/>
      <c r="FLG37" s="292"/>
      <c r="FLH37" s="292"/>
      <c r="FLI37" s="292"/>
      <c r="FLJ37" s="292"/>
      <c r="FLK37" s="292"/>
      <c r="FLL37" s="292"/>
      <c r="FLM37" s="292"/>
      <c r="FLN37" s="292"/>
      <c r="FLO37" s="292"/>
      <c r="FLP37" s="292"/>
      <c r="FLQ37" s="292"/>
      <c r="FLR37" s="292"/>
      <c r="FLS37" s="292"/>
      <c r="FLT37" s="292"/>
      <c r="FLU37" s="292"/>
      <c r="FLV37" s="292"/>
      <c r="FLW37" s="292"/>
      <c r="FLX37" s="292"/>
      <c r="FLY37" s="292"/>
      <c r="FLZ37" s="292"/>
      <c r="FMA37" s="292"/>
      <c r="FMB37" s="292"/>
      <c r="FMC37" s="292"/>
      <c r="FMD37" s="292"/>
      <c r="FME37" s="292"/>
      <c r="FMF37" s="292"/>
      <c r="FMG37" s="292"/>
      <c r="FMH37" s="292"/>
      <c r="FMI37" s="292"/>
      <c r="FMJ37" s="292"/>
      <c r="FMK37" s="292"/>
      <c r="FML37" s="292"/>
      <c r="FMM37" s="292"/>
      <c r="FMN37" s="292"/>
      <c r="FMO37" s="292"/>
      <c r="FMP37" s="292"/>
      <c r="FMQ37" s="292"/>
      <c r="FMR37" s="292"/>
      <c r="FMS37" s="292"/>
      <c r="FMT37" s="292"/>
      <c r="FMU37" s="292"/>
      <c r="FMV37" s="292"/>
      <c r="FMW37" s="292"/>
      <c r="FMX37" s="292"/>
      <c r="FMY37" s="292"/>
      <c r="FMZ37" s="292"/>
      <c r="FNA37" s="292"/>
      <c r="FNB37" s="292"/>
      <c r="FNC37" s="292"/>
      <c r="FND37" s="292"/>
      <c r="FNE37" s="292"/>
      <c r="FNF37" s="292"/>
      <c r="FNG37" s="292"/>
      <c r="FNH37" s="292"/>
      <c r="FNI37" s="292"/>
      <c r="FNJ37" s="292"/>
      <c r="FNK37" s="292"/>
      <c r="FNL37" s="292"/>
      <c r="FNM37" s="292"/>
      <c r="FNN37" s="292"/>
      <c r="FNO37" s="292"/>
      <c r="FNP37" s="292"/>
      <c r="FNQ37" s="292"/>
      <c r="FNR37" s="292"/>
      <c r="FNS37" s="292"/>
      <c r="FNT37" s="292"/>
      <c r="FNU37" s="292"/>
      <c r="FNV37" s="292"/>
      <c r="FNW37" s="292"/>
      <c r="FNX37" s="292"/>
      <c r="FNY37" s="292"/>
      <c r="FNZ37" s="292"/>
      <c r="FOA37" s="292"/>
      <c r="FOB37" s="292"/>
      <c r="FOC37" s="292"/>
      <c r="FOD37" s="292"/>
      <c r="FOE37" s="292"/>
      <c r="FOF37" s="292"/>
      <c r="FOG37" s="292"/>
      <c r="FOH37" s="292"/>
      <c r="FOI37" s="292"/>
      <c r="FOJ37" s="292"/>
      <c r="FOK37" s="292"/>
      <c r="FOL37" s="292"/>
      <c r="FOM37" s="292"/>
      <c r="FON37" s="292"/>
      <c r="FOO37" s="292"/>
      <c r="FOP37" s="292"/>
      <c r="FOQ37" s="292"/>
      <c r="FOR37" s="292"/>
      <c r="FOS37" s="292"/>
      <c r="FOT37" s="292"/>
      <c r="FOU37" s="292"/>
      <c r="FOV37" s="292"/>
      <c r="FOW37" s="292"/>
      <c r="FOX37" s="292"/>
      <c r="FOY37" s="292"/>
      <c r="FOZ37" s="292"/>
      <c r="FPA37" s="292"/>
      <c r="FPB37" s="292"/>
      <c r="FPC37" s="292"/>
      <c r="FPD37" s="292"/>
      <c r="FPE37" s="292"/>
      <c r="FPF37" s="292"/>
      <c r="FPG37" s="292"/>
      <c r="FPH37" s="292"/>
      <c r="FPI37" s="292"/>
      <c r="FPJ37" s="292"/>
      <c r="FPK37" s="292"/>
      <c r="FPL37" s="292"/>
      <c r="FPM37" s="292"/>
      <c r="FPN37" s="292"/>
      <c r="FPO37" s="292"/>
      <c r="FPP37" s="292"/>
      <c r="FPQ37" s="292"/>
      <c r="FPR37" s="292"/>
      <c r="FPS37" s="292"/>
      <c r="FPT37" s="292"/>
      <c r="FPU37" s="292"/>
      <c r="FPV37" s="292"/>
      <c r="FPW37" s="292"/>
      <c r="FPX37" s="292"/>
      <c r="FPY37" s="292"/>
      <c r="FPZ37" s="292"/>
      <c r="FQA37" s="292"/>
      <c r="FQB37" s="292"/>
      <c r="FQC37" s="292"/>
      <c r="FQD37" s="292"/>
      <c r="FQE37" s="292"/>
      <c r="FQF37" s="292"/>
      <c r="FQG37" s="292"/>
      <c r="FQH37" s="292"/>
      <c r="FQI37" s="292"/>
      <c r="FQJ37" s="292"/>
      <c r="FQK37" s="292"/>
      <c r="FQL37" s="292"/>
      <c r="FQM37" s="292"/>
      <c r="FQN37" s="292"/>
      <c r="FQO37" s="292"/>
      <c r="FQP37" s="292"/>
      <c r="FQQ37" s="292"/>
      <c r="FQR37" s="292"/>
      <c r="FQS37" s="292"/>
      <c r="FQT37" s="292"/>
      <c r="FQU37" s="292"/>
      <c r="FQV37" s="292"/>
      <c r="FQW37" s="292"/>
      <c r="FQX37" s="292"/>
      <c r="FQY37" s="292"/>
      <c r="FQZ37" s="292"/>
      <c r="FRA37" s="292"/>
      <c r="FRB37" s="292"/>
      <c r="FRC37" s="292"/>
      <c r="FRD37" s="292"/>
      <c r="FRE37" s="292"/>
      <c r="FRF37" s="292"/>
      <c r="FRG37" s="292"/>
      <c r="FRH37" s="292"/>
      <c r="FRI37" s="292"/>
      <c r="FRJ37" s="292"/>
      <c r="FRK37" s="292"/>
      <c r="FRL37" s="292"/>
      <c r="FRM37" s="292"/>
      <c r="FRN37" s="292"/>
      <c r="FRO37" s="292"/>
      <c r="FRP37" s="292"/>
      <c r="FRQ37" s="292"/>
      <c r="FRR37" s="292"/>
      <c r="FRS37" s="292"/>
      <c r="FRT37" s="292"/>
      <c r="FRU37" s="292"/>
      <c r="FRV37" s="292"/>
      <c r="FRW37" s="292"/>
      <c r="FRX37" s="292"/>
      <c r="FRY37" s="292"/>
      <c r="FRZ37" s="292"/>
      <c r="FSA37" s="292"/>
      <c r="FSB37" s="292"/>
      <c r="FSC37" s="292"/>
      <c r="FSD37" s="292"/>
      <c r="FSE37" s="292"/>
      <c r="FSF37" s="292"/>
      <c r="FSG37" s="292"/>
      <c r="FSH37" s="292"/>
      <c r="FSI37" s="292"/>
      <c r="FSJ37" s="292"/>
      <c r="FSK37" s="292"/>
      <c r="FSL37" s="292"/>
      <c r="FSM37" s="292"/>
      <c r="FSN37" s="292"/>
      <c r="FSO37" s="292"/>
      <c r="FSP37" s="292"/>
      <c r="FSQ37" s="292"/>
      <c r="FSR37" s="292"/>
      <c r="FSS37" s="292"/>
      <c r="FST37" s="292"/>
      <c r="FSU37" s="292"/>
      <c r="FSV37" s="292"/>
      <c r="FSW37" s="292"/>
      <c r="FSX37" s="292"/>
      <c r="FSY37" s="292"/>
      <c r="FSZ37" s="292"/>
      <c r="FTA37" s="292"/>
      <c r="FTB37" s="292"/>
      <c r="FTC37" s="292"/>
      <c r="FTD37" s="292"/>
      <c r="FTE37" s="292"/>
      <c r="FTF37" s="292"/>
      <c r="FTG37" s="292"/>
      <c r="FTH37" s="292"/>
      <c r="FTI37" s="292"/>
      <c r="FTJ37" s="292"/>
      <c r="FTK37" s="292"/>
      <c r="FTL37" s="292"/>
      <c r="FTM37" s="292"/>
      <c r="FTN37" s="292"/>
      <c r="FTO37" s="292"/>
      <c r="FTP37" s="292"/>
      <c r="FTQ37" s="292"/>
      <c r="FTR37" s="292"/>
      <c r="FTS37" s="292"/>
      <c r="FTT37" s="292"/>
      <c r="FTU37" s="292"/>
      <c r="FTV37" s="292"/>
      <c r="FTW37" s="292"/>
      <c r="FTX37" s="292"/>
      <c r="FTY37" s="292"/>
      <c r="FTZ37" s="292"/>
      <c r="FUA37" s="292"/>
      <c r="FUB37" s="292"/>
      <c r="FUC37" s="292"/>
      <c r="FUD37" s="292"/>
      <c r="FUE37" s="292"/>
      <c r="FUF37" s="292"/>
      <c r="FUG37" s="292"/>
      <c r="FUH37" s="292"/>
      <c r="FUI37" s="292"/>
      <c r="FUJ37" s="292"/>
      <c r="FUK37" s="292"/>
      <c r="FUL37" s="292"/>
      <c r="FUM37" s="292"/>
      <c r="FUN37" s="292"/>
      <c r="FUO37" s="292"/>
      <c r="FUP37" s="292"/>
      <c r="FUQ37" s="292"/>
      <c r="FUR37" s="292"/>
      <c r="FUS37" s="292"/>
      <c r="FUT37" s="292"/>
      <c r="FUU37" s="292"/>
      <c r="FUV37" s="292"/>
      <c r="FUW37" s="292"/>
      <c r="FUX37" s="292"/>
      <c r="FUY37" s="292"/>
      <c r="FUZ37" s="292"/>
      <c r="FVA37" s="292"/>
      <c r="FVB37" s="292"/>
      <c r="FVC37" s="292"/>
      <c r="FVD37" s="292"/>
      <c r="FVE37" s="292"/>
      <c r="FVF37" s="292"/>
      <c r="FVG37" s="292"/>
      <c r="FVH37" s="292"/>
      <c r="FVI37" s="292"/>
      <c r="FVJ37" s="292"/>
      <c r="FVK37" s="292"/>
      <c r="FVL37" s="292"/>
      <c r="FVM37" s="292"/>
      <c r="FVN37" s="292"/>
      <c r="FVO37" s="292"/>
      <c r="FVP37" s="292"/>
      <c r="FVQ37" s="292"/>
      <c r="FVR37" s="292"/>
      <c r="FVS37" s="292"/>
      <c r="FVT37" s="292"/>
      <c r="FVU37" s="292"/>
      <c r="FVV37" s="292"/>
      <c r="FVW37" s="292"/>
      <c r="FVX37" s="292"/>
      <c r="FVY37" s="292"/>
      <c r="FVZ37" s="292"/>
      <c r="FWA37" s="292"/>
      <c r="FWB37" s="292"/>
      <c r="FWC37" s="292"/>
      <c r="FWD37" s="292"/>
      <c r="FWE37" s="292"/>
      <c r="FWF37" s="292"/>
      <c r="FWG37" s="292"/>
      <c r="FWH37" s="292"/>
      <c r="FWI37" s="292"/>
      <c r="FWJ37" s="292"/>
      <c r="FWK37" s="292"/>
      <c r="FWL37" s="292"/>
      <c r="FWM37" s="292"/>
      <c r="FWN37" s="292"/>
      <c r="FWO37" s="292"/>
      <c r="FWP37" s="292"/>
      <c r="FWQ37" s="292"/>
      <c r="FWR37" s="292"/>
      <c r="FWS37" s="292"/>
      <c r="FWT37" s="292"/>
      <c r="FWU37" s="292"/>
      <c r="FWV37" s="292"/>
      <c r="FWW37" s="292"/>
      <c r="FWX37" s="292"/>
      <c r="FWY37" s="292"/>
      <c r="FWZ37" s="292"/>
      <c r="FXA37" s="292"/>
      <c r="FXB37" s="292"/>
      <c r="FXC37" s="292"/>
      <c r="FXD37" s="292"/>
      <c r="FXE37" s="292"/>
      <c r="FXF37" s="292"/>
      <c r="FXG37" s="292"/>
      <c r="FXH37" s="292"/>
      <c r="FXI37" s="292"/>
      <c r="FXJ37" s="292"/>
      <c r="FXK37" s="292"/>
      <c r="FXL37" s="292"/>
      <c r="FXM37" s="292"/>
      <c r="FXN37" s="292"/>
      <c r="FXO37" s="292"/>
      <c r="FXP37" s="292"/>
      <c r="FXQ37" s="292"/>
      <c r="FXR37" s="292"/>
      <c r="FXS37" s="292"/>
      <c r="FXT37" s="292"/>
      <c r="FXU37" s="292"/>
      <c r="FXV37" s="292"/>
      <c r="FXW37" s="292"/>
      <c r="FXX37" s="292"/>
      <c r="FXY37" s="292"/>
      <c r="FXZ37" s="292"/>
      <c r="FYA37" s="292"/>
      <c r="FYB37" s="292"/>
      <c r="FYC37" s="292"/>
      <c r="FYD37" s="292"/>
      <c r="FYE37" s="292"/>
      <c r="FYF37" s="292"/>
      <c r="FYG37" s="292"/>
      <c r="FYH37" s="292"/>
      <c r="FYI37" s="292"/>
      <c r="FYJ37" s="292"/>
      <c r="FYK37" s="292"/>
      <c r="FYL37" s="292"/>
      <c r="FYM37" s="292"/>
      <c r="FYN37" s="292"/>
      <c r="FYO37" s="292"/>
      <c r="FYP37" s="292"/>
      <c r="FYQ37" s="292"/>
      <c r="FYR37" s="292"/>
      <c r="FYS37" s="292"/>
      <c r="FYT37" s="292"/>
      <c r="FYU37" s="292"/>
      <c r="FYV37" s="292"/>
      <c r="FYW37" s="292"/>
      <c r="FYX37" s="292"/>
      <c r="FYY37" s="292"/>
      <c r="FYZ37" s="292"/>
      <c r="FZA37" s="292"/>
      <c r="FZB37" s="292"/>
      <c r="FZC37" s="292"/>
      <c r="FZD37" s="292"/>
      <c r="FZE37" s="292"/>
      <c r="FZF37" s="292"/>
      <c r="FZG37" s="292"/>
      <c r="FZH37" s="292"/>
      <c r="FZI37" s="292"/>
      <c r="FZJ37" s="292"/>
      <c r="FZK37" s="292"/>
      <c r="FZL37" s="292"/>
      <c r="FZM37" s="292"/>
      <c r="FZN37" s="292"/>
      <c r="FZO37" s="292"/>
      <c r="FZP37" s="292"/>
      <c r="FZQ37" s="292"/>
      <c r="FZR37" s="292"/>
      <c r="FZS37" s="292"/>
      <c r="FZT37" s="292"/>
      <c r="FZU37" s="292"/>
      <c r="FZV37" s="292"/>
      <c r="FZW37" s="292"/>
      <c r="FZX37" s="292"/>
      <c r="FZY37" s="292"/>
      <c r="FZZ37" s="292"/>
      <c r="GAA37" s="292"/>
      <c r="GAB37" s="292"/>
      <c r="GAC37" s="292"/>
      <c r="GAD37" s="292"/>
      <c r="GAE37" s="292"/>
      <c r="GAF37" s="292"/>
      <c r="GAG37" s="292"/>
      <c r="GAH37" s="292"/>
      <c r="GAI37" s="292"/>
      <c r="GAJ37" s="292"/>
      <c r="GAK37" s="292"/>
      <c r="GAL37" s="292"/>
      <c r="GAM37" s="292"/>
      <c r="GAN37" s="292"/>
      <c r="GAO37" s="292"/>
      <c r="GAP37" s="292"/>
      <c r="GAQ37" s="292"/>
      <c r="GAR37" s="292"/>
      <c r="GAS37" s="292"/>
      <c r="GAT37" s="292"/>
      <c r="GAU37" s="292"/>
      <c r="GAV37" s="292"/>
      <c r="GAW37" s="292"/>
      <c r="GAX37" s="292"/>
      <c r="GAY37" s="292"/>
      <c r="GAZ37" s="292"/>
      <c r="GBA37" s="292"/>
      <c r="GBB37" s="292"/>
      <c r="GBC37" s="292"/>
      <c r="GBD37" s="292"/>
      <c r="GBE37" s="292"/>
      <c r="GBF37" s="292"/>
      <c r="GBG37" s="292"/>
      <c r="GBH37" s="292"/>
      <c r="GBI37" s="292"/>
      <c r="GBJ37" s="292"/>
      <c r="GBK37" s="292"/>
      <c r="GBL37" s="292"/>
      <c r="GBM37" s="292"/>
      <c r="GBN37" s="292"/>
      <c r="GBO37" s="292"/>
      <c r="GBP37" s="292"/>
      <c r="GBQ37" s="292"/>
      <c r="GBR37" s="292"/>
      <c r="GBS37" s="292"/>
      <c r="GBT37" s="292"/>
      <c r="GBU37" s="292"/>
      <c r="GBV37" s="292"/>
      <c r="GBW37" s="292"/>
      <c r="GBX37" s="292"/>
      <c r="GBY37" s="292"/>
      <c r="GBZ37" s="292"/>
      <c r="GCA37" s="292"/>
      <c r="GCB37" s="292"/>
      <c r="GCC37" s="292"/>
      <c r="GCD37" s="292"/>
      <c r="GCE37" s="292"/>
      <c r="GCF37" s="292"/>
      <c r="GCG37" s="292"/>
      <c r="GCH37" s="292"/>
      <c r="GCI37" s="292"/>
      <c r="GCJ37" s="292"/>
      <c r="GCK37" s="292"/>
      <c r="GCL37" s="292"/>
      <c r="GCM37" s="292"/>
      <c r="GCN37" s="292"/>
      <c r="GCO37" s="292"/>
      <c r="GCP37" s="292"/>
      <c r="GCQ37" s="292"/>
      <c r="GCR37" s="292"/>
      <c r="GCS37" s="292"/>
      <c r="GCT37" s="292"/>
      <c r="GCU37" s="292"/>
      <c r="GCV37" s="292"/>
      <c r="GCW37" s="292"/>
      <c r="GCX37" s="292"/>
      <c r="GCY37" s="292"/>
      <c r="GCZ37" s="292"/>
      <c r="GDA37" s="292"/>
      <c r="GDB37" s="292"/>
      <c r="GDC37" s="292"/>
      <c r="GDD37" s="292"/>
      <c r="GDE37" s="292"/>
      <c r="GDF37" s="292"/>
      <c r="GDG37" s="292"/>
      <c r="GDH37" s="292"/>
      <c r="GDI37" s="292"/>
      <c r="GDJ37" s="292"/>
      <c r="GDK37" s="292"/>
      <c r="GDL37" s="292"/>
      <c r="GDM37" s="292"/>
      <c r="GDN37" s="292"/>
      <c r="GDO37" s="292"/>
      <c r="GDP37" s="292"/>
      <c r="GDQ37" s="292"/>
      <c r="GDR37" s="292"/>
      <c r="GDS37" s="292"/>
      <c r="GDT37" s="292"/>
      <c r="GDU37" s="292"/>
      <c r="GDV37" s="292"/>
      <c r="GDW37" s="292"/>
      <c r="GDX37" s="292"/>
      <c r="GDY37" s="292"/>
      <c r="GDZ37" s="292"/>
      <c r="GEA37" s="292"/>
      <c r="GEB37" s="292"/>
      <c r="GEC37" s="292"/>
      <c r="GED37" s="292"/>
      <c r="GEE37" s="292"/>
      <c r="GEF37" s="292"/>
      <c r="GEG37" s="292"/>
      <c r="GEH37" s="292"/>
      <c r="GEI37" s="292"/>
      <c r="GEJ37" s="292"/>
      <c r="GEK37" s="292"/>
      <c r="GEL37" s="292"/>
      <c r="GEM37" s="292"/>
      <c r="GEN37" s="292"/>
      <c r="GEO37" s="292"/>
      <c r="GEP37" s="292"/>
      <c r="GEQ37" s="292"/>
      <c r="GER37" s="292"/>
      <c r="GES37" s="292"/>
      <c r="GET37" s="292"/>
      <c r="GEU37" s="292"/>
      <c r="GEV37" s="292"/>
      <c r="GEW37" s="292"/>
      <c r="GEX37" s="292"/>
      <c r="GEY37" s="292"/>
      <c r="GEZ37" s="292"/>
      <c r="GFA37" s="292"/>
      <c r="GFB37" s="292"/>
      <c r="GFC37" s="292"/>
      <c r="GFD37" s="292"/>
      <c r="GFE37" s="292"/>
      <c r="GFF37" s="292"/>
      <c r="GFG37" s="292"/>
      <c r="GFH37" s="292"/>
      <c r="GFI37" s="292"/>
      <c r="GFJ37" s="292"/>
      <c r="GFK37" s="292"/>
      <c r="GFL37" s="292"/>
      <c r="GFM37" s="292"/>
      <c r="GFN37" s="292"/>
      <c r="GFO37" s="292"/>
      <c r="GFP37" s="292"/>
      <c r="GFQ37" s="292"/>
      <c r="GFR37" s="292"/>
      <c r="GFS37" s="292"/>
      <c r="GFT37" s="292"/>
      <c r="GFU37" s="292"/>
      <c r="GFV37" s="292"/>
      <c r="GFW37" s="292"/>
      <c r="GFX37" s="292"/>
      <c r="GFY37" s="292"/>
      <c r="GFZ37" s="292"/>
      <c r="GGA37" s="292"/>
      <c r="GGB37" s="292"/>
      <c r="GGC37" s="292"/>
      <c r="GGD37" s="292"/>
      <c r="GGE37" s="292"/>
      <c r="GGF37" s="292"/>
      <c r="GGG37" s="292"/>
      <c r="GGH37" s="292"/>
      <c r="GGI37" s="292"/>
      <c r="GGJ37" s="292"/>
      <c r="GGK37" s="292"/>
      <c r="GGL37" s="292"/>
      <c r="GGM37" s="292"/>
      <c r="GGN37" s="292"/>
      <c r="GGO37" s="292"/>
      <c r="GGP37" s="292"/>
      <c r="GGQ37" s="292"/>
      <c r="GGR37" s="292"/>
      <c r="GGS37" s="292"/>
      <c r="GGT37" s="292"/>
      <c r="GGU37" s="292"/>
      <c r="GGV37" s="292"/>
      <c r="GGW37" s="292"/>
      <c r="GGX37" s="292"/>
      <c r="GGY37" s="292"/>
      <c r="GGZ37" s="292"/>
      <c r="GHA37" s="292"/>
      <c r="GHB37" s="292"/>
      <c r="GHC37" s="292"/>
      <c r="GHD37" s="292"/>
      <c r="GHE37" s="292"/>
      <c r="GHF37" s="292"/>
      <c r="GHG37" s="292"/>
      <c r="GHH37" s="292"/>
      <c r="GHI37" s="292"/>
      <c r="GHJ37" s="292"/>
      <c r="GHK37" s="292"/>
      <c r="GHL37" s="292"/>
      <c r="GHM37" s="292"/>
      <c r="GHN37" s="292"/>
      <c r="GHO37" s="292"/>
      <c r="GHP37" s="292"/>
      <c r="GHQ37" s="292"/>
      <c r="GHR37" s="292"/>
      <c r="GHS37" s="292"/>
      <c r="GHT37" s="292"/>
      <c r="GHU37" s="292"/>
      <c r="GHV37" s="292"/>
      <c r="GHW37" s="292"/>
      <c r="GHX37" s="292"/>
      <c r="GHY37" s="292"/>
      <c r="GHZ37" s="292"/>
      <c r="GIA37" s="292"/>
      <c r="GIB37" s="292"/>
      <c r="GIC37" s="292"/>
      <c r="GID37" s="292"/>
      <c r="GIE37" s="292"/>
      <c r="GIF37" s="292"/>
      <c r="GIG37" s="292"/>
      <c r="GIH37" s="292"/>
      <c r="GII37" s="292"/>
      <c r="GIJ37" s="292"/>
      <c r="GIK37" s="292"/>
      <c r="GIL37" s="292"/>
      <c r="GIM37" s="292"/>
      <c r="GIN37" s="292"/>
      <c r="GIO37" s="292"/>
      <c r="GIP37" s="292"/>
      <c r="GIQ37" s="292"/>
      <c r="GIR37" s="292"/>
      <c r="GIS37" s="292"/>
      <c r="GIT37" s="292"/>
      <c r="GIU37" s="292"/>
      <c r="GIV37" s="292"/>
      <c r="GIW37" s="292"/>
      <c r="GIX37" s="292"/>
      <c r="GIY37" s="292"/>
      <c r="GIZ37" s="292"/>
      <c r="GJA37" s="292"/>
      <c r="GJB37" s="292"/>
      <c r="GJC37" s="292"/>
      <c r="GJD37" s="292"/>
      <c r="GJE37" s="292"/>
      <c r="GJF37" s="292"/>
      <c r="GJG37" s="292"/>
      <c r="GJH37" s="292"/>
      <c r="GJI37" s="292"/>
      <c r="GJJ37" s="292"/>
      <c r="GJK37" s="292"/>
      <c r="GJL37" s="292"/>
      <c r="GJM37" s="292"/>
      <c r="GJN37" s="292"/>
      <c r="GJO37" s="292"/>
      <c r="GJP37" s="292"/>
      <c r="GJQ37" s="292"/>
      <c r="GJR37" s="292"/>
      <c r="GJS37" s="292"/>
      <c r="GJT37" s="292"/>
      <c r="GJU37" s="292"/>
      <c r="GJV37" s="292"/>
      <c r="GJW37" s="292"/>
      <c r="GJX37" s="292"/>
      <c r="GJY37" s="292"/>
      <c r="GJZ37" s="292"/>
      <c r="GKA37" s="292"/>
      <c r="GKB37" s="292"/>
      <c r="GKC37" s="292"/>
      <c r="GKD37" s="292"/>
      <c r="GKE37" s="292"/>
      <c r="GKF37" s="292"/>
      <c r="GKG37" s="292"/>
      <c r="GKH37" s="292"/>
      <c r="GKI37" s="292"/>
      <c r="GKJ37" s="292"/>
      <c r="GKK37" s="292"/>
      <c r="GKL37" s="292"/>
      <c r="GKM37" s="292"/>
      <c r="GKN37" s="292"/>
      <c r="GKO37" s="292"/>
      <c r="GKP37" s="292"/>
      <c r="GKQ37" s="292"/>
      <c r="GKR37" s="292"/>
      <c r="GKS37" s="292"/>
      <c r="GKT37" s="292"/>
      <c r="GKU37" s="292"/>
      <c r="GKV37" s="292"/>
      <c r="GKW37" s="292"/>
      <c r="GKX37" s="292"/>
      <c r="GKY37" s="292"/>
      <c r="GKZ37" s="292"/>
      <c r="GLA37" s="292"/>
      <c r="GLB37" s="292"/>
      <c r="GLC37" s="292"/>
      <c r="GLD37" s="292"/>
      <c r="GLE37" s="292"/>
      <c r="GLF37" s="292"/>
      <c r="GLG37" s="292"/>
      <c r="GLH37" s="292"/>
      <c r="GLI37" s="292"/>
      <c r="GLJ37" s="292"/>
      <c r="GLK37" s="292"/>
      <c r="GLL37" s="292"/>
      <c r="GLM37" s="292"/>
      <c r="GLN37" s="292"/>
      <c r="GLO37" s="292"/>
      <c r="GLP37" s="292"/>
      <c r="GLQ37" s="292"/>
      <c r="GLR37" s="292"/>
      <c r="GLS37" s="292"/>
      <c r="GLT37" s="292"/>
      <c r="GLU37" s="292"/>
      <c r="GLV37" s="292"/>
      <c r="GLW37" s="292"/>
      <c r="GLX37" s="292"/>
      <c r="GLY37" s="292"/>
      <c r="GLZ37" s="292"/>
      <c r="GMA37" s="292"/>
      <c r="GMB37" s="292"/>
      <c r="GMC37" s="292"/>
      <c r="GMD37" s="292"/>
      <c r="GME37" s="292"/>
      <c r="GMF37" s="292"/>
      <c r="GMG37" s="292"/>
      <c r="GMH37" s="292"/>
      <c r="GMI37" s="292"/>
      <c r="GMJ37" s="292"/>
      <c r="GMK37" s="292"/>
      <c r="GML37" s="292"/>
      <c r="GMM37" s="292"/>
      <c r="GMN37" s="292"/>
      <c r="GMO37" s="292"/>
      <c r="GMP37" s="292"/>
      <c r="GMQ37" s="292"/>
      <c r="GMR37" s="292"/>
      <c r="GMS37" s="292"/>
      <c r="GMT37" s="292"/>
      <c r="GMU37" s="292"/>
      <c r="GMV37" s="292"/>
      <c r="GMW37" s="292"/>
      <c r="GMX37" s="292"/>
      <c r="GMY37" s="292"/>
      <c r="GMZ37" s="292"/>
      <c r="GNA37" s="292"/>
      <c r="GNB37" s="292"/>
      <c r="GNC37" s="292"/>
      <c r="GND37" s="292"/>
      <c r="GNE37" s="292"/>
      <c r="GNF37" s="292"/>
      <c r="GNG37" s="292"/>
      <c r="GNH37" s="292"/>
      <c r="GNI37" s="292"/>
      <c r="GNJ37" s="292"/>
      <c r="GNK37" s="292"/>
      <c r="GNL37" s="292"/>
      <c r="GNM37" s="292"/>
      <c r="GNN37" s="292"/>
      <c r="GNO37" s="292"/>
      <c r="GNP37" s="292"/>
      <c r="GNQ37" s="292"/>
      <c r="GNR37" s="292"/>
      <c r="GNS37" s="292"/>
      <c r="GNT37" s="292"/>
      <c r="GNU37" s="292"/>
      <c r="GNV37" s="292"/>
      <c r="GNW37" s="292"/>
      <c r="GNX37" s="292"/>
      <c r="GNY37" s="292"/>
      <c r="GNZ37" s="292"/>
      <c r="GOA37" s="292"/>
      <c r="GOB37" s="292"/>
      <c r="GOC37" s="292"/>
      <c r="GOD37" s="292"/>
      <c r="GOE37" s="292"/>
      <c r="GOF37" s="292"/>
      <c r="GOG37" s="292"/>
      <c r="GOH37" s="292"/>
      <c r="GOI37" s="292"/>
      <c r="GOJ37" s="292"/>
      <c r="GOK37" s="292"/>
      <c r="GOL37" s="292"/>
      <c r="GOM37" s="292"/>
      <c r="GON37" s="292"/>
      <c r="GOO37" s="292"/>
      <c r="GOP37" s="292"/>
      <c r="GOQ37" s="292"/>
      <c r="GOR37" s="292"/>
      <c r="GOS37" s="292"/>
      <c r="GOT37" s="292"/>
      <c r="GOU37" s="292"/>
      <c r="GOV37" s="292"/>
      <c r="GOW37" s="292"/>
      <c r="GOX37" s="292"/>
      <c r="GOY37" s="292"/>
      <c r="GOZ37" s="292"/>
      <c r="GPA37" s="292"/>
      <c r="GPB37" s="292"/>
      <c r="GPC37" s="292"/>
      <c r="GPD37" s="292"/>
      <c r="GPE37" s="292"/>
      <c r="GPF37" s="292"/>
      <c r="GPG37" s="292"/>
      <c r="GPH37" s="292"/>
      <c r="GPI37" s="292"/>
      <c r="GPJ37" s="292"/>
      <c r="GPK37" s="292"/>
      <c r="GPL37" s="292"/>
      <c r="GPM37" s="292"/>
      <c r="GPN37" s="292"/>
      <c r="GPO37" s="292"/>
      <c r="GPP37" s="292"/>
      <c r="GPQ37" s="292"/>
      <c r="GPR37" s="292"/>
      <c r="GPS37" s="292"/>
      <c r="GPT37" s="292"/>
      <c r="GPU37" s="292"/>
      <c r="GPV37" s="292"/>
      <c r="GPW37" s="292"/>
      <c r="GPX37" s="292"/>
      <c r="GPY37" s="292"/>
      <c r="GPZ37" s="292"/>
      <c r="GQA37" s="292"/>
      <c r="GQB37" s="292"/>
      <c r="GQC37" s="292"/>
      <c r="GQD37" s="292"/>
      <c r="GQE37" s="292"/>
      <c r="GQF37" s="292"/>
      <c r="GQG37" s="292"/>
      <c r="GQH37" s="292"/>
      <c r="GQI37" s="292"/>
      <c r="GQJ37" s="292"/>
      <c r="GQK37" s="292"/>
      <c r="GQL37" s="292"/>
      <c r="GQM37" s="292"/>
      <c r="GQN37" s="292"/>
      <c r="GQO37" s="292"/>
      <c r="GQP37" s="292"/>
      <c r="GQQ37" s="292"/>
      <c r="GQR37" s="292"/>
      <c r="GQS37" s="292"/>
      <c r="GQT37" s="292"/>
      <c r="GQU37" s="292"/>
      <c r="GQV37" s="292"/>
      <c r="GQW37" s="292"/>
      <c r="GQX37" s="292"/>
      <c r="GQY37" s="292"/>
      <c r="GQZ37" s="292"/>
      <c r="GRA37" s="292"/>
      <c r="GRB37" s="292"/>
      <c r="GRC37" s="292"/>
      <c r="GRD37" s="292"/>
      <c r="GRE37" s="292"/>
      <c r="GRF37" s="292"/>
      <c r="GRG37" s="292"/>
      <c r="GRH37" s="292"/>
      <c r="GRI37" s="292"/>
      <c r="GRJ37" s="292"/>
      <c r="GRK37" s="292"/>
      <c r="GRL37" s="292"/>
      <c r="GRM37" s="292"/>
      <c r="GRN37" s="292"/>
      <c r="GRO37" s="292"/>
      <c r="GRP37" s="292"/>
      <c r="GRQ37" s="292"/>
      <c r="GRR37" s="292"/>
      <c r="GRS37" s="292"/>
      <c r="GRT37" s="292"/>
      <c r="GRU37" s="292"/>
      <c r="GRV37" s="292"/>
      <c r="GRW37" s="292"/>
      <c r="GRX37" s="292"/>
      <c r="GRY37" s="292"/>
      <c r="GRZ37" s="292"/>
      <c r="GSA37" s="292"/>
      <c r="GSB37" s="292"/>
      <c r="GSC37" s="292"/>
      <c r="GSD37" s="292"/>
      <c r="GSE37" s="292"/>
      <c r="GSF37" s="292"/>
      <c r="GSG37" s="292"/>
      <c r="GSH37" s="292"/>
      <c r="GSI37" s="292"/>
      <c r="GSJ37" s="292"/>
      <c r="GSK37" s="292"/>
      <c r="GSL37" s="292"/>
      <c r="GSM37" s="292"/>
      <c r="GSN37" s="292"/>
      <c r="GSO37" s="292"/>
      <c r="GSP37" s="292"/>
      <c r="GSQ37" s="292"/>
      <c r="GSR37" s="292"/>
      <c r="GSS37" s="292"/>
      <c r="GST37" s="292"/>
      <c r="GSU37" s="292"/>
      <c r="GSV37" s="292"/>
      <c r="GSW37" s="292"/>
      <c r="GSX37" s="292"/>
      <c r="GSY37" s="292"/>
      <c r="GSZ37" s="292"/>
      <c r="GTA37" s="292"/>
      <c r="GTB37" s="292"/>
      <c r="GTC37" s="292"/>
      <c r="GTD37" s="292"/>
      <c r="GTE37" s="292"/>
      <c r="GTF37" s="292"/>
      <c r="GTG37" s="292"/>
      <c r="GTH37" s="292"/>
      <c r="GTI37" s="292"/>
      <c r="GTJ37" s="292"/>
      <c r="GTK37" s="292"/>
      <c r="GTL37" s="292"/>
      <c r="GTM37" s="292"/>
      <c r="GTN37" s="292"/>
      <c r="GTO37" s="292"/>
      <c r="GTP37" s="292"/>
      <c r="GTQ37" s="292"/>
      <c r="GTR37" s="292"/>
      <c r="GTS37" s="292"/>
      <c r="GTT37" s="292"/>
      <c r="GTU37" s="292"/>
      <c r="GTV37" s="292"/>
      <c r="GTW37" s="292"/>
      <c r="GTX37" s="292"/>
      <c r="GTY37" s="292"/>
      <c r="GTZ37" s="292"/>
      <c r="GUA37" s="292"/>
      <c r="GUB37" s="292"/>
      <c r="GUC37" s="292"/>
      <c r="GUD37" s="292"/>
      <c r="GUE37" s="292"/>
      <c r="GUF37" s="292"/>
      <c r="GUG37" s="292"/>
      <c r="GUH37" s="292"/>
      <c r="GUI37" s="292"/>
      <c r="GUJ37" s="292"/>
      <c r="GUK37" s="292"/>
      <c r="GUL37" s="292"/>
      <c r="GUM37" s="292"/>
      <c r="GUN37" s="292"/>
      <c r="GUO37" s="292"/>
      <c r="GUP37" s="292"/>
      <c r="GUQ37" s="292"/>
      <c r="GUR37" s="292"/>
      <c r="GUS37" s="292"/>
      <c r="GUT37" s="292"/>
      <c r="GUU37" s="292"/>
      <c r="GUV37" s="292"/>
      <c r="GUW37" s="292"/>
      <c r="GUX37" s="292"/>
      <c r="GUY37" s="292"/>
      <c r="GUZ37" s="292"/>
      <c r="GVA37" s="292"/>
      <c r="GVB37" s="292"/>
      <c r="GVC37" s="292"/>
      <c r="GVD37" s="292"/>
      <c r="GVE37" s="292"/>
      <c r="GVF37" s="292"/>
      <c r="GVG37" s="292"/>
      <c r="GVH37" s="292"/>
      <c r="GVI37" s="292"/>
      <c r="GVJ37" s="292"/>
      <c r="GVK37" s="292"/>
      <c r="GVL37" s="292"/>
      <c r="GVM37" s="292"/>
      <c r="GVN37" s="292"/>
      <c r="GVO37" s="292"/>
      <c r="GVP37" s="292"/>
      <c r="GVQ37" s="292"/>
      <c r="GVR37" s="292"/>
      <c r="GVS37" s="292"/>
      <c r="GVT37" s="292"/>
      <c r="GVU37" s="292"/>
      <c r="GVV37" s="292"/>
      <c r="GVW37" s="292"/>
      <c r="GVX37" s="292"/>
      <c r="GVY37" s="292"/>
      <c r="GVZ37" s="292"/>
      <c r="GWA37" s="292"/>
      <c r="GWB37" s="292"/>
      <c r="GWC37" s="292"/>
      <c r="GWD37" s="292"/>
      <c r="GWE37" s="292"/>
      <c r="GWF37" s="292"/>
      <c r="GWG37" s="292"/>
      <c r="GWH37" s="292"/>
      <c r="GWI37" s="292"/>
      <c r="GWJ37" s="292"/>
      <c r="GWK37" s="292"/>
      <c r="GWL37" s="292"/>
      <c r="GWM37" s="292"/>
      <c r="GWN37" s="292"/>
      <c r="GWO37" s="292"/>
      <c r="GWP37" s="292"/>
      <c r="GWQ37" s="292"/>
      <c r="GWR37" s="292"/>
      <c r="GWS37" s="292"/>
      <c r="GWT37" s="292"/>
      <c r="GWU37" s="292"/>
      <c r="GWV37" s="292"/>
      <c r="GWW37" s="292"/>
      <c r="GWX37" s="292"/>
      <c r="GWY37" s="292"/>
      <c r="GWZ37" s="292"/>
      <c r="GXA37" s="292"/>
      <c r="GXB37" s="292"/>
      <c r="GXC37" s="292"/>
      <c r="GXD37" s="292"/>
      <c r="GXE37" s="292"/>
      <c r="GXF37" s="292"/>
      <c r="GXG37" s="292"/>
      <c r="GXH37" s="292"/>
      <c r="GXI37" s="292"/>
      <c r="GXJ37" s="292"/>
      <c r="GXK37" s="292"/>
      <c r="GXL37" s="292"/>
      <c r="GXM37" s="292"/>
      <c r="GXN37" s="292"/>
      <c r="GXO37" s="292"/>
      <c r="GXP37" s="292"/>
      <c r="GXQ37" s="292"/>
      <c r="GXR37" s="292"/>
      <c r="GXS37" s="292"/>
      <c r="GXT37" s="292"/>
      <c r="GXU37" s="292"/>
      <c r="GXV37" s="292"/>
      <c r="GXW37" s="292"/>
      <c r="GXX37" s="292"/>
      <c r="GXY37" s="292"/>
      <c r="GXZ37" s="292"/>
      <c r="GYA37" s="292"/>
      <c r="GYB37" s="292"/>
      <c r="GYC37" s="292"/>
      <c r="GYD37" s="292"/>
      <c r="GYE37" s="292"/>
      <c r="GYF37" s="292"/>
      <c r="GYG37" s="292"/>
      <c r="GYH37" s="292"/>
      <c r="GYI37" s="292"/>
      <c r="GYJ37" s="292"/>
      <c r="GYK37" s="292"/>
      <c r="GYL37" s="292"/>
      <c r="GYM37" s="292"/>
      <c r="GYN37" s="292"/>
      <c r="GYO37" s="292"/>
      <c r="GYP37" s="292"/>
      <c r="GYQ37" s="292"/>
      <c r="GYR37" s="292"/>
      <c r="GYS37" s="292"/>
      <c r="GYT37" s="292"/>
      <c r="GYU37" s="292"/>
      <c r="GYV37" s="292"/>
      <c r="GYW37" s="292"/>
      <c r="GYX37" s="292"/>
      <c r="GYY37" s="292"/>
      <c r="GYZ37" s="292"/>
      <c r="GZA37" s="292"/>
      <c r="GZB37" s="292"/>
      <c r="GZC37" s="292"/>
      <c r="GZD37" s="292"/>
      <c r="GZE37" s="292"/>
      <c r="GZF37" s="292"/>
      <c r="GZG37" s="292"/>
      <c r="GZH37" s="292"/>
      <c r="GZI37" s="292"/>
      <c r="GZJ37" s="292"/>
      <c r="GZK37" s="292"/>
      <c r="GZL37" s="292"/>
      <c r="GZM37" s="292"/>
      <c r="GZN37" s="292"/>
      <c r="GZO37" s="292"/>
      <c r="GZP37" s="292"/>
      <c r="GZQ37" s="292"/>
      <c r="GZR37" s="292"/>
      <c r="GZS37" s="292"/>
      <c r="GZT37" s="292"/>
      <c r="GZU37" s="292"/>
      <c r="GZV37" s="292"/>
      <c r="GZW37" s="292"/>
      <c r="GZX37" s="292"/>
      <c r="GZY37" s="292"/>
      <c r="GZZ37" s="292"/>
      <c r="HAA37" s="292"/>
      <c r="HAB37" s="292"/>
      <c r="HAC37" s="292"/>
      <c r="HAD37" s="292"/>
      <c r="HAE37" s="292"/>
      <c r="HAF37" s="292"/>
      <c r="HAG37" s="292"/>
      <c r="HAH37" s="292"/>
      <c r="HAI37" s="292"/>
      <c r="HAJ37" s="292"/>
      <c r="HAK37" s="292"/>
      <c r="HAL37" s="292"/>
      <c r="HAM37" s="292"/>
      <c r="HAN37" s="292"/>
      <c r="HAO37" s="292"/>
      <c r="HAP37" s="292"/>
      <c r="HAQ37" s="292"/>
      <c r="HAR37" s="292"/>
      <c r="HAS37" s="292"/>
      <c r="HAT37" s="292"/>
      <c r="HAU37" s="292"/>
      <c r="HAV37" s="292"/>
      <c r="HAW37" s="292"/>
      <c r="HAX37" s="292"/>
      <c r="HAY37" s="292"/>
      <c r="HAZ37" s="292"/>
      <c r="HBA37" s="292"/>
      <c r="HBB37" s="292"/>
      <c r="HBC37" s="292"/>
      <c r="HBD37" s="292"/>
      <c r="HBE37" s="292"/>
      <c r="HBF37" s="292"/>
      <c r="HBG37" s="292"/>
      <c r="HBH37" s="292"/>
      <c r="HBI37" s="292"/>
      <c r="HBJ37" s="292"/>
      <c r="HBK37" s="292"/>
      <c r="HBL37" s="292"/>
      <c r="HBM37" s="292"/>
      <c r="HBN37" s="292"/>
      <c r="HBO37" s="292"/>
      <c r="HBP37" s="292"/>
      <c r="HBQ37" s="292"/>
      <c r="HBR37" s="292"/>
      <c r="HBS37" s="292"/>
      <c r="HBT37" s="292"/>
      <c r="HBU37" s="292"/>
      <c r="HBV37" s="292"/>
      <c r="HBW37" s="292"/>
      <c r="HBX37" s="292"/>
      <c r="HBY37" s="292"/>
      <c r="HBZ37" s="292"/>
      <c r="HCA37" s="292"/>
      <c r="HCB37" s="292"/>
      <c r="HCC37" s="292"/>
      <c r="HCD37" s="292"/>
      <c r="HCE37" s="292"/>
      <c r="HCF37" s="292"/>
      <c r="HCG37" s="292"/>
      <c r="HCH37" s="292"/>
      <c r="HCI37" s="292"/>
      <c r="HCJ37" s="292"/>
      <c r="HCK37" s="292"/>
      <c r="HCL37" s="292"/>
      <c r="HCM37" s="292"/>
      <c r="HCN37" s="292"/>
      <c r="HCO37" s="292"/>
      <c r="HCP37" s="292"/>
      <c r="HCQ37" s="292"/>
      <c r="HCR37" s="292"/>
      <c r="HCS37" s="292"/>
      <c r="HCT37" s="292"/>
      <c r="HCU37" s="292"/>
      <c r="HCV37" s="292"/>
      <c r="HCW37" s="292"/>
      <c r="HCX37" s="292"/>
      <c r="HCY37" s="292"/>
      <c r="HCZ37" s="292"/>
      <c r="HDA37" s="292"/>
      <c r="HDB37" s="292"/>
      <c r="HDC37" s="292"/>
      <c r="HDD37" s="292"/>
      <c r="HDE37" s="292"/>
      <c r="HDF37" s="292"/>
      <c r="HDG37" s="292"/>
      <c r="HDH37" s="292"/>
      <c r="HDI37" s="292"/>
      <c r="HDJ37" s="292"/>
      <c r="HDK37" s="292"/>
      <c r="HDL37" s="292"/>
      <c r="HDM37" s="292"/>
      <c r="HDN37" s="292"/>
      <c r="HDO37" s="292"/>
      <c r="HDP37" s="292"/>
      <c r="HDQ37" s="292"/>
      <c r="HDR37" s="292"/>
      <c r="HDS37" s="292"/>
      <c r="HDT37" s="292"/>
      <c r="HDU37" s="292"/>
      <c r="HDV37" s="292"/>
      <c r="HDW37" s="292"/>
      <c r="HDX37" s="292"/>
      <c r="HDY37" s="292"/>
      <c r="HDZ37" s="292"/>
      <c r="HEA37" s="292"/>
      <c r="HEB37" s="292"/>
      <c r="HEC37" s="292"/>
      <c r="HED37" s="292"/>
      <c r="HEE37" s="292"/>
      <c r="HEF37" s="292"/>
      <c r="HEG37" s="292"/>
      <c r="HEH37" s="292"/>
      <c r="HEI37" s="292"/>
      <c r="HEJ37" s="292"/>
      <c r="HEK37" s="292"/>
      <c r="HEL37" s="292"/>
      <c r="HEM37" s="292"/>
      <c r="HEN37" s="292"/>
      <c r="HEO37" s="292"/>
      <c r="HEP37" s="292"/>
      <c r="HEQ37" s="292"/>
      <c r="HER37" s="292"/>
      <c r="HES37" s="292"/>
      <c r="HET37" s="292"/>
      <c r="HEU37" s="292"/>
      <c r="HEV37" s="292"/>
      <c r="HEW37" s="292"/>
      <c r="HEX37" s="292"/>
      <c r="HEY37" s="292"/>
      <c r="HEZ37" s="292"/>
      <c r="HFA37" s="292"/>
      <c r="HFB37" s="292"/>
      <c r="HFC37" s="292"/>
      <c r="HFD37" s="292"/>
      <c r="HFE37" s="292"/>
      <c r="HFF37" s="292"/>
      <c r="HFG37" s="292"/>
      <c r="HFH37" s="292"/>
      <c r="HFI37" s="292"/>
      <c r="HFJ37" s="292"/>
      <c r="HFK37" s="292"/>
      <c r="HFL37" s="292"/>
      <c r="HFM37" s="292"/>
      <c r="HFN37" s="292"/>
      <c r="HFO37" s="292"/>
      <c r="HFP37" s="292"/>
      <c r="HFQ37" s="292"/>
      <c r="HFR37" s="292"/>
      <c r="HFS37" s="292"/>
      <c r="HFT37" s="292"/>
      <c r="HFU37" s="292"/>
      <c r="HFV37" s="292"/>
      <c r="HFW37" s="292"/>
      <c r="HFX37" s="292"/>
      <c r="HFY37" s="292"/>
      <c r="HFZ37" s="292"/>
      <c r="HGA37" s="292"/>
      <c r="HGB37" s="292"/>
      <c r="HGC37" s="292"/>
      <c r="HGD37" s="292"/>
      <c r="HGE37" s="292"/>
      <c r="HGF37" s="292"/>
      <c r="HGG37" s="292"/>
      <c r="HGH37" s="292"/>
      <c r="HGI37" s="292"/>
      <c r="HGJ37" s="292"/>
      <c r="HGK37" s="292"/>
      <c r="HGL37" s="292"/>
      <c r="HGM37" s="292"/>
      <c r="HGN37" s="292"/>
      <c r="HGO37" s="292"/>
      <c r="HGP37" s="292"/>
      <c r="HGQ37" s="292"/>
      <c r="HGR37" s="292"/>
      <c r="HGS37" s="292"/>
      <c r="HGT37" s="292"/>
      <c r="HGU37" s="292"/>
      <c r="HGV37" s="292"/>
      <c r="HGW37" s="292"/>
      <c r="HGX37" s="292"/>
      <c r="HGY37" s="292"/>
      <c r="HGZ37" s="292"/>
      <c r="HHA37" s="292"/>
      <c r="HHB37" s="292"/>
      <c r="HHC37" s="292"/>
      <c r="HHD37" s="292"/>
      <c r="HHE37" s="292"/>
      <c r="HHF37" s="292"/>
      <c r="HHG37" s="292"/>
      <c r="HHH37" s="292"/>
      <c r="HHI37" s="292"/>
      <c r="HHJ37" s="292"/>
      <c r="HHK37" s="292"/>
      <c r="HHL37" s="292"/>
      <c r="HHM37" s="292"/>
      <c r="HHN37" s="292"/>
      <c r="HHO37" s="292"/>
      <c r="HHP37" s="292"/>
      <c r="HHQ37" s="292"/>
      <c r="HHR37" s="292"/>
      <c r="HHS37" s="292"/>
      <c r="HHT37" s="292"/>
      <c r="HHU37" s="292"/>
      <c r="HHV37" s="292"/>
      <c r="HHW37" s="292"/>
      <c r="HHX37" s="292"/>
      <c r="HHY37" s="292"/>
      <c r="HHZ37" s="292"/>
      <c r="HIA37" s="292"/>
      <c r="HIB37" s="292"/>
      <c r="HIC37" s="292"/>
      <c r="HID37" s="292"/>
      <c r="HIE37" s="292"/>
      <c r="HIF37" s="292"/>
      <c r="HIG37" s="292"/>
      <c r="HIH37" s="292"/>
      <c r="HII37" s="292"/>
      <c r="HIJ37" s="292"/>
      <c r="HIK37" s="292"/>
      <c r="HIL37" s="292"/>
      <c r="HIM37" s="292"/>
      <c r="HIN37" s="292"/>
      <c r="HIO37" s="292"/>
      <c r="HIP37" s="292"/>
      <c r="HIQ37" s="292"/>
      <c r="HIR37" s="292"/>
      <c r="HIS37" s="292"/>
      <c r="HIT37" s="292"/>
      <c r="HIU37" s="292"/>
      <c r="HIV37" s="292"/>
      <c r="HIW37" s="292"/>
      <c r="HIX37" s="292"/>
      <c r="HIY37" s="292"/>
      <c r="HIZ37" s="292"/>
      <c r="HJA37" s="292"/>
      <c r="HJB37" s="292"/>
      <c r="HJC37" s="292"/>
      <c r="HJD37" s="292"/>
      <c r="HJE37" s="292"/>
      <c r="HJF37" s="292"/>
      <c r="HJG37" s="292"/>
      <c r="HJH37" s="292"/>
      <c r="HJI37" s="292"/>
      <c r="HJJ37" s="292"/>
      <c r="HJK37" s="292"/>
      <c r="HJL37" s="292"/>
      <c r="HJM37" s="292"/>
      <c r="HJN37" s="292"/>
      <c r="HJO37" s="292"/>
      <c r="HJP37" s="292"/>
      <c r="HJQ37" s="292"/>
      <c r="HJR37" s="292"/>
      <c r="HJS37" s="292"/>
      <c r="HJT37" s="292"/>
      <c r="HJU37" s="292"/>
      <c r="HJV37" s="292"/>
      <c r="HJW37" s="292"/>
      <c r="HJX37" s="292"/>
      <c r="HJY37" s="292"/>
      <c r="HJZ37" s="292"/>
      <c r="HKA37" s="292"/>
      <c r="HKB37" s="292"/>
      <c r="HKC37" s="292"/>
      <c r="HKD37" s="292"/>
      <c r="HKE37" s="292"/>
      <c r="HKF37" s="292"/>
      <c r="HKG37" s="292"/>
      <c r="HKH37" s="292"/>
      <c r="HKI37" s="292"/>
      <c r="HKJ37" s="292"/>
      <c r="HKK37" s="292"/>
      <c r="HKL37" s="292"/>
      <c r="HKM37" s="292"/>
      <c r="HKN37" s="292"/>
      <c r="HKO37" s="292"/>
      <c r="HKP37" s="292"/>
      <c r="HKQ37" s="292"/>
      <c r="HKR37" s="292"/>
      <c r="HKS37" s="292"/>
      <c r="HKT37" s="292"/>
      <c r="HKU37" s="292"/>
      <c r="HKV37" s="292"/>
      <c r="HKW37" s="292"/>
      <c r="HKX37" s="292"/>
      <c r="HKY37" s="292"/>
      <c r="HKZ37" s="292"/>
      <c r="HLA37" s="292"/>
      <c r="HLB37" s="292"/>
      <c r="HLC37" s="292"/>
      <c r="HLD37" s="292"/>
      <c r="HLE37" s="292"/>
      <c r="HLF37" s="292"/>
      <c r="HLG37" s="292"/>
      <c r="HLH37" s="292"/>
      <c r="HLI37" s="292"/>
      <c r="HLJ37" s="292"/>
      <c r="HLK37" s="292"/>
      <c r="HLL37" s="292"/>
      <c r="HLM37" s="292"/>
      <c r="HLN37" s="292"/>
      <c r="HLO37" s="292"/>
      <c r="HLP37" s="292"/>
      <c r="HLQ37" s="292"/>
      <c r="HLR37" s="292"/>
      <c r="HLS37" s="292"/>
      <c r="HLT37" s="292"/>
      <c r="HLU37" s="292"/>
      <c r="HLV37" s="292"/>
      <c r="HLW37" s="292"/>
      <c r="HLX37" s="292"/>
      <c r="HLY37" s="292"/>
      <c r="HLZ37" s="292"/>
      <c r="HMA37" s="292"/>
      <c r="HMB37" s="292"/>
      <c r="HMC37" s="292"/>
      <c r="HMD37" s="292"/>
      <c r="HME37" s="292"/>
      <c r="HMF37" s="292"/>
      <c r="HMG37" s="292"/>
      <c r="HMH37" s="292"/>
      <c r="HMI37" s="292"/>
      <c r="HMJ37" s="292"/>
      <c r="HMK37" s="292"/>
      <c r="HML37" s="292"/>
      <c r="HMM37" s="292"/>
      <c r="HMN37" s="292"/>
      <c r="HMO37" s="292"/>
      <c r="HMP37" s="292"/>
      <c r="HMQ37" s="292"/>
      <c r="HMR37" s="292"/>
      <c r="HMS37" s="292"/>
      <c r="HMT37" s="292"/>
      <c r="HMU37" s="292"/>
      <c r="HMV37" s="292"/>
      <c r="HMW37" s="292"/>
      <c r="HMX37" s="292"/>
      <c r="HMY37" s="292"/>
      <c r="HMZ37" s="292"/>
      <c r="HNA37" s="292"/>
      <c r="HNB37" s="292"/>
      <c r="HNC37" s="292"/>
      <c r="HND37" s="292"/>
      <c r="HNE37" s="292"/>
      <c r="HNF37" s="292"/>
      <c r="HNG37" s="292"/>
      <c r="HNH37" s="292"/>
      <c r="HNI37" s="292"/>
      <c r="HNJ37" s="292"/>
      <c r="HNK37" s="292"/>
      <c r="HNL37" s="292"/>
      <c r="HNM37" s="292"/>
      <c r="HNN37" s="292"/>
      <c r="HNO37" s="292"/>
      <c r="HNP37" s="292"/>
      <c r="HNQ37" s="292"/>
      <c r="HNR37" s="292"/>
      <c r="HNS37" s="292"/>
      <c r="HNT37" s="292"/>
      <c r="HNU37" s="292"/>
      <c r="HNV37" s="292"/>
      <c r="HNW37" s="292"/>
      <c r="HNX37" s="292"/>
      <c r="HNY37" s="292"/>
      <c r="HNZ37" s="292"/>
      <c r="HOA37" s="292"/>
      <c r="HOB37" s="292"/>
      <c r="HOC37" s="292"/>
      <c r="HOD37" s="292"/>
      <c r="HOE37" s="292"/>
      <c r="HOF37" s="292"/>
      <c r="HOG37" s="292"/>
      <c r="HOH37" s="292"/>
      <c r="HOI37" s="292"/>
      <c r="HOJ37" s="292"/>
      <c r="HOK37" s="292"/>
      <c r="HOL37" s="292"/>
      <c r="HOM37" s="292"/>
      <c r="HON37" s="292"/>
      <c r="HOO37" s="292"/>
      <c r="HOP37" s="292"/>
      <c r="HOQ37" s="292"/>
      <c r="HOR37" s="292"/>
      <c r="HOS37" s="292"/>
      <c r="HOT37" s="292"/>
      <c r="HOU37" s="292"/>
      <c r="HOV37" s="292"/>
      <c r="HOW37" s="292"/>
      <c r="HOX37" s="292"/>
      <c r="HOY37" s="292"/>
      <c r="HOZ37" s="292"/>
      <c r="HPA37" s="292"/>
      <c r="HPB37" s="292"/>
      <c r="HPC37" s="292"/>
      <c r="HPD37" s="292"/>
      <c r="HPE37" s="292"/>
      <c r="HPF37" s="292"/>
      <c r="HPG37" s="292"/>
      <c r="HPH37" s="292"/>
      <c r="HPI37" s="292"/>
      <c r="HPJ37" s="292"/>
      <c r="HPK37" s="292"/>
      <c r="HPL37" s="292"/>
      <c r="HPM37" s="292"/>
      <c r="HPN37" s="292"/>
      <c r="HPO37" s="292"/>
      <c r="HPP37" s="292"/>
      <c r="HPQ37" s="292"/>
      <c r="HPR37" s="292"/>
      <c r="HPS37" s="292"/>
      <c r="HPT37" s="292"/>
      <c r="HPU37" s="292"/>
      <c r="HPV37" s="292"/>
      <c r="HPW37" s="292"/>
      <c r="HPX37" s="292"/>
      <c r="HPY37" s="292"/>
      <c r="HPZ37" s="292"/>
      <c r="HQA37" s="292"/>
      <c r="HQB37" s="292"/>
      <c r="HQC37" s="292"/>
      <c r="HQD37" s="292"/>
      <c r="HQE37" s="292"/>
      <c r="HQF37" s="292"/>
      <c r="HQG37" s="292"/>
      <c r="HQH37" s="292"/>
      <c r="HQI37" s="292"/>
      <c r="HQJ37" s="292"/>
      <c r="HQK37" s="292"/>
      <c r="HQL37" s="292"/>
      <c r="HQM37" s="292"/>
      <c r="HQN37" s="292"/>
      <c r="HQO37" s="292"/>
      <c r="HQP37" s="292"/>
      <c r="HQQ37" s="292"/>
      <c r="HQR37" s="292"/>
      <c r="HQS37" s="292"/>
      <c r="HQT37" s="292"/>
      <c r="HQU37" s="292"/>
      <c r="HQV37" s="292"/>
      <c r="HQW37" s="292"/>
      <c r="HQX37" s="292"/>
      <c r="HQY37" s="292"/>
      <c r="HQZ37" s="292"/>
      <c r="HRA37" s="292"/>
      <c r="HRB37" s="292"/>
      <c r="HRC37" s="292"/>
      <c r="HRD37" s="292"/>
      <c r="HRE37" s="292"/>
      <c r="HRF37" s="292"/>
      <c r="HRG37" s="292"/>
      <c r="HRH37" s="292"/>
      <c r="HRI37" s="292"/>
      <c r="HRJ37" s="292"/>
      <c r="HRK37" s="292"/>
      <c r="HRL37" s="292"/>
      <c r="HRM37" s="292"/>
      <c r="HRN37" s="292"/>
      <c r="HRO37" s="292"/>
      <c r="HRP37" s="292"/>
      <c r="HRQ37" s="292"/>
      <c r="HRR37" s="292"/>
      <c r="HRS37" s="292"/>
      <c r="HRT37" s="292"/>
      <c r="HRU37" s="292"/>
      <c r="HRV37" s="292"/>
      <c r="HRW37" s="292"/>
      <c r="HRX37" s="292"/>
      <c r="HRY37" s="292"/>
      <c r="HRZ37" s="292"/>
      <c r="HSA37" s="292"/>
      <c r="HSB37" s="292"/>
      <c r="HSC37" s="292"/>
      <c r="HSD37" s="292"/>
      <c r="HSE37" s="292"/>
      <c r="HSF37" s="292"/>
      <c r="HSG37" s="292"/>
      <c r="HSH37" s="292"/>
      <c r="HSI37" s="292"/>
      <c r="HSJ37" s="292"/>
      <c r="HSK37" s="292"/>
      <c r="HSL37" s="292"/>
      <c r="HSM37" s="292"/>
      <c r="HSN37" s="292"/>
      <c r="HSO37" s="292"/>
      <c r="HSP37" s="292"/>
      <c r="HSQ37" s="292"/>
      <c r="HSR37" s="292"/>
      <c r="HSS37" s="292"/>
      <c r="HST37" s="292"/>
      <c r="HSU37" s="292"/>
      <c r="HSV37" s="292"/>
      <c r="HSW37" s="292"/>
      <c r="HSX37" s="292"/>
      <c r="HSY37" s="292"/>
      <c r="HSZ37" s="292"/>
      <c r="HTA37" s="292"/>
      <c r="HTB37" s="292"/>
      <c r="HTC37" s="292"/>
      <c r="HTD37" s="292"/>
      <c r="HTE37" s="292"/>
      <c r="HTF37" s="292"/>
      <c r="HTG37" s="292"/>
      <c r="HTH37" s="292"/>
      <c r="HTI37" s="292"/>
      <c r="HTJ37" s="292"/>
      <c r="HTK37" s="292"/>
      <c r="HTL37" s="292"/>
      <c r="HTM37" s="292"/>
      <c r="HTN37" s="292"/>
      <c r="HTO37" s="292"/>
      <c r="HTP37" s="292"/>
      <c r="HTQ37" s="292"/>
      <c r="HTR37" s="292"/>
      <c r="HTS37" s="292"/>
      <c r="HTT37" s="292"/>
      <c r="HTU37" s="292"/>
      <c r="HTV37" s="292"/>
      <c r="HTW37" s="292"/>
      <c r="HTX37" s="292"/>
      <c r="HTY37" s="292"/>
      <c r="HTZ37" s="292"/>
      <c r="HUA37" s="292"/>
      <c r="HUB37" s="292"/>
      <c r="HUC37" s="292"/>
      <c r="HUD37" s="292"/>
      <c r="HUE37" s="292"/>
      <c r="HUF37" s="292"/>
      <c r="HUG37" s="292"/>
      <c r="HUH37" s="292"/>
      <c r="HUI37" s="292"/>
      <c r="HUJ37" s="292"/>
      <c r="HUK37" s="292"/>
      <c r="HUL37" s="292"/>
      <c r="HUM37" s="292"/>
      <c r="HUN37" s="292"/>
      <c r="HUO37" s="292"/>
      <c r="HUP37" s="292"/>
      <c r="HUQ37" s="292"/>
      <c r="HUR37" s="292"/>
      <c r="HUS37" s="292"/>
      <c r="HUT37" s="292"/>
      <c r="HUU37" s="292"/>
      <c r="HUV37" s="292"/>
      <c r="HUW37" s="292"/>
      <c r="HUX37" s="292"/>
      <c r="HUY37" s="292"/>
      <c r="HUZ37" s="292"/>
      <c r="HVA37" s="292"/>
      <c r="HVB37" s="292"/>
      <c r="HVC37" s="292"/>
      <c r="HVD37" s="292"/>
      <c r="HVE37" s="292"/>
      <c r="HVF37" s="292"/>
      <c r="HVG37" s="292"/>
      <c r="HVH37" s="292"/>
      <c r="HVI37" s="292"/>
      <c r="HVJ37" s="292"/>
      <c r="HVK37" s="292"/>
      <c r="HVL37" s="292"/>
      <c r="HVM37" s="292"/>
      <c r="HVN37" s="292"/>
      <c r="HVO37" s="292"/>
      <c r="HVP37" s="292"/>
      <c r="HVQ37" s="292"/>
      <c r="HVR37" s="292"/>
      <c r="HVS37" s="292"/>
      <c r="HVT37" s="292"/>
      <c r="HVU37" s="292"/>
      <c r="HVV37" s="292"/>
      <c r="HVW37" s="292"/>
      <c r="HVX37" s="292"/>
      <c r="HVY37" s="292"/>
      <c r="HVZ37" s="292"/>
      <c r="HWA37" s="292"/>
      <c r="HWB37" s="292"/>
      <c r="HWC37" s="292"/>
      <c r="HWD37" s="292"/>
      <c r="HWE37" s="292"/>
      <c r="HWF37" s="292"/>
      <c r="HWG37" s="292"/>
      <c r="HWH37" s="292"/>
      <c r="HWI37" s="292"/>
      <c r="HWJ37" s="292"/>
      <c r="HWK37" s="292"/>
      <c r="HWL37" s="292"/>
      <c r="HWM37" s="292"/>
      <c r="HWN37" s="292"/>
      <c r="HWO37" s="292"/>
      <c r="HWP37" s="292"/>
      <c r="HWQ37" s="292"/>
      <c r="HWR37" s="292"/>
      <c r="HWS37" s="292"/>
      <c r="HWT37" s="292"/>
      <c r="HWU37" s="292"/>
      <c r="HWV37" s="292"/>
      <c r="HWW37" s="292"/>
      <c r="HWX37" s="292"/>
      <c r="HWY37" s="292"/>
      <c r="HWZ37" s="292"/>
      <c r="HXA37" s="292"/>
      <c r="HXB37" s="292"/>
      <c r="HXC37" s="292"/>
      <c r="HXD37" s="292"/>
      <c r="HXE37" s="292"/>
      <c r="HXF37" s="292"/>
      <c r="HXG37" s="292"/>
      <c r="HXH37" s="292"/>
      <c r="HXI37" s="292"/>
      <c r="HXJ37" s="292"/>
      <c r="HXK37" s="292"/>
      <c r="HXL37" s="292"/>
      <c r="HXM37" s="292"/>
      <c r="HXN37" s="292"/>
      <c r="HXO37" s="292"/>
      <c r="HXP37" s="292"/>
      <c r="HXQ37" s="292"/>
      <c r="HXR37" s="292"/>
      <c r="HXS37" s="292"/>
      <c r="HXT37" s="292"/>
      <c r="HXU37" s="292"/>
      <c r="HXV37" s="292"/>
      <c r="HXW37" s="292"/>
      <c r="HXX37" s="292"/>
      <c r="HXY37" s="292"/>
      <c r="HXZ37" s="292"/>
      <c r="HYA37" s="292"/>
      <c r="HYB37" s="292"/>
      <c r="HYC37" s="292"/>
      <c r="HYD37" s="292"/>
      <c r="HYE37" s="292"/>
      <c r="HYF37" s="292"/>
      <c r="HYG37" s="292"/>
      <c r="HYH37" s="292"/>
      <c r="HYI37" s="292"/>
      <c r="HYJ37" s="292"/>
      <c r="HYK37" s="292"/>
      <c r="HYL37" s="292"/>
      <c r="HYM37" s="292"/>
      <c r="HYN37" s="292"/>
      <c r="HYO37" s="292"/>
      <c r="HYP37" s="292"/>
      <c r="HYQ37" s="292"/>
      <c r="HYR37" s="292"/>
      <c r="HYS37" s="292"/>
      <c r="HYT37" s="292"/>
      <c r="HYU37" s="292"/>
      <c r="HYV37" s="292"/>
      <c r="HYW37" s="292"/>
      <c r="HYX37" s="292"/>
      <c r="HYY37" s="292"/>
      <c r="HYZ37" s="292"/>
      <c r="HZA37" s="292"/>
      <c r="HZB37" s="292"/>
      <c r="HZC37" s="292"/>
      <c r="HZD37" s="292"/>
      <c r="HZE37" s="292"/>
      <c r="HZF37" s="292"/>
      <c r="HZG37" s="292"/>
      <c r="HZH37" s="292"/>
      <c r="HZI37" s="292"/>
      <c r="HZJ37" s="292"/>
      <c r="HZK37" s="292"/>
      <c r="HZL37" s="292"/>
      <c r="HZM37" s="292"/>
      <c r="HZN37" s="292"/>
      <c r="HZO37" s="292"/>
      <c r="HZP37" s="292"/>
      <c r="HZQ37" s="292"/>
      <c r="HZR37" s="292"/>
      <c r="HZS37" s="292"/>
      <c r="HZT37" s="292"/>
      <c r="HZU37" s="292"/>
      <c r="HZV37" s="292"/>
      <c r="HZW37" s="292"/>
      <c r="HZX37" s="292"/>
      <c r="HZY37" s="292"/>
      <c r="HZZ37" s="292"/>
      <c r="IAA37" s="292"/>
      <c r="IAB37" s="292"/>
      <c r="IAC37" s="292"/>
      <c r="IAD37" s="292"/>
      <c r="IAE37" s="292"/>
      <c r="IAF37" s="292"/>
      <c r="IAG37" s="292"/>
      <c r="IAH37" s="292"/>
      <c r="IAI37" s="292"/>
      <c r="IAJ37" s="292"/>
      <c r="IAK37" s="292"/>
      <c r="IAL37" s="292"/>
      <c r="IAM37" s="292"/>
      <c r="IAN37" s="292"/>
      <c r="IAO37" s="292"/>
      <c r="IAP37" s="292"/>
      <c r="IAQ37" s="292"/>
      <c r="IAR37" s="292"/>
      <c r="IAS37" s="292"/>
      <c r="IAT37" s="292"/>
      <c r="IAU37" s="292"/>
      <c r="IAV37" s="292"/>
      <c r="IAW37" s="292"/>
      <c r="IAX37" s="292"/>
      <c r="IAY37" s="292"/>
      <c r="IAZ37" s="292"/>
      <c r="IBA37" s="292"/>
      <c r="IBB37" s="292"/>
      <c r="IBC37" s="292"/>
      <c r="IBD37" s="292"/>
      <c r="IBE37" s="292"/>
      <c r="IBF37" s="292"/>
      <c r="IBG37" s="292"/>
      <c r="IBH37" s="292"/>
      <c r="IBI37" s="292"/>
      <c r="IBJ37" s="292"/>
      <c r="IBK37" s="292"/>
      <c r="IBL37" s="292"/>
      <c r="IBM37" s="292"/>
      <c r="IBN37" s="292"/>
      <c r="IBO37" s="292"/>
      <c r="IBP37" s="292"/>
      <c r="IBQ37" s="292"/>
      <c r="IBR37" s="292"/>
      <c r="IBS37" s="292"/>
      <c r="IBT37" s="292"/>
      <c r="IBU37" s="292"/>
      <c r="IBV37" s="292"/>
      <c r="IBW37" s="292"/>
      <c r="IBX37" s="292"/>
      <c r="IBY37" s="292"/>
      <c r="IBZ37" s="292"/>
      <c r="ICA37" s="292"/>
      <c r="ICB37" s="292"/>
      <c r="ICC37" s="292"/>
      <c r="ICD37" s="292"/>
      <c r="ICE37" s="292"/>
      <c r="ICF37" s="292"/>
      <c r="ICG37" s="292"/>
      <c r="ICH37" s="292"/>
      <c r="ICI37" s="292"/>
      <c r="ICJ37" s="292"/>
      <c r="ICK37" s="292"/>
      <c r="ICL37" s="292"/>
      <c r="ICM37" s="292"/>
      <c r="ICN37" s="292"/>
      <c r="ICO37" s="292"/>
      <c r="ICP37" s="292"/>
      <c r="ICQ37" s="292"/>
      <c r="ICR37" s="292"/>
      <c r="ICS37" s="292"/>
      <c r="ICT37" s="292"/>
      <c r="ICU37" s="292"/>
      <c r="ICV37" s="292"/>
      <c r="ICW37" s="292"/>
      <c r="ICX37" s="292"/>
      <c r="ICY37" s="292"/>
      <c r="ICZ37" s="292"/>
      <c r="IDA37" s="292"/>
      <c r="IDB37" s="292"/>
      <c r="IDC37" s="292"/>
      <c r="IDD37" s="292"/>
      <c r="IDE37" s="292"/>
      <c r="IDF37" s="292"/>
      <c r="IDG37" s="292"/>
      <c r="IDH37" s="292"/>
      <c r="IDI37" s="292"/>
      <c r="IDJ37" s="292"/>
      <c r="IDK37" s="292"/>
      <c r="IDL37" s="292"/>
      <c r="IDM37" s="292"/>
      <c r="IDN37" s="292"/>
      <c r="IDO37" s="292"/>
      <c r="IDP37" s="292"/>
      <c r="IDQ37" s="292"/>
      <c r="IDR37" s="292"/>
      <c r="IDS37" s="292"/>
      <c r="IDT37" s="292"/>
      <c r="IDU37" s="292"/>
      <c r="IDV37" s="292"/>
      <c r="IDW37" s="292"/>
      <c r="IDX37" s="292"/>
      <c r="IDY37" s="292"/>
      <c r="IDZ37" s="292"/>
      <c r="IEA37" s="292"/>
      <c r="IEB37" s="292"/>
      <c r="IEC37" s="292"/>
      <c r="IED37" s="292"/>
      <c r="IEE37" s="292"/>
      <c r="IEF37" s="292"/>
      <c r="IEG37" s="292"/>
      <c r="IEH37" s="292"/>
      <c r="IEI37" s="292"/>
      <c r="IEJ37" s="292"/>
      <c r="IEK37" s="292"/>
      <c r="IEL37" s="292"/>
      <c r="IEM37" s="292"/>
      <c r="IEN37" s="292"/>
      <c r="IEO37" s="292"/>
      <c r="IEP37" s="292"/>
      <c r="IEQ37" s="292"/>
      <c r="IER37" s="292"/>
      <c r="IES37" s="292"/>
      <c r="IET37" s="292"/>
      <c r="IEU37" s="292"/>
      <c r="IEV37" s="292"/>
      <c r="IEW37" s="292"/>
      <c r="IEX37" s="292"/>
      <c r="IEY37" s="292"/>
      <c r="IEZ37" s="292"/>
      <c r="IFA37" s="292"/>
      <c r="IFB37" s="292"/>
      <c r="IFC37" s="292"/>
      <c r="IFD37" s="292"/>
      <c r="IFE37" s="292"/>
      <c r="IFF37" s="292"/>
      <c r="IFG37" s="292"/>
      <c r="IFH37" s="292"/>
      <c r="IFI37" s="292"/>
      <c r="IFJ37" s="292"/>
      <c r="IFK37" s="292"/>
      <c r="IFL37" s="292"/>
      <c r="IFM37" s="292"/>
      <c r="IFN37" s="292"/>
      <c r="IFO37" s="292"/>
      <c r="IFP37" s="292"/>
      <c r="IFQ37" s="292"/>
      <c r="IFR37" s="292"/>
      <c r="IFS37" s="292"/>
      <c r="IFT37" s="292"/>
      <c r="IFU37" s="292"/>
      <c r="IFV37" s="292"/>
      <c r="IFW37" s="292"/>
      <c r="IFX37" s="292"/>
      <c r="IFY37" s="292"/>
      <c r="IFZ37" s="292"/>
      <c r="IGA37" s="292"/>
      <c r="IGB37" s="292"/>
      <c r="IGC37" s="292"/>
      <c r="IGD37" s="292"/>
      <c r="IGE37" s="292"/>
      <c r="IGF37" s="292"/>
      <c r="IGG37" s="292"/>
      <c r="IGH37" s="292"/>
      <c r="IGI37" s="292"/>
      <c r="IGJ37" s="292"/>
      <c r="IGK37" s="292"/>
      <c r="IGL37" s="292"/>
      <c r="IGM37" s="292"/>
      <c r="IGN37" s="292"/>
      <c r="IGO37" s="292"/>
      <c r="IGP37" s="292"/>
      <c r="IGQ37" s="292"/>
      <c r="IGR37" s="292"/>
      <c r="IGS37" s="292"/>
      <c r="IGT37" s="292"/>
      <c r="IGU37" s="292"/>
      <c r="IGV37" s="292"/>
      <c r="IGW37" s="292"/>
      <c r="IGX37" s="292"/>
      <c r="IGY37" s="292"/>
      <c r="IGZ37" s="292"/>
      <c r="IHA37" s="292"/>
      <c r="IHB37" s="292"/>
      <c r="IHC37" s="292"/>
      <c r="IHD37" s="292"/>
      <c r="IHE37" s="292"/>
      <c r="IHF37" s="292"/>
      <c r="IHG37" s="292"/>
      <c r="IHH37" s="292"/>
      <c r="IHI37" s="292"/>
      <c r="IHJ37" s="292"/>
      <c r="IHK37" s="292"/>
      <c r="IHL37" s="292"/>
      <c r="IHM37" s="292"/>
      <c r="IHN37" s="292"/>
      <c r="IHO37" s="292"/>
      <c r="IHP37" s="292"/>
      <c r="IHQ37" s="292"/>
      <c r="IHR37" s="292"/>
      <c r="IHS37" s="292"/>
      <c r="IHT37" s="292"/>
      <c r="IHU37" s="292"/>
      <c r="IHV37" s="292"/>
      <c r="IHW37" s="292"/>
      <c r="IHX37" s="292"/>
      <c r="IHY37" s="292"/>
      <c r="IHZ37" s="292"/>
      <c r="IIA37" s="292"/>
      <c r="IIB37" s="292"/>
      <c r="IIC37" s="292"/>
      <c r="IID37" s="292"/>
      <c r="IIE37" s="292"/>
      <c r="IIF37" s="292"/>
      <c r="IIG37" s="292"/>
      <c r="IIH37" s="292"/>
      <c r="III37" s="292"/>
      <c r="IIJ37" s="292"/>
      <c r="IIK37" s="292"/>
      <c r="IIL37" s="292"/>
      <c r="IIM37" s="292"/>
      <c r="IIN37" s="292"/>
      <c r="IIO37" s="292"/>
      <c r="IIP37" s="292"/>
      <c r="IIQ37" s="292"/>
      <c r="IIR37" s="292"/>
      <c r="IIS37" s="292"/>
      <c r="IIT37" s="292"/>
      <c r="IIU37" s="292"/>
      <c r="IIV37" s="292"/>
      <c r="IIW37" s="292"/>
      <c r="IIX37" s="292"/>
      <c r="IIY37" s="292"/>
      <c r="IIZ37" s="292"/>
      <c r="IJA37" s="292"/>
      <c r="IJB37" s="292"/>
      <c r="IJC37" s="292"/>
      <c r="IJD37" s="292"/>
      <c r="IJE37" s="292"/>
      <c r="IJF37" s="292"/>
      <c r="IJG37" s="292"/>
      <c r="IJH37" s="292"/>
      <c r="IJI37" s="292"/>
      <c r="IJJ37" s="292"/>
      <c r="IJK37" s="292"/>
      <c r="IJL37" s="292"/>
      <c r="IJM37" s="292"/>
      <c r="IJN37" s="292"/>
      <c r="IJO37" s="292"/>
      <c r="IJP37" s="292"/>
      <c r="IJQ37" s="292"/>
      <c r="IJR37" s="292"/>
      <c r="IJS37" s="292"/>
      <c r="IJT37" s="292"/>
      <c r="IJU37" s="292"/>
      <c r="IJV37" s="292"/>
      <c r="IJW37" s="292"/>
      <c r="IJX37" s="292"/>
      <c r="IJY37" s="292"/>
      <c r="IJZ37" s="292"/>
      <c r="IKA37" s="292"/>
      <c r="IKB37" s="292"/>
      <c r="IKC37" s="292"/>
      <c r="IKD37" s="292"/>
      <c r="IKE37" s="292"/>
      <c r="IKF37" s="292"/>
      <c r="IKG37" s="292"/>
      <c r="IKH37" s="292"/>
      <c r="IKI37" s="292"/>
      <c r="IKJ37" s="292"/>
      <c r="IKK37" s="292"/>
      <c r="IKL37" s="292"/>
      <c r="IKM37" s="292"/>
      <c r="IKN37" s="292"/>
      <c r="IKO37" s="292"/>
      <c r="IKP37" s="292"/>
      <c r="IKQ37" s="292"/>
      <c r="IKR37" s="292"/>
      <c r="IKS37" s="292"/>
      <c r="IKT37" s="292"/>
      <c r="IKU37" s="292"/>
      <c r="IKV37" s="292"/>
      <c r="IKW37" s="292"/>
      <c r="IKX37" s="292"/>
      <c r="IKY37" s="292"/>
      <c r="IKZ37" s="292"/>
      <c r="ILA37" s="292"/>
      <c r="ILB37" s="292"/>
      <c r="ILC37" s="292"/>
      <c r="ILD37" s="292"/>
      <c r="ILE37" s="292"/>
      <c r="ILF37" s="292"/>
      <c r="ILG37" s="292"/>
      <c r="ILH37" s="292"/>
      <c r="ILI37" s="292"/>
      <c r="ILJ37" s="292"/>
      <c r="ILK37" s="292"/>
      <c r="ILL37" s="292"/>
      <c r="ILM37" s="292"/>
      <c r="ILN37" s="292"/>
      <c r="ILO37" s="292"/>
      <c r="ILP37" s="292"/>
      <c r="ILQ37" s="292"/>
      <c r="ILR37" s="292"/>
      <c r="ILS37" s="292"/>
      <c r="ILT37" s="292"/>
      <c r="ILU37" s="292"/>
      <c r="ILV37" s="292"/>
      <c r="ILW37" s="292"/>
      <c r="ILX37" s="292"/>
      <c r="ILY37" s="292"/>
      <c r="ILZ37" s="292"/>
      <c r="IMA37" s="292"/>
      <c r="IMB37" s="292"/>
      <c r="IMC37" s="292"/>
      <c r="IMD37" s="292"/>
      <c r="IME37" s="292"/>
      <c r="IMF37" s="292"/>
      <c r="IMG37" s="292"/>
      <c r="IMH37" s="292"/>
      <c r="IMI37" s="292"/>
      <c r="IMJ37" s="292"/>
      <c r="IMK37" s="292"/>
      <c r="IML37" s="292"/>
      <c r="IMM37" s="292"/>
      <c r="IMN37" s="292"/>
      <c r="IMO37" s="292"/>
      <c r="IMP37" s="292"/>
      <c r="IMQ37" s="292"/>
      <c r="IMR37" s="292"/>
      <c r="IMS37" s="292"/>
      <c r="IMT37" s="292"/>
      <c r="IMU37" s="292"/>
      <c r="IMV37" s="292"/>
      <c r="IMW37" s="292"/>
      <c r="IMX37" s="292"/>
      <c r="IMY37" s="292"/>
      <c r="IMZ37" s="292"/>
      <c r="INA37" s="292"/>
      <c r="INB37" s="292"/>
      <c r="INC37" s="292"/>
      <c r="IND37" s="292"/>
      <c r="INE37" s="292"/>
      <c r="INF37" s="292"/>
      <c r="ING37" s="292"/>
      <c r="INH37" s="292"/>
      <c r="INI37" s="292"/>
      <c r="INJ37" s="292"/>
      <c r="INK37" s="292"/>
      <c r="INL37" s="292"/>
      <c r="INM37" s="292"/>
      <c r="INN37" s="292"/>
      <c r="INO37" s="292"/>
      <c r="INP37" s="292"/>
      <c r="INQ37" s="292"/>
      <c r="INR37" s="292"/>
      <c r="INS37" s="292"/>
      <c r="INT37" s="292"/>
      <c r="INU37" s="292"/>
      <c r="INV37" s="292"/>
      <c r="INW37" s="292"/>
      <c r="INX37" s="292"/>
      <c r="INY37" s="292"/>
      <c r="INZ37" s="292"/>
      <c r="IOA37" s="292"/>
      <c r="IOB37" s="292"/>
      <c r="IOC37" s="292"/>
      <c r="IOD37" s="292"/>
      <c r="IOE37" s="292"/>
      <c r="IOF37" s="292"/>
      <c r="IOG37" s="292"/>
      <c r="IOH37" s="292"/>
      <c r="IOI37" s="292"/>
      <c r="IOJ37" s="292"/>
      <c r="IOK37" s="292"/>
      <c r="IOL37" s="292"/>
      <c r="IOM37" s="292"/>
      <c r="ION37" s="292"/>
      <c r="IOO37" s="292"/>
      <c r="IOP37" s="292"/>
      <c r="IOQ37" s="292"/>
      <c r="IOR37" s="292"/>
      <c r="IOS37" s="292"/>
      <c r="IOT37" s="292"/>
      <c r="IOU37" s="292"/>
      <c r="IOV37" s="292"/>
      <c r="IOW37" s="292"/>
      <c r="IOX37" s="292"/>
      <c r="IOY37" s="292"/>
      <c r="IOZ37" s="292"/>
      <c r="IPA37" s="292"/>
      <c r="IPB37" s="292"/>
      <c r="IPC37" s="292"/>
      <c r="IPD37" s="292"/>
      <c r="IPE37" s="292"/>
      <c r="IPF37" s="292"/>
      <c r="IPG37" s="292"/>
      <c r="IPH37" s="292"/>
      <c r="IPI37" s="292"/>
      <c r="IPJ37" s="292"/>
      <c r="IPK37" s="292"/>
      <c r="IPL37" s="292"/>
      <c r="IPM37" s="292"/>
      <c r="IPN37" s="292"/>
      <c r="IPO37" s="292"/>
      <c r="IPP37" s="292"/>
      <c r="IPQ37" s="292"/>
      <c r="IPR37" s="292"/>
      <c r="IPS37" s="292"/>
      <c r="IPT37" s="292"/>
      <c r="IPU37" s="292"/>
      <c r="IPV37" s="292"/>
      <c r="IPW37" s="292"/>
      <c r="IPX37" s="292"/>
      <c r="IPY37" s="292"/>
      <c r="IPZ37" s="292"/>
      <c r="IQA37" s="292"/>
      <c r="IQB37" s="292"/>
      <c r="IQC37" s="292"/>
      <c r="IQD37" s="292"/>
      <c r="IQE37" s="292"/>
      <c r="IQF37" s="292"/>
      <c r="IQG37" s="292"/>
      <c r="IQH37" s="292"/>
      <c r="IQI37" s="292"/>
      <c r="IQJ37" s="292"/>
      <c r="IQK37" s="292"/>
      <c r="IQL37" s="292"/>
      <c r="IQM37" s="292"/>
      <c r="IQN37" s="292"/>
      <c r="IQO37" s="292"/>
      <c r="IQP37" s="292"/>
      <c r="IQQ37" s="292"/>
      <c r="IQR37" s="292"/>
      <c r="IQS37" s="292"/>
      <c r="IQT37" s="292"/>
      <c r="IQU37" s="292"/>
      <c r="IQV37" s="292"/>
      <c r="IQW37" s="292"/>
      <c r="IQX37" s="292"/>
      <c r="IQY37" s="292"/>
      <c r="IQZ37" s="292"/>
      <c r="IRA37" s="292"/>
      <c r="IRB37" s="292"/>
      <c r="IRC37" s="292"/>
      <c r="IRD37" s="292"/>
      <c r="IRE37" s="292"/>
      <c r="IRF37" s="292"/>
      <c r="IRG37" s="292"/>
      <c r="IRH37" s="292"/>
      <c r="IRI37" s="292"/>
      <c r="IRJ37" s="292"/>
      <c r="IRK37" s="292"/>
      <c r="IRL37" s="292"/>
      <c r="IRM37" s="292"/>
      <c r="IRN37" s="292"/>
      <c r="IRO37" s="292"/>
      <c r="IRP37" s="292"/>
      <c r="IRQ37" s="292"/>
      <c r="IRR37" s="292"/>
      <c r="IRS37" s="292"/>
      <c r="IRT37" s="292"/>
      <c r="IRU37" s="292"/>
      <c r="IRV37" s="292"/>
      <c r="IRW37" s="292"/>
      <c r="IRX37" s="292"/>
      <c r="IRY37" s="292"/>
      <c r="IRZ37" s="292"/>
      <c r="ISA37" s="292"/>
      <c r="ISB37" s="292"/>
      <c r="ISC37" s="292"/>
      <c r="ISD37" s="292"/>
      <c r="ISE37" s="292"/>
      <c r="ISF37" s="292"/>
      <c r="ISG37" s="292"/>
      <c r="ISH37" s="292"/>
      <c r="ISI37" s="292"/>
      <c r="ISJ37" s="292"/>
      <c r="ISK37" s="292"/>
      <c r="ISL37" s="292"/>
      <c r="ISM37" s="292"/>
      <c r="ISN37" s="292"/>
      <c r="ISO37" s="292"/>
      <c r="ISP37" s="292"/>
      <c r="ISQ37" s="292"/>
      <c r="ISR37" s="292"/>
      <c r="ISS37" s="292"/>
      <c r="IST37" s="292"/>
      <c r="ISU37" s="292"/>
      <c r="ISV37" s="292"/>
      <c r="ISW37" s="292"/>
      <c r="ISX37" s="292"/>
      <c r="ISY37" s="292"/>
      <c r="ISZ37" s="292"/>
      <c r="ITA37" s="292"/>
      <c r="ITB37" s="292"/>
      <c r="ITC37" s="292"/>
      <c r="ITD37" s="292"/>
      <c r="ITE37" s="292"/>
      <c r="ITF37" s="292"/>
      <c r="ITG37" s="292"/>
      <c r="ITH37" s="292"/>
      <c r="ITI37" s="292"/>
      <c r="ITJ37" s="292"/>
      <c r="ITK37" s="292"/>
      <c r="ITL37" s="292"/>
      <c r="ITM37" s="292"/>
      <c r="ITN37" s="292"/>
      <c r="ITO37" s="292"/>
      <c r="ITP37" s="292"/>
      <c r="ITQ37" s="292"/>
      <c r="ITR37" s="292"/>
      <c r="ITS37" s="292"/>
      <c r="ITT37" s="292"/>
      <c r="ITU37" s="292"/>
      <c r="ITV37" s="292"/>
      <c r="ITW37" s="292"/>
      <c r="ITX37" s="292"/>
      <c r="ITY37" s="292"/>
      <c r="ITZ37" s="292"/>
      <c r="IUA37" s="292"/>
      <c r="IUB37" s="292"/>
      <c r="IUC37" s="292"/>
      <c r="IUD37" s="292"/>
      <c r="IUE37" s="292"/>
      <c r="IUF37" s="292"/>
      <c r="IUG37" s="292"/>
      <c r="IUH37" s="292"/>
      <c r="IUI37" s="292"/>
      <c r="IUJ37" s="292"/>
      <c r="IUK37" s="292"/>
      <c r="IUL37" s="292"/>
      <c r="IUM37" s="292"/>
      <c r="IUN37" s="292"/>
      <c r="IUO37" s="292"/>
      <c r="IUP37" s="292"/>
      <c r="IUQ37" s="292"/>
      <c r="IUR37" s="292"/>
      <c r="IUS37" s="292"/>
      <c r="IUT37" s="292"/>
      <c r="IUU37" s="292"/>
      <c r="IUV37" s="292"/>
      <c r="IUW37" s="292"/>
      <c r="IUX37" s="292"/>
      <c r="IUY37" s="292"/>
      <c r="IUZ37" s="292"/>
      <c r="IVA37" s="292"/>
      <c r="IVB37" s="292"/>
      <c r="IVC37" s="292"/>
      <c r="IVD37" s="292"/>
      <c r="IVE37" s="292"/>
      <c r="IVF37" s="292"/>
      <c r="IVG37" s="292"/>
      <c r="IVH37" s="292"/>
      <c r="IVI37" s="292"/>
      <c r="IVJ37" s="292"/>
      <c r="IVK37" s="292"/>
      <c r="IVL37" s="292"/>
      <c r="IVM37" s="292"/>
      <c r="IVN37" s="292"/>
      <c r="IVO37" s="292"/>
      <c r="IVP37" s="292"/>
      <c r="IVQ37" s="292"/>
      <c r="IVR37" s="292"/>
      <c r="IVS37" s="292"/>
      <c r="IVT37" s="292"/>
      <c r="IVU37" s="292"/>
      <c r="IVV37" s="292"/>
      <c r="IVW37" s="292"/>
      <c r="IVX37" s="292"/>
      <c r="IVY37" s="292"/>
      <c r="IVZ37" s="292"/>
      <c r="IWA37" s="292"/>
      <c r="IWB37" s="292"/>
      <c r="IWC37" s="292"/>
      <c r="IWD37" s="292"/>
      <c r="IWE37" s="292"/>
      <c r="IWF37" s="292"/>
      <c r="IWG37" s="292"/>
      <c r="IWH37" s="292"/>
      <c r="IWI37" s="292"/>
      <c r="IWJ37" s="292"/>
      <c r="IWK37" s="292"/>
      <c r="IWL37" s="292"/>
      <c r="IWM37" s="292"/>
      <c r="IWN37" s="292"/>
      <c r="IWO37" s="292"/>
      <c r="IWP37" s="292"/>
      <c r="IWQ37" s="292"/>
      <c r="IWR37" s="292"/>
      <c r="IWS37" s="292"/>
      <c r="IWT37" s="292"/>
      <c r="IWU37" s="292"/>
      <c r="IWV37" s="292"/>
      <c r="IWW37" s="292"/>
      <c r="IWX37" s="292"/>
      <c r="IWY37" s="292"/>
      <c r="IWZ37" s="292"/>
      <c r="IXA37" s="292"/>
      <c r="IXB37" s="292"/>
      <c r="IXC37" s="292"/>
      <c r="IXD37" s="292"/>
      <c r="IXE37" s="292"/>
      <c r="IXF37" s="292"/>
      <c r="IXG37" s="292"/>
      <c r="IXH37" s="292"/>
      <c r="IXI37" s="292"/>
      <c r="IXJ37" s="292"/>
      <c r="IXK37" s="292"/>
      <c r="IXL37" s="292"/>
      <c r="IXM37" s="292"/>
      <c r="IXN37" s="292"/>
      <c r="IXO37" s="292"/>
      <c r="IXP37" s="292"/>
      <c r="IXQ37" s="292"/>
      <c r="IXR37" s="292"/>
      <c r="IXS37" s="292"/>
      <c r="IXT37" s="292"/>
      <c r="IXU37" s="292"/>
      <c r="IXV37" s="292"/>
      <c r="IXW37" s="292"/>
      <c r="IXX37" s="292"/>
      <c r="IXY37" s="292"/>
      <c r="IXZ37" s="292"/>
      <c r="IYA37" s="292"/>
      <c r="IYB37" s="292"/>
      <c r="IYC37" s="292"/>
      <c r="IYD37" s="292"/>
      <c r="IYE37" s="292"/>
      <c r="IYF37" s="292"/>
      <c r="IYG37" s="292"/>
      <c r="IYH37" s="292"/>
      <c r="IYI37" s="292"/>
      <c r="IYJ37" s="292"/>
      <c r="IYK37" s="292"/>
      <c r="IYL37" s="292"/>
      <c r="IYM37" s="292"/>
      <c r="IYN37" s="292"/>
      <c r="IYO37" s="292"/>
      <c r="IYP37" s="292"/>
      <c r="IYQ37" s="292"/>
      <c r="IYR37" s="292"/>
      <c r="IYS37" s="292"/>
      <c r="IYT37" s="292"/>
      <c r="IYU37" s="292"/>
      <c r="IYV37" s="292"/>
      <c r="IYW37" s="292"/>
      <c r="IYX37" s="292"/>
      <c r="IYY37" s="292"/>
      <c r="IYZ37" s="292"/>
      <c r="IZA37" s="292"/>
      <c r="IZB37" s="292"/>
      <c r="IZC37" s="292"/>
      <c r="IZD37" s="292"/>
      <c r="IZE37" s="292"/>
      <c r="IZF37" s="292"/>
      <c r="IZG37" s="292"/>
      <c r="IZH37" s="292"/>
      <c r="IZI37" s="292"/>
      <c r="IZJ37" s="292"/>
      <c r="IZK37" s="292"/>
      <c r="IZL37" s="292"/>
      <c r="IZM37" s="292"/>
      <c r="IZN37" s="292"/>
      <c r="IZO37" s="292"/>
      <c r="IZP37" s="292"/>
      <c r="IZQ37" s="292"/>
      <c r="IZR37" s="292"/>
      <c r="IZS37" s="292"/>
      <c r="IZT37" s="292"/>
      <c r="IZU37" s="292"/>
      <c r="IZV37" s="292"/>
      <c r="IZW37" s="292"/>
      <c r="IZX37" s="292"/>
      <c r="IZY37" s="292"/>
      <c r="IZZ37" s="292"/>
      <c r="JAA37" s="292"/>
      <c r="JAB37" s="292"/>
      <c r="JAC37" s="292"/>
      <c r="JAD37" s="292"/>
      <c r="JAE37" s="292"/>
      <c r="JAF37" s="292"/>
      <c r="JAG37" s="292"/>
      <c r="JAH37" s="292"/>
      <c r="JAI37" s="292"/>
      <c r="JAJ37" s="292"/>
      <c r="JAK37" s="292"/>
      <c r="JAL37" s="292"/>
      <c r="JAM37" s="292"/>
      <c r="JAN37" s="292"/>
      <c r="JAO37" s="292"/>
      <c r="JAP37" s="292"/>
      <c r="JAQ37" s="292"/>
      <c r="JAR37" s="292"/>
      <c r="JAS37" s="292"/>
      <c r="JAT37" s="292"/>
      <c r="JAU37" s="292"/>
      <c r="JAV37" s="292"/>
      <c r="JAW37" s="292"/>
      <c r="JAX37" s="292"/>
      <c r="JAY37" s="292"/>
      <c r="JAZ37" s="292"/>
      <c r="JBA37" s="292"/>
      <c r="JBB37" s="292"/>
      <c r="JBC37" s="292"/>
      <c r="JBD37" s="292"/>
      <c r="JBE37" s="292"/>
      <c r="JBF37" s="292"/>
      <c r="JBG37" s="292"/>
      <c r="JBH37" s="292"/>
      <c r="JBI37" s="292"/>
      <c r="JBJ37" s="292"/>
      <c r="JBK37" s="292"/>
      <c r="JBL37" s="292"/>
      <c r="JBM37" s="292"/>
      <c r="JBN37" s="292"/>
      <c r="JBO37" s="292"/>
      <c r="JBP37" s="292"/>
      <c r="JBQ37" s="292"/>
      <c r="JBR37" s="292"/>
      <c r="JBS37" s="292"/>
      <c r="JBT37" s="292"/>
      <c r="JBU37" s="292"/>
      <c r="JBV37" s="292"/>
      <c r="JBW37" s="292"/>
      <c r="JBX37" s="292"/>
      <c r="JBY37" s="292"/>
      <c r="JBZ37" s="292"/>
      <c r="JCA37" s="292"/>
      <c r="JCB37" s="292"/>
      <c r="JCC37" s="292"/>
      <c r="JCD37" s="292"/>
      <c r="JCE37" s="292"/>
      <c r="JCF37" s="292"/>
      <c r="JCG37" s="292"/>
      <c r="JCH37" s="292"/>
      <c r="JCI37" s="292"/>
      <c r="JCJ37" s="292"/>
      <c r="JCK37" s="292"/>
      <c r="JCL37" s="292"/>
      <c r="JCM37" s="292"/>
      <c r="JCN37" s="292"/>
      <c r="JCO37" s="292"/>
      <c r="JCP37" s="292"/>
      <c r="JCQ37" s="292"/>
      <c r="JCR37" s="292"/>
      <c r="JCS37" s="292"/>
      <c r="JCT37" s="292"/>
      <c r="JCU37" s="292"/>
      <c r="JCV37" s="292"/>
      <c r="JCW37" s="292"/>
      <c r="JCX37" s="292"/>
      <c r="JCY37" s="292"/>
      <c r="JCZ37" s="292"/>
      <c r="JDA37" s="292"/>
      <c r="JDB37" s="292"/>
      <c r="JDC37" s="292"/>
      <c r="JDD37" s="292"/>
      <c r="JDE37" s="292"/>
      <c r="JDF37" s="292"/>
      <c r="JDG37" s="292"/>
      <c r="JDH37" s="292"/>
      <c r="JDI37" s="292"/>
      <c r="JDJ37" s="292"/>
      <c r="JDK37" s="292"/>
      <c r="JDL37" s="292"/>
      <c r="JDM37" s="292"/>
      <c r="JDN37" s="292"/>
      <c r="JDO37" s="292"/>
      <c r="JDP37" s="292"/>
      <c r="JDQ37" s="292"/>
      <c r="JDR37" s="292"/>
      <c r="JDS37" s="292"/>
      <c r="JDT37" s="292"/>
      <c r="JDU37" s="292"/>
      <c r="JDV37" s="292"/>
      <c r="JDW37" s="292"/>
      <c r="JDX37" s="292"/>
      <c r="JDY37" s="292"/>
      <c r="JDZ37" s="292"/>
      <c r="JEA37" s="292"/>
      <c r="JEB37" s="292"/>
      <c r="JEC37" s="292"/>
      <c r="JED37" s="292"/>
      <c r="JEE37" s="292"/>
      <c r="JEF37" s="292"/>
      <c r="JEG37" s="292"/>
      <c r="JEH37" s="292"/>
      <c r="JEI37" s="292"/>
      <c r="JEJ37" s="292"/>
      <c r="JEK37" s="292"/>
      <c r="JEL37" s="292"/>
      <c r="JEM37" s="292"/>
      <c r="JEN37" s="292"/>
      <c r="JEO37" s="292"/>
      <c r="JEP37" s="292"/>
      <c r="JEQ37" s="292"/>
      <c r="JER37" s="292"/>
      <c r="JES37" s="292"/>
      <c r="JET37" s="292"/>
      <c r="JEU37" s="292"/>
      <c r="JEV37" s="292"/>
      <c r="JEW37" s="292"/>
      <c r="JEX37" s="292"/>
      <c r="JEY37" s="292"/>
      <c r="JEZ37" s="292"/>
      <c r="JFA37" s="292"/>
      <c r="JFB37" s="292"/>
      <c r="JFC37" s="292"/>
      <c r="JFD37" s="292"/>
      <c r="JFE37" s="292"/>
      <c r="JFF37" s="292"/>
      <c r="JFG37" s="292"/>
      <c r="JFH37" s="292"/>
      <c r="JFI37" s="292"/>
      <c r="JFJ37" s="292"/>
      <c r="JFK37" s="292"/>
      <c r="JFL37" s="292"/>
      <c r="JFM37" s="292"/>
      <c r="JFN37" s="292"/>
      <c r="JFO37" s="292"/>
      <c r="JFP37" s="292"/>
      <c r="JFQ37" s="292"/>
      <c r="JFR37" s="292"/>
      <c r="JFS37" s="292"/>
      <c r="JFT37" s="292"/>
      <c r="JFU37" s="292"/>
      <c r="JFV37" s="292"/>
      <c r="JFW37" s="292"/>
      <c r="JFX37" s="292"/>
      <c r="JFY37" s="292"/>
      <c r="JFZ37" s="292"/>
      <c r="JGA37" s="292"/>
      <c r="JGB37" s="292"/>
      <c r="JGC37" s="292"/>
      <c r="JGD37" s="292"/>
      <c r="JGE37" s="292"/>
      <c r="JGF37" s="292"/>
      <c r="JGG37" s="292"/>
      <c r="JGH37" s="292"/>
      <c r="JGI37" s="292"/>
      <c r="JGJ37" s="292"/>
      <c r="JGK37" s="292"/>
      <c r="JGL37" s="292"/>
      <c r="JGM37" s="292"/>
      <c r="JGN37" s="292"/>
      <c r="JGO37" s="292"/>
      <c r="JGP37" s="292"/>
      <c r="JGQ37" s="292"/>
      <c r="JGR37" s="292"/>
      <c r="JGS37" s="292"/>
      <c r="JGT37" s="292"/>
      <c r="JGU37" s="292"/>
      <c r="JGV37" s="292"/>
      <c r="JGW37" s="292"/>
      <c r="JGX37" s="292"/>
      <c r="JGY37" s="292"/>
      <c r="JGZ37" s="292"/>
      <c r="JHA37" s="292"/>
      <c r="JHB37" s="292"/>
      <c r="JHC37" s="292"/>
      <c r="JHD37" s="292"/>
      <c r="JHE37" s="292"/>
      <c r="JHF37" s="292"/>
      <c r="JHG37" s="292"/>
      <c r="JHH37" s="292"/>
      <c r="JHI37" s="292"/>
      <c r="JHJ37" s="292"/>
      <c r="JHK37" s="292"/>
      <c r="JHL37" s="292"/>
      <c r="JHM37" s="292"/>
      <c r="JHN37" s="292"/>
      <c r="JHO37" s="292"/>
      <c r="JHP37" s="292"/>
      <c r="JHQ37" s="292"/>
      <c r="JHR37" s="292"/>
      <c r="JHS37" s="292"/>
      <c r="JHT37" s="292"/>
      <c r="JHU37" s="292"/>
      <c r="JHV37" s="292"/>
      <c r="JHW37" s="292"/>
      <c r="JHX37" s="292"/>
      <c r="JHY37" s="292"/>
      <c r="JHZ37" s="292"/>
      <c r="JIA37" s="292"/>
      <c r="JIB37" s="292"/>
      <c r="JIC37" s="292"/>
      <c r="JID37" s="292"/>
      <c r="JIE37" s="292"/>
      <c r="JIF37" s="292"/>
      <c r="JIG37" s="292"/>
      <c r="JIH37" s="292"/>
      <c r="JII37" s="292"/>
      <c r="JIJ37" s="292"/>
      <c r="JIK37" s="292"/>
      <c r="JIL37" s="292"/>
      <c r="JIM37" s="292"/>
      <c r="JIN37" s="292"/>
      <c r="JIO37" s="292"/>
      <c r="JIP37" s="292"/>
      <c r="JIQ37" s="292"/>
      <c r="JIR37" s="292"/>
      <c r="JIS37" s="292"/>
      <c r="JIT37" s="292"/>
      <c r="JIU37" s="292"/>
      <c r="JIV37" s="292"/>
      <c r="JIW37" s="292"/>
      <c r="JIX37" s="292"/>
      <c r="JIY37" s="292"/>
      <c r="JIZ37" s="292"/>
      <c r="JJA37" s="292"/>
      <c r="JJB37" s="292"/>
      <c r="JJC37" s="292"/>
      <c r="JJD37" s="292"/>
      <c r="JJE37" s="292"/>
      <c r="JJF37" s="292"/>
      <c r="JJG37" s="292"/>
      <c r="JJH37" s="292"/>
      <c r="JJI37" s="292"/>
      <c r="JJJ37" s="292"/>
      <c r="JJK37" s="292"/>
      <c r="JJL37" s="292"/>
      <c r="JJM37" s="292"/>
      <c r="JJN37" s="292"/>
      <c r="JJO37" s="292"/>
      <c r="JJP37" s="292"/>
      <c r="JJQ37" s="292"/>
      <c r="JJR37" s="292"/>
      <c r="JJS37" s="292"/>
      <c r="JJT37" s="292"/>
      <c r="JJU37" s="292"/>
      <c r="JJV37" s="292"/>
      <c r="JJW37" s="292"/>
      <c r="JJX37" s="292"/>
      <c r="JJY37" s="292"/>
      <c r="JJZ37" s="292"/>
      <c r="JKA37" s="292"/>
      <c r="JKB37" s="292"/>
      <c r="JKC37" s="292"/>
      <c r="JKD37" s="292"/>
      <c r="JKE37" s="292"/>
      <c r="JKF37" s="292"/>
      <c r="JKG37" s="292"/>
      <c r="JKH37" s="292"/>
      <c r="JKI37" s="292"/>
      <c r="JKJ37" s="292"/>
      <c r="JKK37" s="292"/>
      <c r="JKL37" s="292"/>
      <c r="JKM37" s="292"/>
      <c r="JKN37" s="292"/>
      <c r="JKO37" s="292"/>
      <c r="JKP37" s="292"/>
      <c r="JKQ37" s="292"/>
      <c r="JKR37" s="292"/>
      <c r="JKS37" s="292"/>
      <c r="JKT37" s="292"/>
      <c r="JKU37" s="292"/>
      <c r="JKV37" s="292"/>
      <c r="JKW37" s="292"/>
      <c r="JKX37" s="292"/>
      <c r="JKY37" s="292"/>
      <c r="JKZ37" s="292"/>
      <c r="JLA37" s="292"/>
      <c r="JLB37" s="292"/>
      <c r="JLC37" s="292"/>
      <c r="JLD37" s="292"/>
      <c r="JLE37" s="292"/>
      <c r="JLF37" s="292"/>
      <c r="JLG37" s="292"/>
      <c r="JLH37" s="292"/>
      <c r="JLI37" s="292"/>
      <c r="JLJ37" s="292"/>
      <c r="JLK37" s="292"/>
      <c r="JLL37" s="292"/>
      <c r="JLM37" s="292"/>
      <c r="JLN37" s="292"/>
      <c r="JLO37" s="292"/>
      <c r="JLP37" s="292"/>
      <c r="JLQ37" s="292"/>
      <c r="JLR37" s="292"/>
      <c r="JLS37" s="292"/>
      <c r="JLT37" s="292"/>
      <c r="JLU37" s="292"/>
      <c r="JLV37" s="292"/>
      <c r="JLW37" s="292"/>
      <c r="JLX37" s="292"/>
      <c r="JLY37" s="292"/>
      <c r="JLZ37" s="292"/>
      <c r="JMA37" s="292"/>
      <c r="JMB37" s="292"/>
      <c r="JMC37" s="292"/>
      <c r="JMD37" s="292"/>
      <c r="JME37" s="292"/>
      <c r="JMF37" s="292"/>
      <c r="JMG37" s="292"/>
      <c r="JMH37" s="292"/>
      <c r="JMI37" s="292"/>
      <c r="JMJ37" s="292"/>
      <c r="JMK37" s="292"/>
      <c r="JML37" s="292"/>
      <c r="JMM37" s="292"/>
      <c r="JMN37" s="292"/>
      <c r="JMO37" s="292"/>
      <c r="JMP37" s="292"/>
      <c r="JMQ37" s="292"/>
      <c r="JMR37" s="292"/>
      <c r="JMS37" s="292"/>
      <c r="JMT37" s="292"/>
      <c r="JMU37" s="292"/>
      <c r="JMV37" s="292"/>
      <c r="JMW37" s="292"/>
      <c r="JMX37" s="292"/>
      <c r="JMY37" s="292"/>
      <c r="JMZ37" s="292"/>
      <c r="JNA37" s="292"/>
      <c r="JNB37" s="292"/>
      <c r="JNC37" s="292"/>
      <c r="JND37" s="292"/>
      <c r="JNE37" s="292"/>
      <c r="JNF37" s="292"/>
      <c r="JNG37" s="292"/>
      <c r="JNH37" s="292"/>
      <c r="JNI37" s="292"/>
      <c r="JNJ37" s="292"/>
      <c r="JNK37" s="292"/>
      <c r="JNL37" s="292"/>
      <c r="JNM37" s="292"/>
      <c r="JNN37" s="292"/>
      <c r="JNO37" s="292"/>
      <c r="JNP37" s="292"/>
      <c r="JNQ37" s="292"/>
      <c r="JNR37" s="292"/>
      <c r="JNS37" s="292"/>
      <c r="JNT37" s="292"/>
      <c r="JNU37" s="292"/>
      <c r="JNV37" s="292"/>
      <c r="JNW37" s="292"/>
      <c r="JNX37" s="292"/>
      <c r="JNY37" s="292"/>
      <c r="JNZ37" s="292"/>
      <c r="JOA37" s="292"/>
      <c r="JOB37" s="292"/>
      <c r="JOC37" s="292"/>
      <c r="JOD37" s="292"/>
      <c r="JOE37" s="292"/>
      <c r="JOF37" s="292"/>
      <c r="JOG37" s="292"/>
      <c r="JOH37" s="292"/>
      <c r="JOI37" s="292"/>
      <c r="JOJ37" s="292"/>
      <c r="JOK37" s="292"/>
      <c r="JOL37" s="292"/>
      <c r="JOM37" s="292"/>
      <c r="JON37" s="292"/>
      <c r="JOO37" s="292"/>
      <c r="JOP37" s="292"/>
      <c r="JOQ37" s="292"/>
      <c r="JOR37" s="292"/>
      <c r="JOS37" s="292"/>
      <c r="JOT37" s="292"/>
      <c r="JOU37" s="292"/>
      <c r="JOV37" s="292"/>
      <c r="JOW37" s="292"/>
      <c r="JOX37" s="292"/>
      <c r="JOY37" s="292"/>
      <c r="JOZ37" s="292"/>
      <c r="JPA37" s="292"/>
      <c r="JPB37" s="292"/>
      <c r="JPC37" s="292"/>
      <c r="JPD37" s="292"/>
      <c r="JPE37" s="292"/>
      <c r="JPF37" s="292"/>
      <c r="JPG37" s="292"/>
      <c r="JPH37" s="292"/>
      <c r="JPI37" s="292"/>
      <c r="JPJ37" s="292"/>
      <c r="JPK37" s="292"/>
      <c r="JPL37" s="292"/>
      <c r="JPM37" s="292"/>
      <c r="JPN37" s="292"/>
      <c r="JPO37" s="292"/>
      <c r="JPP37" s="292"/>
      <c r="JPQ37" s="292"/>
      <c r="JPR37" s="292"/>
      <c r="JPS37" s="292"/>
      <c r="JPT37" s="292"/>
      <c r="JPU37" s="292"/>
      <c r="JPV37" s="292"/>
      <c r="JPW37" s="292"/>
      <c r="JPX37" s="292"/>
      <c r="JPY37" s="292"/>
      <c r="JPZ37" s="292"/>
      <c r="JQA37" s="292"/>
      <c r="JQB37" s="292"/>
      <c r="JQC37" s="292"/>
      <c r="JQD37" s="292"/>
      <c r="JQE37" s="292"/>
      <c r="JQF37" s="292"/>
      <c r="JQG37" s="292"/>
      <c r="JQH37" s="292"/>
      <c r="JQI37" s="292"/>
      <c r="JQJ37" s="292"/>
      <c r="JQK37" s="292"/>
      <c r="JQL37" s="292"/>
      <c r="JQM37" s="292"/>
      <c r="JQN37" s="292"/>
      <c r="JQO37" s="292"/>
      <c r="JQP37" s="292"/>
      <c r="JQQ37" s="292"/>
      <c r="JQR37" s="292"/>
      <c r="JQS37" s="292"/>
      <c r="JQT37" s="292"/>
      <c r="JQU37" s="292"/>
      <c r="JQV37" s="292"/>
      <c r="JQW37" s="292"/>
      <c r="JQX37" s="292"/>
      <c r="JQY37" s="292"/>
      <c r="JQZ37" s="292"/>
      <c r="JRA37" s="292"/>
      <c r="JRB37" s="292"/>
      <c r="JRC37" s="292"/>
      <c r="JRD37" s="292"/>
      <c r="JRE37" s="292"/>
      <c r="JRF37" s="292"/>
      <c r="JRG37" s="292"/>
      <c r="JRH37" s="292"/>
      <c r="JRI37" s="292"/>
      <c r="JRJ37" s="292"/>
      <c r="JRK37" s="292"/>
      <c r="JRL37" s="292"/>
      <c r="JRM37" s="292"/>
      <c r="JRN37" s="292"/>
      <c r="JRO37" s="292"/>
      <c r="JRP37" s="292"/>
      <c r="JRQ37" s="292"/>
      <c r="JRR37" s="292"/>
      <c r="JRS37" s="292"/>
      <c r="JRT37" s="292"/>
      <c r="JRU37" s="292"/>
      <c r="JRV37" s="292"/>
      <c r="JRW37" s="292"/>
      <c r="JRX37" s="292"/>
      <c r="JRY37" s="292"/>
      <c r="JRZ37" s="292"/>
      <c r="JSA37" s="292"/>
      <c r="JSB37" s="292"/>
      <c r="JSC37" s="292"/>
      <c r="JSD37" s="292"/>
      <c r="JSE37" s="292"/>
      <c r="JSF37" s="292"/>
      <c r="JSG37" s="292"/>
      <c r="JSH37" s="292"/>
      <c r="JSI37" s="292"/>
      <c r="JSJ37" s="292"/>
      <c r="JSK37" s="292"/>
      <c r="JSL37" s="292"/>
      <c r="JSM37" s="292"/>
      <c r="JSN37" s="292"/>
      <c r="JSO37" s="292"/>
      <c r="JSP37" s="292"/>
      <c r="JSQ37" s="292"/>
      <c r="JSR37" s="292"/>
      <c r="JSS37" s="292"/>
      <c r="JST37" s="292"/>
      <c r="JSU37" s="292"/>
      <c r="JSV37" s="292"/>
      <c r="JSW37" s="292"/>
      <c r="JSX37" s="292"/>
      <c r="JSY37" s="292"/>
      <c r="JSZ37" s="292"/>
      <c r="JTA37" s="292"/>
      <c r="JTB37" s="292"/>
      <c r="JTC37" s="292"/>
      <c r="JTD37" s="292"/>
      <c r="JTE37" s="292"/>
      <c r="JTF37" s="292"/>
      <c r="JTG37" s="292"/>
      <c r="JTH37" s="292"/>
      <c r="JTI37" s="292"/>
      <c r="JTJ37" s="292"/>
      <c r="JTK37" s="292"/>
      <c r="JTL37" s="292"/>
      <c r="JTM37" s="292"/>
      <c r="JTN37" s="292"/>
      <c r="JTO37" s="292"/>
      <c r="JTP37" s="292"/>
      <c r="JTQ37" s="292"/>
      <c r="JTR37" s="292"/>
      <c r="JTS37" s="292"/>
      <c r="JTT37" s="292"/>
      <c r="JTU37" s="292"/>
      <c r="JTV37" s="292"/>
      <c r="JTW37" s="292"/>
      <c r="JTX37" s="292"/>
      <c r="JTY37" s="292"/>
      <c r="JTZ37" s="292"/>
      <c r="JUA37" s="292"/>
      <c r="JUB37" s="292"/>
      <c r="JUC37" s="292"/>
      <c r="JUD37" s="292"/>
      <c r="JUE37" s="292"/>
      <c r="JUF37" s="292"/>
      <c r="JUG37" s="292"/>
      <c r="JUH37" s="292"/>
      <c r="JUI37" s="292"/>
      <c r="JUJ37" s="292"/>
      <c r="JUK37" s="292"/>
      <c r="JUL37" s="292"/>
      <c r="JUM37" s="292"/>
      <c r="JUN37" s="292"/>
      <c r="JUO37" s="292"/>
      <c r="JUP37" s="292"/>
      <c r="JUQ37" s="292"/>
      <c r="JUR37" s="292"/>
      <c r="JUS37" s="292"/>
      <c r="JUT37" s="292"/>
      <c r="JUU37" s="292"/>
      <c r="JUV37" s="292"/>
      <c r="JUW37" s="292"/>
      <c r="JUX37" s="292"/>
      <c r="JUY37" s="292"/>
      <c r="JUZ37" s="292"/>
      <c r="JVA37" s="292"/>
      <c r="JVB37" s="292"/>
      <c r="JVC37" s="292"/>
      <c r="JVD37" s="292"/>
      <c r="JVE37" s="292"/>
      <c r="JVF37" s="292"/>
      <c r="JVG37" s="292"/>
      <c r="JVH37" s="292"/>
      <c r="JVI37" s="292"/>
      <c r="JVJ37" s="292"/>
      <c r="JVK37" s="292"/>
      <c r="JVL37" s="292"/>
      <c r="JVM37" s="292"/>
      <c r="JVN37" s="292"/>
      <c r="JVO37" s="292"/>
      <c r="JVP37" s="292"/>
      <c r="JVQ37" s="292"/>
      <c r="JVR37" s="292"/>
      <c r="JVS37" s="292"/>
      <c r="JVT37" s="292"/>
      <c r="JVU37" s="292"/>
      <c r="JVV37" s="292"/>
      <c r="JVW37" s="292"/>
      <c r="JVX37" s="292"/>
      <c r="JVY37" s="292"/>
      <c r="JVZ37" s="292"/>
      <c r="JWA37" s="292"/>
      <c r="JWB37" s="292"/>
      <c r="JWC37" s="292"/>
      <c r="JWD37" s="292"/>
      <c r="JWE37" s="292"/>
      <c r="JWF37" s="292"/>
      <c r="JWG37" s="292"/>
      <c r="JWH37" s="292"/>
      <c r="JWI37" s="292"/>
      <c r="JWJ37" s="292"/>
      <c r="JWK37" s="292"/>
      <c r="JWL37" s="292"/>
      <c r="JWM37" s="292"/>
      <c r="JWN37" s="292"/>
      <c r="JWO37" s="292"/>
      <c r="JWP37" s="292"/>
      <c r="JWQ37" s="292"/>
      <c r="JWR37" s="292"/>
      <c r="JWS37" s="292"/>
      <c r="JWT37" s="292"/>
      <c r="JWU37" s="292"/>
      <c r="JWV37" s="292"/>
      <c r="JWW37" s="292"/>
      <c r="JWX37" s="292"/>
      <c r="JWY37" s="292"/>
      <c r="JWZ37" s="292"/>
      <c r="JXA37" s="292"/>
      <c r="JXB37" s="292"/>
      <c r="JXC37" s="292"/>
      <c r="JXD37" s="292"/>
      <c r="JXE37" s="292"/>
      <c r="JXF37" s="292"/>
      <c r="JXG37" s="292"/>
      <c r="JXH37" s="292"/>
      <c r="JXI37" s="292"/>
      <c r="JXJ37" s="292"/>
      <c r="JXK37" s="292"/>
      <c r="JXL37" s="292"/>
      <c r="JXM37" s="292"/>
      <c r="JXN37" s="292"/>
      <c r="JXO37" s="292"/>
      <c r="JXP37" s="292"/>
      <c r="JXQ37" s="292"/>
      <c r="JXR37" s="292"/>
      <c r="JXS37" s="292"/>
      <c r="JXT37" s="292"/>
      <c r="JXU37" s="292"/>
      <c r="JXV37" s="292"/>
      <c r="JXW37" s="292"/>
      <c r="JXX37" s="292"/>
      <c r="JXY37" s="292"/>
      <c r="JXZ37" s="292"/>
      <c r="JYA37" s="292"/>
      <c r="JYB37" s="292"/>
      <c r="JYC37" s="292"/>
      <c r="JYD37" s="292"/>
      <c r="JYE37" s="292"/>
      <c r="JYF37" s="292"/>
      <c r="JYG37" s="292"/>
      <c r="JYH37" s="292"/>
      <c r="JYI37" s="292"/>
      <c r="JYJ37" s="292"/>
      <c r="JYK37" s="292"/>
      <c r="JYL37" s="292"/>
      <c r="JYM37" s="292"/>
      <c r="JYN37" s="292"/>
      <c r="JYO37" s="292"/>
      <c r="JYP37" s="292"/>
      <c r="JYQ37" s="292"/>
      <c r="JYR37" s="292"/>
      <c r="JYS37" s="292"/>
      <c r="JYT37" s="292"/>
      <c r="JYU37" s="292"/>
      <c r="JYV37" s="292"/>
      <c r="JYW37" s="292"/>
      <c r="JYX37" s="292"/>
      <c r="JYY37" s="292"/>
      <c r="JYZ37" s="292"/>
      <c r="JZA37" s="292"/>
      <c r="JZB37" s="292"/>
      <c r="JZC37" s="292"/>
      <c r="JZD37" s="292"/>
      <c r="JZE37" s="292"/>
      <c r="JZF37" s="292"/>
      <c r="JZG37" s="292"/>
      <c r="JZH37" s="292"/>
      <c r="JZI37" s="292"/>
      <c r="JZJ37" s="292"/>
      <c r="JZK37" s="292"/>
      <c r="JZL37" s="292"/>
      <c r="JZM37" s="292"/>
      <c r="JZN37" s="292"/>
      <c r="JZO37" s="292"/>
      <c r="JZP37" s="292"/>
      <c r="JZQ37" s="292"/>
      <c r="JZR37" s="292"/>
      <c r="JZS37" s="292"/>
      <c r="JZT37" s="292"/>
      <c r="JZU37" s="292"/>
      <c r="JZV37" s="292"/>
      <c r="JZW37" s="292"/>
      <c r="JZX37" s="292"/>
      <c r="JZY37" s="292"/>
      <c r="JZZ37" s="292"/>
      <c r="KAA37" s="292"/>
      <c r="KAB37" s="292"/>
      <c r="KAC37" s="292"/>
      <c r="KAD37" s="292"/>
      <c r="KAE37" s="292"/>
      <c r="KAF37" s="292"/>
      <c r="KAG37" s="292"/>
      <c r="KAH37" s="292"/>
      <c r="KAI37" s="292"/>
      <c r="KAJ37" s="292"/>
      <c r="KAK37" s="292"/>
      <c r="KAL37" s="292"/>
      <c r="KAM37" s="292"/>
      <c r="KAN37" s="292"/>
      <c r="KAO37" s="292"/>
      <c r="KAP37" s="292"/>
      <c r="KAQ37" s="292"/>
      <c r="KAR37" s="292"/>
      <c r="KAS37" s="292"/>
      <c r="KAT37" s="292"/>
      <c r="KAU37" s="292"/>
      <c r="KAV37" s="292"/>
      <c r="KAW37" s="292"/>
      <c r="KAX37" s="292"/>
      <c r="KAY37" s="292"/>
      <c r="KAZ37" s="292"/>
      <c r="KBA37" s="292"/>
      <c r="KBB37" s="292"/>
      <c r="KBC37" s="292"/>
      <c r="KBD37" s="292"/>
      <c r="KBE37" s="292"/>
      <c r="KBF37" s="292"/>
      <c r="KBG37" s="292"/>
      <c r="KBH37" s="292"/>
      <c r="KBI37" s="292"/>
      <c r="KBJ37" s="292"/>
      <c r="KBK37" s="292"/>
      <c r="KBL37" s="292"/>
      <c r="KBM37" s="292"/>
      <c r="KBN37" s="292"/>
      <c r="KBO37" s="292"/>
      <c r="KBP37" s="292"/>
      <c r="KBQ37" s="292"/>
      <c r="KBR37" s="292"/>
      <c r="KBS37" s="292"/>
      <c r="KBT37" s="292"/>
      <c r="KBU37" s="292"/>
      <c r="KBV37" s="292"/>
      <c r="KBW37" s="292"/>
      <c r="KBX37" s="292"/>
      <c r="KBY37" s="292"/>
      <c r="KBZ37" s="292"/>
      <c r="KCA37" s="292"/>
      <c r="KCB37" s="292"/>
      <c r="KCC37" s="292"/>
      <c r="KCD37" s="292"/>
      <c r="KCE37" s="292"/>
      <c r="KCF37" s="292"/>
      <c r="KCG37" s="292"/>
      <c r="KCH37" s="292"/>
      <c r="KCI37" s="292"/>
      <c r="KCJ37" s="292"/>
      <c r="KCK37" s="292"/>
      <c r="KCL37" s="292"/>
      <c r="KCM37" s="292"/>
      <c r="KCN37" s="292"/>
      <c r="KCO37" s="292"/>
      <c r="KCP37" s="292"/>
      <c r="KCQ37" s="292"/>
      <c r="KCR37" s="292"/>
      <c r="KCS37" s="292"/>
      <c r="KCT37" s="292"/>
      <c r="KCU37" s="292"/>
      <c r="KCV37" s="292"/>
      <c r="KCW37" s="292"/>
      <c r="KCX37" s="292"/>
      <c r="KCY37" s="292"/>
      <c r="KCZ37" s="292"/>
      <c r="KDA37" s="292"/>
      <c r="KDB37" s="292"/>
      <c r="KDC37" s="292"/>
      <c r="KDD37" s="292"/>
      <c r="KDE37" s="292"/>
      <c r="KDF37" s="292"/>
      <c r="KDG37" s="292"/>
      <c r="KDH37" s="292"/>
      <c r="KDI37" s="292"/>
      <c r="KDJ37" s="292"/>
      <c r="KDK37" s="292"/>
      <c r="KDL37" s="292"/>
      <c r="KDM37" s="292"/>
      <c r="KDN37" s="292"/>
      <c r="KDO37" s="292"/>
      <c r="KDP37" s="292"/>
      <c r="KDQ37" s="292"/>
      <c r="KDR37" s="292"/>
      <c r="KDS37" s="292"/>
      <c r="KDT37" s="292"/>
      <c r="KDU37" s="292"/>
      <c r="KDV37" s="292"/>
      <c r="KDW37" s="292"/>
      <c r="KDX37" s="292"/>
      <c r="KDY37" s="292"/>
      <c r="KDZ37" s="292"/>
      <c r="KEA37" s="292"/>
      <c r="KEB37" s="292"/>
      <c r="KEC37" s="292"/>
      <c r="KED37" s="292"/>
      <c r="KEE37" s="292"/>
      <c r="KEF37" s="292"/>
      <c r="KEG37" s="292"/>
      <c r="KEH37" s="292"/>
      <c r="KEI37" s="292"/>
      <c r="KEJ37" s="292"/>
      <c r="KEK37" s="292"/>
      <c r="KEL37" s="292"/>
      <c r="KEM37" s="292"/>
      <c r="KEN37" s="292"/>
      <c r="KEO37" s="292"/>
      <c r="KEP37" s="292"/>
      <c r="KEQ37" s="292"/>
      <c r="KER37" s="292"/>
      <c r="KES37" s="292"/>
      <c r="KET37" s="292"/>
      <c r="KEU37" s="292"/>
      <c r="KEV37" s="292"/>
      <c r="KEW37" s="292"/>
      <c r="KEX37" s="292"/>
      <c r="KEY37" s="292"/>
      <c r="KEZ37" s="292"/>
      <c r="KFA37" s="292"/>
      <c r="KFB37" s="292"/>
      <c r="KFC37" s="292"/>
      <c r="KFD37" s="292"/>
      <c r="KFE37" s="292"/>
      <c r="KFF37" s="292"/>
      <c r="KFG37" s="292"/>
      <c r="KFH37" s="292"/>
      <c r="KFI37" s="292"/>
      <c r="KFJ37" s="292"/>
      <c r="KFK37" s="292"/>
      <c r="KFL37" s="292"/>
      <c r="KFM37" s="292"/>
      <c r="KFN37" s="292"/>
      <c r="KFO37" s="292"/>
      <c r="KFP37" s="292"/>
      <c r="KFQ37" s="292"/>
      <c r="KFR37" s="292"/>
      <c r="KFS37" s="292"/>
      <c r="KFT37" s="292"/>
      <c r="KFU37" s="292"/>
      <c r="KFV37" s="292"/>
      <c r="KFW37" s="292"/>
      <c r="KFX37" s="292"/>
      <c r="KFY37" s="292"/>
      <c r="KFZ37" s="292"/>
      <c r="KGA37" s="292"/>
      <c r="KGB37" s="292"/>
      <c r="KGC37" s="292"/>
      <c r="KGD37" s="292"/>
      <c r="KGE37" s="292"/>
      <c r="KGF37" s="292"/>
      <c r="KGG37" s="292"/>
      <c r="KGH37" s="292"/>
      <c r="KGI37" s="292"/>
      <c r="KGJ37" s="292"/>
      <c r="KGK37" s="292"/>
      <c r="KGL37" s="292"/>
      <c r="KGM37" s="292"/>
      <c r="KGN37" s="292"/>
      <c r="KGO37" s="292"/>
      <c r="KGP37" s="292"/>
      <c r="KGQ37" s="292"/>
      <c r="KGR37" s="292"/>
      <c r="KGS37" s="292"/>
      <c r="KGT37" s="292"/>
      <c r="KGU37" s="292"/>
      <c r="KGV37" s="292"/>
      <c r="KGW37" s="292"/>
      <c r="KGX37" s="292"/>
      <c r="KGY37" s="292"/>
      <c r="KGZ37" s="292"/>
      <c r="KHA37" s="292"/>
      <c r="KHB37" s="292"/>
      <c r="KHC37" s="292"/>
      <c r="KHD37" s="292"/>
      <c r="KHE37" s="292"/>
      <c r="KHF37" s="292"/>
      <c r="KHG37" s="292"/>
      <c r="KHH37" s="292"/>
      <c r="KHI37" s="292"/>
      <c r="KHJ37" s="292"/>
      <c r="KHK37" s="292"/>
      <c r="KHL37" s="292"/>
      <c r="KHM37" s="292"/>
      <c r="KHN37" s="292"/>
      <c r="KHO37" s="292"/>
      <c r="KHP37" s="292"/>
      <c r="KHQ37" s="292"/>
      <c r="KHR37" s="292"/>
      <c r="KHS37" s="292"/>
      <c r="KHT37" s="292"/>
      <c r="KHU37" s="292"/>
      <c r="KHV37" s="292"/>
      <c r="KHW37" s="292"/>
      <c r="KHX37" s="292"/>
      <c r="KHY37" s="292"/>
      <c r="KHZ37" s="292"/>
      <c r="KIA37" s="292"/>
      <c r="KIB37" s="292"/>
      <c r="KIC37" s="292"/>
      <c r="KID37" s="292"/>
      <c r="KIE37" s="292"/>
      <c r="KIF37" s="292"/>
      <c r="KIG37" s="292"/>
      <c r="KIH37" s="292"/>
      <c r="KII37" s="292"/>
      <c r="KIJ37" s="292"/>
      <c r="KIK37" s="292"/>
      <c r="KIL37" s="292"/>
      <c r="KIM37" s="292"/>
      <c r="KIN37" s="292"/>
      <c r="KIO37" s="292"/>
      <c r="KIP37" s="292"/>
      <c r="KIQ37" s="292"/>
      <c r="KIR37" s="292"/>
      <c r="KIS37" s="292"/>
      <c r="KIT37" s="292"/>
      <c r="KIU37" s="292"/>
      <c r="KIV37" s="292"/>
      <c r="KIW37" s="292"/>
      <c r="KIX37" s="292"/>
      <c r="KIY37" s="292"/>
      <c r="KIZ37" s="292"/>
      <c r="KJA37" s="292"/>
      <c r="KJB37" s="292"/>
      <c r="KJC37" s="292"/>
      <c r="KJD37" s="292"/>
      <c r="KJE37" s="292"/>
      <c r="KJF37" s="292"/>
      <c r="KJG37" s="292"/>
      <c r="KJH37" s="292"/>
      <c r="KJI37" s="292"/>
      <c r="KJJ37" s="292"/>
      <c r="KJK37" s="292"/>
      <c r="KJL37" s="292"/>
      <c r="KJM37" s="292"/>
      <c r="KJN37" s="292"/>
      <c r="KJO37" s="292"/>
      <c r="KJP37" s="292"/>
      <c r="KJQ37" s="292"/>
      <c r="KJR37" s="292"/>
      <c r="KJS37" s="292"/>
      <c r="KJT37" s="292"/>
      <c r="KJU37" s="292"/>
      <c r="KJV37" s="292"/>
      <c r="KJW37" s="292"/>
      <c r="KJX37" s="292"/>
      <c r="KJY37" s="292"/>
      <c r="KJZ37" s="292"/>
      <c r="KKA37" s="292"/>
      <c r="KKB37" s="292"/>
      <c r="KKC37" s="292"/>
      <c r="KKD37" s="292"/>
      <c r="KKE37" s="292"/>
      <c r="KKF37" s="292"/>
      <c r="KKG37" s="292"/>
      <c r="KKH37" s="292"/>
      <c r="KKI37" s="292"/>
      <c r="KKJ37" s="292"/>
      <c r="KKK37" s="292"/>
      <c r="KKL37" s="292"/>
      <c r="KKM37" s="292"/>
      <c r="KKN37" s="292"/>
      <c r="KKO37" s="292"/>
      <c r="KKP37" s="292"/>
      <c r="KKQ37" s="292"/>
      <c r="KKR37" s="292"/>
      <c r="KKS37" s="292"/>
      <c r="KKT37" s="292"/>
      <c r="KKU37" s="292"/>
      <c r="KKV37" s="292"/>
      <c r="KKW37" s="292"/>
      <c r="KKX37" s="292"/>
      <c r="KKY37" s="292"/>
      <c r="KKZ37" s="292"/>
      <c r="KLA37" s="292"/>
      <c r="KLB37" s="292"/>
      <c r="KLC37" s="292"/>
      <c r="KLD37" s="292"/>
      <c r="KLE37" s="292"/>
      <c r="KLF37" s="292"/>
      <c r="KLG37" s="292"/>
      <c r="KLH37" s="292"/>
      <c r="KLI37" s="292"/>
      <c r="KLJ37" s="292"/>
      <c r="KLK37" s="292"/>
      <c r="KLL37" s="292"/>
      <c r="KLM37" s="292"/>
      <c r="KLN37" s="292"/>
      <c r="KLO37" s="292"/>
      <c r="KLP37" s="292"/>
      <c r="KLQ37" s="292"/>
      <c r="KLR37" s="292"/>
      <c r="KLS37" s="292"/>
      <c r="KLT37" s="292"/>
      <c r="KLU37" s="292"/>
      <c r="KLV37" s="292"/>
      <c r="KLW37" s="292"/>
      <c r="KLX37" s="292"/>
      <c r="KLY37" s="292"/>
      <c r="KLZ37" s="292"/>
      <c r="KMA37" s="292"/>
      <c r="KMB37" s="292"/>
      <c r="KMC37" s="292"/>
      <c r="KMD37" s="292"/>
      <c r="KME37" s="292"/>
      <c r="KMF37" s="292"/>
      <c r="KMG37" s="292"/>
      <c r="KMH37" s="292"/>
      <c r="KMI37" s="292"/>
      <c r="KMJ37" s="292"/>
      <c r="KMK37" s="292"/>
      <c r="KML37" s="292"/>
      <c r="KMM37" s="292"/>
      <c r="KMN37" s="292"/>
      <c r="KMO37" s="292"/>
      <c r="KMP37" s="292"/>
      <c r="KMQ37" s="292"/>
      <c r="KMR37" s="292"/>
      <c r="KMS37" s="292"/>
      <c r="KMT37" s="292"/>
      <c r="KMU37" s="292"/>
      <c r="KMV37" s="292"/>
      <c r="KMW37" s="292"/>
      <c r="KMX37" s="292"/>
      <c r="KMY37" s="292"/>
      <c r="KMZ37" s="292"/>
      <c r="KNA37" s="292"/>
      <c r="KNB37" s="292"/>
      <c r="KNC37" s="292"/>
      <c r="KND37" s="292"/>
      <c r="KNE37" s="292"/>
      <c r="KNF37" s="292"/>
      <c r="KNG37" s="292"/>
      <c r="KNH37" s="292"/>
      <c r="KNI37" s="292"/>
      <c r="KNJ37" s="292"/>
      <c r="KNK37" s="292"/>
      <c r="KNL37" s="292"/>
      <c r="KNM37" s="292"/>
      <c r="KNN37" s="292"/>
      <c r="KNO37" s="292"/>
      <c r="KNP37" s="292"/>
      <c r="KNQ37" s="292"/>
      <c r="KNR37" s="292"/>
      <c r="KNS37" s="292"/>
      <c r="KNT37" s="292"/>
      <c r="KNU37" s="292"/>
      <c r="KNV37" s="292"/>
      <c r="KNW37" s="292"/>
      <c r="KNX37" s="292"/>
      <c r="KNY37" s="292"/>
      <c r="KNZ37" s="292"/>
      <c r="KOA37" s="292"/>
      <c r="KOB37" s="292"/>
      <c r="KOC37" s="292"/>
      <c r="KOD37" s="292"/>
      <c r="KOE37" s="292"/>
      <c r="KOF37" s="292"/>
      <c r="KOG37" s="292"/>
      <c r="KOH37" s="292"/>
      <c r="KOI37" s="292"/>
      <c r="KOJ37" s="292"/>
      <c r="KOK37" s="292"/>
      <c r="KOL37" s="292"/>
      <c r="KOM37" s="292"/>
      <c r="KON37" s="292"/>
      <c r="KOO37" s="292"/>
      <c r="KOP37" s="292"/>
      <c r="KOQ37" s="292"/>
      <c r="KOR37" s="292"/>
      <c r="KOS37" s="292"/>
      <c r="KOT37" s="292"/>
      <c r="KOU37" s="292"/>
      <c r="KOV37" s="292"/>
      <c r="KOW37" s="292"/>
      <c r="KOX37" s="292"/>
      <c r="KOY37" s="292"/>
      <c r="KOZ37" s="292"/>
      <c r="KPA37" s="292"/>
      <c r="KPB37" s="292"/>
      <c r="KPC37" s="292"/>
      <c r="KPD37" s="292"/>
      <c r="KPE37" s="292"/>
      <c r="KPF37" s="292"/>
      <c r="KPG37" s="292"/>
      <c r="KPH37" s="292"/>
      <c r="KPI37" s="292"/>
      <c r="KPJ37" s="292"/>
      <c r="KPK37" s="292"/>
      <c r="KPL37" s="292"/>
      <c r="KPM37" s="292"/>
      <c r="KPN37" s="292"/>
      <c r="KPO37" s="292"/>
      <c r="KPP37" s="292"/>
      <c r="KPQ37" s="292"/>
      <c r="KPR37" s="292"/>
      <c r="KPS37" s="292"/>
      <c r="KPT37" s="292"/>
      <c r="KPU37" s="292"/>
      <c r="KPV37" s="292"/>
      <c r="KPW37" s="292"/>
      <c r="KPX37" s="292"/>
      <c r="KPY37" s="292"/>
      <c r="KPZ37" s="292"/>
      <c r="KQA37" s="292"/>
      <c r="KQB37" s="292"/>
      <c r="KQC37" s="292"/>
      <c r="KQD37" s="292"/>
      <c r="KQE37" s="292"/>
      <c r="KQF37" s="292"/>
      <c r="KQG37" s="292"/>
      <c r="KQH37" s="292"/>
      <c r="KQI37" s="292"/>
      <c r="KQJ37" s="292"/>
      <c r="KQK37" s="292"/>
      <c r="KQL37" s="292"/>
      <c r="KQM37" s="292"/>
      <c r="KQN37" s="292"/>
      <c r="KQO37" s="292"/>
      <c r="KQP37" s="292"/>
      <c r="KQQ37" s="292"/>
      <c r="KQR37" s="292"/>
      <c r="KQS37" s="292"/>
      <c r="KQT37" s="292"/>
      <c r="KQU37" s="292"/>
      <c r="KQV37" s="292"/>
      <c r="KQW37" s="292"/>
      <c r="KQX37" s="292"/>
      <c r="KQY37" s="292"/>
      <c r="KQZ37" s="292"/>
      <c r="KRA37" s="292"/>
      <c r="KRB37" s="292"/>
      <c r="KRC37" s="292"/>
      <c r="KRD37" s="292"/>
      <c r="KRE37" s="292"/>
      <c r="KRF37" s="292"/>
      <c r="KRG37" s="292"/>
      <c r="KRH37" s="292"/>
      <c r="KRI37" s="292"/>
      <c r="KRJ37" s="292"/>
      <c r="KRK37" s="292"/>
      <c r="KRL37" s="292"/>
      <c r="KRM37" s="292"/>
      <c r="KRN37" s="292"/>
      <c r="KRO37" s="292"/>
      <c r="KRP37" s="292"/>
      <c r="KRQ37" s="292"/>
      <c r="KRR37" s="292"/>
      <c r="KRS37" s="292"/>
      <c r="KRT37" s="292"/>
      <c r="KRU37" s="292"/>
      <c r="KRV37" s="292"/>
      <c r="KRW37" s="292"/>
      <c r="KRX37" s="292"/>
      <c r="KRY37" s="292"/>
      <c r="KRZ37" s="292"/>
      <c r="KSA37" s="292"/>
      <c r="KSB37" s="292"/>
      <c r="KSC37" s="292"/>
      <c r="KSD37" s="292"/>
      <c r="KSE37" s="292"/>
      <c r="KSF37" s="292"/>
      <c r="KSG37" s="292"/>
      <c r="KSH37" s="292"/>
      <c r="KSI37" s="292"/>
      <c r="KSJ37" s="292"/>
      <c r="KSK37" s="292"/>
      <c r="KSL37" s="292"/>
      <c r="KSM37" s="292"/>
      <c r="KSN37" s="292"/>
      <c r="KSO37" s="292"/>
      <c r="KSP37" s="292"/>
      <c r="KSQ37" s="292"/>
      <c r="KSR37" s="292"/>
      <c r="KSS37" s="292"/>
      <c r="KST37" s="292"/>
      <c r="KSU37" s="292"/>
      <c r="KSV37" s="292"/>
      <c r="KSW37" s="292"/>
      <c r="KSX37" s="292"/>
      <c r="KSY37" s="292"/>
      <c r="KSZ37" s="292"/>
      <c r="KTA37" s="292"/>
      <c r="KTB37" s="292"/>
      <c r="KTC37" s="292"/>
      <c r="KTD37" s="292"/>
      <c r="KTE37" s="292"/>
      <c r="KTF37" s="292"/>
      <c r="KTG37" s="292"/>
      <c r="KTH37" s="292"/>
      <c r="KTI37" s="292"/>
      <c r="KTJ37" s="292"/>
      <c r="KTK37" s="292"/>
      <c r="KTL37" s="292"/>
      <c r="KTM37" s="292"/>
      <c r="KTN37" s="292"/>
      <c r="KTO37" s="292"/>
      <c r="KTP37" s="292"/>
      <c r="KTQ37" s="292"/>
      <c r="KTR37" s="292"/>
      <c r="KTS37" s="292"/>
      <c r="KTT37" s="292"/>
      <c r="KTU37" s="292"/>
      <c r="KTV37" s="292"/>
      <c r="KTW37" s="292"/>
      <c r="KTX37" s="292"/>
      <c r="KTY37" s="292"/>
      <c r="KTZ37" s="292"/>
      <c r="KUA37" s="292"/>
      <c r="KUB37" s="292"/>
      <c r="KUC37" s="292"/>
      <c r="KUD37" s="292"/>
      <c r="KUE37" s="292"/>
      <c r="KUF37" s="292"/>
      <c r="KUG37" s="292"/>
      <c r="KUH37" s="292"/>
      <c r="KUI37" s="292"/>
      <c r="KUJ37" s="292"/>
      <c r="KUK37" s="292"/>
      <c r="KUL37" s="292"/>
      <c r="KUM37" s="292"/>
      <c r="KUN37" s="292"/>
      <c r="KUO37" s="292"/>
      <c r="KUP37" s="292"/>
      <c r="KUQ37" s="292"/>
      <c r="KUR37" s="292"/>
      <c r="KUS37" s="292"/>
      <c r="KUT37" s="292"/>
      <c r="KUU37" s="292"/>
      <c r="KUV37" s="292"/>
      <c r="KUW37" s="292"/>
      <c r="KUX37" s="292"/>
      <c r="KUY37" s="292"/>
      <c r="KUZ37" s="292"/>
      <c r="KVA37" s="292"/>
      <c r="KVB37" s="292"/>
      <c r="KVC37" s="292"/>
      <c r="KVD37" s="292"/>
      <c r="KVE37" s="292"/>
      <c r="KVF37" s="292"/>
      <c r="KVG37" s="292"/>
      <c r="KVH37" s="292"/>
      <c r="KVI37" s="292"/>
      <c r="KVJ37" s="292"/>
      <c r="KVK37" s="292"/>
      <c r="KVL37" s="292"/>
      <c r="KVM37" s="292"/>
      <c r="KVN37" s="292"/>
      <c r="KVO37" s="292"/>
      <c r="KVP37" s="292"/>
      <c r="KVQ37" s="292"/>
      <c r="KVR37" s="292"/>
      <c r="KVS37" s="292"/>
      <c r="KVT37" s="292"/>
      <c r="KVU37" s="292"/>
      <c r="KVV37" s="292"/>
      <c r="KVW37" s="292"/>
      <c r="KVX37" s="292"/>
      <c r="KVY37" s="292"/>
      <c r="KVZ37" s="292"/>
      <c r="KWA37" s="292"/>
      <c r="KWB37" s="292"/>
      <c r="KWC37" s="292"/>
      <c r="KWD37" s="292"/>
      <c r="KWE37" s="292"/>
      <c r="KWF37" s="292"/>
      <c r="KWG37" s="292"/>
      <c r="KWH37" s="292"/>
      <c r="KWI37" s="292"/>
      <c r="KWJ37" s="292"/>
      <c r="KWK37" s="292"/>
      <c r="KWL37" s="292"/>
      <c r="KWM37" s="292"/>
      <c r="KWN37" s="292"/>
      <c r="KWO37" s="292"/>
      <c r="KWP37" s="292"/>
      <c r="KWQ37" s="292"/>
      <c r="KWR37" s="292"/>
      <c r="KWS37" s="292"/>
      <c r="KWT37" s="292"/>
      <c r="KWU37" s="292"/>
      <c r="KWV37" s="292"/>
      <c r="KWW37" s="292"/>
      <c r="KWX37" s="292"/>
      <c r="KWY37" s="292"/>
      <c r="KWZ37" s="292"/>
      <c r="KXA37" s="292"/>
      <c r="KXB37" s="292"/>
      <c r="KXC37" s="292"/>
      <c r="KXD37" s="292"/>
      <c r="KXE37" s="292"/>
      <c r="KXF37" s="292"/>
      <c r="KXG37" s="292"/>
      <c r="KXH37" s="292"/>
      <c r="KXI37" s="292"/>
      <c r="KXJ37" s="292"/>
      <c r="KXK37" s="292"/>
      <c r="KXL37" s="292"/>
      <c r="KXM37" s="292"/>
      <c r="KXN37" s="292"/>
      <c r="KXO37" s="292"/>
      <c r="KXP37" s="292"/>
      <c r="KXQ37" s="292"/>
      <c r="KXR37" s="292"/>
      <c r="KXS37" s="292"/>
      <c r="KXT37" s="292"/>
      <c r="KXU37" s="292"/>
      <c r="KXV37" s="292"/>
      <c r="KXW37" s="292"/>
      <c r="KXX37" s="292"/>
      <c r="KXY37" s="292"/>
      <c r="KXZ37" s="292"/>
      <c r="KYA37" s="292"/>
      <c r="KYB37" s="292"/>
      <c r="KYC37" s="292"/>
      <c r="KYD37" s="292"/>
      <c r="KYE37" s="292"/>
      <c r="KYF37" s="292"/>
      <c r="KYG37" s="292"/>
      <c r="KYH37" s="292"/>
      <c r="KYI37" s="292"/>
      <c r="KYJ37" s="292"/>
      <c r="KYK37" s="292"/>
      <c r="KYL37" s="292"/>
      <c r="KYM37" s="292"/>
      <c r="KYN37" s="292"/>
      <c r="KYO37" s="292"/>
      <c r="KYP37" s="292"/>
      <c r="KYQ37" s="292"/>
      <c r="KYR37" s="292"/>
      <c r="KYS37" s="292"/>
      <c r="KYT37" s="292"/>
      <c r="KYU37" s="292"/>
      <c r="KYV37" s="292"/>
      <c r="KYW37" s="292"/>
      <c r="KYX37" s="292"/>
      <c r="KYY37" s="292"/>
      <c r="KYZ37" s="292"/>
      <c r="KZA37" s="292"/>
      <c r="KZB37" s="292"/>
      <c r="KZC37" s="292"/>
      <c r="KZD37" s="292"/>
      <c r="KZE37" s="292"/>
      <c r="KZF37" s="292"/>
      <c r="KZG37" s="292"/>
      <c r="KZH37" s="292"/>
      <c r="KZI37" s="292"/>
      <c r="KZJ37" s="292"/>
      <c r="KZK37" s="292"/>
      <c r="KZL37" s="292"/>
      <c r="KZM37" s="292"/>
      <c r="KZN37" s="292"/>
      <c r="KZO37" s="292"/>
      <c r="KZP37" s="292"/>
      <c r="KZQ37" s="292"/>
      <c r="KZR37" s="292"/>
      <c r="KZS37" s="292"/>
      <c r="KZT37" s="292"/>
      <c r="KZU37" s="292"/>
      <c r="KZV37" s="292"/>
      <c r="KZW37" s="292"/>
      <c r="KZX37" s="292"/>
      <c r="KZY37" s="292"/>
      <c r="KZZ37" s="292"/>
      <c r="LAA37" s="292"/>
      <c r="LAB37" s="292"/>
      <c r="LAC37" s="292"/>
      <c r="LAD37" s="292"/>
      <c r="LAE37" s="292"/>
      <c r="LAF37" s="292"/>
      <c r="LAG37" s="292"/>
      <c r="LAH37" s="292"/>
      <c r="LAI37" s="292"/>
      <c r="LAJ37" s="292"/>
      <c r="LAK37" s="292"/>
      <c r="LAL37" s="292"/>
      <c r="LAM37" s="292"/>
      <c r="LAN37" s="292"/>
      <c r="LAO37" s="292"/>
      <c r="LAP37" s="292"/>
      <c r="LAQ37" s="292"/>
      <c r="LAR37" s="292"/>
      <c r="LAS37" s="292"/>
      <c r="LAT37" s="292"/>
      <c r="LAU37" s="292"/>
      <c r="LAV37" s="292"/>
      <c r="LAW37" s="292"/>
      <c r="LAX37" s="292"/>
      <c r="LAY37" s="292"/>
      <c r="LAZ37" s="292"/>
      <c r="LBA37" s="292"/>
      <c r="LBB37" s="292"/>
      <c r="LBC37" s="292"/>
      <c r="LBD37" s="292"/>
      <c r="LBE37" s="292"/>
      <c r="LBF37" s="292"/>
      <c r="LBG37" s="292"/>
      <c r="LBH37" s="292"/>
      <c r="LBI37" s="292"/>
      <c r="LBJ37" s="292"/>
      <c r="LBK37" s="292"/>
      <c r="LBL37" s="292"/>
      <c r="LBM37" s="292"/>
      <c r="LBN37" s="292"/>
      <c r="LBO37" s="292"/>
      <c r="LBP37" s="292"/>
      <c r="LBQ37" s="292"/>
      <c r="LBR37" s="292"/>
      <c r="LBS37" s="292"/>
      <c r="LBT37" s="292"/>
      <c r="LBU37" s="292"/>
      <c r="LBV37" s="292"/>
      <c r="LBW37" s="292"/>
      <c r="LBX37" s="292"/>
      <c r="LBY37" s="292"/>
      <c r="LBZ37" s="292"/>
      <c r="LCA37" s="292"/>
      <c r="LCB37" s="292"/>
      <c r="LCC37" s="292"/>
      <c r="LCD37" s="292"/>
      <c r="LCE37" s="292"/>
      <c r="LCF37" s="292"/>
      <c r="LCG37" s="292"/>
      <c r="LCH37" s="292"/>
      <c r="LCI37" s="292"/>
      <c r="LCJ37" s="292"/>
      <c r="LCK37" s="292"/>
      <c r="LCL37" s="292"/>
      <c r="LCM37" s="292"/>
      <c r="LCN37" s="292"/>
      <c r="LCO37" s="292"/>
      <c r="LCP37" s="292"/>
      <c r="LCQ37" s="292"/>
      <c r="LCR37" s="292"/>
      <c r="LCS37" s="292"/>
      <c r="LCT37" s="292"/>
      <c r="LCU37" s="292"/>
      <c r="LCV37" s="292"/>
      <c r="LCW37" s="292"/>
      <c r="LCX37" s="292"/>
      <c r="LCY37" s="292"/>
      <c r="LCZ37" s="292"/>
      <c r="LDA37" s="292"/>
      <c r="LDB37" s="292"/>
      <c r="LDC37" s="292"/>
      <c r="LDD37" s="292"/>
      <c r="LDE37" s="292"/>
      <c r="LDF37" s="292"/>
      <c r="LDG37" s="292"/>
      <c r="LDH37" s="292"/>
      <c r="LDI37" s="292"/>
      <c r="LDJ37" s="292"/>
      <c r="LDK37" s="292"/>
      <c r="LDL37" s="292"/>
      <c r="LDM37" s="292"/>
      <c r="LDN37" s="292"/>
      <c r="LDO37" s="292"/>
      <c r="LDP37" s="292"/>
      <c r="LDQ37" s="292"/>
      <c r="LDR37" s="292"/>
      <c r="LDS37" s="292"/>
      <c r="LDT37" s="292"/>
      <c r="LDU37" s="292"/>
      <c r="LDV37" s="292"/>
      <c r="LDW37" s="292"/>
      <c r="LDX37" s="292"/>
      <c r="LDY37" s="292"/>
      <c r="LDZ37" s="292"/>
      <c r="LEA37" s="292"/>
      <c r="LEB37" s="292"/>
      <c r="LEC37" s="292"/>
      <c r="LED37" s="292"/>
      <c r="LEE37" s="292"/>
      <c r="LEF37" s="292"/>
      <c r="LEG37" s="292"/>
      <c r="LEH37" s="292"/>
      <c r="LEI37" s="292"/>
      <c r="LEJ37" s="292"/>
      <c r="LEK37" s="292"/>
      <c r="LEL37" s="292"/>
      <c r="LEM37" s="292"/>
      <c r="LEN37" s="292"/>
      <c r="LEO37" s="292"/>
      <c r="LEP37" s="292"/>
      <c r="LEQ37" s="292"/>
      <c r="LER37" s="292"/>
      <c r="LES37" s="292"/>
      <c r="LET37" s="292"/>
      <c r="LEU37" s="292"/>
      <c r="LEV37" s="292"/>
      <c r="LEW37" s="292"/>
      <c r="LEX37" s="292"/>
      <c r="LEY37" s="292"/>
      <c r="LEZ37" s="292"/>
      <c r="LFA37" s="292"/>
      <c r="LFB37" s="292"/>
      <c r="LFC37" s="292"/>
      <c r="LFD37" s="292"/>
      <c r="LFE37" s="292"/>
      <c r="LFF37" s="292"/>
      <c r="LFG37" s="292"/>
      <c r="LFH37" s="292"/>
      <c r="LFI37" s="292"/>
      <c r="LFJ37" s="292"/>
      <c r="LFK37" s="292"/>
      <c r="LFL37" s="292"/>
      <c r="LFM37" s="292"/>
      <c r="LFN37" s="292"/>
      <c r="LFO37" s="292"/>
      <c r="LFP37" s="292"/>
      <c r="LFQ37" s="292"/>
      <c r="LFR37" s="292"/>
      <c r="LFS37" s="292"/>
      <c r="LFT37" s="292"/>
      <c r="LFU37" s="292"/>
      <c r="LFV37" s="292"/>
      <c r="LFW37" s="292"/>
      <c r="LFX37" s="292"/>
      <c r="LFY37" s="292"/>
      <c r="LFZ37" s="292"/>
      <c r="LGA37" s="292"/>
      <c r="LGB37" s="292"/>
      <c r="LGC37" s="292"/>
      <c r="LGD37" s="292"/>
      <c r="LGE37" s="292"/>
      <c r="LGF37" s="292"/>
      <c r="LGG37" s="292"/>
      <c r="LGH37" s="292"/>
      <c r="LGI37" s="292"/>
      <c r="LGJ37" s="292"/>
      <c r="LGK37" s="292"/>
      <c r="LGL37" s="292"/>
      <c r="LGM37" s="292"/>
      <c r="LGN37" s="292"/>
      <c r="LGO37" s="292"/>
      <c r="LGP37" s="292"/>
      <c r="LGQ37" s="292"/>
      <c r="LGR37" s="292"/>
      <c r="LGS37" s="292"/>
      <c r="LGT37" s="292"/>
      <c r="LGU37" s="292"/>
      <c r="LGV37" s="292"/>
      <c r="LGW37" s="292"/>
      <c r="LGX37" s="292"/>
      <c r="LGY37" s="292"/>
      <c r="LGZ37" s="292"/>
      <c r="LHA37" s="292"/>
      <c r="LHB37" s="292"/>
      <c r="LHC37" s="292"/>
      <c r="LHD37" s="292"/>
      <c r="LHE37" s="292"/>
      <c r="LHF37" s="292"/>
      <c r="LHG37" s="292"/>
      <c r="LHH37" s="292"/>
      <c r="LHI37" s="292"/>
      <c r="LHJ37" s="292"/>
      <c r="LHK37" s="292"/>
      <c r="LHL37" s="292"/>
      <c r="LHM37" s="292"/>
      <c r="LHN37" s="292"/>
      <c r="LHO37" s="292"/>
      <c r="LHP37" s="292"/>
      <c r="LHQ37" s="292"/>
      <c r="LHR37" s="292"/>
      <c r="LHS37" s="292"/>
      <c r="LHT37" s="292"/>
      <c r="LHU37" s="292"/>
      <c r="LHV37" s="292"/>
      <c r="LHW37" s="292"/>
      <c r="LHX37" s="292"/>
      <c r="LHY37" s="292"/>
      <c r="LHZ37" s="292"/>
      <c r="LIA37" s="292"/>
      <c r="LIB37" s="292"/>
      <c r="LIC37" s="292"/>
      <c r="LID37" s="292"/>
      <c r="LIE37" s="292"/>
      <c r="LIF37" s="292"/>
      <c r="LIG37" s="292"/>
      <c r="LIH37" s="292"/>
      <c r="LII37" s="292"/>
      <c r="LIJ37" s="292"/>
      <c r="LIK37" s="292"/>
      <c r="LIL37" s="292"/>
      <c r="LIM37" s="292"/>
      <c r="LIN37" s="292"/>
      <c r="LIO37" s="292"/>
      <c r="LIP37" s="292"/>
      <c r="LIQ37" s="292"/>
      <c r="LIR37" s="292"/>
      <c r="LIS37" s="292"/>
      <c r="LIT37" s="292"/>
      <c r="LIU37" s="292"/>
      <c r="LIV37" s="292"/>
      <c r="LIW37" s="292"/>
      <c r="LIX37" s="292"/>
      <c r="LIY37" s="292"/>
      <c r="LIZ37" s="292"/>
      <c r="LJA37" s="292"/>
      <c r="LJB37" s="292"/>
      <c r="LJC37" s="292"/>
      <c r="LJD37" s="292"/>
      <c r="LJE37" s="292"/>
      <c r="LJF37" s="292"/>
      <c r="LJG37" s="292"/>
      <c r="LJH37" s="292"/>
      <c r="LJI37" s="292"/>
      <c r="LJJ37" s="292"/>
      <c r="LJK37" s="292"/>
      <c r="LJL37" s="292"/>
      <c r="LJM37" s="292"/>
      <c r="LJN37" s="292"/>
      <c r="LJO37" s="292"/>
      <c r="LJP37" s="292"/>
      <c r="LJQ37" s="292"/>
      <c r="LJR37" s="292"/>
      <c r="LJS37" s="292"/>
      <c r="LJT37" s="292"/>
      <c r="LJU37" s="292"/>
      <c r="LJV37" s="292"/>
      <c r="LJW37" s="292"/>
      <c r="LJX37" s="292"/>
      <c r="LJY37" s="292"/>
      <c r="LJZ37" s="292"/>
      <c r="LKA37" s="292"/>
      <c r="LKB37" s="292"/>
      <c r="LKC37" s="292"/>
      <c r="LKD37" s="292"/>
      <c r="LKE37" s="292"/>
      <c r="LKF37" s="292"/>
      <c r="LKG37" s="292"/>
      <c r="LKH37" s="292"/>
      <c r="LKI37" s="292"/>
      <c r="LKJ37" s="292"/>
      <c r="LKK37" s="292"/>
      <c r="LKL37" s="292"/>
      <c r="LKM37" s="292"/>
      <c r="LKN37" s="292"/>
      <c r="LKO37" s="292"/>
      <c r="LKP37" s="292"/>
      <c r="LKQ37" s="292"/>
      <c r="LKR37" s="292"/>
      <c r="LKS37" s="292"/>
      <c r="LKT37" s="292"/>
      <c r="LKU37" s="292"/>
      <c r="LKV37" s="292"/>
      <c r="LKW37" s="292"/>
      <c r="LKX37" s="292"/>
      <c r="LKY37" s="292"/>
      <c r="LKZ37" s="292"/>
      <c r="LLA37" s="292"/>
      <c r="LLB37" s="292"/>
      <c r="LLC37" s="292"/>
      <c r="LLD37" s="292"/>
      <c r="LLE37" s="292"/>
      <c r="LLF37" s="292"/>
      <c r="LLG37" s="292"/>
      <c r="LLH37" s="292"/>
      <c r="LLI37" s="292"/>
      <c r="LLJ37" s="292"/>
      <c r="LLK37" s="292"/>
      <c r="LLL37" s="292"/>
      <c r="LLM37" s="292"/>
      <c r="LLN37" s="292"/>
      <c r="LLO37" s="292"/>
      <c r="LLP37" s="292"/>
      <c r="LLQ37" s="292"/>
      <c r="LLR37" s="292"/>
      <c r="LLS37" s="292"/>
      <c r="LLT37" s="292"/>
      <c r="LLU37" s="292"/>
      <c r="LLV37" s="292"/>
      <c r="LLW37" s="292"/>
      <c r="LLX37" s="292"/>
      <c r="LLY37" s="292"/>
      <c r="LLZ37" s="292"/>
      <c r="LMA37" s="292"/>
      <c r="LMB37" s="292"/>
      <c r="LMC37" s="292"/>
      <c r="LMD37" s="292"/>
      <c r="LME37" s="292"/>
      <c r="LMF37" s="292"/>
      <c r="LMG37" s="292"/>
      <c r="LMH37" s="292"/>
      <c r="LMI37" s="292"/>
      <c r="LMJ37" s="292"/>
      <c r="LMK37" s="292"/>
      <c r="LML37" s="292"/>
      <c r="LMM37" s="292"/>
      <c r="LMN37" s="292"/>
      <c r="LMO37" s="292"/>
      <c r="LMP37" s="292"/>
      <c r="LMQ37" s="292"/>
      <c r="LMR37" s="292"/>
      <c r="LMS37" s="292"/>
      <c r="LMT37" s="292"/>
      <c r="LMU37" s="292"/>
      <c r="LMV37" s="292"/>
      <c r="LMW37" s="292"/>
      <c r="LMX37" s="292"/>
      <c r="LMY37" s="292"/>
      <c r="LMZ37" s="292"/>
      <c r="LNA37" s="292"/>
      <c r="LNB37" s="292"/>
      <c r="LNC37" s="292"/>
      <c r="LND37" s="292"/>
      <c r="LNE37" s="292"/>
      <c r="LNF37" s="292"/>
      <c r="LNG37" s="292"/>
      <c r="LNH37" s="292"/>
      <c r="LNI37" s="292"/>
      <c r="LNJ37" s="292"/>
      <c r="LNK37" s="292"/>
      <c r="LNL37" s="292"/>
      <c r="LNM37" s="292"/>
      <c r="LNN37" s="292"/>
      <c r="LNO37" s="292"/>
      <c r="LNP37" s="292"/>
      <c r="LNQ37" s="292"/>
      <c r="LNR37" s="292"/>
      <c r="LNS37" s="292"/>
      <c r="LNT37" s="292"/>
      <c r="LNU37" s="292"/>
      <c r="LNV37" s="292"/>
      <c r="LNW37" s="292"/>
      <c r="LNX37" s="292"/>
      <c r="LNY37" s="292"/>
      <c r="LNZ37" s="292"/>
      <c r="LOA37" s="292"/>
      <c r="LOB37" s="292"/>
      <c r="LOC37" s="292"/>
      <c r="LOD37" s="292"/>
      <c r="LOE37" s="292"/>
      <c r="LOF37" s="292"/>
      <c r="LOG37" s="292"/>
      <c r="LOH37" s="292"/>
      <c r="LOI37" s="292"/>
      <c r="LOJ37" s="292"/>
      <c r="LOK37" s="292"/>
      <c r="LOL37" s="292"/>
      <c r="LOM37" s="292"/>
      <c r="LON37" s="292"/>
      <c r="LOO37" s="292"/>
      <c r="LOP37" s="292"/>
      <c r="LOQ37" s="292"/>
      <c r="LOR37" s="292"/>
      <c r="LOS37" s="292"/>
      <c r="LOT37" s="292"/>
      <c r="LOU37" s="292"/>
      <c r="LOV37" s="292"/>
      <c r="LOW37" s="292"/>
      <c r="LOX37" s="292"/>
      <c r="LOY37" s="292"/>
      <c r="LOZ37" s="292"/>
      <c r="LPA37" s="292"/>
      <c r="LPB37" s="292"/>
      <c r="LPC37" s="292"/>
      <c r="LPD37" s="292"/>
      <c r="LPE37" s="292"/>
      <c r="LPF37" s="292"/>
      <c r="LPG37" s="292"/>
      <c r="LPH37" s="292"/>
      <c r="LPI37" s="292"/>
      <c r="LPJ37" s="292"/>
      <c r="LPK37" s="292"/>
      <c r="LPL37" s="292"/>
      <c r="LPM37" s="292"/>
      <c r="LPN37" s="292"/>
      <c r="LPO37" s="292"/>
      <c r="LPP37" s="292"/>
      <c r="LPQ37" s="292"/>
      <c r="LPR37" s="292"/>
      <c r="LPS37" s="292"/>
      <c r="LPT37" s="292"/>
      <c r="LPU37" s="292"/>
      <c r="LPV37" s="292"/>
      <c r="LPW37" s="292"/>
      <c r="LPX37" s="292"/>
      <c r="LPY37" s="292"/>
      <c r="LPZ37" s="292"/>
      <c r="LQA37" s="292"/>
      <c r="LQB37" s="292"/>
      <c r="LQC37" s="292"/>
      <c r="LQD37" s="292"/>
      <c r="LQE37" s="292"/>
      <c r="LQF37" s="292"/>
      <c r="LQG37" s="292"/>
      <c r="LQH37" s="292"/>
      <c r="LQI37" s="292"/>
      <c r="LQJ37" s="292"/>
      <c r="LQK37" s="292"/>
      <c r="LQL37" s="292"/>
      <c r="LQM37" s="292"/>
      <c r="LQN37" s="292"/>
      <c r="LQO37" s="292"/>
      <c r="LQP37" s="292"/>
      <c r="LQQ37" s="292"/>
      <c r="LQR37" s="292"/>
      <c r="LQS37" s="292"/>
      <c r="LQT37" s="292"/>
      <c r="LQU37" s="292"/>
      <c r="LQV37" s="292"/>
      <c r="LQW37" s="292"/>
      <c r="LQX37" s="292"/>
      <c r="LQY37" s="292"/>
      <c r="LQZ37" s="292"/>
      <c r="LRA37" s="292"/>
      <c r="LRB37" s="292"/>
      <c r="LRC37" s="292"/>
      <c r="LRD37" s="292"/>
      <c r="LRE37" s="292"/>
      <c r="LRF37" s="292"/>
      <c r="LRG37" s="292"/>
      <c r="LRH37" s="292"/>
      <c r="LRI37" s="292"/>
      <c r="LRJ37" s="292"/>
      <c r="LRK37" s="292"/>
      <c r="LRL37" s="292"/>
      <c r="LRM37" s="292"/>
      <c r="LRN37" s="292"/>
      <c r="LRO37" s="292"/>
      <c r="LRP37" s="292"/>
      <c r="LRQ37" s="292"/>
      <c r="LRR37" s="292"/>
      <c r="LRS37" s="292"/>
      <c r="LRT37" s="292"/>
      <c r="LRU37" s="292"/>
      <c r="LRV37" s="292"/>
      <c r="LRW37" s="292"/>
      <c r="LRX37" s="292"/>
      <c r="LRY37" s="292"/>
      <c r="LRZ37" s="292"/>
      <c r="LSA37" s="292"/>
      <c r="LSB37" s="292"/>
      <c r="LSC37" s="292"/>
      <c r="LSD37" s="292"/>
      <c r="LSE37" s="292"/>
      <c r="LSF37" s="292"/>
      <c r="LSG37" s="292"/>
      <c r="LSH37" s="292"/>
      <c r="LSI37" s="292"/>
      <c r="LSJ37" s="292"/>
      <c r="LSK37" s="292"/>
      <c r="LSL37" s="292"/>
      <c r="LSM37" s="292"/>
      <c r="LSN37" s="292"/>
      <c r="LSO37" s="292"/>
      <c r="LSP37" s="292"/>
      <c r="LSQ37" s="292"/>
      <c r="LSR37" s="292"/>
      <c r="LSS37" s="292"/>
      <c r="LST37" s="292"/>
      <c r="LSU37" s="292"/>
      <c r="LSV37" s="292"/>
      <c r="LSW37" s="292"/>
      <c r="LSX37" s="292"/>
      <c r="LSY37" s="292"/>
      <c r="LSZ37" s="292"/>
      <c r="LTA37" s="292"/>
      <c r="LTB37" s="292"/>
      <c r="LTC37" s="292"/>
      <c r="LTD37" s="292"/>
      <c r="LTE37" s="292"/>
      <c r="LTF37" s="292"/>
      <c r="LTG37" s="292"/>
      <c r="LTH37" s="292"/>
      <c r="LTI37" s="292"/>
      <c r="LTJ37" s="292"/>
      <c r="LTK37" s="292"/>
      <c r="LTL37" s="292"/>
      <c r="LTM37" s="292"/>
      <c r="LTN37" s="292"/>
      <c r="LTO37" s="292"/>
      <c r="LTP37" s="292"/>
      <c r="LTQ37" s="292"/>
      <c r="LTR37" s="292"/>
      <c r="LTS37" s="292"/>
      <c r="LTT37" s="292"/>
      <c r="LTU37" s="292"/>
      <c r="LTV37" s="292"/>
      <c r="LTW37" s="292"/>
      <c r="LTX37" s="292"/>
      <c r="LTY37" s="292"/>
      <c r="LTZ37" s="292"/>
      <c r="LUA37" s="292"/>
      <c r="LUB37" s="292"/>
      <c r="LUC37" s="292"/>
      <c r="LUD37" s="292"/>
      <c r="LUE37" s="292"/>
      <c r="LUF37" s="292"/>
      <c r="LUG37" s="292"/>
      <c r="LUH37" s="292"/>
      <c r="LUI37" s="292"/>
      <c r="LUJ37" s="292"/>
      <c r="LUK37" s="292"/>
      <c r="LUL37" s="292"/>
      <c r="LUM37" s="292"/>
      <c r="LUN37" s="292"/>
      <c r="LUO37" s="292"/>
      <c r="LUP37" s="292"/>
      <c r="LUQ37" s="292"/>
      <c r="LUR37" s="292"/>
      <c r="LUS37" s="292"/>
      <c r="LUT37" s="292"/>
      <c r="LUU37" s="292"/>
      <c r="LUV37" s="292"/>
      <c r="LUW37" s="292"/>
      <c r="LUX37" s="292"/>
      <c r="LUY37" s="292"/>
      <c r="LUZ37" s="292"/>
      <c r="LVA37" s="292"/>
      <c r="LVB37" s="292"/>
      <c r="LVC37" s="292"/>
      <c r="LVD37" s="292"/>
      <c r="LVE37" s="292"/>
      <c r="LVF37" s="292"/>
      <c r="LVG37" s="292"/>
      <c r="LVH37" s="292"/>
      <c r="LVI37" s="292"/>
      <c r="LVJ37" s="292"/>
      <c r="LVK37" s="292"/>
      <c r="LVL37" s="292"/>
      <c r="LVM37" s="292"/>
      <c r="LVN37" s="292"/>
      <c r="LVO37" s="292"/>
      <c r="LVP37" s="292"/>
      <c r="LVQ37" s="292"/>
      <c r="LVR37" s="292"/>
      <c r="LVS37" s="292"/>
      <c r="LVT37" s="292"/>
      <c r="LVU37" s="292"/>
      <c r="LVV37" s="292"/>
      <c r="LVW37" s="292"/>
      <c r="LVX37" s="292"/>
      <c r="LVY37" s="292"/>
      <c r="LVZ37" s="292"/>
      <c r="LWA37" s="292"/>
      <c r="LWB37" s="292"/>
      <c r="LWC37" s="292"/>
      <c r="LWD37" s="292"/>
      <c r="LWE37" s="292"/>
      <c r="LWF37" s="292"/>
      <c r="LWG37" s="292"/>
      <c r="LWH37" s="292"/>
      <c r="LWI37" s="292"/>
      <c r="LWJ37" s="292"/>
      <c r="LWK37" s="292"/>
      <c r="LWL37" s="292"/>
      <c r="LWM37" s="292"/>
      <c r="LWN37" s="292"/>
      <c r="LWO37" s="292"/>
      <c r="LWP37" s="292"/>
      <c r="LWQ37" s="292"/>
      <c r="LWR37" s="292"/>
      <c r="LWS37" s="292"/>
      <c r="LWT37" s="292"/>
      <c r="LWU37" s="292"/>
      <c r="LWV37" s="292"/>
      <c r="LWW37" s="292"/>
      <c r="LWX37" s="292"/>
      <c r="LWY37" s="292"/>
      <c r="LWZ37" s="292"/>
      <c r="LXA37" s="292"/>
      <c r="LXB37" s="292"/>
      <c r="LXC37" s="292"/>
      <c r="LXD37" s="292"/>
      <c r="LXE37" s="292"/>
      <c r="LXF37" s="292"/>
      <c r="LXG37" s="292"/>
      <c r="LXH37" s="292"/>
      <c r="LXI37" s="292"/>
      <c r="LXJ37" s="292"/>
      <c r="LXK37" s="292"/>
      <c r="LXL37" s="292"/>
      <c r="LXM37" s="292"/>
      <c r="LXN37" s="292"/>
      <c r="LXO37" s="292"/>
      <c r="LXP37" s="292"/>
      <c r="LXQ37" s="292"/>
      <c r="LXR37" s="292"/>
      <c r="LXS37" s="292"/>
      <c r="LXT37" s="292"/>
      <c r="LXU37" s="292"/>
      <c r="LXV37" s="292"/>
      <c r="LXW37" s="292"/>
      <c r="LXX37" s="292"/>
      <c r="LXY37" s="292"/>
      <c r="LXZ37" s="292"/>
      <c r="LYA37" s="292"/>
      <c r="LYB37" s="292"/>
      <c r="LYC37" s="292"/>
      <c r="LYD37" s="292"/>
      <c r="LYE37" s="292"/>
      <c r="LYF37" s="292"/>
      <c r="LYG37" s="292"/>
      <c r="LYH37" s="292"/>
      <c r="LYI37" s="292"/>
      <c r="LYJ37" s="292"/>
      <c r="LYK37" s="292"/>
      <c r="LYL37" s="292"/>
      <c r="LYM37" s="292"/>
      <c r="LYN37" s="292"/>
      <c r="LYO37" s="292"/>
      <c r="LYP37" s="292"/>
      <c r="LYQ37" s="292"/>
      <c r="LYR37" s="292"/>
      <c r="LYS37" s="292"/>
      <c r="LYT37" s="292"/>
      <c r="LYU37" s="292"/>
      <c r="LYV37" s="292"/>
      <c r="LYW37" s="292"/>
      <c r="LYX37" s="292"/>
      <c r="LYY37" s="292"/>
      <c r="LYZ37" s="292"/>
      <c r="LZA37" s="292"/>
      <c r="LZB37" s="292"/>
      <c r="LZC37" s="292"/>
      <c r="LZD37" s="292"/>
      <c r="LZE37" s="292"/>
      <c r="LZF37" s="292"/>
      <c r="LZG37" s="292"/>
      <c r="LZH37" s="292"/>
      <c r="LZI37" s="292"/>
      <c r="LZJ37" s="292"/>
      <c r="LZK37" s="292"/>
      <c r="LZL37" s="292"/>
      <c r="LZM37" s="292"/>
      <c r="LZN37" s="292"/>
      <c r="LZO37" s="292"/>
      <c r="LZP37" s="292"/>
      <c r="LZQ37" s="292"/>
      <c r="LZR37" s="292"/>
      <c r="LZS37" s="292"/>
      <c r="LZT37" s="292"/>
      <c r="LZU37" s="292"/>
      <c r="LZV37" s="292"/>
      <c r="LZW37" s="292"/>
      <c r="LZX37" s="292"/>
      <c r="LZY37" s="292"/>
      <c r="LZZ37" s="292"/>
      <c r="MAA37" s="292"/>
      <c r="MAB37" s="292"/>
      <c r="MAC37" s="292"/>
      <c r="MAD37" s="292"/>
      <c r="MAE37" s="292"/>
      <c r="MAF37" s="292"/>
      <c r="MAG37" s="292"/>
      <c r="MAH37" s="292"/>
      <c r="MAI37" s="292"/>
      <c r="MAJ37" s="292"/>
      <c r="MAK37" s="292"/>
      <c r="MAL37" s="292"/>
      <c r="MAM37" s="292"/>
      <c r="MAN37" s="292"/>
      <c r="MAO37" s="292"/>
      <c r="MAP37" s="292"/>
      <c r="MAQ37" s="292"/>
      <c r="MAR37" s="292"/>
      <c r="MAS37" s="292"/>
      <c r="MAT37" s="292"/>
      <c r="MAU37" s="292"/>
      <c r="MAV37" s="292"/>
      <c r="MAW37" s="292"/>
      <c r="MAX37" s="292"/>
      <c r="MAY37" s="292"/>
      <c r="MAZ37" s="292"/>
      <c r="MBA37" s="292"/>
      <c r="MBB37" s="292"/>
      <c r="MBC37" s="292"/>
      <c r="MBD37" s="292"/>
      <c r="MBE37" s="292"/>
      <c r="MBF37" s="292"/>
      <c r="MBG37" s="292"/>
      <c r="MBH37" s="292"/>
      <c r="MBI37" s="292"/>
      <c r="MBJ37" s="292"/>
      <c r="MBK37" s="292"/>
      <c r="MBL37" s="292"/>
      <c r="MBM37" s="292"/>
      <c r="MBN37" s="292"/>
      <c r="MBO37" s="292"/>
      <c r="MBP37" s="292"/>
      <c r="MBQ37" s="292"/>
      <c r="MBR37" s="292"/>
      <c r="MBS37" s="292"/>
      <c r="MBT37" s="292"/>
      <c r="MBU37" s="292"/>
      <c r="MBV37" s="292"/>
      <c r="MBW37" s="292"/>
      <c r="MBX37" s="292"/>
      <c r="MBY37" s="292"/>
      <c r="MBZ37" s="292"/>
      <c r="MCA37" s="292"/>
      <c r="MCB37" s="292"/>
      <c r="MCC37" s="292"/>
      <c r="MCD37" s="292"/>
      <c r="MCE37" s="292"/>
      <c r="MCF37" s="292"/>
      <c r="MCG37" s="292"/>
      <c r="MCH37" s="292"/>
      <c r="MCI37" s="292"/>
      <c r="MCJ37" s="292"/>
      <c r="MCK37" s="292"/>
      <c r="MCL37" s="292"/>
      <c r="MCM37" s="292"/>
      <c r="MCN37" s="292"/>
      <c r="MCO37" s="292"/>
      <c r="MCP37" s="292"/>
      <c r="MCQ37" s="292"/>
      <c r="MCR37" s="292"/>
      <c r="MCS37" s="292"/>
      <c r="MCT37" s="292"/>
      <c r="MCU37" s="292"/>
      <c r="MCV37" s="292"/>
      <c r="MCW37" s="292"/>
      <c r="MCX37" s="292"/>
      <c r="MCY37" s="292"/>
      <c r="MCZ37" s="292"/>
      <c r="MDA37" s="292"/>
      <c r="MDB37" s="292"/>
      <c r="MDC37" s="292"/>
      <c r="MDD37" s="292"/>
      <c r="MDE37" s="292"/>
      <c r="MDF37" s="292"/>
      <c r="MDG37" s="292"/>
      <c r="MDH37" s="292"/>
      <c r="MDI37" s="292"/>
      <c r="MDJ37" s="292"/>
      <c r="MDK37" s="292"/>
      <c r="MDL37" s="292"/>
      <c r="MDM37" s="292"/>
      <c r="MDN37" s="292"/>
      <c r="MDO37" s="292"/>
      <c r="MDP37" s="292"/>
      <c r="MDQ37" s="292"/>
      <c r="MDR37" s="292"/>
      <c r="MDS37" s="292"/>
      <c r="MDT37" s="292"/>
      <c r="MDU37" s="292"/>
      <c r="MDV37" s="292"/>
      <c r="MDW37" s="292"/>
      <c r="MDX37" s="292"/>
      <c r="MDY37" s="292"/>
      <c r="MDZ37" s="292"/>
      <c r="MEA37" s="292"/>
      <c r="MEB37" s="292"/>
      <c r="MEC37" s="292"/>
      <c r="MED37" s="292"/>
      <c r="MEE37" s="292"/>
      <c r="MEF37" s="292"/>
      <c r="MEG37" s="292"/>
      <c r="MEH37" s="292"/>
      <c r="MEI37" s="292"/>
      <c r="MEJ37" s="292"/>
      <c r="MEK37" s="292"/>
      <c r="MEL37" s="292"/>
      <c r="MEM37" s="292"/>
      <c r="MEN37" s="292"/>
      <c r="MEO37" s="292"/>
      <c r="MEP37" s="292"/>
      <c r="MEQ37" s="292"/>
      <c r="MER37" s="292"/>
      <c r="MES37" s="292"/>
      <c r="MET37" s="292"/>
      <c r="MEU37" s="292"/>
      <c r="MEV37" s="292"/>
      <c r="MEW37" s="292"/>
      <c r="MEX37" s="292"/>
      <c r="MEY37" s="292"/>
      <c r="MEZ37" s="292"/>
      <c r="MFA37" s="292"/>
      <c r="MFB37" s="292"/>
      <c r="MFC37" s="292"/>
      <c r="MFD37" s="292"/>
      <c r="MFE37" s="292"/>
      <c r="MFF37" s="292"/>
      <c r="MFG37" s="292"/>
      <c r="MFH37" s="292"/>
      <c r="MFI37" s="292"/>
      <c r="MFJ37" s="292"/>
      <c r="MFK37" s="292"/>
      <c r="MFL37" s="292"/>
      <c r="MFM37" s="292"/>
      <c r="MFN37" s="292"/>
      <c r="MFO37" s="292"/>
      <c r="MFP37" s="292"/>
      <c r="MFQ37" s="292"/>
      <c r="MFR37" s="292"/>
      <c r="MFS37" s="292"/>
      <c r="MFT37" s="292"/>
      <c r="MFU37" s="292"/>
      <c r="MFV37" s="292"/>
      <c r="MFW37" s="292"/>
      <c r="MFX37" s="292"/>
      <c r="MFY37" s="292"/>
      <c r="MFZ37" s="292"/>
      <c r="MGA37" s="292"/>
      <c r="MGB37" s="292"/>
      <c r="MGC37" s="292"/>
      <c r="MGD37" s="292"/>
      <c r="MGE37" s="292"/>
      <c r="MGF37" s="292"/>
      <c r="MGG37" s="292"/>
      <c r="MGH37" s="292"/>
      <c r="MGI37" s="292"/>
      <c r="MGJ37" s="292"/>
      <c r="MGK37" s="292"/>
      <c r="MGL37" s="292"/>
      <c r="MGM37" s="292"/>
      <c r="MGN37" s="292"/>
      <c r="MGO37" s="292"/>
      <c r="MGP37" s="292"/>
      <c r="MGQ37" s="292"/>
      <c r="MGR37" s="292"/>
      <c r="MGS37" s="292"/>
      <c r="MGT37" s="292"/>
      <c r="MGU37" s="292"/>
      <c r="MGV37" s="292"/>
      <c r="MGW37" s="292"/>
      <c r="MGX37" s="292"/>
      <c r="MGY37" s="292"/>
      <c r="MGZ37" s="292"/>
      <c r="MHA37" s="292"/>
      <c r="MHB37" s="292"/>
      <c r="MHC37" s="292"/>
      <c r="MHD37" s="292"/>
      <c r="MHE37" s="292"/>
      <c r="MHF37" s="292"/>
      <c r="MHG37" s="292"/>
      <c r="MHH37" s="292"/>
      <c r="MHI37" s="292"/>
      <c r="MHJ37" s="292"/>
      <c r="MHK37" s="292"/>
      <c r="MHL37" s="292"/>
      <c r="MHM37" s="292"/>
      <c r="MHN37" s="292"/>
      <c r="MHO37" s="292"/>
      <c r="MHP37" s="292"/>
      <c r="MHQ37" s="292"/>
      <c r="MHR37" s="292"/>
      <c r="MHS37" s="292"/>
      <c r="MHT37" s="292"/>
      <c r="MHU37" s="292"/>
      <c r="MHV37" s="292"/>
      <c r="MHW37" s="292"/>
      <c r="MHX37" s="292"/>
      <c r="MHY37" s="292"/>
      <c r="MHZ37" s="292"/>
      <c r="MIA37" s="292"/>
      <c r="MIB37" s="292"/>
      <c r="MIC37" s="292"/>
      <c r="MID37" s="292"/>
      <c r="MIE37" s="292"/>
      <c r="MIF37" s="292"/>
      <c r="MIG37" s="292"/>
      <c r="MIH37" s="292"/>
      <c r="MII37" s="292"/>
      <c r="MIJ37" s="292"/>
      <c r="MIK37" s="292"/>
      <c r="MIL37" s="292"/>
      <c r="MIM37" s="292"/>
      <c r="MIN37" s="292"/>
      <c r="MIO37" s="292"/>
      <c r="MIP37" s="292"/>
      <c r="MIQ37" s="292"/>
      <c r="MIR37" s="292"/>
      <c r="MIS37" s="292"/>
      <c r="MIT37" s="292"/>
      <c r="MIU37" s="292"/>
      <c r="MIV37" s="292"/>
      <c r="MIW37" s="292"/>
      <c r="MIX37" s="292"/>
      <c r="MIY37" s="292"/>
      <c r="MIZ37" s="292"/>
      <c r="MJA37" s="292"/>
      <c r="MJB37" s="292"/>
      <c r="MJC37" s="292"/>
      <c r="MJD37" s="292"/>
      <c r="MJE37" s="292"/>
      <c r="MJF37" s="292"/>
      <c r="MJG37" s="292"/>
      <c r="MJH37" s="292"/>
      <c r="MJI37" s="292"/>
      <c r="MJJ37" s="292"/>
      <c r="MJK37" s="292"/>
      <c r="MJL37" s="292"/>
      <c r="MJM37" s="292"/>
      <c r="MJN37" s="292"/>
      <c r="MJO37" s="292"/>
      <c r="MJP37" s="292"/>
      <c r="MJQ37" s="292"/>
      <c r="MJR37" s="292"/>
      <c r="MJS37" s="292"/>
      <c r="MJT37" s="292"/>
      <c r="MJU37" s="292"/>
      <c r="MJV37" s="292"/>
      <c r="MJW37" s="292"/>
      <c r="MJX37" s="292"/>
      <c r="MJY37" s="292"/>
      <c r="MJZ37" s="292"/>
      <c r="MKA37" s="292"/>
      <c r="MKB37" s="292"/>
      <c r="MKC37" s="292"/>
      <c r="MKD37" s="292"/>
      <c r="MKE37" s="292"/>
      <c r="MKF37" s="292"/>
      <c r="MKG37" s="292"/>
      <c r="MKH37" s="292"/>
      <c r="MKI37" s="292"/>
      <c r="MKJ37" s="292"/>
      <c r="MKK37" s="292"/>
      <c r="MKL37" s="292"/>
      <c r="MKM37" s="292"/>
      <c r="MKN37" s="292"/>
      <c r="MKO37" s="292"/>
      <c r="MKP37" s="292"/>
      <c r="MKQ37" s="292"/>
      <c r="MKR37" s="292"/>
      <c r="MKS37" s="292"/>
      <c r="MKT37" s="292"/>
      <c r="MKU37" s="292"/>
      <c r="MKV37" s="292"/>
      <c r="MKW37" s="292"/>
      <c r="MKX37" s="292"/>
      <c r="MKY37" s="292"/>
      <c r="MKZ37" s="292"/>
      <c r="MLA37" s="292"/>
      <c r="MLB37" s="292"/>
      <c r="MLC37" s="292"/>
      <c r="MLD37" s="292"/>
      <c r="MLE37" s="292"/>
      <c r="MLF37" s="292"/>
      <c r="MLG37" s="292"/>
      <c r="MLH37" s="292"/>
      <c r="MLI37" s="292"/>
      <c r="MLJ37" s="292"/>
      <c r="MLK37" s="292"/>
      <c r="MLL37" s="292"/>
      <c r="MLM37" s="292"/>
      <c r="MLN37" s="292"/>
      <c r="MLO37" s="292"/>
      <c r="MLP37" s="292"/>
      <c r="MLQ37" s="292"/>
      <c r="MLR37" s="292"/>
      <c r="MLS37" s="292"/>
      <c r="MLT37" s="292"/>
      <c r="MLU37" s="292"/>
      <c r="MLV37" s="292"/>
      <c r="MLW37" s="292"/>
      <c r="MLX37" s="292"/>
      <c r="MLY37" s="292"/>
      <c r="MLZ37" s="292"/>
      <c r="MMA37" s="292"/>
      <c r="MMB37" s="292"/>
      <c r="MMC37" s="292"/>
      <c r="MMD37" s="292"/>
      <c r="MME37" s="292"/>
      <c r="MMF37" s="292"/>
      <c r="MMG37" s="292"/>
      <c r="MMH37" s="292"/>
      <c r="MMI37" s="292"/>
      <c r="MMJ37" s="292"/>
      <c r="MMK37" s="292"/>
      <c r="MML37" s="292"/>
      <c r="MMM37" s="292"/>
      <c r="MMN37" s="292"/>
      <c r="MMO37" s="292"/>
      <c r="MMP37" s="292"/>
      <c r="MMQ37" s="292"/>
      <c r="MMR37" s="292"/>
      <c r="MMS37" s="292"/>
      <c r="MMT37" s="292"/>
      <c r="MMU37" s="292"/>
      <c r="MMV37" s="292"/>
      <c r="MMW37" s="292"/>
      <c r="MMX37" s="292"/>
      <c r="MMY37" s="292"/>
      <c r="MMZ37" s="292"/>
      <c r="MNA37" s="292"/>
      <c r="MNB37" s="292"/>
      <c r="MNC37" s="292"/>
      <c r="MND37" s="292"/>
      <c r="MNE37" s="292"/>
      <c r="MNF37" s="292"/>
      <c r="MNG37" s="292"/>
      <c r="MNH37" s="292"/>
      <c r="MNI37" s="292"/>
      <c r="MNJ37" s="292"/>
      <c r="MNK37" s="292"/>
      <c r="MNL37" s="292"/>
      <c r="MNM37" s="292"/>
      <c r="MNN37" s="292"/>
      <c r="MNO37" s="292"/>
      <c r="MNP37" s="292"/>
      <c r="MNQ37" s="292"/>
      <c r="MNR37" s="292"/>
      <c r="MNS37" s="292"/>
      <c r="MNT37" s="292"/>
      <c r="MNU37" s="292"/>
      <c r="MNV37" s="292"/>
      <c r="MNW37" s="292"/>
      <c r="MNX37" s="292"/>
      <c r="MNY37" s="292"/>
      <c r="MNZ37" s="292"/>
      <c r="MOA37" s="292"/>
      <c r="MOB37" s="292"/>
      <c r="MOC37" s="292"/>
      <c r="MOD37" s="292"/>
      <c r="MOE37" s="292"/>
      <c r="MOF37" s="292"/>
      <c r="MOG37" s="292"/>
      <c r="MOH37" s="292"/>
      <c r="MOI37" s="292"/>
      <c r="MOJ37" s="292"/>
      <c r="MOK37" s="292"/>
      <c r="MOL37" s="292"/>
      <c r="MOM37" s="292"/>
      <c r="MON37" s="292"/>
      <c r="MOO37" s="292"/>
      <c r="MOP37" s="292"/>
      <c r="MOQ37" s="292"/>
      <c r="MOR37" s="292"/>
      <c r="MOS37" s="292"/>
      <c r="MOT37" s="292"/>
      <c r="MOU37" s="292"/>
      <c r="MOV37" s="292"/>
      <c r="MOW37" s="292"/>
      <c r="MOX37" s="292"/>
      <c r="MOY37" s="292"/>
      <c r="MOZ37" s="292"/>
      <c r="MPA37" s="292"/>
      <c r="MPB37" s="292"/>
      <c r="MPC37" s="292"/>
      <c r="MPD37" s="292"/>
      <c r="MPE37" s="292"/>
      <c r="MPF37" s="292"/>
      <c r="MPG37" s="292"/>
      <c r="MPH37" s="292"/>
      <c r="MPI37" s="292"/>
      <c r="MPJ37" s="292"/>
      <c r="MPK37" s="292"/>
      <c r="MPL37" s="292"/>
      <c r="MPM37" s="292"/>
      <c r="MPN37" s="292"/>
      <c r="MPO37" s="292"/>
      <c r="MPP37" s="292"/>
      <c r="MPQ37" s="292"/>
      <c r="MPR37" s="292"/>
      <c r="MPS37" s="292"/>
      <c r="MPT37" s="292"/>
      <c r="MPU37" s="292"/>
      <c r="MPV37" s="292"/>
      <c r="MPW37" s="292"/>
      <c r="MPX37" s="292"/>
      <c r="MPY37" s="292"/>
      <c r="MPZ37" s="292"/>
      <c r="MQA37" s="292"/>
      <c r="MQB37" s="292"/>
      <c r="MQC37" s="292"/>
      <c r="MQD37" s="292"/>
      <c r="MQE37" s="292"/>
      <c r="MQF37" s="292"/>
      <c r="MQG37" s="292"/>
      <c r="MQH37" s="292"/>
      <c r="MQI37" s="292"/>
      <c r="MQJ37" s="292"/>
      <c r="MQK37" s="292"/>
      <c r="MQL37" s="292"/>
      <c r="MQM37" s="292"/>
      <c r="MQN37" s="292"/>
      <c r="MQO37" s="292"/>
      <c r="MQP37" s="292"/>
      <c r="MQQ37" s="292"/>
      <c r="MQR37" s="292"/>
      <c r="MQS37" s="292"/>
      <c r="MQT37" s="292"/>
      <c r="MQU37" s="292"/>
      <c r="MQV37" s="292"/>
      <c r="MQW37" s="292"/>
      <c r="MQX37" s="292"/>
      <c r="MQY37" s="292"/>
      <c r="MQZ37" s="292"/>
      <c r="MRA37" s="292"/>
      <c r="MRB37" s="292"/>
      <c r="MRC37" s="292"/>
      <c r="MRD37" s="292"/>
      <c r="MRE37" s="292"/>
      <c r="MRF37" s="292"/>
      <c r="MRG37" s="292"/>
      <c r="MRH37" s="292"/>
      <c r="MRI37" s="292"/>
      <c r="MRJ37" s="292"/>
      <c r="MRK37" s="292"/>
      <c r="MRL37" s="292"/>
      <c r="MRM37" s="292"/>
      <c r="MRN37" s="292"/>
      <c r="MRO37" s="292"/>
      <c r="MRP37" s="292"/>
      <c r="MRQ37" s="292"/>
      <c r="MRR37" s="292"/>
      <c r="MRS37" s="292"/>
      <c r="MRT37" s="292"/>
      <c r="MRU37" s="292"/>
      <c r="MRV37" s="292"/>
      <c r="MRW37" s="292"/>
      <c r="MRX37" s="292"/>
      <c r="MRY37" s="292"/>
      <c r="MRZ37" s="292"/>
      <c r="MSA37" s="292"/>
      <c r="MSB37" s="292"/>
      <c r="MSC37" s="292"/>
      <c r="MSD37" s="292"/>
      <c r="MSE37" s="292"/>
      <c r="MSF37" s="292"/>
      <c r="MSG37" s="292"/>
      <c r="MSH37" s="292"/>
      <c r="MSI37" s="292"/>
      <c r="MSJ37" s="292"/>
      <c r="MSK37" s="292"/>
      <c r="MSL37" s="292"/>
      <c r="MSM37" s="292"/>
      <c r="MSN37" s="292"/>
      <c r="MSO37" s="292"/>
      <c r="MSP37" s="292"/>
      <c r="MSQ37" s="292"/>
      <c r="MSR37" s="292"/>
      <c r="MSS37" s="292"/>
      <c r="MST37" s="292"/>
      <c r="MSU37" s="292"/>
      <c r="MSV37" s="292"/>
      <c r="MSW37" s="292"/>
      <c r="MSX37" s="292"/>
      <c r="MSY37" s="292"/>
      <c r="MSZ37" s="292"/>
      <c r="MTA37" s="292"/>
      <c r="MTB37" s="292"/>
      <c r="MTC37" s="292"/>
      <c r="MTD37" s="292"/>
      <c r="MTE37" s="292"/>
      <c r="MTF37" s="292"/>
      <c r="MTG37" s="292"/>
      <c r="MTH37" s="292"/>
      <c r="MTI37" s="292"/>
      <c r="MTJ37" s="292"/>
      <c r="MTK37" s="292"/>
      <c r="MTL37" s="292"/>
      <c r="MTM37" s="292"/>
      <c r="MTN37" s="292"/>
      <c r="MTO37" s="292"/>
      <c r="MTP37" s="292"/>
      <c r="MTQ37" s="292"/>
      <c r="MTR37" s="292"/>
      <c r="MTS37" s="292"/>
      <c r="MTT37" s="292"/>
      <c r="MTU37" s="292"/>
      <c r="MTV37" s="292"/>
      <c r="MTW37" s="292"/>
      <c r="MTX37" s="292"/>
      <c r="MTY37" s="292"/>
      <c r="MTZ37" s="292"/>
      <c r="MUA37" s="292"/>
      <c r="MUB37" s="292"/>
      <c r="MUC37" s="292"/>
      <c r="MUD37" s="292"/>
      <c r="MUE37" s="292"/>
      <c r="MUF37" s="292"/>
      <c r="MUG37" s="292"/>
      <c r="MUH37" s="292"/>
      <c r="MUI37" s="292"/>
      <c r="MUJ37" s="292"/>
      <c r="MUK37" s="292"/>
      <c r="MUL37" s="292"/>
      <c r="MUM37" s="292"/>
      <c r="MUN37" s="292"/>
      <c r="MUO37" s="292"/>
      <c r="MUP37" s="292"/>
      <c r="MUQ37" s="292"/>
      <c r="MUR37" s="292"/>
      <c r="MUS37" s="292"/>
      <c r="MUT37" s="292"/>
      <c r="MUU37" s="292"/>
      <c r="MUV37" s="292"/>
      <c r="MUW37" s="292"/>
      <c r="MUX37" s="292"/>
      <c r="MUY37" s="292"/>
      <c r="MUZ37" s="292"/>
      <c r="MVA37" s="292"/>
      <c r="MVB37" s="292"/>
      <c r="MVC37" s="292"/>
      <c r="MVD37" s="292"/>
      <c r="MVE37" s="292"/>
      <c r="MVF37" s="292"/>
      <c r="MVG37" s="292"/>
      <c r="MVH37" s="292"/>
      <c r="MVI37" s="292"/>
      <c r="MVJ37" s="292"/>
      <c r="MVK37" s="292"/>
      <c r="MVL37" s="292"/>
      <c r="MVM37" s="292"/>
      <c r="MVN37" s="292"/>
      <c r="MVO37" s="292"/>
      <c r="MVP37" s="292"/>
      <c r="MVQ37" s="292"/>
      <c r="MVR37" s="292"/>
      <c r="MVS37" s="292"/>
      <c r="MVT37" s="292"/>
      <c r="MVU37" s="292"/>
      <c r="MVV37" s="292"/>
      <c r="MVW37" s="292"/>
      <c r="MVX37" s="292"/>
      <c r="MVY37" s="292"/>
      <c r="MVZ37" s="292"/>
      <c r="MWA37" s="292"/>
      <c r="MWB37" s="292"/>
      <c r="MWC37" s="292"/>
      <c r="MWD37" s="292"/>
      <c r="MWE37" s="292"/>
      <c r="MWF37" s="292"/>
      <c r="MWG37" s="292"/>
      <c r="MWH37" s="292"/>
      <c r="MWI37" s="292"/>
      <c r="MWJ37" s="292"/>
      <c r="MWK37" s="292"/>
      <c r="MWL37" s="292"/>
      <c r="MWM37" s="292"/>
      <c r="MWN37" s="292"/>
      <c r="MWO37" s="292"/>
      <c r="MWP37" s="292"/>
      <c r="MWQ37" s="292"/>
      <c r="MWR37" s="292"/>
      <c r="MWS37" s="292"/>
      <c r="MWT37" s="292"/>
      <c r="MWU37" s="292"/>
      <c r="MWV37" s="292"/>
      <c r="MWW37" s="292"/>
      <c r="MWX37" s="292"/>
      <c r="MWY37" s="292"/>
      <c r="MWZ37" s="292"/>
      <c r="MXA37" s="292"/>
      <c r="MXB37" s="292"/>
      <c r="MXC37" s="292"/>
      <c r="MXD37" s="292"/>
      <c r="MXE37" s="292"/>
      <c r="MXF37" s="292"/>
      <c r="MXG37" s="292"/>
      <c r="MXH37" s="292"/>
      <c r="MXI37" s="292"/>
      <c r="MXJ37" s="292"/>
      <c r="MXK37" s="292"/>
      <c r="MXL37" s="292"/>
      <c r="MXM37" s="292"/>
      <c r="MXN37" s="292"/>
      <c r="MXO37" s="292"/>
      <c r="MXP37" s="292"/>
      <c r="MXQ37" s="292"/>
      <c r="MXR37" s="292"/>
      <c r="MXS37" s="292"/>
      <c r="MXT37" s="292"/>
      <c r="MXU37" s="292"/>
      <c r="MXV37" s="292"/>
      <c r="MXW37" s="292"/>
      <c r="MXX37" s="292"/>
      <c r="MXY37" s="292"/>
      <c r="MXZ37" s="292"/>
      <c r="MYA37" s="292"/>
      <c r="MYB37" s="292"/>
      <c r="MYC37" s="292"/>
      <c r="MYD37" s="292"/>
      <c r="MYE37" s="292"/>
      <c r="MYF37" s="292"/>
      <c r="MYG37" s="292"/>
      <c r="MYH37" s="292"/>
      <c r="MYI37" s="292"/>
      <c r="MYJ37" s="292"/>
      <c r="MYK37" s="292"/>
      <c r="MYL37" s="292"/>
      <c r="MYM37" s="292"/>
      <c r="MYN37" s="292"/>
      <c r="MYO37" s="292"/>
      <c r="MYP37" s="292"/>
      <c r="MYQ37" s="292"/>
      <c r="MYR37" s="292"/>
      <c r="MYS37" s="292"/>
      <c r="MYT37" s="292"/>
      <c r="MYU37" s="292"/>
      <c r="MYV37" s="292"/>
      <c r="MYW37" s="292"/>
      <c r="MYX37" s="292"/>
      <c r="MYY37" s="292"/>
      <c r="MYZ37" s="292"/>
      <c r="MZA37" s="292"/>
      <c r="MZB37" s="292"/>
      <c r="MZC37" s="292"/>
      <c r="MZD37" s="292"/>
      <c r="MZE37" s="292"/>
      <c r="MZF37" s="292"/>
      <c r="MZG37" s="292"/>
      <c r="MZH37" s="292"/>
      <c r="MZI37" s="292"/>
      <c r="MZJ37" s="292"/>
      <c r="MZK37" s="292"/>
      <c r="MZL37" s="292"/>
      <c r="MZM37" s="292"/>
      <c r="MZN37" s="292"/>
      <c r="MZO37" s="292"/>
      <c r="MZP37" s="292"/>
      <c r="MZQ37" s="292"/>
      <c r="MZR37" s="292"/>
      <c r="MZS37" s="292"/>
      <c r="MZT37" s="292"/>
      <c r="MZU37" s="292"/>
      <c r="MZV37" s="292"/>
      <c r="MZW37" s="292"/>
      <c r="MZX37" s="292"/>
      <c r="MZY37" s="292"/>
      <c r="MZZ37" s="292"/>
      <c r="NAA37" s="292"/>
      <c r="NAB37" s="292"/>
      <c r="NAC37" s="292"/>
      <c r="NAD37" s="292"/>
      <c r="NAE37" s="292"/>
      <c r="NAF37" s="292"/>
      <c r="NAG37" s="292"/>
      <c r="NAH37" s="292"/>
      <c r="NAI37" s="292"/>
      <c r="NAJ37" s="292"/>
      <c r="NAK37" s="292"/>
      <c r="NAL37" s="292"/>
      <c r="NAM37" s="292"/>
      <c r="NAN37" s="292"/>
      <c r="NAO37" s="292"/>
      <c r="NAP37" s="292"/>
      <c r="NAQ37" s="292"/>
      <c r="NAR37" s="292"/>
      <c r="NAS37" s="292"/>
      <c r="NAT37" s="292"/>
      <c r="NAU37" s="292"/>
      <c r="NAV37" s="292"/>
      <c r="NAW37" s="292"/>
      <c r="NAX37" s="292"/>
      <c r="NAY37" s="292"/>
      <c r="NAZ37" s="292"/>
      <c r="NBA37" s="292"/>
      <c r="NBB37" s="292"/>
      <c r="NBC37" s="292"/>
      <c r="NBD37" s="292"/>
      <c r="NBE37" s="292"/>
      <c r="NBF37" s="292"/>
      <c r="NBG37" s="292"/>
      <c r="NBH37" s="292"/>
      <c r="NBI37" s="292"/>
      <c r="NBJ37" s="292"/>
      <c r="NBK37" s="292"/>
      <c r="NBL37" s="292"/>
      <c r="NBM37" s="292"/>
      <c r="NBN37" s="292"/>
      <c r="NBO37" s="292"/>
      <c r="NBP37" s="292"/>
      <c r="NBQ37" s="292"/>
      <c r="NBR37" s="292"/>
      <c r="NBS37" s="292"/>
      <c r="NBT37" s="292"/>
      <c r="NBU37" s="292"/>
      <c r="NBV37" s="292"/>
      <c r="NBW37" s="292"/>
      <c r="NBX37" s="292"/>
      <c r="NBY37" s="292"/>
      <c r="NBZ37" s="292"/>
      <c r="NCA37" s="292"/>
      <c r="NCB37" s="292"/>
      <c r="NCC37" s="292"/>
      <c r="NCD37" s="292"/>
      <c r="NCE37" s="292"/>
      <c r="NCF37" s="292"/>
      <c r="NCG37" s="292"/>
      <c r="NCH37" s="292"/>
      <c r="NCI37" s="292"/>
      <c r="NCJ37" s="292"/>
      <c r="NCK37" s="292"/>
      <c r="NCL37" s="292"/>
      <c r="NCM37" s="292"/>
      <c r="NCN37" s="292"/>
      <c r="NCO37" s="292"/>
      <c r="NCP37" s="292"/>
      <c r="NCQ37" s="292"/>
      <c r="NCR37" s="292"/>
      <c r="NCS37" s="292"/>
      <c r="NCT37" s="292"/>
      <c r="NCU37" s="292"/>
      <c r="NCV37" s="292"/>
      <c r="NCW37" s="292"/>
      <c r="NCX37" s="292"/>
      <c r="NCY37" s="292"/>
      <c r="NCZ37" s="292"/>
      <c r="NDA37" s="292"/>
      <c r="NDB37" s="292"/>
      <c r="NDC37" s="292"/>
      <c r="NDD37" s="292"/>
      <c r="NDE37" s="292"/>
      <c r="NDF37" s="292"/>
      <c r="NDG37" s="292"/>
      <c r="NDH37" s="292"/>
      <c r="NDI37" s="292"/>
      <c r="NDJ37" s="292"/>
      <c r="NDK37" s="292"/>
      <c r="NDL37" s="292"/>
      <c r="NDM37" s="292"/>
      <c r="NDN37" s="292"/>
      <c r="NDO37" s="292"/>
      <c r="NDP37" s="292"/>
      <c r="NDQ37" s="292"/>
      <c r="NDR37" s="292"/>
      <c r="NDS37" s="292"/>
      <c r="NDT37" s="292"/>
      <c r="NDU37" s="292"/>
      <c r="NDV37" s="292"/>
      <c r="NDW37" s="292"/>
      <c r="NDX37" s="292"/>
      <c r="NDY37" s="292"/>
      <c r="NDZ37" s="292"/>
      <c r="NEA37" s="292"/>
      <c r="NEB37" s="292"/>
      <c r="NEC37" s="292"/>
      <c r="NED37" s="292"/>
      <c r="NEE37" s="292"/>
      <c r="NEF37" s="292"/>
      <c r="NEG37" s="292"/>
      <c r="NEH37" s="292"/>
      <c r="NEI37" s="292"/>
      <c r="NEJ37" s="292"/>
      <c r="NEK37" s="292"/>
      <c r="NEL37" s="292"/>
      <c r="NEM37" s="292"/>
      <c r="NEN37" s="292"/>
      <c r="NEO37" s="292"/>
      <c r="NEP37" s="292"/>
      <c r="NEQ37" s="292"/>
      <c r="NER37" s="292"/>
      <c r="NES37" s="292"/>
      <c r="NET37" s="292"/>
      <c r="NEU37" s="292"/>
      <c r="NEV37" s="292"/>
      <c r="NEW37" s="292"/>
      <c r="NEX37" s="292"/>
      <c r="NEY37" s="292"/>
      <c r="NEZ37" s="292"/>
      <c r="NFA37" s="292"/>
      <c r="NFB37" s="292"/>
      <c r="NFC37" s="292"/>
      <c r="NFD37" s="292"/>
      <c r="NFE37" s="292"/>
      <c r="NFF37" s="292"/>
      <c r="NFG37" s="292"/>
      <c r="NFH37" s="292"/>
      <c r="NFI37" s="292"/>
      <c r="NFJ37" s="292"/>
      <c r="NFK37" s="292"/>
      <c r="NFL37" s="292"/>
      <c r="NFM37" s="292"/>
      <c r="NFN37" s="292"/>
      <c r="NFO37" s="292"/>
      <c r="NFP37" s="292"/>
      <c r="NFQ37" s="292"/>
      <c r="NFR37" s="292"/>
      <c r="NFS37" s="292"/>
      <c r="NFT37" s="292"/>
      <c r="NFU37" s="292"/>
      <c r="NFV37" s="292"/>
      <c r="NFW37" s="292"/>
      <c r="NFX37" s="292"/>
      <c r="NFY37" s="292"/>
      <c r="NFZ37" s="292"/>
      <c r="NGA37" s="292"/>
      <c r="NGB37" s="292"/>
      <c r="NGC37" s="292"/>
      <c r="NGD37" s="292"/>
      <c r="NGE37" s="292"/>
      <c r="NGF37" s="292"/>
      <c r="NGG37" s="292"/>
      <c r="NGH37" s="292"/>
      <c r="NGI37" s="292"/>
      <c r="NGJ37" s="292"/>
      <c r="NGK37" s="292"/>
      <c r="NGL37" s="292"/>
      <c r="NGM37" s="292"/>
      <c r="NGN37" s="292"/>
      <c r="NGO37" s="292"/>
      <c r="NGP37" s="292"/>
      <c r="NGQ37" s="292"/>
      <c r="NGR37" s="292"/>
      <c r="NGS37" s="292"/>
      <c r="NGT37" s="292"/>
      <c r="NGU37" s="292"/>
      <c r="NGV37" s="292"/>
      <c r="NGW37" s="292"/>
      <c r="NGX37" s="292"/>
      <c r="NGY37" s="292"/>
      <c r="NGZ37" s="292"/>
      <c r="NHA37" s="292"/>
      <c r="NHB37" s="292"/>
      <c r="NHC37" s="292"/>
      <c r="NHD37" s="292"/>
      <c r="NHE37" s="292"/>
      <c r="NHF37" s="292"/>
      <c r="NHG37" s="292"/>
      <c r="NHH37" s="292"/>
      <c r="NHI37" s="292"/>
      <c r="NHJ37" s="292"/>
      <c r="NHK37" s="292"/>
      <c r="NHL37" s="292"/>
      <c r="NHM37" s="292"/>
      <c r="NHN37" s="292"/>
      <c r="NHO37" s="292"/>
      <c r="NHP37" s="292"/>
      <c r="NHQ37" s="292"/>
      <c r="NHR37" s="292"/>
      <c r="NHS37" s="292"/>
      <c r="NHT37" s="292"/>
      <c r="NHU37" s="292"/>
      <c r="NHV37" s="292"/>
      <c r="NHW37" s="292"/>
      <c r="NHX37" s="292"/>
      <c r="NHY37" s="292"/>
      <c r="NHZ37" s="292"/>
      <c r="NIA37" s="292"/>
      <c r="NIB37" s="292"/>
      <c r="NIC37" s="292"/>
      <c r="NID37" s="292"/>
      <c r="NIE37" s="292"/>
      <c r="NIF37" s="292"/>
      <c r="NIG37" s="292"/>
      <c r="NIH37" s="292"/>
      <c r="NII37" s="292"/>
      <c r="NIJ37" s="292"/>
      <c r="NIK37" s="292"/>
      <c r="NIL37" s="292"/>
      <c r="NIM37" s="292"/>
      <c r="NIN37" s="292"/>
      <c r="NIO37" s="292"/>
      <c r="NIP37" s="292"/>
      <c r="NIQ37" s="292"/>
      <c r="NIR37" s="292"/>
      <c r="NIS37" s="292"/>
      <c r="NIT37" s="292"/>
      <c r="NIU37" s="292"/>
      <c r="NIV37" s="292"/>
      <c r="NIW37" s="292"/>
      <c r="NIX37" s="292"/>
      <c r="NIY37" s="292"/>
      <c r="NIZ37" s="292"/>
      <c r="NJA37" s="292"/>
      <c r="NJB37" s="292"/>
      <c r="NJC37" s="292"/>
      <c r="NJD37" s="292"/>
      <c r="NJE37" s="292"/>
      <c r="NJF37" s="292"/>
      <c r="NJG37" s="292"/>
      <c r="NJH37" s="292"/>
      <c r="NJI37" s="292"/>
      <c r="NJJ37" s="292"/>
      <c r="NJK37" s="292"/>
      <c r="NJL37" s="292"/>
      <c r="NJM37" s="292"/>
      <c r="NJN37" s="292"/>
      <c r="NJO37" s="292"/>
      <c r="NJP37" s="292"/>
      <c r="NJQ37" s="292"/>
      <c r="NJR37" s="292"/>
      <c r="NJS37" s="292"/>
      <c r="NJT37" s="292"/>
      <c r="NJU37" s="292"/>
      <c r="NJV37" s="292"/>
      <c r="NJW37" s="292"/>
      <c r="NJX37" s="292"/>
      <c r="NJY37" s="292"/>
      <c r="NJZ37" s="292"/>
      <c r="NKA37" s="292"/>
      <c r="NKB37" s="292"/>
      <c r="NKC37" s="292"/>
      <c r="NKD37" s="292"/>
      <c r="NKE37" s="292"/>
      <c r="NKF37" s="292"/>
      <c r="NKG37" s="292"/>
      <c r="NKH37" s="292"/>
      <c r="NKI37" s="292"/>
      <c r="NKJ37" s="292"/>
      <c r="NKK37" s="292"/>
      <c r="NKL37" s="292"/>
      <c r="NKM37" s="292"/>
      <c r="NKN37" s="292"/>
      <c r="NKO37" s="292"/>
      <c r="NKP37" s="292"/>
      <c r="NKQ37" s="292"/>
      <c r="NKR37" s="292"/>
      <c r="NKS37" s="292"/>
      <c r="NKT37" s="292"/>
      <c r="NKU37" s="292"/>
      <c r="NKV37" s="292"/>
      <c r="NKW37" s="292"/>
      <c r="NKX37" s="292"/>
      <c r="NKY37" s="292"/>
      <c r="NKZ37" s="292"/>
      <c r="NLA37" s="292"/>
      <c r="NLB37" s="292"/>
      <c r="NLC37" s="292"/>
      <c r="NLD37" s="292"/>
      <c r="NLE37" s="292"/>
      <c r="NLF37" s="292"/>
      <c r="NLG37" s="292"/>
      <c r="NLH37" s="292"/>
      <c r="NLI37" s="292"/>
      <c r="NLJ37" s="292"/>
      <c r="NLK37" s="292"/>
      <c r="NLL37" s="292"/>
      <c r="NLM37" s="292"/>
      <c r="NLN37" s="292"/>
      <c r="NLO37" s="292"/>
      <c r="NLP37" s="292"/>
      <c r="NLQ37" s="292"/>
      <c r="NLR37" s="292"/>
      <c r="NLS37" s="292"/>
      <c r="NLT37" s="292"/>
      <c r="NLU37" s="292"/>
      <c r="NLV37" s="292"/>
      <c r="NLW37" s="292"/>
      <c r="NLX37" s="292"/>
      <c r="NLY37" s="292"/>
      <c r="NLZ37" s="292"/>
      <c r="NMA37" s="292"/>
      <c r="NMB37" s="292"/>
      <c r="NMC37" s="292"/>
      <c r="NMD37" s="292"/>
      <c r="NME37" s="292"/>
      <c r="NMF37" s="292"/>
      <c r="NMG37" s="292"/>
      <c r="NMH37" s="292"/>
      <c r="NMI37" s="292"/>
      <c r="NMJ37" s="292"/>
      <c r="NMK37" s="292"/>
      <c r="NML37" s="292"/>
      <c r="NMM37" s="292"/>
      <c r="NMN37" s="292"/>
      <c r="NMO37" s="292"/>
      <c r="NMP37" s="292"/>
      <c r="NMQ37" s="292"/>
      <c r="NMR37" s="292"/>
      <c r="NMS37" s="292"/>
      <c r="NMT37" s="292"/>
      <c r="NMU37" s="292"/>
      <c r="NMV37" s="292"/>
      <c r="NMW37" s="292"/>
      <c r="NMX37" s="292"/>
      <c r="NMY37" s="292"/>
      <c r="NMZ37" s="292"/>
      <c r="NNA37" s="292"/>
      <c r="NNB37" s="292"/>
      <c r="NNC37" s="292"/>
      <c r="NND37" s="292"/>
      <c r="NNE37" s="292"/>
      <c r="NNF37" s="292"/>
      <c r="NNG37" s="292"/>
      <c r="NNH37" s="292"/>
      <c r="NNI37" s="292"/>
      <c r="NNJ37" s="292"/>
      <c r="NNK37" s="292"/>
      <c r="NNL37" s="292"/>
      <c r="NNM37" s="292"/>
      <c r="NNN37" s="292"/>
      <c r="NNO37" s="292"/>
      <c r="NNP37" s="292"/>
      <c r="NNQ37" s="292"/>
      <c r="NNR37" s="292"/>
      <c r="NNS37" s="292"/>
      <c r="NNT37" s="292"/>
      <c r="NNU37" s="292"/>
      <c r="NNV37" s="292"/>
      <c r="NNW37" s="292"/>
      <c r="NNX37" s="292"/>
      <c r="NNY37" s="292"/>
      <c r="NNZ37" s="292"/>
      <c r="NOA37" s="292"/>
      <c r="NOB37" s="292"/>
      <c r="NOC37" s="292"/>
      <c r="NOD37" s="292"/>
      <c r="NOE37" s="292"/>
      <c r="NOF37" s="292"/>
      <c r="NOG37" s="292"/>
      <c r="NOH37" s="292"/>
      <c r="NOI37" s="292"/>
      <c r="NOJ37" s="292"/>
      <c r="NOK37" s="292"/>
      <c r="NOL37" s="292"/>
      <c r="NOM37" s="292"/>
      <c r="NON37" s="292"/>
      <c r="NOO37" s="292"/>
      <c r="NOP37" s="292"/>
      <c r="NOQ37" s="292"/>
      <c r="NOR37" s="292"/>
      <c r="NOS37" s="292"/>
      <c r="NOT37" s="292"/>
      <c r="NOU37" s="292"/>
      <c r="NOV37" s="292"/>
      <c r="NOW37" s="292"/>
      <c r="NOX37" s="292"/>
      <c r="NOY37" s="292"/>
      <c r="NOZ37" s="292"/>
      <c r="NPA37" s="292"/>
      <c r="NPB37" s="292"/>
      <c r="NPC37" s="292"/>
      <c r="NPD37" s="292"/>
      <c r="NPE37" s="292"/>
      <c r="NPF37" s="292"/>
      <c r="NPG37" s="292"/>
      <c r="NPH37" s="292"/>
      <c r="NPI37" s="292"/>
      <c r="NPJ37" s="292"/>
      <c r="NPK37" s="292"/>
      <c r="NPL37" s="292"/>
      <c r="NPM37" s="292"/>
      <c r="NPN37" s="292"/>
      <c r="NPO37" s="292"/>
      <c r="NPP37" s="292"/>
      <c r="NPQ37" s="292"/>
      <c r="NPR37" s="292"/>
      <c r="NPS37" s="292"/>
      <c r="NPT37" s="292"/>
      <c r="NPU37" s="292"/>
      <c r="NPV37" s="292"/>
      <c r="NPW37" s="292"/>
      <c r="NPX37" s="292"/>
      <c r="NPY37" s="292"/>
      <c r="NPZ37" s="292"/>
      <c r="NQA37" s="292"/>
      <c r="NQB37" s="292"/>
      <c r="NQC37" s="292"/>
      <c r="NQD37" s="292"/>
      <c r="NQE37" s="292"/>
      <c r="NQF37" s="292"/>
      <c r="NQG37" s="292"/>
      <c r="NQH37" s="292"/>
      <c r="NQI37" s="292"/>
      <c r="NQJ37" s="292"/>
      <c r="NQK37" s="292"/>
      <c r="NQL37" s="292"/>
      <c r="NQM37" s="292"/>
      <c r="NQN37" s="292"/>
      <c r="NQO37" s="292"/>
      <c r="NQP37" s="292"/>
      <c r="NQQ37" s="292"/>
      <c r="NQR37" s="292"/>
      <c r="NQS37" s="292"/>
      <c r="NQT37" s="292"/>
      <c r="NQU37" s="292"/>
      <c r="NQV37" s="292"/>
      <c r="NQW37" s="292"/>
      <c r="NQX37" s="292"/>
      <c r="NQY37" s="292"/>
      <c r="NQZ37" s="292"/>
      <c r="NRA37" s="292"/>
      <c r="NRB37" s="292"/>
      <c r="NRC37" s="292"/>
      <c r="NRD37" s="292"/>
      <c r="NRE37" s="292"/>
      <c r="NRF37" s="292"/>
      <c r="NRG37" s="292"/>
      <c r="NRH37" s="292"/>
      <c r="NRI37" s="292"/>
      <c r="NRJ37" s="292"/>
      <c r="NRK37" s="292"/>
      <c r="NRL37" s="292"/>
      <c r="NRM37" s="292"/>
      <c r="NRN37" s="292"/>
      <c r="NRO37" s="292"/>
      <c r="NRP37" s="292"/>
      <c r="NRQ37" s="292"/>
      <c r="NRR37" s="292"/>
      <c r="NRS37" s="292"/>
      <c r="NRT37" s="292"/>
      <c r="NRU37" s="292"/>
      <c r="NRV37" s="292"/>
      <c r="NRW37" s="292"/>
      <c r="NRX37" s="292"/>
      <c r="NRY37" s="292"/>
      <c r="NRZ37" s="292"/>
      <c r="NSA37" s="292"/>
      <c r="NSB37" s="292"/>
      <c r="NSC37" s="292"/>
      <c r="NSD37" s="292"/>
      <c r="NSE37" s="292"/>
      <c r="NSF37" s="292"/>
      <c r="NSG37" s="292"/>
      <c r="NSH37" s="292"/>
      <c r="NSI37" s="292"/>
      <c r="NSJ37" s="292"/>
      <c r="NSK37" s="292"/>
      <c r="NSL37" s="292"/>
      <c r="NSM37" s="292"/>
      <c r="NSN37" s="292"/>
      <c r="NSO37" s="292"/>
      <c r="NSP37" s="292"/>
      <c r="NSQ37" s="292"/>
      <c r="NSR37" s="292"/>
      <c r="NSS37" s="292"/>
      <c r="NST37" s="292"/>
      <c r="NSU37" s="292"/>
      <c r="NSV37" s="292"/>
      <c r="NSW37" s="292"/>
      <c r="NSX37" s="292"/>
      <c r="NSY37" s="292"/>
      <c r="NSZ37" s="292"/>
      <c r="NTA37" s="292"/>
      <c r="NTB37" s="292"/>
      <c r="NTC37" s="292"/>
      <c r="NTD37" s="292"/>
      <c r="NTE37" s="292"/>
      <c r="NTF37" s="292"/>
      <c r="NTG37" s="292"/>
      <c r="NTH37" s="292"/>
      <c r="NTI37" s="292"/>
      <c r="NTJ37" s="292"/>
      <c r="NTK37" s="292"/>
      <c r="NTL37" s="292"/>
      <c r="NTM37" s="292"/>
      <c r="NTN37" s="292"/>
      <c r="NTO37" s="292"/>
      <c r="NTP37" s="292"/>
      <c r="NTQ37" s="292"/>
      <c r="NTR37" s="292"/>
      <c r="NTS37" s="292"/>
      <c r="NTT37" s="292"/>
      <c r="NTU37" s="292"/>
      <c r="NTV37" s="292"/>
      <c r="NTW37" s="292"/>
      <c r="NTX37" s="292"/>
      <c r="NTY37" s="292"/>
      <c r="NTZ37" s="292"/>
      <c r="NUA37" s="292"/>
      <c r="NUB37" s="292"/>
      <c r="NUC37" s="292"/>
      <c r="NUD37" s="292"/>
      <c r="NUE37" s="292"/>
      <c r="NUF37" s="292"/>
      <c r="NUG37" s="292"/>
      <c r="NUH37" s="292"/>
      <c r="NUI37" s="292"/>
      <c r="NUJ37" s="292"/>
      <c r="NUK37" s="292"/>
      <c r="NUL37" s="292"/>
      <c r="NUM37" s="292"/>
      <c r="NUN37" s="292"/>
      <c r="NUO37" s="292"/>
      <c r="NUP37" s="292"/>
      <c r="NUQ37" s="292"/>
      <c r="NUR37" s="292"/>
      <c r="NUS37" s="292"/>
      <c r="NUT37" s="292"/>
      <c r="NUU37" s="292"/>
      <c r="NUV37" s="292"/>
      <c r="NUW37" s="292"/>
      <c r="NUX37" s="292"/>
      <c r="NUY37" s="292"/>
      <c r="NUZ37" s="292"/>
      <c r="NVA37" s="292"/>
      <c r="NVB37" s="292"/>
      <c r="NVC37" s="292"/>
      <c r="NVD37" s="292"/>
      <c r="NVE37" s="292"/>
      <c r="NVF37" s="292"/>
      <c r="NVG37" s="292"/>
      <c r="NVH37" s="292"/>
      <c r="NVI37" s="292"/>
      <c r="NVJ37" s="292"/>
      <c r="NVK37" s="292"/>
      <c r="NVL37" s="292"/>
      <c r="NVM37" s="292"/>
      <c r="NVN37" s="292"/>
      <c r="NVO37" s="292"/>
      <c r="NVP37" s="292"/>
      <c r="NVQ37" s="292"/>
      <c r="NVR37" s="292"/>
      <c r="NVS37" s="292"/>
      <c r="NVT37" s="292"/>
      <c r="NVU37" s="292"/>
      <c r="NVV37" s="292"/>
      <c r="NVW37" s="292"/>
      <c r="NVX37" s="292"/>
      <c r="NVY37" s="292"/>
      <c r="NVZ37" s="292"/>
      <c r="NWA37" s="292"/>
      <c r="NWB37" s="292"/>
      <c r="NWC37" s="292"/>
      <c r="NWD37" s="292"/>
      <c r="NWE37" s="292"/>
      <c r="NWF37" s="292"/>
      <c r="NWG37" s="292"/>
      <c r="NWH37" s="292"/>
      <c r="NWI37" s="292"/>
      <c r="NWJ37" s="292"/>
      <c r="NWK37" s="292"/>
      <c r="NWL37" s="292"/>
      <c r="NWM37" s="292"/>
      <c r="NWN37" s="292"/>
      <c r="NWO37" s="292"/>
      <c r="NWP37" s="292"/>
      <c r="NWQ37" s="292"/>
      <c r="NWR37" s="292"/>
      <c r="NWS37" s="292"/>
      <c r="NWT37" s="292"/>
      <c r="NWU37" s="292"/>
      <c r="NWV37" s="292"/>
      <c r="NWW37" s="292"/>
      <c r="NWX37" s="292"/>
      <c r="NWY37" s="292"/>
      <c r="NWZ37" s="292"/>
      <c r="NXA37" s="292"/>
      <c r="NXB37" s="292"/>
      <c r="NXC37" s="292"/>
      <c r="NXD37" s="292"/>
      <c r="NXE37" s="292"/>
      <c r="NXF37" s="292"/>
      <c r="NXG37" s="292"/>
      <c r="NXH37" s="292"/>
      <c r="NXI37" s="292"/>
      <c r="NXJ37" s="292"/>
      <c r="NXK37" s="292"/>
      <c r="NXL37" s="292"/>
      <c r="NXM37" s="292"/>
      <c r="NXN37" s="292"/>
      <c r="NXO37" s="292"/>
      <c r="NXP37" s="292"/>
      <c r="NXQ37" s="292"/>
      <c r="NXR37" s="292"/>
      <c r="NXS37" s="292"/>
      <c r="NXT37" s="292"/>
      <c r="NXU37" s="292"/>
      <c r="NXV37" s="292"/>
      <c r="NXW37" s="292"/>
      <c r="NXX37" s="292"/>
      <c r="NXY37" s="292"/>
      <c r="NXZ37" s="292"/>
      <c r="NYA37" s="292"/>
      <c r="NYB37" s="292"/>
      <c r="NYC37" s="292"/>
      <c r="NYD37" s="292"/>
      <c r="NYE37" s="292"/>
      <c r="NYF37" s="292"/>
      <c r="NYG37" s="292"/>
      <c r="NYH37" s="292"/>
      <c r="NYI37" s="292"/>
      <c r="NYJ37" s="292"/>
      <c r="NYK37" s="292"/>
      <c r="NYL37" s="292"/>
      <c r="NYM37" s="292"/>
      <c r="NYN37" s="292"/>
      <c r="NYO37" s="292"/>
      <c r="NYP37" s="292"/>
      <c r="NYQ37" s="292"/>
      <c r="NYR37" s="292"/>
      <c r="NYS37" s="292"/>
      <c r="NYT37" s="292"/>
      <c r="NYU37" s="292"/>
      <c r="NYV37" s="292"/>
      <c r="NYW37" s="292"/>
      <c r="NYX37" s="292"/>
      <c r="NYY37" s="292"/>
      <c r="NYZ37" s="292"/>
      <c r="NZA37" s="292"/>
      <c r="NZB37" s="292"/>
      <c r="NZC37" s="292"/>
      <c r="NZD37" s="292"/>
      <c r="NZE37" s="292"/>
      <c r="NZF37" s="292"/>
      <c r="NZG37" s="292"/>
      <c r="NZH37" s="292"/>
      <c r="NZI37" s="292"/>
      <c r="NZJ37" s="292"/>
      <c r="NZK37" s="292"/>
      <c r="NZL37" s="292"/>
      <c r="NZM37" s="292"/>
      <c r="NZN37" s="292"/>
      <c r="NZO37" s="292"/>
      <c r="NZP37" s="292"/>
      <c r="NZQ37" s="292"/>
      <c r="NZR37" s="292"/>
      <c r="NZS37" s="292"/>
      <c r="NZT37" s="292"/>
      <c r="NZU37" s="292"/>
      <c r="NZV37" s="292"/>
      <c r="NZW37" s="292"/>
      <c r="NZX37" s="292"/>
      <c r="NZY37" s="292"/>
      <c r="NZZ37" s="292"/>
      <c r="OAA37" s="292"/>
      <c r="OAB37" s="292"/>
      <c r="OAC37" s="292"/>
      <c r="OAD37" s="292"/>
      <c r="OAE37" s="292"/>
      <c r="OAF37" s="292"/>
      <c r="OAG37" s="292"/>
      <c r="OAH37" s="292"/>
      <c r="OAI37" s="292"/>
      <c r="OAJ37" s="292"/>
      <c r="OAK37" s="292"/>
      <c r="OAL37" s="292"/>
      <c r="OAM37" s="292"/>
      <c r="OAN37" s="292"/>
      <c r="OAO37" s="292"/>
      <c r="OAP37" s="292"/>
      <c r="OAQ37" s="292"/>
      <c r="OAR37" s="292"/>
      <c r="OAS37" s="292"/>
      <c r="OAT37" s="292"/>
      <c r="OAU37" s="292"/>
      <c r="OAV37" s="292"/>
      <c r="OAW37" s="292"/>
      <c r="OAX37" s="292"/>
      <c r="OAY37" s="292"/>
      <c r="OAZ37" s="292"/>
      <c r="OBA37" s="292"/>
      <c r="OBB37" s="292"/>
      <c r="OBC37" s="292"/>
      <c r="OBD37" s="292"/>
      <c r="OBE37" s="292"/>
      <c r="OBF37" s="292"/>
      <c r="OBG37" s="292"/>
      <c r="OBH37" s="292"/>
      <c r="OBI37" s="292"/>
      <c r="OBJ37" s="292"/>
      <c r="OBK37" s="292"/>
      <c r="OBL37" s="292"/>
      <c r="OBM37" s="292"/>
      <c r="OBN37" s="292"/>
      <c r="OBO37" s="292"/>
      <c r="OBP37" s="292"/>
      <c r="OBQ37" s="292"/>
      <c r="OBR37" s="292"/>
      <c r="OBS37" s="292"/>
      <c r="OBT37" s="292"/>
      <c r="OBU37" s="292"/>
      <c r="OBV37" s="292"/>
      <c r="OBW37" s="292"/>
      <c r="OBX37" s="292"/>
      <c r="OBY37" s="292"/>
      <c r="OBZ37" s="292"/>
      <c r="OCA37" s="292"/>
      <c r="OCB37" s="292"/>
      <c r="OCC37" s="292"/>
      <c r="OCD37" s="292"/>
      <c r="OCE37" s="292"/>
      <c r="OCF37" s="292"/>
      <c r="OCG37" s="292"/>
      <c r="OCH37" s="292"/>
      <c r="OCI37" s="292"/>
      <c r="OCJ37" s="292"/>
      <c r="OCK37" s="292"/>
      <c r="OCL37" s="292"/>
      <c r="OCM37" s="292"/>
      <c r="OCN37" s="292"/>
      <c r="OCO37" s="292"/>
      <c r="OCP37" s="292"/>
      <c r="OCQ37" s="292"/>
      <c r="OCR37" s="292"/>
      <c r="OCS37" s="292"/>
      <c r="OCT37" s="292"/>
      <c r="OCU37" s="292"/>
      <c r="OCV37" s="292"/>
      <c r="OCW37" s="292"/>
      <c r="OCX37" s="292"/>
      <c r="OCY37" s="292"/>
      <c r="OCZ37" s="292"/>
      <c r="ODA37" s="292"/>
      <c r="ODB37" s="292"/>
      <c r="ODC37" s="292"/>
      <c r="ODD37" s="292"/>
      <c r="ODE37" s="292"/>
      <c r="ODF37" s="292"/>
      <c r="ODG37" s="292"/>
      <c r="ODH37" s="292"/>
      <c r="ODI37" s="292"/>
      <c r="ODJ37" s="292"/>
      <c r="ODK37" s="292"/>
      <c r="ODL37" s="292"/>
      <c r="ODM37" s="292"/>
      <c r="ODN37" s="292"/>
      <c r="ODO37" s="292"/>
      <c r="ODP37" s="292"/>
      <c r="ODQ37" s="292"/>
      <c r="ODR37" s="292"/>
      <c r="ODS37" s="292"/>
      <c r="ODT37" s="292"/>
      <c r="ODU37" s="292"/>
      <c r="ODV37" s="292"/>
      <c r="ODW37" s="292"/>
      <c r="ODX37" s="292"/>
      <c r="ODY37" s="292"/>
      <c r="ODZ37" s="292"/>
      <c r="OEA37" s="292"/>
      <c r="OEB37" s="292"/>
      <c r="OEC37" s="292"/>
      <c r="OED37" s="292"/>
      <c r="OEE37" s="292"/>
      <c r="OEF37" s="292"/>
      <c r="OEG37" s="292"/>
      <c r="OEH37" s="292"/>
      <c r="OEI37" s="292"/>
      <c r="OEJ37" s="292"/>
      <c r="OEK37" s="292"/>
      <c r="OEL37" s="292"/>
      <c r="OEM37" s="292"/>
      <c r="OEN37" s="292"/>
      <c r="OEO37" s="292"/>
      <c r="OEP37" s="292"/>
      <c r="OEQ37" s="292"/>
      <c r="OER37" s="292"/>
      <c r="OES37" s="292"/>
      <c r="OET37" s="292"/>
      <c r="OEU37" s="292"/>
      <c r="OEV37" s="292"/>
      <c r="OEW37" s="292"/>
      <c r="OEX37" s="292"/>
      <c r="OEY37" s="292"/>
      <c r="OEZ37" s="292"/>
      <c r="OFA37" s="292"/>
      <c r="OFB37" s="292"/>
      <c r="OFC37" s="292"/>
      <c r="OFD37" s="292"/>
      <c r="OFE37" s="292"/>
      <c r="OFF37" s="292"/>
      <c r="OFG37" s="292"/>
      <c r="OFH37" s="292"/>
      <c r="OFI37" s="292"/>
      <c r="OFJ37" s="292"/>
      <c r="OFK37" s="292"/>
      <c r="OFL37" s="292"/>
      <c r="OFM37" s="292"/>
      <c r="OFN37" s="292"/>
      <c r="OFO37" s="292"/>
      <c r="OFP37" s="292"/>
      <c r="OFQ37" s="292"/>
      <c r="OFR37" s="292"/>
      <c r="OFS37" s="292"/>
      <c r="OFT37" s="292"/>
      <c r="OFU37" s="292"/>
      <c r="OFV37" s="292"/>
      <c r="OFW37" s="292"/>
      <c r="OFX37" s="292"/>
      <c r="OFY37" s="292"/>
      <c r="OFZ37" s="292"/>
      <c r="OGA37" s="292"/>
      <c r="OGB37" s="292"/>
      <c r="OGC37" s="292"/>
      <c r="OGD37" s="292"/>
      <c r="OGE37" s="292"/>
      <c r="OGF37" s="292"/>
      <c r="OGG37" s="292"/>
      <c r="OGH37" s="292"/>
      <c r="OGI37" s="292"/>
      <c r="OGJ37" s="292"/>
      <c r="OGK37" s="292"/>
      <c r="OGL37" s="292"/>
      <c r="OGM37" s="292"/>
      <c r="OGN37" s="292"/>
      <c r="OGO37" s="292"/>
      <c r="OGP37" s="292"/>
      <c r="OGQ37" s="292"/>
      <c r="OGR37" s="292"/>
      <c r="OGS37" s="292"/>
      <c r="OGT37" s="292"/>
      <c r="OGU37" s="292"/>
      <c r="OGV37" s="292"/>
      <c r="OGW37" s="292"/>
      <c r="OGX37" s="292"/>
      <c r="OGY37" s="292"/>
      <c r="OGZ37" s="292"/>
      <c r="OHA37" s="292"/>
      <c r="OHB37" s="292"/>
      <c r="OHC37" s="292"/>
      <c r="OHD37" s="292"/>
      <c r="OHE37" s="292"/>
      <c r="OHF37" s="292"/>
      <c r="OHG37" s="292"/>
      <c r="OHH37" s="292"/>
      <c r="OHI37" s="292"/>
      <c r="OHJ37" s="292"/>
      <c r="OHK37" s="292"/>
      <c r="OHL37" s="292"/>
      <c r="OHM37" s="292"/>
      <c r="OHN37" s="292"/>
      <c r="OHO37" s="292"/>
      <c r="OHP37" s="292"/>
      <c r="OHQ37" s="292"/>
      <c r="OHR37" s="292"/>
      <c r="OHS37" s="292"/>
      <c r="OHT37" s="292"/>
      <c r="OHU37" s="292"/>
      <c r="OHV37" s="292"/>
      <c r="OHW37" s="292"/>
      <c r="OHX37" s="292"/>
      <c r="OHY37" s="292"/>
      <c r="OHZ37" s="292"/>
      <c r="OIA37" s="292"/>
      <c r="OIB37" s="292"/>
      <c r="OIC37" s="292"/>
      <c r="OID37" s="292"/>
      <c r="OIE37" s="292"/>
      <c r="OIF37" s="292"/>
      <c r="OIG37" s="292"/>
      <c r="OIH37" s="292"/>
      <c r="OII37" s="292"/>
      <c r="OIJ37" s="292"/>
      <c r="OIK37" s="292"/>
      <c r="OIL37" s="292"/>
      <c r="OIM37" s="292"/>
      <c r="OIN37" s="292"/>
      <c r="OIO37" s="292"/>
      <c r="OIP37" s="292"/>
      <c r="OIQ37" s="292"/>
      <c r="OIR37" s="292"/>
      <c r="OIS37" s="292"/>
      <c r="OIT37" s="292"/>
      <c r="OIU37" s="292"/>
      <c r="OIV37" s="292"/>
      <c r="OIW37" s="292"/>
      <c r="OIX37" s="292"/>
      <c r="OIY37" s="292"/>
      <c r="OIZ37" s="292"/>
      <c r="OJA37" s="292"/>
      <c r="OJB37" s="292"/>
      <c r="OJC37" s="292"/>
      <c r="OJD37" s="292"/>
      <c r="OJE37" s="292"/>
      <c r="OJF37" s="292"/>
      <c r="OJG37" s="292"/>
      <c r="OJH37" s="292"/>
      <c r="OJI37" s="292"/>
      <c r="OJJ37" s="292"/>
      <c r="OJK37" s="292"/>
      <c r="OJL37" s="292"/>
      <c r="OJM37" s="292"/>
      <c r="OJN37" s="292"/>
      <c r="OJO37" s="292"/>
      <c r="OJP37" s="292"/>
      <c r="OJQ37" s="292"/>
      <c r="OJR37" s="292"/>
      <c r="OJS37" s="292"/>
      <c r="OJT37" s="292"/>
      <c r="OJU37" s="292"/>
      <c r="OJV37" s="292"/>
      <c r="OJW37" s="292"/>
      <c r="OJX37" s="292"/>
      <c r="OJY37" s="292"/>
      <c r="OJZ37" s="292"/>
      <c r="OKA37" s="292"/>
      <c r="OKB37" s="292"/>
      <c r="OKC37" s="292"/>
      <c r="OKD37" s="292"/>
      <c r="OKE37" s="292"/>
      <c r="OKF37" s="292"/>
      <c r="OKG37" s="292"/>
      <c r="OKH37" s="292"/>
      <c r="OKI37" s="292"/>
      <c r="OKJ37" s="292"/>
      <c r="OKK37" s="292"/>
      <c r="OKL37" s="292"/>
      <c r="OKM37" s="292"/>
      <c r="OKN37" s="292"/>
      <c r="OKO37" s="292"/>
      <c r="OKP37" s="292"/>
      <c r="OKQ37" s="292"/>
      <c r="OKR37" s="292"/>
      <c r="OKS37" s="292"/>
      <c r="OKT37" s="292"/>
      <c r="OKU37" s="292"/>
      <c r="OKV37" s="292"/>
      <c r="OKW37" s="292"/>
      <c r="OKX37" s="292"/>
      <c r="OKY37" s="292"/>
      <c r="OKZ37" s="292"/>
      <c r="OLA37" s="292"/>
      <c r="OLB37" s="292"/>
      <c r="OLC37" s="292"/>
      <c r="OLD37" s="292"/>
      <c r="OLE37" s="292"/>
      <c r="OLF37" s="292"/>
      <c r="OLG37" s="292"/>
      <c r="OLH37" s="292"/>
      <c r="OLI37" s="292"/>
      <c r="OLJ37" s="292"/>
      <c r="OLK37" s="292"/>
      <c r="OLL37" s="292"/>
      <c r="OLM37" s="292"/>
      <c r="OLN37" s="292"/>
      <c r="OLO37" s="292"/>
      <c r="OLP37" s="292"/>
      <c r="OLQ37" s="292"/>
      <c r="OLR37" s="292"/>
      <c r="OLS37" s="292"/>
      <c r="OLT37" s="292"/>
      <c r="OLU37" s="292"/>
      <c r="OLV37" s="292"/>
      <c r="OLW37" s="292"/>
      <c r="OLX37" s="292"/>
      <c r="OLY37" s="292"/>
      <c r="OLZ37" s="292"/>
      <c r="OMA37" s="292"/>
      <c r="OMB37" s="292"/>
      <c r="OMC37" s="292"/>
      <c r="OMD37" s="292"/>
      <c r="OME37" s="292"/>
      <c r="OMF37" s="292"/>
      <c r="OMG37" s="292"/>
      <c r="OMH37" s="292"/>
      <c r="OMI37" s="292"/>
      <c r="OMJ37" s="292"/>
      <c r="OMK37" s="292"/>
      <c r="OML37" s="292"/>
      <c r="OMM37" s="292"/>
      <c r="OMN37" s="292"/>
      <c r="OMO37" s="292"/>
      <c r="OMP37" s="292"/>
      <c r="OMQ37" s="292"/>
      <c r="OMR37" s="292"/>
      <c r="OMS37" s="292"/>
      <c r="OMT37" s="292"/>
      <c r="OMU37" s="292"/>
      <c r="OMV37" s="292"/>
      <c r="OMW37" s="292"/>
      <c r="OMX37" s="292"/>
      <c r="OMY37" s="292"/>
      <c r="OMZ37" s="292"/>
      <c r="ONA37" s="292"/>
      <c r="ONB37" s="292"/>
      <c r="ONC37" s="292"/>
      <c r="OND37" s="292"/>
      <c r="ONE37" s="292"/>
      <c r="ONF37" s="292"/>
      <c r="ONG37" s="292"/>
      <c r="ONH37" s="292"/>
      <c r="ONI37" s="292"/>
      <c r="ONJ37" s="292"/>
      <c r="ONK37" s="292"/>
      <c r="ONL37" s="292"/>
      <c r="ONM37" s="292"/>
      <c r="ONN37" s="292"/>
      <c r="ONO37" s="292"/>
      <c r="ONP37" s="292"/>
      <c r="ONQ37" s="292"/>
      <c r="ONR37" s="292"/>
      <c r="ONS37" s="292"/>
      <c r="ONT37" s="292"/>
      <c r="ONU37" s="292"/>
      <c r="ONV37" s="292"/>
      <c r="ONW37" s="292"/>
      <c r="ONX37" s="292"/>
      <c r="ONY37" s="292"/>
      <c r="ONZ37" s="292"/>
      <c r="OOA37" s="292"/>
      <c r="OOB37" s="292"/>
      <c r="OOC37" s="292"/>
      <c r="OOD37" s="292"/>
      <c r="OOE37" s="292"/>
      <c r="OOF37" s="292"/>
      <c r="OOG37" s="292"/>
      <c r="OOH37" s="292"/>
      <c r="OOI37" s="292"/>
      <c r="OOJ37" s="292"/>
      <c r="OOK37" s="292"/>
      <c r="OOL37" s="292"/>
      <c r="OOM37" s="292"/>
      <c r="OON37" s="292"/>
      <c r="OOO37" s="292"/>
      <c r="OOP37" s="292"/>
      <c r="OOQ37" s="292"/>
      <c r="OOR37" s="292"/>
      <c r="OOS37" s="292"/>
      <c r="OOT37" s="292"/>
      <c r="OOU37" s="292"/>
      <c r="OOV37" s="292"/>
      <c r="OOW37" s="292"/>
      <c r="OOX37" s="292"/>
      <c r="OOY37" s="292"/>
      <c r="OOZ37" s="292"/>
      <c r="OPA37" s="292"/>
      <c r="OPB37" s="292"/>
      <c r="OPC37" s="292"/>
      <c r="OPD37" s="292"/>
      <c r="OPE37" s="292"/>
      <c r="OPF37" s="292"/>
      <c r="OPG37" s="292"/>
      <c r="OPH37" s="292"/>
      <c r="OPI37" s="292"/>
      <c r="OPJ37" s="292"/>
      <c r="OPK37" s="292"/>
      <c r="OPL37" s="292"/>
      <c r="OPM37" s="292"/>
      <c r="OPN37" s="292"/>
      <c r="OPO37" s="292"/>
      <c r="OPP37" s="292"/>
      <c r="OPQ37" s="292"/>
      <c r="OPR37" s="292"/>
      <c r="OPS37" s="292"/>
      <c r="OPT37" s="292"/>
      <c r="OPU37" s="292"/>
      <c r="OPV37" s="292"/>
      <c r="OPW37" s="292"/>
      <c r="OPX37" s="292"/>
      <c r="OPY37" s="292"/>
      <c r="OPZ37" s="292"/>
      <c r="OQA37" s="292"/>
      <c r="OQB37" s="292"/>
      <c r="OQC37" s="292"/>
      <c r="OQD37" s="292"/>
      <c r="OQE37" s="292"/>
      <c r="OQF37" s="292"/>
      <c r="OQG37" s="292"/>
      <c r="OQH37" s="292"/>
      <c r="OQI37" s="292"/>
      <c r="OQJ37" s="292"/>
      <c r="OQK37" s="292"/>
      <c r="OQL37" s="292"/>
      <c r="OQM37" s="292"/>
      <c r="OQN37" s="292"/>
      <c r="OQO37" s="292"/>
      <c r="OQP37" s="292"/>
      <c r="OQQ37" s="292"/>
      <c r="OQR37" s="292"/>
      <c r="OQS37" s="292"/>
      <c r="OQT37" s="292"/>
      <c r="OQU37" s="292"/>
      <c r="OQV37" s="292"/>
      <c r="OQW37" s="292"/>
      <c r="OQX37" s="292"/>
      <c r="OQY37" s="292"/>
      <c r="OQZ37" s="292"/>
      <c r="ORA37" s="292"/>
      <c r="ORB37" s="292"/>
      <c r="ORC37" s="292"/>
      <c r="ORD37" s="292"/>
      <c r="ORE37" s="292"/>
      <c r="ORF37" s="292"/>
      <c r="ORG37" s="292"/>
      <c r="ORH37" s="292"/>
      <c r="ORI37" s="292"/>
      <c r="ORJ37" s="292"/>
      <c r="ORK37" s="292"/>
      <c r="ORL37" s="292"/>
      <c r="ORM37" s="292"/>
      <c r="ORN37" s="292"/>
      <c r="ORO37" s="292"/>
      <c r="ORP37" s="292"/>
      <c r="ORQ37" s="292"/>
      <c r="ORR37" s="292"/>
      <c r="ORS37" s="292"/>
      <c r="ORT37" s="292"/>
      <c r="ORU37" s="292"/>
      <c r="ORV37" s="292"/>
      <c r="ORW37" s="292"/>
      <c r="ORX37" s="292"/>
      <c r="ORY37" s="292"/>
      <c r="ORZ37" s="292"/>
      <c r="OSA37" s="292"/>
      <c r="OSB37" s="292"/>
      <c r="OSC37" s="292"/>
      <c r="OSD37" s="292"/>
      <c r="OSE37" s="292"/>
      <c r="OSF37" s="292"/>
      <c r="OSG37" s="292"/>
      <c r="OSH37" s="292"/>
      <c r="OSI37" s="292"/>
      <c r="OSJ37" s="292"/>
      <c r="OSK37" s="292"/>
      <c r="OSL37" s="292"/>
      <c r="OSM37" s="292"/>
      <c r="OSN37" s="292"/>
      <c r="OSO37" s="292"/>
      <c r="OSP37" s="292"/>
      <c r="OSQ37" s="292"/>
      <c r="OSR37" s="292"/>
      <c r="OSS37" s="292"/>
      <c r="OST37" s="292"/>
      <c r="OSU37" s="292"/>
      <c r="OSV37" s="292"/>
      <c r="OSW37" s="292"/>
      <c r="OSX37" s="292"/>
      <c r="OSY37" s="292"/>
      <c r="OSZ37" s="292"/>
      <c r="OTA37" s="292"/>
      <c r="OTB37" s="292"/>
      <c r="OTC37" s="292"/>
      <c r="OTD37" s="292"/>
      <c r="OTE37" s="292"/>
      <c r="OTF37" s="292"/>
      <c r="OTG37" s="292"/>
      <c r="OTH37" s="292"/>
      <c r="OTI37" s="292"/>
      <c r="OTJ37" s="292"/>
      <c r="OTK37" s="292"/>
      <c r="OTL37" s="292"/>
      <c r="OTM37" s="292"/>
      <c r="OTN37" s="292"/>
      <c r="OTO37" s="292"/>
      <c r="OTP37" s="292"/>
      <c r="OTQ37" s="292"/>
      <c r="OTR37" s="292"/>
      <c r="OTS37" s="292"/>
      <c r="OTT37" s="292"/>
      <c r="OTU37" s="292"/>
      <c r="OTV37" s="292"/>
      <c r="OTW37" s="292"/>
      <c r="OTX37" s="292"/>
      <c r="OTY37" s="292"/>
      <c r="OTZ37" s="292"/>
      <c r="OUA37" s="292"/>
      <c r="OUB37" s="292"/>
      <c r="OUC37" s="292"/>
      <c r="OUD37" s="292"/>
      <c r="OUE37" s="292"/>
      <c r="OUF37" s="292"/>
      <c r="OUG37" s="292"/>
      <c r="OUH37" s="292"/>
      <c r="OUI37" s="292"/>
      <c r="OUJ37" s="292"/>
      <c r="OUK37" s="292"/>
      <c r="OUL37" s="292"/>
      <c r="OUM37" s="292"/>
      <c r="OUN37" s="292"/>
      <c r="OUO37" s="292"/>
      <c r="OUP37" s="292"/>
      <c r="OUQ37" s="292"/>
      <c r="OUR37" s="292"/>
      <c r="OUS37" s="292"/>
      <c r="OUT37" s="292"/>
      <c r="OUU37" s="292"/>
      <c r="OUV37" s="292"/>
      <c r="OUW37" s="292"/>
      <c r="OUX37" s="292"/>
      <c r="OUY37" s="292"/>
      <c r="OUZ37" s="292"/>
      <c r="OVA37" s="292"/>
      <c r="OVB37" s="292"/>
      <c r="OVC37" s="292"/>
      <c r="OVD37" s="292"/>
      <c r="OVE37" s="292"/>
      <c r="OVF37" s="292"/>
      <c r="OVG37" s="292"/>
      <c r="OVH37" s="292"/>
      <c r="OVI37" s="292"/>
      <c r="OVJ37" s="292"/>
      <c r="OVK37" s="292"/>
      <c r="OVL37" s="292"/>
      <c r="OVM37" s="292"/>
      <c r="OVN37" s="292"/>
      <c r="OVO37" s="292"/>
      <c r="OVP37" s="292"/>
      <c r="OVQ37" s="292"/>
      <c r="OVR37" s="292"/>
      <c r="OVS37" s="292"/>
      <c r="OVT37" s="292"/>
      <c r="OVU37" s="292"/>
      <c r="OVV37" s="292"/>
      <c r="OVW37" s="292"/>
      <c r="OVX37" s="292"/>
      <c r="OVY37" s="292"/>
      <c r="OVZ37" s="292"/>
      <c r="OWA37" s="292"/>
      <c r="OWB37" s="292"/>
      <c r="OWC37" s="292"/>
      <c r="OWD37" s="292"/>
      <c r="OWE37" s="292"/>
      <c r="OWF37" s="292"/>
      <c r="OWG37" s="292"/>
      <c r="OWH37" s="292"/>
      <c r="OWI37" s="292"/>
      <c r="OWJ37" s="292"/>
      <c r="OWK37" s="292"/>
      <c r="OWL37" s="292"/>
      <c r="OWM37" s="292"/>
      <c r="OWN37" s="292"/>
      <c r="OWO37" s="292"/>
      <c r="OWP37" s="292"/>
      <c r="OWQ37" s="292"/>
      <c r="OWR37" s="292"/>
      <c r="OWS37" s="292"/>
      <c r="OWT37" s="292"/>
      <c r="OWU37" s="292"/>
      <c r="OWV37" s="292"/>
      <c r="OWW37" s="292"/>
      <c r="OWX37" s="292"/>
      <c r="OWY37" s="292"/>
      <c r="OWZ37" s="292"/>
      <c r="OXA37" s="292"/>
      <c r="OXB37" s="292"/>
      <c r="OXC37" s="292"/>
      <c r="OXD37" s="292"/>
      <c r="OXE37" s="292"/>
      <c r="OXF37" s="292"/>
      <c r="OXG37" s="292"/>
      <c r="OXH37" s="292"/>
      <c r="OXI37" s="292"/>
      <c r="OXJ37" s="292"/>
      <c r="OXK37" s="292"/>
      <c r="OXL37" s="292"/>
      <c r="OXM37" s="292"/>
      <c r="OXN37" s="292"/>
      <c r="OXO37" s="292"/>
      <c r="OXP37" s="292"/>
      <c r="OXQ37" s="292"/>
      <c r="OXR37" s="292"/>
      <c r="OXS37" s="292"/>
      <c r="OXT37" s="292"/>
      <c r="OXU37" s="292"/>
      <c r="OXV37" s="292"/>
      <c r="OXW37" s="292"/>
      <c r="OXX37" s="292"/>
      <c r="OXY37" s="292"/>
      <c r="OXZ37" s="292"/>
      <c r="OYA37" s="292"/>
      <c r="OYB37" s="292"/>
      <c r="OYC37" s="292"/>
      <c r="OYD37" s="292"/>
      <c r="OYE37" s="292"/>
      <c r="OYF37" s="292"/>
      <c r="OYG37" s="292"/>
      <c r="OYH37" s="292"/>
      <c r="OYI37" s="292"/>
      <c r="OYJ37" s="292"/>
      <c r="OYK37" s="292"/>
      <c r="OYL37" s="292"/>
      <c r="OYM37" s="292"/>
      <c r="OYN37" s="292"/>
      <c r="OYO37" s="292"/>
      <c r="OYP37" s="292"/>
      <c r="OYQ37" s="292"/>
      <c r="OYR37" s="292"/>
      <c r="OYS37" s="292"/>
      <c r="OYT37" s="292"/>
      <c r="OYU37" s="292"/>
      <c r="OYV37" s="292"/>
      <c r="OYW37" s="292"/>
      <c r="OYX37" s="292"/>
      <c r="OYY37" s="292"/>
      <c r="OYZ37" s="292"/>
      <c r="OZA37" s="292"/>
      <c r="OZB37" s="292"/>
      <c r="OZC37" s="292"/>
      <c r="OZD37" s="292"/>
      <c r="OZE37" s="292"/>
      <c r="OZF37" s="292"/>
      <c r="OZG37" s="292"/>
      <c r="OZH37" s="292"/>
      <c r="OZI37" s="292"/>
      <c r="OZJ37" s="292"/>
      <c r="OZK37" s="292"/>
      <c r="OZL37" s="292"/>
      <c r="OZM37" s="292"/>
      <c r="OZN37" s="292"/>
      <c r="OZO37" s="292"/>
      <c r="OZP37" s="292"/>
      <c r="OZQ37" s="292"/>
      <c r="OZR37" s="292"/>
      <c r="OZS37" s="292"/>
      <c r="OZT37" s="292"/>
      <c r="OZU37" s="292"/>
      <c r="OZV37" s="292"/>
      <c r="OZW37" s="292"/>
      <c r="OZX37" s="292"/>
      <c r="OZY37" s="292"/>
      <c r="OZZ37" s="292"/>
      <c r="PAA37" s="292"/>
      <c r="PAB37" s="292"/>
      <c r="PAC37" s="292"/>
      <c r="PAD37" s="292"/>
      <c r="PAE37" s="292"/>
      <c r="PAF37" s="292"/>
      <c r="PAG37" s="292"/>
      <c r="PAH37" s="292"/>
      <c r="PAI37" s="292"/>
      <c r="PAJ37" s="292"/>
      <c r="PAK37" s="292"/>
      <c r="PAL37" s="292"/>
      <c r="PAM37" s="292"/>
      <c r="PAN37" s="292"/>
      <c r="PAO37" s="292"/>
      <c r="PAP37" s="292"/>
      <c r="PAQ37" s="292"/>
      <c r="PAR37" s="292"/>
      <c r="PAS37" s="292"/>
      <c r="PAT37" s="292"/>
      <c r="PAU37" s="292"/>
      <c r="PAV37" s="292"/>
      <c r="PAW37" s="292"/>
      <c r="PAX37" s="292"/>
      <c r="PAY37" s="292"/>
      <c r="PAZ37" s="292"/>
      <c r="PBA37" s="292"/>
      <c r="PBB37" s="292"/>
      <c r="PBC37" s="292"/>
      <c r="PBD37" s="292"/>
      <c r="PBE37" s="292"/>
      <c r="PBF37" s="292"/>
      <c r="PBG37" s="292"/>
      <c r="PBH37" s="292"/>
      <c r="PBI37" s="292"/>
      <c r="PBJ37" s="292"/>
      <c r="PBK37" s="292"/>
      <c r="PBL37" s="292"/>
      <c r="PBM37" s="292"/>
      <c r="PBN37" s="292"/>
      <c r="PBO37" s="292"/>
      <c r="PBP37" s="292"/>
      <c r="PBQ37" s="292"/>
      <c r="PBR37" s="292"/>
      <c r="PBS37" s="292"/>
      <c r="PBT37" s="292"/>
      <c r="PBU37" s="292"/>
      <c r="PBV37" s="292"/>
      <c r="PBW37" s="292"/>
      <c r="PBX37" s="292"/>
      <c r="PBY37" s="292"/>
      <c r="PBZ37" s="292"/>
      <c r="PCA37" s="292"/>
      <c r="PCB37" s="292"/>
      <c r="PCC37" s="292"/>
      <c r="PCD37" s="292"/>
      <c r="PCE37" s="292"/>
      <c r="PCF37" s="292"/>
      <c r="PCG37" s="292"/>
      <c r="PCH37" s="292"/>
      <c r="PCI37" s="292"/>
      <c r="PCJ37" s="292"/>
      <c r="PCK37" s="292"/>
      <c r="PCL37" s="292"/>
      <c r="PCM37" s="292"/>
      <c r="PCN37" s="292"/>
      <c r="PCO37" s="292"/>
      <c r="PCP37" s="292"/>
      <c r="PCQ37" s="292"/>
      <c r="PCR37" s="292"/>
      <c r="PCS37" s="292"/>
      <c r="PCT37" s="292"/>
      <c r="PCU37" s="292"/>
      <c r="PCV37" s="292"/>
      <c r="PCW37" s="292"/>
      <c r="PCX37" s="292"/>
      <c r="PCY37" s="292"/>
      <c r="PCZ37" s="292"/>
      <c r="PDA37" s="292"/>
      <c r="PDB37" s="292"/>
      <c r="PDC37" s="292"/>
      <c r="PDD37" s="292"/>
      <c r="PDE37" s="292"/>
      <c r="PDF37" s="292"/>
      <c r="PDG37" s="292"/>
      <c r="PDH37" s="292"/>
      <c r="PDI37" s="292"/>
      <c r="PDJ37" s="292"/>
      <c r="PDK37" s="292"/>
      <c r="PDL37" s="292"/>
      <c r="PDM37" s="292"/>
      <c r="PDN37" s="292"/>
      <c r="PDO37" s="292"/>
      <c r="PDP37" s="292"/>
      <c r="PDQ37" s="292"/>
      <c r="PDR37" s="292"/>
      <c r="PDS37" s="292"/>
      <c r="PDT37" s="292"/>
      <c r="PDU37" s="292"/>
      <c r="PDV37" s="292"/>
      <c r="PDW37" s="292"/>
      <c r="PDX37" s="292"/>
      <c r="PDY37" s="292"/>
      <c r="PDZ37" s="292"/>
      <c r="PEA37" s="292"/>
      <c r="PEB37" s="292"/>
      <c r="PEC37" s="292"/>
      <c r="PED37" s="292"/>
      <c r="PEE37" s="292"/>
      <c r="PEF37" s="292"/>
      <c r="PEG37" s="292"/>
      <c r="PEH37" s="292"/>
      <c r="PEI37" s="292"/>
      <c r="PEJ37" s="292"/>
      <c r="PEK37" s="292"/>
      <c r="PEL37" s="292"/>
      <c r="PEM37" s="292"/>
      <c r="PEN37" s="292"/>
      <c r="PEO37" s="292"/>
      <c r="PEP37" s="292"/>
      <c r="PEQ37" s="292"/>
      <c r="PER37" s="292"/>
      <c r="PES37" s="292"/>
      <c r="PET37" s="292"/>
      <c r="PEU37" s="292"/>
      <c r="PEV37" s="292"/>
      <c r="PEW37" s="292"/>
      <c r="PEX37" s="292"/>
      <c r="PEY37" s="292"/>
      <c r="PEZ37" s="292"/>
      <c r="PFA37" s="292"/>
      <c r="PFB37" s="292"/>
      <c r="PFC37" s="292"/>
      <c r="PFD37" s="292"/>
      <c r="PFE37" s="292"/>
      <c r="PFF37" s="292"/>
      <c r="PFG37" s="292"/>
      <c r="PFH37" s="292"/>
      <c r="PFI37" s="292"/>
      <c r="PFJ37" s="292"/>
      <c r="PFK37" s="292"/>
      <c r="PFL37" s="292"/>
      <c r="PFM37" s="292"/>
      <c r="PFN37" s="292"/>
      <c r="PFO37" s="292"/>
      <c r="PFP37" s="292"/>
      <c r="PFQ37" s="292"/>
      <c r="PFR37" s="292"/>
      <c r="PFS37" s="292"/>
      <c r="PFT37" s="292"/>
      <c r="PFU37" s="292"/>
      <c r="PFV37" s="292"/>
      <c r="PFW37" s="292"/>
      <c r="PFX37" s="292"/>
      <c r="PFY37" s="292"/>
      <c r="PFZ37" s="292"/>
      <c r="PGA37" s="292"/>
      <c r="PGB37" s="292"/>
      <c r="PGC37" s="292"/>
      <c r="PGD37" s="292"/>
      <c r="PGE37" s="292"/>
      <c r="PGF37" s="292"/>
      <c r="PGG37" s="292"/>
      <c r="PGH37" s="292"/>
      <c r="PGI37" s="292"/>
      <c r="PGJ37" s="292"/>
      <c r="PGK37" s="292"/>
      <c r="PGL37" s="292"/>
      <c r="PGM37" s="292"/>
      <c r="PGN37" s="292"/>
      <c r="PGO37" s="292"/>
      <c r="PGP37" s="292"/>
      <c r="PGQ37" s="292"/>
      <c r="PGR37" s="292"/>
      <c r="PGS37" s="292"/>
      <c r="PGT37" s="292"/>
      <c r="PGU37" s="292"/>
      <c r="PGV37" s="292"/>
      <c r="PGW37" s="292"/>
      <c r="PGX37" s="292"/>
      <c r="PGY37" s="292"/>
      <c r="PGZ37" s="292"/>
      <c r="PHA37" s="292"/>
      <c r="PHB37" s="292"/>
      <c r="PHC37" s="292"/>
      <c r="PHD37" s="292"/>
      <c r="PHE37" s="292"/>
      <c r="PHF37" s="292"/>
      <c r="PHG37" s="292"/>
      <c r="PHH37" s="292"/>
      <c r="PHI37" s="292"/>
      <c r="PHJ37" s="292"/>
      <c r="PHK37" s="292"/>
      <c r="PHL37" s="292"/>
      <c r="PHM37" s="292"/>
      <c r="PHN37" s="292"/>
      <c r="PHO37" s="292"/>
      <c r="PHP37" s="292"/>
      <c r="PHQ37" s="292"/>
      <c r="PHR37" s="292"/>
      <c r="PHS37" s="292"/>
      <c r="PHT37" s="292"/>
      <c r="PHU37" s="292"/>
      <c r="PHV37" s="292"/>
      <c r="PHW37" s="292"/>
      <c r="PHX37" s="292"/>
      <c r="PHY37" s="292"/>
      <c r="PHZ37" s="292"/>
      <c r="PIA37" s="292"/>
      <c r="PIB37" s="292"/>
      <c r="PIC37" s="292"/>
      <c r="PID37" s="292"/>
      <c r="PIE37" s="292"/>
      <c r="PIF37" s="292"/>
      <c r="PIG37" s="292"/>
      <c r="PIH37" s="292"/>
      <c r="PII37" s="292"/>
      <c r="PIJ37" s="292"/>
      <c r="PIK37" s="292"/>
      <c r="PIL37" s="292"/>
      <c r="PIM37" s="292"/>
      <c r="PIN37" s="292"/>
      <c r="PIO37" s="292"/>
      <c r="PIP37" s="292"/>
      <c r="PIQ37" s="292"/>
      <c r="PIR37" s="292"/>
      <c r="PIS37" s="292"/>
      <c r="PIT37" s="292"/>
      <c r="PIU37" s="292"/>
      <c r="PIV37" s="292"/>
      <c r="PIW37" s="292"/>
      <c r="PIX37" s="292"/>
      <c r="PIY37" s="292"/>
      <c r="PIZ37" s="292"/>
      <c r="PJA37" s="292"/>
      <c r="PJB37" s="292"/>
      <c r="PJC37" s="292"/>
      <c r="PJD37" s="292"/>
      <c r="PJE37" s="292"/>
      <c r="PJF37" s="292"/>
      <c r="PJG37" s="292"/>
      <c r="PJH37" s="292"/>
      <c r="PJI37" s="292"/>
      <c r="PJJ37" s="292"/>
      <c r="PJK37" s="292"/>
      <c r="PJL37" s="292"/>
      <c r="PJM37" s="292"/>
      <c r="PJN37" s="292"/>
      <c r="PJO37" s="292"/>
      <c r="PJP37" s="292"/>
      <c r="PJQ37" s="292"/>
      <c r="PJR37" s="292"/>
      <c r="PJS37" s="292"/>
      <c r="PJT37" s="292"/>
      <c r="PJU37" s="292"/>
      <c r="PJV37" s="292"/>
      <c r="PJW37" s="292"/>
      <c r="PJX37" s="292"/>
      <c r="PJY37" s="292"/>
      <c r="PJZ37" s="292"/>
      <c r="PKA37" s="292"/>
      <c r="PKB37" s="292"/>
      <c r="PKC37" s="292"/>
      <c r="PKD37" s="292"/>
      <c r="PKE37" s="292"/>
      <c r="PKF37" s="292"/>
      <c r="PKG37" s="292"/>
      <c r="PKH37" s="292"/>
      <c r="PKI37" s="292"/>
      <c r="PKJ37" s="292"/>
      <c r="PKK37" s="292"/>
      <c r="PKL37" s="292"/>
      <c r="PKM37" s="292"/>
      <c r="PKN37" s="292"/>
      <c r="PKO37" s="292"/>
      <c r="PKP37" s="292"/>
      <c r="PKQ37" s="292"/>
      <c r="PKR37" s="292"/>
      <c r="PKS37" s="292"/>
      <c r="PKT37" s="292"/>
      <c r="PKU37" s="292"/>
      <c r="PKV37" s="292"/>
      <c r="PKW37" s="292"/>
      <c r="PKX37" s="292"/>
      <c r="PKY37" s="292"/>
      <c r="PKZ37" s="292"/>
      <c r="PLA37" s="292"/>
      <c r="PLB37" s="292"/>
      <c r="PLC37" s="292"/>
      <c r="PLD37" s="292"/>
      <c r="PLE37" s="292"/>
      <c r="PLF37" s="292"/>
      <c r="PLG37" s="292"/>
      <c r="PLH37" s="292"/>
      <c r="PLI37" s="292"/>
      <c r="PLJ37" s="292"/>
      <c r="PLK37" s="292"/>
      <c r="PLL37" s="292"/>
      <c r="PLM37" s="292"/>
      <c r="PLN37" s="292"/>
      <c r="PLO37" s="292"/>
      <c r="PLP37" s="292"/>
      <c r="PLQ37" s="292"/>
      <c r="PLR37" s="292"/>
      <c r="PLS37" s="292"/>
      <c r="PLT37" s="292"/>
      <c r="PLU37" s="292"/>
      <c r="PLV37" s="292"/>
      <c r="PLW37" s="292"/>
      <c r="PLX37" s="292"/>
      <c r="PLY37" s="292"/>
      <c r="PLZ37" s="292"/>
      <c r="PMA37" s="292"/>
      <c r="PMB37" s="292"/>
      <c r="PMC37" s="292"/>
      <c r="PMD37" s="292"/>
      <c r="PME37" s="292"/>
      <c r="PMF37" s="292"/>
      <c r="PMG37" s="292"/>
      <c r="PMH37" s="292"/>
      <c r="PMI37" s="292"/>
      <c r="PMJ37" s="292"/>
      <c r="PMK37" s="292"/>
      <c r="PML37" s="292"/>
      <c r="PMM37" s="292"/>
      <c r="PMN37" s="292"/>
      <c r="PMO37" s="292"/>
      <c r="PMP37" s="292"/>
      <c r="PMQ37" s="292"/>
      <c r="PMR37" s="292"/>
      <c r="PMS37" s="292"/>
      <c r="PMT37" s="292"/>
      <c r="PMU37" s="292"/>
      <c r="PMV37" s="292"/>
      <c r="PMW37" s="292"/>
      <c r="PMX37" s="292"/>
      <c r="PMY37" s="292"/>
      <c r="PMZ37" s="292"/>
      <c r="PNA37" s="292"/>
      <c r="PNB37" s="292"/>
      <c r="PNC37" s="292"/>
      <c r="PND37" s="292"/>
      <c r="PNE37" s="292"/>
      <c r="PNF37" s="292"/>
      <c r="PNG37" s="292"/>
      <c r="PNH37" s="292"/>
      <c r="PNI37" s="292"/>
      <c r="PNJ37" s="292"/>
      <c r="PNK37" s="292"/>
      <c r="PNL37" s="292"/>
      <c r="PNM37" s="292"/>
      <c r="PNN37" s="292"/>
      <c r="PNO37" s="292"/>
      <c r="PNP37" s="292"/>
      <c r="PNQ37" s="292"/>
      <c r="PNR37" s="292"/>
      <c r="PNS37" s="292"/>
      <c r="PNT37" s="292"/>
      <c r="PNU37" s="292"/>
      <c r="PNV37" s="292"/>
      <c r="PNW37" s="292"/>
      <c r="PNX37" s="292"/>
      <c r="PNY37" s="292"/>
      <c r="PNZ37" s="292"/>
      <c r="POA37" s="292"/>
      <c r="POB37" s="292"/>
      <c r="POC37" s="292"/>
      <c r="POD37" s="292"/>
      <c r="POE37" s="292"/>
      <c r="POF37" s="292"/>
      <c r="POG37" s="292"/>
      <c r="POH37" s="292"/>
      <c r="POI37" s="292"/>
      <c r="POJ37" s="292"/>
      <c r="POK37" s="292"/>
      <c r="POL37" s="292"/>
      <c r="POM37" s="292"/>
      <c r="PON37" s="292"/>
      <c r="POO37" s="292"/>
      <c r="POP37" s="292"/>
      <c r="POQ37" s="292"/>
      <c r="POR37" s="292"/>
      <c r="POS37" s="292"/>
      <c r="POT37" s="292"/>
      <c r="POU37" s="292"/>
      <c r="POV37" s="292"/>
      <c r="POW37" s="292"/>
      <c r="POX37" s="292"/>
      <c r="POY37" s="292"/>
      <c r="POZ37" s="292"/>
      <c r="PPA37" s="292"/>
      <c r="PPB37" s="292"/>
      <c r="PPC37" s="292"/>
      <c r="PPD37" s="292"/>
      <c r="PPE37" s="292"/>
      <c r="PPF37" s="292"/>
      <c r="PPG37" s="292"/>
      <c r="PPH37" s="292"/>
      <c r="PPI37" s="292"/>
      <c r="PPJ37" s="292"/>
      <c r="PPK37" s="292"/>
      <c r="PPL37" s="292"/>
      <c r="PPM37" s="292"/>
      <c r="PPN37" s="292"/>
      <c r="PPO37" s="292"/>
      <c r="PPP37" s="292"/>
      <c r="PPQ37" s="292"/>
      <c r="PPR37" s="292"/>
      <c r="PPS37" s="292"/>
      <c r="PPT37" s="292"/>
      <c r="PPU37" s="292"/>
      <c r="PPV37" s="292"/>
      <c r="PPW37" s="292"/>
      <c r="PPX37" s="292"/>
      <c r="PPY37" s="292"/>
      <c r="PPZ37" s="292"/>
      <c r="PQA37" s="292"/>
      <c r="PQB37" s="292"/>
      <c r="PQC37" s="292"/>
      <c r="PQD37" s="292"/>
      <c r="PQE37" s="292"/>
      <c r="PQF37" s="292"/>
      <c r="PQG37" s="292"/>
      <c r="PQH37" s="292"/>
      <c r="PQI37" s="292"/>
      <c r="PQJ37" s="292"/>
      <c r="PQK37" s="292"/>
      <c r="PQL37" s="292"/>
      <c r="PQM37" s="292"/>
      <c r="PQN37" s="292"/>
      <c r="PQO37" s="292"/>
      <c r="PQP37" s="292"/>
      <c r="PQQ37" s="292"/>
      <c r="PQR37" s="292"/>
      <c r="PQS37" s="292"/>
      <c r="PQT37" s="292"/>
      <c r="PQU37" s="292"/>
      <c r="PQV37" s="292"/>
      <c r="PQW37" s="292"/>
      <c r="PQX37" s="292"/>
      <c r="PQY37" s="292"/>
      <c r="PQZ37" s="292"/>
      <c r="PRA37" s="292"/>
      <c r="PRB37" s="292"/>
      <c r="PRC37" s="292"/>
      <c r="PRD37" s="292"/>
      <c r="PRE37" s="292"/>
      <c r="PRF37" s="292"/>
      <c r="PRG37" s="292"/>
      <c r="PRH37" s="292"/>
      <c r="PRI37" s="292"/>
      <c r="PRJ37" s="292"/>
      <c r="PRK37" s="292"/>
      <c r="PRL37" s="292"/>
      <c r="PRM37" s="292"/>
      <c r="PRN37" s="292"/>
      <c r="PRO37" s="292"/>
      <c r="PRP37" s="292"/>
      <c r="PRQ37" s="292"/>
      <c r="PRR37" s="292"/>
      <c r="PRS37" s="292"/>
      <c r="PRT37" s="292"/>
      <c r="PRU37" s="292"/>
      <c r="PRV37" s="292"/>
      <c r="PRW37" s="292"/>
      <c r="PRX37" s="292"/>
      <c r="PRY37" s="292"/>
      <c r="PRZ37" s="292"/>
      <c r="PSA37" s="292"/>
      <c r="PSB37" s="292"/>
      <c r="PSC37" s="292"/>
      <c r="PSD37" s="292"/>
      <c r="PSE37" s="292"/>
      <c r="PSF37" s="292"/>
      <c r="PSG37" s="292"/>
      <c r="PSH37" s="292"/>
      <c r="PSI37" s="292"/>
      <c r="PSJ37" s="292"/>
      <c r="PSK37" s="292"/>
      <c r="PSL37" s="292"/>
      <c r="PSM37" s="292"/>
      <c r="PSN37" s="292"/>
      <c r="PSO37" s="292"/>
      <c r="PSP37" s="292"/>
      <c r="PSQ37" s="292"/>
      <c r="PSR37" s="292"/>
      <c r="PSS37" s="292"/>
      <c r="PST37" s="292"/>
      <c r="PSU37" s="292"/>
      <c r="PSV37" s="292"/>
      <c r="PSW37" s="292"/>
      <c r="PSX37" s="292"/>
      <c r="PSY37" s="292"/>
      <c r="PSZ37" s="292"/>
      <c r="PTA37" s="292"/>
      <c r="PTB37" s="292"/>
      <c r="PTC37" s="292"/>
      <c r="PTD37" s="292"/>
      <c r="PTE37" s="292"/>
      <c r="PTF37" s="292"/>
      <c r="PTG37" s="292"/>
      <c r="PTH37" s="292"/>
      <c r="PTI37" s="292"/>
      <c r="PTJ37" s="292"/>
      <c r="PTK37" s="292"/>
      <c r="PTL37" s="292"/>
      <c r="PTM37" s="292"/>
      <c r="PTN37" s="292"/>
      <c r="PTO37" s="292"/>
      <c r="PTP37" s="292"/>
      <c r="PTQ37" s="292"/>
      <c r="PTR37" s="292"/>
      <c r="PTS37" s="292"/>
      <c r="PTT37" s="292"/>
      <c r="PTU37" s="292"/>
      <c r="PTV37" s="292"/>
      <c r="PTW37" s="292"/>
      <c r="PTX37" s="292"/>
      <c r="PTY37" s="292"/>
      <c r="PTZ37" s="292"/>
      <c r="PUA37" s="292"/>
      <c r="PUB37" s="292"/>
      <c r="PUC37" s="292"/>
      <c r="PUD37" s="292"/>
      <c r="PUE37" s="292"/>
      <c r="PUF37" s="292"/>
      <c r="PUG37" s="292"/>
      <c r="PUH37" s="292"/>
      <c r="PUI37" s="292"/>
      <c r="PUJ37" s="292"/>
      <c r="PUK37" s="292"/>
      <c r="PUL37" s="292"/>
      <c r="PUM37" s="292"/>
      <c r="PUN37" s="292"/>
      <c r="PUO37" s="292"/>
      <c r="PUP37" s="292"/>
      <c r="PUQ37" s="292"/>
      <c r="PUR37" s="292"/>
      <c r="PUS37" s="292"/>
      <c r="PUT37" s="292"/>
      <c r="PUU37" s="292"/>
      <c r="PUV37" s="292"/>
      <c r="PUW37" s="292"/>
      <c r="PUX37" s="292"/>
      <c r="PUY37" s="292"/>
      <c r="PUZ37" s="292"/>
      <c r="PVA37" s="292"/>
      <c r="PVB37" s="292"/>
      <c r="PVC37" s="292"/>
      <c r="PVD37" s="292"/>
      <c r="PVE37" s="292"/>
      <c r="PVF37" s="292"/>
      <c r="PVG37" s="292"/>
      <c r="PVH37" s="292"/>
      <c r="PVI37" s="292"/>
      <c r="PVJ37" s="292"/>
      <c r="PVK37" s="292"/>
      <c r="PVL37" s="292"/>
      <c r="PVM37" s="292"/>
      <c r="PVN37" s="292"/>
      <c r="PVO37" s="292"/>
      <c r="PVP37" s="292"/>
      <c r="PVQ37" s="292"/>
      <c r="PVR37" s="292"/>
      <c r="PVS37" s="292"/>
      <c r="PVT37" s="292"/>
      <c r="PVU37" s="292"/>
      <c r="PVV37" s="292"/>
      <c r="PVW37" s="292"/>
      <c r="PVX37" s="292"/>
      <c r="PVY37" s="292"/>
      <c r="PVZ37" s="292"/>
      <c r="PWA37" s="292"/>
      <c r="PWB37" s="292"/>
      <c r="PWC37" s="292"/>
      <c r="PWD37" s="292"/>
      <c r="PWE37" s="292"/>
      <c r="PWF37" s="292"/>
      <c r="PWG37" s="292"/>
      <c r="PWH37" s="292"/>
      <c r="PWI37" s="292"/>
      <c r="PWJ37" s="292"/>
      <c r="PWK37" s="292"/>
      <c r="PWL37" s="292"/>
      <c r="PWM37" s="292"/>
      <c r="PWN37" s="292"/>
      <c r="PWO37" s="292"/>
      <c r="PWP37" s="292"/>
      <c r="PWQ37" s="292"/>
      <c r="PWR37" s="292"/>
      <c r="PWS37" s="292"/>
      <c r="PWT37" s="292"/>
      <c r="PWU37" s="292"/>
      <c r="PWV37" s="292"/>
      <c r="PWW37" s="292"/>
      <c r="PWX37" s="292"/>
      <c r="PWY37" s="292"/>
      <c r="PWZ37" s="292"/>
      <c r="PXA37" s="292"/>
      <c r="PXB37" s="292"/>
      <c r="PXC37" s="292"/>
      <c r="PXD37" s="292"/>
      <c r="PXE37" s="292"/>
      <c r="PXF37" s="292"/>
      <c r="PXG37" s="292"/>
      <c r="PXH37" s="292"/>
      <c r="PXI37" s="292"/>
      <c r="PXJ37" s="292"/>
      <c r="PXK37" s="292"/>
      <c r="PXL37" s="292"/>
      <c r="PXM37" s="292"/>
      <c r="PXN37" s="292"/>
      <c r="PXO37" s="292"/>
      <c r="PXP37" s="292"/>
      <c r="PXQ37" s="292"/>
      <c r="PXR37" s="292"/>
      <c r="PXS37" s="292"/>
      <c r="PXT37" s="292"/>
      <c r="PXU37" s="292"/>
      <c r="PXV37" s="292"/>
      <c r="PXW37" s="292"/>
      <c r="PXX37" s="292"/>
      <c r="PXY37" s="292"/>
      <c r="PXZ37" s="292"/>
      <c r="PYA37" s="292"/>
      <c r="PYB37" s="292"/>
      <c r="PYC37" s="292"/>
      <c r="PYD37" s="292"/>
      <c r="PYE37" s="292"/>
      <c r="PYF37" s="292"/>
      <c r="PYG37" s="292"/>
      <c r="PYH37" s="292"/>
      <c r="PYI37" s="292"/>
      <c r="PYJ37" s="292"/>
      <c r="PYK37" s="292"/>
      <c r="PYL37" s="292"/>
      <c r="PYM37" s="292"/>
      <c r="PYN37" s="292"/>
      <c r="PYO37" s="292"/>
      <c r="PYP37" s="292"/>
      <c r="PYQ37" s="292"/>
      <c r="PYR37" s="292"/>
      <c r="PYS37" s="292"/>
      <c r="PYT37" s="292"/>
      <c r="PYU37" s="292"/>
      <c r="PYV37" s="292"/>
      <c r="PYW37" s="292"/>
      <c r="PYX37" s="292"/>
      <c r="PYY37" s="292"/>
      <c r="PYZ37" s="292"/>
      <c r="PZA37" s="292"/>
      <c r="PZB37" s="292"/>
      <c r="PZC37" s="292"/>
      <c r="PZD37" s="292"/>
      <c r="PZE37" s="292"/>
      <c r="PZF37" s="292"/>
      <c r="PZG37" s="292"/>
      <c r="PZH37" s="292"/>
      <c r="PZI37" s="292"/>
      <c r="PZJ37" s="292"/>
      <c r="PZK37" s="292"/>
      <c r="PZL37" s="292"/>
      <c r="PZM37" s="292"/>
      <c r="PZN37" s="292"/>
      <c r="PZO37" s="292"/>
      <c r="PZP37" s="292"/>
      <c r="PZQ37" s="292"/>
      <c r="PZR37" s="292"/>
      <c r="PZS37" s="292"/>
      <c r="PZT37" s="292"/>
      <c r="PZU37" s="292"/>
      <c r="PZV37" s="292"/>
      <c r="PZW37" s="292"/>
      <c r="PZX37" s="292"/>
      <c r="PZY37" s="292"/>
      <c r="PZZ37" s="292"/>
      <c r="QAA37" s="292"/>
      <c r="QAB37" s="292"/>
      <c r="QAC37" s="292"/>
      <c r="QAD37" s="292"/>
      <c r="QAE37" s="292"/>
      <c r="QAF37" s="292"/>
      <c r="QAG37" s="292"/>
      <c r="QAH37" s="292"/>
      <c r="QAI37" s="292"/>
      <c r="QAJ37" s="292"/>
      <c r="QAK37" s="292"/>
      <c r="QAL37" s="292"/>
      <c r="QAM37" s="292"/>
      <c r="QAN37" s="292"/>
      <c r="QAO37" s="292"/>
      <c r="QAP37" s="292"/>
      <c r="QAQ37" s="292"/>
      <c r="QAR37" s="292"/>
      <c r="QAS37" s="292"/>
      <c r="QAT37" s="292"/>
      <c r="QAU37" s="292"/>
      <c r="QAV37" s="292"/>
      <c r="QAW37" s="292"/>
      <c r="QAX37" s="292"/>
      <c r="QAY37" s="292"/>
      <c r="QAZ37" s="292"/>
      <c r="QBA37" s="292"/>
      <c r="QBB37" s="292"/>
      <c r="QBC37" s="292"/>
      <c r="QBD37" s="292"/>
      <c r="QBE37" s="292"/>
      <c r="QBF37" s="292"/>
      <c r="QBG37" s="292"/>
      <c r="QBH37" s="292"/>
      <c r="QBI37" s="292"/>
      <c r="QBJ37" s="292"/>
      <c r="QBK37" s="292"/>
      <c r="QBL37" s="292"/>
      <c r="QBM37" s="292"/>
      <c r="QBN37" s="292"/>
      <c r="QBO37" s="292"/>
      <c r="QBP37" s="292"/>
      <c r="QBQ37" s="292"/>
      <c r="QBR37" s="292"/>
      <c r="QBS37" s="292"/>
      <c r="QBT37" s="292"/>
      <c r="QBU37" s="292"/>
      <c r="QBV37" s="292"/>
      <c r="QBW37" s="292"/>
      <c r="QBX37" s="292"/>
      <c r="QBY37" s="292"/>
      <c r="QBZ37" s="292"/>
      <c r="QCA37" s="292"/>
      <c r="QCB37" s="292"/>
      <c r="QCC37" s="292"/>
      <c r="QCD37" s="292"/>
      <c r="QCE37" s="292"/>
      <c r="QCF37" s="292"/>
      <c r="QCG37" s="292"/>
      <c r="QCH37" s="292"/>
      <c r="QCI37" s="292"/>
      <c r="QCJ37" s="292"/>
      <c r="QCK37" s="292"/>
      <c r="QCL37" s="292"/>
      <c r="QCM37" s="292"/>
      <c r="QCN37" s="292"/>
      <c r="QCO37" s="292"/>
      <c r="QCP37" s="292"/>
      <c r="QCQ37" s="292"/>
      <c r="QCR37" s="292"/>
      <c r="QCS37" s="292"/>
      <c r="QCT37" s="292"/>
      <c r="QCU37" s="292"/>
      <c r="QCV37" s="292"/>
      <c r="QCW37" s="292"/>
      <c r="QCX37" s="292"/>
      <c r="QCY37" s="292"/>
      <c r="QCZ37" s="292"/>
      <c r="QDA37" s="292"/>
      <c r="QDB37" s="292"/>
      <c r="QDC37" s="292"/>
      <c r="QDD37" s="292"/>
      <c r="QDE37" s="292"/>
      <c r="QDF37" s="292"/>
      <c r="QDG37" s="292"/>
      <c r="QDH37" s="292"/>
      <c r="QDI37" s="292"/>
      <c r="QDJ37" s="292"/>
      <c r="QDK37" s="292"/>
      <c r="QDL37" s="292"/>
      <c r="QDM37" s="292"/>
      <c r="QDN37" s="292"/>
      <c r="QDO37" s="292"/>
      <c r="QDP37" s="292"/>
      <c r="QDQ37" s="292"/>
      <c r="QDR37" s="292"/>
      <c r="QDS37" s="292"/>
      <c r="QDT37" s="292"/>
      <c r="QDU37" s="292"/>
      <c r="QDV37" s="292"/>
      <c r="QDW37" s="292"/>
      <c r="QDX37" s="292"/>
      <c r="QDY37" s="292"/>
      <c r="QDZ37" s="292"/>
      <c r="QEA37" s="292"/>
      <c r="QEB37" s="292"/>
      <c r="QEC37" s="292"/>
      <c r="QED37" s="292"/>
      <c r="QEE37" s="292"/>
      <c r="QEF37" s="292"/>
      <c r="QEG37" s="292"/>
      <c r="QEH37" s="292"/>
      <c r="QEI37" s="292"/>
      <c r="QEJ37" s="292"/>
      <c r="QEK37" s="292"/>
      <c r="QEL37" s="292"/>
      <c r="QEM37" s="292"/>
      <c r="QEN37" s="292"/>
      <c r="QEO37" s="292"/>
      <c r="QEP37" s="292"/>
      <c r="QEQ37" s="292"/>
      <c r="QER37" s="292"/>
      <c r="QES37" s="292"/>
      <c r="QET37" s="292"/>
      <c r="QEU37" s="292"/>
      <c r="QEV37" s="292"/>
      <c r="QEW37" s="292"/>
      <c r="QEX37" s="292"/>
      <c r="QEY37" s="292"/>
      <c r="QEZ37" s="292"/>
      <c r="QFA37" s="292"/>
      <c r="QFB37" s="292"/>
      <c r="QFC37" s="292"/>
      <c r="QFD37" s="292"/>
      <c r="QFE37" s="292"/>
      <c r="QFF37" s="292"/>
      <c r="QFG37" s="292"/>
      <c r="QFH37" s="292"/>
      <c r="QFI37" s="292"/>
      <c r="QFJ37" s="292"/>
      <c r="QFK37" s="292"/>
      <c r="QFL37" s="292"/>
      <c r="QFM37" s="292"/>
      <c r="QFN37" s="292"/>
      <c r="QFO37" s="292"/>
      <c r="QFP37" s="292"/>
      <c r="QFQ37" s="292"/>
      <c r="QFR37" s="292"/>
      <c r="QFS37" s="292"/>
      <c r="QFT37" s="292"/>
      <c r="QFU37" s="292"/>
      <c r="QFV37" s="292"/>
      <c r="QFW37" s="292"/>
      <c r="QFX37" s="292"/>
      <c r="QFY37" s="292"/>
      <c r="QFZ37" s="292"/>
      <c r="QGA37" s="292"/>
      <c r="QGB37" s="292"/>
      <c r="QGC37" s="292"/>
      <c r="QGD37" s="292"/>
      <c r="QGE37" s="292"/>
      <c r="QGF37" s="292"/>
      <c r="QGG37" s="292"/>
      <c r="QGH37" s="292"/>
      <c r="QGI37" s="292"/>
      <c r="QGJ37" s="292"/>
      <c r="QGK37" s="292"/>
      <c r="QGL37" s="292"/>
      <c r="QGM37" s="292"/>
      <c r="QGN37" s="292"/>
      <c r="QGO37" s="292"/>
      <c r="QGP37" s="292"/>
      <c r="QGQ37" s="292"/>
      <c r="QGR37" s="292"/>
      <c r="QGS37" s="292"/>
      <c r="QGT37" s="292"/>
      <c r="QGU37" s="292"/>
      <c r="QGV37" s="292"/>
      <c r="QGW37" s="292"/>
      <c r="QGX37" s="292"/>
      <c r="QGY37" s="292"/>
      <c r="QGZ37" s="292"/>
      <c r="QHA37" s="292"/>
      <c r="QHB37" s="292"/>
      <c r="QHC37" s="292"/>
      <c r="QHD37" s="292"/>
      <c r="QHE37" s="292"/>
      <c r="QHF37" s="292"/>
      <c r="QHG37" s="292"/>
      <c r="QHH37" s="292"/>
      <c r="QHI37" s="292"/>
      <c r="QHJ37" s="292"/>
      <c r="QHK37" s="292"/>
      <c r="QHL37" s="292"/>
      <c r="QHM37" s="292"/>
      <c r="QHN37" s="292"/>
      <c r="QHO37" s="292"/>
      <c r="QHP37" s="292"/>
      <c r="QHQ37" s="292"/>
      <c r="QHR37" s="292"/>
      <c r="QHS37" s="292"/>
      <c r="QHT37" s="292"/>
      <c r="QHU37" s="292"/>
      <c r="QHV37" s="292"/>
      <c r="QHW37" s="292"/>
      <c r="QHX37" s="292"/>
      <c r="QHY37" s="292"/>
      <c r="QHZ37" s="292"/>
      <c r="QIA37" s="292"/>
      <c r="QIB37" s="292"/>
      <c r="QIC37" s="292"/>
      <c r="QID37" s="292"/>
      <c r="QIE37" s="292"/>
      <c r="QIF37" s="292"/>
      <c r="QIG37" s="292"/>
      <c r="QIH37" s="292"/>
      <c r="QII37" s="292"/>
      <c r="QIJ37" s="292"/>
      <c r="QIK37" s="292"/>
      <c r="QIL37" s="292"/>
      <c r="QIM37" s="292"/>
      <c r="QIN37" s="292"/>
      <c r="QIO37" s="292"/>
      <c r="QIP37" s="292"/>
      <c r="QIQ37" s="292"/>
      <c r="QIR37" s="292"/>
      <c r="QIS37" s="292"/>
      <c r="QIT37" s="292"/>
      <c r="QIU37" s="292"/>
      <c r="QIV37" s="292"/>
      <c r="QIW37" s="292"/>
      <c r="QIX37" s="292"/>
      <c r="QIY37" s="292"/>
      <c r="QIZ37" s="292"/>
      <c r="QJA37" s="292"/>
      <c r="QJB37" s="292"/>
      <c r="QJC37" s="292"/>
      <c r="QJD37" s="292"/>
      <c r="QJE37" s="292"/>
      <c r="QJF37" s="292"/>
      <c r="QJG37" s="292"/>
      <c r="QJH37" s="292"/>
      <c r="QJI37" s="292"/>
      <c r="QJJ37" s="292"/>
      <c r="QJK37" s="292"/>
      <c r="QJL37" s="292"/>
      <c r="QJM37" s="292"/>
      <c r="QJN37" s="292"/>
      <c r="QJO37" s="292"/>
      <c r="QJP37" s="292"/>
      <c r="QJQ37" s="292"/>
      <c r="QJR37" s="292"/>
      <c r="QJS37" s="292"/>
      <c r="QJT37" s="292"/>
      <c r="QJU37" s="292"/>
      <c r="QJV37" s="292"/>
      <c r="QJW37" s="292"/>
      <c r="QJX37" s="292"/>
      <c r="QJY37" s="292"/>
      <c r="QJZ37" s="292"/>
      <c r="QKA37" s="292"/>
      <c r="QKB37" s="292"/>
      <c r="QKC37" s="292"/>
      <c r="QKD37" s="292"/>
      <c r="QKE37" s="292"/>
      <c r="QKF37" s="292"/>
      <c r="QKG37" s="292"/>
      <c r="QKH37" s="292"/>
      <c r="QKI37" s="292"/>
      <c r="QKJ37" s="292"/>
      <c r="QKK37" s="292"/>
      <c r="QKL37" s="292"/>
      <c r="QKM37" s="292"/>
      <c r="QKN37" s="292"/>
      <c r="QKO37" s="292"/>
      <c r="QKP37" s="292"/>
      <c r="QKQ37" s="292"/>
      <c r="QKR37" s="292"/>
      <c r="QKS37" s="292"/>
      <c r="QKT37" s="292"/>
      <c r="QKU37" s="292"/>
      <c r="QKV37" s="292"/>
      <c r="QKW37" s="292"/>
      <c r="QKX37" s="292"/>
      <c r="QKY37" s="292"/>
      <c r="QKZ37" s="292"/>
      <c r="QLA37" s="292"/>
      <c r="QLB37" s="292"/>
      <c r="QLC37" s="292"/>
      <c r="QLD37" s="292"/>
      <c r="QLE37" s="292"/>
      <c r="QLF37" s="292"/>
      <c r="QLG37" s="292"/>
      <c r="QLH37" s="292"/>
      <c r="QLI37" s="292"/>
      <c r="QLJ37" s="292"/>
      <c r="QLK37" s="292"/>
      <c r="QLL37" s="292"/>
      <c r="QLM37" s="292"/>
      <c r="QLN37" s="292"/>
      <c r="QLO37" s="292"/>
      <c r="QLP37" s="292"/>
      <c r="QLQ37" s="292"/>
      <c r="QLR37" s="292"/>
      <c r="QLS37" s="292"/>
      <c r="QLT37" s="292"/>
      <c r="QLU37" s="292"/>
      <c r="QLV37" s="292"/>
      <c r="QLW37" s="292"/>
      <c r="QLX37" s="292"/>
      <c r="QLY37" s="292"/>
      <c r="QLZ37" s="292"/>
      <c r="QMA37" s="292"/>
      <c r="QMB37" s="292"/>
      <c r="QMC37" s="292"/>
      <c r="QMD37" s="292"/>
      <c r="QME37" s="292"/>
      <c r="QMF37" s="292"/>
      <c r="QMG37" s="292"/>
      <c r="QMH37" s="292"/>
      <c r="QMI37" s="292"/>
      <c r="QMJ37" s="292"/>
      <c r="QMK37" s="292"/>
      <c r="QML37" s="292"/>
      <c r="QMM37" s="292"/>
      <c r="QMN37" s="292"/>
      <c r="QMO37" s="292"/>
      <c r="QMP37" s="292"/>
      <c r="QMQ37" s="292"/>
      <c r="QMR37" s="292"/>
      <c r="QMS37" s="292"/>
      <c r="QMT37" s="292"/>
      <c r="QMU37" s="292"/>
      <c r="QMV37" s="292"/>
      <c r="QMW37" s="292"/>
      <c r="QMX37" s="292"/>
      <c r="QMY37" s="292"/>
      <c r="QMZ37" s="292"/>
      <c r="QNA37" s="292"/>
      <c r="QNB37" s="292"/>
      <c r="QNC37" s="292"/>
      <c r="QND37" s="292"/>
      <c r="QNE37" s="292"/>
      <c r="QNF37" s="292"/>
      <c r="QNG37" s="292"/>
      <c r="QNH37" s="292"/>
      <c r="QNI37" s="292"/>
      <c r="QNJ37" s="292"/>
      <c r="QNK37" s="292"/>
      <c r="QNL37" s="292"/>
      <c r="QNM37" s="292"/>
      <c r="QNN37" s="292"/>
      <c r="QNO37" s="292"/>
      <c r="QNP37" s="292"/>
      <c r="QNQ37" s="292"/>
      <c r="QNR37" s="292"/>
      <c r="QNS37" s="292"/>
      <c r="QNT37" s="292"/>
      <c r="QNU37" s="292"/>
      <c r="QNV37" s="292"/>
      <c r="QNW37" s="292"/>
      <c r="QNX37" s="292"/>
      <c r="QNY37" s="292"/>
      <c r="QNZ37" s="292"/>
      <c r="QOA37" s="292"/>
      <c r="QOB37" s="292"/>
      <c r="QOC37" s="292"/>
      <c r="QOD37" s="292"/>
      <c r="QOE37" s="292"/>
      <c r="QOF37" s="292"/>
      <c r="QOG37" s="292"/>
      <c r="QOH37" s="292"/>
      <c r="QOI37" s="292"/>
      <c r="QOJ37" s="292"/>
      <c r="QOK37" s="292"/>
      <c r="QOL37" s="292"/>
      <c r="QOM37" s="292"/>
      <c r="QON37" s="292"/>
      <c r="QOO37" s="292"/>
      <c r="QOP37" s="292"/>
      <c r="QOQ37" s="292"/>
      <c r="QOR37" s="292"/>
      <c r="QOS37" s="292"/>
      <c r="QOT37" s="292"/>
      <c r="QOU37" s="292"/>
      <c r="QOV37" s="292"/>
      <c r="QOW37" s="292"/>
      <c r="QOX37" s="292"/>
      <c r="QOY37" s="292"/>
      <c r="QOZ37" s="292"/>
      <c r="QPA37" s="292"/>
      <c r="QPB37" s="292"/>
      <c r="QPC37" s="292"/>
      <c r="QPD37" s="292"/>
      <c r="QPE37" s="292"/>
      <c r="QPF37" s="292"/>
      <c r="QPG37" s="292"/>
      <c r="QPH37" s="292"/>
      <c r="QPI37" s="292"/>
      <c r="QPJ37" s="292"/>
      <c r="QPK37" s="292"/>
      <c r="QPL37" s="292"/>
      <c r="QPM37" s="292"/>
      <c r="QPN37" s="292"/>
      <c r="QPO37" s="292"/>
      <c r="QPP37" s="292"/>
      <c r="QPQ37" s="292"/>
      <c r="QPR37" s="292"/>
      <c r="QPS37" s="292"/>
      <c r="QPT37" s="292"/>
      <c r="QPU37" s="292"/>
      <c r="QPV37" s="292"/>
      <c r="QPW37" s="292"/>
      <c r="QPX37" s="292"/>
      <c r="QPY37" s="292"/>
      <c r="QPZ37" s="292"/>
      <c r="QQA37" s="292"/>
      <c r="QQB37" s="292"/>
      <c r="QQC37" s="292"/>
      <c r="QQD37" s="292"/>
      <c r="QQE37" s="292"/>
      <c r="QQF37" s="292"/>
      <c r="QQG37" s="292"/>
      <c r="QQH37" s="292"/>
      <c r="QQI37" s="292"/>
      <c r="QQJ37" s="292"/>
      <c r="QQK37" s="292"/>
      <c r="QQL37" s="292"/>
      <c r="QQM37" s="292"/>
      <c r="QQN37" s="292"/>
      <c r="QQO37" s="292"/>
      <c r="QQP37" s="292"/>
      <c r="QQQ37" s="292"/>
      <c r="QQR37" s="292"/>
      <c r="QQS37" s="292"/>
      <c r="QQT37" s="292"/>
      <c r="QQU37" s="292"/>
      <c r="QQV37" s="292"/>
      <c r="QQW37" s="292"/>
      <c r="QQX37" s="292"/>
      <c r="QQY37" s="292"/>
      <c r="QQZ37" s="292"/>
      <c r="QRA37" s="292"/>
      <c r="QRB37" s="292"/>
      <c r="QRC37" s="292"/>
      <c r="QRD37" s="292"/>
      <c r="QRE37" s="292"/>
      <c r="QRF37" s="292"/>
      <c r="QRG37" s="292"/>
      <c r="QRH37" s="292"/>
      <c r="QRI37" s="292"/>
      <c r="QRJ37" s="292"/>
      <c r="QRK37" s="292"/>
      <c r="QRL37" s="292"/>
      <c r="QRM37" s="292"/>
      <c r="QRN37" s="292"/>
      <c r="QRO37" s="292"/>
      <c r="QRP37" s="292"/>
      <c r="QRQ37" s="292"/>
      <c r="QRR37" s="292"/>
      <c r="QRS37" s="292"/>
      <c r="QRT37" s="292"/>
      <c r="QRU37" s="292"/>
      <c r="QRV37" s="292"/>
      <c r="QRW37" s="292"/>
      <c r="QRX37" s="292"/>
      <c r="QRY37" s="292"/>
      <c r="QRZ37" s="292"/>
      <c r="QSA37" s="292"/>
      <c r="QSB37" s="292"/>
      <c r="QSC37" s="292"/>
      <c r="QSD37" s="292"/>
      <c r="QSE37" s="292"/>
      <c r="QSF37" s="292"/>
      <c r="QSG37" s="292"/>
      <c r="QSH37" s="292"/>
      <c r="QSI37" s="292"/>
      <c r="QSJ37" s="292"/>
      <c r="QSK37" s="292"/>
      <c r="QSL37" s="292"/>
      <c r="QSM37" s="292"/>
      <c r="QSN37" s="292"/>
      <c r="QSO37" s="292"/>
      <c r="QSP37" s="292"/>
      <c r="QSQ37" s="292"/>
      <c r="QSR37" s="292"/>
      <c r="QSS37" s="292"/>
      <c r="QST37" s="292"/>
      <c r="QSU37" s="292"/>
      <c r="QSV37" s="292"/>
      <c r="QSW37" s="292"/>
      <c r="QSX37" s="292"/>
      <c r="QSY37" s="292"/>
      <c r="QSZ37" s="292"/>
      <c r="QTA37" s="292"/>
      <c r="QTB37" s="292"/>
      <c r="QTC37" s="292"/>
      <c r="QTD37" s="292"/>
      <c r="QTE37" s="292"/>
      <c r="QTF37" s="292"/>
      <c r="QTG37" s="292"/>
      <c r="QTH37" s="292"/>
      <c r="QTI37" s="292"/>
      <c r="QTJ37" s="292"/>
      <c r="QTK37" s="292"/>
      <c r="QTL37" s="292"/>
      <c r="QTM37" s="292"/>
      <c r="QTN37" s="292"/>
      <c r="QTO37" s="292"/>
      <c r="QTP37" s="292"/>
      <c r="QTQ37" s="292"/>
      <c r="QTR37" s="292"/>
      <c r="QTS37" s="292"/>
      <c r="QTT37" s="292"/>
      <c r="QTU37" s="292"/>
      <c r="QTV37" s="292"/>
      <c r="QTW37" s="292"/>
      <c r="QTX37" s="292"/>
      <c r="QTY37" s="292"/>
      <c r="QTZ37" s="292"/>
      <c r="QUA37" s="292"/>
      <c r="QUB37" s="292"/>
      <c r="QUC37" s="292"/>
      <c r="QUD37" s="292"/>
      <c r="QUE37" s="292"/>
      <c r="QUF37" s="292"/>
      <c r="QUG37" s="292"/>
      <c r="QUH37" s="292"/>
      <c r="QUI37" s="292"/>
      <c r="QUJ37" s="292"/>
      <c r="QUK37" s="292"/>
      <c r="QUL37" s="292"/>
      <c r="QUM37" s="292"/>
      <c r="QUN37" s="292"/>
      <c r="QUO37" s="292"/>
      <c r="QUP37" s="292"/>
      <c r="QUQ37" s="292"/>
      <c r="QUR37" s="292"/>
      <c r="QUS37" s="292"/>
      <c r="QUT37" s="292"/>
      <c r="QUU37" s="292"/>
      <c r="QUV37" s="292"/>
      <c r="QUW37" s="292"/>
      <c r="QUX37" s="292"/>
      <c r="QUY37" s="292"/>
      <c r="QUZ37" s="292"/>
      <c r="QVA37" s="292"/>
      <c r="QVB37" s="292"/>
      <c r="QVC37" s="292"/>
      <c r="QVD37" s="292"/>
      <c r="QVE37" s="292"/>
      <c r="QVF37" s="292"/>
      <c r="QVG37" s="292"/>
      <c r="QVH37" s="292"/>
      <c r="QVI37" s="292"/>
      <c r="QVJ37" s="292"/>
      <c r="QVK37" s="292"/>
      <c r="QVL37" s="292"/>
      <c r="QVM37" s="292"/>
      <c r="QVN37" s="292"/>
      <c r="QVO37" s="292"/>
      <c r="QVP37" s="292"/>
      <c r="QVQ37" s="292"/>
      <c r="QVR37" s="292"/>
      <c r="QVS37" s="292"/>
      <c r="QVT37" s="292"/>
      <c r="QVU37" s="292"/>
      <c r="QVV37" s="292"/>
      <c r="QVW37" s="292"/>
      <c r="QVX37" s="292"/>
      <c r="QVY37" s="292"/>
      <c r="QVZ37" s="292"/>
      <c r="QWA37" s="292"/>
      <c r="QWB37" s="292"/>
      <c r="QWC37" s="292"/>
      <c r="QWD37" s="292"/>
      <c r="QWE37" s="292"/>
      <c r="QWF37" s="292"/>
      <c r="QWG37" s="292"/>
      <c r="QWH37" s="292"/>
      <c r="QWI37" s="292"/>
      <c r="QWJ37" s="292"/>
      <c r="QWK37" s="292"/>
      <c r="QWL37" s="292"/>
      <c r="QWM37" s="292"/>
      <c r="QWN37" s="292"/>
      <c r="QWO37" s="292"/>
      <c r="QWP37" s="292"/>
      <c r="QWQ37" s="292"/>
      <c r="QWR37" s="292"/>
      <c r="QWS37" s="292"/>
      <c r="QWT37" s="292"/>
      <c r="QWU37" s="292"/>
      <c r="QWV37" s="292"/>
      <c r="QWW37" s="292"/>
      <c r="QWX37" s="292"/>
      <c r="QWY37" s="292"/>
      <c r="QWZ37" s="292"/>
      <c r="QXA37" s="292"/>
      <c r="QXB37" s="292"/>
      <c r="QXC37" s="292"/>
      <c r="QXD37" s="292"/>
      <c r="QXE37" s="292"/>
      <c r="QXF37" s="292"/>
      <c r="QXG37" s="292"/>
      <c r="QXH37" s="292"/>
      <c r="QXI37" s="292"/>
      <c r="QXJ37" s="292"/>
      <c r="QXK37" s="292"/>
      <c r="QXL37" s="292"/>
      <c r="QXM37" s="292"/>
      <c r="QXN37" s="292"/>
      <c r="QXO37" s="292"/>
      <c r="QXP37" s="292"/>
      <c r="QXQ37" s="292"/>
      <c r="QXR37" s="292"/>
      <c r="QXS37" s="292"/>
      <c r="QXT37" s="292"/>
      <c r="QXU37" s="292"/>
      <c r="QXV37" s="292"/>
      <c r="QXW37" s="292"/>
      <c r="QXX37" s="292"/>
      <c r="QXY37" s="292"/>
      <c r="QXZ37" s="292"/>
      <c r="QYA37" s="292"/>
      <c r="QYB37" s="292"/>
      <c r="QYC37" s="292"/>
      <c r="QYD37" s="292"/>
      <c r="QYE37" s="292"/>
      <c r="QYF37" s="292"/>
      <c r="QYG37" s="292"/>
      <c r="QYH37" s="292"/>
      <c r="QYI37" s="292"/>
      <c r="QYJ37" s="292"/>
      <c r="QYK37" s="292"/>
      <c r="QYL37" s="292"/>
      <c r="QYM37" s="292"/>
      <c r="QYN37" s="292"/>
      <c r="QYO37" s="292"/>
      <c r="QYP37" s="292"/>
      <c r="QYQ37" s="292"/>
      <c r="QYR37" s="292"/>
      <c r="QYS37" s="292"/>
      <c r="QYT37" s="292"/>
      <c r="QYU37" s="292"/>
      <c r="QYV37" s="292"/>
      <c r="QYW37" s="292"/>
      <c r="QYX37" s="292"/>
      <c r="QYY37" s="292"/>
      <c r="QYZ37" s="292"/>
      <c r="QZA37" s="292"/>
      <c r="QZB37" s="292"/>
      <c r="QZC37" s="292"/>
      <c r="QZD37" s="292"/>
      <c r="QZE37" s="292"/>
      <c r="QZF37" s="292"/>
      <c r="QZG37" s="292"/>
      <c r="QZH37" s="292"/>
      <c r="QZI37" s="292"/>
      <c r="QZJ37" s="292"/>
      <c r="QZK37" s="292"/>
      <c r="QZL37" s="292"/>
      <c r="QZM37" s="292"/>
      <c r="QZN37" s="292"/>
      <c r="QZO37" s="292"/>
      <c r="QZP37" s="292"/>
      <c r="QZQ37" s="292"/>
      <c r="QZR37" s="292"/>
      <c r="QZS37" s="292"/>
      <c r="QZT37" s="292"/>
      <c r="QZU37" s="292"/>
      <c r="QZV37" s="292"/>
      <c r="QZW37" s="292"/>
      <c r="QZX37" s="292"/>
      <c r="QZY37" s="292"/>
      <c r="QZZ37" s="292"/>
      <c r="RAA37" s="292"/>
      <c r="RAB37" s="292"/>
      <c r="RAC37" s="292"/>
      <c r="RAD37" s="292"/>
      <c r="RAE37" s="292"/>
      <c r="RAF37" s="292"/>
      <c r="RAG37" s="292"/>
      <c r="RAH37" s="292"/>
      <c r="RAI37" s="292"/>
      <c r="RAJ37" s="292"/>
      <c r="RAK37" s="292"/>
      <c r="RAL37" s="292"/>
      <c r="RAM37" s="292"/>
      <c r="RAN37" s="292"/>
      <c r="RAO37" s="292"/>
      <c r="RAP37" s="292"/>
      <c r="RAQ37" s="292"/>
      <c r="RAR37" s="292"/>
      <c r="RAS37" s="292"/>
      <c r="RAT37" s="292"/>
      <c r="RAU37" s="292"/>
      <c r="RAV37" s="292"/>
      <c r="RAW37" s="292"/>
      <c r="RAX37" s="292"/>
      <c r="RAY37" s="292"/>
      <c r="RAZ37" s="292"/>
      <c r="RBA37" s="292"/>
      <c r="RBB37" s="292"/>
      <c r="RBC37" s="292"/>
      <c r="RBD37" s="292"/>
      <c r="RBE37" s="292"/>
      <c r="RBF37" s="292"/>
      <c r="RBG37" s="292"/>
      <c r="RBH37" s="292"/>
      <c r="RBI37" s="292"/>
      <c r="RBJ37" s="292"/>
      <c r="RBK37" s="292"/>
      <c r="RBL37" s="292"/>
      <c r="RBM37" s="292"/>
      <c r="RBN37" s="292"/>
      <c r="RBO37" s="292"/>
      <c r="RBP37" s="292"/>
      <c r="RBQ37" s="292"/>
      <c r="RBR37" s="292"/>
      <c r="RBS37" s="292"/>
      <c r="RBT37" s="292"/>
      <c r="RBU37" s="292"/>
      <c r="RBV37" s="292"/>
      <c r="RBW37" s="292"/>
      <c r="RBX37" s="292"/>
      <c r="RBY37" s="292"/>
      <c r="RBZ37" s="292"/>
      <c r="RCA37" s="292"/>
      <c r="RCB37" s="292"/>
      <c r="RCC37" s="292"/>
      <c r="RCD37" s="292"/>
      <c r="RCE37" s="292"/>
      <c r="RCF37" s="292"/>
      <c r="RCG37" s="292"/>
      <c r="RCH37" s="292"/>
      <c r="RCI37" s="292"/>
      <c r="RCJ37" s="292"/>
      <c r="RCK37" s="292"/>
      <c r="RCL37" s="292"/>
      <c r="RCM37" s="292"/>
      <c r="RCN37" s="292"/>
      <c r="RCO37" s="292"/>
      <c r="RCP37" s="292"/>
      <c r="RCQ37" s="292"/>
      <c r="RCR37" s="292"/>
      <c r="RCS37" s="292"/>
      <c r="RCT37" s="292"/>
      <c r="RCU37" s="292"/>
      <c r="RCV37" s="292"/>
      <c r="RCW37" s="292"/>
      <c r="RCX37" s="292"/>
      <c r="RCY37" s="292"/>
      <c r="RCZ37" s="292"/>
      <c r="RDA37" s="292"/>
      <c r="RDB37" s="292"/>
      <c r="RDC37" s="292"/>
      <c r="RDD37" s="292"/>
      <c r="RDE37" s="292"/>
      <c r="RDF37" s="292"/>
      <c r="RDG37" s="292"/>
      <c r="RDH37" s="292"/>
      <c r="RDI37" s="292"/>
      <c r="RDJ37" s="292"/>
      <c r="RDK37" s="292"/>
      <c r="RDL37" s="292"/>
      <c r="RDM37" s="292"/>
      <c r="RDN37" s="292"/>
      <c r="RDO37" s="292"/>
      <c r="RDP37" s="292"/>
      <c r="RDQ37" s="292"/>
      <c r="RDR37" s="292"/>
      <c r="RDS37" s="292"/>
      <c r="RDT37" s="292"/>
      <c r="RDU37" s="292"/>
      <c r="RDV37" s="292"/>
      <c r="RDW37" s="292"/>
      <c r="RDX37" s="292"/>
      <c r="RDY37" s="292"/>
      <c r="RDZ37" s="292"/>
      <c r="REA37" s="292"/>
      <c r="REB37" s="292"/>
      <c r="REC37" s="292"/>
      <c r="RED37" s="292"/>
      <c r="REE37" s="292"/>
      <c r="REF37" s="292"/>
      <c r="REG37" s="292"/>
      <c r="REH37" s="292"/>
      <c r="REI37" s="292"/>
      <c r="REJ37" s="292"/>
      <c r="REK37" s="292"/>
      <c r="REL37" s="292"/>
      <c r="REM37" s="292"/>
      <c r="REN37" s="292"/>
      <c r="REO37" s="292"/>
      <c r="REP37" s="292"/>
      <c r="REQ37" s="292"/>
      <c r="RER37" s="292"/>
      <c r="RES37" s="292"/>
      <c r="RET37" s="292"/>
      <c r="REU37" s="292"/>
      <c r="REV37" s="292"/>
      <c r="REW37" s="292"/>
      <c r="REX37" s="292"/>
      <c r="REY37" s="292"/>
      <c r="REZ37" s="292"/>
      <c r="RFA37" s="292"/>
      <c r="RFB37" s="292"/>
      <c r="RFC37" s="292"/>
      <c r="RFD37" s="292"/>
      <c r="RFE37" s="292"/>
      <c r="RFF37" s="292"/>
      <c r="RFG37" s="292"/>
      <c r="RFH37" s="292"/>
      <c r="RFI37" s="292"/>
      <c r="RFJ37" s="292"/>
      <c r="RFK37" s="292"/>
      <c r="RFL37" s="292"/>
      <c r="RFM37" s="292"/>
      <c r="RFN37" s="292"/>
      <c r="RFO37" s="292"/>
      <c r="RFP37" s="292"/>
      <c r="RFQ37" s="292"/>
      <c r="RFR37" s="292"/>
      <c r="RFS37" s="292"/>
      <c r="RFT37" s="292"/>
      <c r="RFU37" s="292"/>
      <c r="RFV37" s="292"/>
      <c r="RFW37" s="292"/>
      <c r="RFX37" s="292"/>
      <c r="RFY37" s="292"/>
      <c r="RFZ37" s="292"/>
      <c r="RGA37" s="292"/>
      <c r="RGB37" s="292"/>
      <c r="RGC37" s="292"/>
      <c r="RGD37" s="292"/>
      <c r="RGE37" s="292"/>
      <c r="RGF37" s="292"/>
      <c r="RGG37" s="292"/>
      <c r="RGH37" s="292"/>
      <c r="RGI37" s="292"/>
      <c r="RGJ37" s="292"/>
      <c r="RGK37" s="292"/>
      <c r="RGL37" s="292"/>
      <c r="RGM37" s="292"/>
      <c r="RGN37" s="292"/>
      <c r="RGO37" s="292"/>
      <c r="RGP37" s="292"/>
      <c r="RGQ37" s="292"/>
      <c r="RGR37" s="292"/>
      <c r="RGS37" s="292"/>
      <c r="RGT37" s="292"/>
      <c r="RGU37" s="292"/>
      <c r="RGV37" s="292"/>
      <c r="RGW37" s="292"/>
      <c r="RGX37" s="292"/>
      <c r="RGY37" s="292"/>
      <c r="RGZ37" s="292"/>
      <c r="RHA37" s="292"/>
      <c r="RHB37" s="292"/>
      <c r="RHC37" s="292"/>
      <c r="RHD37" s="292"/>
      <c r="RHE37" s="292"/>
      <c r="RHF37" s="292"/>
      <c r="RHG37" s="292"/>
      <c r="RHH37" s="292"/>
      <c r="RHI37" s="292"/>
      <c r="RHJ37" s="292"/>
      <c r="RHK37" s="292"/>
      <c r="RHL37" s="292"/>
      <c r="RHM37" s="292"/>
      <c r="RHN37" s="292"/>
      <c r="RHO37" s="292"/>
      <c r="RHP37" s="292"/>
      <c r="RHQ37" s="292"/>
      <c r="RHR37" s="292"/>
      <c r="RHS37" s="292"/>
      <c r="RHT37" s="292"/>
      <c r="RHU37" s="292"/>
      <c r="RHV37" s="292"/>
      <c r="RHW37" s="292"/>
      <c r="RHX37" s="292"/>
      <c r="RHY37" s="292"/>
      <c r="RHZ37" s="292"/>
      <c r="RIA37" s="292"/>
      <c r="RIB37" s="292"/>
      <c r="RIC37" s="292"/>
      <c r="RID37" s="292"/>
      <c r="RIE37" s="292"/>
      <c r="RIF37" s="292"/>
      <c r="RIG37" s="292"/>
      <c r="RIH37" s="292"/>
      <c r="RII37" s="292"/>
      <c r="RIJ37" s="292"/>
      <c r="RIK37" s="292"/>
      <c r="RIL37" s="292"/>
      <c r="RIM37" s="292"/>
      <c r="RIN37" s="292"/>
      <c r="RIO37" s="292"/>
      <c r="RIP37" s="292"/>
      <c r="RIQ37" s="292"/>
      <c r="RIR37" s="292"/>
      <c r="RIS37" s="292"/>
      <c r="RIT37" s="292"/>
      <c r="RIU37" s="292"/>
      <c r="RIV37" s="292"/>
      <c r="RIW37" s="292"/>
      <c r="RIX37" s="292"/>
      <c r="RIY37" s="292"/>
      <c r="RIZ37" s="292"/>
      <c r="RJA37" s="292"/>
      <c r="RJB37" s="292"/>
      <c r="RJC37" s="292"/>
      <c r="RJD37" s="292"/>
      <c r="RJE37" s="292"/>
      <c r="RJF37" s="292"/>
      <c r="RJG37" s="292"/>
      <c r="RJH37" s="292"/>
      <c r="RJI37" s="292"/>
      <c r="RJJ37" s="292"/>
      <c r="RJK37" s="292"/>
      <c r="RJL37" s="292"/>
      <c r="RJM37" s="292"/>
      <c r="RJN37" s="292"/>
      <c r="RJO37" s="292"/>
      <c r="RJP37" s="292"/>
      <c r="RJQ37" s="292"/>
      <c r="RJR37" s="292"/>
      <c r="RJS37" s="292"/>
      <c r="RJT37" s="292"/>
      <c r="RJU37" s="292"/>
      <c r="RJV37" s="292"/>
      <c r="RJW37" s="292"/>
      <c r="RJX37" s="292"/>
      <c r="RJY37" s="292"/>
      <c r="RJZ37" s="292"/>
      <c r="RKA37" s="292"/>
      <c r="RKB37" s="292"/>
      <c r="RKC37" s="292"/>
      <c r="RKD37" s="292"/>
      <c r="RKE37" s="292"/>
      <c r="RKF37" s="292"/>
      <c r="RKG37" s="292"/>
      <c r="RKH37" s="292"/>
      <c r="RKI37" s="292"/>
      <c r="RKJ37" s="292"/>
      <c r="RKK37" s="292"/>
      <c r="RKL37" s="292"/>
      <c r="RKM37" s="292"/>
      <c r="RKN37" s="292"/>
      <c r="RKO37" s="292"/>
      <c r="RKP37" s="292"/>
      <c r="RKQ37" s="292"/>
      <c r="RKR37" s="292"/>
      <c r="RKS37" s="292"/>
      <c r="RKT37" s="292"/>
      <c r="RKU37" s="292"/>
      <c r="RKV37" s="292"/>
      <c r="RKW37" s="292"/>
      <c r="RKX37" s="292"/>
      <c r="RKY37" s="292"/>
      <c r="RKZ37" s="292"/>
      <c r="RLA37" s="292"/>
      <c r="RLB37" s="292"/>
      <c r="RLC37" s="292"/>
      <c r="RLD37" s="292"/>
      <c r="RLE37" s="292"/>
      <c r="RLF37" s="292"/>
      <c r="RLG37" s="292"/>
      <c r="RLH37" s="292"/>
      <c r="RLI37" s="292"/>
      <c r="RLJ37" s="292"/>
      <c r="RLK37" s="292"/>
      <c r="RLL37" s="292"/>
      <c r="RLM37" s="292"/>
      <c r="RLN37" s="292"/>
      <c r="RLO37" s="292"/>
      <c r="RLP37" s="292"/>
      <c r="RLQ37" s="292"/>
      <c r="RLR37" s="292"/>
      <c r="RLS37" s="292"/>
      <c r="RLT37" s="292"/>
      <c r="RLU37" s="292"/>
      <c r="RLV37" s="292"/>
      <c r="RLW37" s="292"/>
      <c r="RLX37" s="292"/>
      <c r="RLY37" s="292"/>
      <c r="RLZ37" s="292"/>
      <c r="RMA37" s="292"/>
      <c r="RMB37" s="292"/>
      <c r="RMC37" s="292"/>
      <c r="RMD37" s="292"/>
      <c r="RME37" s="292"/>
      <c r="RMF37" s="292"/>
      <c r="RMG37" s="292"/>
      <c r="RMH37" s="292"/>
      <c r="RMI37" s="292"/>
      <c r="RMJ37" s="292"/>
      <c r="RMK37" s="292"/>
      <c r="RML37" s="292"/>
      <c r="RMM37" s="292"/>
      <c r="RMN37" s="292"/>
      <c r="RMO37" s="292"/>
      <c r="RMP37" s="292"/>
      <c r="RMQ37" s="292"/>
      <c r="RMR37" s="292"/>
      <c r="RMS37" s="292"/>
      <c r="RMT37" s="292"/>
      <c r="RMU37" s="292"/>
      <c r="RMV37" s="292"/>
      <c r="RMW37" s="292"/>
      <c r="RMX37" s="292"/>
      <c r="RMY37" s="292"/>
      <c r="RMZ37" s="292"/>
      <c r="RNA37" s="292"/>
      <c r="RNB37" s="292"/>
      <c r="RNC37" s="292"/>
      <c r="RND37" s="292"/>
      <c r="RNE37" s="292"/>
      <c r="RNF37" s="292"/>
      <c r="RNG37" s="292"/>
      <c r="RNH37" s="292"/>
      <c r="RNI37" s="292"/>
      <c r="RNJ37" s="292"/>
      <c r="RNK37" s="292"/>
      <c r="RNL37" s="292"/>
      <c r="RNM37" s="292"/>
      <c r="RNN37" s="292"/>
      <c r="RNO37" s="292"/>
      <c r="RNP37" s="292"/>
      <c r="RNQ37" s="292"/>
      <c r="RNR37" s="292"/>
      <c r="RNS37" s="292"/>
      <c r="RNT37" s="292"/>
      <c r="RNU37" s="292"/>
      <c r="RNV37" s="292"/>
      <c r="RNW37" s="292"/>
      <c r="RNX37" s="292"/>
      <c r="RNY37" s="292"/>
      <c r="RNZ37" s="292"/>
      <c r="ROA37" s="292"/>
      <c r="ROB37" s="292"/>
      <c r="ROC37" s="292"/>
      <c r="ROD37" s="292"/>
      <c r="ROE37" s="292"/>
      <c r="ROF37" s="292"/>
      <c r="ROG37" s="292"/>
      <c r="ROH37" s="292"/>
      <c r="ROI37" s="292"/>
      <c r="ROJ37" s="292"/>
      <c r="ROK37" s="292"/>
      <c r="ROL37" s="292"/>
      <c r="ROM37" s="292"/>
      <c r="RON37" s="292"/>
      <c r="ROO37" s="292"/>
      <c r="ROP37" s="292"/>
      <c r="ROQ37" s="292"/>
      <c r="ROR37" s="292"/>
      <c r="ROS37" s="292"/>
      <c r="ROT37" s="292"/>
      <c r="ROU37" s="292"/>
      <c r="ROV37" s="292"/>
      <c r="ROW37" s="292"/>
      <c r="ROX37" s="292"/>
      <c r="ROY37" s="292"/>
      <c r="ROZ37" s="292"/>
      <c r="RPA37" s="292"/>
      <c r="RPB37" s="292"/>
      <c r="RPC37" s="292"/>
      <c r="RPD37" s="292"/>
      <c r="RPE37" s="292"/>
      <c r="RPF37" s="292"/>
      <c r="RPG37" s="292"/>
      <c r="RPH37" s="292"/>
      <c r="RPI37" s="292"/>
      <c r="RPJ37" s="292"/>
      <c r="RPK37" s="292"/>
      <c r="RPL37" s="292"/>
      <c r="RPM37" s="292"/>
      <c r="RPN37" s="292"/>
      <c r="RPO37" s="292"/>
      <c r="RPP37" s="292"/>
      <c r="RPQ37" s="292"/>
      <c r="RPR37" s="292"/>
      <c r="RPS37" s="292"/>
      <c r="RPT37" s="292"/>
      <c r="RPU37" s="292"/>
      <c r="RPV37" s="292"/>
      <c r="RPW37" s="292"/>
      <c r="RPX37" s="292"/>
      <c r="RPY37" s="292"/>
      <c r="RPZ37" s="292"/>
      <c r="RQA37" s="292"/>
      <c r="RQB37" s="292"/>
      <c r="RQC37" s="292"/>
      <c r="RQD37" s="292"/>
      <c r="RQE37" s="292"/>
      <c r="RQF37" s="292"/>
      <c r="RQG37" s="292"/>
      <c r="RQH37" s="292"/>
      <c r="RQI37" s="292"/>
      <c r="RQJ37" s="292"/>
      <c r="RQK37" s="292"/>
      <c r="RQL37" s="292"/>
      <c r="RQM37" s="292"/>
      <c r="RQN37" s="292"/>
      <c r="RQO37" s="292"/>
      <c r="RQP37" s="292"/>
      <c r="RQQ37" s="292"/>
      <c r="RQR37" s="292"/>
      <c r="RQS37" s="292"/>
      <c r="RQT37" s="292"/>
      <c r="RQU37" s="292"/>
      <c r="RQV37" s="292"/>
      <c r="RQW37" s="292"/>
      <c r="RQX37" s="292"/>
      <c r="RQY37" s="292"/>
      <c r="RQZ37" s="292"/>
      <c r="RRA37" s="292"/>
      <c r="RRB37" s="292"/>
      <c r="RRC37" s="292"/>
      <c r="RRD37" s="292"/>
      <c r="RRE37" s="292"/>
      <c r="RRF37" s="292"/>
      <c r="RRG37" s="292"/>
      <c r="RRH37" s="292"/>
      <c r="RRI37" s="292"/>
      <c r="RRJ37" s="292"/>
      <c r="RRK37" s="292"/>
      <c r="RRL37" s="292"/>
      <c r="RRM37" s="292"/>
      <c r="RRN37" s="292"/>
      <c r="RRO37" s="292"/>
      <c r="RRP37" s="292"/>
      <c r="RRQ37" s="292"/>
      <c r="RRR37" s="292"/>
      <c r="RRS37" s="292"/>
      <c r="RRT37" s="292"/>
      <c r="RRU37" s="292"/>
      <c r="RRV37" s="292"/>
      <c r="RRW37" s="292"/>
      <c r="RRX37" s="292"/>
      <c r="RRY37" s="292"/>
      <c r="RRZ37" s="292"/>
      <c r="RSA37" s="292"/>
      <c r="RSB37" s="292"/>
      <c r="RSC37" s="292"/>
      <c r="RSD37" s="292"/>
      <c r="RSE37" s="292"/>
      <c r="RSF37" s="292"/>
      <c r="RSG37" s="292"/>
      <c r="RSH37" s="292"/>
      <c r="RSI37" s="292"/>
      <c r="RSJ37" s="292"/>
      <c r="RSK37" s="292"/>
      <c r="RSL37" s="292"/>
      <c r="RSM37" s="292"/>
      <c r="RSN37" s="292"/>
      <c r="RSO37" s="292"/>
      <c r="RSP37" s="292"/>
      <c r="RSQ37" s="292"/>
      <c r="RSR37" s="292"/>
      <c r="RSS37" s="292"/>
      <c r="RST37" s="292"/>
      <c r="RSU37" s="292"/>
      <c r="RSV37" s="292"/>
      <c r="RSW37" s="292"/>
      <c r="RSX37" s="292"/>
      <c r="RSY37" s="292"/>
      <c r="RSZ37" s="292"/>
      <c r="RTA37" s="292"/>
      <c r="RTB37" s="292"/>
      <c r="RTC37" s="292"/>
      <c r="RTD37" s="292"/>
      <c r="RTE37" s="292"/>
      <c r="RTF37" s="292"/>
      <c r="RTG37" s="292"/>
      <c r="RTH37" s="292"/>
      <c r="RTI37" s="292"/>
      <c r="RTJ37" s="292"/>
      <c r="RTK37" s="292"/>
      <c r="RTL37" s="292"/>
      <c r="RTM37" s="292"/>
      <c r="RTN37" s="292"/>
      <c r="RTO37" s="292"/>
      <c r="RTP37" s="292"/>
      <c r="RTQ37" s="292"/>
      <c r="RTR37" s="292"/>
      <c r="RTS37" s="292"/>
      <c r="RTT37" s="292"/>
      <c r="RTU37" s="292"/>
      <c r="RTV37" s="292"/>
      <c r="RTW37" s="292"/>
      <c r="RTX37" s="292"/>
      <c r="RTY37" s="292"/>
      <c r="RTZ37" s="292"/>
      <c r="RUA37" s="292"/>
      <c r="RUB37" s="292"/>
      <c r="RUC37" s="292"/>
      <c r="RUD37" s="292"/>
      <c r="RUE37" s="292"/>
      <c r="RUF37" s="292"/>
      <c r="RUG37" s="292"/>
      <c r="RUH37" s="292"/>
      <c r="RUI37" s="292"/>
      <c r="RUJ37" s="292"/>
      <c r="RUK37" s="292"/>
      <c r="RUL37" s="292"/>
      <c r="RUM37" s="292"/>
      <c r="RUN37" s="292"/>
      <c r="RUO37" s="292"/>
      <c r="RUP37" s="292"/>
      <c r="RUQ37" s="292"/>
      <c r="RUR37" s="292"/>
      <c r="RUS37" s="292"/>
      <c r="RUT37" s="292"/>
      <c r="RUU37" s="292"/>
      <c r="RUV37" s="292"/>
      <c r="RUW37" s="292"/>
      <c r="RUX37" s="292"/>
      <c r="RUY37" s="292"/>
      <c r="RUZ37" s="292"/>
      <c r="RVA37" s="292"/>
      <c r="RVB37" s="292"/>
      <c r="RVC37" s="292"/>
      <c r="RVD37" s="292"/>
      <c r="RVE37" s="292"/>
      <c r="RVF37" s="292"/>
      <c r="RVG37" s="292"/>
      <c r="RVH37" s="292"/>
      <c r="RVI37" s="292"/>
      <c r="RVJ37" s="292"/>
      <c r="RVK37" s="292"/>
      <c r="RVL37" s="292"/>
      <c r="RVM37" s="292"/>
      <c r="RVN37" s="292"/>
      <c r="RVO37" s="292"/>
      <c r="RVP37" s="292"/>
      <c r="RVQ37" s="292"/>
      <c r="RVR37" s="292"/>
      <c r="RVS37" s="292"/>
      <c r="RVT37" s="292"/>
      <c r="RVU37" s="292"/>
      <c r="RVV37" s="292"/>
      <c r="RVW37" s="292"/>
      <c r="RVX37" s="292"/>
      <c r="RVY37" s="292"/>
      <c r="RVZ37" s="292"/>
      <c r="RWA37" s="292"/>
      <c r="RWB37" s="292"/>
      <c r="RWC37" s="292"/>
      <c r="RWD37" s="292"/>
      <c r="RWE37" s="292"/>
      <c r="RWF37" s="292"/>
      <c r="RWG37" s="292"/>
      <c r="RWH37" s="292"/>
      <c r="RWI37" s="292"/>
      <c r="RWJ37" s="292"/>
      <c r="RWK37" s="292"/>
      <c r="RWL37" s="292"/>
      <c r="RWM37" s="292"/>
      <c r="RWN37" s="292"/>
      <c r="RWO37" s="292"/>
      <c r="RWP37" s="292"/>
      <c r="RWQ37" s="292"/>
      <c r="RWR37" s="292"/>
      <c r="RWS37" s="292"/>
      <c r="RWT37" s="292"/>
      <c r="RWU37" s="292"/>
      <c r="RWV37" s="292"/>
      <c r="RWW37" s="292"/>
      <c r="RWX37" s="292"/>
      <c r="RWY37" s="292"/>
      <c r="RWZ37" s="292"/>
      <c r="RXA37" s="292"/>
      <c r="RXB37" s="292"/>
      <c r="RXC37" s="292"/>
      <c r="RXD37" s="292"/>
      <c r="RXE37" s="292"/>
      <c r="RXF37" s="292"/>
      <c r="RXG37" s="292"/>
      <c r="RXH37" s="292"/>
      <c r="RXI37" s="292"/>
      <c r="RXJ37" s="292"/>
      <c r="RXK37" s="292"/>
      <c r="RXL37" s="292"/>
      <c r="RXM37" s="292"/>
      <c r="RXN37" s="292"/>
      <c r="RXO37" s="292"/>
      <c r="RXP37" s="292"/>
      <c r="RXQ37" s="292"/>
      <c r="RXR37" s="292"/>
      <c r="RXS37" s="292"/>
      <c r="RXT37" s="292"/>
      <c r="RXU37" s="292"/>
      <c r="RXV37" s="292"/>
      <c r="RXW37" s="292"/>
      <c r="RXX37" s="292"/>
      <c r="RXY37" s="292"/>
      <c r="RXZ37" s="292"/>
      <c r="RYA37" s="292"/>
      <c r="RYB37" s="292"/>
      <c r="RYC37" s="292"/>
      <c r="RYD37" s="292"/>
      <c r="RYE37" s="292"/>
      <c r="RYF37" s="292"/>
      <c r="RYG37" s="292"/>
      <c r="RYH37" s="292"/>
      <c r="RYI37" s="292"/>
      <c r="RYJ37" s="292"/>
      <c r="RYK37" s="292"/>
      <c r="RYL37" s="292"/>
      <c r="RYM37" s="292"/>
      <c r="RYN37" s="292"/>
      <c r="RYO37" s="292"/>
      <c r="RYP37" s="292"/>
      <c r="RYQ37" s="292"/>
      <c r="RYR37" s="292"/>
      <c r="RYS37" s="292"/>
      <c r="RYT37" s="292"/>
      <c r="RYU37" s="292"/>
      <c r="RYV37" s="292"/>
      <c r="RYW37" s="292"/>
      <c r="RYX37" s="292"/>
      <c r="RYY37" s="292"/>
      <c r="RYZ37" s="292"/>
      <c r="RZA37" s="292"/>
      <c r="RZB37" s="292"/>
      <c r="RZC37" s="292"/>
      <c r="RZD37" s="292"/>
      <c r="RZE37" s="292"/>
      <c r="RZF37" s="292"/>
      <c r="RZG37" s="292"/>
      <c r="RZH37" s="292"/>
      <c r="RZI37" s="292"/>
      <c r="RZJ37" s="292"/>
      <c r="RZK37" s="292"/>
      <c r="RZL37" s="292"/>
      <c r="RZM37" s="292"/>
      <c r="RZN37" s="292"/>
      <c r="RZO37" s="292"/>
      <c r="RZP37" s="292"/>
      <c r="RZQ37" s="292"/>
      <c r="RZR37" s="292"/>
      <c r="RZS37" s="292"/>
      <c r="RZT37" s="292"/>
      <c r="RZU37" s="292"/>
      <c r="RZV37" s="292"/>
      <c r="RZW37" s="292"/>
      <c r="RZX37" s="292"/>
      <c r="RZY37" s="292"/>
      <c r="RZZ37" s="292"/>
      <c r="SAA37" s="292"/>
      <c r="SAB37" s="292"/>
      <c r="SAC37" s="292"/>
      <c r="SAD37" s="292"/>
      <c r="SAE37" s="292"/>
      <c r="SAF37" s="292"/>
      <c r="SAG37" s="292"/>
      <c r="SAH37" s="292"/>
      <c r="SAI37" s="292"/>
      <c r="SAJ37" s="292"/>
      <c r="SAK37" s="292"/>
      <c r="SAL37" s="292"/>
      <c r="SAM37" s="292"/>
      <c r="SAN37" s="292"/>
      <c r="SAO37" s="292"/>
      <c r="SAP37" s="292"/>
      <c r="SAQ37" s="292"/>
      <c r="SAR37" s="292"/>
      <c r="SAS37" s="292"/>
      <c r="SAT37" s="292"/>
      <c r="SAU37" s="292"/>
      <c r="SAV37" s="292"/>
      <c r="SAW37" s="292"/>
      <c r="SAX37" s="292"/>
      <c r="SAY37" s="292"/>
      <c r="SAZ37" s="292"/>
      <c r="SBA37" s="292"/>
      <c r="SBB37" s="292"/>
      <c r="SBC37" s="292"/>
      <c r="SBD37" s="292"/>
      <c r="SBE37" s="292"/>
      <c r="SBF37" s="292"/>
      <c r="SBG37" s="292"/>
      <c r="SBH37" s="292"/>
      <c r="SBI37" s="292"/>
      <c r="SBJ37" s="292"/>
      <c r="SBK37" s="292"/>
      <c r="SBL37" s="292"/>
      <c r="SBM37" s="292"/>
      <c r="SBN37" s="292"/>
      <c r="SBO37" s="292"/>
      <c r="SBP37" s="292"/>
      <c r="SBQ37" s="292"/>
      <c r="SBR37" s="292"/>
      <c r="SBS37" s="292"/>
      <c r="SBT37" s="292"/>
      <c r="SBU37" s="292"/>
      <c r="SBV37" s="292"/>
      <c r="SBW37" s="292"/>
      <c r="SBX37" s="292"/>
      <c r="SBY37" s="292"/>
      <c r="SBZ37" s="292"/>
      <c r="SCA37" s="292"/>
      <c r="SCB37" s="292"/>
      <c r="SCC37" s="292"/>
      <c r="SCD37" s="292"/>
      <c r="SCE37" s="292"/>
      <c r="SCF37" s="292"/>
      <c r="SCG37" s="292"/>
      <c r="SCH37" s="292"/>
      <c r="SCI37" s="292"/>
      <c r="SCJ37" s="292"/>
      <c r="SCK37" s="292"/>
      <c r="SCL37" s="292"/>
      <c r="SCM37" s="292"/>
      <c r="SCN37" s="292"/>
      <c r="SCO37" s="292"/>
      <c r="SCP37" s="292"/>
      <c r="SCQ37" s="292"/>
      <c r="SCR37" s="292"/>
      <c r="SCS37" s="292"/>
      <c r="SCT37" s="292"/>
      <c r="SCU37" s="292"/>
      <c r="SCV37" s="292"/>
      <c r="SCW37" s="292"/>
      <c r="SCX37" s="292"/>
      <c r="SCY37" s="292"/>
      <c r="SCZ37" s="292"/>
      <c r="SDA37" s="292"/>
      <c r="SDB37" s="292"/>
      <c r="SDC37" s="292"/>
      <c r="SDD37" s="292"/>
      <c r="SDE37" s="292"/>
      <c r="SDF37" s="292"/>
      <c r="SDG37" s="292"/>
      <c r="SDH37" s="292"/>
      <c r="SDI37" s="292"/>
      <c r="SDJ37" s="292"/>
      <c r="SDK37" s="292"/>
      <c r="SDL37" s="292"/>
      <c r="SDM37" s="292"/>
      <c r="SDN37" s="292"/>
      <c r="SDO37" s="292"/>
      <c r="SDP37" s="292"/>
      <c r="SDQ37" s="292"/>
      <c r="SDR37" s="292"/>
      <c r="SDS37" s="292"/>
      <c r="SDT37" s="292"/>
      <c r="SDU37" s="292"/>
      <c r="SDV37" s="292"/>
      <c r="SDW37" s="292"/>
      <c r="SDX37" s="292"/>
      <c r="SDY37" s="292"/>
      <c r="SDZ37" s="292"/>
      <c r="SEA37" s="292"/>
      <c r="SEB37" s="292"/>
      <c r="SEC37" s="292"/>
      <c r="SED37" s="292"/>
      <c r="SEE37" s="292"/>
      <c r="SEF37" s="292"/>
      <c r="SEG37" s="292"/>
      <c r="SEH37" s="292"/>
      <c r="SEI37" s="292"/>
      <c r="SEJ37" s="292"/>
      <c r="SEK37" s="292"/>
      <c r="SEL37" s="292"/>
      <c r="SEM37" s="292"/>
      <c r="SEN37" s="292"/>
      <c r="SEO37" s="292"/>
      <c r="SEP37" s="292"/>
      <c r="SEQ37" s="292"/>
      <c r="SER37" s="292"/>
      <c r="SES37" s="292"/>
      <c r="SET37" s="292"/>
      <c r="SEU37" s="292"/>
      <c r="SEV37" s="292"/>
      <c r="SEW37" s="292"/>
      <c r="SEX37" s="292"/>
      <c r="SEY37" s="292"/>
      <c r="SEZ37" s="292"/>
      <c r="SFA37" s="292"/>
      <c r="SFB37" s="292"/>
      <c r="SFC37" s="292"/>
      <c r="SFD37" s="292"/>
      <c r="SFE37" s="292"/>
      <c r="SFF37" s="292"/>
      <c r="SFG37" s="292"/>
      <c r="SFH37" s="292"/>
      <c r="SFI37" s="292"/>
      <c r="SFJ37" s="292"/>
      <c r="SFK37" s="292"/>
      <c r="SFL37" s="292"/>
      <c r="SFM37" s="292"/>
      <c r="SFN37" s="292"/>
      <c r="SFO37" s="292"/>
      <c r="SFP37" s="292"/>
      <c r="SFQ37" s="292"/>
      <c r="SFR37" s="292"/>
      <c r="SFS37" s="292"/>
      <c r="SFT37" s="292"/>
      <c r="SFU37" s="292"/>
      <c r="SFV37" s="292"/>
      <c r="SFW37" s="292"/>
      <c r="SFX37" s="292"/>
      <c r="SFY37" s="292"/>
      <c r="SFZ37" s="292"/>
      <c r="SGA37" s="292"/>
      <c r="SGB37" s="292"/>
      <c r="SGC37" s="292"/>
      <c r="SGD37" s="292"/>
      <c r="SGE37" s="292"/>
      <c r="SGF37" s="292"/>
      <c r="SGG37" s="292"/>
      <c r="SGH37" s="292"/>
      <c r="SGI37" s="292"/>
      <c r="SGJ37" s="292"/>
      <c r="SGK37" s="292"/>
      <c r="SGL37" s="292"/>
      <c r="SGM37" s="292"/>
      <c r="SGN37" s="292"/>
      <c r="SGO37" s="292"/>
      <c r="SGP37" s="292"/>
      <c r="SGQ37" s="292"/>
      <c r="SGR37" s="292"/>
      <c r="SGS37" s="292"/>
      <c r="SGT37" s="292"/>
      <c r="SGU37" s="292"/>
      <c r="SGV37" s="292"/>
      <c r="SGW37" s="292"/>
      <c r="SGX37" s="292"/>
      <c r="SGY37" s="292"/>
      <c r="SGZ37" s="292"/>
      <c r="SHA37" s="292"/>
      <c r="SHB37" s="292"/>
      <c r="SHC37" s="292"/>
      <c r="SHD37" s="292"/>
      <c r="SHE37" s="292"/>
      <c r="SHF37" s="292"/>
      <c r="SHG37" s="292"/>
      <c r="SHH37" s="292"/>
      <c r="SHI37" s="292"/>
      <c r="SHJ37" s="292"/>
      <c r="SHK37" s="292"/>
      <c r="SHL37" s="292"/>
      <c r="SHM37" s="292"/>
      <c r="SHN37" s="292"/>
      <c r="SHO37" s="292"/>
      <c r="SHP37" s="292"/>
      <c r="SHQ37" s="292"/>
      <c r="SHR37" s="292"/>
      <c r="SHS37" s="292"/>
      <c r="SHT37" s="292"/>
      <c r="SHU37" s="292"/>
      <c r="SHV37" s="292"/>
      <c r="SHW37" s="292"/>
      <c r="SHX37" s="292"/>
      <c r="SHY37" s="292"/>
      <c r="SHZ37" s="292"/>
      <c r="SIA37" s="292"/>
      <c r="SIB37" s="292"/>
      <c r="SIC37" s="292"/>
      <c r="SID37" s="292"/>
      <c r="SIE37" s="292"/>
      <c r="SIF37" s="292"/>
      <c r="SIG37" s="292"/>
      <c r="SIH37" s="292"/>
      <c r="SII37" s="292"/>
      <c r="SIJ37" s="292"/>
      <c r="SIK37" s="292"/>
      <c r="SIL37" s="292"/>
      <c r="SIM37" s="292"/>
      <c r="SIN37" s="292"/>
      <c r="SIO37" s="292"/>
      <c r="SIP37" s="292"/>
      <c r="SIQ37" s="292"/>
      <c r="SIR37" s="292"/>
      <c r="SIS37" s="292"/>
      <c r="SIT37" s="292"/>
      <c r="SIU37" s="292"/>
      <c r="SIV37" s="292"/>
      <c r="SIW37" s="292"/>
      <c r="SIX37" s="292"/>
      <c r="SIY37" s="292"/>
      <c r="SIZ37" s="292"/>
      <c r="SJA37" s="292"/>
      <c r="SJB37" s="292"/>
      <c r="SJC37" s="292"/>
      <c r="SJD37" s="292"/>
      <c r="SJE37" s="292"/>
      <c r="SJF37" s="292"/>
      <c r="SJG37" s="292"/>
      <c r="SJH37" s="292"/>
      <c r="SJI37" s="292"/>
      <c r="SJJ37" s="292"/>
      <c r="SJK37" s="292"/>
      <c r="SJL37" s="292"/>
      <c r="SJM37" s="292"/>
      <c r="SJN37" s="292"/>
      <c r="SJO37" s="292"/>
      <c r="SJP37" s="292"/>
      <c r="SJQ37" s="292"/>
      <c r="SJR37" s="292"/>
      <c r="SJS37" s="292"/>
      <c r="SJT37" s="292"/>
      <c r="SJU37" s="292"/>
      <c r="SJV37" s="292"/>
      <c r="SJW37" s="292"/>
      <c r="SJX37" s="292"/>
      <c r="SJY37" s="292"/>
      <c r="SJZ37" s="292"/>
      <c r="SKA37" s="292"/>
      <c r="SKB37" s="292"/>
      <c r="SKC37" s="292"/>
      <c r="SKD37" s="292"/>
      <c r="SKE37" s="292"/>
      <c r="SKF37" s="292"/>
      <c r="SKG37" s="292"/>
      <c r="SKH37" s="292"/>
      <c r="SKI37" s="292"/>
      <c r="SKJ37" s="292"/>
      <c r="SKK37" s="292"/>
      <c r="SKL37" s="292"/>
      <c r="SKM37" s="292"/>
      <c r="SKN37" s="292"/>
      <c r="SKO37" s="292"/>
      <c r="SKP37" s="292"/>
      <c r="SKQ37" s="292"/>
      <c r="SKR37" s="292"/>
      <c r="SKS37" s="292"/>
      <c r="SKT37" s="292"/>
      <c r="SKU37" s="292"/>
      <c r="SKV37" s="292"/>
      <c r="SKW37" s="292"/>
      <c r="SKX37" s="292"/>
      <c r="SKY37" s="292"/>
      <c r="SKZ37" s="292"/>
      <c r="SLA37" s="292"/>
      <c r="SLB37" s="292"/>
      <c r="SLC37" s="292"/>
      <c r="SLD37" s="292"/>
      <c r="SLE37" s="292"/>
      <c r="SLF37" s="292"/>
      <c r="SLG37" s="292"/>
      <c r="SLH37" s="292"/>
      <c r="SLI37" s="292"/>
      <c r="SLJ37" s="292"/>
      <c r="SLK37" s="292"/>
      <c r="SLL37" s="292"/>
      <c r="SLM37" s="292"/>
      <c r="SLN37" s="292"/>
      <c r="SLO37" s="292"/>
      <c r="SLP37" s="292"/>
      <c r="SLQ37" s="292"/>
      <c r="SLR37" s="292"/>
      <c r="SLS37" s="292"/>
      <c r="SLT37" s="292"/>
      <c r="SLU37" s="292"/>
      <c r="SLV37" s="292"/>
      <c r="SLW37" s="292"/>
      <c r="SLX37" s="292"/>
      <c r="SLY37" s="292"/>
      <c r="SLZ37" s="292"/>
      <c r="SMA37" s="292"/>
      <c r="SMB37" s="292"/>
      <c r="SMC37" s="292"/>
      <c r="SMD37" s="292"/>
      <c r="SME37" s="292"/>
      <c r="SMF37" s="292"/>
      <c r="SMG37" s="292"/>
      <c r="SMH37" s="292"/>
      <c r="SMI37" s="292"/>
      <c r="SMJ37" s="292"/>
      <c r="SMK37" s="292"/>
      <c r="SML37" s="292"/>
      <c r="SMM37" s="292"/>
      <c r="SMN37" s="292"/>
      <c r="SMO37" s="292"/>
      <c r="SMP37" s="292"/>
      <c r="SMQ37" s="292"/>
      <c r="SMR37" s="292"/>
      <c r="SMS37" s="292"/>
      <c r="SMT37" s="292"/>
      <c r="SMU37" s="292"/>
      <c r="SMV37" s="292"/>
      <c r="SMW37" s="292"/>
      <c r="SMX37" s="292"/>
      <c r="SMY37" s="292"/>
      <c r="SMZ37" s="292"/>
      <c r="SNA37" s="292"/>
      <c r="SNB37" s="292"/>
      <c r="SNC37" s="292"/>
      <c r="SND37" s="292"/>
      <c r="SNE37" s="292"/>
      <c r="SNF37" s="292"/>
      <c r="SNG37" s="292"/>
      <c r="SNH37" s="292"/>
      <c r="SNI37" s="292"/>
      <c r="SNJ37" s="292"/>
      <c r="SNK37" s="292"/>
      <c r="SNL37" s="292"/>
      <c r="SNM37" s="292"/>
      <c r="SNN37" s="292"/>
      <c r="SNO37" s="292"/>
      <c r="SNP37" s="292"/>
      <c r="SNQ37" s="292"/>
      <c r="SNR37" s="292"/>
      <c r="SNS37" s="292"/>
      <c r="SNT37" s="292"/>
      <c r="SNU37" s="292"/>
      <c r="SNV37" s="292"/>
      <c r="SNW37" s="292"/>
      <c r="SNX37" s="292"/>
      <c r="SNY37" s="292"/>
      <c r="SNZ37" s="292"/>
      <c r="SOA37" s="292"/>
      <c r="SOB37" s="292"/>
      <c r="SOC37" s="292"/>
      <c r="SOD37" s="292"/>
      <c r="SOE37" s="292"/>
      <c r="SOF37" s="292"/>
      <c r="SOG37" s="292"/>
      <c r="SOH37" s="292"/>
      <c r="SOI37" s="292"/>
      <c r="SOJ37" s="292"/>
      <c r="SOK37" s="292"/>
      <c r="SOL37" s="292"/>
      <c r="SOM37" s="292"/>
      <c r="SON37" s="292"/>
      <c r="SOO37" s="292"/>
      <c r="SOP37" s="292"/>
      <c r="SOQ37" s="292"/>
      <c r="SOR37" s="292"/>
      <c r="SOS37" s="292"/>
      <c r="SOT37" s="292"/>
      <c r="SOU37" s="292"/>
      <c r="SOV37" s="292"/>
      <c r="SOW37" s="292"/>
      <c r="SOX37" s="292"/>
      <c r="SOY37" s="292"/>
      <c r="SOZ37" s="292"/>
      <c r="SPA37" s="292"/>
      <c r="SPB37" s="292"/>
      <c r="SPC37" s="292"/>
      <c r="SPD37" s="292"/>
      <c r="SPE37" s="292"/>
      <c r="SPF37" s="292"/>
      <c r="SPG37" s="292"/>
      <c r="SPH37" s="292"/>
      <c r="SPI37" s="292"/>
      <c r="SPJ37" s="292"/>
      <c r="SPK37" s="292"/>
      <c r="SPL37" s="292"/>
      <c r="SPM37" s="292"/>
      <c r="SPN37" s="292"/>
      <c r="SPO37" s="292"/>
      <c r="SPP37" s="292"/>
      <c r="SPQ37" s="292"/>
      <c r="SPR37" s="292"/>
      <c r="SPS37" s="292"/>
      <c r="SPT37" s="292"/>
      <c r="SPU37" s="292"/>
      <c r="SPV37" s="292"/>
      <c r="SPW37" s="292"/>
      <c r="SPX37" s="292"/>
      <c r="SPY37" s="292"/>
      <c r="SPZ37" s="292"/>
      <c r="SQA37" s="292"/>
      <c r="SQB37" s="292"/>
      <c r="SQC37" s="292"/>
      <c r="SQD37" s="292"/>
      <c r="SQE37" s="292"/>
      <c r="SQF37" s="292"/>
      <c r="SQG37" s="292"/>
      <c r="SQH37" s="292"/>
      <c r="SQI37" s="292"/>
      <c r="SQJ37" s="292"/>
      <c r="SQK37" s="292"/>
      <c r="SQL37" s="292"/>
      <c r="SQM37" s="292"/>
      <c r="SQN37" s="292"/>
      <c r="SQO37" s="292"/>
      <c r="SQP37" s="292"/>
      <c r="SQQ37" s="292"/>
      <c r="SQR37" s="292"/>
      <c r="SQS37" s="292"/>
      <c r="SQT37" s="292"/>
      <c r="SQU37" s="292"/>
      <c r="SQV37" s="292"/>
      <c r="SQW37" s="292"/>
      <c r="SQX37" s="292"/>
      <c r="SQY37" s="292"/>
      <c r="SQZ37" s="292"/>
      <c r="SRA37" s="292"/>
      <c r="SRB37" s="292"/>
      <c r="SRC37" s="292"/>
      <c r="SRD37" s="292"/>
      <c r="SRE37" s="292"/>
      <c r="SRF37" s="292"/>
      <c r="SRG37" s="292"/>
      <c r="SRH37" s="292"/>
      <c r="SRI37" s="292"/>
      <c r="SRJ37" s="292"/>
      <c r="SRK37" s="292"/>
      <c r="SRL37" s="292"/>
      <c r="SRM37" s="292"/>
      <c r="SRN37" s="292"/>
      <c r="SRO37" s="292"/>
      <c r="SRP37" s="292"/>
      <c r="SRQ37" s="292"/>
      <c r="SRR37" s="292"/>
      <c r="SRS37" s="292"/>
      <c r="SRT37" s="292"/>
      <c r="SRU37" s="292"/>
      <c r="SRV37" s="292"/>
      <c r="SRW37" s="292"/>
      <c r="SRX37" s="292"/>
      <c r="SRY37" s="292"/>
      <c r="SRZ37" s="292"/>
      <c r="SSA37" s="292"/>
      <c r="SSB37" s="292"/>
      <c r="SSC37" s="292"/>
      <c r="SSD37" s="292"/>
      <c r="SSE37" s="292"/>
      <c r="SSF37" s="292"/>
      <c r="SSG37" s="292"/>
      <c r="SSH37" s="292"/>
      <c r="SSI37" s="292"/>
      <c r="SSJ37" s="292"/>
      <c r="SSK37" s="292"/>
      <c r="SSL37" s="292"/>
      <c r="SSM37" s="292"/>
      <c r="SSN37" s="292"/>
      <c r="SSO37" s="292"/>
      <c r="SSP37" s="292"/>
      <c r="SSQ37" s="292"/>
      <c r="SSR37" s="292"/>
      <c r="SSS37" s="292"/>
      <c r="SST37" s="292"/>
      <c r="SSU37" s="292"/>
      <c r="SSV37" s="292"/>
      <c r="SSW37" s="292"/>
      <c r="SSX37" s="292"/>
      <c r="SSY37" s="292"/>
      <c r="SSZ37" s="292"/>
      <c r="STA37" s="292"/>
      <c r="STB37" s="292"/>
      <c r="STC37" s="292"/>
      <c r="STD37" s="292"/>
      <c r="STE37" s="292"/>
      <c r="STF37" s="292"/>
      <c r="STG37" s="292"/>
      <c r="STH37" s="292"/>
      <c r="STI37" s="292"/>
      <c r="STJ37" s="292"/>
      <c r="STK37" s="292"/>
      <c r="STL37" s="292"/>
      <c r="STM37" s="292"/>
      <c r="STN37" s="292"/>
      <c r="STO37" s="292"/>
      <c r="STP37" s="292"/>
      <c r="STQ37" s="292"/>
      <c r="STR37" s="292"/>
      <c r="STS37" s="292"/>
      <c r="STT37" s="292"/>
      <c r="STU37" s="292"/>
      <c r="STV37" s="292"/>
      <c r="STW37" s="292"/>
      <c r="STX37" s="292"/>
      <c r="STY37" s="292"/>
      <c r="STZ37" s="292"/>
      <c r="SUA37" s="292"/>
      <c r="SUB37" s="292"/>
      <c r="SUC37" s="292"/>
      <c r="SUD37" s="292"/>
      <c r="SUE37" s="292"/>
      <c r="SUF37" s="292"/>
      <c r="SUG37" s="292"/>
      <c r="SUH37" s="292"/>
      <c r="SUI37" s="292"/>
      <c r="SUJ37" s="292"/>
      <c r="SUK37" s="292"/>
      <c r="SUL37" s="292"/>
      <c r="SUM37" s="292"/>
      <c r="SUN37" s="292"/>
      <c r="SUO37" s="292"/>
      <c r="SUP37" s="292"/>
      <c r="SUQ37" s="292"/>
      <c r="SUR37" s="292"/>
      <c r="SUS37" s="292"/>
      <c r="SUT37" s="292"/>
      <c r="SUU37" s="292"/>
      <c r="SUV37" s="292"/>
      <c r="SUW37" s="292"/>
      <c r="SUX37" s="292"/>
      <c r="SUY37" s="292"/>
      <c r="SUZ37" s="292"/>
      <c r="SVA37" s="292"/>
      <c r="SVB37" s="292"/>
      <c r="SVC37" s="292"/>
      <c r="SVD37" s="292"/>
      <c r="SVE37" s="292"/>
      <c r="SVF37" s="292"/>
      <c r="SVG37" s="292"/>
      <c r="SVH37" s="292"/>
      <c r="SVI37" s="292"/>
      <c r="SVJ37" s="292"/>
      <c r="SVK37" s="292"/>
      <c r="SVL37" s="292"/>
      <c r="SVM37" s="292"/>
      <c r="SVN37" s="292"/>
      <c r="SVO37" s="292"/>
      <c r="SVP37" s="292"/>
      <c r="SVQ37" s="292"/>
      <c r="SVR37" s="292"/>
      <c r="SVS37" s="292"/>
      <c r="SVT37" s="292"/>
      <c r="SVU37" s="292"/>
      <c r="SVV37" s="292"/>
      <c r="SVW37" s="292"/>
      <c r="SVX37" s="292"/>
      <c r="SVY37" s="292"/>
      <c r="SVZ37" s="292"/>
      <c r="SWA37" s="292"/>
      <c r="SWB37" s="292"/>
      <c r="SWC37" s="292"/>
      <c r="SWD37" s="292"/>
      <c r="SWE37" s="292"/>
      <c r="SWF37" s="292"/>
      <c r="SWG37" s="292"/>
      <c r="SWH37" s="292"/>
      <c r="SWI37" s="292"/>
      <c r="SWJ37" s="292"/>
      <c r="SWK37" s="292"/>
      <c r="SWL37" s="292"/>
      <c r="SWM37" s="292"/>
      <c r="SWN37" s="292"/>
      <c r="SWO37" s="292"/>
      <c r="SWP37" s="292"/>
      <c r="SWQ37" s="292"/>
      <c r="SWR37" s="292"/>
      <c r="SWS37" s="292"/>
      <c r="SWT37" s="292"/>
      <c r="SWU37" s="292"/>
      <c r="SWV37" s="292"/>
      <c r="SWW37" s="292"/>
      <c r="SWX37" s="292"/>
      <c r="SWY37" s="292"/>
      <c r="SWZ37" s="292"/>
      <c r="SXA37" s="292"/>
      <c r="SXB37" s="292"/>
      <c r="SXC37" s="292"/>
      <c r="SXD37" s="292"/>
      <c r="SXE37" s="292"/>
      <c r="SXF37" s="292"/>
      <c r="SXG37" s="292"/>
      <c r="SXH37" s="292"/>
      <c r="SXI37" s="292"/>
      <c r="SXJ37" s="292"/>
      <c r="SXK37" s="292"/>
      <c r="SXL37" s="292"/>
      <c r="SXM37" s="292"/>
      <c r="SXN37" s="292"/>
      <c r="SXO37" s="292"/>
      <c r="SXP37" s="292"/>
      <c r="SXQ37" s="292"/>
      <c r="SXR37" s="292"/>
      <c r="SXS37" s="292"/>
      <c r="SXT37" s="292"/>
      <c r="SXU37" s="292"/>
      <c r="SXV37" s="292"/>
      <c r="SXW37" s="292"/>
      <c r="SXX37" s="292"/>
      <c r="SXY37" s="292"/>
      <c r="SXZ37" s="292"/>
      <c r="SYA37" s="292"/>
      <c r="SYB37" s="292"/>
      <c r="SYC37" s="292"/>
      <c r="SYD37" s="292"/>
      <c r="SYE37" s="292"/>
      <c r="SYF37" s="292"/>
      <c r="SYG37" s="292"/>
      <c r="SYH37" s="292"/>
      <c r="SYI37" s="292"/>
      <c r="SYJ37" s="292"/>
      <c r="SYK37" s="292"/>
      <c r="SYL37" s="292"/>
      <c r="SYM37" s="292"/>
      <c r="SYN37" s="292"/>
      <c r="SYO37" s="292"/>
      <c r="SYP37" s="292"/>
      <c r="SYQ37" s="292"/>
      <c r="SYR37" s="292"/>
      <c r="SYS37" s="292"/>
      <c r="SYT37" s="292"/>
      <c r="SYU37" s="292"/>
      <c r="SYV37" s="292"/>
      <c r="SYW37" s="292"/>
      <c r="SYX37" s="292"/>
      <c r="SYY37" s="292"/>
      <c r="SYZ37" s="292"/>
      <c r="SZA37" s="292"/>
      <c r="SZB37" s="292"/>
      <c r="SZC37" s="292"/>
      <c r="SZD37" s="292"/>
      <c r="SZE37" s="292"/>
      <c r="SZF37" s="292"/>
      <c r="SZG37" s="292"/>
      <c r="SZH37" s="292"/>
      <c r="SZI37" s="292"/>
      <c r="SZJ37" s="292"/>
      <c r="SZK37" s="292"/>
      <c r="SZL37" s="292"/>
      <c r="SZM37" s="292"/>
      <c r="SZN37" s="292"/>
      <c r="SZO37" s="292"/>
      <c r="SZP37" s="292"/>
      <c r="SZQ37" s="292"/>
      <c r="SZR37" s="292"/>
      <c r="SZS37" s="292"/>
      <c r="SZT37" s="292"/>
      <c r="SZU37" s="292"/>
      <c r="SZV37" s="292"/>
      <c r="SZW37" s="292"/>
      <c r="SZX37" s="292"/>
      <c r="SZY37" s="292"/>
      <c r="SZZ37" s="292"/>
      <c r="TAA37" s="292"/>
      <c r="TAB37" s="292"/>
      <c r="TAC37" s="292"/>
      <c r="TAD37" s="292"/>
      <c r="TAE37" s="292"/>
      <c r="TAF37" s="292"/>
      <c r="TAG37" s="292"/>
      <c r="TAH37" s="292"/>
      <c r="TAI37" s="292"/>
      <c r="TAJ37" s="292"/>
      <c r="TAK37" s="292"/>
      <c r="TAL37" s="292"/>
      <c r="TAM37" s="292"/>
      <c r="TAN37" s="292"/>
      <c r="TAO37" s="292"/>
      <c r="TAP37" s="292"/>
      <c r="TAQ37" s="292"/>
      <c r="TAR37" s="292"/>
      <c r="TAS37" s="292"/>
      <c r="TAT37" s="292"/>
      <c r="TAU37" s="292"/>
      <c r="TAV37" s="292"/>
      <c r="TAW37" s="292"/>
      <c r="TAX37" s="292"/>
      <c r="TAY37" s="292"/>
      <c r="TAZ37" s="292"/>
      <c r="TBA37" s="292"/>
      <c r="TBB37" s="292"/>
      <c r="TBC37" s="292"/>
      <c r="TBD37" s="292"/>
      <c r="TBE37" s="292"/>
      <c r="TBF37" s="292"/>
      <c r="TBG37" s="292"/>
      <c r="TBH37" s="292"/>
      <c r="TBI37" s="292"/>
      <c r="TBJ37" s="292"/>
      <c r="TBK37" s="292"/>
      <c r="TBL37" s="292"/>
      <c r="TBM37" s="292"/>
      <c r="TBN37" s="292"/>
      <c r="TBO37" s="292"/>
      <c r="TBP37" s="292"/>
      <c r="TBQ37" s="292"/>
      <c r="TBR37" s="292"/>
      <c r="TBS37" s="292"/>
      <c r="TBT37" s="292"/>
      <c r="TBU37" s="292"/>
      <c r="TBV37" s="292"/>
      <c r="TBW37" s="292"/>
      <c r="TBX37" s="292"/>
      <c r="TBY37" s="292"/>
      <c r="TBZ37" s="292"/>
      <c r="TCA37" s="292"/>
      <c r="TCB37" s="292"/>
      <c r="TCC37" s="292"/>
      <c r="TCD37" s="292"/>
      <c r="TCE37" s="292"/>
      <c r="TCF37" s="292"/>
      <c r="TCG37" s="292"/>
      <c r="TCH37" s="292"/>
      <c r="TCI37" s="292"/>
      <c r="TCJ37" s="292"/>
      <c r="TCK37" s="292"/>
      <c r="TCL37" s="292"/>
      <c r="TCM37" s="292"/>
      <c r="TCN37" s="292"/>
      <c r="TCO37" s="292"/>
      <c r="TCP37" s="292"/>
      <c r="TCQ37" s="292"/>
      <c r="TCR37" s="292"/>
      <c r="TCS37" s="292"/>
      <c r="TCT37" s="292"/>
      <c r="TCU37" s="292"/>
      <c r="TCV37" s="292"/>
      <c r="TCW37" s="292"/>
      <c r="TCX37" s="292"/>
      <c r="TCY37" s="292"/>
      <c r="TCZ37" s="292"/>
      <c r="TDA37" s="292"/>
      <c r="TDB37" s="292"/>
      <c r="TDC37" s="292"/>
      <c r="TDD37" s="292"/>
      <c r="TDE37" s="292"/>
      <c r="TDF37" s="292"/>
      <c r="TDG37" s="292"/>
      <c r="TDH37" s="292"/>
      <c r="TDI37" s="292"/>
      <c r="TDJ37" s="292"/>
      <c r="TDK37" s="292"/>
      <c r="TDL37" s="292"/>
      <c r="TDM37" s="292"/>
      <c r="TDN37" s="292"/>
      <c r="TDO37" s="292"/>
      <c r="TDP37" s="292"/>
      <c r="TDQ37" s="292"/>
      <c r="TDR37" s="292"/>
      <c r="TDS37" s="292"/>
      <c r="TDT37" s="292"/>
      <c r="TDU37" s="292"/>
      <c r="TDV37" s="292"/>
      <c r="TDW37" s="292"/>
      <c r="TDX37" s="292"/>
      <c r="TDY37" s="292"/>
      <c r="TDZ37" s="292"/>
      <c r="TEA37" s="292"/>
      <c r="TEB37" s="292"/>
      <c r="TEC37" s="292"/>
      <c r="TED37" s="292"/>
      <c r="TEE37" s="292"/>
      <c r="TEF37" s="292"/>
      <c r="TEG37" s="292"/>
      <c r="TEH37" s="292"/>
      <c r="TEI37" s="292"/>
      <c r="TEJ37" s="292"/>
      <c r="TEK37" s="292"/>
      <c r="TEL37" s="292"/>
      <c r="TEM37" s="292"/>
      <c r="TEN37" s="292"/>
      <c r="TEO37" s="292"/>
      <c r="TEP37" s="292"/>
      <c r="TEQ37" s="292"/>
      <c r="TER37" s="292"/>
      <c r="TES37" s="292"/>
      <c r="TET37" s="292"/>
      <c r="TEU37" s="292"/>
      <c r="TEV37" s="292"/>
      <c r="TEW37" s="292"/>
      <c r="TEX37" s="292"/>
      <c r="TEY37" s="292"/>
      <c r="TEZ37" s="292"/>
      <c r="TFA37" s="292"/>
      <c r="TFB37" s="292"/>
      <c r="TFC37" s="292"/>
      <c r="TFD37" s="292"/>
      <c r="TFE37" s="292"/>
      <c r="TFF37" s="292"/>
      <c r="TFG37" s="292"/>
      <c r="TFH37" s="292"/>
      <c r="TFI37" s="292"/>
      <c r="TFJ37" s="292"/>
      <c r="TFK37" s="292"/>
      <c r="TFL37" s="292"/>
      <c r="TFM37" s="292"/>
      <c r="TFN37" s="292"/>
      <c r="TFO37" s="292"/>
      <c r="TFP37" s="292"/>
      <c r="TFQ37" s="292"/>
      <c r="TFR37" s="292"/>
      <c r="TFS37" s="292"/>
      <c r="TFT37" s="292"/>
      <c r="TFU37" s="292"/>
      <c r="TFV37" s="292"/>
      <c r="TFW37" s="292"/>
      <c r="TFX37" s="292"/>
      <c r="TFY37" s="292"/>
      <c r="TFZ37" s="292"/>
      <c r="TGA37" s="292"/>
      <c r="TGB37" s="292"/>
      <c r="TGC37" s="292"/>
      <c r="TGD37" s="292"/>
      <c r="TGE37" s="292"/>
      <c r="TGF37" s="292"/>
      <c r="TGG37" s="292"/>
      <c r="TGH37" s="292"/>
      <c r="TGI37" s="292"/>
      <c r="TGJ37" s="292"/>
      <c r="TGK37" s="292"/>
      <c r="TGL37" s="292"/>
      <c r="TGM37" s="292"/>
      <c r="TGN37" s="292"/>
      <c r="TGO37" s="292"/>
      <c r="TGP37" s="292"/>
      <c r="TGQ37" s="292"/>
      <c r="TGR37" s="292"/>
      <c r="TGS37" s="292"/>
      <c r="TGT37" s="292"/>
      <c r="TGU37" s="292"/>
      <c r="TGV37" s="292"/>
      <c r="TGW37" s="292"/>
      <c r="TGX37" s="292"/>
      <c r="TGY37" s="292"/>
      <c r="TGZ37" s="292"/>
      <c r="THA37" s="292"/>
      <c r="THB37" s="292"/>
      <c r="THC37" s="292"/>
      <c r="THD37" s="292"/>
      <c r="THE37" s="292"/>
      <c r="THF37" s="292"/>
      <c r="THG37" s="292"/>
      <c r="THH37" s="292"/>
      <c r="THI37" s="292"/>
      <c r="THJ37" s="292"/>
      <c r="THK37" s="292"/>
      <c r="THL37" s="292"/>
      <c r="THM37" s="292"/>
      <c r="THN37" s="292"/>
      <c r="THO37" s="292"/>
      <c r="THP37" s="292"/>
      <c r="THQ37" s="292"/>
      <c r="THR37" s="292"/>
      <c r="THS37" s="292"/>
      <c r="THT37" s="292"/>
      <c r="THU37" s="292"/>
      <c r="THV37" s="292"/>
      <c r="THW37" s="292"/>
      <c r="THX37" s="292"/>
      <c r="THY37" s="292"/>
      <c r="THZ37" s="292"/>
      <c r="TIA37" s="292"/>
      <c r="TIB37" s="292"/>
      <c r="TIC37" s="292"/>
      <c r="TID37" s="292"/>
      <c r="TIE37" s="292"/>
      <c r="TIF37" s="292"/>
      <c r="TIG37" s="292"/>
      <c r="TIH37" s="292"/>
      <c r="TII37" s="292"/>
      <c r="TIJ37" s="292"/>
      <c r="TIK37" s="292"/>
      <c r="TIL37" s="292"/>
      <c r="TIM37" s="292"/>
      <c r="TIN37" s="292"/>
      <c r="TIO37" s="292"/>
      <c r="TIP37" s="292"/>
      <c r="TIQ37" s="292"/>
      <c r="TIR37" s="292"/>
      <c r="TIS37" s="292"/>
      <c r="TIT37" s="292"/>
      <c r="TIU37" s="292"/>
      <c r="TIV37" s="292"/>
      <c r="TIW37" s="292"/>
      <c r="TIX37" s="292"/>
      <c r="TIY37" s="292"/>
      <c r="TIZ37" s="292"/>
      <c r="TJA37" s="292"/>
      <c r="TJB37" s="292"/>
      <c r="TJC37" s="292"/>
      <c r="TJD37" s="292"/>
      <c r="TJE37" s="292"/>
      <c r="TJF37" s="292"/>
      <c r="TJG37" s="292"/>
      <c r="TJH37" s="292"/>
      <c r="TJI37" s="292"/>
      <c r="TJJ37" s="292"/>
      <c r="TJK37" s="292"/>
      <c r="TJL37" s="292"/>
      <c r="TJM37" s="292"/>
      <c r="TJN37" s="292"/>
      <c r="TJO37" s="292"/>
      <c r="TJP37" s="292"/>
      <c r="TJQ37" s="292"/>
      <c r="TJR37" s="292"/>
      <c r="TJS37" s="292"/>
      <c r="TJT37" s="292"/>
      <c r="TJU37" s="292"/>
      <c r="TJV37" s="292"/>
      <c r="TJW37" s="292"/>
      <c r="TJX37" s="292"/>
      <c r="TJY37" s="292"/>
      <c r="TJZ37" s="292"/>
      <c r="TKA37" s="292"/>
      <c r="TKB37" s="292"/>
      <c r="TKC37" s="292"/>
      <c r="TKD37" s="292"/>
      <c r="TKE37" s="292"/>
      <c r="TKF37" s="292"/>
      <c r="TKG37" s="292"/>
      <c r="TKH37" s="292"/>
      <c r="TKI37" s="292"/>
      <c r="TKJ37" s="292"/>
      <c r="TKK37" s="292"/>
      <c r="TKL37" s="292"/>
      <c r="TKM37" s="292"/>
      <c r="TKN37" s="292"/>
      <c r="TKO37" s="292"/>
      <c r="TKP37" s="292"/>
      <c r="TKQ37" s="292"/>
      <c r="TKR37" s="292"/>
      <c r="TKS37" s="292"/>
      <c r="TKT37" s="292"/>
      <c r="TKU37" s="292"/>
      <c r="TKV37" s="292"/>
      <c r="TKW37" s="292"/>
      <c r="TKX37" s="292"/>
      <c r="TKY37" s="292"/>
      <c r="TKZ37" s="292"/>
      <c r="TLA37" s="292"/>
      <c r="TLB37" s="292"/>
      <c r="TLC37" s="292"/>
      <c r="TLD37" s="292"/>
      <c r="TLE37" s="292"/>
      <c r="TLF37" s="292"/>
      <c r="TLG37" s="292"/>
      <c r="TLH37" s="292"/>
      <c r="TLI37" s="292"/>
      <c r="TLJ37" s="292"/>
      <c r="TLK37" s="292"/>
      <c r="TLL37" s="292"/>
      <c r="TLM37" s="292"/>
      <c r="TLN37" s="292"/>
      <c r="TLO37" s="292"/>
      <c r="TLP37" s="292"/>
      <c r="TLQ37" s="292"/>
      <c r="TLR37" s="292"/>
      <c r="TLS37" s="292"/>
      <c r="TLT37" s="292"/>
      <c r="TLU37" s="292"/>
      <c r="TLV37" s="292"/>
      <c r="TLW37" s="292"/>
      <c r="TLX37" s="292"/>
      <c r="TLY37" s="292"/>
      <c r="TLZ37" s="292"/>
      <c r="TMA37" s="292"/>
      <c r="TMB37" s="292"/>
      <c r="TMC37" s="292"/>
      <c r="TMD37" s="292"/>
      <c r="TME37" s="292"/>
      <c r="TMF37" s="292"/>
      <c r="TMG37" s="292"/>
      <c r="TMH37" s="292"/>
      <c r="TMI37" s="292"/>
      <c r="TMJ37" s="292"/>
      <c r="TMK37" s="292"/>
      <c r="TML37" s="292"/>
      <c r="TMM37" s="292"/>
      <c r="TMN37" s="292"/>
      <c r="TMO37" s="292"/>
      <c r="TMP37" s="292"/>
      <c r="TMQ37" s="292"/>
      <c r="TMR37" s="292"/>
      <c r="TMS37" s="292"/>
      <c r="TMT37" s="292"/>
      <c r="TMU37" s="292"/>
      <c r="TMV37" s="292"/>
      <c r="TMW37" s="292"/>
      <c r="TMX37" s="292"/>
      <c r="TMY37" s="292"/>
      <c r="TMZ37" s="292"/>
      <c r="TNA37" s="292"/>
      <c r="TNB37" s="292"/>
      <c r="TNC37" s="292"/>
      <c r="TND37" s="292"/>
      <c r="TNE37" s="292"/>
      <c r="TNF37" s="292"/>
      <c r="TNG37" s="292"/>
      <c r="TNH37" s="292"/>
      <c r="TNI37" s="292"/>
      <c r="TNJ37" s="292"/>
      <c r="TNK37" s="292"/>
      <c r="TNL37" s="292"/>
      <c r="TNM37" s="292"/>
      <c r="TNN37" s="292"/>
      <c r="TNO37" s="292"/>
      <c r="TNP37" s="292"/>
      <c r="TNQ37" s="292"/>
      <c r="TNR37" s="292"/>
      <c r="TNS37" s="292"/>
      <c r="TNT37" s="292"/>
      <c r="TNU37" s="292"/>
      <c r="TNV37" s="292"/>
      <c r="TNW37" s="292"/>
      <c r="TNX37" s="292"/>
      <c r="TNY37" s="292"/>
      <c r="TNZ37" s="292"/>
      <c r="TOA37" s="292"/>
      <c r="TOB37" s="292"/>
      <c r="TOC37" s="292"/>
      <c r="TOD37" s="292"/>
      <c r="TOE37" s="292"/>
      <c r="TOF37" s="292"/>
      <c r="TOG37" s="292"/>
      <c r="TOH37" s="292"/>
      <c r="TOI37" s="292"/>
      <c r="TOJ37" s="292"/>
      <c r="TOK37" s="292"/>
      <c r="TOL37" s="292"/>
      <c r="TOM37" s="292"/>
      <c r="TON37" s="292"/>
      <c r="TOO37" s="292"/>
      <c r="TOP37" s="292"/>
      <c r="TOQ37" s="292"/>
      <c r="TOR37" s="292"/>
      <c r="TOS37" s="292"/>
      <c r="TOT37" s="292"/>
      <c r="TOU37" s="292"/>
      <c r="TOV37" s="292"/>
      <c r="TOW37" s="292"/>
      <c r="TOX37" s="292"/>
      <c r="TOY37" s="292"/>
      <c r="TOZ37" s="292"/>
      <c r="TPA37" s="292"/>
      <c r="TPB37" s="292"/>
      <c r="TPC37" s="292"/>
      <c r="TPD37" s="292"/>
      <c r="TPE37" s="292"/>
      <c r="TPF37" s="292"/>
      <c r="TPG37" s="292"/>
      <c r="TPH37" s="292"/>
      <c r="TPI37" s="292"/>
      <c r="TPJ37" s="292"/>
      <c r="TPK37" s="292"/>
      <c r="TPL37" s="292"/>
      <c r="TPM37" s="292"/>
      <c r="TPN37" s="292"/>
      <c r="TPO37" s="292"/>
      <c r="TPP37" s="292"/>
      <c r="TPQ37" s="292"/>
      <c r="TPR37" s="292"/>
      <c r="TPS37" s="292"/>
      <c r="TPT37" s="292"/>
      <c r="TPU37" s="292"/>
      <c r="TPV37" s="292"/>
      <c r="TPW37" s="292"/>
      <c r="TPX37" s="292"/>
      <c r="TPY37" s="292"/>
      <c r="TPZ37" s="292"/>
      <c r="TQA37" s="292"/>
      <c r="TQB37" s="292"/>
      <c r="TQC37" s="292"/>
      <c r="TQD37" s="292"/>
      <c r="TQE37" s="292"/>
      <c r="TQF37" s="292"/>
      <c r="TQG37" s="292"/>
      <c r="TQH37" s="292"/>
      <c r="TQI37" s="292"/>
      <c r="TQJ37" s="292"/>
      <c r="TQK37" s="292"/>
      <c r="TQL37" s="292"/>
      <c r="TQM37" s="292"/>
      <c r="TQN37" s="292"/>
      <c r="TQO37" s="292"/>
      <c r="TQP37" s="292"/>
      <c r="TQQ37" s="292"/>
      <c r="TQR37" s="292"/>
      <c r="TQS37" s="292"/>
      <c r="TQT37" s="292"/>
      <c r="TQU37" s="292"/>
      <c r="TQV37" s="292"/>
      <c r="TQW37" s="292"/>
      <c r="TQX37" s="292"/>
      <c r="TQY37" s="292"/>
      <c r="TQZ37" s="292"/>
      <c r="TRA37" s="292"/>
      <c r="TRB37" s="292"/>
      <c r="TRC37" s="292"/>
      <c r="TRD37" s="292"/>
      <c r="TRE37" s="292"/>
      <c r="TRF37" s="292"/>
      <c r="TRG37" s="292"/>
      <c r="TRH37" s="292"/>
      <c r="TRI37" s="292"/>
      <c r="TRJ37" s="292"/>
      <c r="TRK37" s="292"/>
      <c r="TRL37" s="292"/>
      <c r="TRM37" s="292"/>
      <c r="TRN37" s="292"/>
      <c r="TRO37" s="292"/>
      <c r="TRP37" s="292"/>
      <c r="TRQ37" s="292"/>
      <c r="TRR37" s="292"/>
      <c r="TRS37" s="292"/>
      <c r="TRT37" s="292"/>
      <c r="TRU37" s="292"/>
      <c r="TRV37" s="292"/>
      <c r="TRW37" s="292"/>
      <c r="TRX37" s="292"/>
      <c r="TRY37" s="292"/>
      <c r="TRZ37" s="292"/>
      <c r="TSA37" s="292"/>
      <c r="TSB37" s="292"/>
      <c r="TSC37" s="292"/>
      <c r="TSD37" s="292"/>
      <c r="TSE37" s="292"/>
      <c r="TSF37" s="292"/>
      <c r="TSG37" s="292"/>
      <c r="TSH37" s="292"/>
      <c r="TSI37" s="292"/>
      <c r="TSJ37" s="292"/>
      <c r="TSK37" s="292"/>
      <c r="TSL37" s="292"/>
      <c r="TSM37" s="292"/>
      <c r="TSN37" s="292"/>
      <c r="TSO37" s="292"/>
      <c r="TSP37" s="292"/>
      <c r="TSQ37" s="292"/>
      <c r="TSR37" s="292"/>
      <c r="TSS37" s="292"/>
      <c r="TST37" s="292"/>
      <c r="TSU37" s="292"/>
      <c r="TSV37" s="292"/>
      <c r="TSW37" s="292"/>
      <c r="TSX37" s="292"/>
      <c r="TSY37" s="292"/>
      <c r="TSZ37" s="292"/>
      <c r="TTA37" s="292"/>
      <c r="TTB37" s="292"/>
      <c r="TTC37" s="292"/>
      <c r="TTD37" s="292"/>
      <c r="TTE37" s="292"/>
      <c r="TTF37" s="292"/>
      <c r="TTG37" s="292"/>
      <c r="TTH37" s="292"/>
      <c r="TTI37" s="292"/>
      <c r="TTJ37" s="292"/>
      <c r="TTK37" s="292"/>
      <c r="TTL37" s="292"/>
      <c r="TTM37" s="292"/>
      <c r="TTN37" s="292"/>
      <c r="TTO37" s="292"/>
      <c r="TTP37" s="292"/>
      <c r="TTQ37" s="292"/>
      <c r="TTR37" s="292"/>
      <c r="TTS37" s="292"/>
      <c r="TTT37" s="292"/>
      <c r="TTU37" s="292"/>
      <c r="TTV37" s="292"/>
      <c r="TTW37" s="292"/>
      <c r="TTX37" s="292"/>
      <c r="TTY37" s="292"/>
      <c r="TTZ37" s="292"/>
      <c r="TUA37" s="292"/>
      <c r="TUB37" s="292"/>
      <c r="TUC37" s="292"/>
      <c r="TUD37" s="292"/>
      <c r="TUE37" s="292"/>
      <c r="TUF37" s="292"/>
      <c r="TUG37" s="292"/>
      <c r="TUH37" s="292"/>
      <c r="TUI37" s="292"/>
      <c r="TUJ37" s="292"/>
      <c r="TUK37" s="292"/>
      <c r="TUL37" s="292"/>
      <c r="TUM37" s="292"/>
      <c r="TUN37" s="292"/>
      <c r="TUO37" s="292"/>
      <c r="TUP37" s="292"/>
      <c r="TUQ37" s="292"/>
      <c r="TUR37" s="292"/>
      <c r="TUS37" s="292"/>
      <c r="TUT37" s="292"/>
      <c r="TUU37" s="292"/>
      <c r="TUV37" s="292"/>
      <c r="TUW37" s="292"/>
      <c r="TUX37" s="292"/>
      <c r="TUY37" s="292"/>
      <c r="TUZ37" s="292"/>
      <c r="TVA37" s="292"/>
      <c r="TVB37" s="292"/>
      <c r="TVC37" s="292"/>
      <c r="TVD37" s="292"/>
      <c r="TVE37" s="292"/>
      <c r="TVF37" s="292"/>
      <c r="TVG37" s="292"/>
      <c r="TVH37" s="292"/>
      <c r="TVI37" s="292"/>
      <c r="TVJ37" s="292"/>
      <c r="TVK37" s="292"/>
      <c r="TVL37" s="292"/>
      <c r="TVM37" s="292"/>
      <c r="TVN37" s="292"/>
      <c r="TVO37" s="292"/>
      <c r="TVP37" s="292"/>
      <c r="TVQ37" s="292"/>
      <c r="TVR37" s="292"/>
      <c r="TVS37" s="292"/>
      <c r="TVT37" s="292"/>
      <c r="TVU37" s="292"/>
      <c r="TVV37" s="292"/>
      <c r="TVW37" s="292"/>
      <c r="TVX37" s="292"/>
      <c r="TVY37" s="292"/>
      <c r="TVZ37" s="292"/>
      <c r="TWA37" s="292"/>
      <c r="TWB37" s="292"/>
      <c r="TWC37" s="292"/>
      <c r="TWD37" s="292"/>
      <c r="TWE37" s="292"/>
      <c r="TWF37" s="292"/>
      <c r="TWG37" s="292"/>
      <c r="TWH37" s="292"/>
      <c r="TWI37" s="292"/>
      <c r="TWJ37" s="292"/>
      <c r="TWK37" s="292"/>
      <c r="TWL37" s="292"/>
      <c r="TWM37" s="292"/>
      <c r="TWN37" s="292"/>
      <c r="TWO37" s="292"/>
      <c r="TWP37" s="292"/>
      <c r="TWQ37" s="292"/>
      <c r="TWR37" s="292"/>
      <c r="TWS37" s="292"/>
      <c r="TWT37" s="292"/>
      <c r="TWU37" s="292"/>
      <c r="TWV37" s="292"/>
      <c r="TWW37" s="292"/>
      <c r="TWX37" s="292"/>
      <c r="TWY37" s="292"/>
      <c r="TWZ37" s="292"/>
      <c r="TXA37" s="292"/>
      <c r="TXB37" s="292"/>
      <c r="TXC37" s="292"/>
      <c r="TXD37" s="292"/>
      <c r="TXE37" s="292"/>
      <c r="TXF37" s="292"/>
      <c r="TXG37" s="292"/>
      <c r="TXH37" s="292"/>
      <c r="TXI37" s="292"/>
      <c r="TXJ37" s="292"/>
      <c r="TXK37" s="292"/>
      <c r="TXL37" s="292"/>
      <c r="TXM37" s="292"/>
      <c r="TXN37" s="292"/>
      <c r="TXO37" s="292"/>
      <c r="TXP37" s="292"/>
      <c r="TXQ37" s="292"/>
      <c r="TXR37" s="292"/>
      <c r="TXS37" s="292"/>
      <c r="TXT37" s="292"/>
      <c r="TXU37" s="292"/>
      <c r="TXV37" s="292"/>
      <c r="TXW37" s="292"/>
      <c r="TXX37" s="292"/>
      <c r="TXY37" s="292"/>
      <c r="TXZ37" s="292"/>
      <c r="TYA37" s="292"/>
      <c r="TYB37" s="292"/>
      <c r="TYC37" s="292"/>
      <c r="TYD37" s="292"/>
      <c r="TYE37" s="292"/>
      <c r="TYF37" s="292"/>
      <c r="TYG37" s="292"/>
      <c r="TYH37" s="292"/>
      <c r="TYI37" s="292"/>
      <c r="TYJ37" s="292"/>
      <c r="TYK37" s="292"/>
      <c r="TYL37" s="292"/>
      <c r="TYM37" s="292"/>
      <c r="TYN37" s="292"/>
      <c r="TYO37" s="292"/>
      <c r="TYP37" s="292"/>
      <c r="TYQ37" s="292"/>
      <c r="TYR37" s="292"/>
      <c r="TYS37" s="292"/>
      <c r="TYT37" s="292"/>
      <c r="TYU37" s="292"/>
      <c r="TYV37" s="292"/>
      <c r="TYW37" s="292"/>
      <c r="TYX37" s="292"/>
      <c r="TYY37" s="292"/>
      <c r="TYZ37" s="292"/>
      <c r="TZA37" s="292"/>
      <c r="TZB37" s="292"/>
      <c r="TZC37" s="292"/>
      <c r="TZD37" s="292"/>
      <c r="TZE37" s="292"/>
      <c r="TZF37" s="292"/>
      <c r="TZG37" s="292"/>
      <c r="TZH37" s="292"/>
      <c r="TZI37" s="292"/>
      <c r="TZJ37" s="292"/>
      <c r="TZK37" s="292"/>
      <c r="TZL37" s="292"/>
      <c r="TZM37" s="292"/>
      <c r="TZN37" s="292"/>
      <c r="TZO37" s="292"/>
      <c r="TZP37" s="292"/>
      <c r="TZQ37" s="292"/>
      <c r="TZR37" s="292"/>
      <c r="TZS37" s="292"/>
      <c r="TZT37" s="292"/>
      <c r="TZU37" s="292"/>
      <c r="TZV37" s="292"/>
      <c r="TZW37" s="292"/>
      <c r="TZX37" s="292"/>
      <c r="TZY37" s="292"/>
      <c r="TZZ37" s="292"/>
      <c r="UAA37" s="292"/>
      <c r="UAB37" s="292"/>
      <c r="UAC37" s="292"/>
      <c r="UAD37" s="292"/>
      <c r="UAE37" s="292"/>
      <c r="UAF37" s="292"/>
      <c r="UAG37" s="292"/>
      <c r="UAH37" s="292"/>
      <c r="UAI37" s="292"/>
      <c r="UAJ37" s="292"/>
      <c r="UAK37" s="292"/>
      <c r="UAL37" s="292"/>
      <c r="UAM37" s="292"/>
      <c r="UAN37" s="292"/>
      <c r="UAO37" s="292"/>
      <c r="UAP37" s="292"/>
      <c r="UAQ37" s="292"/>
      <c r="UAR37" s="292"/>
      <c r="UAS37" s="292"/>
      <c r="UAT37" s="292"/>
      <c r="UAU37" s="292"/>
      <c r="UAV37" s="292"/>
      <c r="UAW37" s="292"/>
      <c r="UAX37" s="292"/>
      <c r="UAY37" s="292"/>
      <c r="UAZ37" s="292"/>
      <c r="UBA37" s="292"/>
      <c r="UBB37" s="292"/>
      <c r="UBC37" s="292"/>
      <c r="UBD37" s="292"/>
      <c r="UBE37" s="292"/>
      <c r="UBF37" s="292"/>
      <c r="UBG37" s="292"/>
      <c r="UBH37" s="292"/>
      <c r="UBI37" s="292"/>
      <c r="UBJ37" s="292"/>
      <c r="UBK37" s="292"/>
      <c r="UBL37" s="292"/>
      <c r="UBM37" s="292"/>
      <c r="UBN37" s="292"/>
      <c r="UBO37" s="292"/>
      <c r="UBP37" s="292"/>
      <c r="UBQ37" s="292"/>
      <c r="UBR37" s="292"/>
      <c r="UBS37" s="292"/>
      <c r="UBT37" s="292"/>
      <c r="UBU37" s="292"/>
      <c r="UBV37" s="292"/>
      <c r="UBW37" s="292"/>
      <c r="UBX37" s="292"/>
      <c r="UBY37" s="292"/>
      <c r="UBZ37" s="292"/>
      <c r="UCA37" s="292"/>
      <c r="UCB37" s="292"/>
      <c r="UCC37" s="292"/>
      <c r="UCD37" s="292"/>
      <c r="UCE37" s="292"/>
      <c r="UCF37" s="292"/>
      <c r="UCG37" s="292"/>
      <c r="UCH37" s="292"/>
      <c r="UCI37" s="292"/>
      <c r="UCJ37" s="292"/>
      <c r="UCK37" s="292"/>
      <c r="UCL37" s="292"/>
      <c r="UCM37" s="292"/>
      <c r="UCN37" s="292"/>
      <c r="UCO37" s="292"/>
      <c r="UCP37" s="292"/>
      <c r="UCQ37" s="292"/>
      <c r="UCR37" s="292"/>
      <c r="UCS37" s="292"/>
      <c r="UCT37" s="292"/>
      <c r="UCU37" s="292"/>
      <c r="UCV37" s="292"/>
      <c r="UCW37" s="292"/>
      <c r="UCX37" s="292"/>
      <c r="UCY37" s="292"/>
      <c r="UCZ37" s="292"/>
      <c r="UDA37" s="292"/>
      <c r="UDB37" s="292"/>
      <c r="UDC37" s="292"/>
      <c r="UDD37" s="292"/>
      <c r="UDE37" s="292"/>
      <c r="UDF37" s="292"/>
      <c r="UDG37" s="292"/>
      <c r="UDH37" s="292"/>
      <c r="UDI37" s="292"/>
      <c r="UDJ37" s="292"/>
      <c r="UDK37" s="292"/>
      <c r="UDL37" s="292"/>
      <c r="UDM37" s="292"/>
      <c r="UDN37" s="292"/>
      <c r="UDO37" s="292"/>
      <c r="UDP37" s="292"/>
      <c r="UDQ37" s="292"/>
      <c r="UDR37" s="292"/>
      <c r="UDS37" s="292"/>
      <c r="UDT37" s="292"/>
      <c r="UDU37" s="292"/>
      <c r="UDV37" s="292"/>
      <c r="UDW37" s="292"/>
      <c r="UDX37" s="292"/>
      <c r="UDY37" s="292"/>
      <c r="UDZ37" s="292"/>
      <c r="UEA37" s="292"/>
      <c r="UEB37" s="292"/>
      <c r="UEC37" s="292"/>
      <c r="UED37" s="292"/>
      <c r="UEE37" s="292"/>
      <c r="UEF37" s="292"/>
      <c r="UEG37" s="292"/>
      <c r="UEH37" s="292"/>
      <c r="UEI37" s="292"/>
      <c r="UEJ37" s="292"/>
      <c r="UEK37" s="292"/>
      <c r="UEL37" s="292"/>
      <c r="UEM37" s="292"/>
      <c r="UEN37" s="292"/>
      <c r="UEO37" s="292"/>
      <c r="UEP37" s="292"/>
      <c r="UEQ37" s="292"/>
      <c r="UER37" s="292"/>
      <c r="UES37" s="292"/>
      <c r="UET37" s="292"/>
      <c r="UEU37" s="292"/>
      <c r="UEV37" s="292"/>
      <c r="UEW37" s="292"/>
      <c r="UEX37" s="292"/>
      <c r="UEY37" s="292"/>
      <c r="UEZ37" s="292"/>
      <c r="UFA37" s="292"/>
      <c r="UFB37" s="292"/>
      <c r="UFC37" s="292"/>
      <c r="UFD37" s="292"/>
      <c r="UFE37" s="292"/>
      <c r="UFF37" s="292"/>
      <c r="UFG37" s="292"/>
      <c r="UFH37" s="292"/>
      <c r="UFI37" s="292"/>
      <c r="UFJ37" s="292"/>
      <c r="UFK37" s="292"/>
      <c r="UFL37" s="292"/>
      <c r="UFM37" s="292"/>
      <c r="UFN37" s="292"/>
      <c r="UFO37" s="292"/>
      <c r="UFP37" s="292"/>
      <c r="UFQ37" s="292"/>
      <c r="UFR37" s="292"/>
      <c r="UFS37" s="292"/>
      <c r="UFT37" s="292"/>
      <c r="UFU37" s="292"/>
      <c r="UFV37" s="292"/>
      <c r="UFW37" s="292"/>
      <c r="UFX37" s="292"/>
      <c r="UFY37" s="292"/>
      <c r="UFZ37" s="292"/>
      <c r="UGA37" s="292"/>
      <c r="UGB37" s="292"/>
      <c r="UGC37" s="292"/>
      <c r="UGD37" s="292"/>
      <c r="UGE37" s="292"/>
      <c r="UGF37" s="292"/>
      <c r="UGG37" s="292"/>
      <c r="UGH37" s="292"/>
      <c r="UGI37" s="292"/>
      <c r="UGJ37" s="292"/>
      <c r="UGK37" s="292"/>
      <c r="UGL37" s="292"/>
      <c r="UGM37" s="292"/>
      <c r="UGN37" s="292"/>
      <c r="UGO37" s="292"/>
      <c r="UGP37" s="292"/>
      <c r="UGQ37" s="292"/>
      <c r="UGR37" s="292"/>
      <c r="UGS37" s="292"/>
      <c r="UGT37" s="292"/>
      <c r="UGU37" s="292"/>
      <c r="UGV37" s="292"/>
      <c r="UGW37" s="292"/>
      <c r="UGX37" s="292"/>
      <c r="UGY37" s="292"/>
      <c r="UGZ37" s="292"/>
      <c r="UHA37" s="292"/>
      <c r="UHB37" s="292"/>
      <c r="UHC37" s="292"/>
      <c r="UHD37" s="292"/>
      <c r="UHE37" s="292"/>
      <c r="UHF37" s="292"/>
      <c r="UHG37" s="292"/>
      <c r="UHH37" s="292"/>
      <c r="UHI37" s="292"/>
      <c r="UHJ37" s="292"/>
      <c r="UHK37" s="292"/>
      <c r="UHL37" s="292"/>
      <c r="UHM37" s="292"/>
      <c r="UHN37" s="292"/>
      <c r="UHO37" s="292"/>
      <c r="UHP37" s="292"/>
      <c r="UHQ37" s="292"/>
      <c r="UHR37" s="292"/>
      <c r="UHS37" s="292"/>
      <c r="UHT37" s="292"/>
      <c r="UHU37" s="292"/>
      <c r="UHV37" s="292"/>
      <c r="UHW37" s="292"/>
      <c r="UHX37" s="292"/>
      <c r="UHY37" s="292"/>
      <c r="UHZ37" s="292"/>
      <c r="UIA37" s="292"/>
      <c r="UIB37" s="292"/>
      <c r="UIC37" s="292"/>
      <c r="UID37" s="292"/>
      <c r="UIE37" s="292"/>
      <c r="UIF37" s="292"/>
      <c r="UIG37" s="292"/>
      <c r="UIH37" s="292"/>
      <c r="UII37" s="292"/>
      <c r="UIJ37" s="292"/>
      <c r="UIK37" s="292"/>
      <c r="UIL37" s="292"/>
      <c r="UIM37" s="292"/>
      <c r="UIN37" s="292"/>
      <c r="UIO37" s="292"/>
      <c r="UIP37" s="292"/>
      <c r="UIQ37" s="292"/>
      <c r="UIR37" s="292"/>
      <c r="UIS37" s="292"/>
      <c r="UIT37" s="292"/>
      <c r="UIU37" s="292"/>
      <c r="UIV37" s="292"/>
      <c r="UIW37" s="292"/>
      <c r="UIX37" s="292"/>
      <c r="UIY37" s="292"/>
      <c r="UIZ37" s="292"/>
      <c r="UJA37" s="292"/>
      <c r="UJB37" s="292"/>
      <c r="UJC37" s="292"/>
      <c r="UJD37" s="292"/>
      <c r="UJE37" s="292"/>
      <c r="UJF37" s="292"/>
      <c r="UJG37" s="292"/>
      <c r="UJH37" s="292"/>
      <c r="UJI37" s="292"/>
      <c r="UJJ37" s="292"/>
      <c r="UJK37" s="292"/>
      <c r="UJL37" s="292"/>
      <c r="UJM37" s="292"/>
      <c r="UJN37" s="292"/>
      <c r="UJO37" s="292"/>
      <c r="UJP37" s="292"/>
      <c r="UJQ37" s="292"/>
      <c r="UJR37" s="292"/>
      <c r="UJS37" s="292"/>
      <c r="UJT37" s="292"/>
      <c r="UJU37" s="292"/>
      <c r="UJV37" s="292"/>
      <c r="UJW37" s="292"/>
      <c r="UJX37" s="292"/>
      <c r="UJY37" s="292"/>
      <c r="UJZ37" s="292"/>
      <c r="UKA37" s="292"/>
      <c r="UKB37" s="292"/>
      <c r="UKC37" s="292"/>
      <c r="UKD37" s="292"/>
      <c r="UKE37" s="292"/>
      <c r="UKF37" s="292"/>
      <c r="UKG37" s="292"/>
      <c r="UKH37" s="292"/>
      <c r="UKI37" s="292"/>
      <c r="UKJ37" s="292"/>
      <c r="UKK37" s="292"/>
      <c r="UKL37" s="292"/>
      <c r="UKM37" s="292"/>
      <c r="UKN37" s="292"/>
      <c r="UKO37" s="292"/>
      <c r="UKP37" s="292"/>
      <c r="UKQ37" s="292"/>
      <c r="UKR37" s="292"/>
      <c r="UKS37" s="292"/>
      <c r="UKT37" s="292"/>
      <c r="UKU37" s="292"/>
      <c r="UKV37" s="292"/>
      <c r="UKW37" s="292"/>
      <c r="UKX37" s="292"/>
      <c r="UKY37" s="292"/>
      <c r="UKZ37" s="292"/>
      <c r="ULA37" s="292"/>
      <c r="ULB37" s="292"/>
      <c r="ULC37" s="292"/>
      <c r="ULD37" s="292"/>
      <c r="ULE37" s="292"/>
      <c r="ULF37" s="292"/>
      <c r="ULG37" s="292"/>
      <c r="ULH37" s="292"/>
      <c r="ULI37" s="292"/>
      <c r="ULJ37" s="292"/>
      <c r="ULK37" s="292"/>
      <c r="ULL37" s="292"/>
      <c r="ULM37" s="292"/>
      <c r="ULN37" s="292"/>
      <c r="ULO37" s="292"/>
      <c r="ULP37" s="292"/>
      <c r="ULQ37" s="292"/>
      <c r="ULR37" s="292"/>
      <c r="ULS37" s="292"/>
      <c r="ULT37" s="292"/>
      <c r="ULU37" s="292"/>
      <c r="ULV37" s="292"/>
      <c r="ULW37" s="292"/>
      <c r="ULX37" s="292"/>
      <c r="ULY37" s="292"/>
      <c r="ULZ37" s="292"/>
      <c r="UMA37" s="292"/>
      <c r="UMB37" s="292"/>
      <c r="UMC37" s="292"/>
      <c r="UMD37" s="292"/>
      <c r="UME37" s="292"/>
      <c r="UMF37" s="292"/>
      <c r="UMG37" s="292"/>
      <c r="UMH37" s="292"/>
      <c r="UMI37" s="292"/>
      <c r="UMJ37" s="292"/>
      <c r="UMK37" s="292"/>
      <c r="UML37" s="292"/>
      <c r="UMM37" s="292"/>
      <c r="UMN37" s="292"/>
      <c r="UMO37" s="292"/>
      <c r="UMP37" s="292"/>
      <c r="UMQ37" s="292"/>
      <c r="UMR37" s="292"/>
      <c r="UMS37" s="292"/>
      <c r="UMT37" s="292"/>
      <c r="UMU37" s="292"/>
      <c r="UMV37" s="292"/>
      <c r="UMW37" s="292"/>
      <c r="UMX37" s="292"/>
      <c r="UMY37" s="292"/>
      <c r="UMZ37" s="292"/>
      <c r="UNA37" s="292"/>
      <c r="UNB37" s="292"/>
      <c r="UNC37" s="292"/>
      <c r="UND37" s="292"/>
      <c r="UNE37" s="292"/>
      <c r="UNF37" s="292"/>
      <c r="UNG37" s="292"/>
      <c r="UNH37" s="292"/>
      <c r="UNI37" s="292"/>
      <c r="UNJ37" s="292"/>
      <c r="UNK37" s="292"/>
      <c r="UNL37" s="292"/>
      <c r="UNM37" s="292"/>
      <c r="UNN37" s="292"/>
      <c r="UNO37" s="292"/>
      <c r="UNP37" s="292"/>
      <c r="UNQ37" s="292"/>
      <c r="UNR37" s="292"/>
      <c r="UNS37" s="292"/>
      <c r="UNT37" s="292"/>
      <c r="UNU37" s="292"/>
      <c r="UNV37" s="292"/>
      <c r="UNW37" s="292"/>
      <c r="UNX37" s="292"/>
      <c r="UNY37" s="292"/>
      <c r="UNZ37" s="292"/>
      <c r="UOA37" s="292"/>
      <c r="UOB37" s="292"/>
      <c r="UOC37" s="292"/>
      <c r="UOD37" s="292"/>
      <c r="UOE37" s="292"/>
      <c r="UOF37" s="292"/>
      <c r="UOG37" s="292"/>
      <c r="UOH37" s="292"/>
      <c r="UOI37" s="292"/>
      <c r="UOJ37" s="292"/>
      <c r="UOK37" s="292"/>
      <c r="UOL37" s="292"/>
      <c r="UOM37" s="292"/>
      <c r="UON37" s="292"/>
      <c r="UOO37" s="292"/>
      <c r="UOP37" s="292"/>
      <c r="UOQ37" s="292"/>
      <c r="UOR37" s="292"/>
      <c r="UOS37" s="292"/>
      <c r="UOT37" s="292"/>
      <c r="UOU37" s="292"/>
      <c r="UOV37" s="292"/>
      <c r="UOW37" s="292"/>
      <c r="UOX37" s="292"/>
      <c r="UOY37" s="292"/>
      <c r="UOZ37" s="292"/>
      <c r="UPA37" s="292"/>
      <c r="UPB37" s="292"/>
      <c r="UPC37" s="292"/>
      <c r="UPD37" s="292"/>
      <c r="UPE37" s="292"/>
      <c r="UPF37" s="292"/>
      <c r="UPG37" s="292"/>
      <c r="UPH37" s="292"/>
      <c r="UPI37" s="292"/>
      <c r="UPJ37" s="292"/>
      <c r="UPK37" s="292"/>
      <c r="UPL37" s="292"/>
      <c r="UPM37" s="292"/>
      <c r="UPN37" s="292"/>
      <c r="UPO37" s="292"/>
      <c r="UPP37" s="292"/>
      <c r="UPQ37" s="292"/>
      <c r="UPR37" s="292"/>
      <c r="UPS37" s="292"/>
      <c r="UPT37" s="292"/>
      <c r="UPU37" s="292"/>
      <c r="UPV37" s="292"/>
      <c r="UPW37" s="292"/>
      <c r="UPX37" s="292"/>
      <c r="UPY37" s="292"/>
      <c r="UPZ37" s="292"/>
      <c r="UQA37" s="292"/>
      <c r="UQB37" s="292"/>
      <c r="UQC37" s="292"/>
      <c r="UQD37" s="292"/>
      <c r="UQE37" s="292"/>
      <c r="UQF37" s="292"/>
      <c r="UQG37" s="292"/>
      <c r="UQH37" s="292"/>
      <c r="UQI37" s="292"/>
      <c r="UQJ37" s="292"/>
      <c r="UQK37" s="292"/>
      <c r="UQL37" s="292"/>
      <c r="UQM37" s="292"/>
      <c r="UQN37" s="292"/>
      <c r="UQO37" s="292"/>
      <c r="UQP37" s="292"/>
      <c r="UQQ37" s="292"/>
      <c r="UQR37" s="292"/>
      <c r="UQS37" s="292"/>
      <c r="UQT37" s="292"/>
      <c r="UQU37" s="292"/>
      <c r="UQV37" s="292"/>
      <c r="UQW37" s="292"/>
      <c r="UQX37" s="292"/>
      <c r="UQY37" s="292"/>
      <c r="UQZ37" s="292"/>
      <c r="URA37" s="292"/>
      <c r="URB37" s="292"/>
      <c r="URC37" s="292"/>
      <c r="URD37" s="292"/>
      <c r="URE37" s="292"/>
      <c r="URF37" s="292"/>
      <c r="URG37" s="292"/>
      <c r="URH37" s="292"/>
      <c r="URI37" s="292"/>
      <c r="URJ37" s="292"/>
      <c r="URK37" s="292"/>
      <c r="URL37" s="292"/>
      <c r="URM37" s="292"/>
      <c r="URN37" s="292"/>
      <c r="URO37" s="292"/>
      <c r="URP37" s="292"/>
      <c r="URQ37" s="292"/>
      <c r="URR37" s="292"/>
      <c r="URS37" s="292"/>
      <c r="URT37" s="292"/>
      <c r="URU37" s="292"/>
      <c r="URV37" s="292"/>
      <c r="URW37" s="292"/>
      <c r="URX37" s="292"/>
      <c r="URY37" s="292"/>
      <c r="URZ37" s="292"/>
      <c r="USA37" s="292"/>
      <c r="USB37" s="292"/>
      <c r="USC37" s="292"/>
      <c r="USD37" s="292"/>
      <c r="USE37" s="292"/>
      <c r="USF37" s="292"/>
      <c r="USG37" s="292"/>
      <c r="USH37" s="292"/>
      <c r="USI37" s="292"/>
      <c r="USJ37" s="292"/>
      <c r="USK37" s="292"/>
      <c r="USL37" s="292"/>
      <c r="USM37" s="292"/>
      <c r="USN37" s="292"/>
      <c r="USO37" s="292"/>
      <c r="USP37" s="292"/>
      <c r="USQ37" s="292"/>
      <c r="USR37" s="292"/>
      <c r="USS37" s="292"/>
      <c r="UST37" s="292"/>
      <c r="USU37" s="292"/>
      <c r="USV37" s="292"/>
      <c r="USW37" s="292"/>
      <c r="USX37" s="292"/>
      <c r="USY37" s="292"/>
      <c r="USZ37" s="292"/>
      <c r="UTA37" s="292"/>
      <c r="UTB37" s="292"/>
      <c r="UTC37" s="292"/>
      <c r="UTD37" s="292"/>
      <c r="UTE37" s="292"/>
      <c r="UTF37" s="292"/>
      <c r="UTG37" s="292"/>
      <c r="UTH37" s="292"/>
      <c r="UTI37" s="292"/>
      <c r="UTJ37" s="292"/>
      <c r="UTK37" s="292"/>
      <c r="UTL37" s="292"/>
      <c r="UTM37" s="292"/>
      <c r="UTN37" s="292"/>
      <c r="UTO37" s="292"/>
      <c r="UTP37" s="292"/>
      <c r="UTQ37" s="292"/>
      <c r="UTR37" s="292"/>
      <c r="UTS37" s="292"/>
      <c r="UTT37" s="292"/>
      <c r="UTU37" s="292"/>
      <c r="UTV37" s="292"/>
      <c r="UTW37" s="292"/>
      <c r="UTX37" s="292"/>
      <c r="UTY37" s="292"/>
      <c r="UTZ37" s="292"/>
      <c r="UUA37" s="292"/>
      <c r="UUB37" s="292"/>
      <c r="UUC37" s="292"/>
      <c r="UUD37" s="292"/>
      <c r="UUE37" s="292"/>
      <c r="UUF37" s="292"/>
      <c r="UUG37" s="292"/>
      <c r="UUH37" s="292"/>
      <c r="UUI37" s="292"/>
      <c r="UUJ37" s="292"/>
      <c r="UUK37" s="292"/>
      <c r="UUL37" s="292"/>
      <c r="UUM37" s="292"/>
      <c r="UUN37" s="292"/>
      <c r="UUO37" s="292"/>
      <c r="UUP37" s="292"/>
      <c r="UUQ37" s="292"/>
      <c r="UUR37" s="292"/>
      <c r="UUS37" s="292"/>
      <c r="UUT37" s="292"/>
      <c r="UUU37" s="292"/>
      <c r="UUV37" s="292"/>
      <c r="UUW37" s="292"/>
      <c r="UUX37" s="292"/>
      <c r="UUY37" s="292"/>
      <c r="UUZ37" s="292"/>
      <c r="UVA37" s="292"/>
      <c r="UVB37" s="292"/>
      <c r="UVC37" s="292"/>
      <c r="UVD37" s="292"/>
      <c r="UVE37" s="292"/>
      <c r="UVF37" s="292"/>
      <c r="UVG37" s="292"/>
      <c r="UVH37" s="292"/>
      <c r="UVI37" s="292"/>
      <c r="UVJ37" s="292"/>
      <c r="UVK37" s="292"/>
      <c r="UVL37" s="292"/>
      <c r="UVM37" s="292"/>
      <c r="UVN37" s="292"/>
      <c r="UVO37" s="292"/>
      <c r="UVP37" s="292"/>
      <c r="UVQ37" s="292"/>
      <c r="UVR37" s="292"/>
      <c r="UVS37" s="292"/>
      <c r="UVT37" s="292"/>
      <c r="UVU37" s="292"/>
      <c r="UVV37" s="292"/>
      <c r="UVW37" s="292"/>
      <c r="UVX37" s="292"/>
      <c r="UVY37" s="292"/>
      <c r="UVZ37" s="292"/>
      <c r="UWA37" s="292"/>
      <c r="UWB37" s="292"/>
      <c r="UWC37" s="292"/>
      <c r="UWD37" s="292"/>
      <c r="UWE37" s="292"/>
      <c r="UWF37" s="292"/>
      <c r="UWG37" s="292"/>
      <c r="UWH37" s="292"/>
      <c r="UWI37" s="292"/>
      <c r="UWJ37" s="292"/>
      <c r="UWK37" s="292"/>
      <c r="UWL37" s="292"/>
      <c r="UWM37" s="292"/>
      <c r="UWN37" s="292"/>
      <c r="UWO37" s="292"/>
      <c r="UWP37" s="292"/>
      <c r="UWQ37" s="292"/>
      <c r="UWR37" s="292"/>
      <c r="UWS37" s="292"/>
      <c r="UWT37" s="292"/>
      <c r="UWU37" s="292"/>
      <c r="UWV37" s="292"/>
      <c r="UWW37" s="292"/>
      <c r="UWX37" s="292"/>
      <c r="UWY37" s="292"/>
      <c r="UWZ37" s="292"/>
      <c r="UXA37" s="292"/>
      <c r="UXB37" s="292"/>
      <c r="UXC37" s="292"/>
      <c r="UXD37" s="292"/>
      <c r="UXE37" s="292"/>
      <c r="UXF37" s="292"/>
      <c r="UXG37" s="292"/>
      <c r="UXH37" s="292"/>
      <c r="UXI37" s="292"/>
      <c r="UXJ37" s="292"/>
      <c r="UXK37" s="292"/>
      <c r="UXL37" s="292"/>
      <c r="UXM37" s="292"/>
      <c r="UXN37" s="292"/>
      <c r="UXO37" s="292"/>
      <c r="UXP37" s="292"/>
      <c r="UXQ37" s="292"/>
      <c r="UXR37" s="292"/>
      <c r="UXS37" s="292"/>
      <c r="UXT37" s="292"/>
      <c r="UXU37" s="292"/>
      <c r="UXV37" s="292"/>
      <c r="UXW37" s="292"/>
      <c r="UXX37" s="292"/>
      <c r="UXY37" s="292"/>
      <c r="UXZ37" s="292"/>
      <c r="UYA37" s="292"/>
      <c r="UYB37" s="292"/>
      <c r="UYC37" s="292"/>
      <c r="UYD37" s="292"/>
      <c r="UYE37" s="292"/>
      <c r="UYF37" s="292"/>
      <c r="UYG37" s="292"/>
      <c r="UYH37" s="292"/>
      <c r="UYI37" s="292"/>
      <c r="UYJ37" s="292"/>
      <c r="UYK37" s="292"/>
      <c r="UYL37" s="292"/>
      <c r="UYM37" s="292"/>
      <c r="UYN37" s="292"/>
      <c r="UYO37" s="292"/>
      <c r="UYP37" s="292"/>
      <c r="UYQ37" s="292"/>
      <c r="UYR37" s="292"/>
      <c r="UYS37" s="292"/>
      <c r="UYT37" s="292"/>
      <c r="UYU37" s="292"/>
      <c r="UYV37" s="292"/>
      <c r="UYW37" s="292"/>
      <c r="UYX37" s="292"/>
      <c r="UYY37" s="292"/>
      <c r="UYZ37" s="292"/>
      <c r="UZA37" s="292"/>
      <c r="UZB37" s="292"/>
      <c r="UZC37" s="292"/>
      <c r="UZD37" s="292"/>
      <c r="UZE37" s="292"/>
      <c r="UZF37" s="292"/>
      <c r="UZG37" s="292"/>
      <c r="UZH37" s="292"/>
      <c r="UZI37" s="292"/>
      <c r="UZJ37" s="292"/>
      <c r="UZK37" s="292"/>
      <c r="UZL37" s="292"/>
      <c r="UZM37" s="292"/>
      <c r="UZN37" s="292"/>
      <c r="UZO37" s="292"/>
      <c r="UZP37" s="292"/>
      <c r="UZQ37" s="292"/>
      <c r="UZR37" s="292"/>
      <c r="UZS37" s="292"/>
      <c r="UZT37" s="292"/>
      <c r="UZU37" s="292"/>
      <c r="UZV37" s="292"/>
      <c r="UZW37" s="292"/>
      <c r="UZX37" s="292"/>
      <c r="UZY37" s="292"/>
      <c r="UZZ37" s="292"/>
      <c r="VAA37" s="292"/>
      <c r="VAB37" s="292"/>
      <c r="VAC37" s="292"/>
      <c r="VAD37" s="292"/>
      <c r="VAE37" s="292"/>
      <c r="VAF37" s="292"/>
      <c r="VAG37" s="292"/>
      <c r="VAH37" s="292"/>
      <c r="VAI37" s="292"/>
      <c r="VAJ37" s="292"/>
      <c r="VAK37" s="292"/>
      <c r="VAL37" s="292"/>
      <c r="VAM37" s="292"/>
      <c r="VAN37" s="292"/>
      <c r="VAO37" s="292"/>
      <c r="VAP37" s="292"/>
      <c r="VAQ37" s="292"/>
      <c r="VAR37" s="292"/>
      <c r="VAS37" s="292"/>
      <c r="VAT37" s="292"/>
      <c r="VAU37" s="292"/>
      <c r="VAV37" s="292"/>
      <c r="VAW37" s="292"/>
      <c r="VAX37" s="292"/>
      <c r="VAY37" s="292"/>
      <c r="VAZ37" s="292"/>
      <c r="VBA37" s="292"/>
      <c r="VBB37" s="292"/>
      <c r="VBC37" s="292"/>
      <c r="VBD37" s="292"/>
      <c r="VBE37" s="292"/>
      <c r="VBF37" s="292"/>
      <c r="VBG37" s="292"/>
      <c r="VBH37" s="292"/>
      <c r="VBI37" s="292"/>
      <c r="VBJ37" s="292"/>
      <c r="VBK37" s="292"/>
      <c r="VBL37" s="292"/>
      <c r="VBM37" s="292"/>
      <c r="VBN37" s="292"/>
      <c r="VBO37" s="292"/>
      <c r="VBP37" s="292"/>
      <c r="VBQ37" s="292"/>
      <c r="VBR37" s="292"/>
      <c r="VBS37" s="292"/>
      <c r="VBT37" s="292"/>
      <c r="VBU37" s="292"/>
      <c r="VBV37" s="292"/>
      <c r="VBW37" s="292"/>
      <c r="VBX37" s="292"/>
      <c r="VBY37" s="292"/>
      <c r="VBZ37" s="292"/>
      <c r="VCA37" s="292"/>
      <c r="VCB37" s="292"/>
      <c r="VCC37" s="292"/>
      <c r="VCD37" s="292"/>
      <c r="VCE37" s="292"/>
      <c r="VCF37" s="292"/>
      <c r="VCG37" s="292"/>
      <c r="VCH37" s="292"/>
      <c r="VCI37" s="292"/>
      <c r="VCJ37" s="292"/>
      <c r="VCK37" s="292"/>
      <c r="VCL37" s="292"/>
      <c r="VCM37" s="292"/>
      <c r="VCN37" s="292"/>
      <c r="VCO37" s="292"/>
      <c r="VCP37" s="292"/>
      <c r="VCQ37" s="292"/>
      <c r="VCR37" s="292"/>
      <c r="VCS37" s="292"/>
      <c r="VCT37" s="292"/>
      <c r="VCU37" s="292"/>
      <c r="VCV37" s="292"/>
      <c r="VCW37" s="292"/>
      <c r="VCX37" s="292"/>
      <c r="VCY37" s="292"/>
      <c r="VCZ37" s="292"/>
      <c r="VDA37" s="292"/>
      <c r="VDB37" s="292"/>
      <c r="VDC37" s="292"/>
      <c r="VDD37" s="292"/>
      <c r="VDE37" s="292"/>
      <c r="VDF37" s="292"/>
      <c r="VDG37" s="292"/>
      <c r="VDH37" s="292"/>
      <c r="VDI37" s="292"/>
      <c r="VDJ37" s="292"/>
      <c r="VDK37" s="292"/>
      <c r="VDL37" s="292"/>
      <c r="VDM37" s="292"/>
      <c r="VDN37" s="292"/>
      <c r="VDO37" s="292"/>
      <c r="VDP37" s="292"/>
      <c r="VDQ37" s="292"/>
      <c r="VDR37" s="292"/>
      <c r="VDS37" s="292"/>
      <c r="VDT37" s="292"/>
      <c r="VDU37" s="292"/>
      <c r="VDV37" s="292"/>
      <c r="VDW37" s="292"/>
      <c r="VDX37" s="292"/>
      <c r="VDY37" s="292"/>
      <c r="VDZ37" s="292"/>
      <c r="VEA37" s="292"/>
      <c r="VEB37" s="292"/>
      <c r="VEC37" s="292"/>
      <c r="VED37" s="292"/>
      <c r="VEE37" s="292"/>
      <c r="VEF37" s="292"/>
      <c r="VEG37" s="292"/>
      <c r="VEH37" s="292"/>
      <c r="VEI37" s="292"/>
      <c r="VEJ37" s="292"/>
      <c r="VEK37" s="292"/>
      <c r="VEL37" s="292"/>
      <c r="VEM37" s="292"/>
      <c r="VEN37" s="292"/>
      <c r="VEO37" s="292"/>
      <c r="VEP37" s="292"/>
      <c r="VEQ37" s="292"/>
      <c r="VER37" s="292"/>
      <c r="VES37" s="292"/>
      <c r="VET37" s="292"/>
      <c r="VEU37" s="292"/>
      <c r="VEV37" s="292"/>
      <c r="VEW37" s="292"/>
      <c r="VEX37" s="292"/>
      <c r="VEY37" s="292"/>
      <c r="VEZ37" s="292"/>
      <c r="VFA37" s="292"/>
      <c r="VFB37" s="292"/>
      <c r="VFC37" s="292"/>
      <c r="VFD37" s="292"/>
      <c r="VFE37" s="292"/>
      <c r="VFF37" s="292"/>
      <c r="VFG37" s="292"/>
      <c r="VFH37" s="292"/>
      <c r="VFI37" s="292"/>
      <c r="VFJ37" s="292"/>
      <c r="VFK37" s="292"/>
      <c r="VFL37" s="292"/>
      <c r="VFM37" s="292"/>
      <c r="VFN37" s="292"/>
      <c r="VFO37" s="292"/>
      <c r="VFP37" s="292"/>
      <c r="VFQ37" s="292"/>
      <c r="VFR37" s="292"/>
      <c r="VFS37" s="292"/>
      <c r="VFT37" s="292"/>
      <c r="VFU37" s="292"/>
      <c r="VFV37" s="292"/>
      <c r="VFW37" s="292"/>
      <c r="VFX37" s="292"/>
      <c r="VFY37" s="292"/>
      <c r="VFZ37" s="292"/>
      <c r="VGA37" s="292"/>
      <c r="VGB37" s="292"/>
      <c r="VGC37" s="292"/>
      <c r="VGD37" s="292"/>
      <c r="VGE37" s="292"/>
      <c r="VGF37" s="292"/>
      <c r="VGG37" s="292"/>
      <c r="VGH37" s="292"/>
      <c r="VGI37" s="292"/>
      <c r="VGJ37" s="292"/>
      <c r="VGK37" s="292"/>
      <c r="VGL37" s="292"/>
      <c r="VGM37" s="292"/>
      <c r="VGN37" s="292"/>
      <c r="VGO37" s="292"/>
      <c r="VGP37" s="292"/>
      <c r="VGQ37" s="292"/>
      <c r="VGR37" s="292"/>
      <c r="VGS37" s="292"/>
      <c r="VGT37" s="292"/>
      <c r="VGU37" s="292"/>
      <c r="VGV37" s="292"/>
      <c r="VGW37" s="292"/>
      <c r="VGX37" s="292"/>
      <c r="VGY37" s="292"/>
      <c r="VGZ37" s="292"/>
      <c r="VHA37" s="292"/>
      <c r="VHB37" s="292"/>
      <c r="VHC37" s="292"/>
      <c r="VHD37" s="292"/>
      <c r="VHE37" s="292"/>
      <c r="VHF37" s="292"/>
      <c r="VHG37" s="292"/>
      <c r="VHH37" s="292"/>
      <c r="VHI37" s="292"/>
      <c r="VHJ37" s="292"/>
      <c r="VHK37" s="292"/>
      <c r="VHL37" s="292"/>
      <c r="VHM37" s="292"/>
      <c r="VHN37" s="292"/>
      <c r="VHO37" s="292"/>
      <c r="VHP37" s="292"/>
      <c r="VHQ37" s="292"/>
      <c r="VHR37" s="292"/>
      <c r="VHS37" s="292"/>
      <c r="VHT37" s="292"/>
      <c r="VHU37" s="292"/>
      <c r="VHV37" s="292"/>
      <c r="VHW37" s="292"/>
      <c r="VHX37" s="292"/>
      <c r="VHY37" s="292"/>
      <c r="VHZ37" s="292"/>
      <c r="VIA37" s="292"/>
      <c r="VIB37" s="292"/>
      <c r="VIC37" s="292"/>
      <c r="VID37" s="292"/>
      <c r="VIE37" s="292"/>
      <c r="VIF37" s="292"/>
      <c r="VIG37" s="292"/>
      <c r="VIH37" s="292"/>
      <c r="VII37" s="292"/>
      <c r="VIJ37" s="292"/>
      <c r="VIK37" s="292"/>
      <c r="VIL37" s="292"/>
      <c r="VIM37" s="292"/>
      <c r="VIN37" s="292"/>
      <c r="VIO37" s="292"/>
      <c r="VIP37" s="292"/>
      <c r="VIQ37" s="292"/>
      <c r="VIR37" s="292"/>
      <c r="VIS37" s="292"/>
      <c r="VIT37" s="292"/>
      <c r="VIU37" s="292"/>
      <c r="VIV37" s="292"/>
      <c r="VIW37" s="292"/>
      <c r="VIX37" s="292"/>
      <c r="VIY37" s="292"/>
      <c r="VIZ37" s="292"/>
      <c r="VJA37" s="292"/>
      <c r="VJB37" s="292"/>
      <c r="VJC37" s="292"/>
      <c r="VJD37" s="292"/>
      <c r="VJE37" s="292"/>
      <c r="VJF37" s="292"/>
      <c r="VJG37" s="292"/>
      <c r="VJH37" s="292"/>
      <c r="VJI37" s="292"/>
      <c r="VJJ37" s="292"/>
      <c r="VJK37" s="292"/>
      <c r="VJL37" s="292"/>
      <c r="VJM37" s="292"/>
      <c r="VJN37" s="292"/>
      <c r="VJO37" s="292"/>
      <c r="VJP37" s="292"/>
      <c r="VJQ37" s="292"/>
      <c r="VJR37" s="292"/>
      <c r="VJS37" s="292"/>
      <c r="VJT37" s="292"/>
      <c r="VJU37" s="292"/>
      <c r="VJV37" s="292"/>
      <c r="VJW37" s="292"/>
      <c r="VJX37" s="292"/>
      <c r="VJY37" s="292"/>
      <c r="VJZ37" s="292"/>
      <c r="VKA37" s="292"/>
      <c r="VKB37" s="292"/>
      <c r="VKC37" s="292"/>
      <c r="VKD37" s="292"/>
      <c r="VKE37" s="292"/>
      <c r="VKF37" s="292"/>
      <c r="VKG37" s="292"/>
      <c r="VKH37" s="292"/>
      <c r="VKI37" s="292"/>
      <c r="VKJ37" s="292"/>
      <c r="VKK37" s="292"/>
      <c r="VKL37" s="292"/>
      <c r="VKM37" s="292"/>
      <c r="VKN37" s="292"/>
      <c r="VKO37" s="292"/>
      <c r="VKP37" s="292"/>
      <c r="VKQ37" s="292"/>
      <c r="VKR37" s="292"/>
      <c r="VKS37" s="292"/>
      <c r="VKT37" s="292"/>
      <c r="VKU37" s="292"/>
      <c r="VKV37" s="292"/>
      <c r="VKW37" s="292"/>
      <c r="VKX37" s="292"/>
      <c r="VKY37" s="292"/>
      <c r="VKZ37" s="292"/>
      <c r="VLA37" s="292"/>
      <c r="VLB37" s="292"/>
      <c r="VLC37" s="292"/>
      <c r="VLD37" s="292"/>
      <c r="VLE37" s="292"/>
      <c r="VLF37" s="292"/>
      <c r="VLG37" s="292"/>
      <c r="VLH37" s="292"/>
      <c r="VLI37" s="292"/>
      <c r="VLJ37" s="292"/>
      <c r="VLK37" s="292"/>
      <c r="VLL37" s="292"/>
      <c r="VLM37" s="292"/>
      <c r="VLN37" s="292"/>
      <c r="VLO37" s="292"/>
      <c r="VLP37" s="292"/>
      <c r="VLQ37" s="292"/>
      <c r="VLR37" s="292"/>
      <c r="VLS37" s="292"/>
      <c r="VLT37" s="292"/>
      <c r="VLU37" s="292"/>
      <c r="VLV37" s="292"/>
      <c r="VLW37" s="292"/>
      <c r="VLX37" s="292"/>
      <c r="VLY37" s="292"/>
      <c r="VLZ37" s="292"/>
      <c r="VMA37" s="292"/>
      <c r="VMB37" s="292"/>
      <c r="VMC37" s="292"/>
      <c r="VMD37" s="292"/>
      <c r="VME37" s="292"/>
      <c r="VMF37" s="292"/>
      <c r="VMG37" s="292"/>
      <c r="VMH37" s="292"/>
      <c r="VMI37" s="292"/>
      <c r="VMJ37" s="292"/>
      <c r="VMK37" s="292"/>
      <c r="VML37" s="292"/>
      <c r="VMM37" s="292"/>
      <c r="VMN37" s="292"/>
      <c r="VMO37" s="292"/>
      <c r="VMP37" s="292"/>
      <c r="VMQ37" s="292"/>
      <c r="VMR37" s="292"/>
      <c r="VMS37" s="292"/>
      <c r="VMT37" s="292"/>
      <c r="VMU37" s="292"/>
      <c r="VMV37" s="292"/>
      <c r="VMW37" s="292"/>
      <c r="VMX37" s="292"/>
      <c r="VMY37" s="292"/>
      <c r="VMZ37" s="292"/>
      <c r="VNA37" s="292"/>
      <c r="VNB37" s="292"/>
      <c r="VNC37" s="292"/>
      <c r="VND37" s="292"/>
      <c r="VNE37" s="292"/>
      <c r="VNF37" s="292"/>
      <c r="VNG37" s="292"/>
      <c r="VNH37" s="292"/>
      <c r="VNI37" s="292"/>
      <c r="VNJ37" s="292"/>
      <c r="VNK37" s="292"/>
      <c r="VNL37" s="292"/>
      <c r="VNM37" s="292"/>
      <c r="VNN37" s="292"/>
      <c r="VNO37" s="292"/>
      <c r="VNP37" s="292"/>
      <c r="VNQ37" s="292"/>
      <c r="VNR37" s="292"/>
      <c r="VNS37" s="292"/>
      <c r="VNT37" s="292"/>
      <c r="VNU37" s="292"/>
      <c r="VNV37" s="292"/>
      <c r="VNW37" s="292"/>
      <c r="VNX37" s="292"/>
      <c r="VNY37" s="292"/>
      <c r="VNZ37" s="292"/>
      <c r="VOA37" s="292"/>
      <c r="VOB37" s="292"/>
      <c r="VOC37" s="292"/>
      <c r="VOD37" s="292"/>
      <c r="VOE37" s="292"/>
      <c r="VOF37" s="292"/>
      <c r="VOG37" s="292"/>
      <c r="VOH37" s="292"/>
      <c r="VOI37" s="292"/>
      <c r="VOJ37" s="292"/>
      <c r="VOK37" s="292"/>
      <c r="VOL37" s="292"/>
      <c r="VOM37" s="292"/>
      <c r="VON37" s="292"/>
      <c r="VOO37" s="292"/>
      <c r="VOP37" s="292"/>
      <c r="VOQ37" s="292"/>
      <c r="VOR37" s="292"/>
      <c r="VOS37" s="292"/>
      <c r="VOT37" s="292"/>
      <c r="VOU37" s="292"/>
      <c r="VOV37" s="292"/>
      <c r="VOW37" s="292"/>
      <c r="VOX37" s="292"/>
      <c r="VOY37" s="292"/>
      <c r="VOZ37" s="292"/>
      <c r="VPA37" s="292"/>
      <c r="VPB37" s="292"/>
      <c r="VPC37" s="292"/>
      <c r="VPD37" s="292"/>
      <c r="VPE37" s="292"/>
      <c r="VPF37" s="292"/>
      <c r="VPG37" s="292"/>
      <c r="VPH37" s="292"/>
      <c r="VPI37" s="292"/>
      <c r="VPJ37" s="292"/>
      <c r="VPK37" s="292"/>
      <c r="VPL37" s="292"/>
      <c r="VPM37" s="292"/>
      <c r="VPN37" s="292"/>
      <c r="VPO37" s="292"/>
      <c r="VPP37" s="292"/>
      <c r="VPQ37" s="292"/>
      <c r="VPR37" s="292"/>
      <c r="VPS37" s="292"/>
      <c r="VPT37" s="292"/>
      <c r="VPU37" s="292"/>
      <c r="VPV37" s="292"/>
      <c r="VPW37" s="292"/>
      <c r="VPX37" s="292"/>
      <c r="VPY37" s="292"/>
      <c r="VPZ37" s="292"/>
      <c r="VQA37" s="292"/>
      <c r="VQB37" s="292"/>
      <c r="VQC37" s="292"/>
      <c r="VQD37" s="292"/>
      <c r="VQE37" s="292"/>
      <c r="VQF37" s="292"/>
      <c r="VQG37" s="292"/>
      <c r="VQH37" s="292"/>
      <c r="VQI37" s="292"/>
      <c r="VQJ37" s="292"/>
      <c r="VQK37" s="292"/>
      <c r="VQL37" s="292"/>
      <c r="VQM37" s="292"/>
      <c r="VQN37" s="292"/>
      <c r="VQO37" s="292"/>
      <c r="VQP37" s="292"/>
      <c r="VQQ37" s="292"/>
      <c r="VQR37" s="292"/>
      <c r="VQS37" s="292"/>
      <c r="VQT37" s="292"/>
      <c r="VQU37" s="292"/>
      <c r="VQV37" s="292"/>
      <c r="VQW37" s="292"/>
      <c r="VQX37" s="292"/>
      <c r="VQY37" s="292"/>
      <c r="VQZ37" s="292"/>
      <c r="VRA37" s="292"/>
      <c r="VRB37" s="292"/>
      <c r="VRC37" s="292"/>
      <c r="VRD37" s="292"/>
      <c r="VRE37" s="292"/>
      <c r="VRF37" s="292"/>
      <c r="VRG37" s="292"/>
      <c r="VRH37" s="292"/>
      <c r="VRI37" s="292"/>
      <c r="VRJ37" s="292"/>
      <c r="VRK37" s="292"/>
      <c r="VRL37" s="292"/>
      <c r="VRM37" s="292"/>
      <c r="VRN37" s="292"/>
      <c r="VRO37" s="292"/>
      <c r="VRP37" s="292"/>
      <c r="VRQ37" s="292"/>
      <c r="VRR37" s="292"/>
      <c r="VRS37" s="292"/>
      <c r="VRT37" s="292"/>
      <c r="VRU37" s="292"/>
      <c r="VRV37" s="292"/>
      <c r="VRW37" s="292"/>
      <c r="VRX37" s="292"/>
      <c r="VRY37" s="292"/>
      <c r="VRZ37" s="292"/>
      <c r="VSA37" s="292"/>
      <c r="VSB37" s="292"/>
      <c r="VSC37" s="292"/>
      <c r="VSD37" s="292"/>
      <c r="VSE37" s="292"/>
      <c r="VSF37" s="292"/>
      <c r="VSG37" s="292"/>
      <c r="VSH37" s="292"/>
      <c r="VSI37" s="292"/>
      <c r="VSJ37" s="292"/>
      <c r="VSK37" s="292"/>
      <c r="VSL37" s="292"/>
      <c r="VSM37" s="292"/>
      <c r="VSN37" s="292"/>
      <c r="VSO37" s="292"/>
      <c r="VSP37" s="292"/>
      <c r="VSQ37" s="292"/>
      <c r="VSR37" s="292"/>
      <c r="VSS37" s="292"/>
      <c r="VST37" s="292"/>
      <c r="VSU37" s="292"/>
      <c r="VSV37" s="292"/>
      <c r="VSW37" s="292"/>
      <c r="VSX37" s="292"/>
      <c r="VSY37" s="292"/>
      <c r="VSZ37" s="292"/>
      <c r="VTA37" s="292"/>
      <c r="VTB37" s="292"/>
      <c r="VTC37" s="292"/>
      <c r="VTD37" s="292"/>
      <c r="VTE37" s="292"/>
      <c r="VTF37" s="292"/>
      <c r="VTG37" s="292"/>
      <c r="VTH37" s="292"/>
      <c r="VTI37" s="292"/>
      <c r="VTJ37" s="292"/>
      <c r="VTK37" s="292"/>
      <c r="VTL37" s="292"/>
      <c r="VTM37" s="292"/>
      <c r="VTN37" s="292"/>
      <c r="VTO37" s="292"/>
      <c r="VTP37" s="292"/>
      <c r="VTQ37" s="292"/>
      <c r="VTR37" s="292"/>
      <c r="VTS37" s="292"/>
      <c r="VTT37" s="292"/>
      <c r="VTU37" s="292"/>
      <c r="VTV37" s="292"/>
      <c r="VTW37" s="292"/>
      <c r="VTX37" s="292"/>
      <c r="VTY37" s="292"/>
      <c r="VTZ37" s="292"/>
      <c r="VUA37" s="292"/>
      <c r="VUB37" s="292"/>
      <c r="VUC37" s="292"/>
      <c r="VUD37" s="292"/>
      <c r="VUE37" s="292"/>
      <c r="VUF37" s="292"/>
      <c r="VUG37" s="292"/>
      <c r="VUH37" s="292"/>
      <c r="VUI37" s="292"/>
      <c r="VUJ37" s="292"/>
      <c r="VUK37" s="292"/>
      <c r="VUL37" s="292"/>
      <c r="VUM37" s="292"/>
      <c r="VUN37" s="292"/>
      <c r="VUO37" s="292"/>
      <c r="VUP37" s="292"/>
      <c r="VUQ37" s="292"/>
      <c r="VUR37" s="292"/>
      <c r="VUS37" s="292"/>
      <c r="VUT37" s="292"/>
      <c r="VUU37" s="292"/>
      <c r="VUV37" s="292"/>
      <c r="VUW37" s="292"/>
      <c r="VUX37" s="292"/>
      <c r="VUY37" s="292"/>
      <c r="VUZ37" s="292"/>
      <c r="VVA37" s="292"/>
      <c r="VVB37" s="292"/>
      <c r="VVC37" s="292"/>
      <c r="VVD37" s="292"/>
      <c r="VVE37" s="292"/>
      <c r="VVF37" s="292"/>
      <c r="VVG37" s="292"/>
      <c r="VVH37" s="292"/>
      <c r="VVI37" s="292"/>
      <c r="VVJ37" s="292"/>
      <c r="VVK37" s="292"/>
      <c r="VVL37" s="292"/>
      <c r="VVM37" s="292"/>
      <c r="VVN37" s="292"/>
      <c r="VVO37" s="292"/>
      <c r="VVP37" s="292"/>
      <c r="VVQ37" s="292"/>
      <c r="VVR37" s="292"/>
      <c r="VVS37" s="292"/>
      <c r="VVT37" s="292"/>
      <c r="VVU37" s="292"/>
      <c r="VVV37" s="292"/>
      <c r="VVW37" s="292"/>
      <c r="VVX37" s="292"/>
      <c r="VVY37" s="292"/>
      <c r="VVZ37" s="292"/>
      <c r="VWA37" s="292"/>
      <c r="VWB37" s="292"/>
      <c r="VWC37" s="292"/>
      <c r="VWD37" s="292"/>
      <c r="VWE37" s="292"/>
      <c r="VWF37" s="292"/>
      <c r="VWG37" s="292"/>
      <c r="VWH37" s="292"/>
      <c r="VWI37" s="292"/>
      <c r="VWJ37" s="292"/>
      <c r="VWK37" s="292"/>
      <c r="VWL37" s="292"/>
      <c r="VWM37" s="292"/>
      <c r="VWN37" s="292"/>
      <c r="VWO37" s="292"/>
      <c r="VWP37" s="292"/>
      <c r="VWQ37" s="292"/>
      <c r="VWR37" s="292"/>
      <c r="VWS37" s="292"/>
      <c r="VWT37" s="292"/>
      <c r="VWU37" s="292"/>
      <c r="VWV37" s="292"/>
      <c r="VWW37" s="292"/>
      <c r="VWX37" s="292"/>
      <c r="VWY37" s="292"/>
      <c r="VWZ37" s="292"/>
      <c r="VXA37" s="292"/>
      <c r="VXB37" s="292"/>
      <c r="VXC37" s="292"/>
      <c r="VXD37" s="292"/>
      <c r="VXE37" s="292"/>
      <c r="VXF37" s="292"/>
      <c r="VXG37" s="292"/>
      <c r="VXH37" s="292"/>
      <c r="VXI37" s="292"/>
      <c r="VXJ37" s="292"/>
      <c r="VXK37" s="292"/>
      <c r="VXL37" s="292"/>
      <c r="VXM37" s="292"/>
      <c r="VXN37" s="292"/>
      <c r="VXO37" s="292"/>
      <c r="VXP37" s="292"/>
      <c r="VXQ37" s="292"/>
      <c r="VXR37" s="292"/>
      <c r="VXS37" s="292"/>
      <c r="VXT37" s="292"/>
      <c r="VXU37" s="292"/>
      <c r="VXV37" s="292"/>
      <c r="VXW37" s="292"/>
      <c r="VXX37" s="292"/>
      <c r="VXY37" s="292"/>
      <c r="VXZ37" s="292"/>
      <c r="VYA37" s="292"/>
      <c r="VYB37" s="292"/>
      <c r="VYC37" s="292"/>
      <c r="VYD37" s="292"/>
      <c r="VYE37" s="292"/>
      <c r="VYF37" s="292"/>
      <c r="VYG37" s="292"/>
      <c r="VYH37" s="292"/>
      <c r="VYI37" s="292"/>
      <c r="VYJ37" s="292"/>
      <c r="VYK37" s="292"/>
      <c r="VYL37" s="292"/>
      <c r="VYM37" s="292"/>
      <c r="VYN37" s="292"/>
      <c r="VYO37" s="292"/>
      <c r="VYP37" s="292"/>
      <c r="VYQ37" s="292"/>
      <c r="VYR37" s="292"/>
      <c r="VYS37" s="292"/>
      <c r="VYT37" s="292"/>
      <c r="VYU37" s="292"/>
      <c r="VYV37" s="292"/>
      <c r="VYW37" s="292"/>
      <c r="VYX37" s="292"/>
      <c r="VYY37" s="292"/>
      <c r="VYZ37" s="292"/>
      <c r="VZA37" s="292"/>
      <c r="VZB37" s="292"/>
      <c r="VZC37" s="292"/>
      <c r="VZD37" s="292"/>
      <c r="VZE37" s="292"/>
      <c r="VZF37" s="292"/>
      <c r="VZG37" s="292"/>
      <c r="VZH37" s="292"/>
      <c r="VZI37" s="292"/>
      <c r="VZJ37" s="292"/>
      <c r="VZK37" s="292"/>
      <c r="VZL37" s="292"/>
      <c r="VZM37" s="292"/>
      <c r="VZN37" s="292"/>
      <c r="VZO37" s="292"/>
      <c r="VZP37" s="292"/>
      <c r="VZQ37" s="292"/>
      <c r="VZR37" s="292"/>
      <c r="VZS37" s="292"/>
      <c r="VZT37" s="292"/>
      <c r="VZU37" s="292"/>
      <c r="VZV37" s="292"/>
      <c r="VZW37" s="292"/>
      <c r="VZX37" s="292"/>
      <c r="VZY37" s="292"/>
      <c r="VZZ37" s="292"/>
      <c r="WAA37" s="292"/>
      <c r="WAB37" s="292"/>
      <c r="WAC37" s="292"/>
      <c r="WAD37" s="292"/>
      <c r="WAE37" s="292"/>
      <c r="WAF37" s="292"/>
      <c r="WAG37" s="292"/>
      <c r="WAH37" s="292"/>
      <c r="WAI37" s="292"/>
      <c r="WAJ37" s="292"/>
      <c r="WAK37" s="292"/>
      <c r="WAL37" s="292"/>
      <c r="WAM37" s="292"/>
      <c r="WAN37" s="292"/>
      <c r="WAO37" s="292"/>
      <c r="WAP37" s="292"/>
      <c r="WAQ37" s="292"/>
      <c r="WAR37" s="292"/>
      <c r="WAS37" s="292"/>
      <c r="WAT37" s="292"/>
      <c r="WAU37" s="292"/>
      <c r="WAV37" s="292"/>
      <c r="WAW37" s="292"/>
      <c r="WAX37" s="292"/>
      <c r="WAY37" s="292"/>
      <c r="WAZ37" s="292"/>
      <c r="WBA37" s="292"/>
      <c r="WBB37" s="292"/>
      <c r="WBC37" s="292"/>
      <c r="WBD37" s="292"/>
      <c r="WBE37" s="292"/>
      <c r="WBF37" s="292"/>
      <c r="WBG37" s="292"/>
      <c r="WBH37" s="292"/>
      <c r="WBI37" s="292"/>
      <c r="WBJ37" s="292"/>
      <c r="WBK37" s="292"/>
      <c r="WBL37" s="292"/>
      <c r="WBM37" s="292"/>
      <c r="WBN37" s="292"/>
      <c r="WBO37" s="292"/>
      <c r="WBP37" s="292"/>
      <c r="WBQ37" s="292"/>
      <c r="WBR37" s="292"/>
      <c r="WBS37" s="292"/>
      <c r="WBT37" s="292"/>
      <c r="WBU37" s="292"/>
      <c r="WBV37" s="292"/>
      <c r="WBW37" s="292"/>
      <c r="WBX37" s="292"/>
      <c r="WBY37" s="292"/>
      <c r="WBZ37" s="292"/>
      <c r="WCA37" s="292"/>
      <c r="WCB37" s="292"/>
      <c r="WCC37" s="292"/>
      <c r="WCD37" s="292"/>
      <c r="WCE37" s="292"/>
      <c r="WCF37" s="292"/>
      <c r="WCG37" s="292"/>
      <c r="WCH37" s="292"/>
      <c r="WCI37" s="292"/>
      <c r="WCJ37" s="292"/>
      <c r="WCK37" s="292"/>
      <c r="WCL37" s="292"/>
      <c r="WCM37" s="292"/>
      <c r="WCN37" s="292"/>
      <c r="WCO37" s="292"/>
      <c r="WCP37" s="292"/>
      <c r="WCQ37" s="292"/>
      <c r="WCR37" s="292"/>
      <c r="WCS37" s="292"/>
      <c r="WCT37" s="292"/>
      <c r="WCU37" s="292"/>
      <c r="WCV37" s="292"/>
      <c r="WCW37" s="292"/>
      <c r="WCX37" s="292"/>
      <c r="WCY37" s="292"/>
      <c r="WCZ37" s="292"/>
      <c r="WDA37" s="292"/>
      <c r="WDB37" s="292"/>
      <c r="WDC37" s="292"/>
      <c r="WDD37" s="292"/>
      <c r="WDE37" s="292"/>
      <c r="WDF37" s="292"/>
      <c r="WDG37" s="292"/>
      <c r="WDH37" s="292"/>
      <c r="WDI37" s="292"/>
      <c r="WDJ37" s="292"/>
      <c r="WDK37" s="292"/>
      <c r="WDL37" s="292"/>
      <c r="WDM37" s="292"/>
      <c r="WDN37" s="292"/>
      <c r="WDO37" s="292"/>
      <c r="WDP37" s="292"/>
      <c r="WDQ37" s="292"/>
      <c r="WDR37" s="292"/>
      <c r="WDS37" s="292"/>
      <c r="WDT37" s="292"/>
      <c r="WDU37" s="292"/>
      <c r="WDV37" s="292"/>
      <c r="WDW37" s="292"/>
      <c r="WDX37" s="292"/>
      <c r="WDY37" s="292"/>
      <c r="WDZ37" s="292"/>
      <c r="WEA37" s="292"/>
      <c r="WEB37" s="292"/>
      <c r="WEC37" s="292"/>
      <c r="WED37" s="292"/>
      <c r="WEE37" s="292"/>
      <c r="WEF37" s="292"/>
      <c r="WEG37" s="292"/>
      <c r="WEH37" s="292"/>
      <c r="WEI37" s="292"/>
      <c r="WEJ37" s="292"/>
      <c r="WEK37" s="292"/>
      <c r="WEL37" s="292"/>
      <c r="WEM37" s="292"/>
      <c r="WEN37" s="292"/>
      <c r="WEO37" s="292"/>
      <c r="WEP37" s="292"/>
      <c r="WEQ37" s="292"/>
      <c r="WER37" s="292"/>
      <c r="WES37" s="292"/>
      <c r="WET37" s="292"/>
      <c r="WEU37" s="292"/>
      <c r="WEV37" s="292"/>
      <c r="WEW37" s="292"/>
      <c r="WEX37" s="292"/>
      <c r="WEY37" s="292"/>
      <c r="WEZ37" s="292"/>
      <c r="WFA37" s="292"/>
      <c r="WFB37" s="292"/>
      <c r="WFC37" s="292"/>
      <c r="WFD37" s="292"/>
      <c r="WFE37" s="292"/>
      <c r="WFF37" s="292"/>
      <c r="WFG37" s="292"/>
      <c r="WFH37" s="292"/>
      <c r="WFI37" s="292"/>
      <c r="WFJ37" s="292"/>
      <c r="WFK37" s="292"/>
      <c r="WFL37" s="292"/>
      <c r="WFM37" s="292"/>
      <c r="WFN37" s="292"/>
      <c r="WFO37" s="292"/>
      <c r="WFP37" s="292"/>
      <c r="WFQ37" s="292"/>
      <c r="WFR37" s="292"/>
      <c r="WFS37" s="292"/>
      <c r="WFT37" s="292"/>
      <c r="WFU37" s="292"/>
      <c r="WFV37" s="292"/>
      <c r="WFW37" s="292"/>
      <c r="WFX37" s="292"/>
      <c r="WFY37" s="292"/>
      <c r="WFZ37" s="292"/>
      <c r="WGA37" s="292"/>
      <c r="WGB37" s="292"/>
      <c r="WGC37" s="292"/>
      <c r="WGD37" s="292"/>
      <c r="WGE37" s="292"/>
      <c r="WGF37" s="292"/>
      <c r="WGG37" s="292"/>
      <c r="WGH37" s="292"/>
      <c r="WGI37" s="292"/>
      <c r="WGJ37" s="292"/>
      <c r="WGK37" s="292"/>
      <c r="WGL37" s="292"/>
      <c r="WGM37" s="292"/>
      <c r="WGN37" s="292"/>
      <c r="WGO37" s="292"/>
      <c r="WGP37" s="292"/>
      <c r="WGQ37" s="292"/>
      <c r="WGR37" s="292"/>
      <c r="WGS37" s="292"/>
      <c r="WGT37" s="292"/>
      <c r="WGU37" s="292"/>
      <c r="WGV37" s="292"/>
      <c r="WGW37" s="292"/>
      <c r="WGX37" s="292"/>
      <c r="WGY37" s="292"/>
      <c r="WGZ37" s="292"/>
      <c r="WHA37" s="292"/>
      <c r="WHB37" s="292"/>
      <c r="WHC37" s="292"/>
      <c r="WHD37" s="292"/>
      <c r="WHE37" s="292"/>
      <c r="WHF37" s="292"/>
      <c r="WHG37" s="292"/>
      <c r="WHH37" s="292"/>
      <c r="WHI37" s="292"/>
      <c r="WHJ37" s="292"/>
      <c r="WHK37" s="292"/>
      <c r="WHL37" s="292"/>
      <c r="WHM37" s="292"/>
      <c r="WHN37" s="292"/>
      <c r="WHO37" s="292"/>
      <c r="WHP37" s="292"/>
      <c r="WHQ37" s="292"/>
      <c r="WHR37" s="292"/>
      <c r="WHS37" s="292"/>
      <c r="WHT37" s="292"/>
      <c r="WHU37" s="292"/>
      <c r="WHV37" s="292"/>
      <c r="WHW37" s="292"/>
      <c r="WHX37" s="292"/>
      <c r="WHY37" s="292"/>
      <c r="WHZ37" s="292"/>
      <c r="WIA37" s="292"/>
      <c r="WIB37" s="292"/>
      <c r="WIC37" s="292"/>
      <c r="WID37" s="292"/>
      <c r="WIE37" s="292"/>
      <c r="WIF37" s="292"/>
      <c r="WIG37" s="292"/>
      <c r="WIH37" s="292"/>
      <c r="WII37" s="292"/>
      <c r="WIJ37" s="292"/>
      <c r="WIK37" s="292"/>
      <c r="WIL37" s="292"/>
      <c r="WIM37" s="292"/>
      <c r="WIN37" s="292"/>
      <c r="WIO37" s="292"/>
      <c r="WIP37" s="292"/>
      <c r="WIQ37" s="292"/>
      <c r="WIR37" s="292"/>
      <c r="WIS37" s="292"/>
      <c r="WIT37" s="292"/>
      <c r="WIU37" s="292"/>
      <c r="WIV37" s="292"/>
      <c r="WIW37" s="292"/>
      <c r="WIX37" s="292"/>
      <c r="WIY37" s="292"/>
      <c r="WIZ37" s="292"/>
      <c r="WJA37" s="292"/>
      <c r="WJB37" s="292"/>
      <c r="WJC37" s="292"/>
      <c r="WJD37" s="292"/>
      <c r="WJE37" s="292"/>
      <c r="WJF37" s="292"/>
      <c r="WJG37" s="292"/>
      <c r="WJH37" s="292"/>
      <c r="WJI37" s="292"/>
      <c r="WJJ37" s="292"/>
      <c r="WJK37" s="292"/>
      <c r="WJL37" s="292"/>
      <c r="WJM37" s="292"/>
      <c r="WJN37" s="292"/>
      <c r="WJO37" s="292"/>
      <c r="WJP37" s="292"/>
      <c r="WJQ37" s="292"/>
      <c r="WJR37" s="292"/>
      <c r="WJS37" s="292"/>
      <c r="WJT37" s="292"/>
      <c r="WJU37" s="292"/>
      <c r="WJV37" s="292"/>
      <c r="WJW37" s="292"/>
      <c r="WJX37" s="292"/>
      <c r="WJY37" s="292"/>
      <c r="WJZ37" s="292"/>
      <c r="WKA37" s="292"/>
      <c r="WKB37" s="292"/>
      <c r="WKC37" s="292"/>
      <c r="WKD37" s="292"/>
      <c r="WKE37" s="292"/>
      <c r="WKF37" s="292"/>
      <c r="WKG37" s="292"/>
      <c r="WKH37" s="292"/>
      <c r="WKI37" s="292"/>
      <c r="WKJ37" s="292"/>
      <c r="WKK37" s="292"/>
      <c r="WKL37" s="292"/>
      <c r="WKM37" s="292"/>
      <c r="WKN37" s="292"/>
      <c r="WKO37" s="292"/>
      <c r="WKP37" s="292"/>
      <c r="WKQ37" s="292"/>
      <c r="WKR37" s="292"/>
      <c r="WKS37" s="292"/>
      <c r="WKT37" s="292"/>
      <c r="WKU37" s="292"/>
      <c r="WKV37" s="292"/>
      <c r="WKW37" s="292"/>
      <c r="WKX37" s="292"/>
      <c r="WKY37" s="292"/>
      <c r="WKZ37" s="292"/>
      <c r="WLA37" s="292"/>
      <c r="WLB37" s="292"/>
      <c r="WLC37" s="292"/>
      <c r="WLD37" s="292"/>
      <c r="WLE37" s="292"/>
      <c r="WLF37" s="292"/>
      <c r="WLG37" s="292"/>
      <c r="WLH37" s="292"/>
      <c r="WLI37" s="292"/>
      <c r="WLJ37" s="292"/>
      <c r="WLK37" s="292"/>
      <c r="WLL37" s="292"/>
      <c r="WLM37" s="292"/>
      <c r="WLN37" s="292"/>
      <c r="WLO37" s="292"/>
      <c r="WLP37" s="292"/>
      <c r="WLQ37" s="292"/>
      <c r="WLR37" s="292"/>
      <c r="WLS37" s="292"/>
      <c r="WLT37" s="292"/>
      <c r="WLU37" s="292"/>
      <c r="WLV37" s="292"/>
      <c r="WLW37" s="292"/>
      <c r="WLX37" s="292"/>
      <c r="WLY37" s="292"/>
      <c r="WLZ37" s="292"/>
      <c r="WMA37" s="292"/>
      <c r="WMB37" s="292"/>
      <c r="WMC37" s="292"/>
      <c r="WMD37" s="292"/>
      <c r="WME37" s="292"/>
      <c r="WMF37" s="292"/>
      <c r="WMG37" s="292"/>
      <c r="WMH37" s="292"/>
      <c r="WMI37" s="292"/>
      <c r="WMJ37" s="292"/>
      <c r="WMK37" s="292"/>
      <c r="WML37" s="292"/>
      <c r="WMM37" s="292"/>
      <c r="WMN37" s="292"/>
      <c r="WMO37" s="292"/>
      <c r="WMP37" s="292"/>
      <c r="WMQ37" s="292"/>
      <c r="WMR37" s="292"/>
      <c r="WMS37" s="292"/>
      <c r="WMT37" s="292"/>
      <c r="WMU37" s="292"/>
      <c r="WMV37" s="292"/>
      <c r="WMW37" s="292"/>
      <c r="WMX37" s="292"/>
      <c r="WMY37" s="292"/>
      <c r="WMZ37" s="292"/>
      <c r="WNA37" s="292"/>
      <c r="WNB37" s="292"/>
      <c r="WNC37" s="292"/>
      <c r="WND37" s="292"/>
      <c r="WNE37" s="292"/>
      <c r="WNF37" s="292"/>
      <c r="WNG37" s="292"/>
      <c r="WNH37" s="292"/>
      <c r="WNI37" s="292"/>
      <c r="WNJ37" s="292"/>
      <c r="WNK37" s="292"/>
      <c r="WNL37" s="292"/>
      <c r="WNM37" s="292"/>
      <c r="WNN37" s="292"/>
      <c r="WNO37" s="292"/>
      <c r="WNP37" s="292"/>
      <c r="WNQ37" s="292"/>
      <c r="WNR37" s="292"/>
      <c r="WNS37" s="292"/>
      <c r="WNT37" s="292"/>
      <c r="WNU37" s="292"/>
      <c r="WNV37" s="292"/>
      <c r="WNW37" s="292"/>
      <c r="WNX37" s="292"/>
      <c r="WNY37" s="292"/>
      <c r="WNZ37" s="292"/>
      <c r="WOA37" s="292"/>
      <c r="WOB37" s="292"/>
      <c r="WOC37" s="292"/>
      <c r="WOD37" s="292"/>
      <c r="WOE37" s="292"/>
      <c r="WOF37" s="292"/>
      <c r="WOG37" s="292"/>
      <c r="WOH37" s="292"/>
      <c r="WOI37" s="292"/>
      <c r="WOJ37" s="292"/>
      <c r="WOK37" s="292"/>
      <c r="WOL37" s="292"/>
      <c r="WOM37" s="292"/>
      <c r="WON37" s="292"/>
      <c r="WOO37" s="292"/>
      <c r="WOP37" s="292"/>
      <c r="WOQ37" s="292"/>
      <c r="WOR37" s="292"/>
      <c r="WOS37" s="292"/>
      <c r="WOT37" s="292"/>
      <c r="WOU37" s="292"/>
      <c r="WOV37" s="292"/>
      <c r="WOW37" s="292"/>
      <c r="WOX37" s="292"/>
      <c r="WOY37" s="292"/>
      <c r="WOZ37" s="292"/>
      <c r="WPA37" s="292"/>
      <c r="WPB37" s="292"/>
      <c r="WPC37" s="292"/>
      <c r="WPD37" s="292"/>
      <c r="WPE37" s="292"/>
      <c r="WPF37" s="292"/>
      <c r="WPG37" s="292"/>
      <c r="WPH37" s="292"/>
      <c r="WPI37" s="292"/>
      <c r="WPJ37" s="292"/>
      <c r="WPK37" s="292"/>
      <c r="WPL37" s="292"/>
      <c r="WPM37" s="292"/>
      <c r="WPN37" s="292"/>
      <c r="WPO37" s="292"/>
      <c r="WPP37" s="292"/>
      <c r="WPQ37" s="292"/>
      <c r="WPR37" s="292"/>
      <c r="WPS37" s="292"/>
      <c r="WPT37" s="292"/>
      <c r="WPU37" s="292"/>
      <c r="WPV37" s="292"/>
      <c r="WPW37" s="292"/>
      <c r="WPX37" s="292"/>
      <c r="WPY37" s="292"/>
      <c r="WPZ37" s="292"/>
      <c r="WQA37" s="292"/>
      <c r="WQB37" s="292"/>
      <c r="WQC37" s="292"/>
      <c r="WQD37" s="292"/>
      <c r="WQE37" s="292"/>
      <c r="WQF37" s="292"/>
      <c r="WQG37" s="292"/>
      <c r="WQH37" s="292"/>
      <c r="WQI37" s="292"/>
      <c r="WQJ37" s="292"/>
      <c r="WQK37" s="292"/>
      <c r="WQL37" s="292"/>
      <c r="WQM37" s="292"/>
      <c r="WQN37" s="292"/>
      <c r="WQO37" s="292"/>
      <c r="WQP37" s="292"/>
      <c r="WQQ37" s="292"/>
      <c r="WQR37" s="292"/>
      <c r="WQS37" s="292"/>
      <c r="WQT37" s="292"/>
      <c r="WQU37" s="292"/>
      <c r="WQV37" s="292"/>
      <c r="WQW37" s="292"/>
      <c r="WQX37" s="292"/>
      <c r="WQY37" s="292"/>
      <c r="WQZ37" s="292"/>
      <c r="WRA37" s="292"/>
      <c r="WRB37" s="292"/>
      <c r="WRC37" s="292"/>
      <c r="WRD37" s="292"/>
      <c r="WRE37" s="292"/>
      <c r="WRF37" s="292"/>
      <c r="WRG37" s="292"/>
      <c r="WRH37" s="292"/>
      <c r="WRI37" s="292"/>
      <c r="WRJ37" s="292"/>
      <c r="WRK37" s="292"/>
      <c r="WRL37" s="292"/>
      <c r="WRM37" s="292"/>
      <c r="WRN37" s="292"/>
      <c r="WRO37" s="292"/>
      <c r="WRP37" s="292"/>
      <c r="WRQ37" s="292"/>
      <c r="WRR37" s="292"/>
      <c r="WRS37" s="292"/>
      <c r="WRT37" s="292"/>
      <c r="WRU37" s="292"/>
      <c r="WRV37" s="292"/>
      <c r="WRW37" s="292"/>
      <c r="WRX37" s="292"/>
      <c r="WRY37" s="292"/>
      <c r="WRZ37" s="292"/>
      <c r="WSA37" s="292"/>
      <c r="WSB37" s="292"/>
      <c r="WSC37" s="292"/>
      <c r="WSD37" s="292"/>
      <c r="WSE37" s="292"/>
      <c r="WSF37" s="292"/>
      <c r="WSG37" s="292"/>
      <c r="WSH37" s="292"/>
      <c r="WSI37" s="292"/>
      <c r="WSJ37" s="292"/>
      <c r="WSK37" s="292"/>
      <c r="WSL37" s="292"/>
      <c r="WSM37" s="292"/>
      <c r="WSN37" s="292"/>
      <c r="WSO37" s="292"/>
      <c r="WSP37" s="292"/>
      <c r="WSQ37" s="292"/>
      <c r="WSR37" s="292"/>
      <c r="WSS37" s="292"/>
      <c r="WST37" s="292"/>
      <c r="WSU37" s="292"/>
      <c r="WSV37" s="292"/>
      <c r="WSW37" s="292"/>
      <c r="WSX37" s="292"/>
      <c r="WSY37" s="292"/>
      <c r="WSZ37" s="292"/>
      <c r="WTA37" s="292"/>
      <c r="WTB37" s="292"/>
      <c r="WTC37" s="292"/>
      <c r="WTD37" s="292"/>
      <c r="WTE37" s="292"/>
      <c r="WTF37" s="292"/>
      <c r="WTG37" s="292"/>
      <c r="WTH37" s="292"/>
      <c r="WTI37" s="292"/>
      <c r="WTJ37" s="292"/>
      <c r="WTK37" s="292"/>
      <c r="WTL37" s="292"/>
      <c r="WTM37" s="292"/>
      <c r="WTN37" s="292"/>
      <c r="WTO37" s="292"/>
      <c r="WTP37" s="292"/>
      <c r="WTQ37" s="292"/>
      <c r="WTR37" s="292"/>
      <c r="WTS37" s="292"/>
      <c r="WTT37" s="292"/>
      <c r="WTU37" s="292"/>
      <c r="WTV37" s="292"/>
      <c r="WTW37" s="292"/>
      <c r="WTX37" s="292"/>
      <c r="WTY37" s="292"/>
      <c r="WTZ37" s="292"/>
      <c r="WUA37" s="292"/>
      <c r="WUB37" s="292"/>
      <c r="WUC37" s="292"/>
      <c r="WUD37" s="292"/>
      <c r="WUE37" s="292"/>
      <c r="WUF37" s="292"/>
      <c r="WUG37" s="292"/>
      <c r="WUH37" s="292"/>
      <c r="WUI37" s="292"/>
      <c r="WUJ37" s="292"/>
      <c r="WUK37" s="292"/>
      <c r="WUL37" s="292"/>
      <c r="WUM37" s="292"/>
      <c r="WUN37" s="292"/>
      <c r="WUO37" s="292"/>
      <c r="WUP37" s="292"/>
      <c r="WUQ37" s="292"/>
      <c r="WUR37" s="292"/>
      <c r="WUS37" s="292"/>
      <c r="WUT37" s="292"/>
      <c r="WUU37" s="292"/>
      <c r="WUV37" s="292"/>
      <c r="WUW37" s="292"/>
      <c r="WUX37" s="292"/>
      <c r="WUY37" s="292"/>
      <c r="WUZ37" s="292"/>
      <c r="WVA37" s="292"/>
      <c r="WVB37" s="292"/>
      <c r="WVC37" s="292"/>
      <c r="WVD37" s="292"/>
      <c r="WVE37" s="292"/>
      <c r="WVF37" s="292"/>
      <c r="WVG37" s="292"/>
      <c r="WVH37" s="292"/>
      <c r="WVI37" s="292"/>
      <c r="WVJ37" s="292"/>
      <c r="WVK37" s="292"/>
      <c r="WVL37" s="292"/>
      <c r="WVM37" s="292"/>
      <c r="WVN37" s="292"/>
      <c r="WVO37" s="292"/>
      <c r="WVP37" s="292"/>
      <c r="WVQ37" s="292"/>
      <c r="WVR37" s="292"/>
      <c r="WVS37" s="292"/>
      <c r="WVT37" s="292"/>
      <c r="WVU37" s="292"/>
      <c r="WVV37" s="292"/>
      <c r="WVW37" s="292"/>
      <c r="WVX37" s="292"/>
      <c r="WVY37" s="292"/>
      <c r="WVZ37" s="292"/>
      <c r="WWA37" s="292"/>
      <c r="WWB37" s="292"/>
      <c r="WWC37" s="292"/>
      <c r="WWD37" s="292"/>
      <c r="WWE37" s="292"/>
      <c r="WWF37" s="292"/>
      <c r="WWG37" s="292"/>
      <c r="WWH37" s="292"/>
      <c r="WWI37" s="292"/>
      <c r="WWJ37" s="292"/>
      <c r="WWK37" s="292"/>
      <c r="WWL37" s="292"/>
      <c r="WWM37" s="292"/>
      <c r="WWN37" s="292"/>
      <c r="WWO37" s="292"/>
      <c r="WWP37" s="292"/>
      <c r="WWQ37" s="292"/>
      <c r="WWR37" s="292"/>
      <c r="WWS37" s="292"/>
      <c r="WWT37" s="292"/>
      <c r="WWU37" s="292"/>
      <c r="WWV37" s="292"/>
      <c r="WWW37" s="292"/>
      <c r="WWX37" s="292"/>
      <c r="WWY37" s="292"/>
      <c r="WWZ37" s="292"/>
      <c r="WXA37" s="292"/>
      <c r="WXB37" s="292"/>
      <c r="WXC37" s="292"/>
      <c r="WXD37" s="292"/>
      <c r="WXE37" s="292"/>
      <c r="WXF37" s="292"/>
      <c r="WXG37" s="292"/>
      <c r="WXH37" s="292"/>
      <c r="WXI37" s="292"/>
      <c r="WXJ37" s="292"/>
      <c r="WXK37" s="292"/>
      <c r="WXL37" s="292"/>
      <c r="WXM37" s="292"/>
      <c r="WXN37" s="292"/>
      <c r="WXO37" s="292"/>
      <c r="WXP37" s="292"/>
      <c r="WXQ37" s="292"/>
      <c r="WXR37" s="292"/>
      <c r="WXS37" s="292"/>
      <c r="WXT37" s="292"/>
      <c r="WXU37" s="292"/>
      <c r="WXV37" s="292"/>
      <c r="WXW37" s="292"/>
      <c r="WXX37" s="292"/>
      <c r="WXY37" s="292"/>
      <c r="WXZ37" s="292"/>
      <c r="WYA37" s="292"/>
      <c r="WYB37" s="292"/>
      <c r="WYC37" s="292"/>
      <c r="WYD37" s="292"/>
      <c r="WYE37" s="292"/>
      <c r="WYF37" s="292"/>
      <c r="WYG37" s="292"/>
      <c r="WYH37" s="292"/>
      <c r="WYI37" s="292"/>
      <c r="WYJ37" s="292"/>
      <c r="WYK37" s="292"/>
      <c r="WYL37" s="292"/>
      <c r="WYM37" s="292"/>
      <c r="WYN37" s="292"/>
      <c r="WYO37" s="292"/>
      <c r="WYP37" s="292"/>
      <c r="WYQ37" s="292"/>
      <c r="WYR37" s="292"/>
      <c r="WYS37" s="292"/>
      <c r="WYT37" s="292"/>
      <c r="WYU37" s="292"/>
      <c r="WYV37" s="292"/>
      <c r="WYW37" s="292"/>
      <c r="WYX37" s="292"/>
      <c r="WYY37" s="292"/>
      <c r="WYZ37" s="292"/>
      <c r="WZA37" s="292"/>
      <c r="WZB37" s="292"/>
      <c r="WZC37" s="292"/>
      <c r="WZD37" s="292"/>
      <c r="WZE37" s="292"/>
      <c r="WZF37" s="292"/>
      <c r="WZG37" s="292"/>
      <c r="WZH37" s="292"/>
      <c r="WZI37" s="292"/>
      <c r="WZJ37" s="292"/>
      <c r="WZK37" s="292"/>
      <c r="WZL37" s="292"/>
      <c r="WZM37" s="292"/>
      <c r="WZN37" s="292"/>
      <c r="WZO37" s="292"/>
      <c r="WZP37" s="292"/>
      <c r="WZQ37" s="292"/>
      <c r="WZR37" s="292"/>
      <c r="WZS37" s="292"/>
      <c r="WZT37" s="292"/>
      <c r="WZU37" s="292"/>
      <c r="WZV37" s="292"/>
      <c r="WZW37" s="292"/>
      <c r="WZX37" s="292"/>
      <c r="WZY37" s="292"/>
      <c r="WZZ37" s="292"/>
      <c r="XAA37" s="292"/>
      <c r="XAB37" s="292"/>
      <c r="XAC37" s="292"/>
      <c r="XAD37" s="292"/>
      <c r="XAE37" s="292"/>
      <c r="XAF37" s="292"/>
      <c r="XAG37" s="292"/>
      <c r="XAH37" s="292"/>
      <c r="XAI37" s="292"/>
      <c r="XAJ37" s="292"/>
      <c r="XAK37" s="292"/>
      <c r="XAL37" s="292"/>
      <c r="XAM37" s="292"/>
      <c r="XAN37" s="292"/>
      <c r="XAO37" s="292"/>
      <c r="XAP37" s="292"/>
      <c r="XAQ37" s="292"/>
      <c r="XAR37" s="292"/>
      <c r="XAS37" s="292"/>
      <c r="XAT37" s="292"/>
      <c r="XAU37" s="292"/>
      <c r="XAV37" s="292"/>
      <c r="XAW37" s="292"/>
      <c r="XAX37" s="292"/>
      <c r="XAY37" s="292"/>
      <c r="XAZ37" s="292"/>
      <c r="XBA37" s="292"/>
      <c r="XBB37" s="292"/>
      <c r="XBC37" s="292"/>
      <c r="XBD37" s="292"/>
      <c r="XBE37" s="292"/>
      <c r="XBF37" s="292"/>
      <c r="XBG37" s="292"/>
      <c r="XBH37" s="292"/>
      <c r="XBI37" s="292"/>
      <c r="XBJ37" s="292"/>
      <c r="XBK37" s="292"/>
      <c r="XBL37" s="292"/>
      <c r="XBM37" s="292"/>
      <c r="XBN37" s="292"/>
      <c r="XBO37" s="292"/>
      <c r="XBP37" s="292"/>
      <c r="XBQ37" s="292"/>
      <c r="XBR37" s="292"/>
      <c r="XBS37" s="292"/>
      <c r="XBT37" s="292"/>
      <c r="XBU37" s="292"/>
      <c r="XBV37" s="292"/>
      <c r="XBW37" s="292"/>
      <c r="XBX37" s="292"/>
      <c r="XBY37" s="292"/>
      <c r="XBZ37" s="292"/>
      <c r="XCA37" s="292"/>
      <c r="XCB37" s="292"/>
      <c r="XCC37" s="292"/>
      <c r="XCD37" s="292"/>
      <c r="XCE37" s="292"/>
      <c r="XCF37" s="292"/>
      <c r="XCG37" s="292"/>
      <c r="XCH37" s="292"/>
      <c r="XCI37" s="292"/>
      <c r="XCJ37" s="292"/>
      <c r="XCK37" s="292"/>
      <c r="XCL37" s="292"/>
      <c r="XCM37" s="292"/>
      <c r="XCN37" s="292"/>
      <c r="XCO37" s="292"/>
      <c r="XCP37" s="292"/>
      <c r="XCQ37" s="292"/>
      <c r="XCR37" s="292"/>
      <c r="XCS37" s="292"/>
      <c r="XCT37" s="292"/>
      <c r="XCU37" s="292"/>
      <c r="XCV37" s="292"/>
      <c r="XCW37" s="292"/>
      <c r="XCX37" s="292"/>
      <c r="XCY37" s="292"/>
      <c r="XCZ37" s="292"/>
      <c r="XDA37" s="292"/>
      <c r="XDB37" s="292"/>
      <c r="XDC37" s="292"/>
      <c r="XDD37" s="292"/>
      <c r="XDE37" s="292"/>
      <c r="XDF37" s="292"/>
      <c r="XDG37" s="292"/>
      <c r="XDH37" s="292"/>
      <c r="XDI37" s="292"/>
      <c r="XDJ37" s="292"/>
      <c r="XDK37" s="292"/>
      <c r="XDL37" s="292"/>
      <c r="XDM37" s="292"/>
      <c r="XDN37" s="292"/>
      <c r="XDO37" s="292"/>
      <c r="XDP37" s="292"/>
      <c r="XDQ37" s="292"/>
      <c r="XDR37" s="292"/>
      <c r="XDS37" s="292"/>
      <c r="XDT37" s="292"/>
      <c r="XDU37" s="292"/>
      <c r="XDV37" s="292"/>
      <c r="XDW37" s="292"/>
      <c r="XDX37" s="292"/>
      <c r="XDY37" s="292"/>
      <c r="XDZ37" s="292"/>
      <c r="XEA37" s="292"/>
      <c r="XEB37" s="292"/>
      <c r="XEC37" s="292"/>
      <c r="XED37" s="292"/>
      <c r="XEE37" s="292"/>
      <c r="XEF37" s="292"/>
      <c r="XEG37" s="292"/>
      <c r="XEH37" s="292"/>
      <c r="XEI37" s="292"/>
      <c r="XEJ37" s="292"/>
      <c r="XEK37" s="292"/>
      <c r="XEL37" s="292"/>
      <c r="XEM37" s="292"/>
      <c r="XEN37" s="292"/>
      <c r="XEO37" s="292"/>
      <c r="XEP37" s="292"/>
      <c r="XEQ37" s="292"/>
      <c r="XER37" s="292"/>
      <c r="XES37" s="292"/>
      <c r="XET37" s="292"/>
      <c r="XEU37" s="292"/>
      <c r="XEV37" s="292"/>
      <c r="XEW37" s="292"/>
      <c r="XEX37" s="292"/>
      <c r="XEY37" s="292"/>
      <c r="XEZ37" s="292"/>
      <c r="XFA37" s="292"/>
      <c r="XFB37" s="292"/>
      <c r="XFC37" s="292"/>
      <c r="XFD37" s="292"/>
    </row>
    <row r="38" ht="15.75" customHeight="1">
      <c r="A38" s="292"/>
      <c r="B38" s="292"/>
      <c r="C38" s="292"/>
      <c r="D38" s="292"/>
      <c r="E38" s="292"/>
      <c r="F38" s="292"/>
      <c r="G38" s="292"/>
      <c r="H38" s="292"/>
      <c r="I38" s="292"/>
      <c r="J38" s="292"/>
      <c r="K38" s="292"/>
      <c r="L38" s="292"/>
      <c r="M38" s="292"/>
      <c r="N38" s="292"/>
      <c r="O38" s="292"/>
      <c r="P38" s="292"/>
      <c r="Q38" s="292"/>
      <c r="R38" s="292"/>
      <c r="S38" s="292"/>
      <c r="T38" s="292"/>
      <c r="U38" s="292"/>
      <c r="V38" s="292"/>
      <c r="W38" s="292"/>
      <c r="X38" s="292"/>
      <c r="Y38" s="292"/>
      <c r="Z38" s="292"/>
      <c r="AA38" s="292"/>
      <c r="AB38" s="292"/>
      <c r="AC38" s="292"/>
      <c r="AD38" s="292"/>
      <c r="AE38" s="292"/>
      <c r="AF38" s="292"/>
      <c r="AG38" s="292"/>
      <c r="AH38" s="292"/>
      <c r="AI38" s="292"/>
      <c r="AJ38" s="292"/>
      <c r="AK38" s="292"/>
      <c r="AL38" s="292"/>
      <c r="AM38" s="292"/>
      <c r="AN38" s="292"/>
      <c r="AO38" s="292"/>
      <c r="AP38" s="292"/>
      <c r="AQ38" s="292"/>
      <c r="AR38" s="292"/>
      <c r="AS38" s="292"/>
      <c r="AT38" s="292"/>
      <c r="AU38" s="292"/>
      <c r="AV38" s="292"/>
      <c r="AW38" s="292"/>
      <c r="AX38" s="292"/>
      <c r="AY38" s="292"/>
      <c r="AZ38" s="292"/>
      <c r="BA38" s="292"/>
      <c r="BB38" s="292"/>
      <c r="BC38" s="292"/>
      <c r="BD38" s="292"/>
      <c r="BE38" s="292"/>
      <c r="BF38" s="292"/>
      <c r="BG38" s="292"/>
      <c r="BH38" s="292"/>
      <c r="BI38" s="292"/>
      <c r="BJ38" s="292"/>
      <c r="BK38" s="292"/>
      <c r="BL38" s="292"/>
      <c r="BM38" s="292"/>
      <c r="BN38" s="292"/>
      <c r="BO38" s="292"/>
      <c r="BP38" s="292"/>
      <c r="BQ38" s="292"/>
      <c r="BR38" s="292"/>
      <c r="BS38" s="292"/>
      <c r="BT38" s="292"/>
      <c r="BU38" s="292"/>
      <c r="BV38" s="292"/>
      <c r="BW38" s="292"/>
      <c r="BX38" s="292"/>
      <c r="BY38" s="292"/>
      <c r="BZ38" s="292"/>
      <c r="CA38" s="292"/>
      <c r="CB38" s="292"/>
      <c r="CC38" s="292"/>
      <c r="CD38" s="292"/>
      <c r="CE38" s="292"/>
      <c r="CF38" s="292"/>
      <c r="CG38" s="292"/>
      <c r="CH38" s="292"/>
      <c r="CI38" s="292"/>
      <c r="CJ38" s="292"/>
      <c r="CK38" s="292"/>
      <c r="CL38" s="292"/>
      <c r="CM38" s="292"/>
      <c r="CN38" s="292"/>
      <c r="CO38" s="292"/>
      <c r="CP38" s="292"/>
      <c r="CQ38" s="292"/>
      <c r="CR38" s="292"/>
      <c r="CS38" s="292"/>
      <c r="CT38" s="292"/>
      <c r="CU38" s="292"/>
      <c r="CV38" s="292"/>
      <c r="CW38" s="292"/>
      <c r="CX38" s="292"/>
      <c r="CY38" s="292"/>
      <c r="CZ38" s="292"/>
      <c r="DA38" s="292"/>
      <c r="DB38" s="292"/>
      <c r="DC38" s="292"/>
      <c r="DD38" s="292"/>
      <c r="DE38" s="292"/>
      <c r="DF38" s="292"/>
      <c r="DG38" s="292"/>
      <c r="DH38" s="292"/>
      <c r="DI38" s="292"/>
      <c r="DJ38" s="292"/>
      <c r="DK38" s="292"/>
      <c r="DL38" s="292"/>
      <c r="DM38" s="292"/>
      <c r="DN38" s="292"/>
      <c r="DO38" s="292"/>
      <c r="DP38" s="292"/>
      <c r="DQ38" s="292"/>
      <c r="DR38" s="292"/>
      <c r="DS38" s="292"/>
      <c r="DT38" s="292"/>
      <c r="DU38" s="292"/>
      <c r="DV38" s="292"/>
      <c r="DW38" s="292"/>
      <c r="DX38" s="292"/>
      <c r="DY38" s="292"/>
      <c r="DZ38" s="292"/>
      <c r="EA38" s="292"/>
      <c r="EB38" s="292"/>
      <c r="EC38" s="292"/>
      <c r="ED38" s="292"/>
      <c r="EE38" s="292"/>
      <c r="EF38" s="292"/>
      <c r="EG38" s="292"/>
      <c r="EH38" s="292"/>
      <c r="EI38" s="292"/>
      <c r="EJ38" s="292"/>
      <c r="EK38" s="292"/>
      <c r="EL38" s="292"/>
      <c r="EM38" s="292"/>
      <c r="EN38" s="292"/>
      <c r="EO38" s="292"/>
      <c r="EP38" s="292"/>
      <c r="EQ38" s="292"/>
      <c r="ER38" s="292"/>
      <c r="ES38" s="292"/>
      <c r="ET38" s="292"/>
      <c r="EU38" s="292"/>
      <c r="EV38" s="292"/>
      <c r="EW38" s="292"/>
      <c r="EX38" s="292"/>
      <c r="EY38" s="292"/>
      <c r="EZ38" s="292"/>
      <c r="FA38" s="292"/>
      <c r="FB38" s="292"/>
      <c r="FC38" s="292"/>
      <c r="FD38" s="292"/>
      <c r="FE38" s="292"/>
      <c r="FF38" s="292"/>
      <c r="FG38" s="292"/>
      <c r="FH38" s="292"/>
      <c r="FI38" s="292"/>
      <c r="FJ38" s="292"/>
      <c r="FK38" s="292"/>
      <c r="FL38" s="292"/>
      <c r="FM38" s="292"/>
      <c r="FN38" s="292"/>
      <c r="FO38" s="292"/>
      <c r="FP38" s="292"/>
      <c r="FQ38" s="292"/>
      <c r="FR38" s="292"/>
      <c r="FS38" s="292"/>
      <c r="FT38" s="292"/>
      <c r="FU38" s="292"/>
      <c r="FV38" s="292"/>
      <c r="FW38" s="292"/>
      <c r="FX38" s="292"/>
      <c r="FY38" s="292"/>
      <c r="FZ38" s="292"/>
      <c r="GA38" s="292"/>
      <c r="GB38" s="292"/>
      <c r="GC38" s="292"/>
      <c r="GD38" s="292"/>
      <c r="GE38" s="292"/>
      <c r="GF38" s="292"/>
      <c r="GG38" s="292"/>
      <c r="GH38" s="292"/>
      <c r="GI38" s="292"/>
      <c r="GJ38" s="292"/>
      <c r="GK38" s="292"/>
      <c r="GL38" s="292"/>
      <c r="GM38" s="292"/>
      <c r="GN38" s="292"/>
      <c r="GO38" s="292"/>
      <c r="GP38" s="292"/>
      <c r="GQ38" s="292"/>
      <c r="GR38" s="292"/>
      <c r="GS38" s="292"/>
      <c r="GT38" s="292"/>
      <c r="GU38" s="292"/>
      <c r="GV38" s="292"/>
      <c r="GW38" s="292"/>
      <c r="GX38" s="292"/>
      <c r="GY38" s="292"/>
      <c r="GZ38" s="292"/>
      <c r="HA38" s="292"/>
      <c r="HB38" s="292"/>
      <c r="HC38" s="292"/>
      <c r="HD38" s="292"/>
      <c r="HE38" s="292"/>
      <c r="HF38" s="292"/>
      <c r="HG38" s="292"/>
      <c r="HH38" s="292"/>
      <c r="HI38" s="292"/>
      <c r="HJ38" s="292"/>
      <c r="HK38" s="292"/>
      <c r="HL38" s="292"/>
      <c r="HM38" s="292"/>
      <c r="HN38" s="292"/>
      <c r="HO38" s="292"/>
      <c r="HP38" s="292"/>
      <c r="HQ38" s="292"/>
      <c r="HR38" s="292"/>
      <c r="HS38" s="292"/>
      <c r="HT38" s="292"/>
      <c r="HU38" s="292"/>
      <c r="HV38" s="292"/>
      <c r="HW38" s="292"/>
      <c r="HX38" s="292"/>
      <c r="HY38" s="292"/>
      <c r="HZ38" s="292"/>
      <c r="IA38" s="292"/>
      <c r="IB38" s="292"/>
      <c r="IC38" s="292"/>
      <c r="ID38" s="292"/>
      <c r="IE38" s="292"/>
      <c r="IF38" s="292"/>
      <c r="IG38" s="292"/>
      <c r="IH38" s="292"/>
      <c r="II38" s="292"/>
      <c r="IJ38" s="292"/>
      <c r="IK38" s="292"/>
      <c r="IL38" s="292"/>
      <c r="IM38" s="292"/>
      <c r="IN38" s="292"/>
      <c r="IO38" s="292"/>
      <c r="IP38" s="292"/>
      <c r="IQ38" s="292"/>
      <c r="IR38" s="292"/>
      <c r="IS38" s="292"/>
      <c r="IT38" s="292"/>
      <c r="IU38" s="292"/>
      <c r="IV38" s="292"/>
      <c r="IW38" s="292"/>
      <c r="IX38" s="292"/>
      <c r="IY38" s="292"/>
      <c r="IZ38" s="292"/>
      <c r="JA38" s="292"/>
      <c r="JB38" s="292"/>
      <c r="JC38" s="292"/>
      <c r="JD38" s="292"/>
      <c r="JE38" s="292"/>
      <c r="JF38" s="292"/>
      <c r="JG38" s="292"/>
      <c r="JH38" s="292"/>
      <c r="JI38" s="292"/>
      <c r="JJ38" s="292"/>
      <c r="JK38" s="292"/>
      <c r="JL38" s="292"/>
      <c r="JM38" s="292"/>
      <c r="JN38" s="292"/>
      <c r="JO38" s="292"/>
      <c r="JP38" s="292"/>
      <c r="JQ38" s="292"/>
      <c r="JR38" s="292"/>
      <c r="JS38" s="292"/>
      <c r="JT38" s="292"/>
      <c r="JU38" s="292"/>
      <c r="JV38" s="292"/>
      <c r="JW38" s="292"/>
      <c r="JX38" s="292"/>
      <c r="JY38" s="292"/>
      <c r="JZ38" s="292"/>
      <c r="KA38" s="292"/>
      <c r="KB38" s="292"/>
      <c r="KC38" s="292"/>
      <c r="KD38" s="292"/>
      <c r="KE38" s="292"/>
      <c r="KF38" s="292"/>
      <c r="KG38" s="292"/>
      <c r="KH38" s="292"/>
      <c r="KI38" s="292"/>
      <c r="KJ38" s="292"/>
      <c r="KK38" s="292"/>
      <c r="KL38" s="292"/>
      <c r="KM38" s="292"/>
      <c r="KN38" s="292"/>
      <c r="KO38" s="292"/>
      <c r="KP38" s="292"/>
      <c r="KQ38" s="292"/>
      <c r="KR38" s="292"/>
      <c r="KS38" s="292"/>
      <c r="KT38" s="292"/>
      <c r="KU38" s="292"/>
      <c r="KV38" s="292"/>
      <c r="KW38" s="292"/>
      <c r="KX38" s="292"/>
      <c r="KY38" s="292"/>
      <c r="KZ38" s="292"/>
      <c r="LA38" s="292"/>
      <c r="LB38" s="292"/>
      <c r="LC38" s="292"/>
      <c r="LD38" s="292"/>
      <c r="LE38" s="292"/>
      <c r="LF38" s="292"/>
      <c r="LG38" s="292"/>
      <c r="LH38" s="292"/>
      <c r="LI38" s="292"/>
      <c r="LJ38" s="292"/>
      <c r="LK38" s="292"/>
      <c r="LL38" s="292"/>
      <c r="LM38" s="292"/>
      <c r="LN38" s="292"/>
      <c r="LO38" s="292"/>
      <c r="LP38" s="292"/>
      <c r="LQ38" s="292"/>
      <c r="LR38" s="292"/>
      <c r="LS38" s="292"/>
      <c r="LT38" s="292"/>
      <c r="LU38" s="292"/>
      <c r="LV38" s="292"/>
      <c r="LW38" s="292"/>
      <c r="LX38" s="292"/>
      <c r="LY38" s="292"/>
      <c r="LZ38" s="292"/>
      <c r="MA38" s="292"/>
      <c r="MB38" s="292"/>
      <c r="MC38" s="292"/>
      <c r="MD38" s="292"/>
      <c r="ME38" s="292"/>
      <c r="MF38" s="292"/>
      <c r="MG38" s="292"/>
      <c r="MH38" s="292"/>
      <c r="MI38" s="292"/>
      <c r="MJ38" s="292"/>
      <c r="MK38" s="292"/>
      <c r="ML38" s="292"/>
      <c r="MM38" s="292"/>
      <c r="MN38" s="292"/>
      <c r="MO38" s="292"/>
      <c r="MP38" s="292"/>
      <c r="MQ38" s="292"/>
      <c r="MR38" s="292"/>
      <c r="MS38" s="292"/>
      <c r="MT38" s="292"/>
      <c r="MU38" s="292"/>
      <c r="MV38" s="292"/>
      <c r="MW38" s="292"/>
      <c r="MX38" s="292"/>
      <c r="MY38" s="292"/>
      <c r="MZ38" s="292"/>
      <c r="NA38" s="292"/>
      <c r="NB38" s="292"/>
      <c r="NC38" s="292"/>
      <c r="ND38" s="292"/>
      <c r="NE38" s="292"/>
      <c r="NF38" s="292"/>
      <c r="NG38" s="292"/>
      <c r="NH38" s="292"/>
      <c r="NI38" s="292"/>
      <c r="NJ38" s="292"/>
      <c r="NK38" s="292"/>
      <c r="NL38" s="292"/>
      <c r="NM38" s="292"/>
      <c r="NN38" s="292"/>
      <c r="NO38" s="292"/>
      <c r="NP38" s="292"/>
      <c r="NQ38" s="292"/>
      <c r="NR38" s="292"/>
      <c r="NS38" s="292"/>
      <c r="NT38" s="292"/>
      <c r="NU38" s="292"/>
      <c r="NV38" s="292"/>
      <c r="NW38" s="292"/>
      <c r="NX38" s="292"/>
      <c r="NY38" s="292"/>
      <c r="NZ38" s="292"/>
      <c r="OA38" s="292"/>
      <c r="OB38" s="292"/>
      <c r="OC38" s="292"/>
      <c r="OD38" s="292"/>
      <c r="OE38" s="292"/>
      <c r="OF38" s="292"/>
      <c r="OG38" s="292"/>
      <c r="OH38" s="292"/>
      <c r="OI38" s="292"/>
      <c r="OJ38" s="292"/>
      <c r="OK38" s="292"/>
      <c r="OL38" s="292"/>
      <c r="OM38" s="292"/>
      <c r="ON38" s="292"/>
      <c r="OO38" s="292"/>
      <c r="OP38" s="292"/>
      <c r="OQ38" s="292"/>
      <c r="OR38" s="292"/>
      <c r="OS38" s="292"/>
      <c r="OT38" s="292"/>
      <c r="OU38" s="292"/>
      <c r="OV38" s="292"/>
      <c r="OW38" s="292"/>
      <c r="OX38" s="292"/>
      <c r="OY38" s="292"/>
      <c r="OZ38" s="292"/>
      <c r="PA38" s="292"/>
      <c r="PB38" s="292"/>
      <c r="PC38" s="292"/>
      <c r="PD38" s="292"/>
      <c r="PE38" s="292"/>
      <c r="PF38" s="292"/>
      <c r="PG38" s="292"/>
      <c r="PH38" s="292"/>
      <c r="PI38" s="292"/>
      <c r="PJ38" s="292"/>
      <c r="PK38" s="292"/>
      <c r="PL38" s="292"/>
      <c r="PM38" s="292"/>
      <c r="PN38" s="292"/>
      <c r="PO38" s="292"/>
      <c r="PP38" s="292"/>
      <c r="PQ38" s="292"/>
      <c r="PR38" s="292"/>
      <c r="PS38" s="292"/>
      <c r="PT38" s="292"/>
      <c r="PU38" s="292"/>
      <c r="PV38" s="292"/>
      <c r="PW38" s="292"/>
      <c r="PX38" s="292"/>
      <c r="PY38" s="292"/>
      <c r="PZ38" s="292"/>
      <c r="QA38" s="292"/>
      <c r="QB38" s="292"/>
      <c r="QC38" s="292"/>
      <c r="QD38" s="292"/>
      <c r="QE38" s="292"/>
      <c r="QF38" s="292"/>
      <c r="QG38" s="292"/>
      <c r="QH38" s="292"/>
      <c r="QI38" s="292"/>
      <c r="QJ38" s="292"/>
      <c r="QK38" s="292"/>
      <c r="QL38" s="292"/>
      <c r="QM38" s="292"/>
      <c r="QN38" s="292"/>
      <c r="QO38" s="292"/>
      <c r="QP38" s="292"/>
      <c r="QQ38" s="292"/>
      <c r="QR38" s="292"/>
      <c r="QS38" s="292"/>
      <c r="QT38" s="292"/>
      <c r="QU38" s="292"/>
      <c r="QV38" s="292"/>
      <c r="QW38" s="292"/>
      <c r="QX38" s="292"/>
      <c r="QY38" s="292"/>
      <c r="QZ38" s="292"/>
      <c r="RA38" s="292"/>
      <c r="RB38" s="292"/>
      <c r="RC38" s="292"/>
      <c r="RD38" s="292"/>
      <c r="RE38" s="292"/>
      <c r="RF38" s="292"/>
      <c r="RG38" s="292"/>
      <c r="RH38" s="292"/>
      <c r="RI38" s="292"/>
      <c r="RJ38" s="292"/>
      <c r="RK38" s="292"/>
      <c r="RL38" s="292"/>
      <c r="RM38" s="292"/>
      <c r="RN38" s="292"/>
      <c r="RO38" s="292"/>
      <c r="RP38" s="292"/>
      <c r="RQ38" s="292"/>
      <c r="RR38" s="292"/>
      <c r="RS38" s="292"/>
      <c r="RT38" s="292"/>
      <c r="RU38" s="292"/>
      <c r="RV38" s="292"/>
      <c r="RW38" s="292"/>
      <c r="RX38" s="292"/>
      <c r="RY38" s="292"/>
      <c r="RZ38" s="292"/>
      <c r="SA38" s="292"/>
      <c r="SB38" s="292"/>
      <c r="SC38" s="292"/>
      <c r="SD38" s="292"/>
      <c r="SE38" s="292"/>
      <c r="SF38" s="292"/>
      <c r="SG38" s="292"/>
      <c r="SH38" s="292"/>
      <c r="SI38" s="292"/>
      <c r="SJ38" s="292"/>
      <c r="SK38" s="292"/>
      <c r="SL38" s="292"/>
      <c r="SM38" s="292"/>
      <c r="SN38" s="292"/>
      <c r="SO38" s="292"/>
      <c r="SP38" s="292"/>
      <c r="SQ38" s="292"/>
      <c r="SR38" s="292"/>
      <c r="SS38" s="292"/>
      <c r="ST38" s="292"/>
      <c r="SU38" s="292"/>
      <c r="SV38" s="292"/>
      <c r="SW38" s="292"/>
      <c r="SX38" s="292"/>
      <c r="SY38" s="292"/>
      <c r="SZ38" s="292"/>
      <c r="TA38" s="292"/>
      <c r="TB38" s="292"/>
      <c r="TC38" s="292"/>
      <c r="TD38" s="292"/>
      <c r="TE38" s="292"/>
      <c r="TF38" s="292"/>
      <c r="TG38" s="292"/>
      <c r="TH38" s="292"/>
      <c r="TI38" s="292"/>
      <c r="TJ38" s="292"/>
      <c r="TK38" s="292"/>
      <c r="TL38" s="292"/>
      <c r="TM38" s="292"/>
      <c r="TN38" s="292"/>
      <c r="TO38" s="292"/>
      <c r="TP38" s="292"/>
      <c r="TQ38" s="292"/>
      <c r="TR38" s="292"/>
      <c r="TS38" s="292"/>
      <c r="TT38" s="292"/>
      <c r="TU38" s="292"/>
      <c r="TV38" s="292"/>
      <c r="TW38" s="292"/>
      <c r="TX38" s="292"/>
      <c r="TY38" s="292"/>
      <c r="TZ38" s="292"/>
      <c r="UA38" s="292"/>
      <c r="UB38" s="292"/>
      <c r="UC38" s="292"/>
      <c r="UD38" s="292"/>
      <c r="UE38" s="292"/>
      <c r="UF38" s="292"/>
      <c r="UG38" s="292"/>
      <c r="UH38" s="292"/>
      <c r="UI38" s="292"/>
      <c r="UJ38" s="292"/>
      <c r="UK38" s="292"/>
      <c r="UL38" s="292"/>
      <c r="UM38" s="292"/>
      <c r="UN38" s="292"/>
      <c r="UO38" s="292"/>
      <c r="UP38" s="292"/>
      <c r="UQ38" s="292"/>
      <c r="UR38" s="292"/>
      <c r="US38" s="292"/>
      <c r="UT38" s="292"/>
      <c r="UU38" s="292"/>
      <c r="UV38" s="292"/>
      <c r="UW38" s="292"/>
      <c r="UX38" s="292"/>
      <c r="UY38" s="292"/>
      <c r="UZ38" s="292"/>
      <c r="VA38" s="292"/>
      <c r="VB38" s="292"/>
      <c r="VC38" s="292"/>
      <c r="VD38" s="292"/>
      <c r="VE38" s="292"/>
      <c r="VF38" s="292"/>
      <c r="VG38" s="292"/>
      <c r="VH38" s="292"/>
      <c r="VI38" s="292"/>
      <c r="VJ38" s="292"/>
      <c r="VK38" s="292"/>
      <c r="VL38" s="292"/>
      <c r="VM38" s="292"/>
      <c r="VN38" s="292"/>
      <c r="VO38" s="292"/>
      <c r="VP38" s="292"/>
      <c r="VQ38" s="292"/>
      <c r="VR38" s="292"/>
      <c r="VS38" s="292"/>
      <c r="VT38" s="292"/>
      <c r="VU38" s="292"/>
      <c r="VV38" s="292"/>
      <c r="VW38" s="292"/>
      <c r="VX38" s="292"/>
      <c r="VY38" s="292"/>
      <c r="VZ38" s="292"/>
      <c r="WA38" s="292"/>
      <c r="WB38" s="292"/>
      <c r="WC38" s="292"/>
      <c r="WD38" s="292"/>
      <c r="WE38" s="292"/>
      <c r="WF38" s="292"/>
      <c r="WG38" s="292"/>
      <c r="WH38" s="292"/>
      <c r="WI38" s="292"/>
      <c r="WJ38" s="292"/>
      <c r="WK38" s="292"/>
      <c r="WL38" s="292"/>
      <c r="WM38" s="292"/>
      <c r="WN38" s="292"/>
      <c r="WO38" s="292"/>
      <c r="WP38" s="292"/>
      <c r="WQ38" s="292"/>
      <c r="WR38" s="292"/>
      <c r="WS38" s="292"/>
      <c r="WT38" s="292"/>
      <c r="WU38" s="292"/>
      <c r="WV38" s="292"/>
      <c r="WW38" s="292"/>
      <c r="WX38" s="292"/>
      <c r="WY38" s="292"/>
      <c r="WZ38" s="292"/>
      <c r="XA38" s="292"/>
      <c r="XB38" s="292"/>
      <c r="XC38" s="292"/>
      <c r="XD38" s="292"/>
      <c r="XE38" s="292"/>
      <c r="XF38" s="292"/>
      <c r="XG38" s="292"/>
      <c r="XH38" s="292"/>
      <c r="XI38" s="292"/>
      <c r="XJ38" s="292"/>
      <c r="XK38" s="292"/>
      <c r="XL38" s="292"/>
      <c r="XM38" s="292"/>
      <c r="XN38" s="292"/>
      <c r="XO38" s="292"/>
      <c r="XP38" s="292"/>
      <c r="XQ38" s="292"/>
      <c r="XR38" s="292"/>
      <c r="XS38" s="292"/>
      <c r="XT38" s="292"/>
      <c r="XU38" s="292"/>
      <c r="XV38" s="292"/>
      <c r="XW38" s="292"/>
      <c r="XX38" s="292"/>
      <c r="XY38" s="292"/>
      <c r="XZ38" s="292"/>
      <c r="YA38" s="292"/>
      <c r="YB38" s="292"/>
      <c r="YC38" s="292"/>
      <c r="YD38" s="292"/>
      <c r="YE38" s="292"/>
      <c r="YF38" s="292"/>
      <c r="YG38" s="292"/>
      <c r="YH38" s="292"/>
      <c r="YI38" s="292"/>
      <c r="YJ38" s="292"/>
      <c r="YK38" s="292"/>
      <c r="YL38" s="292"/>
      <c r="YM38" s="292"/>
      <c r="YN38" s="292"/>
      <c r="YO38" s="292"/>
      <c r="YP38" s="292"/>
      <c r="YQ38" s="292"/>
      <c r="YR38" s="292"/>
      <c r="YS38" s="292"/>
      <c r="YT38" s="292"/>
      <c r="YU38" s="292"/>
      <c r="YV38" s="292"/>
      <c r="YW38" s="292"/>
      <c r="YX38" s="292"/>
      <c r="YY38" s="292"/>
      <c r="YZ38" s="292"/>
      <c r="ZA38" s="292"/>
      <c r="ZB38" s="292"/>
      <c r="ZC38" s="292"/>
      <c r="ZD38" s="292"/>
      <c r="ZE38" s="292"/>
      <c r="ZF38" s="292"/>
      <c r="ZG38" s="292"/>
      <c r="ZH38" s="292"/>
      <c r="ZI38" s="292"/>
      <c r="ZJ38" s="292"/>
      <c r="ZK38" s="292"/>
      <c r="ZL38" s="292"/>
      <c r="ZM38" s="292"/>
      <c r="ZN38" s="292"/>
      <c r="ZO38" s="292"/>
      <c r="ZP38" s="292"/>
      <c r="ZQ38" s="292"/>
      <c r="ZR38" s="292"/>
      <c r="ZS38" s="292"/>
      <c r="ZT38" s="292"/>
      <c r="ZU38" s="292"/>
      <c r="ZV38" s="292"/>
      <c r="ZW38" s="292"/>
      <c r="ZX38" s="292"/>
      <c r="ZY38" s="292"/>
      <c r="ZZ38" s="292"/>
      <c r="AAA38" s="292"/>
      <c r="AAB38" s="292"/>
      <c r="AAC38" s="292"/>
      <c r="AAD38" s="292"/>
      <c r="AAE38" s="292"/>
      <c r="AAF38" s="292"/>
      <c r="AAG38" s="292"/>
      <c r="AAH38" s="292"/>
      <c r="AAI38" s="292"/>
      <c r="AAJ38" s="292"/>
      <c r="AAK38" s="292"/>
      <c r="AAL38" s="292"/>
      <c r="AAM38" s="292"/>
      <c r="AAN38" s="292"/>
      <c r="AAO38" s="292"/>
      <c r="AAP38" s="292"/>
      <c r="AAQ38" s="292"/>
      <c r="AAR38" s="292"/>
      <c r="AAS38" s="292"/>
      <c r="AAT38" s="292"/>
      <c r="AAU38" s="292"/>
      <c r="AAV38" s="292"/>
      <c r="AAW38" s="292"/>
      <c r="AAX38" s="292"/>
      <c r="AAY38" s="292"/>
      <c r="AAZ38" s="292"/>
      <c r="ABA38" s="292"/>
      <c r="ABB38" s="292"/>
      <c r="ABC38" s="292"/>
      <c r="ABD38" s="292"/>
      <c r="ABE38" s="292"/>
      <c r="ABF38" s="292"/>
      <c r="ABG38" s="292"/>
      <c r="ABH38" s="292"/>
      <c r="ABI38" s="292"/>
      <c r="ABJ38" s="292"/>
      <c r="ABK38" s="292"/>
      <c r="ABL38" s="292"/>
      <c r="ABM38" s="292"/>
      <c r="ABN38" s="292"/>
      <c r="ABO38" s="292"/>
      <c r="ABP38" s="292"/>
      <c r="ABQ38" s="292"/>
      <c r="ABR38" s="292"/>
      <c r="ABS38" s="292"/>
      <c r="ABT38" s="292"/>
      <c r="ABU38" s="292"/>
      <c r="ABV38" s="292"/>
      <c r="ABW38" s="292"/>
      <c r="ABX38" s="292"/>
      <c r="ABY38" s="292"/>
      <c r="ABZ38" s="292"/>
      <c r="ACA38" s="292"/>
      <c r="ACB38" s="292"/>
      <c r="ACC38" s="292"/>
      <c r="ACD38" s="292"/>
      <c r="ACE38" s="292"/>
      <c r="ACF38" s="292"/>
      <c r="ACG38" s="292"/>
      <c r="ACH38" s="292"/>
      <c r="ACI38" s="292"/>
      <c r="ACJ38" s="292"/>
      <c r="ACK38" s="292"/>
      <c r="ACL38" s="292"/>
      <c r="ACM38" s="292"/>
      <c r="ACN38" s="292"/>
      <c r="ACO38" s="292"/>
      <c r="ACP38" s="292"/>
      <c r="ACQ38" s="292"/>
      <c r="ACR38" s="292"/>
      <c r="ACS38" s="292"/>
      <c r="ACT38" s="292"/>
      <c r="ACU38" s="292"/>
      <c r="ACV38" s="292"/>
      <c r="ACW38" s="292"/>
      <c r="ACX38" s="292"/>
      <c r="ACY38" s="292"/>
      <c r="ACZ38" s="292"/>
      <c r="ADA38" s="292"/>
      <c r="ADB38" s="292"/>
      <c r="ADC38" s="292"/>
      <c r="ADD38" s="292"/>
      <c r="ADE38" s="292"/>
      <c r="ADF38" s="292"/>
      <c r="ADG38" s="292"/>
      <c r="ADH38" s="292"/>
      <c r="ADI38" s="292"/>
      <c r="ADJ38" s="292"/>
      <c r="ADK38" s="292"/>
      <c r="ADL38" s="292"/>
      <c r="ADM38" s="292"/>
      <c r="ADN38" s="292"/>
      <c r="ADO38" s="292"/>
      <c r="ADP38" s="292"/>
      <c r="ADQ38" s="292"/>
      <c r="ADR38" s="292"/>
      <c r="ADS38" s="292"/>
      <c r="ADT38" s="292"/>
      <c r="ADU38" s="292"/>
      <c r="ADV38" s="292"/>
      <c r="ADW38" s="292"/>
      <c r="ADX38" s="292"/>
      <c r="ADY38" s="292"/>
      <c r="ADZ38" s="292"/>
      <c r="AEA38" s="292"/>
      <c r="AEB38" s="292"/>
      <c r="AEC38" s="292"/>
      <c r="AED38" s="292"/>
      <c r="AEE38" s="292"/>
      <c r="AEF38" s="292"/>
      <c r="AEG38" s="292"/>
      <c r="AEH38" s="292"/>
      <c r="AEI38" s="292"/>
      <c r="AEJ38" s="292"/>
      <c r="AEK38" s="292"/>
      <c r="AEL38" s="292"/>
      <c r="AEM38" s="292"/>
      <c r="AEN38" s="292"/>
      <c r="AEO38" s="292"/>
      <c r="AEP38" s="292"/>
      <c r="AEQ38" s="292"/>
      <c r="AER38" s="292"/>
      <c r="AES38" s="292"/>
      <c r="AET38" s="292"/>
      <c r="AEU38" s="292"/>
      <c r="AEV38" s="292"/>
      <c r="AEW38" s="292"/>
      <c r="AEX38" s="292"/>
      <c r="AEY38" s="292"/>
      <c r="AEZ38" s="292"/>
      <c r="AFA38" s="292"/>
      <c r="AFB38" s="292"/>
      <c r="AFC38" s="292"/>
      <c r="AFD38" s="292"/>
      <c r="AFE38" s="292"/>
      <c r="AFF38" s="292"/>
      <c r="AFG38" s="292"/>
      <c r="AFH38" s="292"/>
      <c r="AFI38" s="292"/>
      <c r="AFJ38" s="292"/>
      <c r="AFK38" s="292"/>
      <c r="AFL38" s="292"/>
      <c r="AFM38" s="292"/>
      <c r="AFN38" s="292"/>
      <c r="AFO38" s="292"/>
      <c r="AFP38" s="292"/>
      <c r="AFQ38" s="292"/>
      <c r="AFR38" s="292"/>
      <c r="AFS38" s="292"/>
      <c r="AFT38" s="292"/>
      <c r="AFU38" s="292"/>
      <c r="AFV38" s="292"/>
      <c r="AFW38" s="292"/>
      <c r="AFX38" s="292"/>
      <c r="AFY38" s="292"/>
      <c r="AFZ38" s="292"/>
      <c r="AGA38" s="292"/>
      <c r="AGB38" s="292"/>
      <c r="AGC38" s="292"/>
      <c r="AGD38" s="292"/>
      <c r="AGE38" s="292"/>
      <c r="AGF38" s="292"/>
      <c r="AGG38" s="292"/>
      <c r="AGH38" s="292"/>
      <c r="AGI38" s="292"/>
      <c r="AGJ38" s="292"/>
      <c r="AGK38" s="292"/>
      <c r="AGL38" s="292"/>
      <c r="AGM38" s="292"/>
      <c r="AGN38" s="292"/>
      <c r="AGO38" s="292"/>
      <c r="AGP38" s="292"/>
      <c r="AGQ38" s="292"/>
      <c r="AGR38" s="292"/>
      <c r="AGS38" s="292"/>
      <c r="AGT38" s="292"/>
      <c r="AGU38" s="292"/>
      <c r="AGV38" s="292"/>
      <c r="AGW38" s="292"/>
      <c r="AGX38" s="292"/>
      <c r="AGY38" s="292"/>
      <c r="AGZ38" s="292"/>
      <c r="AHA38" s="292"/>
      <c r="AHB38" s="292"/>
      <c r="AHC38" s="292"/>
      <c r="AHD38" s="292"/>
      <c r="AHE38" s="292"/>
      <c r="AHF38" s="292"/>
      <c r="AHG38" s="292"/>
      <c r="AHH38" s="292"/>
      <c r="AHI38" s="292"/>
      <c r="AHJ38" s="292"/>
      <c r="AHK38" s="292"/>
      <c r="AHL38" s="292"/>
      <c r="AHM38" s="292"/>
      <c r="AHN38" s="292"/>
      <c r="AHO38" s="292"/>
      <c r="AHP38" s="292"/>
      <c r="AHQ38" s="292"/>
      <c r="AHR38" s="292"/>
      <c r="AHS38" s="292"/>
      <c r="AHT38" s="292"/>
      <c r="AHU38" s="292"/>
      <c r="AHV38" s="292"/>
      <c r="AHW38" s="292"/>
      <c r="AHX38" s="292"/>
      <c r="AHY38" s="292"/>
      <c r="AHZ38" s="292"/>
      <c r="AIA38" s="292"/>
      <c r="AIB38" s="292"/>
      <c r="AIC38" s="292"/>
      <c r="AID38" s="292"/>
      <c r="AIE38" s="292"/>
      <c r="AIF38" s="292"/>
      <c r="AIG38" s="292"/>
      <c r="AIH38" s="292"/>
      <c r="AII38" s="292"/>
      <c r="AIJ38" s="292"/>
      <c r="AIK38" s="292"/>
      <c r="AIL38" s="292"/>
      <c r="AIM38" s="292"/>
      <c r="AIN38" s="292"/>
      <c r="AIO38" s="292"/>
      <c r="AIP38" s="292"/>
      <c r="AIQ38" s="292"/>
      <c r="AIR38" s="292"/>
      <c r="AIS38" s="292"/>
      <c r="AIT38" s="292"/>
      <c r="AIU38" s="292"/>
      <c r="AIV38" s="292"/>
      <c r="AIW38" s="292"/>
      <c r="AIX38" s="292"/>
      <c r="AIY38" s="292"/>
      <c r="AIZ38" s="292"/>
      <c r="AJA38" s="292"/>
      <c r="AJB38" s="292"/>
      <c r="AJC38" s="292"/>
      <c r="AJD38" s="292"/>
      <c r="AJE38" s="292"/>
      <c r="AJF38" s="292"/>
      <c r="AJG38" s="292"/>
      <c r="AJH38" s="292"/>
      <c r="AJI38" s="292"/>
      <c r="AJJ38" s="292"/>
      <c r="AJK38" s="292"/>
      <c r="AJL38" s="292"/>
      <c r="AJM38" s="292"/>
      <c r="AJN38" s="292"/>
      <c r="AJO38" s="292"/>
      <c r="AJP38" s="292"/>
      <c r="AJQ38" s="292"/>
      <c r="AJR38" s="292"/>
      <c r="AJS38" s="292"/>
      <c r="AJT38" s="292"/>
      <c r="AJU38" s="292"/>
      <c r="AJV38" s="292"/>
      <c r="AJW38" s="292"/>
      <c r="AJX38" s="292"/>
      <c r="AJY38" s="292"/>
      <c r="AJZ38" s="292"/>
      <c r="AKA38" s="292"/>
      <c r="AKB38" s="292"/>
      <c r="AKC38" s="292"/>
      <c r="AKD38" s="292"/>
      <c r="AKE38" s="292"/>
      <c r="AKF38" s="292"/>
      <c r="AKG38" s="292"/>
      <c r="AKH38" s="292"/>
      <c r="AKI38" s="292"/>
      <c r="AKJ38" s="292"/>
      <c r="AKK38" s="292"/>
      <c r="AKL38" s="292"/>
      <c r="AKM38" s="292"/>
      <c r="AKN38" s="292"/>
      <c r="AKO38" s="292"/>
      <c r="AKP38" s="292"/>
      <c r="AKQ38" s="292"/>
      <c r="AKR38" s="292"/>
      <c r="AKS38" s="292"/>
      <c r="AKT38" s="292"/>
      <c r="AKU38" s="292"/>
      <c r="AKV38" s="292"/>
      <c r="AKW38" s="292"/>
      <c r="AKX38" s="292"/>
      <c r="AKY38" s="292"/>
      <c r="AKZ38" s="292"/>
      <c r="ALA38" s="292"/>
      <c r="ALB38" s="292"/>
      <c r="ALC38" s="292"/>
      <c r="ALD38" s="292"/>
      <c r="ALE38" s="292"/>
      <c r="ALF38" s="292"/>
      <c r="ALG38" s="292"/>
      <c r="ALH38" s="292"/>
      <c r="ALI38" s="292"/>
      <c r="ALJ38" s="292"/>
      <c r="ALK38" s="292"/>
      <c r="ALL38" s="292"/>
      <c r="ALM38" s="292"/>
      <c r="ALN38" s="292"/>
      <c r="ALO38" s="292"/>
      <c r="ALP38" s="292"/>
      <c r="ALQ38" s="292"/>
      <c r="ALR38" s="292"/>
      <c r="ALS38" s="292"/>
      <c r="ALT38" s="292"/>
      <c r="ALU38" s="292"/>
      <c r="ALV38" s="292"/>
      <c r="ALW38" s="292"/>
      <c r="ALX38" s="292"/>
      <c r="ALY38" s="292"/>
      <c r="ALZ38" s="292"/>
      <c r="AMA38" s="292"/>
      <c r="AMB38" s="292"/>
      <c r="AMC38" s="292"/>
      <c r="AMD38" s="292"/>
      <c r="AME38" s="292"/>
      <c r="AMF38" s="292"/>
      <c r="AMG38" s="292"/>
      <c r="AMH38" s="292"/>
      <c r="AMI38" s="292"/>
      <c r="AMJ38" s="292"/>
      <c r="AMK38" s="292"/>
      <c r="AML38" s="292"/>
      <c r="AMM38" s="292"/>
      <c r="AMN38" s="292"/>
      <c r="AMO38" s="292"/>
      <c r="AMP38" s="292"/>
      <c r="AMQ38" s="292"/>
      <c r="AMR38" s="292"/>
      <c r="AMS38" s="292"/>
      <c r="AMT38" s="292"/>
      <c r="AMU38" s="292"/>
      <c r="AMV38" s="292"/>
      <c r="AMW38" s="292"/>
      <c r="AMX38" s="292"/>
      <c r="AMY38" s="292"/>
      <c r="AMZ38" s="292"/>
      <c r="ANA38" s="292"/>
      <c r="ANB38" s="292"/>
      <c r="ANC38" s="292"/>
      <c r="AND38" s="292"/>
      <c r="ANE38" s="292"/>
      <c r="ANF38" s="292"/>
      <c r="ANG38" s="292"/>
      <c r="ANH38" s="292"/>
      <c r="ANI38" s="292"/>
      <c r="ANJ38" s="292"/>
      <c r="ANK38" s="292"/>
      <c r="ANL38" s="292"/>
      <c r="ANM38" s="292"/>
      <c r="ANN38" s="292"/>
      <c r="ANO38" s="292"/>
      <c r="ANP38" s="292"/>
      <c r="ANQ38" s="292"/>
      <c r="ANR38" s="292"/>
      <c r="ANS38" s="292"/>
      <c r="ANT38" s="292"/>
      <c r="ANU38" s="292"/>
      <c r="ANV38" s="292"/>
      <c r="ANW38" s="292"/>
      <c r="ANX38" s="292"/>
      <c r="ANY38" s="292"/>
      <c r="ANZ38" s="292"/>
      <c r="AOA38" s="292"/>
      <c r="AOB38" s="292"/>
      <c r="AOC38" s="292"/>
      <c r="AOD38" s="292"/>
      <c r="AOE38" s="292"/>
      <c r="AOF38" s="292"/>
      <c r="AOG38" s="292"/>
      <c r="AOH38" s="292"/>
      <c r="AOI38" s="292"/>
      <c r="AOJ38" s="292"/>
      <c r="AOK38" s="292"/>
      <c r="AOL38" s="292"/>
      <c r="AOM38" s="292"/>
      <c r="AON38" s="292"/>
      <c r="AOO38" s="292"/>
      <c r="AOP38" s="292"/>
      <c r="AOQ38" s="292"/>
      <c r="AOR38" s="292"/>
      <c r="AOS38" s="292"/>
      <c r="AOT38" s="292"/>
      <c r="AOU38" s="292"/>
      <c r="AOV38" s="292"/>
      <c r="AOW38" s="292"/>
      <c r="AOX38" s="292"/>
      <c r="AOY38" s="292"/>
      <c r="AOZ38" s="292"/>
      <c r="APA38" s="292"/>
      <c r="APB38" s="292"/>
      <c r="APC38" s="292"/>
      <c r="APD38" s="292"/>
      <c r="APE38" s="292"/>
      <c r="APF38" s="292"/>
      <c r="APG38" s="292"/>
      <c r="APH38" s="292"/>
      <c r="API38" s="292"/>
      <c r="APJ38" s="292"/>
      <c r="APK38" s="292"/>
      <c r="APL38" s="292"/>
      <c r="APM38" s="292"/>
      <c r="APN38" s="292"/>
      <c r="APO38" s="292"/>
      <c r="APP38" s="292"/>
      <c r="APQ38" s="292"/>
      <c r="APR38" s="292"/>
      <c r="APS38" s="292"/>
      <c r="APT38" s="292"/>
      <c r="APU38" s="292"/>
      <c r="APV38" s="292"/>
      <c r="APW38" s="292"/>
      <c r="APX38" s="292"/>
      <c r="APY38" s="292"/>
      <c r="APZ38" s="292"/>
      <c r="AQA38" s="292"/>
      <c r="AQB38" s="292"/>
      <c r="AQC38" s="292"/>
      <c r="AQD38" s="292"/>
      <c r="AQE38" s="292"/>
      <c r="AQF38" s="292"/>
      <c r="AQG38" s="292"/>
      <c r="AQH38" s="292"/>
      <c r="AQI38" s="292"/>
      <c r="AQJ38" s="292"/>
      <c r="AQK38" s="292"/>
      <c r="AQL38" s="292"/>
      <c r="AQM38" s="292"/>
      <c r="AQN38" s="292"/>
      <c r="AQO38" s="292"/>
      <c r="AQP38" s="292"/>
      <c r="AQQ38" s="292"/>
      <c r="AQR38" s="292"/>
      <c r="AQS38" s="292"/>
      <c r="AQT38" s="292"/>
      <c r="AQU38" s="292"/>
      <c r="AQV38" s="292"/>
      <c r="AQW38" s="292"/>
      <c r="AQX38" s="292"/>
      <c r="AQY38" s="292"/>
      <c r="AQZ38" s="292"/>
      <c r="ARA38" s="292"/>
      <c r="ARB38" s="292"/>
      <c r="ARC38" s="292"/>
      <c r="ARD38" s="292"/>
      <c r="ARE38" s="292"/>
      <c r="ARF38" s="292"/>
      <c r="ARG38" s="292"/>
      <c r="ARH38" s="292"/>
      <c r="ARI38" s="292"/>
      <c r="ARJ38" s="292"/>
      <c r="ARK38" s="292"/>
      <c r="ARL38" s="292"/>
      <c r="ARM38" s="292"/>
      <c r="ARN38" s="292"/>
      <c r="ARO38" s="292"/>
      <c r="ARP38" s="292"/>
      <c r="ARQ38" s="292"/>
      <c r="ARR38" s="292"/>
      <c r="ARS38" s="292"/>
      <c r="ART38" s="292"/>
      <c r="ARU38" s="292"/>
      <c r="ARV38" s="292"/>
      <c r="ARW38" s="292"/>
      <c r="ARX38" s="292"/>
      <c r="ARY38" s="292"/>
      <c r="ARZ38" s="292"/>
      <c r="ASA38" s="292"/>
      <c r="ASB38" s="292"/>
      <c r="ASC38" s="292"/>
      <c r="ASD38" s="292"/>
      <c r="ASE38" s="292"/>
      <c r="ASF38" s="292"/>
      <c r="ASG38" s="292"/>
      <c r="ASH38" s="292"/>
      <c r="ASI38" s="292"/>
      <c r="ASJ38" s="292"/>
      <c r="ASK38" s="292"/>
      <c r="ASL38" s="292"/>
      <c r="ASM38" s="292"/>
      <c r="ASN38" s="292"/>
      <c r="ASO38" s="292"/>
      <c r="ASP38" s="292"/>
      <c r="ASQ38" s="292"/>
      <c r="ASR38" s="292"/>
      <c r="ASS38" s="292"/>
      <c r="AST38" s="292"/>
      <c r="ASU38" s="292"/>
      <c r="ASV38" s="292"/>
      <c r="ASW38" s="292"/>
      <c r="ASX38" s="292"/>
      <c r="ASY38" s="292"/>
      <c r="ASZ38" s="292"/>
      <c r="ATA38" s="292"/>
      <c r="ATB38" s="292"/>
      <c r="ATC38" s="292"/>
      <c r="ATD38" s="292"/>
      <c r="ATE38" s="292"/>
      <c r="ATF38" s="292"/>
      <c r="ATG38" s="292"/>
      <c r="ATH38" s="292"/>
      <c r="ATI38" s="292"/>
      <c r="ATJ38" s="292"/>
      <c r="ATK38" s="292"/>
      <c r="ATL38" s="292"/>
      <c r="ATM38" s="292"/>
      <c r="ATN38" s="292"/>
      <c r="ATO38" s="292"/>
      <c r="ATP38" s="292"/>
      <c r="ATQ38" s="292"/>
      <c r="ATR38" s="292"/>
      <c r="ATS38" s="292"/>
      <c r="ATT38" s="292"/>
      <c r="ATU38" s="292"/>
      <c r="ATV38" s="292"/>
      <c r="ATW38" s="292"/>
      <c r="ATX38" s="292"/>
      <c r="ATY38" s="292"/>
      <c r="ATZ38" s="292"/>
      <c r="AUA38" s="292"/>
      <c r="AUB38" s="292"/>
      <c r="AUC38" s="292"/>
      <c r="AUD38" s="292"/>
      <c r="AUE38" s="292"/>
      <c r="AUF38" s="292"/>
      <c r="AUG38" s="292"/>
      <c r="AUH38" s="292"/>
      <c r="AUI38" s="292"/>
      <c r="AUJ38" s="292"/>
      <c r="AUK38" s="292"/>
      <c r="AUL38" s="292"/>
      <c r="AUM38" s="292"/>
      <c r="AUN38" s="292"/>
      <c r="AUO38" s="292"/>
      <c r="AUP38" s="292"/>
      <c r="AUQ38" s="292"/>
      <c r="AUR38" s="292"/>
      <c r="AUS38" s="292"/>
      <c r="AUT38" s="292"/>
      <c r="AUU38" s="292"/>
      <c r="AUV38" s="292"/>
      <c r="AUW38" s="292"/>
      <c r="AUX38" s="292"/>
      <c r="AUY38" s="292"/>
      <c r="AUZ38" s="292"/>
      <c r="AVA38" s="292"/>
      <c r="AVB38" s="292"/>
      <c r="AVC38" s="292"/>
      <c r="AVD38" s="292"/>
      <c r="AVE38" s="292"/>
      <c r="AVF38" s="292"/>
      <c r="AVG38" s="292"/>
      <c r="AVH38" s="292"/>
      <c r="AVI38" s="292"/>
      <c r="AVJ38" s="292"/>
      <c r="AVK38" s="292"/>
      <c r="AVL38" s="292"/>
      <c r="AVM38" s="292"/>
      <c r="AVN38" s="292"/>
      <c r="AVO38" s="292"/>
      <c r="AVP38" s="292"/>
      <c r="AVQ38" s="292"/>
      <c r="AVR38" s="292"/>
      <c r="AVS38" s="292"/>
      <c r="AVT38" s="292"/>
      <c r="AVU38" s="292"/>
      <c r="AVV38" s="292"/>
      <c r="AVW38" s="292"/>
      <c r="AVX38" s="292"/>
      <c r="AVY38" s="292"/>
      <c r="AVZ38" s="292"/>
      <c r="AWA38" s="292"/>
      <c r="AWB38" s="292"/>
      <c r="AWC38" s="292"/>
      <c r="AWD38" s="292"/>
      <c r="AWE38" s="292"/>
      <c r="AWF38" s="292"/>
      <c r="AWG38" s="292"/>
      <c r="AWH38" s="292"/>
      <c r="AWI38" s="292"/>
      <c r="AWJ38" s="292"/>
      <c r="AWK38" s="292"/>
      <c r="AWL38" s="292"/>
      <c r="AWM38" s="292"/>
      <c r="AWN38" s="292"/>
      <c r="AWO38" s="292"/>
      <c r="AWP38" s="292"/>
      <c r="AWQ38" s="292"/>
      <c r="AWR38" s="292"/>
      <c r="AWS38" s="292"/>
      <c r="AWT38" s="292"/>
      <c r="AWU38" s="292"/>
      <c r="AWV38" s="292"/>
      <c r="AWW38" s="292"/>
      <c r="AWX38" s="292"/>
      <c r="AWY38" s="292"/>
      <c r="AWZ38" s="292"/>
      <c r="AXA38" s="292"/>
      <c r="AXB38" s="292"/>
      <c r="AXC38" s="292"/>
      <c r="AXD38" s="292"/>
      <c r="AXE38" s="292"/>
      <c r="AXF38" s="292"/>
      <c r="AXG38" s="292"/>
      <c r="AXH38" s="292"/>
      <c r="AXI38" s="292"/>
      <c r="AXJ38" s="292"/>
      <c r="AXK38" s="292"/>
      <c r="AXL38" s="292"/>
      <c r="AXM38" s="292"/>
      <c r="AXN38" s="292"/>
      <c r="AXO38" s="292"/>
      <c r="AXP38" s="292"/>
      <c r="AXQ38" s="292"/>
      <c r="AXR38" s="292"/>
      <c r="AXS38" s="292"/>
      <c r="AXT38" s="292"/>
      <c r="AXU38" s="292"/>
      <c r="AXV38" s="292"/>
      <c r="AXW38" s="292"/>
      <c r="AXX38" s="292"/>
      <c r="AXY38" s="292"/>
      <c r="AXZ38" s="292"/>
      <c r="AYA38" s="292"/>
      <c r="AYB38" s="292"/>
      <c r="AYC38" s="292"/>
      <c r="AYD38" s="292"/>
      <c r="AYE38" s="292"/>
      <c r="AYF38" s="292"/>
      <c r="AYG38" s="292"/>
      <c r="AYH38" s="292"/>
      <c r="AYI38" s="292"/>
      <c r="AYJ38" s="292"/>
      <c r="AYK38" s="292"/>
      <c r="AYL38" s="292"/>
      <c r="AYM38" s="292"/>
      <c r="AYN38" s="292"/>
      <c r="AYO38" s="292"/>
      <c r="AYP38" s="292"/>
      <c r="AYQ38" s="292"/>
      <c r="AYR38" s="292"/>
      <c r="AYS38" s="292"/>
      <c r="AYT38" s="292"/>
      <c r="AYU38" s="292"/>
      <c r="AYV38" s="292"/>
      <c r="AYW38" s="292"/>
      <c r="AYX38" s="292"/>
      <c r="AYY38" s="292"/>
      <c r="AYZ38" s="292"/>
      <c r="AZA38" s="292"/>
      <c r="AZB38" s="292"/>
      <c r="AZC38" s="292"/>
      <c r="AZD38" s="292"/>
      <c r="AZE38" s="292"/>
      <c r="AZF38" s="292"/>
      <c r="AZG38" s="292"/>
      <c r="AZH38" s="292"/>
      <c r="AZI38" s="292"/>
      <c r="AZJ38" s="292"/>
      <c r="AZK38" s="292"/>
      <c r="AZL38" s="292"/>
      <c r="AZM38" s="292"/>
      <c r="AZN38" s="292"/>
      <c r="AZO38" s="292"/>
      <c r="AZP38" s="292"/>
      <c r="AZQ38" s="292"/>
      <c r="AZR38" s="292"/>
      <c r="AZS38" s="292"/>
      <c r="AZT38" s="292"/>
      <c r="AZU38" s="292"/>
      <c r="AZV38" s="292"/>
      <c r="AZW38" s="292"/>
      <c r="AZX38" s="292"/>
      <c r="AZY38" s="292"/>
      <c r="AZZ38" s="292"/>
      <c r="BAA38" s="292"/>
      <c r="BAB38" s="292"/>
      <c r="BAC38" s="292"/>
      <c r="BAD38" s="292"/>
      <c r="BAE38" s="292"/>
      <c r="BAF38" s="292"/>
      <c r="BAG38" s="292"/>
      <c r="BAH38" s="292"/>
      <c r="BAI38" s="292"/>
      <c r="BAJ38" s="292"/>
      <c r="BAK38" s="292"/>
      <c r="BAL38" s="292"/>
      <c r="BAM38" s="292"/>
      <c r="BAN38" s="292"/>
      <c r="BAO38" s="292"/>
      <c r="BAP38" s="292"/>
      <c r="BAQ38" s="292"/>
      <c r="BAR38" s="292"/>
      <c r="BAS38" s="292"/>
      <c r="BAT38" s="292"/>
      <c r="BAU38" s="292"/>
      <c r="BAV38" s="292"/>
      <c r="BAW38" s="292"/>
      <c r="BAX38" s="292"/>
      <c r="BAY38" s="292"/>
      <c r="BAZ38" s="292"/>
      <c r="BBA38" s="292"/>
      <c r="BBB38" s="292"/>
      <c r="BBC38" s="292"/>
      <c r="BBD38" s="292"/>
      <c r="BBE38" s="292"/>
      <c r="BBF38" s="292"/>
      <c r="BBG38" s="292"/>
      <c r="BBH38" s="292"/>
      <c r="BBI38" s="292"/>
      <c r="BBJ38" s="292"/>
      <c r="BBK38" s="292"/>
      <c r="BBL38" s="292"/>
      <c r="BBM38" s="292"/>
      <c r="BBN38" s="292"/>
      <c r="BBO38" s="292"/>
      <c r="BBP38" s="292"/>
      <c r="BBQ38" s="292"/>
      <c r="BBR38" s="292"/>
      <c r="BBS38" s="292"/>
      <c r="BBT38" s="292"/>
      <c r="BBU38" s="292"/>
      <c r="BBV38" s="292"/>
      <c r="BBW38" s="292"/>
      <c r="BBX38" s="292"/>
      <c r="BBY38" s="292"/>
      <c r="BBZ38" s="292"/>
      <c r="BCA38" s="292"/>
      <c r="BCB38" s="292"/>
      <c r="BCC38" s="292"/>
      <c r="BCD38" s="292"/>
      <c r="BCE38" s="292"/>
      <c r="BCF38" s="292"/>
      <c r="BCG38" s="292"/>
      <c r="BCH38" s="292"/>
      <c r="BCI38" s="292"/>
      <c r="BCJ38" s="292"/>
      <c r="BCK38" s="292"/>
      <c r="BCL38" s="292"/>
      <c r="BCM38" s="292"/>
      <c r="BCN38" s="292"/>
      <c r="BCO38" s="292"/>
      <c r="BCP38" s="292"/>
      <c r="BCQ38" s="292"/>
      <c r="BCR38" s="292"/>
      <c r="BCS38" s="292"/>
      <c r="BCT38" s="292"/>
      <c r="BCU38" s="292"/>
      <c r="BCV38" s="292"/>
      <c r="BCW38" s="292"/>
      <c r="BCX38" s="292"/>
      <c r="BCY38" s="292"/>
      <c r="BCZ38" s="292"/>
      <c r="BDA38" s="292"/>
      <c r="BDB38" s="292"/>
      <c r="BDC38" s="292"/>
      <c r="BDD38" s="292"/>
      <c r="BDE38" s="292"/>
      <c r="BDF38" s="292"/>
      <c r="BDG38" s="292"/>
      <c r="BDH38" s="292"/>
      <c r="BDI38" s="292"/>
      <c r="BDJ38" s="292"/>
      <c r="BDK38" s="292"/>
      <c r="BDL38" s="292"/>
      <c r="BDM38" s="292"/>
      <c r="BDN38" s="292"/>
      <c r="BDO38" s="292"/>
      <c r="BDP38" s="292"/>
      <c r="BDQ38" s="292"/>
      <c r="BDR38" s="292"/>
      <c r="BDS38" s="292"/>
      <c r="BDT38" s="292"/>
      <c r="BDU38" s="292"/>
      <c r="BDV38" s="292"/>
      <c r="BDW38" s="292"/>
      <c r="BDX38" s="292"/>
      <c r="BDY38" s="292"/>
      <c r="BDZ38" s="292"/>
      <c r="BEA38" s="292"/>
      <c r="BEB38" s="292"/>
      <c r="BEC38" s="292"/>
      <c r="BED38" s="292"/>
      <c r="BEE38" s="292"/>
      <c r="BEF38" s="292"/>
      <c r="BEG38" s="292"/>
      <c r="BEH38" s="292"/>
      <c r="BEI38" s="292"/>
      <c r="BEJ38" s="292"/>
      <c r="BEK38" s="292"/>
      <c r="BEL38" s="292"/>
      <c r="BEM38" s="292"/>
      <c r="BEN38" s="292"/>
      <c r="BEO38" s="292"/>
      <c r="BEP38" s="292"/>
      <c r="BEQ38" s="292"/>
      <c r="BER38" s="292"/>
      <c r="BES38" s="292"/>
      <c r="BET38" s="292"/>
      <c r="BEU38" s="292"/>
      <c r="BEV38" s="292"/>
      <c r="BEW38" s="292"/>
      <c r="BEX38" s="292"/>
      <c r="BEY38" s="292"/>
      <c r="BEZ38" s="292"/>
      <c r="BFA38" s="292"/>
      <c r="BFB38" s="292"/>
      <c r="BFC38" s="292"/>
      <c r="BFD38" s="292"/>
      <c r="BFE38" s="292"/>
      <c r="BFF38" s="292"/>
      <c r="BFG38" s="292"/>
      <c r="BFH38" s="292"/>
      <c r="BFI38" s="292"/>
      <c r="BFJ38" s="292"/>
      <c r="BFK38" s="292"/>
      <c r="BFL38" s="292"/>
      <c r="BFM38" s="292"/>
      <c r="BFN38" s="292"/>
      <c r="BFO38" s="292"/>
      <c r="BFP38" s="292"/>
      <c r="BFQ38" s="292"/>
      <c r="BFR38" s="292"/>
      <c r="BFS38" s="292"/>
      <c r="BFT38" s="292"/>
      <c r="BFU38" s="292"/>
      <c r="BFV38" s="292"/>
      <c r="BFW38" s="292"/>
      <c r="BFX38" s="292"/>
      <c r="BFY38" s="292"/>
      <c r="BFZ38" s="292"/>
      <c r="BGA38" s="292"/>
      <c r="BGB38" s="292"/>
      <c r="BGC38" s="292"/>
      <c r="BGD38" s="292"/>
      <c r="BGE38" s="292"/>
      <c r="BGF38" s="292"/>
      <c r="BGG38" s="292"/>
      <c r="BGH38" s="292"/>
      <c r="BGI38" s="292"/>
      <c r="BGJ38" s="292"/>
      <c r="BGK38" s="292"/>
      <c r="BGL38" s="292"/>
      <c r="BGM38" s="292"/>
      <c r="BGN38" s="292"/>
      <c r="BGO38" s="292"/>
      <c r="BGP38" s="292"/>
      <c r="BGQ38" s="292"/>
      <c r="BGR38" s="292"/>
      <c r="BGS38" s="292"/>
      <c r="BGT38" s="292"/>
      <c r="BGU38" s="292"/>
      <c r="BGV38" s="292"/>
      <c r="BGW38" s="292"/>
      <c r="BGX38" s="292"/>
      <c r="BGY38" s="292"/>
      <c r="BGZ38" s="292"/>
      <c r="BHA38" s="292"/>
      <c r="BHB38" s="292"/>
      <c r="BHC38" s="292"/>
      <c r="BHD38" s="292"/>
      <c r="BHE38" s="292"/>
      <c r="BHF38" s="292"/>
      <c r="BHG38" s="292"/>
      <c r="BHH38" s="292"/>
      <c r="BHI38" s="292"/>
      <c r="BHJ38" s="292"/>
      <c r="BHK38" s="292"/>
      <c r="BHL38" s="292"/>
      <c r="BHM38" s="292"/>
      <c r="BHN38" s="292"/>
      <c r="BHO38" s="292"/>
      <c r="BHP38" s="292"/>
      <c r="BHQ38" s="292"/>
      <c r="BHR38" s="292"/>
      <c r="BHS38" s="292"/>
      <c r="BHT38" s="292"/>
      <c r="BHU38" s="292"/>
      <c r="BHV38" s="292"/>
      <c r="BHW38" s="292"/>
      <c r="BHX38" s="292"/>
      <c r="BHY38" s="292"/>
      <c r="BHZ38" s="292"/>
      <c r="BIA38" s="292"/>
      <c r="BIB38" s="292"/>
      <c r="BIC38" s="292"/>
      <c r="BID38" s="292"/>
      <c r="BIE38" s="292"/>
      <c r="BIF38" s="292"/>
      <c r="BIG38" s="292"/>
      <c r="BIH38" s="292"/>
      <c r="BII38" s="292"/>
      <c r="BIJ38" s="292"/>
      <c r="BIK38" s="292"/>
      <c r="BIL38" s="292"/>
      <c r="BIM38" s="292"/>
      <c r="BIN38" s="292"/>
      <c r="BIO38" s="292"/>
      <c r="BIP38" s="292"/>
      <c r="BIQ38" s="292"/>
      <c r="BIR38" s="292"/>
      <c r="BIS38" s="292"/>
      <c r="BIT38" s="292"/>
      <c r="BIU38" s="292"/>
      <c r="BIV38" s="292"/>
      <c r="BIW38" s="292"/>
      <c r="BIX38" s="292"/>
      <c r="BIY38" s="292"/>
      <c r="BIZ38" s="292"/>
      <c r="BJA38" s="292"/>
      <c r="BJB38" s="292"/>
      <c r="BJC38" s="292"/>
      <c r="BJD38" s="292"/>
      <c r="BJE38" s="292"/>
      <c r="BJF38" s="292"/>
      <c r="BJG38" s="292"/>
      <c r="BJH38" s="292"/>
      <c r="BJI38" s="292"/>
      <c r="BJJ38" s="292"/>
      <c r="BJK38" s="292"/>
      <c r="BJL38" s="292"/>
      <c r="BJM38" s="292"/>
      <c r="BJN38" s="292"/>
      <c r="BJO38" s="292"/>
      <c r="BJP38" s="292"/>
      <c r="BJQ38" s="292"/>
      <c r="BJR38" s="292"/>
      <c r="BJS38" s="292"/>
      <c r="BJT38" s="292"/>
      <c r="BJU38" s="292"/>
      <c r="BJV38" s="292"/>
      <c r="BJW38" s="292"/>
      <c r="BJX38" s="292"/>
      <c r="BJY38" s="292"/>
      <c r="BJZ38" s="292"/>
      <c r="BKA38" s="292"/>
      <c r="BKB38" s="292"/>
      <c r="BKC38" s="292"/>
      <c r="BKD38" s="292"/>
      <c r="BKE38" s="292"/>
      <c r="BKF38" s="292"/>
      <c r="BKG38" s="292"/>
      <c r="BKH38" s="292"/>
      <c r="BKI38" s="292"/>
      <c r="BKJ38" s="292"/>
      <c r="BKK38" s="292"/>
      <c r="BKL38" s="292"/>
      <c r="BKM38" s="292"/>
      <c r="BKN38" s="292"/>
      <c r="BKO38" s="292"/>
      <c r="BKP38" s="292"/>
      <c r="BKQ38" s="292"/>
      <c r="BKR38" s="292"/>
      <c r="BKS38" s="292"/>
      <c r="BKT38" s="292"/>
      <c r="BKU38" s="292"/>
      <c r="BKV38" s="292"/>
      <c r="BKW38" s="292"/>
      <c r="BKX38" s="292"/>
      <c r="BKY38" s="292"/>
      <c r="BKZ38" s="292"/>
      <c r="BLA38" s="292"/>
      <c r="BLB38" s="292"/>
      <c r="BLC38" s="292"/>
      <c r="BLD38" s="292"/>
      <c r="BLE38" s="292"/>
      <c r="BLF38" s="292"/>
      <c r="BLG38" s="292"/>
      <c r="BLH38" s="292"/>
      <c r="BLI38" s="292"/>
      <c r="BLJ38" s="292"/>
      <c r="BLK38" s="292"/>
      <c r="BLL38" s="292"/>
      <c r="BLM38" s="292"/>
      <c r="BLN38" s="292"/>
      <c r="BLO38" s="292"/>
      <c r="BLP38" s="292"/>
      <c r="BLQ38" s="292"/>
      <c r="BLR38" s="292"/>
      <c r="BLS38" s="292"/>
      <c r="BLT38" s="292"/>
      <c r="BLU38" s="292"/>
      <c r="BLV38" s="292"/>
      <c r="BLW38" s="292"/>
      <c r="BLX38" s="292"/>
      <c r="BLY38" s="292"/>
      <c r="BLZ38" s="292"/>
      <c r="BMA38" s="292"/>
      <c r="BMB38" s="292"/>
      <c r="BMC38" s="292"/>
      <c r="BMD38" s="292"/>
      <c r="BME38" s="292"/>
      <c r="BMF38" s="292"/>
      <c r="BMG38" s="292"/>
      <c r="BMH38" s="292"/>
      <c r="BMI38" s="292"/>
      <c r="BMJ38" s="292"/>
      <c r="BMK38" s="292"/>
      <c r="BML38" s="292"/>
      <c r="BMM38" s="292"/>
      <c r="BMN38" s="292"/>
      <c r="BMO38" s="292"/>
      <c r="BMP38" s="292"/>
      <c r="BMQ38" s="292"/>
      <c r="BMR38" s="292"/>
      <c r="BMS38" s="292"/>
      <c r="BMT38" s="292"/>
      <c r="BMU38" s="292"/>
      <c r="BMV38" s="292"/>
      <c r="BMW38" s="292"/>
      <c r="BMX38" s="292"/>
      <c r="BMY38" s="292"/>
      <c r="BMZ38" s="292"/>
      <c r="BNA38" s="292"/>
      <c r="BNB38" s="292"/>
      <c r="BNC38" s="292"/>
      <c r="BND38" s="292"/>
      <c r="BNE38" s="292"/>
      <c r="BNF38" s="292"/>
      <c r="BNG38" s="292"/>
      <c r="BNH38" s="292"/>
      <c r="BNI38" s="292"/>
      <c r="BNJ38" s="292"/>
      <c r="BNK38" s="292"/>
      <c r="BNL38" s="292"/>
      <c r="BNM38" s="292"/>
      <c r="BNN38" s="292"/>
      <c r="BNO38" s="292"/>
      <c r="BNP38" s="292"/>
      <c r="BNQ38" s="292"/>
      <c r="BNR38" s="292"/>
      <c r="BNS38" s="292"/>
      <c r="BNT38" s="292"/>
      <c r="BNU38" s="292"/>
      <c r="BNV38" s="292"/>
      <c r="BNW38" s="292"/>
      <c r="BNX38" s="292"/>
      <c r="BNY38" s="292"/>
      <c r="BNZ38" s="292"/>
      <c r="BOA38" s="292"/>
      <c r="BOB38" s="292"/>
      <c r="BOC38" s="292"/>
      <c r="BOD38" s="292"/>
      <c r="BOE38" s="292"/>
      <c r="BOF38" s="292"/>
      <c r="BOG38" s="292"/>
      <c r="BOH38" s="292"/>
      <c r="BOI38" s="292"/>
      <c r="BOJ38" s="292"/>
      <c r="BOK38" s="292"/>
      <c r="BOL38" s="292"/>
      <c r="BOM38" s="292"/>
      <c r="BON38" s="292"/>
      <c r="BOO38" s="292"/>
      <c r="BOP38" s="292"/>
      <c r="BOQ38" s="292"/>
      <c r="BOR38" s="292"/>
      <c r="BOS38" s="292"/>
      <c r="BOT38" s="292"/>
      <c r="BOU38" s="292"/>
      <c r="BOV38" s="292"/>
      <c r="BOW38" s="292"/>
      <c r="BOX38" s="292"/>
      <c r="BOY38" s="292"/>
      <c r="BOZ38" s="292"/>
      <c r="BPA38" s="292"/>
      <c r="BPB38" s="292"/>
      <c r="BPC38" s="292"/>
      <c r="BPD38" s="292"/>
      <c r="BPE38" s="292"/>
      <c r="BPF38" s="292"/>
      <c r="BPG38" s="292"/>
      <c r="BPH38" s="292"/>
      <c r="BPI38" s="292"/>
      <c r="BPJ38" s="292"/>
      <c r="BPK38" s="292"/>
      <c r="BPL38" s="292"/>
      <c r="BPM38" s="292"/>
      <c r="BPN38" s="292"/>
      <c r="BPO38" s="292"/>
      <c r="BPP38" s="292"/>
      <c r="BPQ38" s="292"/>
      <c r="BPR38" s="292"/>
      <c r="BPS38" s="292"/>
      <c r="BPT38" s="292"/>
      <c r="BPU38" s="292"/>
      <c r="BPV38" s="292"/>
      <c r="BPW38" s="292"/>
      <c r="BPX38" s="292"/>
      <c r="BPY38" s="292"/>
      <c r="BPZ38" s="292"/>
      <c r="BQA38" s="292"/>
      <c r="BQB38" s="292"/>
      <c r="BQC38" s="292"/>
      <c r="BQD38" s="292"/>
      <c r="BQE38" s="292"/>
      <c r="BQF38" s="292"/>
      <c r="BQG38" s="292"/>
      <c r="BQH38" s="292"/>
      <c r="BQI38" s="292"/>
      <c r="BQJ38" s="292"/>
      <c r="BQK38" s="292"/>
      <c r="BQL38" s="292"/>
      <c r="BQM38" s="292"/>
      <c r="BQN38" s="292"/>
      <c r="BQO38" s="292"/>
      <c r="BQP38" s="292"/>
      <c r="BQQ38" s="292"/>
      <c r="BQR38" s="292"/>
      <c r="BQS38" s="292"/>
      <c r="BQT38" s="292"/>
      <c r="BQU38" s="292"/>
      <c r="BQV38" s="292"/>
      <c r="BQW38" s="292"/>
      <c r="BQX38" s="292"/>
      <c r="BQY38" s="292"/>
      <c r="BQZ38" s="292"/>
      <c r="BRA38" s="292"/>
      <c r="BRB38" s="292"/>
      <c r="BRC38" s="292"/>
      <c r="BRD38" s="292"/>
      <c r="BRE38" s="292"/>
      <c r="BRF38" s="292"/>
      <c r="BRG38" s="292"/>
      <c r="BRH38" s="292"/>
      <c r="BRI38" s="292"/>
      <c r="BRJ38" s="292"/>
      <c r="BRK38" s="292"/>
      <c r="BRL38" s="292"/>
      <c r="BRM38" s="292"/>
      <c r="BRN38" s="292"/>
      <c r="BRO38" s="292"/>
      <c r="BRP38" s="292"/>
      <c r="BRQ38" s="292"/>
      <c r="BRR38" s="292"/>
      <c r="BRS38" s="292"/>
      <c r="BRT38" s="292"/>
      <c r="BRU38" s="292"/>
      <c r="BRV38" s="292"/>
      <c r="BRW38" s="292"/>
      <c r="BRX38" s="292"/>
      <c r="BRY38" s="292"/>
      <c r="BRZ38" s="292"/>
      <c r="BSA38" s="292"/>
      <c r="BSB38" s="292"/>
      <c r="BSC38" s="292"/>
      <c r="BSD38" s="292"/>
      <c r="BSE38" s="292"/>
      <c r="BSF38" s="292"/>
      <c r="BSG38" s="292"/>
      <c r="BSH38" s="292"/>
      <c r="BSI38" s="292"/>
      <c r="BSJ38" s="292"/>
      <c r="BSK38" s="292"/>
      <c r="BSL38" s="292"/>
      <c r="BSM38" s="292"/>
      <c r="BSN38" s="292"/>
      <c r="BSO38" s="292"/>
      <c r="BSP38" s="292"/>
      <c r="BSQ38" s="292"/>
      <c r="BSR38" s="292"/>
      <c r="BSS38" s="292"/>
      <c r="BST38" s="292"/>
      <c r="BSU38" s="292"/>
      <c r="BSV38" s="292"/>
      <c r="BSW38" s="292"/>
      <c r="BSX38" s="292"/>
      <c r="BSY38" s="292"/>
      <c r="BSZ38" s="292"/>
      <c r="BTA38" s="292"/>
      <c r="BTB38" s="292"/>
      <c r="BTC38" s="292"/>
      <c r="BTD38" s="292"/>
      <c r="BTE38" s="292"/>
      <c r="BTF38" s="292"/>
      <c r="BTG38" s="292"/>
      <c r="BTH38" s="292"/>
      <c r="BTI38" s="292"/>
      <c r="BTJ38" s="292"/>
      <c r="BTK38" s="292"/>
      <c r="BTL38" s="292"/>
      <c r="BTM38" s="292"/>
      <c r="BTN38" s="292"/>
      <c r="BTO38" s="292"/>
      <c r="BTP38" s="292"/>
      <c r="BTQ38" s="292"/>
      <c r="BTR38" s="292"/>
      <c r="BTS38" s="292"/>
      <c r="BTT38" s="292"/>
      <c r="BTU38" s="292"/>
      <c r="BTV38" s="292"/>
      <c r="BTW38" s="292"/>
      <c r="BTX38" s="292"/>
      <c r="BTY38" s="292"/>
      <c r="BTZ38" s="292"/>
      <c r="BUA38" s="292"/>
      <c r="BUB38" s="292"/>
      <c r="BUC38" s="292"/>
      <c r="BUD38" s="292"/>
      <c r="BUE38" s="292"/>
      <c r="BUF38" s="292"/>
      <c r="BUG38" s="292"/>
      <c r="BUH38" s="292"/>
      <c r="BUI38" s="292"/>
      <c r="BUJ38" s="292"/>
      <c r="BUK38" s="292"/>
      <c r="BUL38" s="292"/>
      <c r="BUM38" s="292"/>
      <c r="BUN38" s="292"/>
      <c r="BUO38" s="292"/>
      <c r="BUP38" s="292"/>
      <c r="BUQ38" s="292"/>
      <c r="BUR38" s="292"/>
      <c r="BUS38" s="292"/>
      <c r="BUT38" s="292"/>
      <c r="BUU38" s="292"/>
      <c r="BUV38" s="292"/>
      <c r="BUW38" s="292"/>
      <c r="BUX38" s="292"/>
      <c r="BUY38" s="292"/>
      <c r="BUZ38" s="292"/>
      <c r="BVA38" s="292"/>
      <c r="BVB38" s="292"/>
      <c r="BVC38" s="292"/>
      <c r="BVD38" s="292"/>
      <c r="BVE38" s="292"/>
      <c r="BVF38" s="292"/>
      <c r="BVG38" s="292"/>
      <c r="BVH38" s="292"/>
      <c r="BVI38" s="292"/>
      <c r="BVJ38" s="292"/>
      <c r="BVK38" s="292"/>
      <c r="BVL38" s="292"/>
      <c r="BVM38" s="292"/>
      <c r="BVN38" s="292"/>
      <c r="BVO38" s="292"/>
      <c r="BVP38" s="292"/>
      <c r="BVQ38" s="292"/>
      <c r="BVR38" s="292"/>
      <c r="BVS38" s="292"/>
      <c r="BVT38" s="292"/>
      <c r="BVU38" s="292"/>
      <c r="BVV38" s="292"/>
      <c r="BVW38" s="292"/>
      <c r="BVX38" s="292"/>
      <c r="BVY38" s="292"/>
      <c r="BVZ38" s="292"/>
      <c r="BWA38" s="292"/>
      <c r="BWB38" s="292"/>
      <c r="BWC38" s="292"/>
      <c r="BWD38" s="292"/>
      <c r="BWE38" s="292"/>
      <c r="BWF38" s="292"/>
      <c r="BWG38" s="292"/>
      <c r="BWH38" s="292"/>
      <c r="BWI38" s="292"/>
      <c r="BWJ38" s="292"/>
      <c r="BWK38" s="292"/>
      <c r="BWL38" s="292"/>
      <c r="BWM38" s="292"/>
      <c r="BWN38" s="292"/>
      <c r="BWO38" s="292"/>
      <c r="BWP38" s="292"/>
      <c r="BWQ38" s="292"/>
      <c r="BWR38" s="292"/>
      <c r="BWS38" s="292"/>
      <c r="BWT38" s="292"/>
      <c r="BWU38" s="292"/>
      <c r="BWV38" s="292"/>
      <c r="BWW38" s="292"/>
      <c r="BWX38" s="292"/>
      <c r="BWY38" s="292"/>
      <c r="BWZ38" s="292"/>
      <c r="BXA38" s="292"/>
      <c r="BXB38" s="292"/>
      <c r="BXC38" s="292"/>
      <c r="BXD38" s="292"/>
      <c r="BXE38" s="292"/>
      <c r="BXF38" s="292"/>
      <c r="BXG38" s="292"/>
      <c r="BXH38" s="292"/>
      <c r="BXI38" s="292"/>
      <c r="BXJ38" s="292"/>
      <c r="BXK38" s="292"/>
      <c r="BXL38" s="292"/>
      <c r="BXM38" s="292"/>
      <c r="BXN38" s="292"/>
      <c r="BXO38" s="292"/>
      <c r="BXP38" s="292"/>
      <c r="BXQ38" s="292"/>
      <c r="BXR38" s="292"/>
      <c r="BXS38" s="292"/>
      <c r="BXT38" s="292"/>
      <c r="BXU38" s="292"/>
      <c r="BXV38" s="292"/>
      <c r="BXW38" s="292"/>
      <c r="BXX38" s="292"/>
      <c r="BXY38" s="292"/>
      <c r="BXZ38" s="292"/>
      <c r="BYA38" s="292"/>
      <c r="BYB38" s="292"/>
      <c r="BYC38" s="292"/>
      <c r="BYD38" s="292"/>
      <c r="BYE38" s="292"/>
      <c r="BYF38" s="292"/>
      <c r="BYG38" s="292"/>
      <c r="BYH38" s="292"/>
      <c r="BYI38" s="292"/>
      <c r="BYJ38" s="292"/>
      <c r="BYK38" s="292"/>
      <c r="BYL38" s="292"/>
      <c r="BYM38" s="292"/>
      <c r="BYN38" s="292"/>
      <c r="BYO38" s="292"/>
      <c r="BYP38" s="292"/>
      <c r="BYQ38" s="292"/>
      <c r="BYR38" s="292"/>
      <c r="BYS38" s="292"/>
      <c r="BYT38" s="292"/>
      <c r="BYU38" s="292"/>
      <c r="BYV38" s="292"/>
      <c r="BYW38" s="292"/>
      <c r="BYX38" s="292"/>
      <c r="BYY38" s="292"/>
      <c r="BYZ38" s="292"/>
      <c r="BZA38" s="292"/>
      <c r="BZB38" s="292"/>
      <c r="BZC38" s="292"/>
      <c r="BZD38" s="292"/>
      <c r="BZE38" s="292"/>
      <c r="BZF38" s="292"/>
      <c r="BZG38" s="292"/>
      <c r="BZH38" s="292"/>
      <c r="BZI38" s="292"/>
      <c r="BZJ38" s="292"/>
      <c r="BZK38" s="292"/>
      <c r="BZL38" s="292"/>
      <c r="BZM38" s="292"/>
      <c r="BZN38" s="292"/>
      <c r="BZO38" s="292"/>
      <c r="BZP38" s="292"/>
      <c r="BZQ38" s="292"/>
      <c r="BZR38" s="292"/>
      <c r="BZS38" s="292"/>
      <c r="BZT38" s="292"/>
      <c r="BZU38" s="292"/>
      <c r="BZV38" s="292"/>
      <c r="BZW38" s="292"/>
      <c r="BZX38" s="292"/>
      <c r="BZY38" s="292"/>
      <c r="BZZ38" s="292"/>
      <c r="CAA38" s="292"/>
      <c r="CAB38" s="292"/>
      <c r="CAC38" s="292"/>
      <c r="CAD38" s="292"/>
      <c r="CAE38" s="292"/>
      <c r="CAF38" s="292"/>
      <c r="CAG38" s="292"/>
      <c r="CAH38" s="292"/>
      <c r="CAI38" s="292"/>
      <c r="CAJ38" s="292"/>
      <c r="CAK38" s="292"/>
      <c r="CAL38" s="292"/>
      <c r="CAM38" s="292"/>
      <c r="CAN38" s="292"/>
      <c r="CAO38" s="292"/>
      <c r="CAP38" s="292"/>
      <c r="CAQ38" s="292"/>
      <c r="CAR38" s="292"/>
      <c r="CAS38" s="292"/>
      <c r="CAT38" s="292"/>
      <c r="CAU38" s="292"/>
      <c r="CAV38" s="292"/>
      <c r="CAW38" s="292"/>
      <c r="CAX38" s="292"/>
      <c r="CAY38" s="292"/>
      <c r="CAZ38" s="292"/>
      <c r="CBA38" s="292"/>
      <c r="CBB38" s="292"/>
      <c r="CBC38" s="292"/>
      <c r="CBD38" s="292"/>
      <c r="CBE38" s="292"/>
      <c r="CBF38" s="292"/>
      <c r="CBG38" s="292"/>
      <c r="CBH38" s="292"/>
      <c r="CBI38" s="292"/>
      <c r="CBJ38" s="292"/>
      <c r="CBK38" s="292"/>
      <c r="CBL38" s="292"/>
      <c r="CBM38" s="292"/>
      <c r="CBN38" s="292"/>
      <c r="CBO38" s="292"/>
      <c r="CBP38" s="292"/>
      <c r="CBQ38" s="292"/>
      <c r="CBR38" s="292"/>
      <c r="CBS38" s="292"/>
      <c r="CBT38" s="292"/>
      <c r="CBU38" s="292"/>
      <c r="CBV38" s="292"/>
      <c r="CBW38" s="292"/>
      <c r="CBX38" s="292"/>
      <c r="CBY38" s="292"/>
      <c r="CBZ38" s="292"/>
      <c r="CCA38" s="292"/>
      <c r="CCB38" s="292"/>
      <c r="CCC38" s="292"/>
      <c r="CCD38" s="292"/>
      <c r="CCE38" s="292"/>
      <c r="CCF38" s="292"/>
      <c r="CCG38" s="292"/>
      <c r="CCH38" s="292"/>
      <c r="CCI38" s="292"/>
      <c r="CCJ38" s="292"/>
      <c r="CCK38" s="292"/>
      <c r="CCL38" s="292"/>
      <c r="CCM38" s="292"/>
      <c r="CCN38" s="292"/>
      <c r="CCO38" s="292"/>
      <c r="CCP38" s="292"/>
      <c r="CCQ38" s="292"/>
      <c r="CCR38" s="292"/>
      <c r="CCS38" s="292"/>
      <c r="CCT38" s="292"/>
      <c r="CCU38" s="292"/>
      <c r="CCV38" s="292"/>
      <c r="CCW38" s="292"/>
      <c r="CCX38" s="292"/>
      <c r="CCY38" s="292"/>
      <c r="CCZ38" s="292"/>
      <c r="CDA38" s="292"/>
      <c r="CDB38" s="292"/>
      <c r="CDC38" s="292"/>
      <c r="CDD38" s="292"/>
      <c r="CDE38" s="292"/>
      <c r="CDF38" s="292"/>
      <c r="CDG38" s="292"/>
      <c r="CDH38" s="292"/>
      <c r="CDI38" s="292"/>
      <c r="CDJ38" s="292"/>
      <c r="CDK38" s="292"/>
      <c r="CDL38" s="292"/>
      <c r="CDM38" s="292"/>
      <c r="CDN38" s="292"/>
      <c r="CDO38" s="292"/>
      <c r="CDP38" s="292"/>
      <c r="CDQ38" s="292"/>
      <c r="CDR38" s="292"/>
      <c r="CDS38" s="292"/>
      <c r="CDT38" s="292"/>
      <c r="CDU38" s="292"/>
      <c r="CDV38" s="292"/>
      <c r="CDW38" s="292"/>
      <c r="CDX38" s="292"/>
      <c r="CDY38" s="292"/>
      <c r="CDZ38" s="292"/>
      <c r="CEA38" s="292"/>
      <c r="CEB38" s="292"/>
      <c r="CEC38" s="292"/>
      <c r="CED38" s="292"/>
      <c r="CEE38" s="292"/>
      <c r="CEF38" s="292"/>
      <c r="CEG38" s="292"/>
      <c r="CEH38" s="292"/>
      <c r="CEI38" s="292"/>
      <c r="CEJ38" s="292"/>
      <c r="CEK38" s="292"/>
      <c r="CEL38" s="292"/>
      <c r="CEM38" s="292"/>
      <c r="CEN38" s="292"/>
      <c r="CEO38" s="292"/>
      <c r="CEP38" s="292"/>
      <c r="CEQ38" s="292"/>
      <c r="CER38" s="292"/>
      <c r="CES38" s="292"/>
      <c r="CET38" s="292"/>
      <c r="CEU38" s="292"/>
      <c r="CEV38" s="292"/>
      <c r="CEW38" s="292"/>
      <c r="CEX38" s="292"/>
      <c r="CEY38" s="292"/>
      <c r="CEZ38" s="292"/>
      <c r="CFA38" s="292"/>
      <c r="CFB38" s="292"/>
      <c r="CFC38" s="292"/>
      <c r="CFD38" s="292"/>
      <c r="CFE38" s="292"/>
      <c r="CFF38" s="292"/>
      <c r="CFG38" s="292"/>
      <c r="CFH38" s="292"/>
      <c r="CFI38" s="292"/>
      <c r="CFJ38" s="292"/>
      <c r="CFK38" s="292"/>
      <c r="CFL38" s="292"/>
      <c r="CFM38" s="292"/>
      <c r="CFN38" s="292"/>
      <c r="CFO38" s="292"/>
      <c r="CFP38" s="292"/>
      <c r="CFQ38" s="292"/>
      <c r="CFR38" s="292"/>
      <c r="CFS38" s="292"/>
      <c r="CFT38" s="292"/>
      <c r="CFU38" s="292"/>
      <c r="CFV38" s="292"/>
      <c r="CFW38" s="292"/>
      <c r="CFX38" s="292"/>
      <c r="CFY38" s="292"/>
      <c r="CFZ38" s="292"/>
      <c r="CGA38" s="292"/>
      <c r="CGB38" s="292"/>
      <c r="CGC38" s="292"/>
      <c r="CGD38" s="292"/>
      <c r="CGE38" s="292"/>
      <c r="CGF38" s="292"/>
      <c r="CGG38" s="292"/>
      <c r="CGH38" s="292"/>
      <c r="CGI38" s="292"/>
      <c r="CGJ38" s="292"/>
      <c r="CGK38" s="292"/>
      <c r="CGL38" s="292"/>
      <c r="CGM38" s="292"/>
      <c r="CGN38" s="292"/>
      <c r="CGO38" s="292"/>
      <c r="CGP38" s="292"/>
      <c r="CGQ38" s="292"/>
      <c r="CGR38" s="292"/>
      <c r="CGS38" s="292"/>
      <c r="CGT38" s="292"/>
      <c r="CGU38" s="292"/>
      <c r="CGV38" s="292"/>
      <c r="CGW38" s="292"/>
      <c r="CGX38" s="292"/>
      <c r="CGY38" s="292"/>
      <c r="CGZ38" s="292"/>
      <c r="CHA38" s="292"/>
      <c r="CHB38" s="292"/>
      <c r="CHC38" s="292"/>
      <c r="CHD38" s="292"/>
      <c r="CHE38" s="292"/>
      <c r="CHF38" s="292"/>
      <c r="CHG38" s="292"/>
      <c r="CHH38" s="292"/>
      <c r="CHI38" s="292"/>
      <c r="CHJ38" s="292"/>
      <c r="CHK38" s="292"/>
      <c r="CHL38" s="292"/>
      <c r="CHM38" s="292"/>
      <c r="CHN38" s="292"/>
      <c r="CHO38" s="292"/>
      <c r="CHP38" s="292"/>
      <c r="CHQ38" s="292"/>
      <c r="CHR38" s="292"/>
      <c r="CHS38" s="292"/>
      <c r="CHT38" s="292"/>
      <c r="CHU38" s="292"/>
      <c r="CHV38" s="292"/>
      <c r="CHW38" s="292"/>
      <c r="CHX38" s="292"/>
      <c r="CHY38" s="292"/>
      <c r="CHZ38" s="292"/>
      <c r="CIA38" s="292"/>
      <c r="CIB38" s="292"/>
      <c r="CIC38" s="292"/>
      <c r="CID38" s="292"/>
      <c r="CIE38" s="292"/>
      <c r="CIF38" s="292"/>
      <c r="CIG38" s="292"/>
      <c r="CIH38" s="292"/>
      <c r="CII38" s="292"/>
      <c r="CIJ38" s="292"/>
      <c r="CIK38" s="292"/>
      <c r="CIL38" s="292"/>
      <c r="CIM38" s="292"/>
      <c r="CIN38" s="292"/>
      <c r="CIO38" s="292"/>
      <c r="CIP38" s="292"/>
      <c r="CIQ38" s="292"/>
      <c r="CIR38" s="292"/>
      <c r="CIS38" s="292"/>
      <c r="CIT38" s="292"/>
      <c r="CIU38" s="292"/>
      <c r="CIV38" s="292"/>
      <c r="CIW38" s="292"/>
      <c r="CIX38" s="292"/>
      <c r="CIY38" s="292"/>
      <c r="CIZ38" s="292"/>
      <c r="CJA38" s="292"/>
      <c r="CJB38" s="292"/>
      <c r="CJC38" s="292"/>
      <c r="CJD38" s="292"/>
      <c r="CJE38" s="292"/>
      <c r="CJF38" s="292"/>
      <c r="CJG38" s="292"/>
      <c r="CJH38" s="292"/>
      <c r="CJI38" s="292"/>
      <c r="CJJ38" s="292"/>
      <c r="CJK38" s="292"/>
      <c r="CJL38" s="292"/>
      <c r="CJM38" s="292"/>
      <c r="CJN38" s="292"/>
      <c r="CJO38" s="292"/>
      <c r="CJP38" s="292"/>
      <c r="CJQ38" s="292"/>
      <c r="CJR38" s="292"/>
      <c r="CJS38" s="292"/>
      <c r="CJT38" s="292"/>
      <c r="CJU38" s="292"/>
      <c r="CJV38" s="292"/>
      <c r="CJW38" s="292"/>
      <c r="CJX38" s="292"/>
      <c r="CJY38" s="292"/>
      <c r="CJZ38" s="292"/>
      <c r="CKA38" s="292"/>
      <c r="CKB38" s="292"/>
      <c r="CKC38" s="292"/>
      <c r="CKD38" s="292"/>
      <c r="CKE38" s="292"/>
      <c r="CKF38" s="292"/>
      <c r="CKG38" s="292"/>
      <c r="CKH38" s="292"/>
      <c r="CKI38" s="292"/>
      <c r="CKJ38" s="292"/>
      <c r="CKK38" s="292"/>
      <c r="CKL38" s="292"/>
      <c r="CKM38" s="292"/>
      <c r="CKN38" s="292"/>
      <c r="CKO38" s="292"/>
      <c r="CKP38" s="292"/>
      <c r="CKQ38" s="292"/>
      <c r="CKR38" s="292"/>
      <c r="CKS38" s="292"/>
      <c r="CKT38" s="292"/>
      <c r="CKU38" s="292"/>
      <c r="CKV38" s="292"/>
      <c r="CKW38" s="292"/>
      <c r="CKX38" s="292"/>
      <c r="CKY38" s="292"/>
      <c r="CKZ38" s="292"/>
      <c r="CLA38" s="292"/>
      <c r="CLB38" s="292"/>
      <c r="CLC38" s="292"/>
      <c r="CLD38" s="292"/>
      <c r="CLE38" s="292"/>
      <c r="CLF38" s="292"/>
      <c r="CLG38" s="292"/>
      <c r="CLH38" s="292"/>
      <c r="CLI38" s="292"/>
      <c r="CLJ38" s="292"/>
      <c r="CLK38" s="292"/>
      <c r="CLL38" s="292"/>
      <c r="CLM38" s="292"/>
      <c r="CLN38" s="292"/>
      <c r="CLO38" s="292"/>
      <c r="CLP38" s="292"/>
      <c r="CLQ38" s="292"/>
      <c r="CLR38" s="292"/>
      <c r="CLS38" s="292"/>
      <c r="CLT38" s="292"/>
      <c r="CLU38" s="292"/>
      <c r="CLV38" s="292"/>
      <c r="CLW38" s="292"/>
      <c r="CLX38" s="292"/>
      <c r="CLY38" s="292"/>
      <c r="CLZ38" s="292"/>
      <c r="CMA38" s="292"/>
      <c r="CMB38" s="292"/>
      <c r="CMC38" s="292"/>
      <c r="CMD38" s="292"/>
      <c r="CME38" s="292"/>
      <c r="CMF38" s="292"/>
      <c r="CMG38" s="292"/>
      <c r="CMH38" s="292"/>
      <c r="CMI38" s="292"/>
      <c r="CMJ38" s="292"/>
      <c r="CMK38" s="292"/>
      <c r="CML38" s="292"/>
      <c r="CMM38" s="292"/>
      <c r="CMN38" s="292"/>
      <c r="CMO38" s="292"/>
      <c r="CMP38" s="292"/>
      <c r="CMQ38" s="292"/>
      <c r="CMR38" s="292"/>
      <c r="CMS38" s="292"/>
      <c r="CMT38" s="292"/>
      <c r="CMU38" s="292"/>
      <c r="CMV38" s="292"/>
      <c r="CMW38" s="292"/>
      <c r="CMX38" s="292"/>
      <c r="CMY38" s="292"/>
      <c r="CMZ38" s="292"/>
      <c r="CNA38" s="292"/>
      <c r="CNB38" s="292"/>
      <c r="CNC38" s="292"/>
      <c r="CND38" s="292"/>
      <c r="CNE38" s="292"/>
      <c r="CNF38" s="292"/>
      <c r="CNG38" s="292"/>
      <c r="CNH38" s="292"/>
      <c r="CNI38" s="292"/>
      <c r="CNJ38" s="292"/>
      <c r="CNK38" s="292"/>
      <c r="CNL38" s="292"/>
      <c r="CNM38" s="292"/>
      <c r="CNN38" s="292"/>
      <c r="CNO38" s="292"/>
      <c r="CNP38" s="292"/>
      <c r="CNQ38" s="292"/>
      <c r="CNR38" s="292"/>
      <c r="CNS38" s="292"/>
      <c r="CNT38" s="292"/>
      <c r="CNU38" s="292"/>
      <c r="CNV38" s="292"/>
      <c r="CNW38" s="292"/>
      <c r="CNX38" s="292"/>
      <c r="CNY38" s="292"/>
      <c r="CNZ38" s="292"/>
      <c r="COA38" s="292"/>
      <c r="COB38" s="292"/>
      <c r="COC38" s="292"/>
      <c r="COD38" s="292"/>
      <c r="COE38" s="292"/>
      <c r="COF38" s="292"/>
      <c r="COG38" s="292"/>
      <c r="COH38" s="292"/>
      <c r="COI38" s="292"/>
      <c r="COJ38" s="292"/>
      <c r="COK38" s="292"/>
      <c r="COL38" s="292"/>
      <c r="COM38" s="292"/>
      <c r="CON38" s="292"/>
      <c r="COO38" s="292"/>
      <c r="COP38" s="292"/>
      <c r="COQ38" s="292"/>
      <c r="COR38" s="292"/>
      <c r="COS38" s="292"/>
      <c r="COT38" s="292"/>
      <c r="COU38" s="292"/>
      <c r="COV38" s="292"/>
      <c r="COW38" s="292"/>
      <c r="COX38" s="292"/>
      <c r="COY38" s="292"/>
      <c r="COZ38" s="292"/>
      <c r="CPA38" s="292"/>
      <c r="CPB38" s="292"/>
      <c r="CPC38" s="292"/>
      <c r="CPD38" s="292"/>
      <c r="CPE38" s="292"/>
      <c r="CPF38" s="292"/>
      <c r="CPG38" s="292"/>
      <c r="CPH38" s="292"/>
      <c r="CPI38" s="292"/>
      <c r="CPJ38" s="292"/>
      <c r="CPK38" s="292"/>
      <c r="CPL38" s="292"/>
      <c r="CPM38" s="292"/>
      <c r="CPN38" s="292"/>
      <c r="CPO38" s="292"/>
      <c r="CPP38" s="292"/>
      <c r="CPQ38" s="292"/>
      <c r="CPR38" s="292"/>
      <c r="CPS38" s="292"/>
      <c r="CPT38" s="292"/>
      <c r="CPU38" s="292"/>
      <c r="CPV38" s="292"/>
      <c r="CPW38" s="292"/>
      <c r="CPX38" s="292"/>
      <c r="CPY38" s="292"/>
      <c r="CPZ38" s="292"/>
      <c r="CQA38" s="292"/>
      <c r="CQB38" s="292"/>
      <c r="CQC38" s="292"/>
      <c r="CQD38" s="292"/>
      <c r="CQE38" s="292"/>
      <c r="CQF38" s="292"/>
      <c r="CQG38" s="292"/>
      <c r="CQH38" s="292"/>
      <c r="CQI38" s="292"/>
      <c r="CQJ38" s="292"/>
      <c r="CQK38" s="292"/>
      <c r="CQL38" s="292"/>
      <c r="CQM38" s="292"/>
      <c r="CQN38" s="292"/>
      <c r="CQO38" s="292"/>
      <c r="CQP38" s="292"/>
      <c r="CQQ38" s="292"/>
      <c r="CQR38" s="292"/>
      <c r="CQS38" s="292"/>
      <c r="CQT38" s="292"/>
      <c r="CQU38" s="292"/>
      <c r="CQV38" s="292"/>
      <c r="CQW38" s="292"/>
      <c r="CQX38" s="292"/>
      <c r="CQY38" s="292"/>
      <c r="CQZ38" s="292"/>
      <c r="CRA38" s="292"/>
      <c r="CRB38" s="292"/>
      <c r="CRC38" s="292"/>
      <c r="CRD38" s="292"/>
      <c r="CRE38" s="292"/>
      <c r="CRF38" s="292"/>
      <c r="CRG38" s="292"/>
      <c r="CRH38" s="292"/>
      <c r="CRI38" s="292"/>
      <c r="CRJ38" s="292"/>
      <c r="CRK38" s="292"/>
      <c r="CRL38" s="292"/>
      <c r="CRM38" s="292"/>
      <c r="CRN38" s="292"/>
      <c r="CRO38" s="292"/>
      <c r="CRP38" s="292"/>
      <c r="CRQ38" s="292"/>
      <c r="CRR38" s="292"/>
      <c r="CRS38" s="292"/>
      <c r="CRT38" s="292"/>
      <c r="CRU38" s="292"/>
      <c r="CRV38" s="292"/>
      <c r="CRW38" s="292"/>
      <c r="CRX38" s="292"/>
      <c r="CRY38" s="292"/>
      <c r="CRZ38" s="292"/>
      <c r="CSA38" s="292"/>
      <c r="CSB38" s="292"/>
      <c r="CSC38" s="292"/>
      <c r="CSD38" s="292"/>
      <c r="CSE38" s="292"/>
      <c r="CSF38" s="292"/>
      <c r="CSG38" s="292"/>
      <c r="CSH38" s="292"/>
      <c r="CSI38" s="292"/>
      <c r="CSJ38" s="292"/>
      <c r="CSK38" s="292"/>
      <c r="CSL38" s="292"/>
      <c r="CSM38" s="292"/>
      <c r="CSN38" s="292"/>
      <c r="CSO38" s="292"/>
      <c r="CSP38" s="292"/>
      <c r="CSQ38" s="292"/>
      <c r="CSR38" s="292"/>
      <c r="CSS38" s="292"/>
      <c r="CST38" s="292"/>
      <c r="CSU38" s="292"/>
      <c r="CSV38" s="292"/>
      <c r="CSW38" s="292"/>
      <c r="CSX38" s="292"/>
      <c r="CSY38" s="292"/>
      <c r="CSZ38" s="292"/>
      <c r="CTA38" s="292"/>
      <c r="CTB38" s="292"/>
      <c r="CTC38" s="292"/>
      <c r="CTD38" s="292"/>
      <c r="CTE38" s="292"/>
      <c r="CTF38" s="292"/>
      <c r="CTG38" s="292"/>
      <c r="CTH38" s="292"/>
      <c r="CTI38" s="292"/>
      <c r="CTJ38" s="292"/>
      <c r="CTK38" s="292"/>
      <c r="CTL38" s="292"/>
      <c r="CTM38" s="292"/>
      <c r="CTN38" s="292"/>
      <c r="CTO38" s="292"/>
      <c r="CTP38" s="292"/>
      <c r="CTQ38" s="292"/>
      <c r="CTR38" s="292"/>
      <c r="CTS38" s="292"/>
      <c r="CTT38" s="292"/>
      <c r="CTU38" s="292"/>
      <c r="CTV38" s="292"/>
      <c r="CTW38" s="292"/>
      <c r="CTX38" s="292"/>
      <c r="CTY38" s="292"/>
      <c r="CTZ38" s="292"/>
      <c r="CUA38" s="292"/>
      <c r="CUB38" s="292"/>
      <c r="CUC38" s="292"/>
      <c r="CUD38" s="292"/>
      <c r="CUE38" s="292"/>
      <c r="CUF38" s="292"/>
      <c r="CUG38" s="292"/>
      <c r="CUH38" s="292"/>
      <c r="CUI38" s="292"/>
      <c r="CUJ38" s="292"/>
      <c r="CUK38" s="292"/>
      <c r="CUL38" s="292"/>
      <c r="CUM38" s="292"/>
      <c r="CUN38" s="292"/>
      <c r="CUO38" s="292"/>
      <c r="CUP38" s="292"/>
      <c r="CUQ38" s="292"/>
      <c r="CUR38" s="292"/>
      <c r="CUS38" s="292"/>
      <c r="CUT38" s="292"/>
      <c r="CUU38" s="292"/>
      <c r="CUV38" s="292"/>
      <c r="CUW38" s="292"/>
      <c r="CUX38" s="292"/>
      <c r="CUY38" s="292"/>
      <c r="CUZ38" s="292"/>
      <c r="CVA38" s="292"/>
      <c r="CVB38" s="292"/>
      <c r="CVC38" s="292"/>
      <c r="CVD38" s="292"/>
      <c r="CVE38" s="292"/>
      <c r="CVF38" s="292"/>
      <c r="CVG38" s="292"/>
      <c r="CVH38" s="292"/>
      <c r="CVI38" s="292"/>
      <c r="CVJ38" s="292"/>
      <c r="CVK38" s="292"/>
      <c r="CVL38" s="292"/>
      <c r="CVM38" s="292"/>
      <c r="CVN38" s="292"/>
      <c r="CVO38" s="292"/>
      <c r="CVP38" s="292"/>
      <c r="CVQ38" s="292"/>
      <c r="CVR38" s="292"/>
      <c r="CVS38" s="292"/>
      <c r="CVT38" s="292"/>
      <c r="CVU38" s="292"/>
      <c r="CVV38" s="292"/>
      <c r="CVW38" s="292"/>
      <c r="CVX38" s="292"/>
      <c r="CVY38" s="292"/>
      <c r="CVZ38" s="292"/>
      <c r="CWA38" s="292"/>
      <c r="CWB38" s="292"/>
      <c r="CWC38" s="292"/>
      <c r="CWD38" s="292"/>
      <c r="CWE38" s="292"/>
      <c r="CWF38" s="292"/>
      <c r="CWG38" s="292"/>
      <c r="CWH38" s="292"/>
      <c r="CWI38" s="292"/>
      <c r="CWJ38" s="292"/>
      <c r="CWK38" s="292"/>
      <c r="CWL38" s="292"/>
      <c r="CWM38" s="292"/>
      <c r="CWN38" s="292"/>
      <c r="CWO38" s="292"/>
      <c r="CWP38" s="292"/>
      <c r="CWQ38" s="292"/>
      <c r="CWR38" s="292"/>
      <c r="CWS38" s="292"/>
      <c r="CWT38" s="292"/>
      <c r="CWU38" s="292"/>
      <c r="CWV38" s="292"/>
      <c r="CWW38" s="292"/>
      <c r="CWX38" s="292"/>
      <c r="CWY38" s="292"/>
      <c r="CWZ38" s="292"/>
      <c r="CXA38" s="292"/>
      <c r="CXB38" s="292"/>
      <c r="CXC38" s="292"/>
      <c r="CXD38" s="292"/>
      <c r="CXE38" s="292"/>
      <c r="CXF38" s="292"/>
      <c r="CXG38" s="292"/>
      <c r="CXH38" s="292"/>
      <c r="CXI38" s="292"/>
      <c r="CXJ38" s="292"/>
      <c r="CXK38" s="292"/>
      <c r="CXL38" s="292"/>
      <c r="CXM38" s="292"/>
      <c r="CXN38" s="292"/>
      <c r="CXO38" s="292"/>
      <c r="CXP38" s="292"/>
      <c r="CXQ38" s="292"/>
      <c r="CXR38" s="292"/>
      <c r="CXS38" s="292"/>
      <c r="CXT38" s="292"/>
      <c r="CXU38" s="292"/>
      <c r="CXV38" s="292"/>
      <c r="CXW38" s="292"/>
      <c r="CXX38" s="292"/>
      <c r="CXY38" s="292"/>
      <c r="CXZ38" s="292"/>
      <c r="CYA38" s="292"/>
      <c r="CYB38" s="292"/>
      <c r="CYC38" s="292"/>
      <c r="CYD38" s="292"/>
      <c r="CYE38" s="292"/>
      <c r="CYF38" s="292"/>
      <c r="CYG38" s="292"/>
      <c r="CYH38" s="292"/>
      <c r="CYI38" s="292"/>
      <c r="CYJ38" s="292"/>
      <c r="CYK38" s="292"/>
      <c r="CYL38" s="292"/>
      <c r="CYM38" s="292"/>
      <c r="CYN38" s="292"/>
      <c r="CYO38" s="292"/>
      <c r="CYP38" s="292"/>
      <c r="CYQ38" s="292"/>
      <c r="CYR38" s="292"/>
      <c r="CYS38" s="292"/>
      <c r="CYT38" s="292"/>
      <c r="CYU38" s="292"/>
      <c r="CYV38" s="292"/>
      <c r="CYW38" s="292"/>
      <c r="CYX38" s="292"/>
      <c r="CYY38" s="292"/>
      <c r="CYZ38" s="292"/>
      <c r="CZA38" s="292"/>
      <c r="CZB38" s="292"/>
      <c r="CZC38" s="292"/>
      <c r="CZD38" s="292"/>
      <c r="CZE38" s="292"/>
      <c r="CZF38" s="292"/>
      <c r="CZG38" s="292"/>
      <c r="CZH38" s="292"/>
      <c r="CZI38" s="292"/>
      <c r="CZJ38" s="292"/>
      <c r="CZK38" s="292"/>
      <c r="CZL38" s="292"/>
      <c r="CZM38" s="292"/>
      <c r="CZN38" s="292"/>
      <c r="CZO38" s="292"/>
      <c r="CZP38" s="292"/>
      <c r="CZQ38" s="292"/>
      <c r="CZR38" s="292"/>
      <c r="CZS38" s="292"/>
      <c r="CZT38" s="292"/>
      <c r="CZU38" s="292"/>
      <c r="CZV38" s="292"/>
      <c r="CZW38" s="292"/>
      <c r="CZX38" s="292"/>
      <c r="CZY38" s="292"/>
      <c r="CZZ38" s="292"/>
      <c r="DAA38" s="292"/>
      <c r="DAB38" s="292"/>
      <c r="DAC38" s="292"/>
      <c r="DAD38" s="292"/>
      <c r="DAE38" s="292"/>
      <c r="DAF38" s="292"/>
      <c r="DAG38" s="292"/>
      <c r="DAH38" s="292"/>
      <c r="DAI38" s="292"/>
      <c r="DAJ38" s="292"/>
      <c r="DAK38" s="292"/>
      <c r="DAL38" s="292"/>
      <c r="DAM38" s="292"/>
      <c r="DAN38" s="292"/>
      <c r="DAO38" s="292"/>
      <c r="DAP38" s="292"/>
      <c r="DAQ38" s="292"/>
      <c r="DAR38" s="292"/>
      <c r="DAS38" s="292"/>
      <c r="DAT38" s="292"/>
      <c r="DAU38" s="292"/>
      <c r="DAV38" s="292"/>
      <c r="DAW38" s="292"/>
      <c r="DAX38" s="292"/>
      <c r="DAY38" s="292"/>
      <c r="DAZ38" s="292"/>
      <c r="DBA38" s="292"/>
      <c r="DBB38" s="292"/>
      <c r="DBC38" s="292"/>
      <c r="DBD38" s="292"/>
      <c r="DBE38" s="292"/>
      <c r="DBF38" s="292"/>
      <c r="DBG38" s="292"/>
      <c r="DBH38" s="292"/>
      <c r="DBI38" s="292"/>
      <c r="DBJ38" s="292"/>
      <c r="DBK38" s="292"/>
      <c r="DBL38" s="292"/>
      <c r="DBM38" s="292"/>
      <c r="DBN38" s="292"/>
      <c r="DBO38" s="292"/>
      <c r="DBP38" s="292"/>
      <c r="DBQ38" s="292"/>
      <c r="DBR38" s="292"/>
      <c r="DBS38" s="292"/>
      <c r="DBT38" s="292"/>
      <c r="DBU38" s="292"/>
      <c r="DBV38" s="292"/>
      <c r="DBW38" s="292"/>
      <c r="DBX38" s="292"/>
      <c r="DBY38" s="292"/>
      <c r="DBZ38" s="292"/>
      <c r="DCA38" s="292"/>
      <c r="DCB38" s="292"/>
      <c r="DCC38" s="292"/>
      <c r="DCD38" s="292"/>
      <c r="DCE38" s="292"/>
      <c r="DCF38" s="292"/>
      <c r="DCG38" s="292"/>
      <c r="DCH38" s="292"/>
      <c r="DCI38" s="292"/>
      <c r="DCJ38" s="292"/>
      <c r="DCK38" s="292"/>
      <c r="DCL38" s="292"/>
      <c r="DCM38" s="292"/>
      <c r="DCN38" s="292"/>
      <c r="DCO38" s="292"/>
      <c r="DCP38" s="292"/>
      <c r="DCQ38" s="292"/>
      <c r="DCR38" s="292"/>
      <c r="DCS38" s="292"/>
      <c r="DCT38" s="292"/>
      <c r="DCU38" s="292"/>
      <c r="DCV38" s="292"/>
      <c r="DCW38" s="292"/>
      <c r="DCX38" s="292"/>
      <c r="DCY38" s="292"/>
      <c r="DCZ38" s="292"/>
      <c r="DDA38" s="292"/>
      <c r="DDB38" s="292"/>
      <c r="DDC38" s="292"/>
      <c r="DDD38" s="292"/>
      <c r="DDE38" s="292"/>
      <c r="DDF38" s="292"/>
      <c r="DDG38" s="292"/>
      <c r="DDH38" s="292"/>
      <c r="DDI38" s="292"/>
      <c r="DDJ38" s="292"/>
      <c r="DDK38" s="292"/>
      <c r="DDL38" s="292"/>
      <c r="DDM38" s="292"/>
      <c r="DDN38" s="292"/>
      <c r="DDO38" s="292"/>
      <c r="DDP38" s="292"/>
      <c r="DDQ38" s="292"/>
      <c r="DDR38" s="292"/>
      <c r="DDS38" s="292"/>
      <c r="DDT38" s="292"/>
      <c r="DDU38" s="292"/>
      <c r="DDV38" s="292"/>
      <c r="DDW38" s="292"/>
      <c r="DDX38" s="292"/>
      <c r="DDY38" s="292"/>
      <c r="DDZ38" s="292"/>
      <c r="DEA38" s="292"/>
      <c r="DEB38" s="292"/>
      <c r="DEC38" s="292"/>
      <c r="DED38" s="292"/>
      <c r="DEE38" s="292"/>
      <c r="DEF38" s="292"/>
      <c r="DEG38" s="292"/>
      <c r="DEH38" s="292"/>
      <c r="DEI38" s="292"/>
      <c r="DEJ38" s="292"/>
      <c r="DEK38" s="292"/>
      <c r="DEL38" s="292"/>
      <c r="DEM38" s="292"/>
      <c r="DEN38" s="292"/>
      <c r="DEO38" s="292"/>
      <c r="DEP38" s="292"/>
      <c r="DEQ38" s="292"/>
      <c r="DER38" s="292"/>
      <c r="DES38" s="292"/>
      <c r="DET38" s="292"/>
      <c r="DEU38" s="292"/>
      <c r="DEV38" s="292"/>
      <c r="DEW38" s="292"/>
      <c r="DEX38" s="292"/>
      <c r="DEY38" s="292"/>
      <c r="DEZ38" s="292"/>
      <c r="DFA38" s="292"/>
      <c r="DFB38" s="292"/>
      <c r="DFC38" s="292"/>
      <c r="DFD38" s="292"/>
      <c r="DFE38" s="292"/>
      <c r="DFF38" s="292"/>
      <c r="DFG38" s="292"/>
      <c r="DFH38" s="292"/>
      <c r="DFI38" s="292"/>
      <c r="DFJ38" s="292"/>
      <c r="DFK38" s="292"/>
      <c r="DFL38" s="292"/>
      <c r="DFM38" s="292"/>
      <c r="DFN38" s="292"/>
      <c r="DFO38" s="292"/>
      <c r="DFP38" s="292"/>
      <c r="DFQ38" s="292"/>
      <c r="DFR38" s="292"/>
      <c r="DFS38" s="292"/>
      <c r="DFT38" s="292"/>
      <c r="DFU38" s="292"/>
      <c r="DFV38" s="292"/>
      <c r="DFW38" s="292"/>
      <c r="DFX38" s="292"/>
      <c r="DFY38" s="292"/>
      <c r="DFZ38" s="292"/>
      <c r="DGA38" s="292"/>
      <c r="DGB38" s="292"/>
      <c r="DGC38" s="292"/>
      <c r="DGD38" s="292"/>
      <c r="DGE38" s="292"/>
      <c r="DGF38" s="292"/>
      <c r="DGG38" s="292"/>
      <c r="DGH38" s="292"/>
      <c r="DGI38" s="292"/>
      <c r="DGJ38" s="292"/>
      <c r="DGK38" s="292"/>
      <c r="DGL38" s="292"/>
      <c r="DGM38" s="292"/>
      <c r="DGN38" s="292"/>
      <c r="DGO38" s="292"/>
      <c r="DGP38" s="292"/>
      <c r="DGQ38" s="292"/>
      <c r="DGR38" s="292"/>
      <c r="DGS38" s="292"/>
      <c r="DGT38" s="292"/>
      <c r="DGU38" s="292"/>
      <c r="DGV38" s="292"/>
      <c r="DGW38" s="292"/>
      <c r="DGX38" s="292"/>
      <c r="DGY38" s="292"/>
      <c r="DGZ38" s="292"/>
      <c r="DHA38" s="292"/>
      <c r="DHB38" s="292"/>
      <c r="DHC38" s="292"/>
      <c r="DHD38" s="292"/>
      <c r="DHE38" s="292"/>
      <c r="DHF38" s="292"/>
      <c r="DHG38" s="292"/>
      <c r="DHH38" s="292"/>
      <c r="DHI38" s="292"/>
      <c r="DHJ38" s="292"/>
      <c r="DHK38" s="292"/>
      <c r="DHL38" s="292"/>
      <c r="DHM38" s="292"/>
      <c r="DHN38" s="292"/>
      <c r="DHO38" s="292"/>
      <c r="DHP38" s="292"/>
      <c r="DHQ38" s="292"/>
      <c r="DHR38" s="292"/>
      <c r="DHS38" s="292"/>
      <c r="DHT38" s="292"/>
      <c r="DHU38" s="292"/>
      <c r="DHV38" s="292"/>
      <c r="DHW38" s="292"/>
      <c r="DHX38" s="292"/>
      <c r="DHY38" s="292"/>
      <c r="DHZ38" s="292"/>
      <c r="DIA38" s="292"/>
      <c r="DIB38" s="292"/>
      <c r="DIC38" s="292"/>
      <c r="DID38" s="292"/>
      <c r="DIE38" s="292"/>
      <c r="DIF38" s="292"/>
      <c r="DIG38" s="292"/>
      <c r="DIH38" s="292"/>
      <c r="DII38" s="292"/>
      <c r="DIJ38" s="292"/>
      <c r="DIK38" s="292"/>
      <c r="DIL38" s="292"/>
      <c r="DIM38" s="292"/>
      <c r="DIN38" s="292"/>
      <c r="DIO38" s="292"/>
      <c r="DIP38" s="292"/>
      <c r="DIQ38" s="292"/>
      <c r="DIR38" s="292"/>
      <c r="DIS38" s="292"/>
      <c r="DIT38" s="292"/>
      <c r="DIU38" s="292"/>
      <c r="DIV38" s="292"/>
      <c r="DIW38" s="292"/>
      <c r="DIX38" s="292"/>
      <c r="DIY38" s="292"/>
      <c r="DIZ38" s="292"/>
      <c r="DJA38" s="292"/>
      <c r="DJB38" s="292"/>
      <c r="DJC38" s="292"/>
      <c r="DJD38" s="292"/>
      <c r="DJE38" s="292"/>
      <c r="DJF38" s="292"/>
      <c r="DJG38" s="292"/>
      <c r="DJH38" s="292"/>
      <c r="DJI38" s="292"/>
      <c r="DJJ38" s="292"/>
      <c r="DJK38" s="292"/>
      <c r="DJL38" s="292"/>
      <c r="DJM38" s="292"/>
      <c r="DJN38" s="292"/>
      <c r="DJO38" s="292"/>
      <c r="DJP38" s="292"/>
      <c r="DJQ38" s="292"/>
      <c r="DJR38" s="292"/>
      <c r="DJS38" s="292"/>
      <c r="DJT38" s="292"/>
      <c r="DJU38" s="292"/>
      <c r="DJV38" s="292"/>
      <c r="DJW38" s="292"/>
      <c r="DJX38" s="292"/>
      <c r="DJY38" s="292"/>
      <c r="DJZ38" s="292"/>
      <c r="DKA38" s="292"/>
      <c r="DKB38" s="292"/>
      <c r="DKC38" s="292"/>
      <c r="DKD38" s="292"/>
      <c r="DKE38" s="292"/>
      <c r="DKF38" s="292"/>
      <c r="DKG38" s="292"/>
      <c r="DKH38" s="292"/>
      <c r="DKI38" s="292"/>
      <c r="DKJ38" s="292"/>
      <c r="DKK38" s="292"/>
      <c r="DKL38" s="292"/>
      <c r="DKM38" s="292"/>
      <c r="DKN38" s="292"/>
      <c r="DKO38" s="292"/>
      <c r="DKP38" s="292"/>
      <c r="DKQ38" s="292"/>
      <c r="DKR38" s="292"/>
      <c r="DKS38" s="292"/>
      <c r="DKT38" s="292"/>
      <c r="DKU38" s="292"/>
      <c r="DKV38" s="292"/>
      <c r="DKW38" s="292"/>
      <c r="DKX38" s="292"/>
      <c r="DKY38" s="292"/>
      <c r="DKZ38" s="292"/>
      <c r="DLA38" s="292"/>
      <c r="DLB38" s="292"/>
      <c r="DLC38" s="292"/>
      <c r="DLD38" s="292"/>
      <c r="DLE38" s="292"/>
      <c r="DLF38" s="292"/>
      <c r="DLG38" s="292"/>
      <c r="DLH38" s="292"/>
      <c r="DLI38" s="292"/>
      <c r="DLJ38" s="292"/>
      <c r="DLK38" s="292"/>
      <c r="DLL38" s="292"/>
      <c r="DLM38" s="292"/>
      <c r="DLN38" s="292"/>
      <c r="DLO38" s="292"/>
      <c r="DLP38" s="292"/>
      <c r="DLQ38" s="292"/>
      <c r="DLR38" s="292"/>
      <c r="DLS38" s="292"/>
      <c r="DLT38" s="292"/>
      <c r="DLU38" s="292"/>
      <c r="DLV38" s="292"/>
      <c r="DLW38" s="292"/>
      <c r="DLX38" s="292"/>
      <c r="DLY38" s="292"/>
      <c r="DLZ38" s="292"/>
      <c r="DMA38" s="292"/>
      <c r="DMB38" s="292"/>
      <c r="DMC38" s="292"/>
      <c r="DMD38" s="292"/>
      <c r="DME38" s="292"/>
      <c r="DMF38" s="292"/>
      <c r="DMG38" s="292"/>
      <c r="DMH38" s="292"/>
      <c r="DMI38" s="292"/>
      <c r="DMJ38" s="292"/>
      <c r="DMK38" s="292"/>
      <c r="DML38" s="292"/>
      <c r="DMM38" s="292"/>
      <c r="DMN38" s="292"/>
      <c r="DMO38" s="292"/>
      <c r="DMP38" s="292"/>
      <c r="DMQ38" s="292"/>
      <c r="DMR38" s="292"/>
      <c r="DMS38" s="292"/>
      <c r="DMT38" s="292"/>
      <c r="DMU38" s="292"/>
      <c r="DMV38" s="292"/>
      <c r="DMW38" s="292"/>
      <c r="DMX38" s="292"/>
      <c r="DMY38" s="292"/>
      <c r="DMZ38" s="292"/>
      <c r="DNA38" s="292"/>
      <c r="DNB38" s="292"/>
      <c r="DNC38" s="292"/>
      <c r="DND38" s="292"/>
      <c r="DNE38" s="292"/>
      <c r="DNF38" s="292"/>
      <c r="DNG38" s="292"/>
      <c r="DNH38" s="292"/>
      <c r="DNI38" s="292"/>
      <c r="DNJ38" s="292"/>
      <c r="DNK38" s="292"/>
      <c r="DNL38" s="292"/>
      <c r="DNM38" s="292"/>
      <c r="DNN38" s="292"/>
      <c r="DNO38" s="292"/>
      <c r="DNP38" s="292"/>
      <c r="DNQ38" s="292"/>
      <c r="DNR38" s="292"/>
      <c r="DNS38" s="292"/>
      <c r="DNT38" s="292"/>
      <c r="DNU38" s="292"/>
      <c r="DNV38" s="292"/>
      <c r="DNW38" s="292"/>
      <c r="DNX38" s="292"/>
      <c r="DNY38" s="292"/>
      <c r="DNZ38" s="292"/>
      <c r="DOA38" s="292"/>
      <c r="DOB38" s="292"/>
      <c r="DOC38" s="292"/>
      <c r="DOD38" s="292"/>
      <c r="DOE38" s="292"/>
      <c r="DOF38" s="292"/>
      <c r="DOG38" s="292"/>
      <c r="DOH38" s="292"/>
      <c r="DOI38" s="292"/>
      <c r="DOJ38" s="292"/>
      <c r="DOK38" s="292"/>
      <c r="DOL38" s="292"/>
      <c r="DOM38" s="292"/>
      <c r="DON38" s="292"/>
      <c r="DOO38" s="292"/>
      <c r="DOP38" s="292"/>
      <c r="DOQ38" s="292"/>
      <c r="DOR38" s="292"/>
      <c r="DOS38" s="292"/>
      <c r="DOT38" s="292"/>
      <c r="DOU38" s="292"/>
      <c r="DOV38" s="292"/>
      <c r="DOW38" s="292"/>
      <c r="DOX38" s="292"/>
      <c r="DOY38" s="292"/>
      <c r="DOZ38" s="292"/>
      <c r="DPA38" s="292"/>
      <c r="DPB38" s="292"/>
      <c r="DPC38" s="292"/>
      <c r="DPD38" s="292"/>
      <c r="DPE38" s="292"/>
      <c r="DPF38" s="292"/>
      <c r="DPG38" s="292"/>
      <c r="DPH38" s="292"/>
      <c r="DPI38" s="292"/>
      <c r="DPJ38" s="292"/>
      <c r="DPK38" s="292"/>
      <c r="DPL38" s="292"/>
      <c r="DPM38" s="292"/>
      <c r="DPN38" s="292"/>
      <c r="DPO38" s="292"/>
      <c r="DPP38" s="292"/>
      <c r="DPQ38" s="292"/>
      <c r="DPR38" s="292"/>
      <c r="DPS38" s="292"/>
      <c r="DPT38" s="292"/>
      <c r="DPU38" s="292"/>
      <c r="DPV38" s="292"/>
      <c r="DPW38" s="292"/>
      <c r="DPX38" s="292"/>
      <c r="DPY38" s="292"/>
      <c r="DPZ38" s="292"/>
      <c r="DQA38" s="292"/>
      <c r="DQB38" s="292"/>
      <c r="DQC38" s="292"/>
      <c r="DQD38" s="292"/>
      <c r="DQE38" s="292"/>
      <c r="DQF38" s="292"/>
      <c r="DQG38" s="292"/>
      <c r="DQH38" s="292"/>
      <c r="DQI38" s="292"/>
      <c r="DQJ38" s="292"/>
      <c r="DQK38" s="292"/>
      <c r="DQL38" s="292"/>
      <c r="DQM38" s="292"/>
      <c r="DQN38" s="292"/>
      <c r="DQO38" s="292"/>
      <c r="DQP38" s="292"/>
      <c r="DQQ38" s="292"/>
      <c r="DQR38" s="292"/>
      <c r="DQS38" s="292"/>
      <c r="DQT38" s="292"/>
      <c r="DQU38" s="292"/>
      <c r="DQV38" s="292"/>
      <c r="DQW38" s="292"/>
      <c r="DQX38" s="292"/>
      <c r="DQY38" s="292"/>
      <c r="DQZ38" s="292"/>
      <c r="DRA38" s="292"/>
      <c r="DRB38" s="292"/>
      <c r="DRC38" s="292"/>
      <c r="DRD38" s="292"/>
      <c r="DRE38" s="292"/>
      <c r="DRF38" s="292"/>
      <c r="DRG38" s="292"/>
      <c r="DRH38" s="292"/>
      <c r="DRI38" s="292"/>
      <c r="DRJ38" s="292"/>
      <c r="DRK38" s="292"/>
      <c r="DRL38" s="292"/>
      <c r="DRM38" s="292"/>
      <c r="DRN38" s="292"/>
      <c r="DRO38" s="292"/>
      <c r="DRP38" s="292"/>
      <c r="DRQ38" s="292"/>
      <c r="DRR38" s="292"/>
      <c r="DRS38" s="292"/>
      <c r="DRT38" s="292"/>
      <c r="DRU38" s="292"/>
      <c r="DRV38" s="292"/>
      <c r="DRW38" s="292"/>
      <c r="DRX38" s="292"/>
      <c r="DRY38" s="292"/>
      <c r="DRZ38" s="292"/>
      <c r="DSA38" s="292"/>
      <c r="DSB38" s="292"/>
      <c r="DSC38" s="292"/>
      <c r="DSD38" s="292"/>
      <c r="DSE38" s="292"/>
      <c r="DSF38" s="292"/>
      <c r="DSG38" s="292"/>
      <c r="DSH38" s="292"/>
      <c r="DSI38" s="292"/>
      <c r="DSJ38" s="292"/>
      <c r="DSK38" s="292"/>
      <c r="DSL38" s="292"/>
      <c r="DSM38" s="292"/>
      <c r="DSN38" s="292"/>
      <c r="DSO38" s="292"/>
      <c r="DSP38" s="292"/>
      <c r="DSQ38" s="292"/>
      <c r="DSR38" s="292"/>
      <c r="DSS38" s="292"/>
      <c r="DST38" s="292"/>
      <c r="DSU38" s="292"/>
      <c r="DSV38" s="292"/>
      <c r="DSW38" s="292"/>
      <c r="DSX38" s="292"/>
      <c r="DSY38" s="292"/>
      <c r="DSZ38" s="292"/>
      <c r="DTA38" s="292"/>
      <c r="DTB38" s="292"/>
      <c r="DTC38" s="292"/>
      <c r="DTD38" s="292"/>
      <c r="DTE38" s="292"/>
      <c r="DTF38" s="292"/>
      <c r="DTG38" s="292"/>
      <c r="DTH38" s="292"/>
      <c r="DTI38" s="292"/>
      <c r="DTJ38" s="292"/>
      <c r="DTK38" s="292"/>
      <c r="DTL38" s="292"/>
      <c r="DTM38" s="292"/>
      <c r="DTN38" s="292"/>
      <c r="DTO38" s="292"/>
      <c r="DTP38" s="292"/>
      <c r="DTQ38" s="292"/>
      <c r="DTR38" s="292"/>
      <c r="DTS38" s="292"/>
      <c r="DTT38" s="292"/>
      <c r="DTU38" s="292"/>
      <c r="DTV38" s="292"/>
      <c r="DTW38" s="292"/>
      <c r="DTX38" s="292"/>
      <c r="DTY38" s="292"/>
      <c r="DTZ38" s="292"/>
      <c r="DUA38" s="292"/>
      <c r="DUB38" s="292"/>
      <c r="DUC38" s="292"/>
      <c r="DUD38" s="292"/>
      <c r="DUE38" s="292"/>
      <c r="DUF38" s="292"/>
      <c r="DUG38" s="292"/>
      <c r="DUH38" s="292"/>
      <c r="DUI38" s="292"/>
      <c r="DUJ38" s="292"/>
      <c r="DUK38" s="292"/>
      <c r="DUL38" s="292"/>
      <c r="DUM38" s="292"/>
      <c r="DUN38" s="292"/>
      <c r="DUO38" s="292"/>
      <c r="DUP38" s="292"/>
      <c r="DUQ38" s="292"/>
      <c r="DUR38" s="292"/>
      <c r="DUS38" s="292"/>
      <c r="DUT38" s="292"/>
      <c r="DUU38" s="292"/>
      <c r="DUV38" s="292"/>
      <c r="DUW38" s="292"/>
      <c r="DUX38" s="292"/>
      <c r="DUY38" s="292"/>
      <c r="DUZ38" s="292"/>
      <c r="DVA38" s="292"/>
      <c r="DVB38" s="292"/>
      <c r="DVC38" s="292"/>
      <c r="DVD38" s="292"/>
      <c r="DVE38" s="292"/>
      <c r="DVF38" s="292"/>
      <c r="DVG38" s="292"/>
      <c r="DVH38" s="292"/>
      <c r="DVI38" s="292"/>
      <c r="DVJ38" s="292"/>
      <c r="DVK38" s="292"/>
      <c r="DVL38" s="292"/>
      <c r="DVM38" s="292"/>
      <c r="DVN38" s="292"/>
      <c r="DVO38" s="292"/>
      <c r="DVP38" s="292"/>
      <c r="DVQ38" s="292"/>
      <c r="DVR38" s="292"/>
      <c r="DVS38" s="292"/>
      <c r="DVT38" s="292"/>
      <c r="DVU38" s="292"/>
      <c r="DVV38" s="292"/>
      <c r="DVW38" s="292"/>
      <c r="DVX38" s="292"/>
      <c r="DVY38" s="292"/>
      <c r="DVZ38" s="292"/>
      <c r="DWA38" s="292"/>
      <c r="DWB38" s="292"/>
      <c r="DWC38" s="292"/>
      <c r="DWD38" s="292"/>
      <c r="DWE38" s="292"/>
      <c r="DWF38" s="292"/>
      <c r="DWG38" s="292"/>
      <c r="DWH38" s="292"/>
      <c r="DWI38" s="292"/>
      <c r="DWJ38" s="292"/>
      <c r="DWK38" s="292"/>
      <c r="DWL38" s="292"/>
      <c r="DWM38" s="292"/>
      <c r="DWN38" s="292"/>
      <c r="DWO38" s="292"/>
      <c r="DWP38" s="292"/>
      <c r="DWQ38" s="292"/>
      <c r="DWR38" s="292"/>
      <c r="DWS38" s="292"/>
      <c r="DWT38" s="292"/>
      <c r="DWU38" s="292"/>
      <c r="DWV38" s="292"/>
      <c r="DWW38" s="292"/>
      <c r="DWX38" s="292"/>
      <c r="DWY38" s="292"/>
      <c r="DWZ38" s="292"/>
      <c r="DXA38" s="292"/>
      <c r="DXB38" s="292"/>
      <c r="DXC38" s="292"/>
      <c r="DXD38" s="292"/>
      <c r="DXE38" s="292"/>
      <c r="DXF38" s="292"/>
      <c r="DXG38" s="292"/>
      <c r="DXH38" s="292"/>
      <c r="DXI38" s="292"/>
      <c r="DXJ38" s="292"/>
      <c r="DXK38" s="292"/>
      <c r="DXL38" s="292"/>
      <c r="DXM38" s="292"/>
      <c r="DXN38" s="292"/>
      <c r="DXO38" s="292"/>
      <c r="DXP38" s="292"/>
      <c r="DXQ38" s="292"/>
      <c r="DXR38" s="292"/>
      <c r="DXS38" s="292"/>
      <c r="DXT38" s="292"/>
      <c r="DXU38" s="292"/>
      <c r="DXV38" s="292"/>
      <c r="DXW38" s="292"/>
      <c r="DXX38" s="292"/>
      <c r="DXY38" s="292"/>
      <c r="DXZ38" s="292"/>
      <c r="DYA38" s="292"/>
      <c r="DYB38" s="292"/>
      <c r="DYC38" s="292"/>
      <c r="DYD38" s="292"/>
      <c r="DYE38" s="292"/>
      <c r="DYF38" s="292"/>
      <c r="DYG38" s="292"/>
      <c r="DYH38" s="292"/>
      <c r="DYI38" s="292"/>
      <c r="DYJ38" s="292"/>
      <c r="DYK38" s="292"/>
      <c r="DYL38" s="292"/>
      <c r="DYM38" s="292"/>
      <c r="DYN38" s="292"/>
      <c r="DYO38" s="292"/>
      <c r="DYP38" s="292"/>
      <c r="DYQ38" s="292"/>
      <c r="DYR38" s="292"/>
      <c r="DYS38" s="292"/>
      <c r="DYT38" s="292"/>
      <c r="DYU38" s="292"/>
      <c r="DYV38" s="292"/>
      <c r="DYW38" s="292"/>
      <c r="DYX38" s="292"/>
      <c r="DYY38" s="292"/>
      <c r="DYZ38" s="292"/>
      <c r="DZA38" s="292"/>
      <c r="DZB38" s="292"/>
      <c r="DZC38" s="292"/>
      <c r="DZD38" s="292"/>
      <c r="DZE38" s="292"/>
      <c r="DZF38" s="292"/>
      <c r="DZG38" s="292"/>
      <c r="DZH38" s="292"/>
      <c r="DZI38" s="292"/>
      <c r="DZJ38" s="292"/>
      <c r="DZK38" s="292"/>
      <c r="DZL38" s="292"/>
      <c r="DZM38" s="292"/>
      <c r="DZN38" s="292"/>
      <c r="DZO38" s="292"/>
      <c r="DZP38" s="292"/>
      <c r="DZQ38" s="292"/>
      <c r="DZR38" s="292"/>
      <c r="DZS38" s="292"/>
      <c r="DZT38" s="292"/>
      <c r="DZU38" s="292"/>
      <c r="DZV38" s="292"/>
      <c r="DZW38" s="292"/>
      <c r="DZX38" s="292"/>
      <c r="DZY38" s="292"/>
      <c r="DZZ38" s="292"/>
      <c r="EAA38" s="292"/>
      <c r="EAB38" s="292"/>
      <c r="EAC38" s="292"/>
      <c r="EAD38" s="292"/>
      <c r="EAE38" s="292"/>
      <c r="EAF38" s="292"/>
      <c r="EAG38" s="292"/>
      <c r="EAH38" s="292"/>
      <c r="EAI38" s="292"/>
      <c r="EAJ38" s="292"/>
      <c r="EAK38" s="292"/>
      <c r="EAL38" s="292"/>
      <c r="EAM38" s="292"/>
      <c r="EAN38" s="292"/>
      <c r="EAO38" s="292"/>
      <c r="EAP38" s="292"/>
      <c r="EAQ38" s="292"/>
      <c r="EAR38" s="292"/>
      <c r="EAS38" s="292"/>
      <c r="EAT38" s="292"/>
      <c r="EAU38" s="292"/>
      <c r="EAV38" s="292"/>
      <c r="EAW38" s="292"/>
      <c r="EAX38" s="292"/>
      <c r="EAY38" s="292"/>
      <c r="EAZ38" s="292"/>
      <c r="EBA38" s="292"/>
      <c r="EBB38" s="292"/>
      <c r="EBC38" s="292"/>
      <c r="EBD38" s="292"/>
      <c r="EBE38" s="292"/>
      <c r="EBF38" s="292"/>
      <c r="EBG38" s="292"/>
      <c r="EBH38" s="292"/>
      <c r="EBI38" s="292"/>
      <c r="EBJ38" s="292"/>
      <c r="EBK38" s="292"/>
      <c r="EBL38" s="292"/>
      <c r="EBM38" s="292"/>
      <c r="EBN38" s="292"/>
      <c r="EBO38" s="292"/>
      <c r="EBP38" s="292"/>
      <c r="EBQ38" s="292"/>
      <c r="EBR38" s="292"/>
      <c r="EBS38" s="292"/>
      <c r="EBT38" s="292"/>
      <c r="EBU38" s="292"/>
      <c r="EBV38" s="292"/>
      <c r="EBW38" s="292"/>
      <c r="EBX38" s="292"/>
      <c r="EBY38" s="292"/>
      <c r="EBZ38" s="292"/>
      <c r="ECA38" s="292"/>
      <c r="ECB38" s="292"/>
      <c r="ECC38" s="292"/>
      <c r="ECD38" s="292"/>
      <c r="ECE38" s="292"/>
      <c r="ECF38" s="292"/>
      <c r="ECG38" s="292"/>
      <c r="ECH38" s="292"/>
      <c r="ECI38" s="292"/>
      <c r="ECJ38" s="292"/>
      <c r="ECK38" s="292"/>
      <c r="ECL38" s="292"/>
      <c r="ECM38" s="292"/>
      <c r="ECN38" s="292"/>
      <c r="ECO38" s="292"/>
      <c r="ECP38" s="292"/>
      <c r="ECQ38" s="292"/>
      <c r="ECR38" s="292"/>
      <c r="ECS38" s="292"/>
      <c r="ECT38" s="292"/>
      <c r="ECU38" s="292"/>
      <c r="ECV38" s="292"/>
      <c r="ECW38" s="292"/>
      <c r="ECX38" s="292"/>
      <c r="ECY38" s="292"/>
      <c r="ECZ38" s="292"/>
      <c r="EDA38" s="292"/>
      <c r="EDB38" s="292"/>
      <c r="EDC38" s="292"/>
      <c r="EDD38" s="292"/>
      <c r="EDE38" s="292"/>
      <c r="EDF38" s="292"/>
      <c r="EDG38" s="292"/>
      <c r="EDH38" s="292"/>
      <c r="EDI38" s="292"/>
      <c r="EDJ38" s="292"/>
      <c r="EDK38" s="292"/>
      <c r="EDL38" s="292"/>
      <c r="EDM38" s="292"/>
      <c r="EDN38" s="292"/>
      <c r="EDO38" s="292"/>
      <c r="EDP38" s="292"/>
      <c r="EDQ38" s="292"/>
      <c r="EDR38" s="292"/>
      <c r="EDS38" s="292"/>
      <c r="EDT38" s="292"/>
      <c r="EDU38" s="292"/>
      <c r="EDV38" s="292"/>
      <c r="EDW38" s="292"/>
      <c r="EDX38" s="292"/>
      <c r="EDY38" s="292"/>
      <c r="EDZ38" s="292"/>
      <c r="EEA38" s="292"/>
      <c r="EEB38" s="292"/>
      <c r="EEC38" s="292"/>
      <c r="EED38" s="292"/>
      <c r="EEE38" s="292"/>
      <c r="EEF38" s="292"/>
      <c r="EEG38" s="292"/>
      <c r="EEH38" s="292"/>
      <c r="EEI38" s="292"/>
      <c r="EEJ38" s="292"/>
      <c r="EEK38" s="292"/>
      <c r="EEL38" s="292"/>
      <c r="EEM38" s="292"/>
      <c r="EEN38" s="292"/>
      <c r="EEO38" s="292"/>
      <c r="EEP38" s="292"/>
      <c r="EEQ38" s="292"/>
      <c r="EER38" s="292"/>
      <c r="EES38" s="292"/>
      <c r="EET38" s="292"/>
      <c r="EEU38" s="292"/>
      <c r="EEV38" s="292"/>
      <c r="EEW38" s="292"/>
      <c r="EEX38" s="292"/>
      <c r="EEY38" s="292"/>
      <c r="EEZ38" s="292"/>
      <c r="EFA38" s="292"/>
      <c r="EFB38" s="292"/>
      <c r="EFC38" s="292"/>
      <c r="EFD38" s="292"/>
      <c r="EFE38" s="292"/>
      <c r="EFF38" s="292"/>
      <c r="EFG38" s="292"/>
      <c r="EFH38" s="292"/>
      <c r="EFI38" s="292"/>
      <c r="EFJ38" s="292"/>
      <c r="EFK38" s="292"/>
      <c r="EFL38" s="292"/>
      <c r="EFM38" s="292"/>
      <c r="EFN38" s="292"/>
      <c r="EFO38" s="292"/>
      <c r="EFP38" s="292"/>
      <c r="EFQ38" s="292"/>
      <c r="EFR38" s="292"/>
      <c r="EFS38" s="292"/>
      <c r="EFT38" s="292"/>
      <c r="EFU38" s="292"/>
      <c r="EFV38" s="292"/>
      <c r="EFW38" s="292"/>
      <c r="EFX38" s="292"/>
      <c r="EFY38" s="292"/>
      <c r="EFZ38" s="292"/>
      <c r="EGA38" s="292"/>
      <c r="EGB38" s="292"/>
      <c r="EGC38" s="292"/>
      <c r="EGD38" s="292"/>
      <c r="EGE38" s="292"/>
      <c r="EGF38" s="292"/>
      <c r="EGG38" s="292"/>
      <c r="EGH38" s="292"/>
      <c r="EGI38" s="292"/>
      <c r="EGJ38" s="292"/>
      <c r="EGK38" s="292"/>
      <c r="EGL38" s="292"/>
      <c r="EGM38" s="292"/>
      <c r="EGN38" s="292"/>
      <c r="EGO38" s="292"/>
      <c r="EGP38" s="292"/>
      <c r="EGQ38" s="292"/>
      <c r="EGR38" s="292"/>
      <c r="EGS38" s="292"/>
      <c r="EGT38" s="292"/>
      <c r="EGU38" s="292"/>
      <c r="EGV38" s="292"/>
      <c r="EGW38" s="292"/>
      <c r="EGX38" s="292"/>
      <c r="EGY38" s="292"/>
      <c r="EGZ38" s="292"/>
      <c r="EHA38" s="292"/>
      <c r="EHB38" s="292"/>
      <c r="EHC38" s="292"/>
      <c r="EHD38" s="292"/>
      <c r="EHE38" s="292"/>
      <c r="EHF38" s="292"/>
      <c r="EHG38" s="292"/>
      <c r="EHH38" s="292"/>
      <c r="EHI38" s="292"/>
      <c r="EHJ38" s="292"/>
      <c r="EHK38" s="292"/>
      <c r="EHL38" s="292"/>
      <c r="EHM38" s="292"/>
      <c r="EHN38" s="292"/>
      <c r="EHO38" s="292"/>
      <c r="EHP38" s="292"/>
      <c r="EHQ38" s="292"/>
      <c r="EHR38" s="292"/>
      <c r="EHS38" s="292"/>
      <c r="EHT38" s="292"/>
      <c r="EHU38" s="292"/>
      <c r="EHV38" s="292"/>
      <c r="EHW38" s="292"/>
      <c r="EHX38" s="292"/>
      <c r="EHY38" s="292"/>
      <c r="EHZ38" s="292"/>
      <c r="EIA38" s="292"/>
      <c r="EIB38" s="292"/>
      <c r="EIC38" s="292"/>
      <c r="EID38" s="292"/>
      <c r="EIE38" s="292"/>
      <c r="EIF38" s="292"/>
      <c r="EIG38" s="292"/>
      <c r="EIH38" s="292"/>
      <c r="EII38" s="292"/>
      <c r="EIJ38" s="292"/>
      <c r="EIK38" s="292"/>
      <c r="EIL38" s="292"/>
      <c r="EIM38" s="292"/>
      <c r="EIN38" s="292"/>
      <c r="EIO38" s="292"/>
      <c r="EIP38" s="292"/>
      <c r="EIQ38" s="292"/>
      <c r="EIR38" s="292"/>
      <c r="EIS38" s="292"/>
      <c r="EIT38" s="292"/>
      <c r="EIU38" s="292"/>
      <c r="EIV38" s="292"/>
      <c r="EIW38" s="292"/>
      <c r="EIX38" s="292"/>
      <c r="EIY38" s="292"/>
      <c r="EIZ38" s="292"/>
      <c r="EJA38" s="292"/>
      <c r="EJB38" s="292"/>
      <c r="EJC38" s="292"/>
      <c r="EJD38" s="292"/>
      <c r="EJE38" s="292"/>
      <c r="EJF38" s="292"/>
      <c r="EJG38" s="292"/>
      <c r="EJH38" s="292"/>
      <c r="EJI38" s="292"/>
      <c r="EJJ38" s="292"/>
      <c r="EJK38" s="292"/>
      <c r="EJL38" s="292"/>
      <c r="EJM38" s="292"/>
      <c r="EJN38" s="292"/>
      <c r="EJO38" s="292"/>
      <c r="EJP38" s="292"/>
      <c r="EJQ38" s="292"/>
      <c r="EJR38" s="292"/>
      <c r="EJS38" s="292"/>
      <c r="EJT38" s="292"/>
      <c r="EJU38" s="292"/>
      <c r="EJV38" s="292"/>
      <c r="EJW38" s="292"/>
      <c r="EJX38" s="292"/>
      <c r="EJY38" s="292"/>
      <c r="EJZ38" s="292"/>
      <c r="EKA38" s="292"/>
      <c r="EKB38" s="292"/>
      <c r="EKC38" s="292"/>
      <c r="EKD38" s="292"/>
      <c r="EKE38" s="292"/>
      <c r="EKF38" s="292"/>
      <c r="EKG38" s="292"/>
      <c r="EKH38" s="292"/>
      <c r="EKI38" s="292"/>
      <c r="EKJ38" s="292"/>
      <c r="EKK38" s="292"/>
      <c r="EKL38" s="292"/>
      <c r="EKM38" s="292"/>
      <c r="EKN38" s="292"/>
      <c r="EKO38" s="292"/>
      <c r="EKP38" s="292"/>
      <c r="EKQ38" s="292"/>
      <c r="EKR38" s="292"/>
      <c r="EKS38" s="292"/>
      <c r="EKT38" s="292"/>
      <c r="EKU38" s="292"/>
      <c r="EKV38" s="292"/>
      <c r="EKW38" s="292"/>
      <c r="EKX38" s="292"/>
      <c r="EKY38" s="292"/>
      <c r="EKZ38" s="292"/>
      <c r="ELA38" s="292"/>
      <c r="ELB38" s="292"/>
      <c r="ELC38" s="292"/>
      <c r="ELD38" s="292"/>
      <c r="ELE38" s="292"/>
      <c r="ELF38" s="292"/>
      <c r="ELG38" s="292"/>
      <c r="ELH38" s="292"/>
      <c r="ELI38" s="292"/>
      <c r="ELJ38" s="292"/>
      <c r="ELK38" s="292"/>
      <c r="ELL38" s="292"/>
      <c r="ELM38" s="292"/>
      <c r="ELN38" s="292"/>
      <c r="ELO38" s="292"/>
      <c r="ELP38" s="292"/>
      <c r="ELQ38" s="292"/>
      <c r="ELR38" s="292"/>
      <c r="ELS38" s="292"/>
      <c r="ELT38" s="292"/>
      <c r="ELU38" s="292"/>
      <c r="ELV38" s="292"/>
      <c r="ELW38" s="292"/>
      <c r="ELX38" s="292"/>
      <c r="ELY38" s="292"/>
      <c r="ELZ38" s="292"/>
      <c r="EMA38" s="292"/>
      <c r="EMB38" s="292"/>
      <c r="EMC38" s="292"/>
      <c r="EMD38" s="292"/>
      <c r="EME38" s="292"/>
      <c r="EMF38" s="292"/>
      <c r="EMG38" s="292"/>
      <c r="EMH38" s="292"/>
      <c r="EMI38" s="292"/>
      <c r="EMJ38" s="292"/>
      <c r="EMK38" s="292"/>
      <c r="EML38" s="292"/>
      <c r="EMM38" s="292"/>
      <c r="EMN38" s="292"/>
      <c r="EMO38" s="292"/>
      <c r="EMP38" s="292"/>
      <c r="EMQ38" s="292"/>
      <c r="EMR38" s="292"/>
      <c r="EMS38" s="292"/>
      <c r="EMT38" s="292"/>
      <c r="EMU38" s="292"/>
      <c r="EMV38" s="292"/>
      <c r="EMW38" s="292"/>
      <c r="EMX38" s="292"/>
      <c r="EMY38" s="292"/>
      <c r="EMZ38" s="292"/>
      <c r="ENA38" s="292"/>
      <c r="ENB38" s="292"/>
      <c r="ENC38" s="292"/>
      <c r="END38" s="292"/>
      <c r="ENE38" s="292"/>
      <c r="ENF38" s="292"/>
      <c r="ENG38" s="292"/>
      <c r="ENH38" s="292"/>
      <c r="ENI38" s="292"/>
      <c r="ENJ38" s="292"/>
      <c r="ENK38" s="292"/>
      <c r="ENL38" s="292"/>
      <c r="ENM38" s="292"/>
      <c r="ENN38" s="292"/>
      <c r="ENO38" s="292"/>
      <c r="ENP38" s="292"/>
      <c r="ENQ38" s="292"/>
      <c r="ENR38" s="292"/>
      <c r="ENS38" s="292"/>
      <c r="ENT38" s="292"/>
      <c r="ENU38" s="292"/>
      <c r="ENV38" s="292"/>
      <c r="ENW38" s="292"/>
      <c r="ENX38" s="292"/>
      <c r="ENY38" s="292"/>
      <c r="ENZ38" s="292"/>
      <c r="EOA38" s="292"/>
      <c r="EOB38" s="292"/>
      <c r="EOC38" s="292"/>
      <c r="EOD38" s="292"/>
      <c r="EOE38" s="292"/>
      <c r="EOF38" s="292"/>
      <c r="EOG38" s="292"/>
      <c r="EOH38" s="292"/>
      <c r="EOI38" s="292"/>
      <c r="EOJ38" s="292"/>
      <c r="EOK38" s="292"/>
      <c r="EOL38" s="292"/>
      <c r="EOM38" s="292"/>
      <c r="EON38" s="292"/>
      <c r="EOO38" s="292"/>
      <c r="EOP38" s="292"/>
      <c r="EOQ38" s="292"/>
      <c r="EOR38" s="292"/>
      <c r="EOS38" s="292"/>
      <c r="EOT38" s="292"/>
      <c r="EOU38" s="292"/>
      <c r="EOV38" s="292"/>
      <c r="EOW38" s="292"/>
      <c r="EOX38" s="292"/>
      <c r="EOY38" s="292"/>
      <c r="EOZ38" s="292"/>
      <c r="EPA38" s="292"/>
      <c r="EPB38" s="292"/>
      <c r="EPC38" s="292"/>
      <c r="EPD38" s="292"/>
      <c r="EPE38" s="292"/>
      <c r="EPF38" s="292"/>
      <c r="EPG38" s="292"/>
      <c r="EPH38" s="292"/>
      <c r="EPI38" s="292"/>
      <c r="EPJ38" s="292"/>
      <c r="EPK38" s="292"/>
      <c r="EPL38" s="292"/>
      <c r="EPM38" s="292"/>
      <c r="EPN38" s="292"/>
      <c r="EPO38" s="292"/>
      <c r="EPP38" s="292"/>
      <c r="EPQ38" s="292"/>
      <c r="EPR38" s="292"/>
      <c r="EPS38" s="292"/>
      <c r="EPT38" s="292"/>
      <c r="EPU38" s="292"/>
      <c r="EPV38" s="292"/>
      <c r="EPW38" s="292"/>
      <c r="EPX38" s="292"/>
      <c r="EPY38" s="292"/>
      <c r="EPZ38" s="292"/>
      <c r="EQA38" s="292"/>
      <c r="EQB38" s="292"/>
      <c r="EQC38" s="292"/>
      <c r="EQD38" s="292"/>
      <c r="EQE38" s="292"/>
      <c r="EQF38" s="292"/>
      <c r="EQG38" s="292"/>
      <c r="EQH38" s="292"/>
      <c r="EQI38" s="292"/>
      <c r="EQJ38" s="292"/>
      <c r="EQK38" s="292"/>
      <c r="EQL38" s="292"/>
      <c r="EQM38" s="292"/>
      <c r="EQN38" s="292"/>
      <c r="EQO38" s="292"/>
      <c r="EQP38" s="292"/>
      <c r="EQQ38" s="292"/>
      <c r="EQR38" s="292"/>
      <c r="EQS38" s="292"/>
      <c r="EQT38" s="292"/>
      <c r="EQU38" s="292"/>
      <c r="EQV38" s="292"/>
      <c r="EQW38" s="292"/>
      <c r="EQX38" s="292"/>
      <c r="EQY38" s="292"/>
      <c r="EQZ38" s="292"/>
      <c r="ERA38" s="292"/>
      <c r="ERB38" s="292"/>
      <c r="ERC38" s="292"/>
      <c r="ERD38" s="292"/>
      <c r="ERE38" s="292"/>
      <c r="ERF38" s="292"/>
      <c r="ERG38" s="292"/>
      <c r="ERH38" s="292"/>
      <c r="ERI38" s="292"/>
      <c r="ERJ38" s="292"/>
      <c r="ERK38" s="292"/>
      <c r="ERL38" s="292"/>
      <c r="ERM38" s="292"/>
      <c r="ERN38" s="292"/>
      <c r="ERO38" s="292"/>
      <c r="ERP38" s="292"/>
      <c r="ERQ38" s="292"/>
      <c r="ERR38" s="292"/>
      <c r="ERS38" s="292"/>
      <c r="ERT38" s="292"/>
      <c r="ERU38" s="292"/>
      <c r="ERV38" s="292"/>
      <c r="ERW38" s="292"/>
      <c r="ERX38" s="292"/>
      <c r="ERY38" s="292"/>
      <c r="ERZ38" s="292"/>
      <c r="ESA38" s="292"/>
      <c r="ESB38" s="292"/>
      <c r="ESC38" s="292"/>
      <c r="ESD38" s="292"/>
      <c r="ESE38" s="292"/>
      <c r="ESF38" s="292"/>
      <c r="ESG38" s="292"/>
      <c r="ESH38" s="292"/>
      <c r="ESI38" s="292"/>
      <c r="ESJ38" s="292"/>
      <c r="ESK38" s="292"/>
      <c r="ESL38" s="292"/>
      <c r="ESM38" s="292"/>
      <c r="ESN38" s="292"/>
      <c r="ESO38" s="292"/>
      <c r="ESP38" s="292"/>
      <c r="ESQ38" s="292"/>
      <c r="ESR38" s="292"/>
      <c r="ESS38" s="292"/>
      <c r="EST38" s="292"/>
      <c r="ESU38" s="292"/>
      <c r="ESV38" s="292"/>
      <c r="ESW38" s="292"/>
      <c r="ESX38" s="292"/>
      <c r="ESY38" s="292"/>
      <c r="ESZ38" s="292"/>
      <c r="ETA38" s="292"/>
      <c r="ETB38" s="292"/>
      <c r="ETC38" s="292"/>
      <c r="ETD38" s="292"/>
      <c r="ETE38" s="292"/>
      <c r="ETF38" s="292"/>
      <c r="ETG38" s="292"/>
      <c r="ETH38" s="292"/>
      <c r="ETI38" s="292"/>
      <c r="ETJ38" s="292"/>
      <c r="ETK38" s="292"/>
      <c r="ETL38" s="292"/>
      <c r="ETM38" s="292"/>
      <c r="ETN38" s="292"/>
      <c r="ETO38" s="292"/>
      <c r="ETP38" s="292"/>
      <c r="ETQ38" s="292"/>
      <c r="ETR38" s="292"/>
      <c r="ETS38" s="292"/>
      <c r="ETT38" s="292"/>
      <c r="ETU38" s="292"/>
      <c r="ETV38" s="292"/>
      <c r="ETW38" s="292"/>
      <c r="ETX38" s="292"/>
      <c r="ETY38" s="292"/>
      <c r="ETZ38" s="292"/>
      <c r="EUA38" s="292"/>
      <c r="EUB38" s="292"/>
      <c r="EUC38" s="292"/>
      <c r="EUD38" s="292"/>
      <c r="EUE38" s="292"/>
      <c r="EUF38" s="292"/>
      <c r="EUG38" s="292"/>
      <c r="EUH38" s="292"/>
      <c r="EUI38" s="292"/>
      <c r="EUJ38" s="292"/>
      <c r="EUK38" s="292"/>
      <c r="EUL38" s="292"/>
      <c r="EUM38" s="292"/>
      <c r="EUN38" s="292"/>
      <c r="EUO38" s="292"/>
      <c r="EUP38" s="292"/>
      <c r="EUQ38" s="292"/>
      <c r="EUR38" s="292"/>
      <c r="EUS38" s="292"/>
      <c r="EUT38" s="292"/>
      <c r="EUU38" s="292"/>
      <c r="EUV38" s="292"/>
      <c r="EUW38" s="292"/>
      <c r="EUX38" s="292"/>
      <c r="EUY38" s="292"/>
      <c r="EUZ38" s="292"/>
      <c r="EVA38" s="292"/>
      <c r="EVB38" s="292"/>
      <c r="EVC38" s="292"/>
      <c r="EVD38" s="292"/>
      <c r="EVE38" s="292"/>
      <c r="EVF38" s="292"/>
      <c r="EVG38" s="292"/>
      <c r="EVH38" s="292"/>
      <c r="EVI38" s="292"/>
      <c r="EVJ38" s="292"/>
      <c r="EVK38" s="292"/>
      <c r="EVL38" s="292"/>
      <c r="EVM38" s="292"/>
      <c r="EVN38" s="292"/>
      <c r="EVO38" s="292"/>
      <c r="EVP38" s="292"/>
      <c r="EVQ38" s="292"/>
      <c r="EVR38" s="292"/>
      <c r="EVS38" s="292"/>
      <c r="EVT38" s="292"/>
      <c r="EVU38" s="292"/>
      <c r="EVV38" s="292"/>
      <c r="EVW38" s="292"/>
      <c r="EVX38" s="292"/>
      <c r="EVY38" s="292"/>
      <c r="EVZ38" s="292"/>
      <c r="EWA38" s="292"/>
      <c r="EWB38" s="292"/>
      <c r="EWC38" s="292"/>
      <c r="EWD38" s="292"/>
      <c r="EWE38" s="292"/>
      <c r="EWF38" s="292"/>
      <c r="EWG38" s="292"/>
      <c r="EWH38" s="292"/>
      <c r="EWI38" s="292"/>
      <c r="EWJ38" s="292"/>
      <c r="EWK38" s="292"/>
      <c r="EWL38" s="292"/>
      <c r="EWM38" s="292"/>
      <c r="EWN38" s="292"/>
      <c r="EWO38" s="292"/>
      <c r="EWP38" s="292"/>
      <c r="EWQ38" s="292"/>
      <c r="EWR38" s="292"/>
      <c r="EWS38" s="292"/>
      <c r="EWT38" s="292"/>
      <c r="EWU38" s="292"/>
      <c r="EWV38" s="292"/>
      <c r="EWW38" s="292"/>
      <c r="EWX38" s="292"/>
      <c r="EWY38" s="292"/>
      <c r="EWZ38" s="292"/>
      <c r="EXA38" s="292"/>
      <c r="EXB38" s="292"/>
      <c r="EXC38" s="292"/>
      <c r="EXD38" s="292"/>
      <c r="EXE38" s="292"/>
      <c r="EXF38" s="292"/>
      <c r="EXG38" s="292"/>
      <c r="EXH38" s="292"/>
      <c r="EXI38" s="292"/>
      <c r="EXJ38" s="292"/>
      <c r="EXK38" s="292"/>
      <c r="EXL38" s="292"/>
      <c r="EXM38" s="292"/>
      <c r="EXN38" s="292"/>
      <c r="EXO38" s="292"/>
      <c r="EXP38" s="292"/>
      <c r="EXQ38" s="292"/>
      <c r="EXR38" s="292"/>
      <c r="EXS38" s="292"/>
      <c r="EXT38" s="292"/>
      <c r="EXU38" s="292"/>
      <c r="EXV38" s="292"/>
      <c r="EXW38" s="292"/>
      <c r="EXX38" s="292"/>
      <c r="EXY38" s="292"/>
      <c r="EXZ38" s="292"/>
      <c r="EYA38" s="292"/>
      <c r="EYB38" s="292"/>
      <c r="EYC38" s="292"/>
      <c r="EYD38" s="292"/>
      <c r="EYE38" s="292"/>
      <c r="EYF38" s="292"/>
      <c r="EYG38" s="292"/>
      <c r="EYH38" s="292"/>
      <c r="EYI38" s="292"/>
      <c r="EYJ38" s="292"/>
      <c r="EYK38" s="292"/>
      <c r="EYL38" s="292"/>
      <c r="EYM38" s="292"/>
      <c r="EYN38" s="292"/>
      <c r="EYO38" s="292"/>
      <c r="EYP38" s="292"/>
      <c r="EYQ38" s="292"/>
      <c r="EYR38" s="292"/>
      <c r="EYS38" s="292"/>
      <c r="EYT38" s="292"/>
      <c r="EYU38" s="292"/>
      <c r="EYV38" s="292"/>
      <c r="EYW38" s="292"/>
      <c r="EYX38" s="292"/>
      <c r="EYY38" s="292"/>
      <c r="EYZ38" s="292"/>
      <c r="EZA38" s="292"/>
      <c r="EZB38" s="292"/>
      <c r="EZC38" s="292"/>
      <c r="EZD38" s="292"/>
      <c r="EZE38" s="292"/>
      <c r="EZF38" s="292"/>
      <c r="EZG38" s="292"/>
      <c r="EZH38" s="292"/>
      <c r="EZI38" s="292"/>
      <c r="EZJ38" s="292"/>
      <c r="EZK38" s="292"/>
      <c r="EZL38" s="292"/>
      <c r="EZM38" s="292"/>
      <c r="EZN38" s="292"/>
      <c r="EZO38" s="292"/>
      <c r="EZP38" s="292"/>
      <c r="EZQ38" s="292"/>
      <c r="EZR38" s="292"/>
      <c r="EZS38" s="292"/>
      <c r="EZT38" s="292"/>
      <c r="EZU38" s="292"/>
      <c r="EZV38" s="292"/>
      <c r="EZW38" s="292"/>
      <c r="EZX38" s="292"/>
      <c r="EZY38" s="292"/>
      <c r="EZZ38" s="292"/>
      <c r="FAA38" s="292"/>
      <c r="FAB38" s="292"/>
      <c r="FAC38" s="292"/>
      <c r="FAD38" s="292"/>
      <c r="FAE38" s="292"/>
      <c r="FAF38" s="292"/>
      <c r="FAG38" s="292"/>
      <c r="FAH38" s="292"/>
      <c r="FAI38" s="292"/>
      <c r="FAJ38" s="292"/>
      <c r="FAK38" s="292"/>
      <c r="FAL38" s="292"/>
      <c r="FAM38" s="292"/>
      <c r="FAN38" s="292"/>
      <c r="FAO38" s="292"/>
      <c r="FAP38" s="292"/>
      <c r="FAQ38" s="292"/>
      <c r="FAR38" s="292"/>
      <c r="FAS38" s="292"/>
      <c r="FAT38" s="292"/>
      <c r="FAU38" s="292"/>
      <c r="FAV38" s="292"/>
      <c r="FAW38" s="292"/>
      <c r="FAX38" s="292"/>
      <c r="FAY38" s="292"/>
      <c r="FAZ38" s="292"/>
      <c r="FBA38" s="292"/>
      <c r="FBB38" s="292"/>
      <c r="FBC38" s="292"/>
      <c r="FBD38" s="292"/>
      <c r="FBE38" s="292"/>
      <c r="FBF38" s="292"/>
      <c r="FBG38" s="292"/>
      <c r="FBH38" s="292"/>
      <c r="FBI38" s="292"/>
      <c r="FBJ38" s="292"/>
      <c r="FBK38" s="292"/>
      <c r="FBL38" s="292"/>
      <c r="FBM38" s="292"/>
      <c r="FBN38" s="292"/>
      <c r="FBO38" s="292"/>
      <c r="FBP38" s="292"/>
      <c r="FBQ38" s="292"/>
      <c r="FBR38" s="292"/>
      <c r="FBS38" s="292"/>
      <c r="FBT38" s="292"/>
      <c r="FBU38" s="292"/>
      <c r="FBV38" s="292"/>
      <c r="FBW38" s="292"/>
      <c r="FBX38" s="292"/>
      <c r="FBY38" s="292"/>
      <c r="FBZ38" s="292"/>
      <c r="FCA38" s="292"/>
      <c r="FCB38" s="292"/>
      <c r="FCC38" s="292"/>
      <c r="FCD38" s="292"/>
      <c r="FCE38" s="292"/>
      <c r="FCF38" s="292"/>
      <c r="FCG38" s="292"/>
      <c r="FCH38" s="292"/>
      <c r="FCI38" s="292"/>
      <c r="FCJ38" s="292"/>
      <c r="FCK38" s="292"/>
      <c r="FCL38" s="292"/>
      <c r="FCM38" s="292"/>
      <c r="FCN38" s="292"/>
      <c r="FCO38" s="292"/>
      <c r="FCP38" s="292"/>
      <c r="FCQ38" s="292"/>
      <c r="FCR38" s="292"/>
      <c r="FCS38" s="292"/>
      <c r="FCT38" s="292"/>
      <c r="FCU38" s="292"/>
      <c r="FCV38" s="292"/>
      <c r="FCW38" s="292"/>
      <c r="FCX38" s="292"/>
      <c r="FCY38" s="292"/>
      <c r="FCZ38" s="292"/>
      <c r="FDA38" s="292"/>
      <c r="FDB38" s="292"/>
      <c r="FDC38" s="292"/>
      <c r="FDD38" s="292"/>
      <c r="FDE38" s="292"/>
      <c r="FDF38" s="292"/>
      <c r="FDG38" s="292"/>
      <c r="FDH38" s="292"/>
      <c r="FDI38" s="292"/>
      <c r="FDJ38" s="292"/>
      <c r="FDK38" s="292"/>
      <c r="FDL38" s="292"/>
      <c r="FDM38" s="292"/>
      <c r="FDN38" s="292"/>
      <c r="FDO38" s="292"/>
      <c r="FDP38" s="292"/>
      <c r="FDQ38" s="292"/>
      <c r="FDR38" s="292"/>
      <c r="FDS38" s="292"/>
      <c r="FDT38" s="292"/>
      <c r="FDU38" s="292"/>
      <c r="FDV38" s="292"/>
      <c r="FDW38" s="292"/>
      <c r="FDX38" s="292"/>
      <c r="FDY38" s="292"/>
      <c r="FDZ38" s="292"/>
      <c r="FEA38" s="292"/>
      <c r="FEB38" s="292"/>
      <c r="FEC38" s="292"/>
      <c r="FED38" s="292"/>
      <c r="FEE38" s="292"/>
      <c r="FEF38" s="292"/>
      <c r="FEG38" s="292"/>
      <c r="FEH38" s="292"/>
      <c r="FEI38" s="292"/>
      <c r="FEJ38" s="292"/>
      <c r="FEK38" s="292"/>
      <c r="FEL38" s="292"/>
      <c r="FEM38" s="292"/>
      <c r="FEN38" s="292"/>
      <c r="FEO38" s="292"/>
      <c r="FEP38" s="292"/>
      <c r="FEQ38" s="292"/>
      <c r="FER38" s="292"/>
      <c r="FES38" s="292"/>
      <c r="FET38" s="292"/>
      <c r="FEU38" s="292"/>
      <c r="FEV38" s="292"/>
      <c r="FEW38" s="292"/>
      <c r="FEX38" s="292"/>
      <c r="FEY38" s="292"/>
      <c r="FEZ38" s="292"/>
      <c r="FFA38" s="292"/>
      <c r="FFB38" s="292"/>
      <c r="FFC38" s="292"/>
      <c r="FFD38" s="292"/>
      <c r="FFE38" s="292"/>
      <c r="FFF38" s="292"/>
      <c r="FFG38" s="292"/>
      <c r="FFH38" s="292"/>
      <c r="FFI38" s="292"/>
      <c r="FFJ38" s="292"/>
      <c r="FFK38" s="292"/>
      <c r="FFL38" s="292"/>
      <c r="FFM38" s="292"/>
      <c r="FFN38" s="292"/>
      <c r="FFO38" s="292"/>
      <c r="FFP38" s="292"/>
      <c r="FFQ38" s="292"/>
      <c r="FFR38" s="292"/>
      <c r="FFS38" s="292"/>
      <c r="FFT38" s="292"/>
      <c r="FFU38" s="292"/>
      <c r="FFV38" s="292"/>
      <c r="FFW38" s="292"/>
      <c r="FFX38" s="292"/>
      <c r="FFY38" s="292"/>
      <c r="FFZ38" s="292"/>
      <c r="FGA38" s="292"/>
      <c r="FGB38" s="292"/>
      <c r="FGC38" s="292"/>
      <c r="FGD38" s="292"/>
      <c r="FGE38" s="292"/>
      <c r="FGF38" s="292"/>
      <c r="FGG38" s="292"/>
      <c r="FGH38" s="292"/>
      <c r="FGI38" s="292"/>
      <c r="FGJ38" s="292"/>
      <c r="FGK38" s="292"/>
      <c r="FGL38" s="292"/>
      <c r="FGM38" s="292"/>
      <c r="FGN38" s="292"/>
      <c r="FGO38" s="292"/>
      <c r="FGP38" s="292"/>
      <c r="FGQ38" s="292"/>
      <c r="FGR38" s="292"/>
      <c r="FGS38" s="292"/>
      <c r="FGT38" s="292"/>
      <c r="FGU38" s="292"/>
      <c r="FGV38" s="292"/>
      <c r="FGW38" s="292"/>
      <c r="FGX38" s="292"/>
      <c r="FGY38" s="292"/>
      <c r="FGZ38" s="292"/>
      <c r="FHA38" s="292"/>
      <c r="FHB38" s="292"/>
      <c r="FHC38" s="292"/>
      <c r="FHD38" s="292"/>
      <c r="FHE38" s="292"/>
      <c r="FHF38" s="292"/>
      <c r="FHG38" s="292"/>
      <c r="FHH38" s="292"/>
      <c r="FHI38" s="292"/>
      <c r="FHJ38" s="292"/>
      <c r="FHK38" s="292"/>
      <c r="FHL38" s="292"/>
      <c r="FHM38" s="292"/>
      <c r="FHN38" s="292"/>
      <c r="FHO38" s="292"/>
      <c r="FHP38" s="292"/>
      <c r="FHQ38" s="292"/>
      <c r="FHR38" s="292"/>
      <c r="FHS38" s="292"/>
      <c r="FHT38" s="292"/>
      <c r="FHU38" s="292"/>
      <c r="FHV38" s="292"/>
      <c r="FHW38" s="292"/>
      <c r="FHX38" s="292"/>
      <c r="FHY38" s="292"/>
      <c r="FHZ38" s="292"/>
      <c r="FIA38" s="292"/>
      <c r="FIB38" s="292"/>
      <c r="FIC38" s="292"/>
      <c r="FID38" s="292"/>
      <c r="FIE38" s="292"/>
      <c r="FIF38" s="292"/>
      <c r="FIG38" s="292"/>
      <c r="FIH38" s="292"/>
      <c r="FII38" s="292"/>
      <c r="FIJ38" s="292"/>
      <c r="FIK38" s="292"/>
      <c r="FIL38" s="292"/>
      <c r="FIM38" s="292"/>
      <c r="FIN38" s="292"/>
      <c r="FIO38" s="292"/>
      <c r="FIP38" s="292"/>
      <c r="FIQ38" s="292"/>
      <c r="FIR38" s="292"/>
      <c r="FIS38" s="292"/>
      <c r="FIT38" s="292"/>
      <c r="FIU38" s="292"/>
      <c r="FIV38" s="292"/>
      <c r="FIW38" s="292"/>
      <c r="FIX38" s="292"/>
      <c r="FIY38" s="292"/>
      <c r="FIZ38" s="292"/>
      <c r="FJA38" s="292"/>
      <c r="FJB38" s="292"/>
      <c r="FJC38" s="292"/>
      <c r="FJD38" s="292"/>
      <c r="FJE38" s="292"/>
      <c r="FJF38" s="292"/>
      <c r="FJG38" s="292"/>
      <c r="FJH38" s="292"/>
      <c r="FJI38" s="292"/>
      <c r="FJJ38" s="292"/>
      <c r="FJK38" s="292"/>
      <c r="FJL38" s="292"/>
      <c r="FJM38" s="292"/>
      <c r="FJN38" s="292"/>
      <c r="FJO38" s="292"/>
      <c r="FJP38" s="292"/>
      <c r="FJQ38" s="292"/>
      <c r="FJR38" s="292"/>
      <c r="FJS38" s="292"/>
      <c r="FJT38" s="292"/>
      <c r="FJU38" s="292"/>
      <c r="FJV38" s="292"/>
      <c r="FJW38" s="292"/>
      <c r="FJX38" s="292"/>
      <c r="FJY38" s="292"/>
      <c r="FJZ38" s="292"/>
      <c r="FKA38" s="292"/>
      <c r="FKB38" s="292"/>
      <c r="FKC38" s="292"/>
      <c r="FKD38" s="292"/>
      <c r="FKE38" s="292"/>
      <c r="FKF38" s="292"/>
      <c r="FKG38" s="292"/>
      <c r="FKH38" s="292"/>
      <c r="FKI38" s="292"/>
      <c r="FKJ38" s="292"/>
      <c r="FKK38" s="292"/>
      <c r="FKL38" s="292"/>
      <c r="FKM38" s="292"/>
      <c r="FKN38" s="292"/>
      <c r="FKO38" s="292"/>
      <c r="FKP38" s="292"/>
      <c r="FKQ38" s="292"/>
      <c r="FKR38" s="292"/>
      <c r="FKS38" s="292"/>
      <c r="FKT38" s="292"/>
      <c r="FKU38" s="292"/>
      <c r="FKV38" s="292"/>
      <c r="FKW38" s="292"/>
      <c r="FKX38" s="292"/>
      <c r="FKY38" s="292"/>
      <c r="FKZ38" s="292"/>
      <c r="FLA38" s="292"/>
      <c r="FLB38" s="292"/>
      <c r="FLC38" s="292"/>
      <c r="FLD38" s="292"/>
      <c r="FLE38" s="292"/>
      <c r="FLF38" s="292"/>
      <c r="FLG38" s="292"/>
      <c r="FLH38" s="292"/>
      <c r="FLI38" s="292"/>
      <c r="FLJ38" s="292"/>
      <c r="FLK38" s="292"/>
      <c r="FLL38" s="292"/>
      <c r="FLM38" s="292"/>
      <c r="FLN38" s="292"/>
      <c r="FLO38" s="292"/>
      <c r="FLP38" s="292"/>
      <c r="FLQ38" s="292"/>
      <c r="FLR38" s="292"/>
      <c r="FLS38" s="292"/>
      <c r="FLT38" s="292"/>
      <c r="FLU38" s="292"/>
      <c r="FLV38" s="292"/>
      <c r="FLW38" s="292"/>
      <c r="FLX38" s="292"/>
      <c r="FLY38" s="292"/>
      <c r="FLZ38" s="292"/>
      <c r="FMA38" s="292"/>
      <c r="FMB38" s="292"/>
      <c r="FMC38" s="292"/>
      <c r="FMD38" s="292"/>
      <c r="FME38" s="292"/>
      <c r="FMF38" s="292"/>
      <c r="FMG38" s="292"/>
      <c r="FMH38" s="292"/>
      <c r="FMI38" s="292"/>
      <c r="FMJ38" s="292"/>
      <c r="FMK38" s="292"/>
      <c r="FML38" s="292"/>
      <c r="FMM38" s="292"/>
      <c r="FMN38" s="292"/>
      <c r="FMO38" s="292"/>
      <c r="FMP38" s="292"/>
      <c r="FMQ38" s="292"/>
      <c r="FMR38" s="292"/>
      <c r="FMS38" s="292"/>
      <c r="FMT38" s="292"/>
      <c r="FMU38" s="292"/>
      <c r="FMV38" s="292"/>
      <c r="FMW38" s="292"/>
      <c r="FMX38" s="292"/>
      <c r="FMY38" s="292"/>
      <c r="FMZ38" s="292"/>
      <c r="FNA38" s="292"/>
      <c r="FNB38" s="292"/>
      <c r="FNC38" s="292"/>
      <c r="FND38" s="292"/>
      <c r="FNE38" s="292"/>
      <c r="FNF38" s="292"/>
      <c r="FNG38" s="292"/>
      <c r="FNH38" s="292"/>
      <c r="FNI38" s="292"/>
      <c r="FNJ38" s="292"/>
      <c r="FNK38" s="292"/>
      <c r="FNL38" s="292"/>
      <c r="FNM38" s="292"/>
      <c r="FNN38" s="292"/>
      <c r="FNO38" s="292"/>
      <c r="FNP38" s="292"/>
      <c r="FNQ38" s="292"/>
      <c r="FNR38" s="292"/>
      <c r="FNS38" s="292"/>
      <c r="FNT38" s="292"/>
      <c r="FNU38" s="292"/>
      <c r="FNV38" s="292"/>
      <c r="FNW38" s="292"/>
      <c r="FNX38" s="292"/>
      <c r="FNY38" s="292"/>
      <c r="FNZ38" s="292"/>
      <c r="FOA38" s="292"/>
      <c r="FOB38" s="292"/>
      <c r="FOC38" s="292"/>
      <c r="FOD38" s="292"/>
      <c r="FOE38" s="292"/>
      <c r="FOF38" s="292"/>
      <c r="FOG38" s="292"/>
      <c r="FOH38" s="292"/>
      <c r="FOI38" s="292"/>
      <c r="FOJ38" s="292"/>
      <c r="FOK38" s="292"/>
      <c r="FOL38" s="292"/>
      <c r="FOM38" s="292"/>
      <c r="FON38" s="292"/>
      <c r="FOO38" s="292"/>
      <c r="FOP38" s="292"/>
      <c r="FOQ38" s="292"/>
      <c r="FOR38" s="292"/>
      <c r="FOS38" s="292"/>
      <c r="FOT38" s="292"/>
      <c r="FOU38" s="292"/>
      <c r="FOV38" s="292"/>
      <c r="FOW38" s="292"/>
      <c r="FOX38" s="292"/>
      <c r="FOY38" s="292"/>
      <c r="FOZ38" s="292"/>
      <c r="FPA38" s="292"/>
      <c r="FPB38" s="292"/>
      <c r="FPC38" s="292"/>
      <c r="FPD38" s="292"/>
      <c r="FPE38" s="292"/>
      <c r="FPF38" s="292"/>
      <c r="FPG38" s="292"/>
      <c r="FPH38" s="292"/>
      <c r="FPI38" s="292"/>
      <c r="FPJ38" s="292"/>
      <c r="FPK38" s="292"/>
      <c r="FPL38" s="292"/>
      <c r="FPM38" s="292"/>
      <c r="FPN38" s="292"/>
      <c r="FPO38" s="292"/>
      <c r="FPP38" s="292"/>
      <c r="FPQ38" s="292"/>
      <c r="FPR38" s="292"/>
      <c r="FPS38" s="292"/>
      <c r="FPT38" s="292"/>
      <c r="FPU38" s="292"/>
      <c r="FPV38" s="292"/>
      <c r="FPW38" s="292"/>
      <c r="FPX38" s="292"/>
      <c r="FPY38" s="292"/>
      <c r="FPZ38" s="292"/>
      <c r="FQA38" s="292"/>
      <c r="FQB38" s="292"/>
      <c r="FQC38" s="292"/>
      <c r="FQD38" s="292"/>
      <c r="FQE38" s="292"/>
      <c r="FQF38" s="292"/>
      <c r="FQG38" s="292"/>
      <c r="FQH38" s="292"/>
      <c r="FQI38" s="292"/>
      <c r="FQJ38" s="292"/>
      <c r="FQK38" s="292"/>
      <c r="FQL38" s="292"/>
      <c r="FQM38" s="292"/>
      <c r="FQN38" s="292"/>
      <c r="FQO38" s="292"/>
      <c r="FQP38" s="292"/>
      <c r="FQQ38" s="292"/>
      <c r="FQR38" s="292"/>
      <c r="FQS38" s="292"/>
      <c r="FQT38" s="292"/>
      <c r="FQU38" s="292"/>
      <c r="FQV38" s="292"/>
      <c r="FQW38" s="292"/>
      <c r="FQX38" s="292"/>
      <c r="FQY38" s="292"/>
      <c r="FQZ38" s="292"/>
      <c r="FRA38" s="292"/>
      <c r="FRB38" s="292"/>
      <c r="FRC38" s="292"/>
      <c r="FRD38" s="292"/>
      <c r="FRE38" s="292"/>
      <c r="FRF38" s="292"/>
      <c r="FRG38" s="292"/>
      <c r="FRH38" s="292"/>
      <c r="FRI38" s="292"/>
      <c r="FRJ38" s="292"/>
      <c r="FRK38" s="292"/>
      <c r="FRL38" s="292"/>
      <c r="FRM38" s="292"/>
      <c r="FRN38" s="292"/>
      <c r="FRO38" s="292"/>
      <c r="FRP38" s="292"/>
      <c r="FRQ38" s="292"/>
      <c r="FRR38" s="292"/>
      <c r="FRS38" s="292"/>
      <c r="FRT38" s="292"/>
      <c r="FRU38" s="292"/>
      <c r="FRV38" s="292"/>
      <c r="FRW38" s="292"/>
      <c r="FRX38" s="292"/>
      <c r="FRY38" s="292"/>
      <c r="FRZ38" s="292"/>
      <c r="FSA38" s="292"/>
      <c r="FSB38" s="292"/>
      <c r="FSC38" s="292"/>
      <c r="FSD38" s="292"/>
      <c r="FSE38" s="292"/>
      <c r="FSF38" s="292"/>
      <c r="FSG38" s="292"/>
      <c r="FSH38" s="292"/>
      <c r="FSI38" s="292"/>
      <c r="FSJ38" s="292"/>
      <c r="FSK38" s="292"/>
      <c r="FSL38" s="292"/>
      <c r="FSM38" s="292"/>
      <c r="FSN38" s="292"/>
      <c r="FSO38" s="292"/>
      <c r="FSP38" s="292"/>
      <c r="FSQ38" s="292"/>
      <c r="FSR38" s="292"/>
      <c r="FSS38" s="292"/>
      <c r="FST38" s="292"/>
      <c r="FSU38" s="292"/>
      <c r="FSV38" s="292"/>
      <c r="FSW38" s="292"/>
      <c r="FSX38" s="292"/>
      <c r="FSY38" s="292"/>
      <c r="FSZ38" s="292"/>
      <c r="FTA38" s="292"/>
      <c r="FTB38" s="292"/>
      <c r="FTC38" s="292"/>
      <c r="FTD38" s="292"/>
      <c r="FTE38" s="292"/>
      <c r="FTF38" s="292"/>
      <c r="FTG38" s="292"/>
      <c r="FTH38" s="292"/>
      <c r="FTI38" s="292"/>
      <c r="FTJ38" s="292"/>
      <c r="FTK38" s="292"/>
      <c r="FTL38" s="292"/>
      <c r="FTM38" s="292"/>
      <c r="FTN38" s="292"/>
      <c r="FTO38" s="292"/>
      <c r="FTP38" s="292"/>
      <c r="FTQ38" s="292"/>
      <c r="FTR38" s="292"/>
      <c r="FTS38" s="292"/>
      <c r="FTT38" s="292"/>
      <c r="FTU38" s="292"/>
      <c r="FTV38" s="292"/>
      <c r="FTW38" s="292"/>
      <c r="FTX38" s="292"/>
      <c r="FTY38" s="292"/>
      <c r="FTZ38" s="292"/>
      <c r="FUA38" s="292"/>
      <c r="FUB38" s="292"/>
      <c r="FUC38" s="292"/>
      <c r="FUD38" s="292"/>
      <c r="FUE38" s="292"/>
      <c r="FUF38" s="292"/>
      <c r="FUG38" s="292"/>
      <c r="FUH38" s="292"/>
      <c r="FUI38" s="292"/>
      <c r="FUJ38" s="292"/>
      <c r="FUK38" s="292"/>
      <c r="FUL38" s="292"/>
      <c r="FUM38" s="292"/>
      <c r="FUN38" s="292"/>
      <c r="FUO38" s="292"/>
      <c r="FUP38" s="292"/>
      <c r="FUQ38" s="292"/>
      <c r="FUR38" s="292"/>
      <c r="FUS38" s="292"/>
      <c r="FUT38" s="292"/>
      <c r="FUU38" s="292"/>
      <c r="FUV38" s="292"/>
      <c r="FUW38" s="292"/>
      <c r="FUX38" s="292"/>
      <c r="FUY38" s="292"/>
      <c r="FUZ38" s="292"/>
      <c r="FVA38" s="292"/>
      <c r="FVB38" s="292"/>
      <c r="FVC38" s="292"/>
      <c r="FVD38" s="292"/>
      <c r="FVE38" s="292"/>
      <c r="FVF38" s="292"/>
      <c r="FVG38" s="292"/>
      <c r="FVH38" s="292"/>
      <c r="FVI38" s="292"/>
      <c r="FVJ38" s="292"/>
      <c r="FVK38" s="292"/>
      <c r="FVL38" s="292"/>
      <c r="FVM38" s="292"/>
      <c r="FVN38" s="292"/>
      <c r="FVO38" s="292"/>
      <c r="FVP38" s="292"/>
      <c r="FVQ38" s="292"/>
      <c r="FVR38" s="292"/>
      <c r="FVS38" s="292"/>
      <c r="FVT38" s="292"/>
      <c r="FVU38" s="292"/>
      <c r="FVV38" s="292"/>
      <c r="FVW38" s="292"/>
      <c r="FVX38" s="292"/>
      <c r="FVY38" s="292"/>
      <c r="FVZ38" s="292"/>
      <c r="FWA38" s="292"/>
      <c r="FWB38" s="292"/>
      <c r="FWC38" s="292"/>
      <c r="FWD38" s="292"/>
      <c r="FWE38" s="292"/>
      <c r="FWF38" s="292"/>
      <c r="FWG38" s="292"/>
      <c r="FWH38" s="292"/>
      <c r="FWI38" s="292"/>
      <c r="FWJ38" s="292"/>
      <c r="FWK38" s="292"/>
      <c r="FWL38" s="292"/>
      <c r="FWM38" s="292"/>
      <c r="FWN38" s="292"/>
      <c r="FWO38" s="292"/>
      <c r="FWP38" s="292"/>
      <c r="FWQ38" s="292"/>
      <c r="FWR38" s="292"/>
      <c r="FWS38" s="292"/>
      <c r="FWT38" s="292"/>
      <c r="FWU38" s="292"/>
      <c r="FWV38" s="292"/>
      <c r="FWW38" s="292"/>
      <c r="FWX38" s="292"/>
      <c r="FWY38" s="292"/>
      <c r="FWZ38" s="292"/>
      <c r="FXA38" s="292"/>
      <c r="FXB38" s="292"/>
      <c r="FXC38" s="292"/>
      <c r="FXD38" s="292"/>
      <c r="FXE38" s="292"/>
      <c r="FXF38" s="292"/>
      <c r="FXG38" s="292"/>
      <c r="FXH38" s="292"/>
      <c r="FXI38" s="292"/>
      <c r="FXJ38" s="292"/>
      <c r="FXK38" s="292"/>
      <c r="FXL38" s="292"/>
      <c r="FXM38" s="292"/>
      <c r="FXN38" s="292"/>
      <c r="FXO38" s="292"/>
      <c r="FXP38" s="292"/>
      <c r="FXQ38" s="292"/>
      <c r="FXR38" s="292"/>
      <c r="FXS38" s="292"/>
      <c r="FXT38" s="292"/>
      <c r="FXU38" s="292"/>
      <c r="FXV38" s="292"/>
      <c r="FXW38" s="292"/>
      <c r="FXX38" s="292"/>
      <c r="FXY38" s="292"/>
      <c r="FXZ38" s="292"/>
      <c r="FYA38" s="292"/>
      <c r="FYB38" s="292"/>
      <c r="FYC38" s="292"/>
      <c r="FYD38" s="292"/>
      <c r="FYE38" s="292"/>
      <c r="FYF38" s="292"/>
      <c r="FYG38" s="292"/>
      <c r="FYH38" s="292"/>
      <c r="FYI38" s="292"/>
      <c r="FYJ38" s="292"/>
      <c r="FYK38" s="292"/>
      <c r="FYL38" s="292"/>
      <c r="FYM38" s="292"/>
      <c r="FYN38" s="292"/>
      <c r="FYO38" s="292"/>
      <c r="FYP38" s="292"/>
      <c r="FYQ38" s="292"/>
      <c r="FYR38" s="292"/>
      <c r="FYS38" s="292"/>
      <c r="FYT38" s="292"/>
      <c r="FYU38" s="292"/>
      <c r="FYV38" s="292"/>
      <c r="FYW38" s="292"/>
      <c r="FYX38" s="292"/>
      <c r="FYY38" s="292"/>
      <c r="FYZ38" s="292"/>
      <c r="FZA38" s="292"/>
      <c r="FZB38" s="292"/>
      <c r="FZC38" s="292"/>
      <c r="FZD38" s="292"/>
      <c r="FZE38" s="292"/>
      <c r="FZF38" s="292"/>
      <c r="FZG38" s="292"/>
      <c r="FZH38" s="292"/>
      <c r="FZI38" s="292"/>
      <c r="FZJ38" s="292"/>
      <c r="FZK38" s="292"/>
      <c r="FZL38" s="292"/>
      <c r="FZM38" s="292"/>
      <c r="FZN38" s="292"/>
      <c r="FZO38" s="292"/>
      <c r="FZP38" s="292"/>
      <c r="FZQ38" s="292"/>
      <c r="FZR38" s="292"/>
      <c r="FZS38" s="292"/>
      <c r="FZT38" s="292"/>
      <c r="FZU38" s="292"/>
      <c r="FZV38" s="292"/>
      <c r="FZW38" s="292"/>
      <c r="FZX38" s="292"/>
      <c r="FZY38" s="292"/>
      <c r="FZZ38" s="292"/>
      <c r="GAA38" s="292"/>
      <c r="GAB38" s="292"/>
      <c r="GAC38" s="292"/>
      <c r="GAD38" s="292"/>
      <c r="GAE38" s="292"/>
      <c r="GAF38" s="292"/>
      <c r="GAG38" s="292"/>
      <c r="GAH38" s="292"/>
      <c r="GAI38" s="292"/>
      <c r="GAJ38" s="292"/>
      <c r="GAK38" s="292"/>
      <c r="GAL38" s="292"/>
      <c r="GAM38" s="292"/>
      <c r="GAN38" s="292"/>
      <c r="GAO38" s="292"/>
      <c r="GAP38" s="292"/>
      <c r="GAQ38" s="292"/>
      <c r="GAR38" s="292"/>
      <c r="GAS38" s="292"/>
      <c r="GAT38" s="292"/>
      <c r="GAU38" s="292"/>
      <c r="GAV38" s="292"/>
      <c r="GAW38" s="292"/>
      <c r="GAX38" s="292"/>
      <c r="GAY38" s="292"/>
      <c r="GAZ38" s="292"/>
      <c r="GBA38" s="292"/>
      <c r="GBB38" s="292"/>
      <c r="GBC38" s="292"/>
      <c r="GBD38" s="292"/>
      <c r="GBE38" s="292"/>
      <c r="GBF38" s="292"/>
      <c r="GBG38" s="292"/>
      <c r="GBH38" s="292"/>
      <c r="GBI38" s="292"/>
      <c r="GBJ38" s="292"/>
      <c r="GBK38" s="292"/>
      <c r="GBL38" s="292"/>
      <c r="GBM38" s="292"/>
      <c r="GBN38" s="292"/>
      <c r="GBO38" s="292"/>
      <c r="GBP38" s="292"/>
      <c r="GBQ38" s="292"/>
      <c r="GBR38" s="292"/>
      <c r="GBS38" s="292"/>
      <c r="GBT38" s="292"/>
      <c r="GBU38" s="292"/>
      <c r="GBV38" s="292"/>
      <c r="GBW38" s="292"/>
      <c r="GBX38" s="292"/>
      <c r="GBY38" s="292"/>
      <c r="GBZ38" s="292"/>
      <c r="GCA38" s="292"/>
      <c r="GCB38" s="292"/>
      <c r="GCC38" s="292"/>
      <c r="GCD38" s="292"/>
      <c r="GCE38" s="292"/>
      <c r="GCF38" s="292"/>
      <c r="GCG38" s="292"/>
      <c r="GCH38" s="292"/>
      <c r="GCI38" s="292"/>
      <c r="GCJ38" s="292"/>
      <c r="GCK38" s="292"/>
      <c r="GCL38" s="292"/>
      <c r="GCM38" s="292"/>
      <c r="GCN38" s="292"/>
      <c r="GCO38" s="292"/>
      <c r="GCP38" s="292"/>
      <c r="GCQ38" s="292"/>
      <c r="GCR38" s="292"/>
      <c r="GCS38" s="292"/>
      <c r="GCT38" s="292"/>
      <c r="GCU38" s="292"/>
      <c r="GCV38" s="292"/>
      <c r="GCW38" s="292"/>
      <c r="GCX38" s="292"/>
      <c r="GCY38" s="292"/>
      <c r="GCZ38" s="292"/>
      <c r="GDA38" s="292"/>
      <c r="GDB38" s="292"/>
      <c r="GDC38" s="292"/>
      <c r="GDD38" s="292"/>
      <c r="GDE38" s="292"/>
      <c r="GDF38" s="292"/>
      <c r="GDG38" s="292"/>
      <c r="GDH38" s="292"/>
      <c r="GDI38" s="292"/>
      <c r="GDJ38" s="292"/>
      <c r="GDK38" s="292"/>
      <c r="GDL38" s="292"/>
      <c r="GDM38" s="292"/>
      <c r="GDN38" s="292"/>
      <c r="GDO38" s="292"/>
      <c r="GDP38" s="292"/>
      <c r="GDQ38" s="292"/>
      <c r="GDR38" s="292"/>
      <c r="GDS38" s="292"/>
      <c r="GDT38" s="292"/>
      <c r="GDU38" s="292"/>
      <c r="GDV38" s="292"/>
      <c r="GDW38" s="292"/>
      <c r="GDX38" s="292"/>
      <c r="GDY38" s="292"/>
      <c r="GDZ38" s="292"/>
      <c r="GEA38" s="292"/>
      <c r="GEB38" s="292"/>
      <c r="GEC38" s="292"/>
      <c r="GED38" s="292"/>
      <c r="GEE38" s="292"/>
      <c r="GEF38" s="292"/>
      <c r="GEG38" s="292"/>
      <c r="GEH38" s="292"/>
      <c r="GEI38" s="292"/>
      <c r="GEJ38" s="292"/>
      <c r="GEK38" s="292"/>
      <c r="GEL38" s="292"/>
      <c r="GEM38" s="292"/>
      <c r="GEN38" s="292"/>
      <c r="GEO38" s="292"/>
      <c r="GEP38" s="292"/>
      <c r="GEQ38" s="292"/>
      <c r="GER38" s="292"/>
      <c r="GES38" s="292"/>
      <c r="GET38" s="292"/>
      <c r="GEU38" s="292"/>
      <c r="GEV38" s="292"/>
      <c r="GEW38" s="292"/>
      <c r="GEX38" s="292"/>
      <c r="GEY38" s="292"/>
      <c r="GEZ38" s="292"/>
      <c r="GFA38" s="292"/>
      <c r="GFB38" s="292"/>
      <c r="GFC38" s="292"/>
      <c r="GFD38" s="292"/>
      <c r="GFE38" s="292"/>
      <c r="GFF38" s="292"/>
      <c r="GFG38" s="292"/>
      <c r="GFH38" s="292"/>
      <c r="GFI38" s="292"/>
      <c r="GFJ38" s="292"/>
      <c r="GFK38" s="292"/>
      <c r="GFL38" s="292"/>
      <c r="GFM38" s="292"/>
      <c r="GFN38" s="292"/>
      <c r="GFO38" s="292"/>
      <c r="GFP38" s="292"/>
      <c r="GFQ38" s="292"/>
      <c r="GFR38" s="292"/>
      <c r="GFS38" s="292"/>
      <c r="GFT38" s="292"/>
      <c r="GFU38" s="292"/>
      <c r="GFV38" s="292"/>
      <c r="GFW38" s="292"/>
      <c r="GFX38" s="292"/>
      <c r="GFY38" s="292"/>
      <c r="GFZ38" s="292"/>
      <c r="GGA38" s="292"/>
      <c r="GGB38" s="292"/>
      <c r="GGC38" s="292"/>
      <c r="GGD38" s="292"/>
      <c r="GGE38" s="292"/>
      <c r="GGF38" s="292"/>
      <c r="GGG38" s="292"/>
      <c r="GGH38" s="292"/>
      <c r="GGI38" s="292"/>
      <c r="GGJ38" s="292"/>
      <c r="GGK38" s="292"/>
      <c r="GGL38" s="292"/>
      <c r="GGM38" s="292"/>
      <c r="GGN38" s="292"/>
      <c r="GGO38" s="292"/>
      <c r="GGP38" s="292"/>
      <c r="GGQ38" s="292"/>
      <c r="GGR38" s="292"/>
      <c r="GGS38" s="292"/>
      <c r="GGT38" s="292"/>
      <c r="GGU38" s="292"/>
      <c r="GGV38" s="292"/>
      <c r="GGW38" s="292"/>
      <c r="GGX38" s="292"/>
      <c r="GGY38" s="292"/>
      <c r="GGZ38" s="292"/>
      <c r="GHA38" s="292"/>
      <c r="GHB38" s="292"/>
      <c r="GHC38" s="292"/>
      <c r="GHD38" s="292"/>
      <c r="GHE38" s="292"/>
      <c r="GHF38" s="292"/>
      <c r="GHG38" s="292"/>
      <c r="GHH38" s="292"/>
      <c r="GHI38" s="292"/>
      <c r="GHJ38" s="292"/>
      <c r="GHK38" s="292"/>
      <c r="GHL38" s="292"/>
      <c r="GHM38" s="292"/>
      <c r="GHN38" s="292"/>
      <c r="GHO38" s="292"/>
      <c r="GHP38" s="292"/>
      <c r="GHQ38" s="292"/>
      <c r="GHR38" s="292"/>
      <c r="GHS38" s="292"/>
      <c r="GHT38" s="292"/>
      <c r="GHU38" s="292"/>
      <c r="GHV38" s="292"/>
      <c r="GHW38" s="292"/>
      <c r="GHX38" s="292"/>
      <c r="GHY38" s="292"/>
      <c r="GHZ38" s="292"/>
      <c r="GIA38" s="292"/>
      <c r="GIB38" s="292"/>
      <c r="GIC38" s="292"/>
      <c r="GID38" s="292"/>
      <c r="GIE38" s="292"/>
      <c r="GIF38" s="292"/>
      <c r="GIG38" s="292"/>
      <c r="GIH38" s="292"/>
      <c r="GII38" s="292"/>
      <c r="GIJ38" s="292"/>
      <c r="GIK38" s="292"/>
      <c r="GIL38" s="292"/>
      <c r="GIM38" s="292"/>
      <c r="GIN38" s="292"/>
      <c r="GIO38" s="292"/>
      <c r="GIP38" s="292"/>
      <c r="GIQ38" s="292"/>
      <c r="GIR38" s="292"/>
      <c r="GIS38" s="292"/>
      <c r="GIT38" s="292"/>
      <c r="GIU38" s="292"/>
      <c r="GIV38" s="292"/>
      <c r="GIW38" s="292"/>
      <c r="GIX38" s="292"/>
      <c r="GIY38" s="292"/>
      <c r="GIZ38" s="292"/>
      <c r="GJA38" s="292"/>
      <c r="GJB38" s="292"/>
      <c r="GJC38" s="292"/>
      <c r="GJD38" s="292"/>
      <c r="GJE38" s="292"/>
      <c r="GJF38" s="292"/>
      <c r="GJG38" s="292"/>
      <c r="GJH38" s="292"/>
      <c r="GJI38" s="292"/>
      <c r="GJJ38" s="292"/>
      <c r="GJK38" s="292"/>
      <c r="GJL38" s="292"/>
      <c r="GJM38" s="292"/>
      <c r="GJN38" s="292"/>
      <c r="GJO38" s="292"/>
      <c r="GJP38" s="292"/>
      <c r="GJQ38" s="292"/>
      <c r="GJR38" s="292"/>
      <c r="GJS38" s="292"/>
      <c r="GJT38" s="292"/>
      <c r="GJU38" s="292"/>
      <c r="GJV38" s="292"/>
      <c r="GJW38" s="292"/>
      <c r="GJX38" s="292"/>
      <c r="GJY38" s="292"/>
      <c r="GJZ38" s="292"/>
      <c r="GKA38" s="292"/>
      <c r="GKB38" s="292"/>
      <c r="GKC38" s="292"/>
      <c r="GKD38" s="292"/>
      <c r="GKE38" s="292"/>
      <c r="GKF38" s="292"/>
      <c r="GKG38" s="292"/>
      <c r="GKH38" s="292"/>
      <c r="GKI38" s="292"/>
      <c r="GKJ38" s="292"/>
      <c r="GKK38" s="292"/>
      <c r="GKL38" s="292"/>
      <c r="GKM38" s="292"/>
      <c r="GKN38" s="292"/>
      <c r="GKO38" s="292"/>
      <c r="GKP38" s="292"/>
      <c r="GKQ38" s="292"/>
      <c r="GKR38" s="292"/>
      <c r="GKS38" s="292"/>
      <c r="GKT38" s="292"/>
      <c r="GKU38" s="292"/>
      <c r="GKV38" s="292"/>
      <c r="GKW38" s="292"/>
      <c r="GKX38" s="292"/>
      <c r="GKY38" s="292"/>
      <c r="GKZ38" s="292"/>
      <c r="GLA38" s="292"/>
      <c r="GLB38" s="292"/>
      <c r="GLC38" s="292"/>
      <c r="GLD38" s="292"/>
      <c r="GLE38" s="292"/>
      <c r="GLF38" s="292"/>
      <c r="GLG38" s="292"/>
      <c r="GLH38" s="292"/>
      <c r="GLI38" s="292"/>
      <c r="GLJ38" s="292"/>
      <c r="GLK38" s="292"/>
      <c r="GLL38" s="292"/>
      <c r="GLM38" s="292"/>
      <c r="GLN38" s="292"/>
      <c r="GLO38" s="292"/>
      <c r="GLP38" s="292"/>
      <c r="GLQ38" s="292"/>
      <c r="GLR38" s="292"/>
      <c r="GLS38" s="292"/>
      <c r="GLT38" s="292"/>
      <c r="GLU38" s="292"/>
      <c r="GLV38" s="292"/>
      <c r="GLW38" s="292"/>
      <c r="GLX38" s="292"/>
      <c r="GLY38" s="292"/>
      <c r="GLZ38" s="292"/>
      <c r="GMA38" s="292"/>
      <c r="GMB38" s="292"/>
      <c r="GMC38" s="292"/>
      <c r="GMD38" s="292"/>
      <c r="GME38" s="292"/>
      <c r="GMF38" s="292"/>
      <c r="GMG38" s="292"/>
      <c r="GMH38" s="292"/>
      <c r="GMI38" s="292"/>
      <c r="GMJ38" s="292"/>
      <c r="GMK38" s="292"/>
      <c r="GML38" s="292"/>
      <c r="GMM38" s="292"/>
      <c r="GMN38" s="292"/>
      <c r="GMO38" s="292"/>
      <c r="GMP38" s="292"/>
      <c r="GMQ38" s="292"/>
      <c r="GMR38" s="292"/>
      <c r="GMS38" s="292"/>
      <c r="GMT38" s="292"/>
      <c r="GMU38" s="292"/>
      <c r="GMV38" s="292"/>
      <c r="GMW38" s="292"/>
      <c r="GMX38" s="292"/>
      <c r="GMY38" s="292"/>
      <c r="GMZ38" s="292"/>
      <c r="GNA38" s="292"/>
      <c r="GNB38" s="292"/>
      <c r="GNC38" s="292"/>
      <c r="GND38" s="292"/>
      <c r="GNE38" s="292"/>
      <c r="GNF38" s="292"/>
      <c r="GNG38" s="292"/>
      <c r="GNH38" s="292"/>
      <c r="GNI38" s="292"/>
      <c r="GNJ38" s="292"/>
      <c r="GNK38" s="292"/>
      <c r="GNL38" s="292"/>
      <c r="GNM38" s="292"/>
      <c r="GNN38" s="292"/>
      <c r="GNO38" s="292"/>
      <c r="GNP38" s="292"/>
      <c r="GNQ38" s="292"/>
      <c r="GNR38" s="292"/>
      <c r="GNS38" s="292"/>
      <c r="GNT38" s="292"/>
      <c r="GNU38" s="292"/>
      <c r="GNV38" s="292"/>
      <c r="GNW38" s="292"/>
      <c r="GNX38" s="292"/>
      <c r="GNY38" s="292"/>
      <c r="GNZ38" s="292"/>
      <c r="GOA38" s="292"/>
      <c r="GOB38" s="292"/>
      <c r="GOC38" s="292"/>
      <c r="GOD38" s="292"/>
      <c r="GOE38" s="292"/>
      <c r="GOF38" s="292"/>
      <c r="GOG38" s="292"/>
      <c r="GOH38" s="292"/>
      <c r="GOI38" s="292"/>
      <c r="GOJ38" s="292"/>
      <c r="GOK38" s="292"/>
      <c r="GOL38" s="292"/>
      <c r="GOM38" s="292"/>
      <c r="GON38" s="292"/>
      <c r="GOO38" s="292"/>
      <c r="GOP38" s="292"/>
      <c r="GOQ38" s="292"/>
      <c r="GOR38" s="292"/>
      <c r="GOS38" s="292"/>
      <c r="GOT38" s="292"/>
      <c r="GOU38" s="292"/>
      <c r="GOV38" s="292"/>
      <c r="GOW38" s="292"/>
      <c r="GOX38" s="292"/>
      <c r="GOY38" s="292"/>
      <c r="GOZ38" s="292"/>
      <c r="GPA38" s="292"/>
      <c r="GPB38" s="292"/>
      <c r="GPC38" s="292"/>
      <c r="GPD38" s="292"/>
      <c r="GPE38" s="292"/>
      <c r="GPF38" s="292"/>
      <c r="GPG38" s="292"/>
      <c r="GPH38" s="292"/>
      <c r="GPI38" s="292"/>
      <c r="GPJ38" s="292"/>
      <c r="GPK38" s="292"/>
      <c r="GPL38" s="292"/>
      <c r="GPM38" s="292"/>
      <c r="GPN38" s="292"/>
      <c r="GPO38" s="292"/>
      <c r="GPP38" s="292"/>
      <c r="GPQ38" s="292"/>
      <c r="GPR38" s="292"/>
      <c r="GPS38" s="292"/>
      <c r="GPT38" s="292"/>
      <c r="GPU38" s="292"/>
      <c r="GPV38" s="292"/>
      <c r="GPW38" s="292"/>
      <c r="GPX38" s="292"/>
      <c r="GPY38" s="292"/>
      <c r="GPZ38" s="292"/>
      <c r="GQA38" s="292"/>
      <c r="GQB38" s="292"/>
      <c r="GQC38" s="292"/>
      <c r="GQD38" s="292"/>
      <c r="GQE38" s="292"/>
      <c r="GQF38" s="292"/>
      <c r="GQG38" s="292"/>
      <c r="GQH38" s="292"/>
      <c r="GQI38" s="292"/>
      <c r="GQJ38" s="292"/>
      <c r="GQK38" s="292"/>
      <c r="GQL38" s="292"/>
      <c r="GQM38" s="292"/>
      <c r="GQN38" s="292"/>
      <c r="GQO38" s="292"/>
      <c r="GQP38" s="292"/>
      <c r="GQQ38" s="292"/>
      <c r="GQR38" s="292"/>
      <c r="GQS38" s="292"/>
      <c r="GQT38" s="292"/>
      <c r="GQU38" s="292"/>
      <c r="GQV38" s="292"/>
      <c r="GQW38" s="292"/>
      <c r="GQX38" s="292"/>
      <c r="GQY38" s="292"/>
      <c r="GQZ38" s="292"/>
      <c r="GRA38" s="292"/>
      <c r="GRB38" s="292"/>
      <c r="GRC38" s="292"/>
      <c r="GRD38" s="292"/>
      <c r="GRE38" s="292"/>
      <c r="GRF38" s="292"/>
      <c r="GRG38" s="292"/>
      <c r="GRH38" s="292"/>
      <c r="GRI38" s="292"/>
      <c r="GRJ38" s="292"/>
      <c r="GRK38" s="292"/>
      <c r="GRL38" s="292"/>
      <c r="GRM38" s="292"/>
      <c r="GRN38" s="292"/>
      <c r="GRO38" s="292"/>
      <c r="GRP38" s="292"/>
      <c r="GRQ38" s="292"/>
      <c r="GRR38" s="292"/>
      <c r="GRS38" s="292"/>
      <c r="GRT38" s="292"/>
      <c r="GRU38" s="292"/>
      <c r="GRV38" s="292"/>
      <c r="GRW38" s="292"/>
      <c r="GRX38" s="292"/>
      <c r="GRY38" s="292"/>
      <c r="GRZ38" s="292"/>
      <c r="GSA38" s="292"/>
      <c r="GSB38" s="292"/>
      <c r="GSC38" s="292"/>
      <c r="GSD38" s="292"/>
      <c r="GSE38" s="292"/>
      <c r="GSF38" s="292"/>
      <c r="GSG38" s="292"/>
      <c r="GSH38" s="292"/>
      <c r="GSI38" s="292"/>
      <c r="GSJ38" s="292"/>
      <c r="GSK38" s="292"/>
      <c r="GSL38" s="292"/>
      <c r="GSM38" s="292"/>
      <c r="GSN38" s="292"/>
      <c r="GSO38" s="292"/>
      <c r="GSP38" s="292"/>
      <c r="GSQ38" s="292"/>
      <c r="GSR38" s="292"/>
      <c r="GSS38" s="292"/>
      <c r="GST38" s="292"/>
      <c r="GSU38" s="292"/>
      <c r="GSV38" s="292"/>
      <c r="GSW38" s="292"/>
      <c r="GSX38" s="292"/>
      <c r="GSY38" s="292"/>
      <c r="GSZ38" s="292"/>
      <c r="GTA38" s="292"/>
      <c r="GTB38" s="292"/>
      <c r="GTC38" s="292"/>
      <c r="GTD38" s="292"/>
      <c r="GTE38" s="292"/>
      <c r="GTF38" s="292"/>
      <c r="GTG38" s="292"/>
      <c r="GTH38" s="292"/>
      <c r="GTI38" s="292"/>
      <c r="GTJ38" s="292"/>
      <c r="GTK38" s="292"/>
      <c r="GTL38" s="292"/>
      <c r="GTM38" s="292"/>
      <c r="GTN38" s="292"/>
      <c r="GTO38" s="292"/>
      <c r="GTP38" s="292"/>
      <c r="GTQ38" s="292"/>
      <c r="GTR38" s="292"/>
      <c r="GTS38" s="292"/>
      <c r="GTT38" s="292"/>
      <c r="GTU38" s="292"/>
      <c r="GTV38" s="292"/>
      <c r="GTW38" s="292"/>
      <c r="GTX38" s="292"/>
      <c r="GTY38" s="292"/>
      <c r="GTZ38" s="292"/>
      <c r="GUA38" s="292"/>
      <c r="GUB38" s="292"/>
      <c r="GUC38" s="292"/>
      <c r="GUD38" s="292"/>
      <c r="GUE38" s="292"/>
      <c r="GUF38" s="292"/>
      <c r="GUG38" s="292"/>
      <c r="GUH38" s="292"/>
      <c r="GUI38" s="292"/>
      <c r="GUJ38" s="292"/>
      <c r="GUK38" s="292"/>
      <c r="GUL38" s="292"/>
      <c r="GUM38" s="292"/>
      <c r="GUN38" s="292"/>
      <c r="GUO38" s="292"/>
      <c r="GUP38" s="292"/>
      <c r="GUQ38" s="292"/>
      <c r="GUR38" s="292"/>
      <c r="GUS38" s="292"/>
      <c r="GUT38" s="292"/>
      <c r="GUU38" s="292"/>
      <c r="GUV38" s="292"/>
      <c r="GUW38" s="292"/>
      <c r="GUX38" s="292"/>
      <c r="GUY38" s="292"/>
      <c r="GUZ38" s="292"/>
      <c r="GVA38" s="292"/>
      <c r="GVB38" s="292"/>
      <c r="GVC38" s="292"/>
      <c r="GVD38" s="292"/>
      <c r="GVE38" s="292"/>
      <c r="GVF38" s="292"/>
      <c r="GVG38" s="292"/>
      <c r="GVH38" s="292"/>
      <c r="GVI38" s="292"/>
      <c r="GVJ38" s="292"/>
      <c r="GVK38" s="292"/>
      <c r="GVL38" s="292"/>
      <c r="GVM38" s="292"/>
      <c r="GVN38" s="292"/>
      <c r="GVO38" s="292"/>
      <c r="GVP38" s="292"/>
      <c r="GVQ38" s="292"/>
      <c r="GVR38" s="292"/>
      <c r="GVS38" s="292"/>
      <c r="GVT38" s="292"/>
      <c r="GVU38" s="292"/>
      <c r="GVV38" s="292"/>
      <c r="GVW38" s="292"/>
      <c r="GVX38" s="292"/>
      <c r="GVY38" s="292"/>
      <c r="GVZ38" s="292"/>
      <c r="GWA38" s="292"/>
      <c r="GWB38" s="292"/>
      <c r="GWC38" s="292"/>
      <c r="GWD38" s="292"/>
      <c r="GWE38" s="292"/>
      <c r="GWF38" s="292"/>
      <c r="GWG38" s="292"/>
      <c r="GWH38" s="292"/>
      <c r="GWI38" s="292"/>
      <c r="GWJ38" s="292"/>
      <c r="GWK38" s="292"/>
      <c r="GWL38" s="292"/>
      <c r="GWM38" s="292"/>
      <c r="GWN38" s="292"/>
      <c r="GWO38" s="292"/>
      <c r="GWP38" s="292"/>
      <c r="GWQ38" s="292"/>
      <c r="GWR38" s="292"/>
      <c r="GWS38" s="292"/>
      <c r="GWT38" s="292"/>
      <c r="GWU38" s="292"/>
      <c r="GWV38" s="292"/>
      <c r="GWW38" s="292"/>
      <c r="GWX38" s="292"/>
      <c r="GWY38" s="292"/>
      <c r="GWZ38" s="292"/>
      <c r="GXA38" s="292"/>
      <c r="GXB38" s="292"/>
      <c r="GXC38" s="292"/>
      <c r="GXD38" s="292"/>
      <c r="GXE38" s="292"/>
      <c r="GXF38" s="292"/>
      <c r="GXG38" s="292"/>
      <c r="GXH38" s="292"/>
      <c r="GXI38" s="292"/>
      <c r="GXJ38" s="292"/>
      <c r="GXK38" s="292"/>
      <c r="GXL38" s="292"/>
      <c r="GXM38" s="292"/>
      <c r="GXN38" s="292"/>
      <c r="GXO38" s="292"/>
      <c r="GXP38" s="292"/>
      <c r="GXQ38" s="292"/>
      <c r="GXR38" s="292"/>
      <c r="GXS38" s="292"/>
      <c r="GXT38" s="292"/>
      <c r="GXU38" s="292"/>
      <c r="GXV38" s="292"/>
      <c r="GXW38" s="292"/>
      <c r="GXX38" s="292"/>
      <c r="GXY38" s="292"/>
      <c r="GXZ38" s="292"/>
      <c r="GYA38" s="292"/>
      <c r="GYB38" s="292"/>
      <c r="GYC38" s="292"/>
      <c r="GYD38" s="292"/>
      <c r="GYE38" s="292"/>
      <c r="GYF38" s="292"/>
      <c r="GYG38" s="292"/>
      <c r="GYH38" s="292"/>
      <c r="GYI38" s="292"/>
      <c r="GYJ38" s="292"/>
      <c r="GYK38" s="292"/>
      <c r="GYL38" s="292"/>
      <c r="GYM38" s="292"/>
      <c r="GYN38" s="292"/>
      <c r="GYO38" s="292"/>
      <c r="GYP38" s="292"/>
      <c r="GYQ38" s="292"/>
      <c r="GYR38" s="292"/>
      <c r="GYS38" s="292"/>
      <c r="GYT38" s="292"/>
      <c r="GYU38" s="292"/>
      <c r="GYV38" s="292"/>
      <c r="GYW38" s="292"/>
      <c r="GYX38" s="292"/>
      <c r="GYY38" s="292"/>
      <c r="GYZ38" s="292"/>
      <c r="GZA38" s="292"/>
      <c r="GZB38" s="292"/>
      <c r="GZC38" s="292"/>
      <c r="GZD38" s="292"/>
      <c r="GZE38" s="292"/>
      <c r="GZF38" s="292"/>
      <c r="GZG38" s="292"/>
      <c r="GZH38" s="292"/>
      <c r="GZI38" s="292"/>
      <c r="GZJ38" s="292"/>
      <c r="GZK38" s="292"/>
      <c r="GZL38" s="292"/>
      <c r="GZM38" s="292"/>
      <c r="GZN38" s="292"/>
      <c r="GZO38" s="292"/>
      <c r="GZP38" s="292"/>
      <c r="GZQ38" s="292"/>
      <c r="GZR38" s="292"/>
      <c r="GZS38" s="292"/>
      <c r="GZT38" s="292"/>
      <c r="GZU38" s="292"/>
      <c r="GZV38" s="292"/>
      <c r="GZW38" s="292"/>
      <c r="GZX38" s="292"/>
      <c r="GZY38" s="292"/>
      <c r="GZZ38" s="292"/>
      <c r="HAA38" s="292"/>
      <c r="HAB38" s="292"/>
      <c r="HAC38" s="292"/>
      <c r="HAD38" s="292"/>
      <c r="HAE38" s="292"/>
      <c r="HAF38" s="292"/>
      <c r="HAG38" s="292"/>
      <c r="HAH38" s="292"/>
      <c r="HAI38" s="292"/>
      <c r="HAJ38" s="292"/>
      <c r="HAK38" s="292"/>
      <c r="HAL38" s="292"/>
      <c r="HAM38" s="292"/>
      <c r="HAN38" s="292"/>
      <c r="HAO38" s="292"/>
      <c r="HAP38" s="292"/>
      <c r="HAQ38" s="292"/>
      <c r="HAR38" s="292"/>
      <c r="HAS38" s="292"/>
      <c r="HAT38" s="292"/>
      <c r="HAU38" s="292"/>
      <c r="HAV38" s="292"/>
      <c r="HAW38" s="292"/>
      <c r="HAX38" s="292"/>
      <c r="HAY38" s="292"/>
      <c r="HAZ38" s="292"/>
      <c r="HBA38" s="292"/>
      <c r="HBB38" s="292"/>
      <c r="HBC38" s="292"/>
      <c r="HBD38" s="292"/>
      <c r="HBE38" s="292"/>
      <c r="HBF38" s="292"/>
      <c r="HBG38" s="292"/>
      <c r="HBH38" s="292"/>
      <c r="HBI38" s="292"/>
      <c r="HBJ38" s="292"/>
      <c r="HBK38" s="292"/>
      <c r="HBL38" s="292"/>
      <c r="HBM38" s="292"/>
      <c r="HBN38" s="292"/>
      <c r="HBO38" s="292"/>
      <c r="HBP38" s="292"/>
      <c r="HBQ38" s="292"/>
      <c r="HBR38" s="292"/>
      <c r="HBS38" s="292"/>
      <c r="HBT38" s="292"/>
      <c r="HBU38" s="292"/>
      <c r="HBV38" s="292"/>
      <c r="HBW38" s="292"/>
      <c r="HBX38" s="292"/>
      <c r="HBY38" s="292"/>
      <c r="HBZ38" s="292"/>
      <c r="HCA38" s="292"/>
      <c r="HCB38" s="292"/>
      <c r="HCC38" s="292"/>
      <c r="HCD38" s="292"/>
      <c r="HCE38" s="292"/>
      <c r="HCF38" s="292"/>
      <c r="HCG38" s="292"/>
      <c r="HCH38" s="292"/>
      <c r="HCI38" s="292"/>
      <c r="HCJ38" s="292"/>
      <c r="HCK38" s="292"/>
      <c r="HCL38" s="292"/>
      <c r="HCM38" s="292"/>
      <c r="HCN38" s="292"/>
      <c r="HCO38" s="292"/>
      <c r="HCP38" s="292"/>
      <c r="HCQ38" s="292"/>
      <c r="HCR38" s="292"/>
      <c r="HCS38" s="292"/>
      <c r="HCT38" s="292"/>
      <c r="HCU38" s="292"/>
      <c r="HCV38" s="292"/>
      <c r="HCW38" s="292"/>
      <c r="HCX38" s="292"/>
      <c r="HCY38" s="292"/>
      <c r="HCZ38" s="292"/>
      <c r="HDA38" s="292"/>
      <c r="HDB38" s="292"/>
      <c r="HDC38" s="292"/>
      <c r="HDD38" s="292"/>
      <c r="HDE38" s="292"/>
      <c r="HDF38" s="292"/>
      <c r="HDG38" s="292"/>
      <c r="HDH38" s="292"/>
      <c r="HDI38" s="292"/>
      <c r="HDJ38" s="292"/>
      <c r="HDK38" s="292"/>
      <c r="HDL38" s="292"/>
      <c r="HDM38" s="292"/>
      <c r="HDN38" s="292"/>
      <c r="HDO38" s="292"/>
      <c r="HDP38" s="292"/>
      <c r="HDQ38" s="292"/>
      <c r="HDR38" s="292"/>
      <c r="HDS38" s="292"/>
      <c r="HDT38" s="292"/>
      <c r="HDU38" s="292"/>
      <c r="HDV38" s="292"/>
      <c r="HDW38" s="292"/>
      <c r="HDX38" s="292"/>
      <c r="HDY38" s="292"/>
      <c r="HDZ38" s="292"/>
      <c r="HEA38" s="292"/>
      <c r="HEB38" s="292"/>
      <c r="HEC38" s="292"/>
      <c r="HED38" s="292"/>
      <c r="HEE38" s="292"/>
      <c r="HEF38" s="292"/>
      <c r="HEG38" s="292"/>
      <c r="HEH38" s="292"/>
      <c r="HEI38" s="292"/>
      <c r="HEJ38" s="292"/>
      <c r="HEK38" s="292"/>
      <c r="HEL38" s="292"/>
      <c r="HEM38" s="292"/>
      <c r="HEN38" s="292"/>
      <c r="HEO38" s="292"/>
      <c r="HEP38" s="292"/>
      <c r="HEQ38" s="292"/>
      <c r="HER38" s="292"/>
      <c r="HES38" s="292"/>
      <c r="HET38" s="292"/>
      <c r="HEU38" s="292"/>
      <c r="HEV38" s="292"/>
      <c r="HEW38" s="292"/>
      <c r="HEX38" s="292"/>
      <c r="HEY38" s="292"/>
      <c r="HEZ38" s="292"/>
      <c r="HFA38" s="292"/>
      <c r="HFB38" s="292"/>
      <c r="HFC38" s="292"/>
      <c r="HFD38" s="292"/>
      <c r="HFE38" s="292"/>
      <c r="HFF38" s="292"/>
      <c r="HFG38" s="292"/>
      <c r="HFH38" s="292"/>
      <c r="HFI38" s="292"/>
      <c r="HFJ38" s="292"/>
      <c r="HFK38" s="292"/>
      <c r="HFL38" s="292"/>
      <c r="HFM38" s="292"/>
      <c r="HFN38" s="292"/>
      <c r="HFO38" s="292"/>
      <c r="HFP38" s="292"/>
      <c r="HFQ38" s="292"/>
      <c r="HFR38" s="292"/>
      <c r="HFS38" s="292"/>
      <c r="HFT38" s="292"/>
      <c r="HFU38" s="292"/>
      <c r="HFV38" s="292"/>
      <c r="HFW38" s="292"/>
      <c r="HFX38" s="292"/>
      <c r="HFY38" s="292"/>
      <c r="HFZ38" s="292"/>
      <c r="HGA38" s="292"/>
      <c r="HGB38" s="292"/>
      <c r="HGC38" s="292"/>
      <c r="HGD38" s="292"/>
      <c r="HGE38" s="292"/>
      <c r="HGF38" s="292"/>
      <c r="HGG38" s="292"/>
      <c r="HGH38" s="292"/>
      <c r="HGI38" s="292"/>
      <c r="HGJ38" s="292"/>
      <c r="HGK38" s="292"/>
      <c r="HGL38" s="292"/>
      <c r="HGM38" s="292"/>
      <c r="HGN38" s="292"/>
      <c r="HGO38" s="292"/>
      <c r="HGP38" s="292"/>
      <c r="HGQ38" s="292"/>
      <c r="HGR38" s="292"/>
      <c r="HGS38" s="292"/>
      <c r="HGT38" s="292"/>
      <c r="HGU38" s="292"/>
      <c r="HGV38" s="292"/>
      <c r="HGW38" s="292"/>
      <c r="HGX38" s="292"/>
      <c r="HGY38" s="292"/>
      <c r="HGZ38" s="292"/>
      <c r="HHA38" s="292"/>
      <c r="HHB38" s="292"/>
      <c r="HHC38" s="292"/>
      <c r="HHD38" s="292"/>
      <c r="HHE38" s="292"/>
      <c r="HHF38" s="292"/>
      <c r="HHG38" s="292"/>
      <c r="HHH38" s="292"/>
      <c r="HHI38" s="292"/>
      <c r="HHJ38" s="292"/>
      <c r="HHK38" s="292"/>
      <c r="HHL38" s="292"/>
      <c r="HHM38" s="292"/>
      <c r="HHN38" s="292"/>
      <c r="HHO38" s="292"/>
      <c r="HHP38" s="292"/>
      <c r="HHQ38" s="292"/>
      <c r="HHR38" s="292"/>
      <c r="HHS38" s="292"/>
      <c r="HHT38" s="292"/>
      <c r="HHU38" s="292"/>
      <c r="HHV38" s="292"/>
      <c r="HHW38" s="292"/>
      <c r="HHX38" s="292"/>
      <c r="HHY38" s="292"/>
      <c r="HHZ38" s="292"/>
      <c r="HIA38" s="292"/>
      <c r="HIB38" s="292"/>
      <c r="HIC38" s="292"/>
      <c r="HID38" s="292"/>
      <c r="HIE38" s="292"/>
      <c r="HIF38" s="292"/>
      <c r="HIG38" s="292"/>
      <c r="HIH38" s="292"/>
      <c r="HII38" s="292"/>
      <c r="HIJ38" s="292"/>
      <c r="HIK38" s="292"/>
      <c r="HIL38" s="292"/>
      <c r="HIM38" s="292"/>
      <c r="HIN38" s="292"/>
      <c r="HIO38" s="292"/>
      <c r="HIP38" s="292"/>
      <c r="HIQ38" s="292"/>
      <c r="HIR38" s="292"/>
      <c r="HIS38" s="292"/>
      <c r="HIT38" s="292"/>
      <c r="HIU38" s="292"/>
      <c r="HIV38" s="292"/>
      <c r="HIW38" s="292"/>
      <c r="HIX38" s="292"/>
      <c r="HIY38" s="292"/>
      <c r="HIZ38" s="292"/>
      <c r="HJA38" s="292"/>
      <c r="HJB38" s="292"/>
      <c r="HJC38" s="292"/>
      <c r="HJD38" s="292"/>
      <c r="HJE38" s="292"/>
      <c r="HJF38" s="292"/>
      <c r="HJG38" s="292"/>
      <c r="HJH38" s="292"/>
      <c r="HJI38" s="292"/>
      <c r="HJJ38" s="292"/>
      <c r="HJK38" s="292"/>
      <c r="HJL38" s="292"/>
      <c r="HJM38" s="292"/>
      <c r="HJN38" s="292"/>
      <c r="HJO38" s="292"/>
      <c r="HJP38" s="292"/>
      <c r="HJQ38" s="292"/>
      <c r="HJR38" s="292"/>
      <c r="HJS38" s="292"/>
      <c r="HJT38" s="292"/>
      <c r="HJU38" s="292"/>
      <c r="HJV38" s="292"/>
      <c r="HJW38" s="292"/>
      <c r="HJX38" s="292"/>
      <c r="HJY38" s="292"/>
      <c r="HJZ38" s="292"/>
      <c r="HKA38" s="292"/>
      <c r="HKB38" s="292"/>
      <c r="HKC38" s="292"/>
      <c r="HKD38" s="292"/>
      <c r="HKE38" s="292"/>
      <c r="HKF38" s="292"/>
      <c r="HKG38" s="292"/>
      <c r="HKH38" s="292"/>
      <c r="HKI38" s="292"/>
      <c r="HKJ38" s="292"/>
      <c r="HKK38" s="292"/>
      <c r="HKL38" s="292"/>
      <c r="HKM38" s="292"/>
      <c r="HKN38" s="292"/>
      <c r="HKO38" s="292"/>
      <c r="HKP38" s="292"/>
      <c r="HKQ38" s="292"/>
      <c r="HKR38" s="292"/>
      <c r="HKS38" s="292"/>
      <c r="HKT38" s="292"/>
      <c r="HKU38" s="292"/>
      <c r="HKV38" s="292"/>
      <c r="HKW38" s="292"/>
      <c r="HKX38" s="292"/>
      <c r="HKY38" s="292"/>
      <c r="HKZ38" s="292"/>
      <c r="HLA38" s="292"/>
      <c r="HLB38" s="292"/>
      <c r="HLC38" s="292"/>
      <c r="HLD38" s="292"/>
      <c r="HLE38" s="292"/>
      <c r="HLF38" s="292"/>
      <c r="HLG38" s="292"/>
      <c r="HLH38" s="292"/>
      <c r="HLI38" s="292"/>
      <c r="HLJ38" s="292"/>
      <c r="HLK38" s="292"/>
      <c r="HLL38" s="292"/>
      <c r="HLM38" s="292"/>
      <c r="HLN38" s="292"/>
      <c r="HLO38" s="292"/>
      <c r="HLP38" s="292"/>
      <c r="HLQ38" s="292"/>
      <c r="HLR38" s="292"/>
      <c r="HLS38" s="292"/>
      <c r="HLT38" s="292"/>
      <c r="HLU38" s="292"/>
      <c r="HLV38" s="292"/>
      <c r="HLW38" s="292"/>
      <c r="HLX38" s="292"/>
      <c r="HLY38" s="292"/>
      <c r="HLZ38" s="292"/>
      <c r="HMA38" s="292"/>
      <c r="HMB38" s="292"/>
      <c r="HMC38" s="292"/>
      <c r="HMD38" s="292"/>
      <c r="HME38" s="292"/>
      <c r="HMF38" s="292"/>
      <c r="HMG38" s="292"/>
      <c r="HMH38" s="292"/>
      <c r="HMI38" s="292"/>
      <c r="HMJ38" s="292"/>
      <c r="HMK38" s="292"/>
      <c r="HML38" s="292"/>
      <c r="HMM38" s="292"/>
      <c r="HMN38" s="292"/>
      <c r="HMO38" s="292"/>
      <c r="HMP38" s="292"/>
      <c r="HMQ38" s="292"/>
      <c r="HMR38" s="292"/>
      <c r="HMS38" s="292"/>
      <c r="HMT38" s="292"/>
      <c r="HMU38" s="292"/>
      <c r="HMV38" s="292"/>
      <c r="HMW38" s="292"/>
      <c r="HMX38" s="292"/>
      <c r="HMY38" s="292"/>
      <c r="HMZ38" s="292"/>
      <c r="HNA38" s="292"/>
      <c r="HNB38" s="292"/>
      <c r="HNC38" s="292"/>
      <c r="HND38" s="292"/>
      <c r="HNE38" s="292"/>
      <c r="HNF38" s="292"/>
      <c r="HNG38" s="292"/>
      <c r="HNH38" s="292"/>
      <c r="HNI38" s="292"/>
      <c r="HNJ38" s="292"/>
      <c r="HNK38" s="292"/>
      <c r="HNL38" s="292"/>
      <c r="HNM38" s="292"/>
      <c r="HNN38" s="292"/>
      <c r="HNO38" s="292"/>
      <c r="HNP38" s="292"/>
      <c r="HNQ38" s="292"/>
      <c r="HNR38" s="292"/>
      <c r="HNS38" s="292"/>
      <c r="HNT38" s="292"/>
      <c r="HNU38" s="292"/>
      <c r="HNV38" s="292"/>
      <c r="HNW38" s="292"/>
      <c r="HNX38" s="292"/>
      <c r="HNY38" s="292"/>
      <c r="HNZ38" s="292"/>
      <c r="HOA38" s="292"/>
      <c r="HOB38" s="292"/>
      <c r="HOC38" s="292"/>
      <c r="HOD38" s="292"/>
      <c r="HOE38" s="292"/>
      <c r="HOF38" s="292"/>
      <c r="HOG38" s="292"/>
      <c r="HOH38" s="292"/>
      <c r="HOI38" s="292"/>
      <c r="HOJ38" s="292"/>
      <c r="HOK38" s="292"/>
      <c r="HOL38" s="292"/>
      <c r="HOM38" s="292"/>
      <c r="HON38" s="292"/>
      <c r="HOO38" s="292"/>
      <c r="HOP38" s="292"/>
      <c r="HOQ38" s="292"/>
      <c r="HOR38" s="292"/>
      <c r="HOS38" s="292"/>
      <c r="HOT38" s="292"/>
      <c r="HOU38" s="292"/>
      <c r="HOV38" s="292"/>
      <c r="HOW38" s="292"/>
      <c r="HOX38" s="292"/>
      <c r="HOY38" s="292"/>
      <c r="HOZ38" s="292"/>
      <c r="HPA38" s="292"/>
      <c r="HPB38" s="292"/>
      <c r="HPC38" s="292"/>
      <c r="HPD38" s="292"/>
      <c r="HPE38" s="292"/>
      <c r="HPF38" s="292"/>
      <c r="HPG38" s="292"/>
      <c r="HPH38" s="292"/>
      <c r="HPI38" s="292"/>
      <c r="HPJ38" s="292"/>
      <c r="HPK38" s="292"/>
      <c r="HPL38" s="292"/>
      <c r="HPM38" s="292"/>
      <c r="HPN38" s="292"/>
      <c r="HPO38" s="292"/>
      <c r="HPP38" s="292"/>
      <c r="HPQ38" s="292"/>
      <c r="HPR38" s="292"/>
      <c r="HPS38" s="292"/>
      <c r="HPT38" s="292"/>
      <c r="HPU38" s="292"/>
      <c r="HPV38" s="292"/>
      <c r="HPW38" s="292"/>
      <c r="HPX38" s="292"/>
      <c r="HPY38" s="292"/>
      <c r="HPZ38" s="292"/>
      <c r="HQA38" s="292"/>
      <c r="HQB38" s="292"/>
      <c r="HQC38" s="292"/>
      <c r="HQD38" s="292"/>
      <c r="HQE38" s="292"/>
      <c r="HQF38" s="292"/>
      <c r="HQG38" s="292"/>
      <c r="HQH38" s="292"/>
      <c r="HQI38" s="292"/>
      <c r="HQJ38" s="292"/>
      <c r="HQK38" s="292"/>
      <c r="HQL38" s="292"/>
      <c r="HQM38" s="292"/>
      <c r="HQN38" s="292"/>
      <c r="HQO38" s="292"/>
      <c r="HQP38" s="292"/>
      <c r="HQQ38" s="292"/>
      <c r="HQR38" s="292"/>
      <c r="HQS38" s="292"/>
      <c r="HQT38" s="292"/>
      <c r="HQU38" s="292"/>
      <c r="HQV38" s="292"/>
      <c r="HQW38" s="292"/>
      <c r="HQX38" s="292"/>
      <c r="HQY38" s="292"/>
      <c r="HQZ38" s="292"/>
      <c r="HRA38" s="292"/>
      <c r="HRB38" s="292"/>
      <c r="HRC38" s="292"/>
      <c r="HRD38" s="292"/>
      <c r="HRE38" s="292"/>
      <c r="HRF38" s="292"/>
      <c r="HRG38" s="292"/>
      <c r="HRH38" s="292"/>
      <c r="HRI38" s="292"/>
      <c r="HRJ38" s="292"/>
      <c r="HRK38" s="292"/>
      <c r="HRL38" s="292"/>
      <c r="HRM38" s="292"/>
      <c r="HRN38" s="292"/>
      <c r="HRO38" s="292"/>
      <c r="HRP38" s="292"/>
      <c r="HRQ38" s="292"/>
      <c r="HRR38" s="292"/>
      <c r="HRS38" s="292"/>
      <c r="HRT38" s="292"/>
      <c r="HRU38" s="292"/>
      <c r="HRV38" s="292"/>
      <c r="HRW38" s="292"/>
      <c r="HRX38" s="292"/>
      <c r="HRY38" s="292"/>
      <c r="HRZ38" s="292"/>
      <c r="HSA38" s="292"/>
      <c r="HSB38" s="292"/>
      <c r="HSC38" s="292"/>
      <c r="HSD38" s="292"/>
      <c r="HSE38" s="292"/>
      <c r="HSF38" s="292"/>
      <c r="HSG38" s="292"/>
      <c r="HSH38" s="292"/>
      <c r="HSI38" s="292"/>
      <c r="HSJ38" s="292"/>
      <c r="HSK38" s="292"/>
      <c r="HSL38" s="292"/>
      <c r="HSM38" s="292"/>
      <c r="HSN38" s="292"/>
      <c r="HSO38" s="292"/>
      <c r="HSP38" s="292"/>
      <c r="HSQ38" s="292"/>
      <c r="HSR38" s="292"/>
      <c r="HSS38" s="292"/>
      <c r="HST38" s="292"/>
      <c r="HSU38" s="292"/>
      <c r="HSV38" s="292"/>
      <c r="HSW38" s="292"/>
      <c r="HSX38" s="292"/>
      <c r="HSY38" s="292"/>
      <c r="HSZ38" s="292"/>
      <c r="HTA38" s="292"/>
      <c r="HTB38" s="292"/>
      <c r="HTC38" s="292"/>
      <c r="HTD38" s="292"/>
      <c r="HTE38" s="292"/>
      <c r="HTF38" s="292"/>
      <c r="HTG38" s="292"/>
      <c r="HTH38" s="292"/>
      <c r="HTI38" s="292"/>
      <c r="HTJ38" s="292"/>
      <c r="HTK38" s="292"/>
      <c r="HTL38" s="292"/>
      <c r="HTM38" s="292"/>
      <c r="HTN38" s="292"/>
      <c r="HTO38" s="292"/>
      <c r="HTP38" s="292"/>
      <c r="HTQ38" s="292"/>
      <c r="HTR38" s="292"/>
      <c r="HTS38" s="292"/>
      <c r="HTT38" s="292"/>
      <c r="HTU38" s="292"/>
      <c r="HTV38" s="292"/>
      <c r="HTW38" s="292"/>
      <c r="HTX38" s="292"/>
      <c r="HTY38" s="292"/>
      <c r="HTZ38" s="292"/>
      <c r="HUA38" s="292"/>
      <c r="HUB38" s="292"/>
      <c r="HUC38" s="292"/>
      <c r="HUD38" s="292"/>
      <c r="HUE38" s="292"/>
      <c r="HUF38" s="292"/>
      <c r="HUG38" s="292"/>
      <c r="HUH38" s="292"/>
      <c r="HUI38" s="292"/>
      <c r="HUJ38" s="292"/>
      <c r="HUK38" s="292"/>
      <c r="HUL38" s="292"/>
      <c r="HUM38" s="292"/>
      <c r="HUN38" s="292"/>
      <c r="HUO38" s="292"/>
      <c r="HUP38" s="292"/>
      <c r="HUQ38" s="292"/>
      <c r="HUR38" s="292"/>
      <c r="HUS38" s="292"/>
      <c r="HUT38" s="292"/>
      <c r="HUU38" s="292"/>
      <c r="HUV38" s="292"/>
      <c r="HUW38" s="292"/>
      <c r="HUX38" s="292"/>
      <c r="HUY38" s="292"/>
      <c r="HUZ38" s="292"/>
      <c r="HVA38" s="292"/>
      <c r="HVB38" s="292"/>
      <c r="HVC38" s="292"/>
      <c r="HVD38" s="292"/>
      <c r="HVE38" s="292"/>
      <c r="HVF38" s="292"/>
      <c r="HVG38" s="292"/>
      <c r="HVH38" s="292"/>
      <c r="HVI38" s="292"/>
      <c r="HVJ38" s="292"/>
      <c r="HVK38" s="292"/>
      <c r="HVL38" s="292"/>
      <c r="HVM38" s="292"/>
      <c r="HVN38" s="292"/>
      <c r="HVO38" s="292"/>
      <c r="HVP38" s="292"/>
      <c r="HVQ38" s="292"/>
      <c r="HVR38" s="292"/>
      <c r="HVS38" s="292"/>
      <c r="HVT38" s="292"/>
      <c r="HVU38" s="292"/>
      <c r="HVV38" s="292"/>
      <c r="HVW38" s="292"/>
      <c r="HVX38" s="292"/>
      <c r="HVY38" s="292"/>
      <c r="HVZ38" s="292"/>
      <c r="HWA38" s="292"/>
      <c r="HWB38" s="292"/>
      <c r="HWC38" s="292"/>
      <c r="HWD38" s="292"/>
      <c r="HWE38" s="292"/>
      <c r="HWF38" s="292"/>
      <c r="HWG38" s="292"/>
      <c r="HWH38" s="292"/>
      <c r="HWI38" s="292"/>
      <c r="HWJ38" s="292"/>
      <c r="HWK38" s="292"/>
      <c r="HWL38" s="292"/>
      <c r="HWM38" s="292"/>
      <c r="HWN38" s="292"/>
      <c r="HWO38" s="292"/>
      <c r="HWP38" s="292"/>
      <c r="HWQ38" s="292"/>
      <c r="HWR38" s="292"/>
      <c r="HWS38" s="292"/>
      <c r="HWT38" s="292"/>
      <c r="HWU38" s="292"/>
      <c r="HWV38" s="292"/>
      <c r="HWW38" s="292"/>
      <c r="HWX38" s="292"/>
      <c r="HWY38" s="292"/>
      <c r="HWZ38" s="292"/>
      <c r="HXA38" s="292"/>
      <c r="HXB38" s="292"/>
      <c r="HXC38" s="292"/>
      <c r="HXD38" s="292"/>
      <c r="HXE38" s="292"/>
      <c r="HXF38" s="292"/>
      <c r="HXG38" s="292"/>
      <c r="HXH38" s="292"/>
      <c r="HXI38" s="292"/>
      <c r="HXJ38" s="292"/>
      <c r="HXK38" s="292"/>
      <c r="HXL38" s="292"/>
      <c r="HXM38" s="292"/>
      <c r="HXN38" s="292"/>
      <c r="HXO38" s="292"/>
      <c r="HXP38" s="292"/>
      <c r="HXQ38" s="292"/>
      <c r="HXR38" s="292"/>
      <c r="HXS38" s="292"/>
      <c r="HXT38" s="292"/>
      <c r="HXU38" s="292"/>
      <c r="HXV38" s="292"/>
      <c r="HXW38" s="292"/>
      <c r="HXX38" s="292"/>
      <c r="HXY38" s="292"/>
      <c r="HXZ38" s="292"/>
      <c r="HYA38" s="292"/>
      <c r="HYB38" s="292"/>
      <c r="HYC38" s="292"/>
      <c r="HYD38" s="292"/>
      <c r="HYE38" s="292"/>
      <c r="HYF38" s="292"/>
      <c r="HYG38" s="292"/>
      <c r="HYH38" s="292"/>
      <c r="HYI38" s="292"/>
      <c r="HYJ38" s="292"/>
      <c r="HYK38" s="292"/>
      <c r="HYL38" s="292"/>
      <c r="HYM38" s="292"/>
      <c r="HYN38" s="292"/>
      <c r="HYO38" s="292"/>
      <c r="HYP38" s="292"/>
      <c r="HYQ38" s="292"/>
      <c r="HYR38" s="292"/>
      <c r="HYS38" s="292"/>
      <c r="HYT38" s="292"/>
      <c r="HYU38" s="292"/>
      <c r="HYV38" s="292"/>
      <c r="HYW38" s="292"/>
      <c r="HYX38" s="292"/>
      <c r="HYY38" s="292"/>
      <c r="HYZ38" s="292"/>
      <c r="HZA38" s="292"/>
      <c r="HZB38" s="292"/>
      <c r="HZC38" s="292"/>
      <c r="HZD38" s="292"/>
      <c r="HZE38" s="292"/>
      <c r="HZF38" s="292"/>
      <c r="HZG38" s="292"/>
      <c r="HZH38" s="292"/>
      <c r="HZI38" s="292"/>
      <c r="HZJ38" s="292"/>
      <c r="HZK38" s="292"/>
      <c r="HZL38" s="292"/>
      <c r="HZM38" s="292"/>
      <c r="HZN38" s="292"/>
      <c r="HZO38" s="292"/>
      <c r="HZP38" s="292"/>
      <c r="HZQ38" s="292"/>
      <c r="HZR38" s="292"/>
      <c r="HZS38" s="292"/>
      <c r="HZT38" s="292"/>
      <c r="HZU38" s="292"/>
      <c r="HZV38" s="292"/>
      <c r="HZW38" s="292"/>
      <c r="HZX38" s="292"/>
      <c r="HZY38" s="292"/>
      <c r="HZZ38" s="292"/>
      <c r="IAA38" s="292"/>
      <c r="IAB38" s="292"/>
      <c r="IAC38" s="292"/>
      <c r="IAD38" s="292"/>
      <c r="IAE38" s="292"/>
      <c r="IAF38" s="292"/>
      <c r="IAG38" s="292"/>
      <c r="IAH38" s="292"/>
      <c r="IAI38" s="292"/>
      <c r="IAJ38" s="292"/>
      <c r="IAK38" s="292"/>
      <c r="IAL38" s="292"/>
      <c r="IAM38" s="292"/>
      <c r="IAN38" s="292"/>
      <c r="IAO38" s="292"/>
      <c r="IAP38" s="292"/>
      <c r="IAQ38" s="292"/>
      <c r="IAR38" s="292"/>
      <c r="IAS38" s="292"/>
      <c r="IAT38" s="292"/>
      <c r="IAU38" s="292"/>
      <c r="IAV38" s="292"/>
      <c r="IAW38" s="292"/>
      <c r="IAX38" s="292"/>
      <c r="IAY38" s="292"/>
      <c r="IAZ38" s="292"/>
      <c r="IBA38" s="292"/>
      <c r="IBB38" s="292"/>
      <c r="IBC38" s="292"/>
      <c r="IBD38" s="292"/>
      <c r="IBE38" s="292"/>
      <c r="IBF38" s="292"/>
      <c r="IBG38" s="292"/>
      <c r="IBH38" s="292"/>
      <c r="IBI38" s="292"/>
      <c r="IBJ38" s="292"/>
      <c r="IBK38" s="292"/>
      <c r="IBL38" s="292"/>
      <c r="IBM38" s="292"/>
      <c r="IBN38" s="292"/>
      <c r="IBO38" s="292"/>
      <c r="IBP38" s="292"/>
      <c r="IBQ38" s="292"/>
      <c r="IBR38" s="292"/>
      <c r="IBS38" s="292"/>
      <c r="IBT38" s="292"/>
      <c r="IBU38" s="292"/>
      <c r="IBV38" s="292"/>
      <c r="IBW38" s="292"/>
      <c r="IBX38" s="292"/>
      <c r="IBY38" s="292"/>
      <c r="IBZ38" s="292"/>
      <c r="ICA38" s="292"/>
      <c r="ICB38" s="292"/>
      <c r="ICC38" s="292"/>
      <c r="ICD38" s="292"/>
      <c r="ICE38" s="292"/>
      <c r="ICF38" s="292"/>
      <c r="ICG38" s="292"/>
      <c r="ICH38" s="292"/>
      <c r="ICI38" s="292"/>
      <c r="ICJ38" s="292"/>
      <c r="ICK38" s="292"/>
      <c r="ICL38" s="292"/>
      <c r="ICM38" s="292"/>
      <c r="ICN38" s="292"/>
      <c r="ICO38" s="292"/>
      <c r="ICP38" s="292"/>
      <c r="ICQ38" s="292"/>
      <c r="ICR38" s="292"/>
      <c r="ICS38" s="292"/>
      <c r="ICT38" s="292"/>
      <c r="ICU38" s="292"/>
      <c r="ICV38" s="292"/>
      <c r="ICW38" s="292"/>
      <c r="ICX38" s="292"/>
      <c r="ICY38" s="292"/>
      <c r="ICZ38" s="292"/>
      <c r="IDA38" s="292"/>
      <c r="IDB38" s="292"/>
      <c r="IDC38" s="292"/>
      <c r="IDD38" s="292"/>
      <c r="IDE38" s="292"/>
      <c r="IDF38" s="292"/>
      <c r="IDG38" s="292"/>
      <c r="IDH38" s="292"/>
      <c r="IDI38" s="292"/>
      <c r="IDJ38" s="292"/>
      <c r="IDK38" s="292"/>
      <c r="IDL38" s="292"/>
      <c r="IDM38" s="292"/>
      <c r="IDN38" s="292"/>
      <c r="IDO38" s="292"/>
      <c r="IDP38" s="292"/>
      <c r="IDQ38" s="292"/>
      <c r="IDR38" s="292"/>
      <c r="IDS38" s="292"/>
      <c r="IDT38" s="292"/>
      <c r="IDU38" s="292"/>
      <c r="IDV38" s="292"/>
      <c r="IDW38" s="292"/>
      <c r="IDX38" s="292"/>
      <c r="IDY38" s="292"/>
      <c r="IDZ38" s="292"/>
      <c r="IEA38" s="292"/>
      <c r="IEB38" s="292"/>
      <c r="IEC38" s="292"/>
      <c r="IED38" s="292"/>
      <c r="IEE38" s="292"/>
      <c r="IEF38" s="292"/>
      <c r="IEG38" s="292"/>
      <c r="IEH38" s="292"/>
      <c r="IEI38" s="292"/>
      <c r="IEJ38" s="292"/>
      <c r="IEK38" s="292"/>
      <c r="IEL38" s="292"/>
      <c r="IEM38" s="292"/>
      <c r="IEN38" s="292"/>
      <c r="IEO38" s="292"/>
      <c r="IEP38" s="292"/>
      <c r="IEQ38" s="292"/>
      <c r="IER38" s="292"/>
      <c r="IES38" s="292"/>
      <c r="IET38" s="292"/>
      <c r="IEU38" s="292"/>
      <c r="IEV38" s="292"/>
      <c r="IEW38" s="292"/>
      <c r="IEX38" s="292"/>
      <c r="IEY38" s="292"/>
      <c r="IEZ38" s="292"/>
      <c r="IFA38" s="292"/>
      <c r="IFB38" s="292"/>
      <c r="IFC38" s="292"/>
      <c r="IFD38" s="292"/>
      <c r="IFE38" s="292"/>
      <c r="IFF38" s="292"/>
      <c r="IFG38" s="292"/>
      <c r="IFH38" s="292"/>
      <c r="IFI38" s="292"/>
      <c r="IFJ38" s="292"/>
      <c r="IFK38" s="292"/>
      <c r="IFL38" s="292"/>
      <c r="IFM38" s="292"/>
      <c r="IFN38" s="292"/>
      <c r="IFO38" s="292"/>
      <c r="IFP38" s="292"/>
      <c r="IFQ38" s="292"/>
      <c r="IFR38" s="292"/>
      <c r="IFS38" s="292"/>
      <c r="IFT38" s="292"/>
      <c r="IFU38" s="292"/>
      <c r="IFV38" s="292"/>
      <c r="IFW38" s="292"/>
      <c r="IFX38" s="292"/>
      <c r="IFY38" s="292"/>
      <c r="IFZ38" s="292"/>
      <c r="IGA38" s="292"/>
      <c r="IGB38" s="292"/>
      <c r="IGC38" s="292"/>
      <c r="IGD38" s="292"/>
      <c r="IGE38" s="292"/>
      <c r="IGF38" s="292"/>
      <c r="IGG38" s="292"/>
      <c r="IGH38" s="292"/>
      <c r="IGI38" s="292"/>
      <c r="IGJ38" s="292"/>
      <c r="IGK38" s="292"/>
      <c r="IGL38" s="292"/>
      <c r="IGM38" s="292"/>
      <c r="IGN38" s="292"/>
      <c r="IGO38" s="292"/>
      <c r="IGP38" s="292"/>
      <c r="IGQ38" s="292"/>
      <c r="IGR38" s="292"/>
      <c r="IGS38" s="292"/>
      <c r="IGT38" s="292"/>
      <c r="IGU38" s="292"/>
      <c r="IGV38" s="292"/>
      <c r="IGW38" s="292"/>
      <c r="IGX38" s="292"/>
      <c r="IGY38" s="292"/>
      <c r="IGZ38" s="292"/>
      <c r="IHA38" s="292"/>
      <c r="IHB38" s="292"/>
      <c r="IHC38" s="292"/>
      <c r="IHD38" s="292"/>
      <c r="IHE38" s="292"/>
      <c r="IHF38" s="292"/>
      <c r="IHG38" s="292"/>
      <c r="IHH38" s="292"/>
      <c r="IHI38" s="292"/>
      <c r="IHJ38" s="292"/>
      <c r="IHK38" s="292"/>
      <c r="IHL38" s="292"/>
      <c r="IHM38" s="292"/>
      <c r="IHN38" s="292"/>
      <c r="IHO38" s="292"/>
      <c r="IHP38" s="292"/>
      <c r="IHQ38" s="292"/>
      <c r="IHR38" s="292"/>
      <c r="IHS38" s="292"/>
      <c r="IHT38" s="292"/>
      <c r="IHU38" s="292"/>
      <c r="IHV38" s="292"/>
      <c r="IHW38" s="292"/>
      <c r="IHX38" s="292"/>
      <c r="IHY38" s="292"/>
      <c r="IHZ38" s="292"/>
      <c r="IIA38" s="292"/>
      <c r="IIB38" s="292"/>
      <c r="IIC38" s="292"/>
      <c r="IID38" s="292"/>
      <c r="IIE38" s="292"/>
      <c r="IIF38" s="292"/>
      <c r="IIG38" s="292"/>
      <c r="IIH38" s="292"/>
      <c r="III38" s="292"/>
      <c r="IIJ38" s="292"/>
      <c r="IIK38" s="292"/>
      <c r="IIL38" s="292"/>
      <c r="IIM38" s="292"/>
      <c r="IIN38" s="292"/>
      <c r="IIO38" s="292"/>
      <c r="IIP38" s="292"/>
      <c r="IIQ38" s="292"/>
      <c r="IIR38" s="292"/>
      <c r="IIS38" s="292"/>
      <c r="IIT38" s="292"/>
      <c r="IIU38" s="292"/>
      <c r="IIV38" s="292"/>
      <c r="IIW38" s="292"/>
      <c r="IIX38" s="292"/>
      <c r="IIY38" s="292"/>
      <c r="IIZ38" s="292"/>
      <c r="IJA38" s="292"/>
      <c r="IJB38" s="292"/>
      <c r="IJC38" s="292"/>
      <c r="IJD38" s="292"/>
      <c r="IJE38" s="292"/>
      <c r="IJF38" s="292"/>
      <c r="IJG38" s="292"/>
      <c r="IJH38" s="292"/>
      <c r="IJI38" s="292"/>
      <c r="IJJ38" s="292"/>
      <c r="IJK38" s="292"/>
      <c r="IJL38" s="292"/>
      <c r="IJM38" s="292"/>
      <c r="IJN38" s="292"/>
      <c r="IJO38" s="292"/>
      <c r="IJP38" s="292"/>
      <c r="IJQ38" s="292"/>
      <c r="IJR38" s="292"/>
      <c r="IJS38" s="292"/>
      <c r="IJT38" s="292"/>
      <c r="IJU38" s="292"/>
      <c r="IJV38" s="292"/>
      <c r="IJW38" s="292"/>
      <c r="IJX38" s="292"/>
      <c r="IJY38" s="292"/>
      <c r="IJZ38" s="292"/>
      <c r="IKA38" s="292"/>
      <c r="IKB38" s="292"/>
      <c r="IKC38" s="292"/>
      <c r="IKD38" s="292"/>
      <c r="IKE38" s="292"/>
      <c r="IKF38" s="292"/>
      <c r="IKG38" s="292"/>
      <c r="IKH38" s="292"/>
      <c r="IKI38" s="292"/>
      <c r="IKJ38" s="292"/>
      <c r="IKK38" s="292"/>
      <c r="IKL38" s="292"/>
      <c r="IKM38" s="292"/>
      <c r="IKN38" s="292"/>
      <c r="IKO38" s="292"/>
      <c r="IKP38" s="292"/>
      <c r="IKQ38" s="292"/>
      <c r="IKR38" s="292"/>
      <c r="IKS38" s="292"/>
      <c r="IKT38" s="292"/>
      <c r="IKU38" s="292"/>
      <c r="IKV38" s="292"/>
      <c r="IKW38" s="292"/>
      <c r="IKX38" s="292"/>
      <c r="IKY38" s="292"/>
      <c r="IKZ38" s="292"/>
      <c r="ILA38" s="292"/>
      <c r="ILB38" s="292"/>
      <c r="ILC38" s="292"/>
      <c r="ILD38" s="292"/>
      <c r="ILE38" s="292"/>
      <c r="ILF38" s="292"/>
      <c r="ILG38" s="292"/>
      <c r="ILH38" s="292"/>
      <c r="ILI38" s="292"/>
      <c r="ILJ38" s="292"/>
      <c r="ILK38" s="292"/>
      <c r="ILL38" s="292"/>
      <c r="ILM38" s="292"/>
      <c r="ILN38" s="292"/>
      <c r="ILO38" s="292"/>
      <c r="ILP38" s="292"/>
      <c r="ILQ38" s="292"/>
      <c r="ILR38" s="292"/>
      <c r="ILS38" s="292"/>
      <c r="ILT38" s="292"/>
      <c r="ILU38" s="292"/>
      <c r="ILV38" s="292"/>
      <c r="ILW38" s="292"/>
      <c r="ILX38" s="292"/>
      <c r="ILY38" s="292"/>
      <c r="ILZ38" s="292"/>
      <c r="IMA38" s="292"/>
      <c r="IMB38" s="292"/>
      <c r="IMC38" s="292"/>
      <c r="IMD38" s="292"/>
      <c r="IME38" s="292"/>
      <c r="IMF38" s="292"/>
      <c r="IMG38" s="292"/>
      <c r="IMH38" s="292"/>
      <c r="IMI38" s="292"/>
      <c r="IMJ38" s="292"/>
      <c r="IMK38" s="292"/>
      <c r="IML38" s="292"/>
      <c r="IMM38" s="292"/>
      <c r="IMN38" s="292"/>
      <c r="IMO38" s="292"/>
      <c r="IMP38" s="292"/>
      <c r="IMQ38" s="292"/>
      <c r="IMR38" s="292"/>
      <c r="IMS38" s="292"/>
      <c r="IMT38" s="292"/>
      <c r="IMU38" s="292"/>
      <c r="IMV38" s="292"/>
      <c r="IMW38" s="292"/>
      <c r="IMX38" s="292"/>
      <c r="IMY38" s="292"/>
      <c r="IMZ38" s="292"/>
      <c r="INA38" s="292"/>
      <c r="INB38" s="292"/>
      <c r="INC38" s="292"/>
      <c r="IND38" s="292"/>
      <c r="INE38" s="292"/>
      <c r="INF38" s="292"/>
      <c r="ING38" s="292"/>
      <c r="INH38" s="292"/>
      <c r="INI38" s="292"/>
      <c r="INJ38" s="292"/>
      <c r="INK38" s="292"/>
      <c r="INL38" s="292"/>
      <c r="INM38" s="292"/>
      <c r="INN38" s="292"/>
      <c r="INO38" s="292"/>
      <c r="INP38" s="292"/>
      <c r="INQ38" s="292"/>
      <c r="INR38" s="292"/>
      <c r="INS38" s="292"/>
      <c r="INT38" s="292"/>
      <c r="INU38" s="292"/>
      <c r="INV38" s="292"/>
      <c r="INW38" s="292"/>
      <c r="INX38" s="292"/>
      <c r="INY38" s="292"/>
      <c r="INZ38" s="292"/>
      <c r="IOA38" s="292"/>
      <c r="IOB38" s="292"/>
      <c r="IOC38" s="292"/>
      <c r="IOD38" s="292"/>
      <c r="IOE38" s="292"/>
      <c r="IOF38" s="292"/>
      <c r="IOG38" s="292"/>
      <c r="IOH38" s="292"/>
      <c r="IOI38" s="292"/>
      <c r="IOJ38" s="292"/>
      <c r="IOK38" s="292"/>
      <c r="IOL38" s="292"/>
      <c r="IOM38" s="292"/>
      <c r="ION38" s="292"/>
      <c r="IOO38" s="292"/>
      <c r="IOP38" s="292"/>
      <c r="IOQ38" s="292"/>
      <c r="IOR38" s="292"/>
      <c r="IOS38" s="292"/>
      <c r="IOT38" s="292"/>
      <c r="IOU38" s="292"/>
      <c r="IOV38" s="292"/>
      <c r="IOW38" s="292"/>
      <c r="IOX38" s="292"/>
      <c r="IOY38" s="292"/>
      <c r="IOZ38" s="292"/>
      <c r="IPA38" s="292"/>
      <c r="IPB38" s="292"/>
      <c r="IPC38" s="292"/>
      <c r="IPD38" s="292"/>
      <c r="IPE38" s="292"/>
      <c r="IPF38" s="292"/>
      <c r="IPG38" s="292"/>
      <c r="IPH38" s="292"/>
      <c r="IPI38" s="292"/>
      <c r="IPJ38" s="292"/>
      <c r="IPK38" s="292"/>
      <c r="IPL38" s="292"/>
      <c r="IPM38" s="292"/>
      <c r="IPN38" s="292"/>
      <c r="IPO38" s="292"/>
      <c r="IPP38" s="292"/>
      <c r="IPQ38" s="292"/>
      <c r="IPR38" s="292"/>
      <c r="IPS38" s="292"/>
      <c r="IPT38" s="292"/>
      <c r="IPU38" s="292"/>
      <c r="IPV38" s="292"/>
      <c r="IPW38" s="292"/>
      <c r="IPX38" s="292"/>
      <c r="IPY38" s="292"/>
      <c r="IPZ38" s="292"/>
      <c r="IQA38" s="292"/>
      <c r="IQB38" s="292"/>
      <c r="IQC38" s="292"/>
      <c r="IQD38" s="292"/>
      <c r="IQE38" s="292"/>
      <c r="IQF38" s="292"/>
      <c r="IQG38" s="292"/>
      <c r="IQH38" s="292"/>
      <c r="IQI38" s="292"/>
      <c r="IQJ38" s="292"/>
      <c r="IQK38" s="292"/>
      <c r="IQL38" s="292"/>
      <c r="IQM38" s="292"/>
      <c r="IQN38" s="292"/>
      <c r="IQO38" s="292"/>
      <c r="IQP38" s="292"/>
      <c r="IQQ38" s="292"/>
      <c r="IQR38" s="292"/>
      <c r="IQS38" s="292"/>
      <c r="IQT38" s="292"/>
      <c r="IQU38" s="292"/>
      <c r="IQV38" s="292"/>
      <c r="IQW38" s="292"/>
      <c r="IQX38" s="292"/>
      <c r="IQY38" s="292"/>
      <c r="IQZ38" s="292"/>
      <c r="IRA38" s="292"/>
      <c r="IRB38" s="292"/>
      <c r="IRC38" s="292"/>
      <c r="IRD38" s="292"/>
      <c r="IRE38" s="292"/>
      <c r="IRF38" s="292"/>
      <c r="IRG38" s="292"/>
      <c r="IRH38" s="292"/>
      <c r="IRI38" s="292"/>
      <c r="IRJ38" s="292"/>
      <c r="IRK38" s="292"/>
      <c r="IRL38" s="292"/>
      <c r="IRM38" s="292"/>
      <c r="IRN38" s="292"/>
      <c r="IRO38" s="292"/>
      <c r="IRP38" s="292"/>
      <c r="IRQ38" s="292"/>
      <c r="IRR38" s="292"/>
      <c r="IRS38" s="292"/>
      <c r="IRT38" s="292"/>
      <c r="IRU38" s="292"/>
      <c r="IRV38" s="292"/>
      <c r="IRW38" s="292"/>
      <c r="IRX38" s="292"/>
      <c r="IRY38" s="292"/>
      <c r="IRZ38" s="292"/>
      <c r="ISA38" s="292"/>
      <c r="ISB38" s="292"/>
      <c r="ISC38" s="292"/>
      <c r="ISD38" s="292"/>
      <c r="ISE38" s="292"/>
      <c r="ISF38" s="292"/>
      <c r="ISG38" s="292"/>
      <c r="ISH38" s="292"/>
      <c r="ISI38" s="292"/>
      <c r="ISJ38" s="292"/>
      <c r="ISK38" s="292"/>
      <c r="ISL38" s="292"/>
      <c r="ISM38" s="292"/>
      <c r="ISN38" s="292"/>
      <c r="ISO38" s="292"/>
      <c r="ISP38" s="292"/>
      <c r="ISQ38" s="292"/>
      <c r="ISR38" s="292"/>
      <c r="ISS38" s="292"/>
      <c r="IST38" s="292"/>
      <c r="ISU38" s="292"/>
      <c r="ISV38" s="292"/>
      <c r="ISW38" s="292"/>
      <c r="ISX38" s="292"/>
      <c r="ISY38" s="292"/>
      <c r="ISZ38" s="292"/>
      <c r="ITA38" s="292"/>
      <c r="ITB38" s="292"/>
      <c r="ITC38" s="292"/>
      <c r="ITD38" s="292"/>
      <c r="ITE38" s="292"/>
      <c r="ITF38" s="292"/>
      <c r="ITG38" s="292"/>
      <c r="ITH38" s="292"/>
      <c r="ITI38" s="292"/>
      <c r="ITJ38" s="292"/>
      <c r="ITK38" s="292"/>
      <c r="ITL38" s="292"/>
      <c r="ITM38" s="292"/>
      <c r="ITN38" s="292"/>
      <c r="ITO38" s="292"/>
      <c r="ITP38" s="292"/>
      <c r="ITQ38" s="292"/>
      <c r="ITR38" s="292"/>
      <c r="ITS38" s="292"/>
      <c r="ITT38" s="292"/>
      <c r="ITU38" s="292"/>
      <c r="ITV38" s="292"/>
      <c r="ITW38" s="292"/>
      <c r="ITX38" s="292"/>
      <c r="ITY38" s="292"/>
      <c r="ITZ38" s="292"/>
      <c r="IUA38" s="292"/>
      <c r="IUB38" s="292"/>
      <c r="IUC38" s="292"/>
      <c r="IUD38" s="292"/>
      <c r="IUE38" s="292"/>
      <c r="IUF38" s="292"/>
      <c r="IUG38" s="292"/>
      <c r="IUH38" s="292"/>
      <c r="IUI38" s="292"/>
      <c r="IUJ38" s="292"/>
      <c r="IUK38" s="292"/>
      <c r="IUL38" s="292"/>
      <c r="IUM38" s="292"/>
      <c r="IUN38" s="292"/>
      <c r="IUO38" s="292"/>
      <c r="IUP38" s="292"/>
      <c r="IUQ38" s="292"/>
      <c r="IUR38" s="292"/>
      <c r="IUS38" s="292"/>
      <c r="IUT38" s="292"/>
      <c r="IUU38" s="292"/>
      <c r="IUV38" s="292"/>
      <c r="IUW38" s="292"/>
      <c r="IUX38" s="292"/>
      <c r="IUY38" s="292"/>
      <c r="IUZ38" s="292"/>
      <c r="IVA38" s="292"/>
      <c r="IVB38" s="292"/>
      <c r="IVC38" s="292"/>
      <c r="IVD38" s="292"/>
      <c r="IVE38" s="292"/>
      <c r="IVF38" s="292"/>
      <c r="IVG38" s="292"/>
      <c r="IVH38" s="292"/>
      <c r="IVI38" s="292"/>
      <c r="IVJ38" s="292"/>
      <c r="IVK38" s="292"/>
      <c r="IVL38" s="292"/>
      <c r="IVM38" s="292"/>
      <c r="IVN38" s="292"/>
      <c r="IVO38" s="292"/>
      <c r="IVP38" s="292"/>
      <c r="IVQ38" s="292"/>
      <c r="IVR38" s="292"/>
      <c r="IVS38" s="292"/>
      <c r="IVT38" s="292"/>
      <c r="IVU38" s="292"/>
      <c r="IVV38" s="292"/>
      <c r="IVW38" s="292"/>
      <c r="IVX38" s="292"/>
      <c r="IVY38" s="292"/>
      <c r="IVZ38" s="292"/>
      <c r="IWA38" s="292"/>
      <c r="IWB38" s="292"/>
      <c r="IWC38" s="292"/>
      <c r="IWD38" s="292"/>
      <c r="IWE38" s="292"/>
      <c r="IWF38" s="292"/>
      <c r="IWG38" s="292"/>
      <c r="IWH38" s="292"/>
      <c r="IWI38" s="292"/>
      <c r="IWJ38" s="292"/>
      <c r="IWK38" s="292"/>
      <c r="IWL38" s="292"/>
      <c r="IWM38" s="292"/>
      <c r="IWN38" s="292"/>
      <c r="IWO38" s="292"/>
      <c r="IWP38" s="292"/>
      <c r="IWQ38" s="292"/>
      <c r="IWR38" s="292"/>
      <c r="IWS38" s="292"/>
      <c r="IWT38" s="292"/>
      <c r="IWU38" s="292"/>
      <c r="IWV38" s="292"/>
      <c r="IWW38" s="292"/>
      <c r="IWX38" s="292"/>
      <c r="IWY38" s="292"/>
      <c r="IWZ38" s="292"/>
      <c r="IXA38" s="292"/>
      <c r="IXB38" s="292"/>
      <c r="IXC38" s="292"/>
      <c r="IXD38" s="292"/>
      <c r="IXE38" s="292"/>
      <c r="IXF38" s="292"/>
      <c r="IXG38" s="292"/>
      <c r="IXH38" s="292"/>
      <c r="IXI38" s="292"/>
      <c r="IXJ38" s="292"/>
      <c r="IXK38" s="292"/>
      <c r="IXL38" s="292"/>
      <c r="IXM38" s="292"/>
      <c r="IXN38" s="292"/>
      <c r="IXO38" s="292"/>
      <c r="IXP38" s="292"/>
      <c r="IXQ38" s="292"/>
      <c r="IXR38" s="292"/>
      <c r="IXS38" s="292"/>
      <c r="IXT38" s="292"/>
      <c r="IXU38" s="292"/>
      <c r="IXV38" s="292"/>
      <c r="IXW38" s="292"/>
      <c r="IXX38" s="292"/>
      <c r="IXY38" s="292"/>
      <c r="IXZ38" s="292"/>
      <c r="IYA38" s="292"/>
      <c r="IYB38" s="292"/>
      <c r="IYC38" s="292"/>
      <c r="IYD38" s="292"/>
      <c r="IYE38" s="292"/>
      <c r="IYF38" s="292"/>
      <c r="IYG38" s="292"/>
      <c r="IYH38" s="292"/>
      <c r="IYI38" s="292"/>
      <c r="IYJ38" s="292"/>
      <c r="IYK38" s="292"/>
      <c r="IYL38" s="292"/>
      <c r="IYM38" s="292"/>
      <c r="IYN38" s="292"/>
      <c r="IYO38" s="292"/>
      <c r="IYP38" s="292"/>
      <c r="IYQ38" s="292"/>
      <c r="IYR38" s="292"/>
      <c r="IYS38" s="292"/>
      <c r="IYT38" s="292"/>
      <c r="IYU38" s="292"/>
      <c r="IYV38" s="292"/>
      <c r="IYW38" s="292"/>
      <c r="IYX38" s="292"/>
      <c r="IYY38" s="292"/>
      <c r="IYZ38" s="292"/>
      <c r="IZA38" s="292"/>
      <c r="IZB38" s="292"/>
      <c r="IZC38" s="292"/>
      <c r="IZD38" s="292"/>
      <c r="IZE38" s="292"/>
      <c r="IZF38" s="292"/>
      <c r="IZG38" s="292"/>
      <c r="IZH38" s="292"/>
      <c r="IZI38" s="292"/>
      <c r="IZJ38" s="292"/>
      <c r="IZK38" s="292"/>
      <c r="IZL38" s="292"/>
      <c r="IZM38" s="292"/>
      <c r="IZN38" s="292"/>
      <c r="IZO38" s="292"/>
      <c r="IZP38" s="292"/>
      <c r="IZQ38" s="292"/>
      <c r="IZR38" s="292"/>
      <c r="IZS38" s="292"/>
      <c r="IZT38" s="292"/>
      <c r="IZU38" s="292"/>
      <c r="IZV38" s="292"/>
      <c r="IZW38" s="292"/>
      <c r="IZX38" s="292"/>
      <c r="IZY38" s="292"/>
      <c r="IZZ38" s="292"/>
      <c r="JAA38" s="292"/>
      <c r="JAB38" s="292"/>
      <c r="JAC38" s="292"/>
      <c r="JAD38" s="292"/>
      <c r="JAE38" s="292"/>
      <c r="JAF38" s="292"/>
      <c r="JAG38" s="292"/>
      <c r="JAH38" s="292"/>
      <c r="JAI38" s="292"/>
      <c r="JAJ38" s="292"/>
      <c r="JAK38" s="292"/>
      <c r="JAL38" s="292"/>
      <c r="JAM38" s="292"/>
      <c r="JAN38" s="292"/>
      <c r="JAO38" s="292"/>
      <c r="JAP38" s="292"/>
      <c r="JAQ38" s="292"/>
      <c r="JAR38" s="292"/>
      <c r="JAS38" s="292"/>
      <c r="JAT38" s="292"/>
      <c r="JAU38" s="292"/>
      <c r="JAV38" s="292"/>
      <c r="JAW38" s="292"/>
      <c r="JAX38" s="292"/>
      <c r="JAY38" s="292"/>
      <c r="JAZ38" s="292"/>
      <c r="JBA38" s="292"/>
      <c r="JBB38" s="292"/>
      <c r="JBC38" s="292"/>
      <c r="JBD38" s="292"/>
      <c r="JBE38" s="292"/>
      <c r="JBF38" s="292"/>
      <c r="JBG38" s="292"/>
      <c r="JBH38" s="292"/>
      <c r="JBI38" s="292"/>
      <c r="JBJ38" s="292"/>
      <c r="JBK38" s="292"/>
      <c r="JBL38" s="292"/>
      <c r="JBM38" s="292"/>
      <c r="JBN38" s="292"/>
      <c r="JBO38" s="292"/>
      <c r="JBP38" s="292"/>
      <c r="JBQ38" s="292"/>
      <c r="JBR38" s="292"/>
      <c r="JBS38" s="292"/>
      <c r="JBT38" s="292"/>
      <c r="JBU38" s="292"/>
      <c r="JBV38" s="292"/>
      <c r="JBW38" s="292"/>
      <c r="JBX38" s="292"/>
      <c r="JBY38" s="292"/>
      <c r="JBZ38" s="292"/>
      <c r="JCA38" s="292"/>
      <c r="JCB38" s="292"/>
      <c r="JCC38" s="292"/>
      <c r="JCD38" s="292"/>
      <c r="JCE38" s="292"/>
      <c r="JCF38" s="292"/>
      <c r="JCG38" s="292"/>
      <c r="JCH38" s="292"/>
      <c r="JCI38" s="292"/>
      <c r="JCJ38" s="292"/>
      <c r="JCK38" s="292"/>
      <c r="JCL38" s="292"/>
      <c r="JCM38" s="292"/>
      <c r="JCN38" s="292"/>
      <c r="JCO38" s="292"/>
      <c r="JCP38" s="292"/>
      <c r="JCQ38" s="292"/>
      <c r="JCR38" s="292"/>
      <c r="JCS38" s="292"/>
      <c r="JCT38" s="292"/>
      <c r="JCU38" s="292"/>
      <c r="JCV38" s="292"/>
      <c r="JCW38" s="292"/>
      <c r="JCX38" s="292"/>
      <c r="JCY38" s="292"/>
      <c r="JCZ38" s="292"/>
      <c r="JDA38" s="292"/>
      <c r="JDB38" s="292"/>
      <c r="JDC38" s="292"/>
      <c r="JDD38" s="292"/>
      <c r="JDE38" s="292"/>
      <c r="JDF38" s="292"/>
      <c r="JDG38" s="292"/>
      <c r="JDH38" s="292"/>
      <c r="JDI38" s="292"/>
      <c r="JDJ38" s="292"/>
      <c r="JDK38" s="292"/>
      <c r="JDL38" s="292"/>
      <c r="JDM38" s="292"/>
      <c r="JDN38" s="292"/>
      <c r="JDO38" s="292"/>
      <c r="JDP38" s="292"/>
      <c r="JDQ38" s="292"/>
      <c r="JDR38" s="292"/>
      <c r="JDS38" s="292"/>
      <c r="JDT38" s="292"/>
      <c r="JDU38" s="292"/>
      <c r="JDV38" s="292"/>
      <c r="JDW38" s="292"/>
      <c r="JDX38" s="292"/>
      <c r="JDY38" s="292"/>
      <c r="JDZ38" s="292"/>
      <c r="JEA38" s="292"/>
      <c r="JEB38" s="292"/>
      <c r="JEC38" s="292"/>
      <c r="JED38" s="292"/>
      <c r="JEE38" s="292"/>
      <c r="JEF38" s="292"/>
      <c r="JEG38" s="292"/>
      <c r="JEH38" s="292"/>
      <c r="JEI38" s="292"/>
      <c r="JEJ38" s="292"/>
      <c r="JEK38" s="292"/>
      <c r="JEL38" s="292"/>
      <c r="JEM38" s="292"/>
      <c r="JEN38" s="292"/>
      <c r="JEO38" s="292"/>
      <c r="JEP38" s="292"/>
      <c r="JEQ38" s="292"/>
      <c r="JER38" s="292"/>
      <c r="JES38" s="292"/>
      <c r="JET38" s="292"/>
      <c r="JEU38" s="292"/>
      <c r="JEV38" s="292"/>
      <c r="JEW38" s="292"/>
      <c r="JEX38" s="292"/>
      <c r="JEY38" s="292"/>
      <c r="JEZ38" s="292"/>
      <c r="JFA38" s="292"/>
      <c r="JFB38" s="292"/>
      <c r="JFC38" s="292"/>
      <c r="JFD38" s="292"/>
      <c r="JFE38" s="292"/>
      <c r="JFF38" s="292"/>
      <c r="JFG38" s="292"/>
      <c r="JFH38" s="292"/>
      <c r="JFI38" s="292"/>
      <c r="JFJ38" s="292"/>
      <c r="JFK38" s="292"/>
      <c r="JFL38" s="292"/>
      <c r="JFM38" s="292"/>
      <c r="JFN38" s="292"/>
      <c r="JFO38" s="292"/>
      <c r="JFP38" s="292"/>
      <c r="JFQ38" s="292"/>
      <c r="JFR38" s="292"/>
      <c r="JFS38" s="292"/>
      <c r="JFT38" s="292"/>
      <c r="JFU38" s="292"/>
      <c r="JFV38" s="292"/>
      <c r="JFW38" s="292"/>
      <c r="JFX38" s="292"/>
      <c r="JFY38" s="292"/>
      <c r="JFZ38" s="292"/>
      <c r="JGA38" s="292"/>
      <c r="JGB38" s="292"/>
      <c r="JGC38" s="292"/>
      <c r="JGD38" s="292"/>
      <c r="JGE38" s="292"/>
      <c r="JGF38" s="292"/>
      <c r="JGG38" s="292"/>
      <c r="JGH38" s="292"/>
      <c r="JGI38" s="292"/>
      <c r="JGJ38" s="292"/>
      <c r="JGK38" s="292"/>
      <c r="JGL38" s="292"/>
      <c r="JGM38" s="292"/>
      <c r="JGN38" s="292"/>
      <c r="JGO38" s="292"/>
      <c r="JGP38" s="292"/>
      <c r="JGQ38" s="292"/>
      <c r="JGR38" s="292"/>
      <c r="JGS38" s="292"/>
      <c r="JGT38" s="292"/>
      <c r="JGU38" s="292"/>
      <c r="JGV38" s="292"/>
      <c r="JGW38" s="292"/>
      <c r="JGX38" s="292"/>
      <c r="JGY38" s="292"/>
      <c r="JGZ38" s="292"/>
      <c r="JHA38" s="292"/>
      <c r="JHB38" s="292"/>
      <c r="JHC38" s="292"/>
      <c r="JHD38" s="292"/>
      <c r="JHE38" s="292"/>
      <c r="JHF38" s="292"/>
      <c r="JHG38" s="292"/>
      <c r="JHH38" s="292"/>
      <c r="JHI38" s="292"/>
      <c r="JHJ38" s="292"/>
      <c r="JHK38" s="292"/>
      <c r="JHL38" s="292"/>
      <c r="JHM38" s="292"/>
      <c r="JHN38" s="292"/>
      <c r="JHO38" s="292"/>
      <c r="JHP38" s="292"/>
      <c r="JHQ38" s="292"/>
      <c r="JHR38" s="292"/>
      <c r="JHS38" s="292"/>
      <c r="JHT38" s="292"/>
      <c r="JHU38" s="292"/>
      <c r="JHV38" s="292"/>
      <c r="JHW38" s="292"/>
      <c r="JHX38" s="292"/>
      <c r="JHY38" s="292"/>
      <c r="JHZ38" s="292"/>
      <c r="JIA38" s="292"/>
      <c r="JIB38" s="292"/>
      <c r="JIC38" s="292"/>
      <c r="JID38" s="292"/>
      <c r="JIE38" s="292"/>
      <c r="JIF38" s="292"/>
      <c r="JIG38" s="292"/>
      <c r="JIH38" s="292"/>
      <c r="JII38" s="292"/>
      <c r="JIJ38" s="292"/>
      <c r="JIK38" s="292"/>
      <c r="JIL38" s="292"/>
      <c r="JIM38" s="292"/>
      <c r="JIN38" s="292"/>
      <c r="JIO38" s="292"/>
      <c r="JIP38" s="292"/>
      <c r="JIQ38" s="292"/>
      <c r="JIR38" s="292"/>
      <c r="JIS38" s="292"/>
      <c r="JIT38" s="292"/>
      <c r="JIU38" s="292"/>
      <c r="JIV38" s="292"/>
      <c r="JIW38" s="292"/>
      <c r="JIX38" s="292"/>
      <c r="JIY38" s="292"/>
      <c r="JIZ38" s="292"/>
      <c r="JJA38" s="292"/>
      <c r="JJB38" s="292"/>
      <c r="JJC38" s="292"/>
      <c r="JJD38" s="292"/>
      <c r="JJE38" s="292"/>
      <c r="JJF38" s="292"/>
      <c r="JJG38" s="292"/>
      <c r="JJH38" s="292"/>
      <c r="JJI38" s="292"/>
      <c r="JJJ38" s="292"/>
      <c r="JJK38" s="292"/>
      <c r="JJL38" s="292"/>
      <c r="JJM38" s="292"/>
      <c r="JJN38" s="292"/>
      <c r="JJO38" s="292"/>
      <c r="JJP38" s="292"/>
      <c r="JJQ38" s="292"/>
      <c r="JJR38" s="292"/>
      <c r="JJS38" s="292"/>
      <c r="JJT38" s="292"/>
      <c r="JJU38" s="292"/>
      <c r="JJV38" s="292"/>
      <c r="JJW38" s="292"/>
      <c r="JJX38" s="292"/>
      <c r="JJY38" s="292"/>
      <c r="JJZ38" s="292"/>
      <c r="JKA38" s="292"/>
      <c r="JKB38" s="292"/>
      <c r="JKC38" s="292"/>
      <c r="JKD38" s="292"/>
      <c r="JKE38" s="292"/>
      <c r="JKF38" s="292"/>
      <c r="JKG38" s="292"/>
      <c r="JKH38" s="292"/>
      <c r="JKI38" s="292"/>
      <c r="JKJ38" s="292"/>
      <c r="JKK38" s="292"/>
      <c r="JKL38" s="292"/>
      <c r="JKM38" s="292"/>
      <c r="JKN38" s="292"/>
      <c r="JKO38" s="292"/>
      <c r="JKP38" s="292"/>
      <c r="JKQ38" s="292"/>
      <c r="JKR38" s="292"/>
      <c r="JKS38" s="292"/>
      <c r="JKT38" s="292"/>
      <c r="JKU38" s="292"/>
      <c r="JKV38" s="292"/>
      <c r="JKW38" s="292"/>
      <c r="JKX38" s="292"/>
      <c r="JKY38" s="292"/>
      <c r="JKZ38" s="292"/>
      <c r="JLA38" s="292"/>
      <c r="JLB38" s="292"/>
      <c r="JLC38" s="292"/>
      <c r="JLD38" s="292"/>
      <c r="JLE38" s="292"/>
      <c r="JLF38" s="292"/>
      <c r="JLG38" s="292"/>
      <c r="JLH38" s="292"/>
      <c r="JLI38" s="292"/>
      <c r="JLJ38" s="292"/>
      <c r="JLK38" s="292"/>
      <c r="JLL38" s="292"/>
      <c r="JLM38" s="292"/>
      <c r="JLN38" s="292"/>
      <c r="JLO38" s="292"/>
      <c r="JLP38" s="292"/>
      <c r="JLQ38" s="292"/>
      <c r="JLR38" s="292"/>
      <c r="JLS38" s="292"/>
      <c r="JLT38" s="292"/>
      <c r="JLU38" s="292"/>
      <c r="JLV38" s="292"/>
      <c r="JLW38" s="292"/>
      <c r="JLX38" s="292"/>
      <c r="JLY38" s="292"/>
      <c r="JLZ38" s="292"/>
      <c r="JMA38" s="292"/>
      <c r="JMB38" s="292"/>
      <c r="JMC38" s="292"/>
      <c r="JMD38" s="292"/>
      <c r="JME38" s="292"/>
      <c r="JMF38" s="292"/>
      <c r="JMG38" s="292"/>
      <c r="JMH38" s="292"/>
      <c r="JMI38" s="292"/>
      <c r="JMJ38" s="292"/>
      <c r="JMK38" s="292"/>
      <c r="JML38" s="292"/>
      <c r="JMM38" s="292"/>
      <c r="JMN38" s="292"/>
      <c r="JMO38" s="292"/>
      <c r="JMP38" s="292"/>
      <c r="JMQ38" s="292"/>
      <c r="JMR38" s="292"/>
      <c r="JMS38" s="292"/>
      <c r="JMT38" s="292"/>
      <c r="JMU38" s="292"/>
      <c r="JMV38" s="292"/>
      <c r="JMW38" s="292"/>
      <c r="JMX38" s="292"/>
      <c r="JMY38" s="292"/>
      <c r="JMZ38" s="292"/>
      <c r="JNA38" s="292"/>
      <c r="JNB38" s="292"/>
      <c r="JNC38" s="292"/>
      <c r="JND38" s="292"/>
      <c r="JNE38" s="292"/>
      <c r="JNF38" s="292"/>
      <c r="JNG38" s="292"/>
      <c r="JNH38" s="292"/>
      <c r="JNI38" s="292"/>
      <c r="JNJ38" s="292"/>
      <c r="JNK38" s="292"/>
      <c r="JNL38" s="292"/>
      <c r="JNM38" s="292"/>
      <c r="JNN38" s="292"/>
      <c r="JNO38" s="292"/>
      <c r="JNP38" s="292"/>
      <c r="JNQ38" s="292"/>
      <c r="JNR38" s="292"/>
      <c r="JNS38" s="292"/>
      <c r="JNT38" s="292"/>
      <c r="JNU38" s="292"/>
      <c r="JNV38" s="292"/>
      <c r="JNW38" s="292"/>
      <c r="JNX38" s="292"/>
      <c r="JNY38" s="292"/>
      <c r="JNZ38" s="292"/>
      <c r="JOA38" s="292"/>
      <c r="JOB38" s="292"/>
      <c r="JOC38" s="292"/>
      <c r="JOD38" s="292"/>
      <c r="JOE38" s="292"/>
      <c r="JOF38" s="292"/>
      <c r="JOG38" s="292"/>
      <c r="JOH38" s="292"/>
      <c r="JOI38" s="292"/>
      <c r="JOJ38" s="292"/>
      <c r="JOK38" s="292"/>
      <c r="JOL38" s="292"/>
      <c r="JOM38" s="292"/>
      <c r="JON38" s="292"/>
      <c r="JOO38" s="292"/>
      <c r="JOP38" s="292"/>
      <c r="JOQ38" s="292"/>
      <c r="JOR38" s="292"/>
      <c r="JOS38" s="292"/>
      <c r="JOT38" s="292"/>
      <c r="JOU38" s="292"/>
      <c r="JOV38" s="292"/>
      <c r="JOW38" s="292"/>
      <c r="JOX38" s="292"/>
      <c r="JOY38" s="292"/>
      <c r="JOZ38" s="292"/>
      <c r="JPA38" s="292"/>
      <c r="JPB38" s="292"/>
      <c r="JPC38" s="292"/>
      <c r="JPD38" s="292"/>
      <c r="JPE38" s="292"/>
      <c r="JPF38" s="292"/>
      <c r="JPG38" s="292"/>
      <c r="JPH38" s="292"/>
      <c r="JPI38" s="292"/>
      <c r="JPJ38" s="292"/>
      <c r="JPK38" s="292"/>
      <c r="JPL38" s="292"/>
      <c r="JPM38" s="292"/>
      <c r="JPN38" s="292"/>
      <c r="JPO38" s="292"/>
      <c r="JPP38" s="292"/>
      <c r="JPQ38" s="292"/>
      <c r="JPR38" s="292"/>
      <c r="JPS38" s="292"/>
      <c r="JPT38" s="292"/>
      <c r="JPU38" s="292"/>
      <c r="JPV38" s="292"/>
      <c r="JPW38" s="292"/>
      <c r="JPX38" s="292"/>
      <c r="JPY38" s="292"/>
      <c r="JPZ38" s="292"/>
      <c r="JQA38" s="292"/>
      <c r="JQB38" s="292"/>
      <c r="JQC38" s="292"/>
      <c r="JQD38" s="292"/>
      <c r="JQE38" s="292"/>
      <c r="JQF38" s="292"/>
      <c r="JQG38" s="292"/>
      <c r="JQH38" s="292"/>
      <c r="JQI38" s="292"/>
      <c r="JQJ38" s="292"/>
      <c r="JQK38" s="292"/>
      <c r="JQL38" s="292"/>
      <c r="JQM38" s="292"/>
      <c r="JQN38" s="292"/>
      <c r="JQO38" s="292"/>
      <c r="JQP38" s="292"/>
      <c r="JQQ38" s="292"/>
      <c r="JQR38" s="292"/>
      <c r="JQS38" s="292"/>
      <c r="JQT38" s="292"/>
      <c r="JQU38" s="292"/>
      <c r="JQV38" s="292"/>
      <c r="JQW38" s="292"/>
      <c r="JQX38" s="292"/>
      <c r="JQY38" s="292"/>
      <c r="JQZ38" s="292"/>
      <c r="JRA38" s="292"/>
      <c r="JRB38" s="292"/>
      <c r="JRC38" s="292"/>
      <c r="JRD38" s="292"/>
      <c r="JRE38" s="292"/>
      <c r="JRF38" s="292"/>
      <c r="JRG38" s="292"/>
      <c r="JRH38" s="292"/>
      <c r="JRI38" s="292"/>
      <c r="JRJ38" s="292"/>
      <c r="JRK38" s="292"/>
      <c r="JRL38" s="292"/>
      <c r="JRM38" s="292"/>
      <c r="JRN38" s="292"/>
      <c r="JRO38" s="292"/>
      <c r="JRP38" s="292"/>
      <c r="JRQ38" s="292"/>
      <c r="JRR38" s="292"/>
      <c r="JRS38" s="292"/>
      <c r="JRT38" s="292"/>
      <c r="JRU38" s="292"/>
      <c r="JRV38" s="292"/>
      <c r="JRW38" s="292"/>
      <c r="JRX38" s="292"/>
      <c r="JRY38" s="292"/>
      <c r="JRZ38" s="292"/>
      <c r="JSA38" s="292"/>
      <c r="JSB38" s="292"/>
      <c r="JSC38" s="292"/>
      <c r="JSD38" s="292"/>
      <c r="JSE38" s="292"/>
      <c r="JSF38" s="292"/>
      <c r="JSG38" s="292"/>
      <c r="JSH38" s="292"/>
      <c r="JSI38" s="292"/>
      <c r="JSJ38" s="292"/>
      <c r="JSK38" s="292"/>
      <c r="JSL38" s="292"/>
      <c r="JSM38" s="292"/>
      <c r="JSN38" s="292"/>
      <c r="JSO38" s="292"/>
      <c r="JSP38" s="292"/>
      <c r="JSQ38" s="292"/>
      <c r="JSR38" s="292"/>
      <c r="JSS38" s="292"/>
      <c r="JST38" s="292"/>
      <c r="JSU38" s="292"/>
      <c r="JSV38" s="292"/>
      <c r="JSW38" s="292"/>
      <c r="JSX38" s="292"/>
      <c r="JSY38" s="292"/>
      <c r="JSZ38" s="292"/>
      <c r="JTA38" s="292"/>
      <c r="JTB38" s="292"/>
      <c r="JTC38" s="292"/>
      <c r="JTD38" s="292"/>
      <c r="JTE38" s="292"/>
      <c r="JTF38" s="292"/>
      <c r="JTG38" s="292"/>
      <c r="JTH38" s="292"/>
      <c r="JTI38" s="292"/>
      <c r="JTJ38" s="292"/>
      <c r="JTK38" s="292"/>
      <c r="JTL38" s="292"/>
      <c r="JTM38" s="292"/>
      <c r="JTN38" s="292"/>
      <c r="JTO38" s="292"/>
      <c r="JTP38" s="292"/>
      <c r="JTQ38" s="292"/>
      <c r="JTR38" s="292"/>
      <c r="JTS38" s="292"/>
      <c r="JTT38" s="292"/>
      <c r="JTU38" s="292"/>
      <c r="JTV38" s="292"/>
      <c r="JTW38" s="292"/>
      <c r="JTX38" s="292"/>
      <c r="JTY38" s="292"/>
      <c r="JTZ38" s="292"/>
      <c r="JUA38" s="292"/>
      <c r="JUB38" s="292"/>
      <c r="JUC38" s="292"/>
      <c r="JUD38" s="292"/>
      <c r="JUE38" s="292"/>
      <c r="JUF38" s="292"/>
      <c r="JUG38" s="292"/>
      <c r="JUH38" s="292"/>
      <c r="JUI38" s="292"/>
      <c r="JUJ38" s="292"/>
      <c r="JUK38" s="292"/>
      <c r="JUL38" s="292"/>
      <c r="JUM38" s="292"/>
      <c r="JUN38" s="292"/>
      <c r="JUO38" s="292"/>
      <c r="JUP38" s="292"/>
      <c r="JUQ38" s="292"/>
      <c r="JUR38" s="292"/>
      <c r="JUS38" s="292"/>
      <c r="JUT38" s="292"/>
      <c r="JUU38" s="292"/>
      <c r="JUV38" s="292"/>
      <c r="JUW38" s="292"/>
      <c r="JUX38" s="292"/>
      <c r="JUY38" s="292"/>
      <c r="JUZ38" s="292"/>
      <c r="JVA38" s="292"/>
      <c r="JVB38" s="292"/>
      <c r="JVC38" s="292"/>
      <c r="JVD38" s="292"/>
      <c r="JVE38" s="292"/>
      <c r="JVF38" s="292"/>
      <c r="JVG38" s="292"/>
      <c r="JVH38" s="292"/>
      <c r="JVI38" s="292"/>
      <c r="JVJ38" s="292"/>
      <c r="JVK38" s="292"/>
      <c r="JVL38" s="292"/>
      <c r="JVM38" s="292"/>
      <c r="JVN38" s="292"/>
      <c r="JVO38" s="292"/>
      <c r="JVP38" s="292"/>
      <c r="JVQ38" s="292"/>
      <c r="JVR38" s="292"/>
      <c r="JVS38" s="292"/>
      <c r="JVT38" s="292"/>
      <c r="JVU38" s="292"/>
      <c r="JVV38" s="292"/>
      <c r="JVW38" s="292"/>
      <c r="JVX38" s="292"/>
      <c r="JVY38" s="292"/>
      <c r="JVZ38" s="292"/>
      <c r="JWA38" s="292"/>
      <c r="JWB38" s="292"/>
      <c r="JWC38" s="292"/>
      <c r="JWD38" s="292"/>
      <c r="JWE38" s="292"/>
      <c r="JWF38" s="292"/>
      <c r="JWG38" s="292"/>
      <c r="JWH38" s="292"/>
      <c r="JWI38" s="292"/>
      <c r="JWJ38" s="292"/>
      <c r="JWK38" s="292"/>
      <c r="JWL38" s="292"/>
      <c r="JWM38" s="292"/>
      <c r="JWN38" s="292"/>
      <c r="JWO38" s="292"/>
      <c r="JWP38" s="292"/>
      <c r="JWQ38" s="292"/>
      <c r="JWR38" s="292"/>
      <c r="JWS38" s="292"/>
      <c r="JWT38" s="292"/>
      <c r="JWU38" s="292"/>
      <c r="JWV38" s="292"/>
      <c r="JWW38" s="292"/>
      <c r="JWX38" s="292"/>
      <c r="JWY38" s="292"/>
      <c r="JWZ38" s="292"/>
      <c r="JXA38" s="292"/>
      <c r="JXB38" s="292"/>
      <c r="JXC38" s="292"/>
      <c r="JXD38" s="292"/>
      <c r="JXE38" s="292"/>
      <c r="JXF38" s="292"/>
      <c r="JXG38" s="292"/>
      <c r="JXH38" s="292"/>
      <c r="JXI38" s="292"/>
      <c r="JXJ38" s="292"/>
      <c r="JXK38" s="292"/>
      <c r="JXL38" s="292"/>
      <c r="JXM38" s="292"/>
      <c r="JXN38" s="292"/>
      <c r="JXO38" s="292"/>
      <c r="JXP38" s="292"/>
      <c r="JXQ38" s="292"/>
      <c r="JXR38" s="292"/>
      <c r="JXS38" s="292"/>
      <c r="JXT38" s="292"/>
      <c r="JXU38" s="292"/>
      <c r="JXV38" s="292"/>
      <c r="JXW38" s="292"/>
      <c r="JXX38" s="292"/>
      <c r="JXY38" s="292"/>
      <c r="JXZ38" s="292"/>
      <c r="JYA38" s="292"/>
      <c r="JYB38" s="292"/>
      <c r="JYC38" s="292"/>
      <c r="JYD38" s="292"/>
      <c r="JYE38" s="292"/>
      <c r="JYF38" s="292"/>
      <c r="JYG38" s="292"/>
      <c r="JYH38" s="292"/>
      <c r="JYI38" s="292"/>
      <c r="JYJ38" s="292"/>
      <c r="JYK38" s="292"/>
      <c r="JYL38" s="292"/>
      <c r="JYM38" s="292"/>
      <c r="JYN38" s="292"/>
      <c r="JYO38" s="292"/>
      <c r="JYP38" s="292"/>
      <c r="JYQ38" s="292"/>
      <c r="JYR38" s="292"/>
      <c r="JYS38" s="292"/>
      <c r="JYT38" s="292"/>
      <c r="JYU38" s="292"/>
      <c r="JYV38" s="292"/>
      <c r="JYW38" s="292"/>
      <c r="JYX38" s="292"/>
      <c r="JYY38" s="292"/>
      <c r="JYZ38" s="292"/>
      <c r="JZA38" s="292"/>
      <c r="JZB38" s="292"/>
      <c r="JZC38" s="292"/>
      <c r="JZD38" s="292"/>
      <c r="JZE38" s="292"/>
      <c r="JZF38" s="292"/>
      <c r="JZG38" s="292"/>
      <c r="JZH38" s="292"/>
      <c r="JZI38" s="292"/>
      <c r="JZJ38" s="292"/>
      <c r="JZK38" s="292"/>
      <c r="JZL38" s="292"/>
      <c r="JZM38" s="292"/>
      <c r="JZN38" s="292"/>
      <c r="JZO38" s="292"/>
      <c r="JZP38" s="292"/>
      <c r="JZQ38" s="292"/>
      <c r="JZR38" s="292"/>
      <c r="JZS38" s="292"/>
      <c r="JZT38" s="292"/>
      <c r="JZU38" s="292"/>
      <c r="JZV38" s="292"/>
      <c r="JZW38" s="292"/>
      <c r="JZX38" s="292"/>
      <c r="JZY38" s="292"/>
      <c r="JZZ38" s="292"/>
      <c r="KAA38" s="292"/>
      <c r="KAB38" s="292"/>
      <c r="KAC38" s="292"/>
      <c r="KAD38" s="292"/>
      <c r="KAE38" s="292"/>
      <c r="KAF38" s="292"/>
      <c r="KAG38" s="292"/>
      <c r="KAH38" s="292"/>
      <c r="KAI38" s="292"/>
      <c r="KAJ38" s="292"/>
      <c r="KAK38" s="292"/>
      <c r="KAL38" s="292"/>
      <c r="KAM38" s="292"/>
      <c r="KAN38" s="292"/>
      <c r="KAO38" s="292"/>
      <c r="KAP38" s="292"/>
      <c r="KAQ38" s="292"/>
      <c r="KAR38" s="292"/>
      <c r="KAS38" s="292"/>
      <c r="KAT38" s="292"/>
      <c r="KAU38" s="292"/>
      <c r="KAV38" s="292"/>
      <c r="KAW38" s="292"/>
      <c r="KAX38" s="292"/>
      <c r="KAY38" s="292"/>
      <c r="KAZ38" s="292"/>
      <c r="KBA38" s="292"/>
      <c r="KBB38" s="292"/>
      <c r="KBC38" s="292"/>
      <c r="KBD38" s="292"/>
      <c r="KBE38" s="292"/>
      <c r="KBF38" s="292"/>
      <c r="KBG38" s="292"/>
      <c r="KBH38" s="292"/>
      <c r="KBI38" s="292"/>
      <c r="KBJ38" s="292"/>
      <c r="KBK38" s="292"/>
      <c r="KBL38" s="292"/>
      <c r="KBM38" s="292"/>
      <c r="KBN38" s="292"/>
      <c r="KBO38" s="292"/>
      <c r="KBP38" s="292"/>
      <c r="KBQ38" s="292"/>
      <c r="KBR38" s="292"/>
      <c r="KBS38" s="292"/>
      <c r="KBT38" s="292"/>
      <c r="KBU38" s="292"/>
      <c r="KBV38" s="292"/>
      <c r="KBW38" s="292"/>
      <c r="KBX38" s="292"/>
      <c r="KBY38" s="292"/>
      <c r="KBZ38" s="292"/>
      <c r="KCA38" s="292"/>
      <c r="KCB38" s="292"/>
      <c r="KCC38" s="292"/>
      <c r="KCD38" s="292"/>
      <c r="KCE38" s="292"/>
      <c r="KCF38" s="292"/>
      <c r="KCG38" s="292"/>
      <c r="KCH38" s="292"/>
      <c r="KCI38" s="292"/>
      <c r="KCJ38" s="292"/>
      <c r="KCK38" s="292"/>
      <c r="KCL38" s="292"/>
      <c r="KCM38" s="292"/>
      <c r="KCN38" s="292"/>
      <c r="KCO38" s="292"/>
      <c r="KCP38" s="292"/>
      <c r="KCQ38" s="292"/>
      <c r="KCR38" s="292"/>
      <c r="KCS38" s="292"/>
      <c r="KCT38" s="292"/>
      <c r="KCU38" s="292"/>
      <c r="KCV38" s="292"/>
      <c r="KCW38" s="292"/>
      <c r="KCX38" s="292"/>
      <c r="KCY38" s="292"/>
      <c r="KCZ38" s="292"/>
      <c r="KDA38" s="292"/>
      <c r="KDB38" s="292"/>
      <c r="KDC38" s="292"/>
      <c r="KDD38" s="292"/>
      <c r="KDE38" s="292"/>
      <c r="KDF38" s="292"/>
      <c r="KDG38" s="292"/>
      <c r="KDH38" s="292"/>
      <c r="KDI38" s="292"/>
      <c r="KDJ38" s="292"/>
      <c r="KDK38" s="292"/>
      <c r="KDL38" s="292"/>
      <c r="KDM38" s="292"/>
      <c r="KDN38" s="292"/>
      <c r="KDO38" s="292"/>
      <c r="KDP38" s="292"/>
      <c r="KDQ38" s="292"/>
      <c r="KDR38" s="292"/>
      <c r="KDS38" s="292"/>
      <c r="KDT38" s="292"/>
      <c r="KDU38" s="292"/>
      <c r="KDV38" s="292"/>
      <c r="KDW38" s="292"/>
      <c r="KDX38" s="292"/>
      <c r="KDY38" s="292"/>
      <c r="KDZ38" s="292"/>
      <c r="KEA38" s="292"/>
      <c r="KEB38" s="292"/>
      <c r="KEC38" s="292"/>
      <c r="KED38" s="292"/>
      <c r="KEE38" s="292"/>
      <c r="KEF38" s="292"/>
      <c r="KEG38" s="292"/>
      <c r="KEH38" s="292"/>
      <c r="KEI38" s="292"/>
      <c r="KEJ38" s="292"/>
      <c r="KEK38" s="292"/>
      <c r="KEL38" s="292"/>
      <c r="KEM38" s="292"/>
      <c r="KEN38" s="292"/>
      <c r="KEO38" s="292"/>
      <c r="KEP38" s="292"/>
      <c r="KEQ38" s="292"/>
      <c r="KER38" s="292"/>
      <c r="KES38" s="292"/>
      <c r="KET38" s="292"/>
      <c r="KEU38" s="292"/>
      <c r="KEV38" s="292"/>
      <c r="KEW38" s="292"/>
      <c r="KEX38" s="292"/>
      <c r="KEY38" s="292"/>
      <c r="KEZ38" s="292"/>
      <c r="KFA38" s="292"/>
      <c r="KFB38" s="292"/>
      <c r="KFC38" s="292"/>
      <c r="KFD38" s="292"/>
      <c r="KFE38" s="292"/>
      <c r="KFF38" s="292"/>
      <c r="KFG38" s="292"/>
      <c r="KFH38" s="292"/>
      <c r="KFI38" s="292"/>
      <c r="KFJ38" s="292"/>
      <c r="KFK38" s="292"/>
      <c r="KFL38" s="292"/>
      <c r="KFM38" s="292"/>
      <c r="KFN38" s="292"/>
      <c r="KFO38" s="292"/>
      <c r="KFP38" s="292"/>
      <c r="KFQ38" s="292"/>
      <c r="KFR38" s="292"/>
      <c r="KFS38" s="292"/>
      <c r="KFT38" s="292"/>
      <c r="KFU38" s="292"/>
      <c r="KFV38" s="292"/>
      <c r="KFW38" s="292"/>
      <c r="KFX38" s="292"/>
      <c r="KFY38" s="292"/>
      <c r="KFZ38" s="292"/>
      <c r="KGA38" s="292"/>
      <c r="KGB38" s="292"/>
      <c r="KGC38" s="292"/>
      <c r="KGD38" s="292"/>
      <c r="KGE38" s="292"/>
      <c r="KGF38" s="292"/>
      <c r="KGG38" s="292"/>
      <c r="KGH38" s="292"/>
      <c r="KGI38" s="292"/>
      <c r="KGJ38" s="292"/>
      <c r="KGK38" s="292"/>
      <c r="KGL38" s="292"/>
      <c r="KGM38" s="292"/>
      <c r="KGN38" s="292"/>
      <c r="KGO38" s="292"/>
      <c r="KGP38" s="292"/>
      <c r="KGQ38" s="292"/>
      <c r="KGR38" s="292"/>
      <c r="KGS38" s="292"/>
      <c r="KGT38" s="292"/>
      <c r="KGU38" s="292"/>
      <c r="KGV38" s="292"/>
      <c r="KGW38" s="292"/>
      <c r="KGX38" s="292"/>
      <c r="KGY38" s="292"/>
      <c r="KGZ38" s="292"/>
      <c r="KHA38" s="292"/>
      <c r="KHB38" s="292"/>
      <c r="KHC38" s="292"/>
      <c r="KHD38" s="292"/>
      <c r="KHE38" s="292"/>
      <c r="KHF38" s="292"/>
      <c r="KHG38" s="292"/>
      <c r="KHH38" s="292"/>
      <c r="KHI38" s="292"/>
      <c r="KHJ38" s="292"/>
      <c r="KHK38" s="292"/>
      <c r="KHL38" s="292"/>
      <c r="KHM38" s="292"/>
      <c r="KHN38" s="292"/>
      <c r="KHO38" s="292"/>
      <c r="KHP38" s="292"/>
      <c r="KHQ38" s="292"/>
      <c r="KHR38" s="292"/>
      <c r="KHS38" s="292"/>
      <c r="KHT38" s="292"/>
      <c r="KHU38" s="292"/>
      <c r="KHV38" s="292"/>
      <c r="KHW38" s="292"/>
      <c r="KHX38" s="292"/>
      <c r="KHY38" s="292"/>
      <c r="KHZ38" s="292"/>
      <c r="KIA38" s="292"/>
      <c r="KIB38" s="292"/>
      <c r="KIC38" s="292"/>
      <c r="KID38" s="292"/>
      <c r="KIE38" s="292"/>
      <c r="KIF38" s="292"/>
      <c r="KIG38" s="292"/>
      <c r="KIH38" s="292"/>
      <c r="KII38" s="292"/>
      <c r="KIJ38" s="292"/>
      <c r="KIK38" s="292"/>
      <c r="KIL38" s="292"/>
      <c r="KIM38" s="292"/>
      <c r="KIN38" s="292"/>
      <c r="KIO38" s="292"/>
      <c r="KIP38" s="292"/>
      <c r="KIQ38" s="292"/>
      <c r="KIR38" s="292"/>
      <c r="KIS38" s="292"/>
      <c r="KIT38" s="292"/>
      <c r="KIU38" s="292"/>
      <c r="KIV38" s="292"/>
      <c r="KIW38" s="292"/>
      <c r="KIX38" s="292"/>
      <c r="KIY38" s="292"/>
      <c r="KIZ38" s="292"/>
      <c r="KJA38" s="292"/>
      <c r="KJB38" s="292"/>
      <c r="KJC38" s="292"/>
      <c r="KJD38" s="292"/>
      <c r="KJE38" s="292"/>
      <c r="KJF38" s="292"/>
      <c r="KJG38" s="292"/>
      <c r="KJH38" s="292"/>
      <c r="KJI38" s="292"/>
      <c r="KJJ38" s="292"/>
      <c r="KJK38" s="292"/>
      <c r="KJL38" s="292"/>
      <c r="KJM38" s="292"/>
      <c r="KJN38" s="292"/>
      <c r="KJO38" s="292"/>
      <c r="KJP38" s="292"/>
      <c r="KJQ38" s="292"/>
      <c r="KJR38" s="292"/>
      <c r="KJS38" s="292"/>
      <c r="KJT38" s="292"/>
      <c r="KJU38" s="292"/>
      <c r="KJV38" s="292"/>
      <c r="KJW38" s="292"/>
      <c r="KJX38" s="292"/>
      <c r="KJY38" s="292"/>
      <c r="KJZ38" s="292"/>
      <c r="KKA38" s="292"/>
      <c r="KKB38" s="292"/>
      <c r="KKC38" s="292"/>
      <c r="KKD38" s="292"/>
      <c r="KKE38" s="292"/>
      <c r="KKF38" s="292"/>
      <c r="KKG38" s="292"/>
      <c r="KKH38" s="292"/>
      <c r="KKI38" s="292"/>
      <c r="KKJ38" s="292"/>
      <c r="KKK38" s="292"/>
      <c r="KKL38" s="292"/>
      <c r="KKM38" s="292"/>
      <c r="KKN38" s="292"/>
      <c r="KKO38" s="292"/>
      <c r="KKP38" s="292"/>
      <c r="KKQ38" s="292"/>
      <c r="KKR38" s="292"/>
      <c r="KKS38" s="292"/>
      <c r="KKT38" s="292"/>
      <c r="KKU38" s="292"/>
      <c r="KKV38" s="292"/>
      <c r="KKW38" s="292"/>
      <c r="KKX38" s="292"/>
      <c r="KKY38" s="292"/>
      <c r="KKZ38" s="292"/>
      <c r="KLA38" s="292"/>
      <c r="KLB38" s="292"/>
      <c r="KLC38" s="292"/>
      <c r="KLD38" s="292"/>
      <c r="KLE38" s="292"/>
      <c r="KLF38" s="292"/>
      <c r="KLG38" s="292"/>
      <c r="KLH38" s="292"/>
      <c r="KLI38" s="292"/>
      <c r="KLJ38" s="292"/>
      <c r="KLK38" s="292"/>
      <c r="KLL38" s="292"/>
      <c r="KLM38" s="292"/>
      <c r="KLN38" s="292"/>
      <c r="KLO38" s="292"/>
      <c r="KLP38" s="292"/>
      <c r="KLQ38" s="292"/>
      <c r="KLR38" s="292"/>
      <c r="KLS38" s="292"/>
      <c r="KLT38" s="292"/>
      <c r="KLU38" s="292"/>
      <c r="KLV38" s="292"/>
      <c r="KLW38" s="292"/>
      <c r="KLX38" s="292"/>
      <c r="KLY38" s="292"/>
      <c r="KLZ38" s="292"/>
      <c r="KMA38" s="292"/>
      <c r="KMB38" s="292"/>
      <c r="KMC38" s="292"/>
      <c r="KMD38" s="292"/>
      <c r="KME38" s="292"/>
      <c r="KMF38" s="292"/>
      <c r="KMG38" s="292"/>
      <c r="KMH38" s="292"/>
      <c r="KMI38" s="292"/>
      <c r="KMJ38" s="292"/>
      <c r="KMK38" s="292"/>
      <c r="KML38" s="292"/>
      <c r="KMM38" s="292"/>
      <c r="KMN38" s="292"/>
      <c r="KMO38" s="292"/>
      <c r="KMP38" s="292"/>
      <c r="KMQ38" s="292"/>
      <c r="KMR38" s="292"/>
      <c r="KMS38" s="292"/>
      <c r="KMT38" s="292"/>
      <c r="KMU38" s="292"/>
      <c r="KMV38" s="292"/>
      <c r="KMW38" s="292"/>
      <c r="KMX38" s="292"/>
      <c r="KMY38" s="292"/>
      <c r="KMZ38" s="292"/>
      <c r="KNA38" s="292"/>
      <c r="KNB38" s="292"/>
      <c r="KNC38" s="292"/>
      <c r="KND38" s="292"/>
      <c r="KNE38" s="292"/>
      <c r="KNF38" s="292"/>
      <c r="KNG38" s="292"/>
      <c r="KNH38" s="292"/>
      <c r="KNI38" s="292"/>
      <c r="KNJ38" s="292"/>
      <c r="KNK38" s="292"/>
      <c r="KNL38" s="292"/>
      <c r="KNM38" s="292"/>
      <c r="KNN38" s="292"/>
      <c r="KNO38" s="292"/>
      <c r="KNP38" s="292"/>
      <c r="KNQ38" s="292"/>
      <c r="KNR38" s="292"/>
      <c r="KNS38" s="292"/>
      <c r="KNT38" s="292"/>
      <c r="KNU38" s="292"/>
      <c r="KNV38" s="292"/>
      <c r="KNW38" s="292"/>
      <c r="KNX38" s="292"/>
      <c r="KNY38" s="292"/>
      <c r="KNZ38" s="292"/>
      <c r="KOA38" s="292"/>
      <c r="KOB38" s="292"/>
      <c r="KOC38" s="292"/>
      <c r="KOD38" s="292"/>
      <c r="KOE38" s="292"/>
      <c r="KOF38" s="292"/>
      <c r="KOG38" s="292"/>
      <c r="KOH38" s="292"/>
      <c r="KOI38" s="292"/>
      <c r="KOJ38" s="292"/>
      <c r="KOK38" s="292"/>
      <c r="KOL38" s="292"/>
      <c r="KOM38" s="292"/>
      <c r="KON38" s="292"/>
      <c r="KOO38" s="292"/>
      <c r="KOP38" s="292"/>
      <c r="KOQ38" s="292"/>
      <c r="KOR38" s="292"/>
      <c r="KOS38" s="292"/>
      <c r="KOT38" s="292"/>
      <c r="KOU38" s="292"/>
      <c r="KOV38" s="292"/>
      <c r="KOW38" s="292"/>
      <c r="KOX38" s="292"/>
      <c r="KOY38" s="292"/>
      <c r="KOZ38" s="292"/>
      <c r="KPA38" s="292"/>
      <c r="KPB38" s="292"/>
      <c r="KPC38" s="292"/>
      <c r="KPD38" s="292"/>
      <c r="KPE38" s="292"/>
      <c r="KPF38" s="292"/>
      <c r="KPG38" s="292"/>
      <c r="KPH38" s="292"/>
      <c r="KPI38" s="292"/>
      <c r="KPJ38" s="292"/>
      <c r="KPK38" s="292"/>
      <c r="KPL38" s="292"/>
      <c r="KPM38" s="292"/>
      <c r="KPN38" s="292"/>
      <c r="KPO38" s="292"/>
      <c r="KPP38" s="292"/>
      <c r="KPQ38" s="292"/>
      <c r="KPR38" s="292"/>
      <c r="KPS38" s="292"/>
      <c r="KPT38" s="292"/>
      <c r="KPU38" s="292"/>
      <c r="KPV38" s="292"/>
      <c r="KPW38" s="292"/>
      <c r="KPX38" s="292"/>
      <c r="KPY38" s="292"/>
      <c r="KPZ38" s="292"/>
      <c r="KQA38" s="292"/>
      <c r="KQB38" s="292"/>
      <c r="KQC38" s="292"/>
      <c r="KQD38" s="292"/>
      <c r="KQE38" s="292"/>
      <c r="KQF38" s="292"/>
      <c r="KQG38" s="292"/>
      <c r="KQH38" s="292"/>
      <c r="KQI38" s="292"/>
      <c r="KQJ38" s="292"/>
      <c r="KQK38" s="292"/>
      <c r="KQL38" s="292"/>
      <c r="KQM38" s="292"/>
      <c r="KQN38" s="292"/>
      <c r="KQO38" s="292"/>
      <c r="KQP38" s="292"/>
      <c r="KQQ38" s="292"/>
      <c r="KQR38" s="292"/>
      <c r="KQS38" s="292"/>
      <c r="KQT38" s="292"/>
      <c r="KQU38" s="292"/>
      <c r="KQV38" s="292"/>
      <c r="KQW38" s="292"/>
      <c r="KQX38" s="292"/>
      <c r="KQY38" s="292"/>
      <c r="KQZ38" s="292"/>
      <c r="KRA38" s="292"/>
      <c r="KRB38" s="292"/>
      <c r="KRC38" s="292"/>
      <c r="KRD38" s="292"/>
      <c r="KRE38" s="292"/>
      <c r="KRF38" s="292"/>
      <c r="KRG38" s="292"/>
      <c r="KRH38" s="292"/>
      <c r="KRI38" s="292"/>
      <c r="KRJ38" s="292"/>
      <c r="KRK38" s="292"/>
      <c r="KRL38" s="292"/>
      <c r="KRM38" s="292"/>
      <c r="KRN38" s="292"/>
      <c r="KRO38" s="292"/>
      <c r="KRP38" s="292"/>
      <c r="KRQ38" s="292"/>
      <c r="KRR38" s="292"/>
      <c r="KRS38" s="292"/>
      <c r="KRT38" s="292"/>
      <c r="KRU38" s="292"/>
      <c r="KRV38" s="292"/>
      <c r="KRW38" s="292"/>
      <c r="KRX38" s="292"/>
      <c r="KRY38" s="292"/>
      <c r="KRZ38" s="292"/>
      <c r="KSA38" s="292"/>
      <c r="KSB38" s="292"/>
      <c r="KSC38" s="292"/>
      <c r="KSD38" s="292"/>
      <c r="KSE38" s="292"/>
      <c r="KSF38" s="292"/>
      <c r="KSG38" s="292"/>
      <c r="KSH38" s="292"/>
      <c r="KSI38" s="292"/>
      <c r="KSJ38" s="292"/>
      <c r="KSK38" s="292"/>
      <c r="KSL38" s="292"/>
      <c r="KSM38" s="292"/>
      <c r="KSN38" s="292"/>
      <c r="KSO38" s="292"/>
      <c r="KSP38" s="292"/>
      <c r="KSQ38" s="292"/>
      <c r="KSR38" s="292"/>
      <c r="KSS38" s="292"/>
      <c r="KST38" s="292"/>
      <c r="KSU38" s="292"/>
      <c r="KSV38" s="292"/>
      <c r="KSW38" s="292"/>
      <c r="KSX38" s="292"/>
      <c r="KSY38" s="292"/>
      <c r="KSZ38" s="292"/>
      <c r="KTA38" s="292"/>
      <c r="KTB38" s="292"/>
      <c r="KTC38" s="292"/>
      <c r="KTD38" s="292"/>
      <c r="KTE38" s="292"/>
      <c r="KTF38" s="292"/>
      <c r="KTG38" s="292"/>
      <c r="KTH38" s="292"/>
      <c r="KTI38" s="292"/>
      <c r="KTJ38" s="292"/>
      <c r="KTK38" s="292"/>
      <c r="KTL38" s="292"/>
      <c r="KTM38" s="292"/>
      <c r="KTN38" s="292"/>
      <c r="KTO38" s="292"/>
      <c r="KTP38" s="292"/>
      <c r="KTQ38" s="292"/>
      <c r="KTR38" s="292"/>
      <c r="KTS38" s="292"/>
      <c r="KTT38" s="292"/>
      <c r="KTU38" s="292"/>
      <c r="KTV38" s="292"/>
      <c r="KTW38" s="292"/>
      <c r="KTX38" s="292"/>
      <c r="KTY38" s="292"/>
      <c r="KTZ38" s="292"/>
      <c r="KUA38" s="292"/>
      <c r="KUB38" s="292"/>
      <c r="KUC38" s="292"/>
      <c r="KUD38" s="292"/>
      <c r="KUE38" s="292"/>
      <c r="KUF38" s="292"/>
      <c r="KUG38" s="292"/>
      <c r="KUH38" s="292"/>
      <c r="KUI38" s="292"/>
      <c r="KUJ38" s="292"/>
      <c r="KUK38" s="292"/>
      <c r="KUL38" s="292"/>
      <c r="KUM38" s="292"/>
      <c r="KUN38" s="292"/>
      <c r="KUO38" s="292"/>
      <c r="KUP38" s="292"/>
      <c r="KUQ38" s="292"/>
      <c r="KUR38" s="292"/>
      <c r="KUS38" s="292"/>
      <c r="KUT38" s="292"/>
      <c r="KUU38" s="292"/>
      <c r="KUV38" s="292"/>
      <c r="KUW38" s="292"/>
      <c r="KUX38" s="292"/>
      <c r="KUY38" s="292"/>
      <c r="KUZ38" s="292"/>
      <c r="KVA38" s="292"/>
      <c r="KVB38" s="292"/>
      <c r="KVC38" s="292"/>
      <c r="KVD38" s="292"/>
      <c r="KVE38" s="292"/>
      <c r="KVF38" s="292"/>
      <c r="KVG38" s="292"/>
      <c r="KVH38" s="292"/>
      <c r="KVI38" s="292"/>
      <c r="KVJ38" s="292"/>
      <c r="KVK38" s="292"/>
      <c r="KVL38" s="292"/>
      <c r="KVM38" s="292"/>
      <c r="KVN38" s="292"/>
      <c r="KVO38" s="292"/>
      <c r="KVP38" s="292"/>
      <c r="KVQ38" s="292"/>
      <c r="KVR38" s="292"/>
      <c r="KVS38" s="292"/>
      <c r="KVT38" s="292"/>
      <c r="KVU38" s="292"/>
      <c r="KVV38" s="292"/>
      <c r="KVW38" s="292"/>
      <c r="KVX38" s="292"/>
      <c r="KVY38" s="292"/>
      <c r="KVZ38" s="292"/>
      <c r="KWA38" s="292"/>
      <c r="KWB38" s="292"/>
      <c r="KWC38" s="292"/>
      <c r="KWD38" s="292"/>
      <c r="KWE38" s="292"/>
      <c r="KWF38" s="292"/>
      <c r="KWG38" s="292"/>
      <c r="KWH38" s="292"/>
      <c r="KWI38" s="292"/>
      <c r="KWJ38" s="292"/>
      <c r="KWK38" s="292"/>
      <c r="KWL38" s="292"/>
      <c r="KWM38" s="292"/>
      <c r="KWN38" s="292"/>
      <c r="KWO38" s="292"/>
      <c r="KWP38" s="292"/>
      <c r="KWQ38" s="292"/>
      <c r="KWR38" s="292"/>
      <c r="KWS38" s="292"/>
      <c r="KWT38" s="292"/>
      <c r="KWU38" s="292"/>
      <c r="KWV38" s="292"/>
      <c r="KWW38" s="292"/>
      <c r="KWX38" s="292"/>
      <c r="KWY38" s="292"/>
      <c r="KWZ38" s="292"/>
      <c r="KXA38" s="292"/>
      <c r="KXB38" s="292"/>
      <c r="KXC38" s="292"/>
      <c r="KXD38" s="292"/>
      <c r="KXE38" s="292"/>
      <c r="KXF38" s="292"/>
      <c r="KXG38" s="292"/>
      <c r="KXH38" s="292"/>
      <c r="KXI38" s="292"/>
      <c r="KXJ38" s="292"/>
      <c r="KXK38" s="292"/>
      <c r="KXL38" s="292"/>
      <c r="KXM38" s="292"/>
      <c r="KXN38" s="292"/>
      <c r="KXO38" s="292"/>
      <c r="KXP38" s="292"/>
      <c r="KXQ38" s="292"/>
      <c r="KXR38" s="292"/>
      <c r="KXS38" s="292"/>
      <c r="KXT38" s="292"/>
      <c r="KXU38" s="292"/>
      <c r="KXV38" s="292"/>
      <c r="KXW38" s="292"/>
      <c r="KXX38" s="292"/>
      <c r="KXY38" s="292"/>
      <c r="KXZ38" s="292"/>
      <c r="KYA38" s="292"/>
      <c r="KYB38" s="292"/>
      <c r="KYC38" s="292"/>
      <c r="KYD38" s="292"/>
      <c r="KYE38" s="292"/>
      <c r="KYF38" s="292"/>
      <c r="KYG38" s="292"/>
      <c r="KYH38" s="292"/>
      <c r="KYI38" s="292"/>
      <c r="KYJ38" s="292"/>
      <c r="KYK38" s="292"/>
      <c r="KYL38" s="292"/>
      <c r="KYM38" s="292"/>
      <c r="KYN38" s="292"/>
      <c r="KYO38" s="292"/>
      <c r="KYP38" s="292"/>
      <c r="KYQ38" s="292"/>
      <c r="KYR38" s="292"/>
      <c r="KYS38" s="292"/>
      <c r="KYT38" s="292"/>
      <c r="KYU38" s="292"/>
      <c r="KYV38" s="292"/>
      <c r="KYW38" s="292"/>
      <c r="KYX38" s="292"/>
      <c r="KYY38" s="292"/>
      <c r="KYZ38" s="292"/>
      <c r="KZA38" s="292"/>
      <c r="KZB38" s="292"/>
      <c r="KZC38" s="292"/>
      <c r="KZD38" s="292"/>
      <c r="KZE38" s="292"/>
      <c r="KZF38" s="292"/>
      <c r="KZG38" s="292"/>
      <c r="KZH38" s="292"/>
      <c r="KZI38" s="292"/>
      <c r="KZJ38" s="292"/>
      <c r="KZK38" s="292"/>
      <c r="KZL38" s="292"/>
      <c r="KZM38" s="292"/>
      <c r="KZN38" s="292"/>
      <c r="KZO38" s="292"/>
      <c r="KZP38" s="292"/>
      <c r="KZQ38" s="292"/>
      <c r="KZR38" s="292"/>
      <c r="KZS38" s="292"/>
      <c r="KZT38" s="292"/>
      <c r="KZU38" s="292"/>
      <c r="KZV38" s="292"/>
      <c r="KZW38" s="292"/>
      <c r="KZX38" s="292"/>
      <c r="KZY38" s="292"/>
      <c r="KZZ38" s="292"/>
      <c r="LAA38" s="292"/>
      <c r="LAB38" s="292"/>
      <c r="LAC38" s="292"/>
      <c r="LAD38" s="292"/>
      <c r="LAE38" s="292"/>
      <c r="LAF38" s="292"/>
      <c r="LAG38" s="292"/>
      <c r="LAH38" s="292"/>
      <c r="LAI38" s="292"/>
      <c r="LAJ38" s="292"/>
      <c r="LAK38" s="292"/>
      <c r="LAL38" s="292"/>
      <c r="LAM38" s="292"/>
      <c r="LAN38" s="292"/>
      <c r="LAO38" s="292"/>
      <c r="LAP38" s="292"/>
      <c r="LAQ38" s="292"/>
      <c r="LAR38" s="292"/>
      <c r="LAS38" s="292"/>
      <c r="LAT38" s="292"/>
      <c r="LAU38" s="292"/>
      <c r="LAV38" s="292"/>
      <c r="LAW38" s="292"/>
      <c r="LAX38" s="292"/>
      <c r="LAY38" s="292"/>
      <c r="LAZ38" s="292"/>
      <c r="LBA38" s="292"/>
      <c r="LBB38" s="292"/>
      <c r="LBC38" s="292"/>
      <c r="LBD38" s="292"/>
      <c r="LBE38" s="292"/>
      <c r="LBF38" s="292"/>
      <c r="LBG38" s="292"/>
      <c r="LBH38" s="292"/>
      <c r="LBI38" s="292"/>
      <c r="LBJ38" s="292"/>
      <c r="LBK38" s="292"/>
      <c r="LBL38" s="292"/>
      <c r="LBM38" s="292"/>
      <c r="LBN38" s="292"/>
      <c r="LBO38" s="292"/>
      <c r="LBP38" s="292"/>
      <c r="LBQ38" s="292"/>
      <c r="LBR38" s="292"/>
      <c r="LBS38" s="292"/>
      <c r="LBT38" s="292"/>
      <c r="LBU38" s="292"/>
      <c r="LBV38" s="292"/>
      <c r="LBW38" s="292"/>
      <c r="LBX38" s="292"/>
      <c r="LBY38" s="292"/>
      <c r="LBZ38" s="292"/>
      <c r="LCA38" s="292"/>
      <c r="LCB38" s="292"/>
      <c r="LCC38" s="292"/>
      <c r="LCD38" s="292"/>
      <c r="LCE38" s="292"/>
      <c r="LCF38" s="292"/>
      <c r="LCG38" s="292"/>
      <c r="LCH38" s="292"/>
      <c r="LCI38" s="292"/>
      <c r="LCJ38" s="292"/>
      <c r="LCK38" s="292"/>
      <c r="LCL38" s="292"/>
      <c r="LCM38" s="292"/>
      <c r="LCN38" s="292"/>
      <c r="LCO38" s="292"/>
      <c r="LCP38" s="292"/>
      <c r="LCQ38" s="292"/>
      <c r="LCR38" s="292"/>
      <c r="LCS38" s="292"/>
      <c r="LCT38" s="292"/>
      <c r="LCU38" s="292"/>
      <c r="LCV38" s="292"/>
      <c r="LCW38" s="292"/>
      <c r="LCX38" s="292"/>
      <c r="LCY38" s="292"/>
      <c r="LCZ38" s="292"/>
      <c r="LDA38" s="292"/>
      <c r="LDB38" s="292"/>
      <c r="LDC38" s="292"/>
      <c r="LDD38" s="292"/>
      <c r="LDE38" s="292"/>
      <c r="LDF38" s="292"/>
      <c r="LDG38" s="292"/>
      <c r="LDH38" s="292"/>
      <c r="LDI38" s="292"/>
      <c r="LDJ38" s="292"/>
      <c r="LDK38" s="292"/>
      <c r="LDL38" s="292"/>
      <c r="LDM38" s="292"/>
      <c r="LDN38" s="292"/>
      <c r="LDO38" s="292"/>
      <c r="LDP38" s="292"/>
      <c r="LDQ38" s="292"/>
      <c r="LDR38" s="292"/>
      <c r="LDS38" s="292"/>
      <c r="LDT38" s="292"/>
      <c r="LDU38" s="292"/>
      <c r="LDV38" s="292"/>
      <c r="LDW38" s="292"/>
      <c r="LDX38" s="292"/>
      <c r="LDY38" s="292"/>
      <c r="LDZ38" s="292"/>
      <c r="LEA38" s="292"/>
      <c r="LEB38" s="292"/>
      <c r="LEC38" s="292"/>
      <c r="LED38" s="292"/>
      <c r="LEE38" s="292"/>
      <c r="LEF38" s="292"/>
      <c r="LEG38" s="292"/>
      <c r="LEH38" s="292"/>
      <c r="LEI38" s="292"/>
      <c r="LEJ38" s="292"/>
      <c r="LEK38" s="292"/>
      <c r="LEL38" s="292"/>
      <c r="LEM38" s="292"/>
      <c r="LEN38" s="292"/>
      <c r="LEO38" s="292"/>
      <c r="LEP38" s="292"/>
      <c r="LEQ38" s="292"/>
      <c r="LER38" s="292"/>
      <c r="LES38" s="292"/>
      <c r="LET38" s="292"/>
      <c r="LEU38" s="292"/>
      <c r="LEV38" s="292"/>
      <c r="LEW38" s="292"/>
      <c r="LEX38" s="292"/>
      <c r="LEY38" s="292"/>
      <c r="LEZ38" s="292"/>
      <c r="LFA38" s="292"/>
      <c r="LFB38" s="292"/>
      <c r="LFC38" s="292"/>
      <c r="LFD38" s="292"/>
      <c r="LFE38" s="292"/>
      <c r="LFF38" s="292"/>
      <c r="LFG38" s="292"/>
      <c r="LFH38" s="292"/>
      <c r="LFI38" s="292"/>
      <c r="LFJ38" s="292"/>
      <c r="LFK38" s="292"/>
      <c r="LFL38" s="292"/>
      <c r="LFM38" s="292"/>
      <c r="LFN38" s="292"/>
      <c r="LFO38" s="292"/>
      <c r="LFP38" s="292"/>
      <c r="LFQ38" s="292"/>
      <c r="LFR38" s="292"/>
      <c r="LFS38" s="292"/>
      <c r="LFT38" s="292"/>
      <c r="LFU38" s="292"/>
      <c r="LFV38" s="292"/>
      <c r="LFW38" s="292"/>
      <c r="LFX38" s="292"/>
      <c r="LFY38" s="292"/>
      <c r="LFZ38" s="292"/>
      <c r="LGA38" s="292"/>
      <c r="LGB38" s="292"/>
      <c r="LGC38" s="292"/>
      <c r="LGD38" s="292"/>
      <c r="LGE38" s="292"/>
      <c r="LGF38" s="292"/>
      <c r="LGG38" s="292"/>
      <c r="LGH38" s="292"/>
      <c r="LGI38" s="292"/>
      <c r="LGJ38" s="292"/>
      <c r="LGK38" s="292"/>
      <c r="LGL38" s="292"/>
      <c r="LGM38" s="292"/>
      <c r="LGN38" s="292"/>
      <c r="LGO38" s="292"/>
      <c r="LGP38" s="292"/>
      <c r="LGQ38" s="292"/>
      <c r="LGR38" s="292"/>
      <c r="LGS38" s="292"/>
      <c r="LGT38" s="292"/>
      <c r="LGU38" s="292"/>
      <c r="LGV38" s="292"/>
      <c r="LGW38" s="292"/>
      <c r="LGX38" s="292"/>
      <c r="LGY38" s="292"/>
      <c r="LGZ38" s="292"/>
      <c r="LHA38" s="292"/>
      <c r="LHB38" s="292"/>
      <c r="LHC38" s="292"/>
      <c r="LHD38" s="292"/>
      <c r="LHE38" s="292"/>
      <c r="LHF38" s="292"/>
      <c r="LHG38" s="292"/>
      <c r="LHH38" s="292"/>
      <c r="LHI38" s="292"/>
      <c r="LHJ38" s="292"/>
      <c r="LHK38" s="292"/>
      <c r="LHL38" s="292"/>
      <c r="LHM38" s="292"/>
      <c r="LHN38" s="292"/>
      <c r="LHO38" s="292"/>
      <c r="LHP38" s="292"/>
      <c r="LHQ38" s="292"/>
      <c r="LHR38" s="292"/>
      <c r="LHS38" s="292"/>
      <c r="LHT38" s="292"/>
      <c r="LHU38" s="292"/>
      <c r="LHV38" s="292"/>
      <c r="LHW38" s="292"/>
      <c r="LHX38" s="292"/>
      <c r="LHY38" s="292"/>
      <c r="LHZ38" s="292"/>
      <c r="LIA38" s="292"/>
      <c r="LIB38" s="292"/>
      <c r="LIC38" s="292"/>
      <c r="LID38" s="292"/>
      <c r="LIE38" s="292"/>
      <c r="LIF38" s="292"/>
      <c r="LIG38" s="292"/>
      <c r="LIH38" s="292"/>
      <c r="LII38" s="292"/>
      <c r="LIJ38" s="292"/>
      <c r="LIK38" s="292"/>
      <c r="LIL38" s="292"/>
      <c r="LIM38" s="292"/>
      <c r="LIN38" s="292"/>
      <c r="LIO38" s="292"/>
      <c r="LIP38" s="292"/>
      <c r="LIQ38" s="292"/>
      <c r="LIR38" s="292"/>
      <c r="LIS38" s="292"/>
      <c r="LIT38" s="292"/>
      <c r="LIU38" s="292"/>
      <c r="LIV38" s="292"/>
      <c r="LIW38" s="292"/>
      <c r="LIX38" s="292"/>
      <c r="LIY38" s="292"/>
      <c r="LIZ38" s="292"/>
      <c r="LJA38" s="292"/>
      <c r="LJB38" s="292"/>
      <c r="LJC38" s="292"/>
      <c r="LJD38" s="292"/>
      <c r="LJE38" s="292"/>
      <c r="LJF38" s="292"/>
      <c r="LJG38" s="292"/>
      <c r="LJH38" s="292"/>
      <c r="LJI38" s="292"/>
      <c r="LJJ38" s="292"/>
      <c r="LJK38" s="292"/>
      <c r="LJL38" s="292"/>
      <c r="LJM38" s="292"/>
      <c r="LJN38" s="292"/>
      <c r="LJO38" s="292"/>
      <c r="LJP38" s="292"/>
      <c r="LJQ38" s="292"/>
      <c r="LJR38" s="292"/>
      <c r="LJS38" s="292"/>
      <c r="LJT38" s="292"/>
      <c r="LJU38" s="292"/>
      <c r="LJV38" s="292"/>
      <c r="LJW38" s="292"/>
      <c r="LJX38" s="292"/>
      <c r="LJY38" s="292"/>
      <c r="LJZ38" s="292"/>
      <c r="LKA38" s="292"/>
      <c r="LKB38" s="292"/>
      <c r="LKC38" s="292"/>
      <c r="LKD38" s="292"/>
      <c r="LKE38" s="292"/>
      <c r="LKF38" s="292"/>
      <c r="LKG38" s="292"/>
      <c r="LKH38" s="292"/>
      <c r="LKI38" s="292"/>
      <c r="LKJ38" s="292"/>
      <c r="LKK38" s="292"/>
      <c r="LKL38" s="292"/>
      <c r="LKM38" s="292"/>
      <c r="LKN38" s="292"/>
      <c r="LKO38" s="292"/>
      <c r="LKP38" s="292"/>
      <c r="LKQ38" s="292"/>
      <c r="LKR38" s="292"/>
      <c r="LKS38" s="292"/>
      <c r="LKT38" s="292"/>
      <c r="LKU38" s="292"/>
      <c r="LKV38" s="292"/>
      <c r="LKW38" s="292"/>
      <c r="LKX38" s="292"/>
      <c r="LKY38" s="292"/>
      <c r="LKZ38" s="292"/>
      <c r="LLA38" s="292"/>
      <c r="LLB38" s="292"/>
      <c r="LLC38" s="292"/>
      <c r="LLD38" s="292"/>
      <c r="LLE38" s="292"/>
      <c r="LLF38" s="292"/>
      <c r="LLG38" s="292"/>
      <c r="LLH38" s="292"/>
      <c r="LLI38" s="292"/>
      <c r="LLJ38" s="292"/>
      <c r="LLK38" s="292"/>
      <c r="LLL38" s="292"/>
      <c r="LLM38" s="292"/>
      <c r="LLN38" s="292"/>
      <c r="LLO38" s="292"/>
      <c r="LLP38" s="292"/>
      <c r="LLQ38" s="292"/>
      <c r="LLR38" s="292"/>
      <c r="LLS38" s="292"/>
      <c r="LLT38" s="292"/>
      <c r="LLU38" s="292"/>
      <c r="LLV38" s="292"/>
      <c r="LLW38" s="292"/>
      <c r="LLX38" s="292"/>
      <c r="LLY38" s="292"/>
      <c r="LLZ38" s="292"/>
      <c r="LMA38" s="292"/>
      <c r="LMB38" s="292"/>
      <c r="LMC38" s="292"/>
      <c r="LMD38" s="292"/>
      <c r="LME38" s="292"/>
      <c r="LMF38" s="292"/>
      <c r="LMG38" s="292"/>
      <c r="LMH38" s="292"/>
      <c r="LMI38" s="292"/>
      <c r="LMJ38" s="292"/>
      <c r="LMK38" s="292"/>
      <c r="LML38" s="292"/>
      <c r="LMM38" s="292"/>
      <c r="LMN38" s="292"/>
      <c r="LMO38" s="292"/>
      <c r="LMP38" s="292"/>
      <c r="LMQ38" s="292"/>
      <c r="LMR38" s="292"/>
      <c r="LMS38" s="292"/>
      <c r="LMT38" s="292"/>
      <c r="LMU38" s="292"/>
      <c r="LMV38" s="292"/>
      <c r="LMW38" s="292"/>
      <c r="LMX38" s="292"/>
      <c r="LMY38" s="292"/>
      <c r="LMZ38" s="292"/>
      <c r="LNA38" s="292"/>
      <c r="LNB38" s="292"/>
      <c r="LNC38" s="292"/>
      <c r="LND38" s="292"/>
      <c r="LNE38" s="292"/>
      <c r="LNF38" s="292"/>
      <c r="LNG38" s="292"/>
      <c r="LNH38" s="292"/>
      <c r="LNI38" s="292"/>
      <c r="LNJ38" s="292"/>
      <c r="LNK38" s="292"/>
      <c r="LNL38" s="292"/>
      <c r="LNM38" s="292"/>
      <c r="LNN38" s="292"/>
      <c r="LNO38" s="292"/>
      <c r="LNP38" s="292"/>
      <c r="LNQ38" s="292"/>
      <c r="LNR38" s="292"/>
      <c r="LNS38" s="292"/>
      <c r="LNT38" s="292"/>
      <c r="LNU38" s="292"/>
      <c r="LNV38" s="292"/>
      <c r="LNW38" s="292"/>
      <c r="LNX38" s="292"/>
      <c r="LNY38" s="292"/>
      <c r="LNZ38" s="292"/>
      <c r="LOA38" s="292"/>
      <c r="LOB38" s="292"/>
      <c r="LOC38" s="292"/>
      <c r="LOD38" s="292"/>
      <c r="LOE38" s="292"/>
      <c r="LOF38" s="292"/>
      <c r="LOG38" s="292"/>
      <c r="LOH38" s="292"/>
      <c r="LOI38" s="292"/>
      <c r="LOJ38" s="292"/>
      <c r="LOK38" s="292"/>
      <c r="LOL38" s="292"/>
      <c r="LOM38" s="292"/>
      <c r="LON38" s="292"/>
      <c r="LOO38" s="292"/>
      <c r="LOP38" s="292"/>
      <c r="LOQ38" s="292"/>
      <c r="LOR38" s="292"/>
      <c r="LOS38" s="292"/>
      <c r="LOT38" s="292"/>
      <c r="LOU38" s="292"/>
      <c r="LOV38" s="292"/>
      <c r="LOW38" s="292"/>
      <c r="LOX38" s="292"/>
      <c r="LOY38" s="292"/>
      <c r="LOZ38" s="292"/>
      <c r="LPA38" s="292"/>
      <c r="LPB38" s="292"/>
      <c r="LPC38" s="292"/>
      <c r="LPD38" s="292"/>
      <c r="LPE38" s="292"/>
      <c r="LPF38" s="292"/>
      <c r="LPG38" s="292"/>
      <c r="LPH38" s="292"/>
      <c r="LPI38" s="292"/>
      <c r="LPJ38" s="292"/>
      <c r="LPK38" s="292"/>
      <c r="LPL38" s="292"/>
      <c r="LPM38" s="292"/>
      <c r="LPN38" s="292"/>
      <c r="LPO38" s="292"/>
      <c r="LPP38" s="292"/>
      <c r="LPQ38" s="292"/>
      <c r="LPR38" s="292"/>
      <c r="LPS38" s="292"/>
      <c r="LPT38" s="292"/>
      <c r="LPU38" s="292"/>
      <c r="LPV38" s="292"/>
      <c r="LPW38" s="292"/>
      <c r="LPX38" s="292"/>
      <c r="LPY38" s="292"/>
      <c r="LPZ38" s="292"/>
      <c r="LQA38" s="292"/>
      <c r="LQB38" s="292"/>
      <c r="LQC38" s="292"/>
      <c r="LQD38" s="292"/>
      <c r="LQE38" s="292"/>
      <c r="LQF38" s="292"/>
      <c r="LQG38" s="292"/>
      <c r="LQH38" s="292"/>
      <c r="LQI38" s="292"/>
      <c r="LQJ38" s="292"/>
      <c r="LQK38" s="292"/>
      <c r="LQL38" s="292"/>
      <c r="LQM38" s="292"/>
      <c r="LQN38" s="292"/>
      <c r="LQO38" s="292"/>
      <c r="LQP38" s="292"/>
      <c r="LQQ38" s="292"/>
      <c r="LQR38" s="292"/>
      <c r="LQS38" s="292"/>
      <c r="LQT38" s="292"/>
      <c r="LQU38" s="292"/>
      <c r="LQV38" s="292"/>
      <c r="LQW38" s="292"/>
      <c r="LQX38" s="292"/>
      <c r="LQY38" s="292"/>
      <c r="LQZ38" s="292"/>
      <c r="LRA38" s="292"/>
      <c r="LRB38" s="292"/>
      <c r="LRC38" s="292"/>
      <c r="LRD38" s="292"/>
      <c r="LRE38" s="292"/>
      <c r="LRF38" s="292"/>
      <c r="LRG38" s="292"/>
      <c r="LRH38" s="292"/>
      <c r="LRI38" s="292"/>
      <c r="LRJ38" s="292"/>
      <c r="LRK38" s="292"/>
      <c r="LRL38" s="292"/>
      <c r="LRM38" s="292"/>
      <c r="LRN38" s="292"/>
      <c r="LRO38" s="292"/>
      <c r="LRP38" s="292"/>
      <c r="LRQ38" s="292"/>
      <c r="LRR38" s="292"/>
      <c r="LRS38" s="292"/>
      <c r="LRT38" s="292"/>
      <c r="LRU38" s="292"/>
      <c r="LRV38" s="292"/>
      <c r="LRW38" s="292"/>
      <c r="LRX38" s="292"/>
      <c r="LRY38" s="292"/>
      <c r="LRZ38" s="292"/>
      <c r="LSA38" s="292"/>
      <c r="LSB38" s="292"/>
      <c r="LSC38" s="292"/>
      <c r="LSD38" s="292"/>
      <c r="LSE38" s="292"/>
      <c r="LSF38" s="292"/>
      <c r="LSG38" s="292"/>
      <c r="LSH38" s="292"/>
      <c r="LSI38" s="292"/>
      <c r="LSJ38" s="292"/>
      <c r="LSK38" s="292"/>
      <c r="LSL38" s="292"/>
      <c r="LSM38" s="292"/>
      <c r="LSN38" s="292"/>
      <c r="LSO38" s="292"/>
      <c r="LSP38" s="292"/>
      <c r="LSQ38" s="292"/>
      <c r="LSR38" s="292"/>
      <c r="LSS38" s="292"/>
      <c r="LST38" s="292"/>
      <c r="LSU38" s="292"/>
      <c r="LSV38" s="292"/>
      <c r="LSW38" s="292"/>
      <c r="LSX38" s="292"/>
      <c r="LSY38" s="292"/>
      <c r="LSZ38" s="292"/>
      <c r="LTA38" s="292"/>
      <c r="LTB38" s="292"/>
      <c r="LTC38" s="292"/>
      <c r="LTD38" s="292"/>
      <c r="LTE38" s="292"/>
      <c r="LTF38" s="292"/>
      <c r="LTG38" s="292"/>
      <c r="LTH38" s="292"/>
      <c r="LTI38" s="292"/>
      <c r="LTJ38" s="292"/>
      <c r="LTK38" s="292"/>
      <c r="LTL38" s="292"/>
      <c r="LTM38" s="292"/>
      <c r="LTN38" s="292"/>
      <c r="LTO38" s="292"/>
      <c r="LTP38" s="292"/>
      <c r="LTQ38" s="292"/>
      <c r="LTR38" s="292"/>
      <c r="LTS38" s="292"/>
      <c r="LTT38" s="292"/>
      <c r="LTU38" s="292"/>
      <c r="LTV38" s="292"/>
      <c r="LTW38" s="292"/>
      <c r="LTX38" s="292"/>
      <c r="LTY38" s="292"/>
      <c r="LTZ38" s="292"/>
      <c r="LUA38" s="292"/>
      <c r="LUB38" s="292"/>
      <c r="LUC38" s="292"/>
      <c r="LUD38" s="292"/>
      <c r="LUE38" s="292"/>
      <c r="LUF38" s="292"/>
      <c r="LUG38" s="292"/>
      <c r="LUH38" s="292"/>
      <c r="LUI38" s="292"/>
      <c r="LUJ38" s="292"/>
      <c r="LUK38" s="292"/>
      <c r="LUL38" s="292"/>
      <c r="LUM38" s="292"/>
      <c r="LUN38" s="292"/>
      <c r="LUO38" s="292"/>
      <c r="LUP38" s="292"/>
      <c r="LUQ38" s="292"/>
      <c r="LUR38" s="292"/>
      <c r="LUS38" s="292"/>
      <c r="LUT38" s="292"/>
      <c r="LUU38" s="292"/>
      <c r="LUV38" s="292"/>
      <c r="LUW38" s="292"/>
      <c r="LUX38" s="292"/>
      <c r="LUY38" s="292"/>
      <c r="LUZ38" s="292"/>
      <c r="LVA38" s="292"/>
      <c r="LVB38" s="292"/>
      <c r="LVC38" s="292"/>
      <c r="LVD38" s="292"/>
      <c r="LVE38" s="292"/>
      <c r="LVF38" s="292"/>
      <c r="LVG38" s="292"/>
      <c r="LVH38" s="292"/>
      <c r="LVI38" s="292"/>
      <c r="LVJ38" s="292"/>
      <c r="LVK38" s="292"/>
      <c r="LVL38" s="292"/>
      <c r="LVM38" s="292"/>
      <c r="LVN38" s="292"/>
      <c r="LVO38" s="292"/>
      <c r="LVP38" s="292"/>
      <c r="LVQ38" s="292"/>
      <c r="LVR38" s="292"/>
      <c r="LVS38" s="292"/>
      <c r="LVT38" s="292"/>
      <c r="LVU38" s="292"/>
      <c r="LVV38" s="292"/>
      <c r="LVW38" s="292"/>
      <c r="LVX38" s="292"/>
      <c r="LVY38" s="292"/>
      <c r="LVZ38" s="292"/>
      <c r="LWA38" s="292"/>
      <c r="LWB38" s="292"/>
      <c r="LWC38" s="292"/>
      <c r="LWD38" s="292"/>
      <c r="LWE38" s="292"/>
      <c r="LWF38" s="292"/>
      <c r="LWG38" s="292"/>
      <c r="LWH38" s="292"/>
      <c r="LWI38" s="292"/>
      <c r="LWJ38" s="292"/>
      <c r="LWK38" s="292"/>
      <c r="LWL38" s="292"/>
      <c r="LWM38" s="292"/>
      <c r="LWN38" s="292"/>
      <c r="LWO38" s="292"/>
      <c r="LWP38" s="292"/>
      <c r="LWQ38" s="292"/>
      <c r="LWR38" s="292"/>
      <c r="LWS38" s="292"/>
      <c r="LWT38" s="292"/>
      <c r="LWU38" s="292"/>
      <c r="LWV38" s="292"/>
      <c r="LWW38" s="292"/>
      <c r="LWX38" s="292"/>
      <c r="LWY38" s="292"/>
      <c r="LWZ38" s="292"/>
      <c r="LXA38" s="292"/>
      <c r="LXB38" s="292"/>
      <c r="LXC38" s="292"/>
      <c r="LXD38" s="292"/>
      <c r="LXE38" s="292"/>
      <c r="LXF38" s="292"/>
      <c r="LXG38" s="292"/>
      <c r="LXH38" s="292"/>
      <c r="LXI38" s="292"/>
      <c r="LXJ38" s="292"/>
      <c r="LXK38" s="292"/>
      <c r="LXL38" s="292"/>
      <c r="LXM38" s="292"/>
      <c r="LXN38" s="292"/>
      <c r="LXO38" s="292"/>
      <c r="LXP38" s="292"/>
      <c r="LXQ38" s="292"/>
      <c r="LXR38" s="292"/>
      <c r="LXS38" s="292"/>
      <c r="LXT38" s="292"/>
      <c r="LXU38" s="292"/>
      <c r="LXV38" s="292"/>
      <c r="LXW38" s="292"/>
      <c r="LXX38" s="292"/>
      <c r="LXY38" s="292"/>
      <c r="LXZ38" s="292"/>
      <c r="LYA38" s="292"/>
      <c r="LYB38" s="292"/>
      <c r="LYC38" s="292"/>
      <c r="LYD38" s="292"/>
      <c r="LYE38" s="292"/>
      <c r="LYF38" s="292"/>
      <c r="LYG38" s="292"/>
      <c r="LYH38" s="292"/>
      <c r="LYI38" s="292"/>
      <c r="LYJ38" s="292"/>
      <c r="LYK38" s="292"/>
      <c r="LYL38" s="292"/>
      <c r="LYM38" s="292"/>
      <c r="LYN38" s="292"/>
      <c r="LYO38" s="292"/>
      <c r="LYP38" s="292"/>
      <c r="LYQ38" s="292"/>
      <c r="LYR38" s="292"/>
      <c r="LYS38" s="292"/>
      <c r="LYT38" s="292"/>
      <c r="LYU38" s="292"/>
      <c r="LYV38" s="292"/>
      <c r="LYW38" s="292"/>
      <c r="LYX38" s="292"/>
      <c r="LYY38" s="292"/>
      <c r="LYZ38" s="292"/>
      <c r="LZA38" s="292"/>
      <c r="LZB38" s="292"/>
      <c r="LZC38" s="292"/>
      <c r="LZD38" s="292"/>
      <c r="LZE38" s="292"/>
      <c r="LZF38" s="292"/>
      <c r="LZG38" s="292"/>
      <c r="LZH38" s="292"/>
      <c r="LZI38" s="292"/>
      <c r="LZJ38" s="292"/>
      <c r="LZK38" s="292"/>
      <c r="LZL38" s="292"/>
      <c r="LZM38" s="292"/>
      <c r="LZN38" s="292"/>
      <c r="LZO38" s="292"/>
      <c r="LZP38" s="292"/>
      <c r="LZQ38" s="292"/>
      <c r="LZR38" s="292"/>
      <c r="LZS38" s="292"/>
      <c r="LZT38" s="292"/>
      <c r="LZU38" s="292"/>
      <c r="LZV38" s="292"/>
      <c r="LZW38" s="292"/>
      <c r="LZX38" s="292"/>
      <c r="LZY38" s="292"/>
      <c r="LZZ38" s="292"/>
      <c r="MAA38" s="292"/>
      <c r="MAB38" s="292"/>
      <c r="MAC38" s="292"/>
      <c r="MAD38" s="292"/>
      <c r="MAE38" s="292"/>
      <c r="MAF38" s="292"/>
      <c r="MAG38" s="292"/>
      <c r="MAH38" s="292"/>
      <c r="MAI38" s="292"/>
      <c r="MAJ38" s="292"/>
      <c r="MAK38" s="292"/>
      <c r="MAL38" s="292"/>
      <c r="MAM38" s="292"/>
      <c r="MAN38" s="292"/>
      <c r="MAO38" s="292"/>
      <c r="MAP38" s="292"/>
      <c r="MAQ38" s="292"/>
      <c r="MAR38" s="292"/>
      <c r="MAS38" s="292"/>
      <c r="MAT38" s="292"/>
      <c r="MAU38" s="292"/>
      <c r="MAV38" s="292"/>
      <c r="MAW38" s="292"/>
      <c r="MAX38" s="292"/>
      <c r="MAY38" s="292"/>
      <c r="MAZ38" s="292"/>
      <c r="MBA38" s="292"/>
      <c r="MBB38" s="292"/>
      <c r="MBC38" s="292"/>
      <c r="MBD38" s="292"/>
      <c r="MBE38" s="292"/>
      <c r="MBF38" s="292"/>
      <c r="MBG38" s="292"/>
      <c r="MBH38" s="292"/>
      <c r="MBI38" s="292"/>
      <c r="MBJ38" s="292"/>
      <c r="MBK38" s="292"/>
      <c r="MBL38" s="292"/>
      <c r="MBM38" s="292"/>
      <c r="MBN38" s="292"/>
      <c r="MBO38" s="292"/>
      <c r="MBP38" s="292"/>
      <c r="MBQ38" s="292"/>
      <c r="MBR38" s="292"/>
      <c r="MBS38" s="292"/>
      <c r="MBT38" s="292"/>
      <c r="MBU38" s="292"/>
      <c r="MBV38" s="292"/>
      <c r="MBW38" s="292"/>
      <c r="MBX38" s="292"/>
      <c r="MBY38" s="292"/>
      <c r="MBZ38" s="292"/>
      <c r="MCA38" s="292"/>
      <c r="MCB38" s="292"/>
      <c r="MCC38" s="292"/>
      <c r="MCD38" s="292"/>
      <c r="MCE38" s="292"/>
      <c r="MCF38" s="292"/>
      <c r="MCG38" s="292"/>
      <c r="MCH38" s="292"/>
      <c r="MCI38" s="292"/>
      <c r="MCJ38" s="292"/>
      <c r="MCK38" s="292"/>
      <c r="MCL38" s="292"/>
      <c r="MCM38" s="292"/>
      <c r="MCN38" s="292"/>
      <c r="MCO38" s="292"/>
      <c r="MCP38" s="292"/>
      <c r="MCQ38" s="292"/>
      <c r="MCR38" s="292"/>
      <c r="MCS38" s="292"/>
      <c r="MCT38" s="292"/>
      <c r="MCU38" s="292"/>
      <c r="MCV38" s="292"/>
      <c r="MCW38" s="292"/>
      <c r="MCX38" s="292"/>
      <c r="MCY38" s="292"/>
      <c r="MCZ38" s="292"/>
      <c r="MDA38" s="292"/>
      <c r="MDB38" s="292"/>
      <c r="MDC38" s="292"/>
      <c r="MDD38" s="292"/>
      <c r="MDE38" s="292"/>
      <c r="MDF38" s="292"/>
      <c r="MDG38" s="292"/>
      <c r="MDH38" s="292"/>
      <c r="MDI38" s="292"/>
      <c r="MDJ38" s="292"/>
      <c r="MDK38" s="292"/>
      <c r="MDL38" s="292"/>
      <c r="MDM38" s="292"/>
      <c r="MDN38" s="292"/>
      <c r="MDO38" s="292"/>
      <c r="MDP38" s="292"/>
      <c r="MDQ38" s="292"/>
      <c r="MDR38" s="292"/>
      <c r="MDS38" s="292"/>
      <c r="MDT38" s="292"/>
      <c r="MDU38" s="292"/>
      <c r="MDV38" s="292"/>
      <c r="MDW38" s="292"/>
      <c r="MDX38" s="292"/>
      <c r="MDY38" s="292"/>
      <c r="MDZ38" s="292"/>
      <c r="MEA38" s="292"/>
      <c r="MEB38" s="292"/>
      <c r="MEC38" s="292"/>
      <c r="MED38" s="292"/>
      <c r="MEE38" s="292"/>
      <c r="MEF38" s="292"/>
      <c r="MEG38" s="292"/>
      <c r="MEH38" s="292"/>
      <c r="MEI38" s="292"/>
      <c r="MEJ38" s="292"/>
      <c r="MEK38" s="292"/>
      <c r="MEL38" s="292"/>
      <c r="MEM38" s="292"/>
      <c r="MEN38" s="292"/>
      <c r="MEO38" s="292"/>
      <c r="MEP38" s="292"/>
      <c r="MEQ38" s="292"/>
      <c r="MER38" s="292"/>
      <c r="MES38" s="292"/>
      <c r="MET38" s="292"/>
      <c r="MEU38" s="292"/>
      <c r="MEV38" s="292"/>
      <c r="MEW38" s="292"/>
      <c r="MEX38" s="292"/>
      <c r="MEY38" s="292"/>
      <c r="MEZ38" s="292"/>
      <c r="MFA38" s="292"/>
      <c r="MFB38" s="292"/>
      <c r="MFC38" s="292"/>
      <c r="MFD38" s="292"/>
      <c r="MFE38" s="292"/>
      <c r="MFF38" s="292"/>
      <c r="MFG38" s="292"/>
      <c r="MFH38" s="292"/>
      <c r="MFI38" s="292"/>
      <c r="MFJ38" s="292"/>
      <c r="MFK38" s="292"/>
      <c r="MFL38" s="292"/>
      <c r="MFM38" s="292"/>
      <c r="MFN38" s="292"/>
      <c r="MFO38" s="292"/>
      <c r="MFP38" s="292"/>
      <c r="MFQ38" s="292"/>
      <c r="MFR38" s="292"/>
      <c r="MFS38" s="292"/>
      <c r="MFT38" s="292"/>
      <c r="MFU38" s="292"/>
      <c r="MFV38" s="292"/>
      <c r="MFW38" s="292"/>
      <c r="MFX38" s="292"/>
      <c r="MFY38" s="292"/>
      <c r="MFZ38" s="292"/>
      <c r="MGA38" s="292"/>
      <c r="MGB38" s="292"/>
      <c r="MGC38" s="292"/>
      <c r="MGD38" s="292"/>
      <c r="MGE38" s="292"/>
      <c r="MGF38" s="292"/>
      <c r="MGG38" s="292"/>
      <c r="MGH38" s="292"/>
      <c r="MGI38" s="292"/>
      <c r="MGJ38" s="292"/>
      <c r="MGK38" s="292"/>
      <c r="MGL38" s="292"/>
      <c r="MGM38" s="292"/>
      <c r="MGN38" s="292"/>
      <c r="MGO38" s="292"/>
      <c r="MGP38" s="292"/>
      <c r="MGQ38" s="292"/>
      <c r="MGR38" s="292"/>
      <c r="MGS38" s="292"/>
      <c r="MGT38" s="292"/>
      <c r="MGU38" s="292"/>
      <c r="MGV38" s="292"/>
      <c r="MGW38" s="292"/>
      <c r="MGX38" s="292"/>
      <c r="MGY38" s="292"/>
      <c r="MGZ38" s="292"/>
      <c r="MHA38" s="292"/>
      <c r="MHB38" s="292"/>
      <c r="MHC38" s="292"/>
      <c r="MHD38" s="292"/>
      <c r="MHE38" s="292"/>
      <c r="MHF38" s="292"/>
      <c r="MHG38" s="292"/>
      <c r="MHH38" s="292"/>
      <c r="MHI38" s="292"/>
      <c r="MHJ38" s="292"/>
      <c r="MHK38" s="292"/>
      <c r="MHL38" s="292"/>
      <c r="MHM38" s="292"/>
      <c r="MHN38" s="292"/>
      <c r="MHO38" s="292"/>
      <c r="MHP38" s="292"/>
      <c r="MHQ38" s="292"/>
      <c r="MHR38" s="292"/>
      <c r="MHS38" s="292"/>
      <c r="MHT38" s="292"/>
      <c r="MHU38" s="292"/>
      <c r="MHV38" s="292"/>
      <c r="MHW38" s="292"/>
      <c r="MHX38" s="292"/>
      <c r="MHY38" s="292"/>
      <c r="MHZ38" s="292"/>
      <c r="MIA38" s="292"/>
      <c r="MIB38" s="292"/>
      <c r="MIC38" s="292"/>
      <c r="MID38" s="292"/>
      <c r="MIE38" s="292"/>
      <c r="MIF38" s="292"/>
      <c r="MIG38" s="292"/>
      <c r="MIH38" s="292"/>
      <c r="MII38" s="292"/>
      <c r="MIJ38" s="292"/>
      <c r="MIK38" s="292"/>
      <c r="MIL38" s="292"/>
      <c r="MIM38" s="292"/>
      <c r="MIN38" s="292"/>
      <c r="MIO38" s="292"/>
      <c r="MIP38" s="292"/>
      <c r="MIQ38" s="292"/>
      <c r="MIR38" s="292"/>
      <c r="MIS38" s="292"/>
      <c r="MIT38" s="292"/>
      <c r="MIU38" s="292"/>
      <c r="MIV38" s="292"/>
      <c r="MIW38" s="292"/>
      <c r="MIX38" s="292"/>
      <c r="MIY38" s="292"/>
      <c r="MIZ38" s="292"/>
      <c r="MJA38" s="292"/>
      <c r="MJB38" s="292"/>
      <c r="MJC38" s="292"/>
      <c r="MJD38" s="292"/>
      <c r="MJE38" s="292"/>
      <c r="MJF38" s="292"/>
      <c r="MJG38" s="292"/>
      <c r="MJH38" s="292"/>
      <c r="MJI38" s="292"/>
      <c r="MJJ38" s="292"/>
      <c r="MJK38" s="292"/>
      <c r="MJL38" s="292"/>
      <c r="MJM38" s="292"/>
      <c r="MJN38" s="292"/>
      <c r="MJO38" s="292"/>
      <c r="MJP38" s="292"/>
      <c r="MJQ38" s="292"/>
      <c r="MJR38" s="292"/>
      <c r="MJS38" s="292"/>
      <c r="MJT38" s="292"/>
      <c r="MJU38" s="292"/>
      <c r="MJV38" s="292"/>
      <c r="MJW38" s="292"/>
      <c r="MJX38" s="292"/>
      <c r="MJY38" s="292"/>
      <c r="MJZ38" s="292"/>
      <c r="MKA38" s="292"/>
      <c r="MKB38" s="292"/>
      <c r="MKC38" s="292"/>
      <c r="MKD38" s="292"/>
      <c r="MKE38" s="292"/>
      <c r="MKF38" s="292"/>
      <c r="MKG38" s="292"/>
      <c r="MKH38" s="292"/>
      <c r="MKI38" s="292"/>
      <c r="MKJ38" s="292"/>
      <c r="MKK38" s="292"/>
      <c r="MKL38" s="292"/>
      <c r="MKM38" s="292"/>
      <c r="MKN38" s="292"/>
      <c r="MKO38" s="292"/>
      <c r="MKP38" s="292"/>
      <c r="MKQ38" s="292"/>
      <c r="MKR38" s="292"/>
      <c r="MKS38" s="292"/>
      <c r="MKT38" s="292"/>
      <c r="MKU38" s="292"/>
      <c r="MKV38" s="292"/>
      <c r="MKW38" s="292"/>
      <c r="MKX38" s="292"/>
      <c r="MKY38" s="292"/>
      <c r="MKZ38" s="292"/>
      <c r="MLA38" s="292"/>
      <c r="MLB38" s="292"/>
      <c r="MLC38" s="292"/>
      <c r="MLD38" s="292"/>
      <c r="MLE38" s="292"/>
      <c r="MLF38" s="292"/>
      <c r="MLG38" s="292"/>
      <c r="MLH38" s="292"/>
      <c r="MLI38" s="292"/>
      <c r="MLJ38" s="292"/>
      <c r="MLK38" s="292"/>
      <c r="MLL38" s="292"/>
      <c r="MLM38" s="292"/>
      <c r="MLN38" s="292"/>
      <c r="MLO38" s="292"/>
      <c r="MLP38" s="292"/>
      <c r="MLQ38" s="292"/>
      <c r="MLR38" s="292"/>
      <c r="MLS38" s="292"/>
      <c r="MLT38" s="292"/>
      <c r="MLU38" s="292"/>
      <c r="MLV38" s="292"/>
      <c r="MLW38" s="292"/>
      <c r="MLX38" s="292"/>
      <c r="MLY38" s="292"/>
      <c r="MLZ38" s="292"/>
      <c r="MMA38" s="292"/>
      <c r="MMB38" s="292"/>
      <c r="MMC38" s="292"/>
      <c r="MMD38" s="292"/>
      <c r="MME38" s="292"/>
      <c r="MMF38" s="292"/>
      <c r="MMG38" s="292"/>
      <c r="MMH38" s="292"/>
      <c r="MMI38" s="292"/>
      <c r="MMJ38" s="292"/>
      <c r="MMK38" s="292"/>
      <c r="MML38" s="292"/>
      <c r="MMM38" s="292"/>
      <c r="MMN38" s="292"/>
      <c r="MMO38" s="292"/>
      <c r="MMP38" s="292"/>
      <c r="MMQ38" s="292"/>
      <c r="MMR38" s="292"/>
      <c r="MMS38" s="292"/>
      <c r="MMT38" s="292"/>
      <c r="MMU38" s="292"/>
      <c r="MMV38" s="292"/>
      <c r="MMW38" s="292"/>
      <c r="MMX38" s="292"/>
      <c r="MMY38" s="292"/>
      <c r="MMZ38" s="292"/>
      <c r="MNA38" s="292"/>
      <c r="MNB38" s="292"/>
      <c r="MNC38" s="292"/>
      <c r="MND38" s="292"/>
      <c r="MNE38" s="292"/>
      <c r="MNF38" s="292"/>
      <c r="MNG38" s="292"/>
      <c r="MNH38" s="292"/>
      <c r="MNI38" s="292"/>
      <c r="MNJ38" s="292"/>
      <c r="MNK38" s="292"/>
      <c r="MNL38" s="292"/>
      <c r="MNM38" s="292"/>
      <c r="MNN38" s="292"/>
      <c r="MNO38" s="292"/>
      <c r="MNP38" s="292"/>
      <c r="MNQ38" s="292"/>
      <c r="MNR38" s="292"/>
      <c r="MNS38" s="292"/>
      <c r="MNT38" s="292"/>
      <c r="MNU38" s="292"/>
      <c r="MNV38" s="292"/>
      <c r="MNW38" s="292"/>
      <c r="MNX38" s="292"/>
      <c r="MNY38" s="292"/>
      <c r="MNZ38" s="292"/>
      <c r="MOA38" s="292"/>
      <c r="MOB38" s="292"/>
      <c r="MOC38" s="292"/>
      <c r="MOD38" s="292"/>
      <c r="MOE38" s="292"/>
      <c r="MOF38" s="292"/>
      <c r="MOG38" s="292"/>
      <c r="MOH38" s="292"/>
      <c r="MOI38" s="292"/>
      <c r="MOJ38" s="292"/>
      <c r="MOK38" s="292"/>
      <c r="MOL38" s="292"/>
      <c r="MOM38" s="292"/>
      <c r="MON38" s="292"/>
      <c r="MOO38" s="292"/>
      <c r="MOP38" s="292"/>
      <c r="MOQ38" s="292"/>
      <c r="MOR38" s="292"/>
      <c r="MOS38" s="292"/>
      <c r="MOT38" s="292"/>
      <c r="MOU38" s="292"/>
      <c r="MOV38" s="292"/>
      <c r="MOW38" s="292"/>
      <c r="MOX38" s="292"/>
      <c r="MOY38" s="292"/>
      <c r="MOZ38" s="292"/>
      <c r="MPA38" s="292"/>
      <c r="MPB38" s="292"/>
      <c r="MPC38" s="292"/>
      <c r="MPD38" s="292"/>
      <c r="MPE38" s="292"/>
      <c r="MPF38" s="292"/>
      <c r="MPG38" s="292"/>
      <c r="MPH38" s="292"/>
      <c r="MPI38" s="292"/>
      <c r="MPJ38" s="292"/>
      <c r="MPK38" s="292"/>
      <c r="MPL38" s="292"/>
      <c r="MPM38" s="292"/>
      <c r="MPN38" s="292"/>
      <c r="MPO38" s="292"/>
      <c r="MPP38" s="292"/>
      <c r="MPQ38" s="292"/>
      <c r="MPR38" s="292"/>
      <c r="MPS38" s="292"/>
      <c r="MPT38" s="292"/>
      <c r="MPU38" s="292"/>
      <c r="MPV38" s="292"/>
      <c r="MPW38" s="292"/>
      <c r="MPX38" s="292"/>
      <c r="MPY38" s="292"/>
      <c r="MPZ38" s="292"/>
      <c r="MQA38" s="292"/>
      <c r="MQB38" s="292"/>
      <c r="MQC38" s="292"/>
      <c r="MQD38" s="292"/>
      <c r="MQE38" s="292"/>
      <c r="MQF38" s="292"/>
      <c r="MQG38" s="292"/>
      <c r="MQH38" s="292"/>
      <c r="MQI38" s="292"/>
      <c r="MQJ38" s="292"/>
      <c r="MQK38" s="292"/>
      <c r="MQL38" s="292"/>
      <c r="MQM38" s="292"/>
      <c r="MQN38" s="292"/>
      <c r="MQO38" s="292"/>
      <c r="MQP38" s="292"/>
      <c r="MQQ38" s="292"/>
      <c r="MQR38" s="292"/>
      <c r="MQS38" s="292"/>
      <c r="MQT38" s="292"/>
      <c r="MQU38" s="292"/>
      <c r="MQV38" s="292"/>
      <c r="MQW38" s="292"/>
      <c r="MQX38" s="292"/>
      <c r="MQY38" s="292"/>
      <c r="MQZ38" s="292"/>
      <c r="MRA38" s="292"/>
      <c r="MRB38" s="292"/>
      <c r="MRC38" s="292"/>
      <c r="MRD38" s="292"/>
      <c r="MRE38" s="292"/>
      <c r="MRF38" s="292"/>
      <c r="MRG38" s="292"/>
      <c r="MRH38" s="292"/>
      <c r="MRI38" s="292"/>
      <c r="MRJ38" s="292"/>
      <c r="MRK38" s="292"/>
      <c r="MRL38" s="292"/>
      <c r="MRM38" s="292"/>
      <c r="MRN38" s="292"/>
      <c r="MRO38" s="292"/>
      <c r="MRP38" s="292"/>
      <c r="MRQ38" s="292"/>
      <c r="MRR38" s="292"/>
      <c r="MRS38" s="292"/>
      <c r="MRT38" s="292"/>
      <c r="MRU38" s="292"/>
      <c r="MRV38" s="292"/>
      <c r="MRW38" s="292"/>
      <c r="MRX38" s="292"/>
      <c r="MRY38" s="292"/>
      <c r="MRZ38" s="292"/>
      <c r="MSA38" s="292"/>
      <c r="MSB38" s="292"/>
      <c r="MSC38" s="292"/>
      <c r="MSD38" s="292"/>
      <c r="MSE38" s="292"/>
      <c r="MSF38" s="292"/>
      <c r="MSG38" s="292"/>
      <c r="MSH38" s="292"/>
      <c r="MSI38" s="292"/>
      <c r="MSJ38" s="292"/>
      <c r="MSK38" s="292"/>
      <c r="MSL38" s="292"/>
      <c r="MSM38" s="292"/>
      <c r="MSN38" s="292"/>
      <c r="MSO38" s="292"/>
      <c r="MSP38" s="292"/>
      <c r="MSQ38" s="292"/>
      <c r="MSR38" s="292"/>
      <c r="MSS38" s="292"/>
      <c r="MST38" s="292"/>
      <c r="MSU38" s="292"/>
      <c r="MSV38" s="292"/>
      <c r="MSW38" s="292"/>
      <c r="MSX38" s="292"/>
      <c r="MSY38" s="292"/>
      <c r="MSZ38" s="292"/>
      <c r="MTA38" s="292"/>
      <c r="MTB38" s="292"/>
      <c r="MTC38" s="292"/>
      <c r="MTD38" s="292"/>
      <c r="MTE38" s="292"/>
      <c r="MTF38" s="292"/>
      <c r="MTG38" s="292"/>
      <c r="MTH38" s="292"/>
      <c r="MTI38" s="292"/>
      <c r="MTJ38" s="292"/>
      <c r="MTK38" s="292"/>
      <c r="MTL38" s="292"/>
      <c r="MTM38" s="292"/>
      <c r="MTN38" s="292"/>
      <c r="MTO38" s="292"/>
      <c r="MTP38" s="292"/>
      <c r="MTQ38" s="292"/>
      <c r="MTR38" s="292"/>
      <c r="MTS38" s="292"/>
      <c r="MTT38" s="292"/>
      <c r="MTU38" s="292"/>
      <c r="MTV38" s="292"/>
      <c r="MTW38" s="292"/>
      <c r="MTX38" s="292"/>
      <c r="MTY38" s="292"/>
      <c r="MTZ38" s="292"/>
      <c r="MUA38" s="292"/>
      <c r="MUB38" s="292"/>
      <c r="MUC38" s="292"/>
      <c r="MUD38" s="292"/>
      <c r="MUE38" s="292"/>
      <c r="MUF38" s="292"/>
      <c r="MUG38" s="292"/>
      <c r="MUH38" s="292"/>
      <c r="MUI38" s="292"/>
      <c r="MUJ38" s="292"/>
      <c r="MUK38" s="292"/>
      <c r="MUL38" s="292"/>
      <c r="MUM38" s="292"/>
      <c r="MUN38" s="292"/>
      <c r="MUO38" s="292"/>
      <c r="MUP38" s="292"/>
      <c r="MUQ38" s="292"/>
      <c r="MUR38" s="292"/>
      <c r="MUS38" s="292"/>
      <c r="MUT38" s="292"/>
      <c r="MUU38" s="292"/>
      <c r="MUV38" s="292"/>
      <c r="MUW38" s="292"/>
      <c r="MUX38" s="292"/>
      <c r="MUY38" s="292"/>
      <c r="MUZ38" s="292"/>
      <c r="MVA38" s="292"/>
      <c r="MVB38" s="292"/>
      <c r="MVC38" s="292"/>
      <c r="MVD38" s="292"/>
      <c r="MVE38" s="292"/>
      <c r="MVF38" s="292"/>
      <c r="MVG38" s="292"/>
      <c r="MVH38" s="292"/>
      <c r="MVI38" s="292"/>
      <c r="MVJ38" s="292"/>
      <c r="MVK38" s="292"/>
      <c r="MVL38" s="292"/>
      <c r="MVM38" s="292"/>
      <c r="MVN38" s="292"/>
      <c r="MVO38" s="292"/>
      <c r="MVP38" s="292"/>
      <c r="MVQ38" s="292"/>
      <c r="MVR38" s="292"/>
      <c r="MVS38" s="292"/>
      <c r="MVT38" s="292"/>
      <c r="MVU38" s="292"/>
      <c r="MVV38" s="292"/>
      <c r="MVW38" s="292"/>
      <c r="MVX38" s="292"/>
      <c r="MVY38" s="292"/>
      <c r="MVZ38" s="292"/>
      <c r="MWA38" s="292"/>
      <c r="MWB38" s="292"/>
      <c r="MWC38" s="292"/>
      <c r="MWD38" s="292"/>
      <c r="MWE38" s="292"/>
      <c r="MWF38" s="292"/>
      <c r="MWG38" s="292"/>
      <c r="MWH38" s="292"/>
      <c r="MWI38" s="292"/>
      <c r="MWJ38" s="292"/>
      <c r="MWK38" s="292"/>
      <c r="MWL38" s="292"/>
      <c r="MWM38" s="292"/>
      <c r="MWN38" s="292"/>
      <c r="MWO38" s="292"/>
      <c r="MWP38" s="292"/>
      <c r="MWQ38" s="292"/>
      <c r="MWR38" s="292"/>
      <c r="MWS38" s="292"/>
      <c r="MWT38" s="292"/>
      <c r="MWU38" s="292"/>
      <c r="MWV38" s="292"/>
      <c r="MWW38" s="292"/>
      <c r="MWX38" s="292"/>
      <c r="MWY38" s="292"/>
      <c r="MWZ38" s="292"/>
      <c r="MXA38" s="292"/>
      <c r="MXB38" s="292"/>
      <c r="MXC38" s="292"/>
      <c r="MXD38" s="292"/>
      <c r="MXE38" s="292"/>
      <c r="MXF38" s="292"/>
      <c r="MXG38" s="292"/>
      <c r="MXH38" s="292"/>
      <c r="MXI38" s="292"/>
      <c r="MXJ38" s="292"/>
      <c r="MXK38" s="292"/>
      <c r="MXL38" s="292"/>
      <c r="MXM38" s="292"/>
      <c r="MXN38" s="292"/>
      <c r="MXO38" s="292"/>
      <c r="MXP38" s="292"/>
      <c r="MXQ38" s="292"/>
      <c r="MXR38" s="292"/>
      <c r="MXS38" s="292"/>
      <c r="MXT38" s="292"/>
      <c r="MXU38" s="292"/>
      <c r="MXV38" s="292"/>
      <c r="MXW38" s="292"/>
      <c r="MXX38" s="292"/>
      <c r="MXY38" s="292"/>
      <c r="MXZ38" s="292"/>
      <c r="MYA38" s="292"/>
      <c r="MYB38" s="292"/>
      <c r="MYC38" s="292"/>
      <c r="MYD38" s="292"/>
      <c r="MYE38" s="292"/>
      <c r="MYF38" s="292"/>
      <c r="MYG38" s="292"/>
      <c r="MYH38" s="292"/>
      <c r="MYI38" s="292"/>
      <c r="MYJ38" s="292"/>
      <c r="MYK38" s="292"/>
      <c r="MYL38" s="292"/>
      <c r="MYM38" s="292"/>
      <c r="MYN38" s="292"/>
      <c r="MYO38" s="292"/>
      <c r="MYP38" s="292"/>
      <c r="MYQ38" s="292"/>
      <c r="MYR38" s="292"/>
      <c r="MYS38" s="292"/>
      <c r="MYT38" s="292"/>
      <c r="MYU38" s="292"/>
      <c r="MYV38" s="292"/>
      <c r="MYW38" s="292"/>
      <c r="MYX38" s="292"/>
      <c r="MYY38" s="292"/>
      <c r="MYZ38" s="292"/>
      <c r="MZA38" s="292"/>
      <c r="MZB38" s="292"/>
      <c r="MZC38" s="292"/>
      <c r="MZD38" s="292"/>
      <c r="MZE38" s="292"/>
      <c r="MZF38" s="292"/>
      <c r="MZG38" s="292"/>
      <c r="MZH38" s="292"/>
      <c r="MZI38" s="292"/>
      <c r="MZJ38" s="292"/>
      <c r="MZK38" s="292"/>
      <c r="MZL38" s="292"/>
      <c r="MZM38" s="292"/>
      <c r="MZN38" s="292"/>
      <c r="MZO38" s="292"/>
      <c r="MZP38" s="292"/>
      <c r="MZQ38" s="292"/>
      <c r="MZR38" s="292"/>
      <c r="MZS38" s="292"/>
      <c r="MZT38" s="292"/>
      <c r="MZU38" s="292"/>
      <c r="MZV38" s="292"/>
      <c r="MZW38" s="292"/>
      <c r="MZX38" s="292"/>
      <c r="MZY38" s="292"/>
      <c r="MZZ38" s="292"/>
      <c r="NAA38" s="292"/>
      <c r="NAB38" s="292"/>
      <c r="NAC38" s="292"/>
      <c r="NAD38" s="292"/>
      <c r="NAE38" s="292"/>
      <c r="NAF38" s="292"/>
      <c r="NAG38" s="292"/>
      <c r="NAH38" s="292"/>
      <c r="NAI38" s="292"/>
      <c r="NAJ38" s="292"/>
      <c r="NAK38" s="292"/>
      <c r="NAL38" s="292"/>
      <c r="NAM38" s="292"/>
      <c r="NAN38" s="292"/>
      <c r="NAO38" s="292"/>
      <c r="NAP38" s="292"/>
      <c r="NAQ38" s="292"/>
      <c r="NAR38" s="292"/>
      <c r="NAS38" s="292"/>
      <c r="NAT38" s="292"/>
      <c r="NAU38" s="292"/>
      <c r="NAV38" s="292"/>
      <c r="NAW38" s="292"/>
      <c r="NAX38" s="292"/>
      <c r="NAY38" s="292"/>
      <c r="NAZ38" s="292"/>
      <c r="NBA38" s="292"/>
      <c r="NBB38" s="292"/>
      <c r="NBC38" s="292"/>
      <c r="NBD38" s="292"/>
      <c r="NBE38" s="292"/>
      <c r="NBF38" s="292"/>
      <c r="NBG38" s="292"/>
      <c r="NBH38" s="292"/>
      <c r="NBI38" s="292"/>
      <c r="NBJ38" s="292"/>
      <c r="NBK38" s="292"/>
      <c r="NBL38" s="292"/>
      <c r="NBM38" s="292"/>
      <c r="NBN38" s="292"/>
      <c r="NBO38" s="292"/>
      <c r="NBP38" s="292"/>
      <c r="NBQ38" s="292"/>
      <c r="NBR38" s="292"/>
      <c r="NBS38" s="292"/>
      <c r="NBT38" s="292"/>
      <c r="NBU38" s="292"/>
      <c r="NBV38" s="292"/>
      <c r="NBW38" s="292"/>
      <c r="NBX38" s="292"/>
      <c r="NBY38" s="292"/>
      <c r="NBZ38" s="292"/>
      <c r="NCA38" s="292"/>
      <c r="NCB38" s="292"/>
      <c r="NCC38" s="292"/>
      <c r="NCD38" s="292"/>
      <c r="NCE38" s="292"/>
      <c r="NCF38" s="292"/>
      <c r="NCG38" s="292"/>
      <c r="NCH38" s="292"/>
      <c r="NCI38" s="292"/>
      <c r="NCJ38" s="292"/>
      <c r="NCK38" s="292"/>
      <c r="NCL38" s="292"/>
      <c r="NCM38" s="292"/>
      <c r="NCN38" s="292"/>
      <c r="NCO38" s="292"/>
      <c r="NCP38" s="292"/>
      <c r="NCQ38" s="292"/>
      <c r="NCR38" s="292"/>
      <c r="NCS38" s="292"/>
      <c r="NCT38" s="292"/>
      <c r="NCU38" s="292"/>
      <c r="NCV38" s="292"/>
      <c r="NCW38" s="292"/>
      <c r="NCX38" s="292"/>
      <c r="NCY38" s="292"/>
      <c r="NCZ38" s="292"/>
      <c r="NDA38" s="292"/>
      <c r="NDB38" s="292"/>
      <c r="NDC38" s="292"/>
      <c r="NDD38" s="292"/>
      <c r="NDE38" s="292"/>
      <c r="NDF38" s="292"/>
      <c r="NDG38" s="292"/>
      <c r="NDH38" s="292"/>
      <c r="NDI38" s="292"/>
      <c r="NDJ38" s="292"/>
      <c r="NDK38" s="292"/>
      <c r="NDL38" s="292"/>
      <c r="NDM38" s="292"/>
      <c r="NDN38" s="292"/>
      <c r="NDO38" s="292"/>
      <c r="NDP38" s="292"/>
      <c r="NDQ38" s="292"/>
      <c r="NDR38" s="292"/>
      <c r="NDS38" s="292"/>
      <c r="NDT38" s="292"/>
      <c r="NDU38" s="292"/>
      <c r="NDV38" s="292"/>
      <c r="NDW38" s="292"/>
      <c r="NDX38" s="292"/>
      <c r="NDY38" s="292"/>
      <c r="NDZ38" s="292"/>
      <c r="NEA38" s="292"/>
      <c r="NEB38" s="292"/>
      <c r="NEC38" s="292"/>
      <c r="NED38" s="292"/>
      <c r="NEE38" s="292"/>
      <c r="NEF38" s="292"/>
      <c r="NEG38" s="292"/>
      <c r="NEH38" s="292"/>
      <c r="NEI38" s="292"/>
      <c r="NEJ38" s="292"/>
      <c r="NEK38" s="292"/>
      <c r="NEL38" s="292"/>
      <c r="NEM38" s="292"/>
      <c r="NEN38" s="292"/>
      <c r="NEO38" s="292"/>
      <c r="NEP38" s="292"/>
      <c r="NEQ38" s="292"/>
      <c r="NER38" s="292"/>
      <c r="NES38" s="292"/>
      <c r="NET38" s="292"/>
      <c r="NEU38" s="292"/>
      <c r="NEV38" s="292"/>
      <c r="NEW38" s="292"/>
      <c r="NEX38" s="292"/>
      <c r="NEY38" s="292"/>
      <c r="NEZ38" s="292"/>
      <c r="NFA38" s="292"/>
      <c r="NFB38" s="292"/>
      <c r="NFC38" s="292"/>
      <c r="NFD38" s="292"/>
      <c r="NFE38" s="292"/>
      <c r="NFF38" s="292"/>
      <c r="NFG38" s="292"/>
      <c r="NFH38" s="292"/>
      <c r="NFI38" s="292"/>
      <c r="NFJ38" s="292"/>
      <c r="NFK38" s="292"/>
      <c r="NFL38" s="292"/>
      <c r="NFM38" s="292"/>
      <c r="NFN38" s="292"/>
      <c r="NFO38" s="292"/>
      <c r="NFP38" s="292"/>
      <c r="NFQ38" s="292"/>
      <c r="NFR38" s="292"/>
      <c r="NFS38" s="292"/>
      <c r="NFT38" s="292"/>
      <c r="NFU38" s="292"/>
      <c r="NFV38" s="292"/>
      <c r="NFW38" s="292"/>
      <c r="NFX38" s="292"/>
      <c r="NFY38" s="292"/>
      <c r="NFZ38" s="292"/>
      <c r="NGA38" s="292"/>
      <c r="NGB38" s="292"/>
      <c r="NGC38" s="292"/>
      <c r="NGD38" s="292"/>
      <c r="NGE38" s="292"/>
      <c r="NGF38" s="292"/>
      <c r="NGG38" s="292"/>
      <c r="NGH38" s="292"/>
      <c r="NGI38" s="292"/>
      <c r="NGJ38" s="292"/>
      <c r="NGK38" s="292"/>
      <c r="NGL38" s="292"/>
      <c r="NGM38" s="292"/>
      <c r="NGN38" s="292"/>
      <c r="NGO38" s="292"/>
      <c r="NGP38" s="292"/>
      <c r="NGQ38" s="292"/>
      <c r="NGR38" s="292"/>
      <c r="NGS38" s="292"/>
      <c r="NGT38" s="292"/>
      <c r="NGU38" s="292"/>
      <c r="NGV38" s="292"/>
      <c r="NGW38" s="292"/>
      <c r="NGX38" s="292"/>
      <c r="NGY38" s="292"/>
      <c r="NGZ38" s="292"/>
      <c r="NHA38" s="292"/>
      <c r="NHB38" s="292"/>
      <c r="NHC38" s="292"/>
      <c r="NHD38" s="292"/>
      <c r="NHE38" s="292"/>
      <c r="NHF38" s="292"/>
      <c r="NHG38" s="292"/>
      <c r="NHH38" s="292"/>
      <c r="NHI38" s="292"/>
      <c r="NHJ38" s="292"/>
      <c r="NHK38" s="292"/>
      <c r="NHL38" s="292"/>
      <c r="NHM38" s="292"/>
      <c r="NHN38" s="292"/>
      <c r="NHO38" s="292"/>
      <c r="NHP38" s="292"/>
      <c r="NHQ38" s="292"/>
      <c r="NHR38" s="292"/>
      <c r="NHS38" s="292"/>
      <c r="NHT38" s="292"/>
      <c r="NHU38" s="292"/>
      <c r="NHV38" s="292"/>
      <c r="NHW38" s="292"/>
      <c r="NHX38" s="292"/>
      <c r="NHY38" s="292"/>
      <c r="NHZ38" s="292"/>
      <c r="NIA38" s="292"/>
      <c r="NIB38" s="292"/>
      <c r="NIC38" s="292"/>
      <c r="NID38" s="292"/>
      <c r="NIE38" s="292"/>
      <c r="NIF38" s="292"/>
      <c r="NIG38" s="292"/>
      <c r="NIH38" s="292"/>
      <c r="NII38" s="292"/>
      <c r="NIJ38" s="292"/>
      <c r="NIK38" s="292"/>
      <c r="NIL38" s="292"/>
      <c r="NIM38" s="292"/>
      <c r="NIN38" s="292"/>
      <c r="NIO38" s="292"/>
      <c r="NIP38" s="292"/>
      <c r="NIQ38" s="292"/>
      <c r="NIR38" s="292"/>
      <c r="NIS38" s="292"/>
      <c r="NIT38" s="292"/>
      <c r="NIU38" s="292"/>
      <c r="NIV38" s="292"/>
      <c r="NIW38" s="292"/>
      <c r="NIX38" s="292"/>
      <c r="NIY38" s="292"/>
      <c r="NIZ38" s="292"/>
      <c r="NJA38" s="292"/>
      <c r="NJB38" s="292"/>
      <c r="NJC38" s="292"/>
      <c r="NJD38" s="292"/>
      <c r="NJE38" s="292"/>
      <c r="NJF38" s="292"/>
      <c r="NJG38" s="292"/>
      <c r="NJH38" s="292"/>
      <c r="NJI38" s="292"/>
      <c r="NJJ38" s="292"/>
      <c r="NJK38" s="292"/>
      <c r="NJL38" s="292"/>
      <c r="NJM38" s="292"/>
      <c r="NJN38" s="292"/>
      <c r="NJO38" s="292"/>
      <c r="NJP38" s="292"/>
      <c r="NJQ38" s="292"/>
      <c r="NJR38" s="292"/>
      <c r="NJS38" s="292"/>
      <c r="NJT38" s="292"/>
      <c r="NJU38" s="292"/>
      <c r="NJV38" s="292"/>
      <c r="NJW38" s="292"/>
      <c r="NJX38" s="292"/>
      <c r="NJY38" s="292"/>
      <c r="NJZ38" s="292"/>
      <c r="NKA38" s="292"/>
      <c r="NKB38" s="292"/>
      <c r="NKC38" s="292"/>
      <c r="NKD38" s="292"/>
      <c r="NKE38" s="292"/>
      <c r="NKF38" s="292"/>
      <c r="NKG38" s="292"/>
      <c r="NKH38" s="292"/>
      <c r="NKI38" s="292"/>
      <c r="NKJ38" s="292"/>
      <c r="NKK38" s="292"/>
      <c r="NKL38" s="292"/>
      <c r="NKM38" s="292"/>
      <c r="NKN38" s="292"/>
      <c r="NKO38" s="292"/>
      <c r="NKP38" s="292"/>
      <c r="NKQ38" s="292"/>
      <c r="NKR38" s="292"/>
      <c r="NKS38" s="292"/>
      <c r="NKT38" s="292"/>
      <c r="NKU38" s="292"/>
      <c r="NKV38" s="292"/>
      <c r="NKW38" s="292"/>
      <c r="NKX38" s="292"/>
      <c r="NKY38" s="292"/>
      <c r="NKZ38" s="292"/>
      <c r="NLA38" s="292"/>
      <c r="NLB38" s="292"/>
      <c r="NLC38" s="292"/>
      <c r="NLD38" s="292"/>
      <c r="NLE38" s="292"/>
      <c r="NLF38" s="292"/>
      <c r="NLG38" s="292"/>
      <c r="NLH38" s="292"/>
      <c r="NLI38" s="292"/>
      <c r="NLJ38" s="292"/>
      <c r="NLK38" s="292"/>
      <c r="NLL38" s="292"/>
      <c r="NLM38" s="292"/>
      <c r="NLN38" s="292"/>
      <c r="NLO38" s="292"/>
      <c r="NLP38" s="292"/>
      <c r="NLQ38" s="292"/>
      <c r="NLR38" s="292"/>
      <c r="NLS38" s="292"/>
      <c r="NLT38" s="292"/>
      <c r="NLU38" s="292"/>
      <c r="NLV38" s="292"/>
      <c r="NLW38" s="292"/>
      <c r="NLX38" s="292"/>
      <c r="NLY38" s="292"/>
      <c r="NLZ38" s="292"/>
      <c r="NMA38" s="292"/>
      <c r="NMB38" s="292"/>
      <c r="NMC38" s="292"/>
      <c r="NMD38" s="292"/>
      <c r="NME38" s="292"/>
      <c r="NMF38" s="292"/>
      <c r="NMG38" s="292"/>
      <c r="NMH38" s="292"/>
      <c r="NMI38" s="292"/>
      <c r="NMJ38" s="292"/>
      <c r="NMK38" s="292"/>
      <c r="NML38" s="292"/>
      <c r="NMM38" s="292"/>
      <c r="NMN38" s="292"/>
      <c r="NMO38" s="292"/>
      <c r="NMP38" s="292"/>
      <c r="NMQ38" s="292"/>
      <c r="NMR38" s="292"/>
      <c r="NMS38" s="292"/>
      <c r="NMT38" s="292"/>
      <c r="NMU38" s="292"/>
      <c r="NMV38" s="292"/>
      <c r="NMW38" s="292"/>
      <c r="NMX38" s="292"/>
      <c r="NMY38" s="292"/>
      <c r="NMZ38" s="292"/>
      <c r="NNA38" s="292"/>
      <c r="NNB38" s="292"/>
      <c r="NNC38" s="292"/>
      <c r="NND38" s="292"/>
      <c r="NNE38" s="292"/>
      <c r="NNF38" s="292"/>
      <c r="NNG38" s="292"/>
      <c r="NNH38" s="292"/>
      <c r="NNI38" s="292"/>
      <c r="NNJ38" s="292"/>
      <c r="NNK38" s="292"/>
      <c r="NNL38" s="292"/>
      <c r="NNM38" s="292"/>
      <c r="NNN38" s="292"/>
      <c r="NNO38" s="292"/>
      <c r="NNP38" s="292"/>
      <c r="NNQ38" s="292"/>
      <c r="NNR38" s="292"/>
      <c r="NNS38" s="292"/>
      <c r="NNT38" s="292"/>
      <c r="NNU38" s="292"/>
      <c r="NNV38" s="292"/>
      <c r="NNW38" s="292"/>
      <c r="NNX38" s="292"/>
      <c r="NNY38" s="292"/>
      <c r="NNZ38" s="292"/>
      <c r="NOA38" s="292"/>
      <c r="NOB38" s="292"/>
      <c r="NOC38" s="292"/>
      <c r="NOD38" s="292"/>
      <c r="NOE38" s="292"/>
      <c r="NOF38" s="292"/>
      <c r="NOG38" s="292"/>
      <c r="NOH38" s="292"/>
      <c r="NOI38" s="292"/>
      <c r="NOJ38" s="292"/>
      <c r="NOK38" s="292"/>
      <c r="NOL38" s="292"/>
      <c r="NOM38" s="292"/>
      <c r="NON38" s="292"/>
      <c r="NOO38" s="292"/>
      <c r="NOP38" s="292"/>
      <c r="NOQ38" s="292"/>
      <c r="NOR38" s="292"/>
      <c r="NOS38" s="292"/>
      <c r="NOT38" s="292"/>
      <c r="NOU38" s="292"/>
      <c r="NOV38" s="292"/>
      <c r="NOW38" s="292"/>
      <c r="NOX38" s="292"/>
      <c r="NOY38" s="292"/>
      <c r="NOZ38" s="292"/>
      <c r="NPA38" s="292"/>
      <c r="NPB38" s="292"/>
      <c r="NPC38" s="292"/>
      <c r="NPD38" s="292"/>
      <c r="NPE38" s="292"/>
      <c r="NPF38" s="292"/>
      <c r="NPG38" s="292"/>
      <c r="NPH38" s="292"/>
      <c r="NPI38" s="292"/>
      <c r="NPJ38" s="292"/>
      <c r="NPK38" s="292"/>
      <c r="NPL38" s="292"/>
      <c r="NPM38" s="292"/>
      <c r="NPN38" s="292"/>
      <c r="NPO38" s="292"/>
      <c r="NPP38" s="292"/>
      <c r="NPQ38" s="292"/>
      <c r="NPR38" s="292"/>
      <c r="NPS38" s="292"/>
      <c r="NPT38" s="292"/>
      <c r="NPU38" s="292"/>
      <c r="NPV38" s="292"/>
      <c r="NPW38" s="292"/>
      <c r="NPX38" s="292"/>
      <c r="NPY38" s="292"/>
      <c r="NPZ38" s="292"/>
      <c r="NQA38" s="292"/>
      <c r="NQB38" s="292"/>
      <c r="NQC38" s="292"/>
      <c r="NQD38" s="292"/>
      <c r="NQE38" s="292"/>
      <c r="NQF38" s="292"/>
      <c r="NQG38" s="292"/>
      <c r="NQH38" s="292"/>
      <c r="NQI38" s="292"/>
      <c r="NQJ38" s="292"/>
      <c r="NQK38" s="292"/>
      <c r="NQL38" s="292"/>
      <c r="NQM38" s="292"/>
      <c r="NQN38" s="292"/>
      <c r="NQO38" s="292"/>
      <c r="NQP38" s="292"/>
      <c r="NQQ38" s="292"/>
      <c r="NQR38" s="292"/>
      <c r="NQS38" s="292"/>
      <c r="NQT38" s="292"/>
      <c r="NQU38" s="292"/>
      <c r="NQV38" s="292"/>
      <c r="NQW38" s="292"/>
      <c r="NQX38" s="292"/>
      <c r="NQY38" s="292"/>
      <c r="NQZ38" s="292"/>
      <c r="NRA38" s="292"/>
      <c r="NRB38" s="292"/>
      <c r="NRC38" s="292"/>
      <c r="NRD38" s="292"/>
      <c r="NRE38" s="292"/>
      <c r="NRF38" s="292"/>
      <c r="NRG38" s="292"/>
      <c r="NRH38" s="292"/>
      <c r="NRI38" s="292"/>
      <c r="NRJ38" s="292"/>
      <c r="NRK38" s="292"/>
      <c r="NRL38" s="292"/>
      <c r="NRM38" s="292"/>
      <c r="NRN38" s="292"/>
      <c r="NRO38" s="292"/>
      <c r="NRP38" s="292"/>
      <c r="NRQ38" s="292"/>
      <c r="NRR38" s="292"/>
      <c r="NRS38" s="292"/>
      <c r="NRT38" s="292"/>
      <c r="NRU38" s="292"/>
      <c r="NRV38" s="292"/>
      <c r="NRW38" s="292"/>
      <c r="NRX38" s="292"/>
      <c r="NRY38" s="292"/>
      <c r="NRZ38" s="292"/>
      <c r="NSA38" s="292"/>
      <c r="NSB38" s="292"/>
      <c r="NSC38" s="292"/>
      <c r="NSD38" s="292"/>
      <c r="NSE38" s="292"/>
      <c r="NSF38" s="292"/>
      <c r="NSG38" s="292"/>
      <c r="NSH38" s="292"/>
      <c r="NSI38" s="292"/>
      <c r="NSJ38" s="292"/>
      <c r="NSK38" s="292"/>
      <c r="NSL38" s="292"/>
      <c r="NSM38" s="292"/>
      <c r="NSN38" s="292"/>
      <c r="NSO38" s="292"/>
      <c r="NSP38" s="292"/>
      <c r="NSQ38" s="292"/>
      <c r="NSR38" s="292"/>
      <c r="NSS38" s="292"/>
      <c r="NST38" s="292"/>
      <c r="NSU38" s="292"/>
      <c r="NSV38" s="292"/>
      <c r="NSW38" s="292"/>
      <c r="NSX38" s="292"/>
      <c r="NSY38" s="292"/>
      <c r="NSZ38" s="292"/>
      <c r="NTA38" s="292"/>
      <c r="NTB38" s="292"/>
      <c r="NTC38" s="292"/>
      <c r="NTD38" s="292"/>
      <c r="NTE38" s="292"/>
      <c r="NTF38" s="292"/>
      <c r="NTG38" s="292"/>
      <c r="NTH38" s="292"/>
      <c r="NTI38" s="292"/>
      <c r="NTJ38" s="292"/>
      <c r="NTK38" s="292"/>
      <c r="NTL38" s="292"/>
      <c r="NTM38" s="292"/>
      <c r="NTN38" s="292"/>
      <c r="NTO38" s="292"/>
      <c r="NTP38" s="292"/>
      <c r="NTQ38" s="292"/>
      <c r="NTR38" s="292"/>
      <c r="NTS38" s="292"/>
      <c r="NTT38" s="292"/>
      <c r="NTU38" s="292"/>
      <c r="NTV38" s="292"/>
      <c r="NTW38" s="292"/>
      <c r="NTX38" s="292"/>
      <c r="NTY38" s="292"/>
      <c r="NTZ38" s="292"/>
      <c r="NUA38" s="292"/>
      <c r="NUB38" s="292"/>
      <c r="NUC38" s="292"/>
      <c r="NUD38" s="292"/>
      <c r="NUE38" s="292"/>
      <c r="NUF38" s="292"/>
      <c r="NUG38" s="292"/>
      <c r="NUH38" s="292"/>
      <c r="NUI38" s="292"/>
      <c r="NUJ38" s="292"/>
      <c r="NUK38" s="292"/>
      <c r="NUL38" s="292"/>
      <c r="NUM38" s="292"/>
      <c r="NUN38" s="292"/>
      <c r="NUO38" s="292"/>
      <c r="NUP38" s="292"/>
      <c r="NUQ38" s="292"/>
      <c r="NUR38" s="292"/>
      <c r="NUS38" s="292"/>
      <c r="NUT38" s="292"/>
      <c r="NUU38" s="292"/>
      <c r="NUV38" s="292"/>
      <c r="NUW38" s="292"/>
      <c r="NUX38" s="292"/>
      <c r="NUY38" s="292"/>
      <c r="NUZ38" s="292"/>
      <c r="NVA38" s="292"/>
      <c r="NVB38" s="292"/>
      <c r="NVC38" s="292"/>
      <c r="NVD38" s="292"/>
      <c r="NVE38" s="292"/>
      <c r="NVF38" s="292"/>
      <c r="NVG38" s="292"/>
      <c r="NVH38" s="292"/>
      <c r="NVI38" s="292"/>
      <c r="NVJ38" s="292"/>
      <c r="NVK38" s="292"/>
      <c r="NVL38" s="292"/>
      <c r="NVM38" s="292"/>
      <c r="NVN38" s="292"/>
      <c r="NVO38" s="292"/>
      <c r="NVP38" s="292"/>
      <c r="NVQ38" s="292"/>
      <c r="NVR38" s="292"/>
      <c r="NVS38" s="292"/>
      <c r="NVT38" s="292"/>
      <c r="NVU38" s="292"/>
      <c r="NVV38" s="292"/>
      <c r="NVW38" s="292"/>
      <c r="NVX38" s="292"/>
      <c r="NVY38" s="292"/>
      <c r="NVZ38" s="292"/>
      <c r="NWA38" s="292"/>
      <c r="NWB38" s="292"/>
      <c r="NWC38" s="292"/>
      <c r="NWD38" s="292"/>
      <c r="NWE38" s="292"/>
      <c r="NWF38" s="292"/>
      <c r="NWG38" s="292"/>
      <c r="NWH38" s="292"/>
      <c r="NWI38" s="292"/>
      <c r="NWJ38" s="292"/>
      <c r="NWK38" s="292"/>
      <c r="NWL38" s="292"/>
      <c r="NWM38" s="292"/>
      <c r="NWN38" s="292"/>
      <c r="NWO38" s="292"/>
      <c r="NWP38" s="292"/>
      <c r="NWQ38" s="292"/>
      <c r="NWR38" s="292"/>
      <c r="NWS38" s="292"/>
      <c r="NWT38" s="292"/>
      <c r="NWU38" s="292"/>
      <c r="NWV38" s="292"/>
      <c r="NWW38" s="292"/>
      <c r="NWX38" s="292"/>
      <c r="NWY38" s="292"/>
      <c r="NWZ38" s="292"/>
      <c r="NXA38" s="292"/>
      <c r="NXB38" s="292"/>
      <c r="NXC38" s="292"/>
      <c r="NXD38" s="292"/>
      <c r="NXE38" s="292"/>
      <c r="NXF38" s="292"/>
      <c r="NXG38" s="292"/>
      <c r="NXH38" s="292"/>
      <c r="NXI38" s="292"/>
      <c r="NXJ38" s="292"/>
      <c r="NXK38" s="292"/>
      <c r="NXL38" s="292"/>
      <c r="NXM38" s="292"/>
      <c r="NXN38" s="292"/>
      <c r="NXO38" s="292"/>
      <c r="NXP38" s="292"/>
      <c r="NXQ38" s="292"/>
      <c r="NXR38" s="292"/>
      <c r="NXS38" s="292"/>
      <c r="NXT38" s="292"/>
      <c r="NXU38" s="292"/>
      <c r="NXV38" s="292"/>
      <c r="NXW38" s="292"/>
      <c r="NXX38" s="292"/>
      <c r="NXY38" s="292"/>
      <c r="NXZ38" s="292"/>
      <c r="NYA38" s="292"/>
      <c r="NYB38" s="292"/>
      <c r="NYC38" s="292"/>
      <c r="NYD38" s="292"/>
      <c r="NYE38" s="292"/>
      <c r="NYF38" s="292"/>
      <c r="NYG38" s="292"/>
      <c r="NYH38" s="292"/>
      <c r="NYI38" s="292"/>
      <c r="NYJ38" s="292"/>
      <c r="NYK38" s="292"/>
      <c r="NYL38" s="292"/>
      <c r="NYM38" s="292"/>
      <c r="NYN38" s="292"/>
      <c r="NYO38" s="292"/>
      <c r="NYP38" s="292"/>
      <c r="NYQ38" s="292"/>
      <c r="NYR38" s="292"/>
      <c r="NYS38" s="292"/>
      <c r="NYT38" s="292"/>
      <c r="NYU38" s="292"/>
      <c r="NYV38" s="292"/>
      <c r="NYW38" s="292"/>
      <c r="NYX38" s="292"/>
      <c r="NYY38" s="292"/>
      <c r="NYZ38" s="292"/>
      <c r="NZA38" s="292"/>
      <c r="NZB38" s="292"/>
      <c r="NZC38" s="292"/>
      <c r="NZD38" s="292"/>
      <c r="NZE38" s="292"/>
      <c r="NZF38" s="292"/>
      <c r="NZG38" s="292"/>
      <c r="NZH38" s="292"/>
      <c r="NZI38" s="292"/>
      <c r="NZJ38" s="292"/>
      <c r="NZK38" s="292"/>
      <c r="NZL38" s="292"/>
      <c r="NZM38" s="292"/>
      <c r="NZN38" s="292"/>
      <c r="NZO38" s="292"/>
      <c r="NZP38" s="292"/>
      <c r="NZQ38" s="292"/>
      <c r="NZR38" s="292"/>
      <c r="NZS38" s="292"/>
      <c r="NZT38" s="292"/>
      <c r="NZU38" s="292"/>
      <c r="NZV38" s="292"/>
      <c r="NZW38" s="292"/>
      <c r="NZX38" s="292"/>
      <c r="NZY38" s="292"/>
      <c r="NZZ38" s="292"/>
      <c r="OAA38" s="292"/>
      <c r="OAB38" s="292"/>
      <c r="OAC38" s="292"/>
      <c r="OAD38" s="292"/>
      <c r="OAE38" s="292"/>
      <c r="OAF38" s="292"/>
      <c r="OAG38" s="292"/>
      <c r="OAH38" s="292"/>
      <c r="OAI38" s="292"/>
      <c r="OAJ38" s="292"/>
      <c r="OAK38" s="292"/>
      <c r="OAL38" s="292"/>
      <c r="OAM38" s="292"/>
      <c r="OAN38" s="292"/>
      <c r="OAO38" s="292"/>
      <c r="OAP38" s="292"/>
      <c r="OAQ38" s="292"/>
      <c r="OAR38" s="292"/>
      <c r="OAS38" s="292"/>
      <c r="OAT38" s="292"/>
      <c r="OAU38" s="292"/>
      <c r="OAV38" s="292"/>
      <c r="OAW38" s="292"/>
      <c r="OAX38" s="292"/>
      <c r="OAY38" s="292"/>
      <c r="OAZ38" s="292"/>
      <c r="OBA38" s="292"/>
      <c r="OBB38" s="292"/>
      <c r="OBC38" s="292"/>
      <c r="OBD38" s="292"/>
      <c r="OBE38" s="292"/>
      <c r="OBF38" s="292"/>
      <c r="OBG38" s="292"/>
      <c r="OBH38" s="292"/>
      <c r="OBI38" s="292"/>
      <c r="OBJ38" s="292"/>
      <c r="OBK38" s="292"/>
      <c r="OBL38" s="292"/>
      <c r="OBM38" s="292"/>
      <c r="OBN38" s="292"/>
      <c r="OBO38" s="292"/>
      <c r="OBP38" s="292"/>
      <c r="OBQ38" s="292"/>
      <c r="OBR38" s="292"/>
      <c r="OBS38" s="292"/>
      <c r="OBT38" s="292"/>
      <c r="OBU38" s="292"/>
      <c r="OBV38" s="292"/>
      <c r="OBW38" s="292"/>
      <c r="OBX38" s="292"/>
      <c r="OBY38" s="292"/>
      <c r="OBZ38" s="292"/>
      <c r="OCA38" s="292"/>
      <c r="OCB38" s="292"/>
      <c r="OCC38" s="292"/>
      <c r="OCD38" s="292"/>
      <c r="OCE38" s="292"/>
      <c r="OCF38" s="292"/>
      <c r="OCG38" s="292"/>
      <c r="OCH38" s="292"/>
      <c r="OCI38" s="292"/>
      <c r="OCJ38" s="292"/>
      <c r="OCK38" s="292"/>
      <c r="OCL38" s="292"/>
      <c r="OCM38" s="292"/>
      <c r="OCN38" s="292"/>
      <c r="OCO38" s="292"/>
      <c r="OCP38" s="292"/>
      <c r="OCQ38" s="292"/>
      <c r="OCR38" s="292"/>
      <c r="OCS38" s="292"/>
      <c r="OCT38" s="292"/>
      <c r="OCU38" s="292"/>
      <c r="OCV38" s="292"/>
      <c r="OCW38" s="292"/>
      <c r="OCX38" s="292"/>
      <c r="OCY38" s="292"/>
      <c r="OCZ38" s="292"/>
      <c r="ODA38" s="292"/>
      <c r="ODB38" s="292"/>
      <c r="ODC38" s="292"/>
      <c r="ODD38" s="292"/>
      <c r="ODE38" s="292"/>
      <c r="ODF38" s="292"/>
      <c r="ODG38" s="292"/>
      <c r="ODH38" s="292"/>
      <c r="ODI38" s="292"/>
      <c r="ODJ38" s="292"/>
      <c r="ODK38" s="292"/>
      <c r="ODL38" s="292"/>
      <c r="ODM38" s="292"/>
      <c r="ODN38" s="292"/>
      <c r="ODO38" s="292"/>
      <c r="ODP38" s="292"/>
      <c r="ODQ38" s="292"/>
      <c r="ODR38" s="292"/>
      <c r="ODS38" s="292"/>
      <c r="ODT38" s="292"/>
      <c r="ODU38" s="292"/>
      <c r="ODV38" s="292"/>
      <c r="ODW38" s="292"/>
      <c r="ODX38" s="292"/>
      <c r="ODY38" s="292"/>
      <c r="ODZ38" s="292"/>
      <c r="OEA38" s="292"/>
      <c r="OEB38" s="292"/>
      <c r="OEC38" s="292"/>
      <c r="OED38" s="292"/>
      <c r="OEE38" s="292"/>
      <c r="OEF38" s="292"/>
      <c r="OEG38" s="292"/>
      <c r="OEH38" s="292"/>
      <c r="OEI38" s="292"/>
      <c r="OEJ38" s="292"/>
      <c r="OEK38" s="292"/>
      <c r="OEL38" s="292"/>
      <c r="OEM38" s="292"/>
      <c r="OEN38" s="292"/>
      <c r="OEO38" s="292"/>
      <c r="OEP38" s="292"/>
      <c r="OEQ38" s="292"/>
      <c r="OER38" s="292"/>
      <c r="OES38" s="292"/>
      <c r="OET38" s="292"/>
      <c r="OEU38" s="292"/>
      <c r="OEV38" s="292"/>
      <c r="OEW38" s="292"/>
      <c r="OEX38" s="292"/>
      <c r="OEY38" s="292"/>
      <c r="OEZ38" s="292"/>
      <c r="OFA38" s="292"/>
      <c r="OFB38" s="292"/>
      <c r="OFC38" s="292"/>
      <c r="OFD38" s="292"/>
      <c r="OFE38" s="292"/>
      <c r="OFF38" s="292"/>
      <c r="OFG38" s="292"/>
      <c r="OFH38" s="292"/>
      <c r="OFI38" s="292"/>
      <c r="OFJ38" s="292"/>
      <c r="OFK38" s="292"/>
      <c r="OFL38" s="292"/>
      <c r="OFM38" s="292"/>
      <c r="OFN38" s="292"/>
      <c r="OFO38" s="292"/>
      <c r="OFP38" s="292"/>
      <c r="OFQ38" s="292"/>
      <c r="OFR38" s="292"/>
      <c r="OFS38" s="292"/>
      <c r="OFT38" s="292"/>
      <c r="OFU38" s="292"/>
      <c r="OFV38" s="292"/>
      <c r="OFW38" s="292"/>
      <c r="OFX38" s="292"/>
      <c r="OFY38" s="292"/>
      <c r="OFZ38" s="292"/>
      <c r="OGA38" s="292"/>
      <c r="OGB38" s="292"/>
      <c r="OGC38" s="292"/>
      <c r="OGD38" s="292"/>
      <c r="OGE38" s="292"/>
      <c r="OGF38" s="292"/>
      <c r="OGG38" s="292"/>
      <c r="OGH38" s="292"/>
      <c r="OGI38" s="292"/>
      <c r="OGJ38" s="292"/>
      <c r="OGK38" s="292"/>
      <c r="OGL38" s="292"/>
      <c r="OGM38" s="292"/>
      <c r="OGN38" s="292"/>
      <c r="OGO38" s="292"/>
      <c r="OGP38" s="292"/>
      <c r="OGQ38" s="292"/>
      <c r="OGR38" s="292"/>
      <c r="OGS38" s="292"/>
      <c r="OGT38" s="292"/>
      <c r="OGU38" s="292"/>
      <c r="OGV38" s="292"/>
      <c r="OGW38" s="292"/>
      <c r="OGX38" s="292"/>
      <c r="OGY38" s="292"/>
      <c r="OGZ38" s="292"/>
      <c r="OHA38" s="292"/>
      <c r="OHB38" s="292"/>
      <c r="OHC38" s="292"/>
      <c r="OHD38" s="292"/>
      <c r="OHE38" s="292"/>
      <c r="OHF38" s="292"/>
      <c r="OHG38" s="292"/>
      <c r="OHH38" s="292"/>
      <c r="OHI38" s="292"/>
      <c r="OHJ38" s="292"/>
      <c r="OHK38" s="292"/>
      <c r="OHL38" s="292"/>
      <c r="OHM38" s="292"/>
      <c r="OHN38" s="292"/>
      <c r="OHO38" s="292"/>
      <c r="OHP38" s="292"/>
      <c r="OHQ38" s="292"/>
      <c r="OHR38" s="292"/>
      <c r="OHS38" s="292"/>
      <c r="OHT38" s="292"/>
      <c r="OHU38" s="292"/>
      <c r="OHV38" s="292"/>
      <c r="OHW38" s="292"/>
      <c r="OHX38" s="292"/>
      <c r="OHY38" s="292"/>
      <c r="OHZ38" s="292"/>
      <c r="OIA38" s="292"/>
      <c r="OIB38" s="292"/>
      <c r="OIC38" s="292"/>
      <c r="OID38" s="292"/>
      <c r="OIE38" s="292"/>
      <c r="OIF38" s="292"/>
      <c r="OIG38" s="292"/>
      <c r="OIH38" s="292"/>
      <c r="OII38" s="292"/>
      <c r="OIJ38" s="292"/>
      <c r="OIK38" s="292"/>
      <c r="OIL38" s="292"/>
      <c r="OIM38" s="292"/>
      <c r="OIN38" s="292"/>
      <c r="OIO38" s="292"/>
      <c r="OIP38" s="292"/>
      <c r="OIQ38" s="292"/>
      <c r="OIR38" s="292"/>
      <c r="OIS38" s="292"/>
      <c r="OIT38" s="292"/>
      <c r="OIU38" s="292"/>
      <c r="OIV38" s="292"/>
      <c r="OIW38" s="292"/>
      <c r="OIX38" s="292"/>
      <c r="OIY38" s="292"/>
      <c r="OIZ38" s="292"/>
      <c r="OJA38" s="292"/>
      <c r="OJB38" s="292"/>
      <c r="OJC38" s="292"/>
      <c r="OJD38" s="292"/>
      <c r="OJE38" s="292"/>
      <c r="OJF38" s="292"/>
      <c r="OJG38" s="292"/>
      <c r="OJH38" s="292"/>
      <c r="OJI38" s="292"/>
      <c r="OJJ38" s="292"/>
      <c r="OJK38" s="292"/>
      <c r="OJL38" s="292"/>
      <c r="OJM38" s="292"/>
      <c r="OJN38" s="292"/>
      <c r="OJO38" s="292"/>
      <c r="OJP38" s="292"/>
      <c r="OJQ38" s="292"/>
      <c r="OJR38" s="292"/>
      <c r="OJS38" s="292"/>
      <c r="OJT38" s="292"/>
      <c r="OJU38" s="292"/>
      <c r="OJV38" s="292"/>
      <c r="OJW38" s="292"/>
      <c r="OJX38" s="292"/>
      <c r="OJY38" s="292"/>
      <c r="OJZ38" s="292"/>
      <c r="OKA38" s="292"/>
      <c r="OKB38" s="292"/>
      <c r="OKC38" s="292"/>
      <c r="OKD38" s="292"/>
      <c r="OKE38" s="292"/>
      <c r="OKF38" s="292"/>
      <c r="OKG38" s="292"/>
      <c r="OKH38" s="292"/>
      <c r="OKI38" s="292"/>
      <c r="OKJ38" s="292"/>
      <c r="OKK38" s="292"/>
      <c r="OKL38" s="292"/>
      <c r="OKM38" s="292"/>
      <c r="OKN38" s="292"/>
      <c r="OKO38" s="292"/>
      <c r="OKP38" s="292"/>
      <c r="OKQ38" s="292"/>
      <c r="OKR38" s="292"/>
      <c r="OKS38" s="292"/>
      <c r="OKT38" s="292"/>
      <c r="OKU38" s="292"/>
      <c r="OKV38" s="292"/>
      <c r="OKW38" s="292"/>
      <c r="OKX38" s="292"/>
      <c r="OKY38" s="292"/>
      <c r="OKZ38" s="292"/>
      <c r="OLA38" s="292"/>
      <c r="OLB38" s="292"/>
      <c r="OLC38" s="292"/>
      <c r="OLD38" s="292"/>
      <c r="OLE38" s="292"/>
      <c r="OLF38" s="292"/>
      <c r="OLG38" s="292"/>
      <c r="OLH38" s="292"/>
      <c r="OLI38" s="292"/>
      <c r="OLJ38" s="292"/>
      <c r="OLK38" s="292"/>
      <c r="OLL38" s="292"/>
      <c r="OLM38" s="292"/>
      <c r="OLN38" s="292"/>
      <c r="OLO38" s="292"/>
      <c r="OLP38" s="292"/>
      <c r="OLQ38" s="292"/>
      <c r="OLR38" s="292"/>
      <c r="OLS38" s="292"/>
      <c r="OLT38" s="292"/>
      <c r="OLU38" s="292"/>
      <c r="OLV38" s="292"/>
      <c r="OLW38" s="292"/>
      <c r="OLX38" s="292"/>
      <c r="OLY38" s="292"/>
      <c r="OLZ38" s="292"/>
      <c r="OMA38" s="292"/>
      <c r="OMB38" s="292"/>
      <c r="OMC38" s="292"/>
      <c r="OMD38" s="292"/>
      <c r="OME38" s="292"/>
      <c r="OMF38" s="292"/>
      <c r="OMG38" s="292"/>
      <c r="OMH38" s="292"/>
      <c r="OMI38" s="292"/>
      <c r="OMJ38" s="292"/>
      <c r="OMK38" s="292"/>
      <c r="OML38" s="292"/>
      <c r="OMM38" s="292"/>
      <c r="OMN38" s="292"/>
      <c r="OMO38" s="292"/>
      <c r="OMP38" s="292"/>
      <c r="OMQ38" s="292"/>
      <c r="OMR38" s="292"/>
      <c r="OMS38" s="292"/>
      <c r="OMT38" s="292"/>
      <c r="OMU38" s="292"/>
      <c r="OMV38" s="292"/>
      <c r="OMW38" s="292"/>
      <c r="OMX38" s="292"/>
      <c r="OMY38" s="292"/>
      <c r="OMZ38" s="292"/>
      <c r="ONA38" s="292"/>
      <c r="ONB38" s="292"/>
      <c r="ONC38" s="292"/>
      <c r="OND38" s="292"/>
      <c r="ONE38" s="292"/>
      <c r="ONF38" s="292"/>
      <c r="ONG38" s="292"/>
      <c r="ONH38" s="292"/>
      <c r="ONI38" s="292"/>
      <c r="ONJ38" s="292"/>
      <c r="ONK38" s="292"/>
      <c r="ONL38" s="292"/>
      <c r="ONM38" s="292"/>
      <c r="ONN38" s="292"/>
      <c r="ONO38" s="292"/>
      <c r="ONP38" s="292"/>
      <c r="ONQ38" s="292"/>
      <c r="ONR38" s="292"/>
      <c r="ONS38" s="292"/>
      <c r="ONT38" s="292"/>
      <c r="ONU38" s="292"/>
      <c r="ONV38" s="292"/>
      <c r="ONW38" s="292"/>
      <c r="ONX38" s="292"/>
      <c r="ONY38" s="292"/>
      <c r="ONZ38" s="292"/>
      <c r="OOA38" s="292"/>
      <c r="OOB38" s="292"/>
      <c r="OOC38" s="292"/>
      <c r="OOD38" s="292"/>
      <c r="OOE38" s="292"/>
      <c r="OOF38" s="292"/>
      <c r="OOG38" s="292"/>
      <c r="OOH38" s="292"/>
      <c r="OOI38" s="292"/>
      <c r="OOJ38" s="292"/>
      <c r="OOK38" s="292"/>
      <c r="OOL38" s="292"/>
      <c r="OOM38" s="292"/>
      <c r="OON38" s="292"/>
      <c r="OOO38" s="292"/>
      <c r="OOP38" s="292"/>
      <c r="OOQ38" s="292"/>
      <c r="OOR38" s="292"/>
      <c r="OOS38" s="292"/>
      <c r="OOT38" s="292"/>
      <c r="OOU38" s="292"/>
      <c r="OOV38" s="292"/>
      <c r="OOW38" s="292"/>
      <c r="OOX38" s="292"/>
      <c r="OOY38" s="292"/>
      <c r="OOZ38" s="292"/>
      <c r="OPA38" s="292"/>
      <c r="OPB38" s="292"/>
      <c r="OPC38" s="292"/>
      <c r="OPD38" s="292"/>
      <c r="OPE38" s="292"/>
      <c r="OPF38" s="292"/>
      <c r="OPG38" s="292"/>
      <c r="OPH38" s="292"/>
      <c r="OPI38" s="292"/>
      <c r="OPJ38" s="292"/>
      <c r="OPK38" s="292"/>
      <c r="OPL38" s="292"/>
      <c r="OPM38" s="292"/>
      <c r="OPN38" s="292"/>
      <c r="OPO38" s="292"/>
      <c r="OPP38" s="292"/>
      <c r="OPQ38" s="292"/>
      <c r="OPR38" s="292"/>
      <c r="OPS38" s="292"/>
      <c r="OPT38" s="292"/>
      <c r="OPU38" s="292"/>
      <c r="OPV38" s="292"/>
      <c r="OPW38" s="292"/>
      <c r="OPX38" s="292"/>
      <c r="OPY38" s="292"/>
      <c r="OPZ38" s="292"/>
      <c r="OQA38" s="292"/>
      <c r="OQB38" s="292"/>
      <c r="OQC38" s="292"/>
      <c r="OQD38" s="292"/>
      <c r="OQE38" s="292"/>
      <c r="OQF38" s="292"/>
      <c r="OQG38" s="292"/>
      <c r="OQH38" s="292"/>
      <c r="OQI38" s="292"/>
      <c r="OQJ38" s="292"/>
      <c r="OQK38" s="292"/>
      <c r="OQL38" s="292"/>
      <c r="OQM38" s="292"/>
      <c r="OQN38" s="292"/>
      <c r="OQO38" s="292"/>
      <c r="OQP38" s="292"/>
      <c r="OQQ38" s="292"/>
      <c r="OQR38" s="292"/>
      <c r="OQS38" s="292"/>
      <c r="OQT38" s="292"/>
      <c r="OQU38" s="292"/>
      <c r="OQV38" s="292"/>
      <c r="OQW38" s="292"/>
      <c r="OQX38" s="292"/>
      <c r="OQY38" s="292"/>
      <c r="OQZ38" s="292"/>
      <c r="ORA38" s="292"/>
      <c r="ORB38" s="292"/>
      <c r="ORC38" s="292"/>
      <c r="ORD38" s="292"/>
      <c r="ORE38" s="292"/>
      <c r="ORF38" s="292"/>
      <c r="ORG38" s="292"/>
      <c r="ORH38" s="292"/>
      <c r="ORI38" s="292"/>
      <c r="ORJ38" s="292"/>
      <c r="ORK38" s="292"/>
      <c r="ORL38" s="292"/>
      <c r="ORM38" s="292"/>
      <c r="ORN38" s="292"/>
      <c r="ORO38" s="292"/>
      <c r="ORP38" s="292"/>
      <c r="ORQ38" s="292"/>
      <c r="ORR38" s="292"/>
      <c r="ORS38" s="292"/>
      <c r="ORT38" s="292"/>
      <c r="ORU38" s="292"/>
      <c r="ORV38" s="292"/>
      <c r="ORW38" s="292"/>
      <c r="ORX38" s="292"/>
      <c r="ORY38" s="292"/>
      <c r="ORZ38" s="292"/>
      <c r="OSA38" s="292"/>
      <c r="OSB38" s="292"/>
      <c r="OSC38" s="292"/>
      <c r="OSD38" s="292"/>
      <c r="OSE38" s="292"/>
      <c r="OSF38" s="292"/>
      <c r="OSG38" s="292"/>
      <c r="OSH38" s="292"/>
      <c r="OSI38" s="292"/>
      <c r="OSJ38" s="292"/>
      <c r="OSK38" s="292"/>
      <c r="OSL38" s="292"/>
      <c r="OSM38" s="292"/>
      <c r="OSN38" s="292"/>
      <c r="OSO38" s="292"/>
      <c r="OSP38" s="292"/>
      <c r="OSQ38" s="292"/>
      <c r="OSR38" s="292"/>
      <c r="OSS38" s="292"/>
      <c r="OST38" s="292"/>
      <c r="OSU38" s="292"/>
      <c r="OSV38" s="292"/>
      <c r="OSW38" s="292"/>
      <c r="OSX38" s="292"/>
      <c r="OSY38" s="292"/>
      <c r="OSZ38" s="292"/>
      <c r="OTA38" s="292"/>
      <c r="OTB38" s="292"/>
      <c r="OTC38" s="292"/>
      <c r="OTD38" s="292"/>
      <c r="OTE38" s="292"/>
      <c r="OTF38" s="292"/>
      <c r="OTG38" s="292"/>
      <c r="OTH38" s="292"/>
      <c r="OTI38" s="292"/>
      <c r="OTJ38" s="292"/>
      <c r="OTK38" s="292"/>
      <c r="OTL38" s="292"/>
      <c r="OTM38" s="292"/>
      <c r="OTN38" s="292"/>
      <c r="OTO38" s="292"/>
      <c r="OTP38" s="292"/>
      <c r="OTQ38" s="292"/>
      <c r="OTR38" s="292"/>
      <c r="OTS38" s="292"/>
      <c r="OTT38" s="292"/>
      <c r="OTU38" s="292"/>
      <c r="OTV38" s="292"/>
      <c r="OTW38" s="292"/>
      <c r="OTX38" s="292"/>
      <c r="OTY38" s="292"/>
      <c r="OTZ38" s="292"/>
      <c r="OUA38" s="292"/>
      <c r="OUB38" s="292"/>
      <c r="OUC38" s="292"/>
      <c r="OUD38" s="292"/>
      <c r="OUE38" s="292"/>
      <c r="OUF38" s="292"/>
      <c r="OUG38" s="292"/>
      <c r="OUH38" s="292"/>
      <c r="OUI38" s="292"/>
      <c r="OUJ38" s="292"/>
      <c r="OUK38" s="292"/>
      <c r="OUL38" s="292"/>
      <c r="OUM38" s="292"/>
      <c r="OUN38" s="292"/>
      <c r="OUO38" s="292"/>
      <c r="OUP38" s="292"/>
      <c r="OUQ38" s="292"/>
      <c r="OUR38" s="292"/>
      <c r="OUS38" s="292"/>
      <c r="OUT38" s="292"/>
      <c r="OUU38" s="292"/>
      <c r="OUV38" s="292"/>
      <c r="OUW38" s="292"/>
      <c r="OUX38" s="292"/>
      <c r="OUY38" s="292"/>
      <c r="OUZ38" s="292"/>
      <c r="OVA38" s="292"/>
      <c r="OVB38" s="292"/>
      <c r="OVC38" s="292"/>
      <c r="OVD38" s="292"/>
      <c r="OVE38" s="292"/>
      <c r="OVF38" s="292"/>
      <c r="OVG38" s="292"/>
      <c r="OVH38" s="292"/>
      <c r="OVI38" s="292"/>
      <c r="OVJ38" s="292"/>
      <c r="OVK38" s="292"/>
      <c r="OVL38" s="292"/>
      <c r="OVM38" s="292"/>
      <c r="OVN38" s="292"/>
      <c r="OVO38" s="292"/>
      <c r="OVP38" s="292"/>
      <c r="OVQ38" s="292"/>
      <c r="OVR38" s="292"/>
      <c r="OVS38" s="292"/>
      <c r="OVT38" s="292"/>
      <c r="OVU38" s="292"/>
      <c r="OVV38" s="292"/>
      <c r="OVW38" s="292"/>
      <c r="OVX38" s="292"/>
      <c r="OVY38" s="292"/>
      <c r="OVZ38" s="292"/>
      <c r="OWA38" s="292"/>
      <c r="OWB38" s="292"/>
      <c r="OWC38" s="292"/>
      <c r="OWD38" s="292"/>
      <c r="OWE38" s="292"/>
      <c r="OWF38" s="292"/>
      <c r="OWG38" s="292"/>
      <c r="OWH38" s="292"/>
      <c r="OWI38" s="292"/>
      <c r="OWJ38" s="292"/>
      <c r="OWK38" s="292"/>
      <c r="OWL38" s="292"/>
      <c r="OWM38" s="292"/>
      <c r="OWN38" s="292"/>
      <c r="OWO38" s="292"/>
      <c r="OWP38" s="292"/>
      <c r="OWQ38" s="292"/>
      <c r="OWR38" s="292"/>
      <c r="OWS38" s="292"/>
      <c r="OWT38" s="292"/>
      <c r="OWU38" s="292"/>
      <c r="OWV38" s="292"/>
      <c r="OWW38" s="292"/>
      <c r="OWX38" s="292"/>
      <c r="OWY38" s="292"/>
      <c r="OWZ38" s="292"/>
      <c r="OXA38" s="292"/>
      <c r="OXB38" s="292"/>
      <c r="OXC38" s="292"/>
      <c r="OXD38" s="292"/>
      <c r="OXE38" s="292"/>
      <c r="OXF38" s="292"/>
      <c r="OXG38" s="292"/>
      <c r="OXH38" s="292"/>
      <c r="OXI38" s="292"/>
      <c r="OXJ38" s="292"/>
      <c r="OXK38" s="292"/>
      <c r="OXL38" s="292"/>
      <c r="OXM38" s="292"/>
      <c r="OXN38" s="292"/>
      <c r="OXO38" s="292"/>
      <c r="OXP38" s="292"/>
      <c r="OXQ38" s="292"/>
      <c r="OXR38" s="292"/>
      <c r="OXS38" s="292"/>
      <c r="OXT38" s="292"/>
      <c r="OXU38" s="292"/>
      <c r="OXV38" s="292"/>
      <c r="OXW38" s="292"/>
      <c r="OXX38" s="292"/>
      <c r="OXY38" s="292"/>
      <c r="OXZ38" s="292"/>
      <c r="OYA38" s="292"/>
      <c r="OYB38" s="292"/>
      <c r="OYC38" s="292"/>
      <c r="OYD38" s="292"/>
      <c r="OYE38" s="292"/>
      <c r="OYF38" s="292"/>
      <c r="OYG38" s="292"/>
      <c r="OYH38" s="292"/>
      <c r="OYI38" s="292"/>
      <c r="OYJ38" s="292"/>
      <c r="OYK38" s="292"/>
      <c r="OYL38" s="292"/>
      <c r="OYM38" s="292"/>
      <c r="OYN38" s="292"/>
      <c r="OYO38" s="292"/>
      <c r="OYP38" s="292"/>
      <c r="OYQ38" s="292"/>
      <c r="OYR38" s="292"/>
      <c r="OYS38" s="292"/>
      <c r="OYT38" s="292"/>
      <c r="OYU38" s="292"/>
      <c r="OYV38" s="292"/>
      <c r="OYW38" s="292"/>
      <c r="OYX38" s="292"/>
      <c r="OYY38" s="292"/>
      <c r="OYZ38" s="292"/>
      <c r="OZA38" s="292"/>
      <c r="OZB38" s="292"/>
      <c r="OZC38" s="292"/>
      <c r="OZD38" s="292"/>
      <c r="OZE38" s="292"/>
      <c r="OZF38" s="292"/>
      <c r="OZG38" s="292"/>
      <c r="OZH38" s="292"/>
      <c r="OZI38" s="292"/>
      <c r="OZJ38" s="292"/>
      <c r="OZK38" s="292"/>
      <c r="OZL38" s="292"/>
      <c r="OZM38" s="292"/>
      <c r="OZN38" s="292"/>
      <c r="OZO38" s="292"/>
      <c r="OZP38" s="292"/>
      <c r="OZQ38" s="292"/>
      <c r="OZR38" s="292"/>
      <c r="OZS38" s="292"/>
      <c r="OZT38" s="292"/>
      <c r="OZU38" s="292"/>
      <c r="OZV38" s="292"/>
      <c r="OZW38" s="292"/>
      <c r="OZX38" s="292"/>
      <c r="OZY38" s="292"/>
      <c r="OZZ38" s="292"/>
      <c r="PAA38" s="292"/>
      <c r="PAB38" s="292"/>
      <c r="PAC38" s="292"/>
      <c r="PAD38" s="292"/>
      <c r="PAE38" s="292"/>
      <c r="PAF38" s="292"/>
      <c r="PAG38" s="292"/>
      <c r="PAH38" s="292"/>
      <c r="PAI38" s="292"/>
      <c r="PAJ38" s="292"/>
      <c r="PAK38" s="292"/>
      <c r="PAL38" s="292"/>
      <c r="PAM38" s="292"/>
      <c r="PAN38" s="292"/>
      <c r="PAO38" s="292"/>
      <c r="PAP38" s="292"/>
      <c r="PAQ38" s="292"/>
      <c r="PAR38" s="292"/>
      <c r="PAS38" s="292"/>
      <c r="PAT38" s="292"/>
      <c r="PAU38" s="292"/>
      <c r="PAV38" s="292"/>
      <c r="PAW38" s="292"/>
      <c r="PAX38" s="292"/>
      <c r="PAY38" s="292"/>
      <c r="PAZ38" s="292"/>
      <c r="PBA38" s="292"/>
      <c r="PBB38" s="292"/>
      <c r="PBC38" s="292"/>
      <c r="PBD38" s="292"/>
      <c r="PBE38" s="292"/>
      <c r="PBF38" s="292"/>
      <c r="PBG38" s="292"/>
      <c r="PBH38" s="292"/>
      <c r="PBI38" s="292"/>
      <c r="PBJ38" s="292"/>
      <c r="PBK38" s="292"/>
      <c r="PBL38" s="292"/>
      <c r="PBM38" s="292"/>
      <c r="PBN38" s="292"/>
      <c r="PBO38" s="292"/>
      <c r="PBP38" s="292"/>
      <c r="PBQ38" s="292"/>
      <c r="PBR38" s="292"/>
      <c r="PBS38" s="292"/>
      <c r="PBT38" s="292"/>
      <c r="PBU38" s="292"/>
      <c r="PBV38" s="292"/>
      <c r="PBW38" s="292"/>
      <c r="PBX38" s="292"/>
      <c r="PBY38" s="292"/>
      <c r="PBZ38" s="292"/>
      <c r="PCA38" s="292"/>
      <c r="PCB38" s="292"/>
      <c r="PCC38" s="292"/>
      <c r="PCD38" s="292"/>
      <c r="PCE38" s="292"/>
      <c r="PCF38" s="292"/>
      <c r="PCG38" s="292"/>
      <c r="PCH38" s="292"/>
      <c r="PCI38" s="292"/>
      <c r="PCJ38" s="292"/>
      <c r="PCK38" s="292"/>
      <c r="PCL38" s="292"/>
      <c r="PCM38" s="292"/>
      <c r="PCN38" s="292"/>
      <c r="PCO38" s="292"/>
      <c r="PCP38" s="292"/>
      <c r="PCQ38" s="292"/>
      <c r="PCR38" s="292"/>
      <c r="PCS38" s="292"/>
      <c r="PCT38" s="292"/>
      <c r="PCU38" s="292"/>
      <c r="PCV38" s="292"/>
      <c r="PCW38" s="292"/>
      <c r="PCX38" s="292"/>
      <c r="PCY38" s="292"/>
      <c r="PCZ38" s="292"/>
      <c r="PDA38" s="292"/>
      <c r="PDB38" s="292"/>
      <c r="PDC38" s="292"/>
      <c r="PDD38" s="292"/>
      <c r="PDE38" s="292"/>
      <c r="PDF38" s="292"/>
      <c r="PDG38" s="292"/>
      <c r="PDH38" s="292"/>
      <c r="PDI38" s="292"/>
      <c r="PDJ38" s="292"/>
      <c r="PDK38" s="292"/>
      <c r="PDL38" s="292"/>
      <c r="PDM38" s="292"/>
      <c r="PDN38" s="292"/>
      <c r="PDO38" s="292"/>
      <c r="PDP38" s="292"/>
      <c r="PDQ38" s="292"/>
      <c r="PDR38" s="292"/>
      <c r="PDS38" s="292"/>
      <c r="PDT38" s="292"/>
      <c r="PDU38" s="292"/>
      <c r="PDV38" s="292"/>
      <c r="PDW38" s="292"/>
      <c r="PDX38" s="292"/>
      <c r="PDY38" s="292"/>
      <c r="PDZ38" s="292"/>
      <c r="PEA38" s="292"/>
      <c r="PEB38" s="292"/>
      <c r="PEC38" s="292"/>
      <c r="PED38" s="292"/>
      <c r="PEE38" s="292"/>
      <c r="PEF38" s="292"/>
      <c r="PEG38" s="292"/>
      <c r="PEH38" s="292"/>
      <c r="PEI38" s="292"/>
      <c r="PEJ38" s="292"/>
      <c r="PEK38" s="292"/>
      <c r="PEL38" s="292"/>
      <c r="PEM38" s="292"/>
      <c r="PEN38" s="292"/>
      <c r="PEO38" s="292"/>
      <c r="PEP38" s="292"/>
      <c r="PEQ38" s="292"/>
      <c r="PER38" s="292"/>
      <c r="PES38" s="292"/>
      <c r="PET38" s="292"/>
      <c r="PEU38" s="292"/>
      <c r="PEV38" s="292"/>
      <c r="PEW38" s="292"/>
      <c r="PEX38" s="292"/>
      <c r="PEY38" s="292"/>
      <c r="PEZ38" s="292"/>
      <c r="PFA38" s="292"/>
      <c r="PFB38" s="292"/>
      <c r="PFC38" s="292"/>
      <c r="PFD38" s="292"/>
      <c r="PFE38" s="292"/>
      <c r="PFF38" s="292"/>
      <c r="PFG38" s="292"/>
      <c r="PFH38" s="292"/>
      <c r="PFI38" s="292"/>
      <c r="PFJ38" s="292"/>
      <c r="PFK38" s="292"/>
      <c r="PFL38" s="292"/>
      <c r="PFM38" s="292"/>
      <c r="PFN38" s="292"/>
      <c r="PFO38" s="292"/>
      <c r="PFP38" s="292"/>
      <c r="PFQ38" s="292"/>
      <c r="PFR38" s="292"/>
      <c r="PFS38" s="292"/>
      <c r="PFT38" s="292"/>
      <c r="PFU38" s="292"/>
      <c r="PFV38" s="292"/>
      <c r="PFW38" s="292"/>
      <c r="PFX38" s="292"/>
      <c r="PFY38" s="292"/>
      <c r="PFZ38" s="292"/>
      <c r="PGA38" s="292"/>
      <c r="PGB38" s="292"/>
      <c r="PGC38" s="292"/>
      <c r="PGD38" s="292"/>
      <c r="PGE38" s="292"/>
      <c r="PGF38" s="292"/>
      <c r="PGG38" s="292"/>
      <c r="PGH38" s="292"/>
      <c r="PGI38" s="292"/>
      <c r="PGJ38" s="292"/>
      <c r="PGK38" s="292"/>
      <c r="PGL38" s="292"/>
      <c r="PGM38" s="292"/>
      <c r="PGN38" s="292"/>
      <c r="PGO38" s="292"/>
      <c r="PGP38" s="292"/>
      <c r="PGQ38" s="292"/>
      <c r="PGR38" s="292"/>
      <c r="PGS38" s="292"/>
      <c r="PGT38" s="292"/>
      <c r="PGU38" s="292"/>
      <c r="PGV38" s="292"/>
      <c r="PGW38" s="292"/>
      <c r="PGX38" s="292"/>
      <c r="PGY38" s="292"/>
      <c r="PGZ38" s="292"/>
      <c r="PHA38" s="292"/>
      <c r="PHB38" s="292"/>
      <c r="PHC38" s="292"/>
      <c r="PHD38" s="292"/>
      <c r="PHE38" s="292"/>
      <c r="PHF38" s="292"/>
      <c r="PHG38" s="292"/>
      <c r="PHH38" s="292"/>
      <c r="PHI38" s="292"/>
      <c r="PHJ38" s="292"/>
      <c r="PHK38" s="292"/>
      <c r="PHL38" s="292"/>
      <c r="PHM38" s="292"/>
      <c r="PHN38" s="292"/>
      <c r="PHO38" s="292"/>
      <c r="PHP38" s="292"/>
      <c r="PHQ38" s="292"/>
      <c r="PHR38" s="292"/>
      <c r="PHS38" s="292"/>
      <c r="PHT38" s="292"/>
      <c r="PHU38" s="292"/>
      <c r="PHV38" s="292"/>
      <c r="PHW38" s="292"/>
      <c r="PHX38" s="292"/>
      <c r="PHY38" s="292"/>
      <c r="PHZ38" s="292"/>
      <c r="PIA38" s="292"/>
      <c r="PIB38" s="292"/>
      <c r="PIC38" s="292"/>
      <c r="PID38" s="292"/>
      <c r="PIE38" s="292"/>
      <c r="PIF38" s="292"/>
      <c r="PIG38" s="292"/>
      <c r="PIH38" s="292"/>
      <c r="PII38" s="292"/>
      <c r="PIJ38" s="292"/>
      <c r="PIK38" s="292"/>
      <c r="PIL38" s="292"/>
      <c r="PIM38" s="292"/>
      <c r="PIN38" s="292"/>
      <c r="PIO38" s="292"/>
      <c r="PIP38" s="292"/>
      <c r="PIQ38" s="292"/>
      <c r="PIR38" s="292"/>
      <c r="PIS38" s="292"/>
      <c r="PIT38" s="292"/>
      <c r="PIU38" s="292"/>
      <c r="PIV38" s="292"/>
      <c r="PIW38" s="292"/>
      <c r="PIX38" s="292"/>
      <c r="PIY38" s="292"/>
      <c r="PIZ38" s="292"/>
      <c r="PJA38" s="292"/>
      <c r="PJB38" s="292"/>
      <c r="PJC38" s="292"/>
      <c r="PJD38" s="292"/>
      <c r="PJE38" s="292"/>
      <c r="PJF38" s="292"/>
      <c r="PJG38" s="292"/>
      <c r="PJH38" s="292"/>
      <c r="PJI38" s="292"/>
      <c r="PJJ38" s="292"/>
      <c r="PJK38" s="292"/>
      <c r="PJL38" s="292"/>
      <c r="PJM38" s="292"/>
      <c r="PJN38" s="292"/>
      <c r="PJO38" s="292"/>
      <c r="PJP38" s="292"/>
      <c r="PJQ38" s="292"/>
      <c r="PJR38" s="292"/>
      <c r="PJS38" s="292"/>
      <c r="PJT38" s="292"/>
      <c r="PJU38" s="292"/>
      <c r="PJV38" s="292"/>
      <c r="PJW38" s="292"/>
      <c r="PJX38" s="292"/>
      <c r="PJY38" s="292"/>
      <c r="PJZ38" s="292"/>
      <c r="PKA38" s="292"/>
      <c r="PKB38" s="292"/>
      <c r="PKC38" s="292"/>
      <c r="PKD38" s="292"/>
      <c r="PKE38" s="292"/>
      <c r="PKF38" s="292"/>
      <c r="PKG38" s="292"/>
      <c r="PKH38" s="292"/>
      <c r="PKI38" s="292"/>
      <c r="PKJ38" s="292"/>
      <c r="PKK38" s="292"/>
      <c r="PKL38" s="292"/>
      <c r="PKM38" s="292"/>
      <c r="PKN38" s="292"/>
      <c r="PKO38" s="292"/>
      <c r="PKP38" s="292"/>
      <c r="PKQ38" s="292"/>
      <c r="PKR38" s="292"/>
      <c r="PKS38" s="292"/>
      <c r="PKT38" s="292"/>
      <c r="PKU38" s="292"/>
      <c r="PKV38" s="292"/>
      <c r="PKW38" s="292"/>
      <c r="PKX38" s="292"/>
      <c r="PKY38" s="292"/>
      <c r="PKZ38" s="292"/>
      <c r="PLA38" s="292"/>
      <c r="PLB38" s="292"/>
      <c r="PLC38" s="292"/>
      <c r="PLD38" s="292"/>
      <c r="PLE38" s="292"/>
      <c r="PLF38" s="292"/>
      <c r="PLG38" s="292"/>
      <c r="PLH38" s="292"/>
      <c r="PLI38" s="292"/>
      <c r="PLJ38" s="292"/>
      <c r="PLK38" s="292"/>
      <c r="PLL38" s="292"/>
      <c r="PLM38" s="292"/>
      <c r="PLN38" s="292"/>
      <c r="PLO38" s="292"/>
      <c r="PLP38" s="292"/>
      <c r="PLQ38" s="292"/>
      <c r="PLR38" s="292"/>
      <c r="PLS38" s="292"/>
      <c r="PLT38" s="292"/>
      <c r="PLU38" s="292"/>
      <c r="PLV38" s="292"/>
      <c r="PLW38" s="292"/>
      <c r="PLX38" s="292"/>
      <c r="PLY38" s="292"/>
      <c r="PLZ38" s="292"/>
      <c r="PMA38" s="292"/>
      <c r="PMB38" s="292"/>
      <c r="PMC38" s="292"/>
      <c r="PMD38" s="292"/>
      <c r="PME38" s="292"/>
      <c r="PMF38" s="292"/>
      <c r="PMG38" s="292"/>
      <c r="PMH38" s="292"/>
      <c r="PMI38" s="292"/>
      <c r="PMJ38" s="292"/>
      <c r="PMK38" s="292"/>
      <c r="PML38" s="292"/>
      <c r="PMM38" s="292"/>
      <c r="PMN38" s="292"/>
      <c r="PMO38" s="292"/>
      <c r="PMP38" s="292"/>
      <c r="PMQ38" s="292"/>
      <c r="PMR38" s="292"/>
      <c r="PMS38" s="292"/>
      <c r="PMT38" s="292"/>
      <c r="PMU38" s="292"/>
      <c r="PMV38" s="292"/>
      <c r="PMW38" s="292"/>
      <c r="PMX38" s="292"/>
      <c r="PMY38" s="292"/>
      <c r="PMZ38" s="292"/>
      <c r="PNA38" s="292"/>
      <c r="PNB38" s="292"/>
      <c r="PNC38" s="292"/>
      <c r="PND38" s="292"/>
      <c r="PNE38" s="292"/>
      <c r="PNF38" s="292"/>
      <c r="PNG38" s="292"/>
      <c r="PNH38" s="292"/>
      <c r="PNI38" s="292"/>
      <c r="PNJ38" s="292"/>
      <c r="PNK38" s="292"/>
      <c r="PNL38" s="292"/>
      <c r="PNM38" s="292"/>
      <c r="PNN38" s="292"/>
      <c r="PNO38" s="292"/>
      <c r="PNP38" s="292"/>
      <c r="PNQ38" s="292"/>
      <c r="PNR38" s="292"/>
      <c r="PNS38" s="292"/>
      <c r="PNT38" s="292"/>
      <c r="PNU38" s="292"/>
      <c r="PNV38" s="292"/>
      <c r="PNW38" s="292"/>
      <c r="PNX38" s="292"/>
      <c r="PNY38" s="292"/>
      <c r="PNZ38" s="292"/>
      <c r="POA38" s="292"/>
      <c r="POB38" s="292"/>
      <c r="POC38" s="292"/>
      <c r="POD38" s="292"/>
      <c r="POE38" s="292"/>
      <c r="POF38" s="292"/>
      <c r="POG38" s="292"/>
      <c r="POH38" s="292"/>
      <c r="POI38" s="292"/>
      <c r="POJ38" s="292"/>
      <c r="POK38" s="292"/>
      <c r="POL38" s="292"/>
      <c r="POM38" s="292"/>
      <c r="PON38" s="292"/>
      <c r="POO38" s="292"/>
      <c r="POP38" s="292"/>
      <c r="POQ38" s="292"/>
      <c r="POR38" s="292"/>
      <c r="POS38" s="292"/>
      <c r="POT38" s="292"/>
      <c r="POU38" s="292"/>
      <c r="POV38" s="292"/>
      <c r="POW38" s="292"/>
      <c r="POX38" s="292"/>
      <c r="POY38" s="292"/>
      <c r="POZ38" s="292"/>
      <c r="PPA38" s="292"/>
      <c r="PPB38" s="292"/>
      <c r="PPC38" s="292"/>
      <c r="PPD38" s="292"/>
      <c r="PPE38" s="292"/>
      <c r="PPF38" s="292"/>
      <c r="PPG38" s="292"/>
      <c r="PPH38" s="292"/>
      <c r="PPI38" s="292"/>
      <c r="PPJ38" s="292"/>
      <c r="PPK38" s="292"/>
      <c r="PPL38" s="292"/>
      <c r="PPM38" s="292"/>
      <c r="PPN38" s="292"/>
      <c r="PPO38" s="292"/>
      <c r="PPP38" s="292"/>
      <c r="PPQ38" s="292"/>
      <c r="PPR38" s="292"/>
      <c r="PPS38" s="292"/>
      <c r="PPT38" s="292"/>
      <c r="PPU38" s="292"/>
      <c r="PPV38" s="292"/>
      <c r="PPW38" s="292"/>
      <c r="PPX38" s="292"/>
      <c r="PPY38" s="292"/>
      <c r="PPZ38" s="292"/>
      <c r="PQA38" s="292"/>
      <c r="PQB38" s="292"/>
      <c r="PQC38" s="292"/>
      <c r="PQD38" s="292"/>
      <c r="PQE38" s="292"/>
      <c r="PQF38" s="292"/>
      <c r="PQG38" s="292"/>
      <c r="PQH38" s="292"/>
      <c r="PQI38" s="292"/>
      <c r="PQJ38" s="292"/>
      <c r="PQK38" s="292"/>
      <c r="PQL38" s="292"/>
      <c r="PQM38" s="292"/>
      <c r="PQN38" s="292"/>
      <c r="PQO38" s="292"/>
      <c r="PQP38" s="292"/>
      <c r="PQQ38" s="292"/>
      <c r="PQR38" s="292"/>
      <c r="PQS38" s="292"/>
      <c r="PQT38" s="292"/>
      <c r="PQU38" s="292"/>
      <c r="PQV38" s="292"/>
      <c r="PQW38" s="292"/>
      <c r="PQX38" s="292"/>
      <c r="PQY38" s="292"/>
      <c r="PQZ38" s="292"/>
      <c r="PRA38" s="292"/>
      <c r="PRB38" s="292"/>
      <c r="PRC38" s="292"/>
      <c r="PRD38" s="292"/>
      <c r="PRE38" s="292"/>
      <c r="PRF38" s="292"/>
      <c r="PRG38" s="292"/>
      <c r="PRH38" s="292"/>
      <c r="PRI38" s="292"/>
      <c r="PRJ38" s="292"/>
      <c r="PRK38" s="292"/>
      <c r="PRL38" s="292"/>
      <c r="PRM38" s="292"/>
      <c r="PRN38" s="292"/>
      <c r="PRO38" s="292"/>
      <c r="PRP38" s="292"/>
      <c r="PRQ38" s="292"/>
      <c r="PRR38" s="292"/>
      <c r="PRS38" s="292"/>
      <c r="PRT38" s="292"/>
      <c r="PRU38" s="292"/>
      <c r="PRV38" s="292"/>
      <c r="PRW38" s="292"/>
      <c r="PRX38" s="292"/>
      <c r="PRY38" s="292"/>
      <c r="PRZ38" s="292"/>
      <c r="PSA38" s="292"/>
      <c r="PSB38" s="292"/>
      <c r="PSC38" s="292"/>
      <c r="PSD38" s="292"/>
      <c r="PSE38" s="292"/>
      <c r="PSF38" s="292"/>
      <c r="PSG38" s="292"/>
      <c r="PSH38" s="292"/>
      <c r="PSI38" s="292"/>
      <c r="PSJ38" s="292"/>
      <c r="PSK38" s="292"/>
      <c r="PSL38" s="292"/>
      <c r="PSM38" s="292"/>
      <c r="PSN38" s="292"/>
      <c r="PSO38" s="292"/>
      <c r="PSP38" s="292"/>
      <c r="PSQ38" s="292"/>
      <c r="PSR38" s="292"/>
      <c r="PSS38" s="292"/>
      <c r="PST38" s="292"/>
      <c r="PSU38" s="292"/>
      <c r="PSV38" s="292"/>
      <c r="PSW38" s="292"/>
      <c r="PSX38" s="292"/>
      <c r="PSY38" s="292"/>
      <c r="PSZ38" s="292"/>
      <c r="PTA38" s="292"/>
      <c r="PTB38" s="292"/>
      <c r="PTC38" s="292"/>
      <c r="PTD38" s="292"/>
      <c r="PTE38" s="292"/>
      <c r="PTF38" s="292"/>
      <c r="PTG38" s="292"/>
      <c r="PTH38" s="292"/>
      <c r="PTI38" s="292"/>
      <c r="PTJ38" s="292"/>
      <c r="PTK38" s="292"/>
      <c r="PTL38" s="292"/>
      <c r="PTM38" s="292"/>
      <c r="PTN38" s="292"/>
      <c r="PTO38" s="292"/>
      <c r="PTP38" s="292"/>
      <c r="PTQ38" s="292"/>
      <c r="PTR38" s="292"/>
      <c r="PTS38" s="292"/>
      <c r="PTT38" s="292"/>
      <c r="PTU38" s="292"/>
      <c r="PTV38" s="292"/>
      <c r="PTW38" s="292"/>
      <c r="PTX38" s="292"/>
      <c r="PTY38" s="292"/>
      <c r="PTZ38" s="292"/>
      <c r="PUA38" s="292"/>
      <c r="PUB38" s="292"/>
      <c r="PUC38" s="292"/>
      <c r="PUD38" s="292"/>
      <c r="PUE38" s="292"/>
      <c r="PUF38" s="292"/>
      <c r="PUG38" s="292"/>
      <c r="PUH38" s="292"/>
      <c r="PUI38" s="292"/>
      <c r="PUJ38" s="292"/>
      <c r="PUK38" s="292"/>
      <c r="PUL38" s="292"/>
      <c r="PUM38" s="292"/>
      <c r="PUN38" s="292"/>
      <c r="PUO38" s="292"/>
      <c r="PUP38" s="292"/>
      <c r="PUQ38" s="292"/>
      <c r="PUR38" s="292"/>
      <c r="PUS38" s="292"/>
      <c r="PUT38" s="292"/>
      <c r="PUU38" s="292"/>
      <c r="PUV38" s="292"/>
      <c r="PUW38" s="292"/>
      <c r="PUX38" s="292"/>
      <c r="PUY38" s="292"/>
      <c r="PUZ38" s="292"/>
      <c r="PVA38" s="292"/>
      <c r="PVB38" s="292"/>
      <c r="PVC38" s="292"/>
      <c r="PVD38" s="292"/>
      <c r="PVE38" s="292"/>
      <c r="PVF38" s="292"/>
      <c r="PVG38" s="292"/>
      <c r="PVH38" s="292"/>
      <c r="PVI38" s="292"/>
      <c r="PVJ38" s="292"/>
      <c r="PVK38" s="292"/>
      <c r="PVL38" s="292"/>
      <c r="PVM38" s="292"/>
      <c r="PVN38" s="292"/>
      <c r="PVO38" s="292"/>
      <c r="PVP38" s="292"/>
      <c r="PVQ38" s="292"/>
      <c r="PVR38" s="292"/>
      <c r="PVS38" s="292"/>
      <c r="PVT38" s="292"/>
      <c r="PVU38" s="292"/>
      <c r="PVV38" s="292"/>
      <c r="PVW38" s="292"/>
      <c r="PVX38" s="292"/>
      <c r="PVY38" s="292"/>
      <c r="PVZ38" s="292"/>
      <c r="PWA38" s="292"/>
      <c r="PWB38" s="292"/>
      <c r="PWC38" s="292"/>
      <c r="PWD38" s="292"/>
      <c r="PWE38" s="292"/>
      <c r="PWF38" s="292"/>
      <c r="PWG38" s="292"/>
      <c r="PWH38" s="292"/>
      <c r="PWI38" s="292"/>
      <c r="PWJ38" s="292"/>
      <c r="PWK38" s="292"/>
      <c r="PWL38" s="292"/>
      <c r="PWM38" s="292"/>
      <c r="PWN38" s="292"/>
      <c r="PWO38" s="292"/>
      <c r="PWP38" s="292"/>
      <c r="PWQ38" s="292"/>
      <c r="PWR38" s="292"/>
      <c r="PWS38" s="292"/>
      <c r="PWT38" s="292"/>
      <c r="PWU38" s="292"/>
      <c r="PWV38" s="292"/>
      <c r="PWW38" s="292"/>
      <c r="PWX38" s="292"/>
      <c r="PWY38" s="292"/>
      <c r="PWZ38" s="292"/>
      <c r="PXA38" s="292"/>
      <c r="PXB38" s="292"/>
      <c r="PXC38" s="292"/>
      <c r="PXD38" s="292"/>
      <c r="PXE38" s="292"/>
      <c r="PXF38" s="292"/>
      <c r="PXG38" s="292"/>
      <c r="PXH38" s="292"/>
      <c r="PXI38" s="292"/>
      <c r="PXJ38" s="292"/>
      <c r="PXK38" s="292"/>
      <c r="PXL38" s="292"/>
      <c r="PXM38" s="292"/>
      <c r="PXN38" s="292"/>
      <c r="PXO38" s="292"/>
      <c r="PXP38" s="292"/>
      <c r="PXQ38" s="292"/>
      <c r="PXR38" s="292"/>
      <c r="PXS38" s="292"/>
      <c r="PXT38" s="292"/>
      <c r="PXU38" s="292"/>
      <c r="PXV38" s="292"/>
      <c r="PXW38" s="292"/>
      <c r="PXX38" s="292"/>
      <c r="PXY38" s="292"/>
      <c r="PXZ38" s="292"/>
      <c r="PYA38" s="292"/>
      <c r="PYB38" s="292"/>
      <c r="PYC38" s="292"/>
      <c r="PYD38" s="292"/>
      <c r="PYE38" s="292"/>
      <c r="PYF38" s="292"/>
      <c r="PYG38" s="292"/>
      <c r="PYH38" s="292"/>
      <c r="PYI38" s="292"/>
      <c r="PYJ38" s="292"/>
      <c r="PYK38" s="292"/>
      <c r="PYL38" s="292"/>
      <c r="PYM38" s="292"/>
      <c r="PYN38" s="292"/>
      <c r="PYO38" s="292"/>
      <c r="PYP38" s="292"/>
      <c r="PYQ38" s="292"/>
      <c r="PYR38" s="292"/>
      <c r="PYS38" s="292"/>
      <c r="PYT38" s="292"/>
      <c r="PYU38" s="292"/>
      <c r="PYV38" s="292"/>
      <c r="PYW38" s="292"/>
      <c r="PYX38" s="292"/>
      <c r="PYY38" s="292"/>
      <c r="PYZ38" s="292"/>
      <c r="PZA38" s="292"/>
      <c r="PZB38" s="292"/>
      <c r="PZC38" s="292"/>
      <c r="PZD38" s="292"/>
      <c r="PZE38" s="292"/>
      <c r="PZF38" s="292"/>
      <c r="PZG38" s="292"/>
      <c r="PZH38" s="292"/>
      <c r="PZI38" s="292"/>
      <c r="PZJ38" s="292"/>
      <c r="PZK38" s="292"/>
      <c r="PZL38" s="292"/>
      <c r="PZM38" s="292"/>
      <c r="PZN38" s="292"/>
      <c r="PZO38" s="292"/>
      <c r="PZP38" s="292"/>
      <c r="PZQ38" s="292"/>
      <c r="PZR38" s="292"/>
      <c r="PZS38" s="292"/>
      <c r="PZT38" s="292"/>
      <c r="PZU38" s="292"/>
      <c r="PZV38" s="292"/>
      <c r="PZW38" s="292"/>
      <c r="PZX38" s="292"/>
      <c r="PZY38" s="292"/>
      <c r="PZZ38" s="292"/>
      <c r="QAA38" s="292"/>
      <c r="QAB38" s="292"/>
      <c r="QAC38" s="292"/>
      <c r="QAD38" s="292"/>
      <c r="QAE38" s="292"/>
      <c r="QAF38" s="292"/>
      <c r="QAG38" s="292"/>
      <c r="QAH38" s="292"/>
      <c r="QAI38" s="292"/>
      <c r="QAJ38" s="292"/>
      <c r="QAK38" s="292"/>
      <c r="QAL38" s="292"/>
      <c r="QAM38" s="292"/>
      <c r="QAN38" s="292"/>
      <c r="QAO38" s="292"/>
      <c r="QAP38" s="292"/>
      <c r="QAQ38" s="292"/>
      <c r="QAR38" s="292"/>
      <c r="QAS38" s="292"/>
      <c r="QAT38" s="292"/>
      <c r="QAU38" s="292"/>
      <c r="QAV38" s="292"/>
      <c r="QAW38" s="292"/>
      <c r="QAX38" s="292"/>
      <c r="QAY38" s="292"/>
      <c r="QAZ38" s="292"/>
      <c r="QBA38" s="292"/>
      <c r="QBB38" s="292"/>
      <c r="QBC38" s="292"/>
      <c r="QBD38" s="292"/>
      <c r="QBE38" s="292"/>
      <c r="QBF38" s="292"/>
      <c r="QBG38" s="292"/>
      <c r="QBH38" s="292"/>
      <c r="QBI38" s="292"/>
      <c r="QBJ38" s="292"/>
      <c r="QBK38" s="292"/>
      <c r="QBL38" s="292"/>
      <c r="QBM38" s="292"/>
      <c r="QBN38" s="292"/>
      <c r="QBO38" s="292"/>
      <c r="QBP38" s="292"/>
      <c r="QBQ38" s="292"/>
      <c r="QBR38" s="292"/>
      <c r="QBS38" s="292"/>
      <c r="QBT38" s="292"/>
      <c r="QBU38" s="292"/>
      <c r="QBV38" s="292"/>
      <c r="QBW38" s="292"/>
      <c r="QBX38" s="292"/>
      <c r="QBY38" s="292"/>
      <c r="QBZ38" s="292"/>
      <c r="QCA38" s="292"/>
      <c r="QCB38" s="292"/>
      <c r="QCC38" s="292"/>
      <c r="QCD38" s="292"/>
      <c r="QCE38" s="292"/>
      <c r="QCF38" s="292"/>
      <c r="QCG38" s="292"/>
      <c r="QCH38" s="292"/>
      <c r="QCI38" s="292"/>
      <c r="QCJ38" s="292"/>
      <c r="QCK38" s="292"/>
      <c r="QCL38" s="292"/>
      <c r="QCM38" s="292"/>
      <c r="QCN38" s="292"/>
      <c r="QCO38" s="292"/>
      <c r="QCP38" s="292"/>
      <c r="QCQ38" s="292"/>
      <c r="QCR38" s="292"/>
      <c r="QCS38" s="292"/>
      <c r="QCT38" s="292"/>
      <c r="QCU38" s="292"/>
      <c r="QCV38" s="292"/>
      <c r="QCW38" s="292"/>
      <c r="QCX38" s="292"/>
      <c r="QCY38" s="292"/>
      <c r="QCZ38" s="292"/>
      <c r="QDA38" s="292"/>
      <c r="QDB38" s="292"/>
      <c r="QDC38" s="292"/>
      <c r="QDD38" s="292"/>
      <c r="QDE38" s="292"/>
      <c r="QDF38" s="292"/>
      <c r="QDG38" s="292"/>
      <c r="QDH38" s="292"/>
      <c r="QDI38" s="292"/>
      <c r="QDJ38" s="292"/>
      <c r="QDK38" s="292"/>
      <c r="QDL38" s="292"/>
      <c r="QDM38" s="292"/>
      <c r="QDN38" s="292"/>
      <c r="QDO38" s="292"/>
      <c r="QDP38" s="292"/>
      <c r="QDQ38" s="292"/>
      <c r="QDR38" s="292"/>
      <c r="QDS38" s="292"/>
      <c r="QDT38" s="292"/>
      <c r="QDU38" s="292"/>
      <c r="QDV38" s="292"/>
      <c r="QDW38" s="292"/>
      <c r="QDX38" s="292"/>
      <c r="QDY38" s="292"/>
      <c r="QDZ38" s="292"/>
      <c r="QEA38" s="292"/>
      <c r="QEB38" s="292"/>
      <c r="QEC38" s="292"/>
      <c r="QED38" s="292"/>
      <c r="QEE38" s="292"/>
      <c r="QEF38" s="292"/>
      <c r="QEG38" s="292"/>
      <c r="QEH38" s="292"/>
      <c r="QEI38" s="292"/>
      <c r="QEJ38" s="292"/>
      <c r="QEK38" s="292"/>
      <c r="QEL38" s="292"/>
      <c r="QEM38" s="292"/>
      <c r="QEN38" s="292"/>
      <c r="QEO38" s="292"/>
      <c r="QEP38" s="292"/>
      <c r="QEQ38" s="292"/>
      <c r="QER38" s="292"/>
      <c r="QES38" s="292"/>
      <c r="QET38" s="292"/>
      <c r="QEU38" s="292"/>
      <c r="QEV38" s="292"/>
      <c r="QEW38" s="292"/>
      <c r="QEX38" s="292"/>
      <c r="QEY38" s="292"/>
      <c r="QEZ38" s="292"/>
      <c r="QFA38" s="292"/>
      <c r="QFB38" s="292"/>
      <c r="QFC38" s="292"/>
      <c r="QFD38" s="292"/>
      <c r="QFE38" s="292"/>
      <c r="QFF38" s="292"/>
      <c r="QFG38" s="292"/>
      <c r="QFH38" s="292"/>
      <c r="QFI38" s="292"/>
      <c r="QFJ38" s="292"/>
      <c r="QFK38" s="292"/>
      <c r="QFL38" s="292"/>
      <c r="QFM38" s="292"/>
      <c r="QFN38" s="292"/>
      <c r="QFO38" s="292"/>
      <c r="QFP38" s="292"/>
      <c r="QFQ38" s="292"/>
      <c r="QFR38" s="292"/>
      <c r="QFS38" s="292"/>
      <c r="QFT38" s="292"/>
      <c r="QFU38" s="292"/>
      <c r="QFV38" s="292"/>
      <c r="QFW38" s="292"/>
      <c r="QFX38" s="292"/>
      <c r="QFY38" s="292"/>
      <c r="QFZ38" s="292"/>
      <c r="QGA38" s="292"/>
      <c r="QGB38" s="292"/>
      <c r="QGC38" s="292"/>
      <c r="QGD38" s="292"/>
      <c r="QGE38" s="292"/>
      <c r="QGF38" s="292"/>
      <c r="QGG38" s="292"/>
      <c r="QGH38" s="292"/>
      <c r="QGI38" s="292"/>
      <c r="QGJ38" s="292"/>
      <c r="QGK38" s="292"/>
      <c r="QGL38" s="292"/>
      <c r="QGM38" s="292"/>
      <c r="QGN38" s="292"/>
      <c r="QGO38" s="292"/>
      <c r="QGP38" s="292"/>
      <c r="QGQ38" s="292"/>
      <c r="QGR38" s="292"/>
      <c r="QGS38" s="292"/>
      <c r="QGT38" s="292"/>
      <c r="QGU38" s="292"/>
      <c r="QGV38" s="292"/>
      <c r="QGW38" s="292"/>
      <c r="QGX38" s="292"/>
      <c r="QGY38" s="292"/>
      <c r="QGZ38" s="292"/>
      <c r="QHA38" s="292"/>
      <c r="QHB38" s="292"/>
      <c r="QHC38" s="292"/>
      <c r="QHD38" s="292"/>
      <c r="QHE38" s="292"/>
      <c r="QHF38" s="292"/>
      <c r="QHG38" s="292"/>
      <c r="QHH38" s="292"/>
      <c r="QHI38" s="292"/>
      <c r="QHJ38" s="292"/>
      <c r="QHK38" s="292"/>
      <c r="QHL38" s="292"/>
      <c r="QHM38" s="292"/>
      <c r="QHN38" s="292"/>
      <c r="QHO38" s="292"/>
      <c r="QHP38" s="292"/>
      <c r="QHQ38" s="292"/>
      <c r="QHR38" s="292"/>
      <c r="QHS38" s="292"/>
      <c r="QHT38" s="292"/>
      <c r="QHU38" s="292"/>
      <c r="QHV38" s="292"/>
      <c r="QHW38" s="292"/>
      <c r="QHX38" s="292"/>
      <c r="QHY38" s="292"/>
      <c r="QHZ38" s="292"/>
      <c r="QIA38" s="292"/>
      <c r="QIB38" s="292"/>
      <c r="QIC38" s="292"/>
      <c r="QID38" s="292"/>
      <c r="QIE38" s="292"/>
      <c r="QIF38" s="292"/>
      <c r="QIG38" s="292"/>
      <c r="QIH38" s="292"/>
      <c r="QII38" s="292"/>
      <c r="QIJ38" s="292"/>
      <c r="QIK38" s="292"/>
      <c r="QIL38" s="292"/>
      <c r="QIM38" s="292"/>
      <c r="QIN38" s="292"/>
      <c r="QIO38" s="292"/>
      <c r="QIP38" s="292"/>
      <c r="QIQ38" s="292"/>
      <c r="QIR38" s="292"/>
      <c r="QIS38" s="292"/>
      <c r="QIT38" s="292"/>
      <c r="QIU38" s="292"/>
      <c r="QIV38" s="292"/>
      <c r="QIW38" s="292"/>
      <c r="QIX38" s="292"/>
      <c r="QIY38" s="292"/>
      <c r="QIZ38" s="292"/>
      <c r="QJA38" s="292"/>
      <c r="QJB38" s="292"/>
      <c r="QJC38" s="292"/>
      <c r="QJD38" s="292"/>
      <c r="QJE38" s="292"/>
      <c r="QJF38" s="292"/>
      <c r="QJG38" s="292"/>
      <c r="QJH38" s="292"/>
      <c r="QJI38" s="292"/>
      <c r="QJJ38" s="292"/>
      <c r="QJK38" s="292"/>
      <c r="QJL38" s="292"/>
      <c r="QJM38" s="292"/>
      <c r="QJN38" s="292"/>
      <c r="QJO38" s="292"/>
      <c r="QJP38" s="292"/>
      <c r="QJQ38" s="292"/>
      <c r="QJR38" s="292"/>
      <c r="QJS38" s="292"/>
      <c r="QJT38" s="292"/>
      <c r="QJU38" s="292"/>
      <c r="QJV38" s="292"/>
      <c r="QJW38" s="292"/>
      <c r="QJX38" s="292"/>
      <c r="QJY38" s="292"/>
      <c r="QJZ38" s="292"/>
      <c r="QKA38" s="292"/>
      <c r="QKB38" s="292"/>
      <c r="QKC38" s="292"/>
      <c r="QKD38" s="292"/>
      <c r="QKE38" s="292"/>
      <c r="QKF38" s="292"/>
      <c r="QKG38" s="292"/>
      <c r="QKH38" s="292"/>
      <c r="QKI38" s="292"/>
      <c r="QKJ38" s="292"/>
      <c r="QKK38" s="292"/>
      <c r="QKL38" s="292"/>
      <c r="QKM38" s="292"/>
      <c r="QKN38" s="292"/>
      <c r="QKO38" s="292"/>
      <c r="QKP38" s="292"/>
      <c r="QKQ38" s="292"/>
      <c r="QKR38" s="292"/>
      <c r="QKS38" s="292"/>
      <c r="QKT38" s="292"/>
      <c r="QKU38" s="292"/>
      <c r="QKV38" s="292"/>
      <c r="QKW38" s="292"/>
      <c r="QKX38" s="292"/>
      <c r="QKY38" s="292"/>
      <c r="QKZ38" s="292"/>
      <c r="QLA38" s="292"/>
      <c r="QLB38" s="292"/>
      <c r="QLC38" s="292"/>
      <c r="QLD38" s="292"/>
      <c r="QLE38" s="292"/>
      <c r="QLF38" s="292"/>
      <c r="QLG38" s="292"/>
      <c r="QLH38" s="292"/>
      <c r="QLI38" s="292"/>
      <c r="QLJ38" s="292"/>
      <c r="QLK38" s="292"/>
      <c r="QLL38" s="292"/>
      <c r="QLM38" s="292"/>
      <c r="QLN38" s="292"/>
      <c r="QLO38" s="292"/>
      <c r="QLP38" s="292"/>
      <c r="QLQ38" s="292"/>
      <c r="QLR38" s="292"/>
      <c r="QLS38" s="292"/>
      <c r="QLT38" s="292"/>
      <c r="QLU38" s="292"/>
      <c r="QLV38" s="292"/>
      <c r="QLW38" s="292"/>
      <c r="QLX38" s="292"/>
      <c r="QLY38" s="292"/>
      <c r="QLZ38" s="292"/>
      <c r="QMA38" s="292"/>
      <c r="QMB38" s="292"/>
      <c r="QMC38" s="292"/>
      <c r="QMD38" s="292"/>
      <c r="QME38" s="292"/>
      <c r="QMF38" s="292"/>
      <c r="QMG38" s="292"/>
      <c r="QMH38" s="292"/>
      <c r="QMI38" s="292"/>
      <c r="QMJ38" s="292"/>
      <c r="QMK38" s="292"/>
      <c r="QML38" s="292"/>
      <c r="QMM38" s="292"/>
      <c r="QMN38" s="292"/>
      <c r="QMO38" s="292"/>
      <c r="QMP38" s="292"/>
      <c r="QMQ38" s="292"/>
      <c r="QMR38" s="292"/>
      <c r="QMS38" s="292"/>
      <c r="QMT38" s="292"/>
      <c r="QMU38" s="292"/>
      <c r="QMV38" s="292"/>
      <c r="QMW38" s="292"/>
      <c r="QMX38" s="292"/>
      <c r="QMY38" s="292"/>
      <c r="QMZ38" s="292"/>
      <c r="QNA38" s="292"/>
      <c r="QNB38" s="292"/>
      <c r="QNC38" s="292"/>
      <c r="QND38" s="292"/>
      <c r="QNE38" s="292"/>
      <c r="QNF38" s="292"/>
      <c r="QNG38" s="292"/>
      <c r="QNH38" s="292"/>
      <c r="QNI38" s="292"/>
      <c r="QNJ38" s="292"/>
      <c r="QNK38" s="292"/>
      <c r="QNL38" s="292"/>
      <c r="QNM38" s="292"/>
      <c r="QNN38" s="292"/>
      <c r="QNO38" s="292"/>
      <c r="QNP38" s="292"/>
      <c r="QNQ38" s="292"/>
      <c r="QNR38" s="292"/>
      <c r="QNS38" s="292"/>
      <c r="QNT38" s="292"/>
      <c r="QNU38" s="292"/>
      <c r="QNV38" s="292"/>
      <c r="QNW38" s="292"/>
      <c r="QNX38" s="292"/>
      <c r="QNY38" s="292"/>
      <c r="QNZ38" s="292"/>
      <c r="QOA38" s="292"/>
      <c r="QOB38" s="292"/>
      <c r="QOC38" s="292"/>
      <c r="QOD38" s="292"/>
      <c r="QOE38" s="292"/>
      <c r="QOF38" s="292"/>
      <c r="QOG38" s="292"/>
      <c r="QOH38" s="292"/>
      <c r="QOI38" s="292"/>
      <c r="QOJ38" s="292"/>
      <c r="QOK38" s="292"/>
      <c r="QOL38" s="292"/>
      <c r="QOM38" s="292"/>
      <c r="QON38" s="292"/>
      <c r="QOO38" s="292"/>
      <c r="QOP38" s="292"/>
      <c r="QOQ38" s="292"/>
      <c r="QOR38" s="292"/>
      <c r="QOS38" s="292"/>
      <c r="QOT38" s="292"/>
      <c r="QOU38" s="292"/>
      <c r="QOV38" s="292"/>
      <c r="QOW38" s="292"/>
      <c r="QOX38" s="292"/>
      <c r="QOY38" s="292"/>
      <c r="QOZ38" s="292"/>
      <c r="QPA38" s="292"/>
      <c r="QPB38" s="292"/>
      <c r="QPC38" s="292"/>
      <c r="QPD38" s="292"/>
      <c r="QPE38" s="292"/>
      <c r="QPF38" s="292"/>
      <c r="QPG38" s="292"/>
      <c r="QPH38" s="292"/>
      <c r="QPI38" s="292"/>
      <c r="QPJ38" s="292"/>
      <c r="QPK38" s="292"/>
      <c r="QPL38" s="292"/>
      <c r="QPM38" s="292"/>
      <c r="QPN38" s="292"/>
      <c r="QPO38" s="292"/>
      <c r="QPP38" s="292"/>
      <c r="QPQ38" s="292"/>
      <c r="QPR38" s="292"/>
      <c r="QPS38" s="292"/>
      <c r="QPT38" s="292"/>
      <c r="QPU38" s="292"/>
      <c r="QPV38" s="292"/>
      <c r="QPW38" s="292"/>
      <c r="QPX38" s="292"/>
      <c r="QPY38" s="292"/>
      <c r="QPZ38" s="292"/>
      <c r="QQA38" s="292"/>
      <c r="QQB38" s="292"/>
      <c r="QQC38" s="292"/>
      <c r="QQD38" s="292"/>
      <c r="QQE38" s="292"/>
      <c r="QQF38" s="292"/>
      <c r="QQG38" s="292"/>
      <c r="QQH38" s="292"/>
      <c r="QQI38" s="292"/>
      <c r="QQJ38" s="292"/>
      <c r="QQK38" s="292"/>
      <c r="QQL38" s="292"/>
      <c r="QQM38" s="292"/>
      <c r="QQN38" s="292"/>
      <c r="QQO38" s="292"/>
      <c r="QQP38" s="292"/>
      <c r="QQQ38" s="292"/>
      <c r="QQR38" s="292"/>
      <c r="QQS38" s="292"/>
      <c r="QQT38" s="292"/>
      <c r="QQU38" s="292"/>
      <c r="QQV38" s="292"/>
      <c r="QQW38" s="292"/>
      <c r="QQX38" s="292"/>
      <c r="QQY38" s="292"/>
      <c r="QQZ38" s="292"/>
      <c r="QRA38" s="292"/>
      <c r="QRB38" s="292"/>
      <c r="QRC38" s="292"/>
      <c r="QRD38" s="292"/>
      <c r="QRE38" s="292"/>
      <c r="QRF38" s="292"/>
      <c r="QRG38" s="292"/>
      <c r="QRH38" s="292"/>
      <c r="QRI38" s="292"/>
      <c r="QRJ38" s="292"/>
      <c r="QRK38" s="292"/>
      <c r="QRL38" s="292"/>
      <c r="QRM38" s="292"/>
      <c r="QRN38" s="292"/>
      <c r="QRO38" s="292"/>
      <c r="QRP38" s="292"/>
      <c r="QRQ38" s="292"/>
      <c r="QRR38" s="292"/>
      <c r="QRS38" s="292"/>
      <c r="QRT38" s="292"/>
      <c r="QRU38" s="292"/>
      <c r="QRV38" s="292"/>
      <c r="QRW38" s="292"/>
      <c r="QRX38" s="292"/>
      <c r="QRY38" s="292"/>
      <c r="QRZ38" s="292"/>
      <c r="QSA38" s="292"/>
      <c r="QSB38" s="292"/>
      <c r="QSC38" s="292"/>
      <c r="QSD38" s="292"/>
      <c r="QSE38" s="292"/>
      <c r="QSF38" s="292"/>
      <c r="QSG38" s="292"/>
      <c r="QSH38" s="292"/>
      <c r="QSI38" s="292"/>
      <c r="QSJ38" s="292"/>
      <c r="QSK38" s="292"/>
      <c r="QSL38" s="292"/>
      <c r="QSM38" s="292"/>
      <c r="QSN38" s="292"/>
      <c r="QSO38" s="292"/>
      <c r="QSP38" s="292"/>
      <c r="QSQ38" s="292"/>
      <c r="QSR38" s="292"/>
      <c r="QSS38" s="292"/>
      <c r="QST38" s="292"/>
      <c r="QSU38" s="292"/>
      <c r="QSV38" s="292"/>
      <c r="QSW38" s="292"/>
      <c r="QSX38" s="292"/>
      <c r="QSY38" s="292"/>
      <c r="QSZ38" s="292"/>
      <c r="QTA38" s="292"/>
      <c r="QTB38" s="292"/>
      <c r="QTC38" s="292"/>
      <c r="QTD38" s="292"/>
      <c r="QTE38" s="292"/>
      <c r="QTF38" s="292"/>
      <c r="QTG38" s="292"/>
      <c r="QTH38" s="292"/>
      <c r="QTI38" s="292"/>
      <c r="QTJ38" s="292"/>
      <c r="QTK38" s="292"/>
      <c r="QTL38" s="292"/>
      <c r="QTM38" s="292"/>
      <c r="QTN38" s="292"/>
      <c r="QTO38" s="292"/>
      <c r="QTP38" s="292"/>
      <c r="QTQ38" s="292"/>
      <c r="QTR38" s="292"/>
      <c r="QTS38" s="292"/>
      <c r="QTT38" s="292"/>
      <c r="QTU38" s="292"/>
      <c r="QTV38" s="292"/>
      <c r="QTW38" s="292"/>
      <c r="QTX38" s="292"/>
      <c r="QTY38" s="292"/>
      <c r="QTZ38" s="292"/>
      <c r="QUA38" s="292"/>
      <c r="QUB38" s="292"/>
      <c r="QUC38" s="292"/>
      <c r="QUD38" s="292"/>
      <c r="QUE38" s="292"/>
      <c r="QUF38" s="292"/>
      <c r="QUG38" s="292"/>
      <c r="QUH38" s="292"/>
      <c r="QUI38" s="292"/>
      <c r="QUJ38" s="292"/>
      <c r="QUK38" s="292"/>
      <c r="QUL38" s="292"/>
      <c r="QUM38" s="292"/>
      <c r="QUN38" s="292"/>
      <c r="QUO38" s="292"/>
      <c r="QUP38" s="292"/>
      <c r="QUQ38" s="292"/>
      <c r="QUR38" s="292"/>
      <c r="QUS38" s="292"/>
      <c r="QUT38" s="292"/>
      <c r="QUU38" s="292"/>
      <c r="QUV38" s="292"/>
      <c r="QUW38" s="292"/>
      <c r="QUX38" s="292"/>
      <c r="QUY38" s="292"/>
      <c r="QUZ38" s="292"/>
      <c r="QVA38" s="292"/>
      <c r="QVB38" s="292"/>
      <c r="QVC38" s="292"/>
      <c r="QVD38" s="292"/>
      <c r="QVE38" s="292"/>
      <c r="QVF38" s="292"/>
      <c r="QVG38" s="292"/>
      <c r="QVH38" s="292"/>
      <c r="QVI38" s="292"/>
      <c r="QVJ38" s="292"/>
      <c r="QVK38" s="292"/>
      <c r="QVL38" s="292"/>
      <c r="QVM38" s="292"/>
      <c r="QVN38" s="292"/>
      <c r="QVO38" s="292"/>
      <c r="QVP38" s="292"/>
      <c r="QVQ38" s="292"/>
      <c r="QVR38" s="292"/>
      <c r="QVS38" s="292"/>
      <c r="QVT38" s="292"/>
      <c r="QVU38" s="292"/>
      <c r="QVV38" s="292"/>
      <c r="QVW38" s="292"/>
      <c r="QVX38" s="292"/>
      <c r="QVY38" s="292"/>
      <c r="QVZ38" s="292"/>
      <c r="QWA38" s="292"/>
      <c r="QWB38" s="292"/>
      <c r="QWC38" s="292"/>
      <c r="QWD38" s="292"/>
      <c r="QWE38" s="292"/>
      <c r="QWF38" s="292"/>
      <c r="QWG38" s="292"/>
      <c r="QWH38" s="292"/>
      <c r="QWI38" s="292"/>
      <c r="QWJ38" s="292"/>
      <c r="QWK38" s="292"/>
      <c r="QWL38" s="292"/>
      <c r="QWM38" s="292"/>
      <c r="QWN38" s="292"/>
      <c r="QWO38" s="292"/>
      <c r="QWP38" s="292"/>
      <c r="QWQ38" s="292"/>
      <c r="QWR38" s="292"/>
      <c r="QWS38" s="292"/>
      <c r="QWT38" s="292"/>
      <c r="QWU38" s="292"/>
      <c r="QWV38" s="292"/>
      <c r="QWW38" s="292"/>
      <c r="QWX38" s="292"/>
      <c r="QWY38" s="292"/>
      <c r="QWZ38" s="292"/>
      <c r="QXA38" s="292"/>
      <c r="QXB38" s="292"/>
      <c r="QXC38" s="292"/>
      <c r="QXD38" s="292"/>
      <c r="QXE38" s="292"/>
      <c r="QXF38" s="292"/>
      <c r="QXG38" s="292"/>
      <c r="QXH38" s="292"/>
      <c r="QXI38" s="292"/>
      <c r="QXJ38" s="292"/>
      <c r="QXK38" s="292"/>
      <c r="QXL38" s="292"/>
      <c r="QXM38" s="292"/>
      <c r="QXN38" s="292"/>
      <c r="QXO38" s="292"/>
      <c r="QXP38" s="292"/>
      <c r="QXQ38" s="292"/>
      <c r="QXR38" s="292"/>
      <c r="QXS38" s="292"/>
      <c r="QXT38" s="292"/>
      <c r="QXU38" s="292"/>
      <c r="QXV38" s="292"/>
      <c r="QXW38" s="292"/>
      <c r="QXX38" s="292"/>
      <c r="QXY38" s="292"/>
      <c r="QXZ38" s="292"/>
      <c r="QYA38" s="292"/>
      <c r="QYB38" s="292"/>
      <c r="QYC38" s="292"/>
      <c r="QYD38" s="292"/>
      <c r="QYE38" s="292"/>
      <c r="QYF38" s="292"/>
      <c r="QYG38" s="292"/>
      <c r="QYH38" s="292"/>
      <c r="QYI38" s="292"/>
      <c r="QYJ38" s="292"/>
      <c r="QYK38" s="292"/>
      <c r="QYL38" s="292"/>
      <c r="QYM38" s="292"/>
      <c r="QYN38" s="292"/>
      <c r="QYO38" s="292"/>
      <c r="QYP38" s="292"/>
      <c r="QYQ38" s="292"/>
      <c r="QYR38" s="292"/>
      <c r="QYS38" s="292"/>
      <c r="QYT38" s="292"/>
      <c r="QYU38" s="292"/>
      <c r="QYV38" s="292"/>
      <c r="QYW38" s="292"/>
      <c r="QYX38" s="292"/>
      <c r="QYY38" s="292"/>
      <c r="QYZ38" s="292"/>
      <c r="QZA38" s="292"/>
      <c r="QZB38" s="292"/>
      <c r="QZC38" s="292"/>
      <c r="QZD38" s="292"/>
      <c r="QZE38" s="292"/>
      <c r="QZF38" s="292"/>
      <c r="QZG38" s="292"/>
      <c r="QZH38" s="292"/>
      <c r="QZI38" s="292"/>
      <c r="QZJ38" s="292"/>
      <c r="QZK38" s="292"/>
      <c r="QZL38" s="292"/>
      <c r="QZM38" s="292"/>
      <c r="QZN38" s="292"/>
      <c r="QZO38" s="292"/>
      <c r="QZP38" s="292"/>
      <c r="QZQ38" s="292"/>
      <c r="QZR38" s="292"/>
      <c r="QZS38" s="292"/>
      <c r="QZT38" s="292"/>
      <c r="QZU38" s="292"/>
      <c r="QZV38" s="292"/>
      <c r="QZW38" s="292"/>
      <c r="QZX38" s="292"/>
      <c r="QZY38" s="292"/>
      <c r="QZZ38" s="292"/>
      <c r="RAA38" s="292"/>
      <c r="RAB38" s="292"/>
      <c r="RAC38" s="292"/>
      <c r="RAD38" s="292"/>
      <c r="RAE38" s="292"/>
      <c r="RAF38" s="292"/>
      <c r="RAG38" s="292"/>
      <c r="RAH38" s="292"/>
      <c r="RAI38" s="292"/>
      <c r="RAJ38" s="292"/>
      <c r="RAK38" s="292"/>
      <c r="RAL38" s="292"/>
      <c r="RAM38" s="292"/>
      <c r="RAN38" s="292"/>
      <c r="RAO38" s="292"/>
      <c r="RAP38" s="292"/>
      <c r="RAQ38" s="292"/>
      <c r="RAR38" s="292"/>
      <c r="RAS38" s="292"/>
      <c r="RAT38" s="292"/>
      <c r="RAU38" s="292"/>
      <c r="RAV38" s="292"/>
      <c r="RAW38" s="292"/>
      <c r="RAX38" s="292"/>
      <c r="RAY38" s="292"/>
      <c r="RAZ38" s="292"/>
      <c r="RBA38" s="292"/>
      <c r="RBB38" s="292"/>
      <c r="RBC38" s="292"/>
      <c r="RBD38" s="292"/>
      <c r="RBE38" s="292"/>
      <c r="RBF38" s="292"/>
      <c r="RBG38" s="292"/>
      <c r="RBH38" s="292"/>
      <c r="RBI38" s="292"/>
      <c r="RBJ38" s="292"/>
      <c r="RBK38" s="292"/>
      <c r="RBL38" s="292"/>
      <c r="RBM38" s="292"/>
      <c r="RBN38" s="292"/>
      <c r="RBO38" s="292"/>
      <c r="RBP38" s="292"/>
      <c r="RBQ38" s="292"/>
      <c r="RBR38" s="292"/>
      <c r="RBS38" s="292"/>
      <c r="RBT38" s="292"/>
      <c r="RBU38" s="292"/>
      <c r="RBV38" s="292"/>
      <c r="RBW38" s="292"/>
      <c r="RBX38" s="292"/>
      <c r="RBY38" s="292"/>
      <c r="RBZ38" s="292"/>
      <c r="RCA38" s="292"/>
      <c r="RCB38" s="292"/>
      <c r="RCC38" s="292"/>
      <c r="RCD38" s="292"/>
      <c r="RCE38" s="292"/>
      <c r="RCF38" s="292"/>
      <c r="RCG38" s="292"/>
      <c r="RCH38" s="292"/>
      <c r="RCI38" s="292"/>
      <c r="RCJ38" s="292"/>
      <c r="RCK38" s="292"/>
      <c r="RCL38" s="292"/>
      <c r="RCM38" s="292"/>
      <c r="RCN38" s="292"/>
      <c r="RCO38" s="292"/>
      <c r="RCP38" s="292"/>
      <c r="RCQ38" s="292"/>
      <c r="RCR38" s="292"/>
      <c r="RCS38" s="292"/>
      <c r="RCT38" s="292"/>
      <c r="RCU38" s="292"/>
      <c r="RCV38" s="292"/>
      <c r="RCW38" s="292"/>
      <c r="RCX38" s="292"/>
      <c r="RCY38" s="292"/>
      <c r="RCZ38" s="292"/>
      <c r="RDA38" s="292"/>
      <c r="RDB38" s="292"/>
      <c r="RDC38" s="292"/>
      <c r="RDD38" s="292"/>
      <c r="RDE38" s="292"/>
      <c r="RDF38" s="292"/>
      <c r="RDG38" s="292"/>
      <c r="RDH38" s="292"/>
      <c r="RDI38" s="292"/>
      <c r="RDJ38" s="292"/>
      <c r="RDK38" s="292"/>
      <c r="RDL38" s="292"/>
      <c r="RDM38" s="292"/>
      <c r="RDN38" s="292"/>
      <c r="RDO38" s="292"/>
      <c r="RDP38" s="292"/>
      <c r="RDQ38" s="292"/>
      <c r="RDR38" s="292"/>
      <c r="RDS38" s="292"/>
      <c r="RDT38" s="292"/>
      <c r="RDU38" s="292"/>
      <c r="RDV38" s="292"/>
      <c r="RDW38" s="292"/>
      <c r="RDX38" s="292"/>
      <c r="RDY38" s="292"/>
      <c r="RDZ38" s="292"/>
      <c r="REA38" s="292"/>
      <c r="REB38" s="292"/>
      <c r="REC38" s="292"/>
      <c r="RED38" s="292"/>
      <c r="REE38" s="292"/>
      <c r="REF38" s="292"/>
      <c r="REG38" s="292"/>
      <c r="REH38" s="292"/>
      <c r="REI38" s="292"/>
      <c r="REJ38" s="292"/>
      <c r="REK38" s="292"/>
      <c r="REL38" s="292"/>
      <c r="REM38" s="292"/>
      <c r="REN38" s="292"/>
      <c r="REO38" s="292"/>
      <c r="REP38" s="292"/>
      <c r="REQ38" s="292"/>
      <c r="RER38" s="292"/>
      <c r="RES38" s="292"/>
      <c r="RET38" s="292"/>
      <c r="REU38" s="292"/>
      <c r="REV38" s="292"/>
      <c r="REW38" s="292"/>
      <c r="REX38" s="292"/>
      <c r="REY38" s="292"/>
      <c r="REZ38" s="292"/>
      <c r="RFA38" s="292"/>
      <c r="RFB38" s="292"/>
      <c r="RFC38" s="292"/>
      <c r="RFD38" s="292"/>
      <c r="RFE38" s="292"/>
      <c r="RFF38" s="292"/>
      <c r="RFG38" s="292"/>
      <c r="RFH38" s="292"/>
      <c r="RFI38" s="292"/>
      <c r="RFJ38" s="292"/>
      <c r="RFK38" s="292"/>
      <c r="RFL38" s="292"/>
      <c r="RFM38" s="292"/>
      <c r="RFN38" s="292"/>
      <c r="RFO38" s="292"/>
      <c r="RFP38" s="292"/>
      <c r="RFQ38" s="292"/>
      <c r="RFR38" s="292"/>
      <c r="RFS38" s="292"/>
      <c r="RFT38" s="292"/>
      <c r="RFU38" s="292"/>
      <c r="RFV38" s="292"/>
      <c r="RFW38" s="292"/>
      <c r="RFX38" s="292"/>
      <c r="RFY38" s="292"/>
      <c r="RFZ38" s="292"/>
      <c r="RGA38" s="292"/>
      <c r="RGB38" s="292"/>
      <c r="RGC38" s="292"/>
      <c r="RGD38" s="292"/>
      <c r="RGE38" s="292"/>
      <c r="RGF38" s="292"/>
      <c r="RGG38" s="292"/>
      <c r="RGH38" s="292"/>
      <c r="RGI38" s="292"/>
      <c r="RGJ38" s="292"/>
      <c r="RGK38" s="292"/>
      <c r="RGL38" s="292"/>
      <c r="RGM38" s="292"/>
      <c r="RGN38" s="292"/>
      <c r="RGO38" s="292"/>
      <c r="RGP38" s="292"/>
      <c r="RGQ38" s="292"/>
      <c r="RGR38" s="292"/>
      <c r="RGS38" s="292"/>
      <c r="RGT38" s="292"/>
      <c r="RGU38" s="292"/>
      <c r="RGV38" s="292"/>
      <c r="RGW38" s="292"/>
      <c r="RGX38" s="292"/>
      <c r="RGY38" s="292"/>
      <c r="RGZ38" s="292"/>
      <c r="RHA38" s="292"/>
      <c r="RHB38" s="292"/>
      <c r="RHC38" s="292"/>
      <c r="RHD38" s="292"/>
      <c r="RHE38" s="292"/>
      <c r="RHF38" s="292"/>
      <c r="RHG38" s="292"/>
      <c r="RHH38" s="292"/>
      <c r="RHI38" s="292"/>
      <c r="RHJ38" s="292"/>
      <c r="RHK38" s="292"/>
      <c r="RHL38" s="292"/>
      <c r="RHM38" s="292"/>
      <c r="RHN38" s="292"/>
      <c r="RHO38" s="292"/>
      <c r="RHP38" s="292"/>
      <c r="RHQ38" s="292"/>
      <c r="RHR38" s="292"/>
      <c r="RHS38" s="292"/>
      <c r="RHT38" s="292"/>
      <c r="RHU38" s="292"/>
      <c r="RHV38" s="292"/>
      <c r="RHW38" s="292"/>
      <c r="RHX38" s="292"/>
      <c r="RHY38" s="292"/>
      <c r="RHZ38" s="292"/>
      <c r="RIA38" s="292"/>
      <c r="RIB38" s="292"/>
      <c r="RIC38" s="292"/>
      <c r="RID38" s="292"/>
      <c r="RIE38" s="292"/>
      <c r="RIF38" s="292"/>
      <c r="RIG38" s="292"/>
      <c r="RIH38" s="292"/>
      <c r="RII38" s="292"/>
      <c r="RIJ38" s="292"/>
      <c r="RIK38" s="292"/>
      <c r="RIL38" s="292"/>
      <c r="RIM38" s="292"/>
      <c r="RIN38" s="292"/>
      <c r="RIO38" s="292"/>
      <c r="RIP38" s="292"/>
      <c r="RIQ38" s="292"/>
      <c r="RIR38" s="292"/>
      <c r="RIS38" s="292"/>
      <c r="RIT38" s="292"/>
      <c r="RIU38" s="292"/>
      <c r="RIV38" s="292"/>
      <c r="RIW38" s="292"/>
      <c r="RIX38" s="292"/>
      <c r="RIY38" s="292"/>
      <c r="RIZ38" s="292"/>
      <c r="RJA38" s="292"/>
      <c r="RJB38" s="292"/>
      <c r="RJC38" s="292"/>
      <c r="RJD38" s="292"/>
      <c r="RJE38" s="292"/>
      <c r="RJF38" s="292"/>
      <c r="RJG38" s="292"/>
      <c r="RJH38" s="292"/>
      <c r="RJI38" s="292"/>
      <c r="RJJ38" s="292"/>
      <c r="RJK38" s="292"/>
      <c r="RJL38" s="292"/>
      <c r="RJM38" s="292"/>
      <c r="RJN38" s="292"/>
      <c r="RJO38" s="292"/>
      <c r="RJP38" s="292"/>
      <c r="RJQ38" s="292"/>
      <c r="RJR38" s="292"/>
      <c r="RJS38" s="292"/>
      <c r="RJT38" s="292"/>
      <c r="RJU38" s="292"/>
      <c r="RJV38" s="292"/>
      <c r="RJW38" s="292"/>
      <c r="RJX38" s="292"/>
      <c r="RJY38" s="292"/>
      <c r="RJZ38" s="292"/>
      <c r="RKA38" s="292"/>
      <c r="RKB38" s="292"/>
      <c r="RKC38" s="292"/>
      <c r="RKD38" s="292"/>
      <c r="RKE38" s="292"/>
      <c r="RKF38" s="292"/>
      <c r="RKG38" s="292"/>
      <c r="RKH38" s="292"/>
      <c r="RKI38" s="292"/>
      <c r="RKJ38" s="292"/>
      <c r="RKK38" s="292"/>
      <c r="RKL38" s="292"/>
      <c r="RKM38" s="292"/>
      <c r="RKN38" s="292"/>
      <c r="RKO38" s="292"/>
      <c r="RKP38" s="292"/>
      <c r="RKQ38" s="292"/>
      <c r="RKR38" s="292"/>
      <c r="RKS38" s="292"/>
      <c r="RKT38" s="292"/>
      <c r="RKU38" s="292"/>
      <c r="RKV38" s="292"/>
      <c r="RKW38" s="292"/>
      <c r="RKX38" s="292"/>
      <c r="RKY38" s="292"/>
      <c r="RKZ38" s="292"/>
      <c r="RLA38" s="292"/>
      <c r="RLB38" s="292"/>
      <c r="RLC38" s="292"/>
      <c r="RLD38" s="292"/>
      <c r="RLE38" s="292"/>
      <c r="RLF38" s="292"/>
      <c r="RLG38" s="292"/>
      <c r="RLH38" s="292"/>
      <c r="RLI38" s="292"/>
      <c r="RLJ38" s="292"/>
      <c r="RLK38" s="292"/>
      <c r="RLL38" s="292"/>
      <c r="RLM38" s="292"/>
      <c r="RLN38" s="292"/>
      <c r="RLO38" s="292"/>
      <c r="RLP38" s="292"/>
      <c r="RLQ38" s="292"/>
      <c r="RLR38" s="292"/>
      <c r="RLS38" s="292"/>
      <c r="RLT38" s="292"/>
      <c r="RLU38" s="292"/>
      <c r="RLV38" s="292"/>
      <c r="RLW38" s="292"/>
      <c r="RLX38" s="292"/>
      <c r="RLY38" s="292"/>
      <c r="RLZ38" s="292"/>
      <c r="RMA38" s="292"/>
      <c r="RMB38" s="292"/>
      <c r="RMC38" s="292"/>
      <c r="RMD38" s="292"/>
      <c r="RME38" s="292"/>
      <c r="RMF38" s="292"/>
      <c r="RMG38" s="292"/>
      <c r="RMH38" s="292"/>
      <c r="RMI38" s="292"/>
      <c r="RMJ38" s="292"/>
      <c r="RMK38" s="292"/>
      <c r="RML38" s="292"/>
      <c r="RMM38" s="292"/>
      <c r="RMN38" s="292"/>
      <c r="RMO38" s="292"/>
      <c r="RMP38" s="292"/>
      <c r="RMQ38" s="292"/>
      <c r="RMR38" s="292"/>
      <c r="RMS38" s="292"/>
      <c r="RMT38" s="292"/>
      <c r="RMU38" s="292"/>
      <c r="RMV38" s="292"/>
      <c r="RMW38" s="292"/>
      <c r="RMX38" s="292"/>
      <c r="RMY38" s="292"/>
      <c r="RMZ38" s="292"/>
      <c r="RNA38" s="292"/>
      <c r="RNB38" s="292"/>
      <c r="RNC38" s="292"/>
      <c r="RND38" s="292"/>
      <c r="RNE38" s="292"/>
      <c r="RNF38" s="292"/>
      <c r="RNG38" s="292"/>
      <c r="RNH38" s="292"/>
      <c r="RNI38" s="292"/>
      <c r="RNJ38" s="292"/>
      <c r="RNK38" s="292"/>
      <c r="RNL38" s="292"/>
      <c r="RNM38" s="292"/>
      <c r="RNN38" s="292"/>
      <c r="RNO38" s="292"/>
      <c r="RNP38" s="292"/>
      <c r="RNQ38" s="292"/>
      <c r="RNR38" s="292"/>
      <c r="RNS38" s="292"/>
      <c r="RNT38" s="292"/>
      <c r="RNU38" s="292"/>
      <c r="RNV38" s="292"/>
      <c r="RNW38" s="292"/>
      <c r="RNX38" s="292"/>
      <c r="RNY38" s="292"/>
      <c r="RNZ38" s="292"/>
      <c r="ROA38" s="292"/>
      <c r="ROB38" s="292"/>
      <c r="ROC38" s="292"/>
      <c r="ROD38" s="292"/>
      <c r="ROE38" s="292"/>
      <c r="ROF38" s="292"/>
      <c r="ROG38" s="292"/>
      <c r="ROH38" s="292"/>
      <c r="ROI38" s="292"/>
      <c r="ROJ38" s="292"/>
      <c r="ROK38" s="292"/>
      <c r="ROL38" s="292"/>
      <c r="ROM38" s="292"/>
      <c r="RON38" s="292"/>
      <c r="ROO38" s="292"/>
      <c r="ROP38" s="292"/>
      <c r="ROQ38" s="292"/>
      <c r="ROR38" s="292"/>
      <c r="ROS38" s="292"/>
      <c r="ROT38" s="292"/>
      <c r="ROU38" s="292"/>
      <c r="ROV38" s="292"/>
      <c r="ROW38" s="292"/>
      <c r="ROX38" s="292"/>
      <c r="ROY38" s="292"/>
      <c r="ROZ38" s="292"/>
      <c r="RPA38" s="292"/>
      <c r="RPB38" s="292"/>
      <c r="RPC38" s="292"/>
      <c r="RPD38" s="292"/>
      <c r="RPE38" s="292"/>
      <c r="RPF38" s="292"/>
      <c r="RPG38" s="292"/>
      <c r="RPH38" s="292"/>
      <c r="RPI38" s="292"/>
      <c r="RPJ38" s="292"/>
      <c r="RPK38" s="292"/>
      <c r="RPL38" s="292"/>
      <c r="RPM38" s="292"/>
      <c r="RPN38" s="292"/>
      <c r="RPO38" s="292"/>
      <c r="RPP38" s="292"/>
      <c r="RPQ38" s="292"/>
      <c r="RPR38" s="292"/>
      <c r="RPS38" s="292"/>
      <c r="RPT38" s="292"/>
      <c r="RPU38" s="292"/>
      <c r="RPV38" s="292"/>
      <c r="RPW38" s="292"/>
      <c r="RPX38" s="292"/>
      <c r="RPY38" s="292"/>
      <c r="RPZ38" s="292"/>
      <c r="RQA38" s="292"/>
      <c r="RQB38" s="292"/>
      <c r="RQC38" s="292"/>
      <c r="RQD38" s="292"/>
      <c r="RQE38" s="292"/>
      <c r="RQF38" s="292"/>
      <c r="RQG38" s="292"/>
      <c r="RQH38" s="292"/>
      <c r="RQI38" s="292"/>
      <c r="RQJ38" s="292"/>
      <c r="RQK38" s="292"/>
      <c r="RQL38" s="292"/>
      <c r="RQM38" s="292"/>
      <c r="RQN38" s="292"/>
      <c r="RQO38" s="292"/>
      <c r="RQP38" s="292"/>
      <c r="RQQ38" s="292"/>
      <c r="RQR38" s="292"/>
      <c r="RQS38" s="292"/>
      <c r="RQT38" s="292"/>
      <c r="RQU38" s="292"/>
      <c r="RQV38" s="292"/>
      <c r="RQW38" s="292"/>
      <c r="RQX38" s="292"/>
      <c r="RQY38" s="292"/>
      <c r="RQZ38" s="292"/>
      <c r="RRA38" s="292"/>
      <c r="RRB38" s="292"/>
      <c r="RRC38" s="292"/>
      <c r="RRD38" s="292"/>
      <c r="RRE38" s="292"/>
      <c r="RRF38" s="292"/>
      <c r="RRG38" s="292"/>
      <c r="RRH38" s="292"/>
      <c r="RRI38" s="292"/>
      <c r="RRJ38" s="292"/>
      <c r="RRK38" s="292"/>
      <c r="RRL38" s="292"/>
      <c r="RRM38" s="292"/>
      <c r="RRN38" s="292"/>
      <c r="RRO38" s="292"/>
      <c r="RRP38" s="292"/>
      <c r="RRQ38" s="292"/>
      <c r="RRR38" s="292"/>
      <c r="RRS38" s="292"/>
      <c r="RRT38" s="292"/>
      <c r="RRU38" s="292"/>
      <c r="RRV38" s="292"/>
      <c r="RRW38" s="292"/>
      <c r="RRX38" s="292"/>
      <c r="RRY38" s="292"/>
      <c r="RRZ38" s="292"/>
      <c r="RSA38" s="292"/>
      <c r="RSB38" s="292"/>
      <c r="RSC38" s="292"/>
      <c r="RSD38" s="292"/>
      <c r="RSE38" s="292"/>
      <c r="RSF38" s="292"/>
      <c r="RSG38" s="292"/>
      <c r="RSH38" s="292"/>
      <c r="RSI38" s="292"/>
      <c r="RSJ38" s="292"/>
      <c r="RSK38" s="292"/>
      <c r="RSL38" s="292"/>
      <c r="RSM38" s="292"/>
      <c r="RSN38" s="292"/>
      <c r="RSO38" s="292"/>
      <c r="RSP38" s="292"/>
      <c r="RSQ38" s="292"/>
      <c r="RSR38" s="292"/>
      <c r="RSS38" s="292"/>
      <c r="RST38" s="292"/>
      <c r="RSU38" s="292"/>
      <c r="RSV38" s="292"/>
      <c r="RSW38" s="292"/>
      <c r="RSX38" s="292"/>
      <c r="RSY38" s="292"/>
      <c r="RSZ38" s="292"/>
      <c r="RTA38" s="292"/>
      <c r="RTB38" s="292"/>
      <c r="RTC38" s="292"/>
      <c r="RTD38" s="292"/>
      <c r="RTE38" s="292"/>
      <c r="RTF38" s="292"/>
      <c r="RTG38" s="292"/>
      <c r="RTH38" s="292"/>
      <c r="RTI38" s="292"/>
      <c r="RTJ38" s="292"/>
      <c r="RTK38" s="292"/>
      <c r="RTL38" s="292"/>
      <c r="RTM38" s="292"/>
      <c r="RTN38" s="292"/>
      <c r="RTO38" s="292"/>
      <c r="RTP38" s="292"/>
      <c r="RTQ38" s="292"/>
      <c r="RTR38" s="292"/>
      <c r="RTS38" s="292"/>
      <c r="RTT38" s="292"/>
      <c r="RTU38" s="292"/>
      <c r="RTV38" s="292"/>
      <c r="RTW38" s="292"/>
      <c r="RTX38" s="292"/>
      <c r="RTY38" s="292"/>
      <c r="RTZ38" s="292"/>
      <c r="RUA38" s="292"/>
      <c r="RUB38" s="292"/>
      <c r="RUC38" s="292"/>
      <c r="RUD38" s="292"/>
      <c r="RUE38" s="292"/>
      <c r="RUF38" s="292"/>
      <c r="RUG38" s="292"/>
      <c r="RUH38" s="292"/>
      <c r="RUI38" s="292"/>
      <c r="RUJ38" s="292"/>
      <c r="RUK38" s="292"/>
      <c r="RUL38" s="292"/>
      <c r="RUM38" s="292"/>
      <c r="RUN38" s="292"/>
      <c r="RUO38" s="292"/>
      <c r="RUP38" s="292"/>
      <c r="RUQ38" s="292"/>
      <c r="RUR38" s="292"/>
      <c r="RUS38" s="292"/>
      <c r="RUT38" s="292"/>
      <c r="RUU38" s="292"/>
      <c r="RUV38" s="292"/>
      <c r="RUW38" s="292"/>
      <c r="RUX38" s="292"/>
      <c r="RUY38" s="292"/>
      <c r="RUZ38" s="292"/>
      <c r="RVA38" s="292"/>
      <c r="RVB38" s="292"/>
      <c r="RVC38" s="292"/>
      <c r="RVD38" s="292"/>
      <c r="RVE38" s="292"/>
      <c r="RVF38" s="292"/>
      <c r="RVG38" s="292"/>
      <c r="RVH38" s="292"/>
      <c r="RVI38" s="292"/>
      <c r="RVJ38" s="292"/>
      <c r="RVK38" s="292"/>
      <c r="RVL38" s="292"/>
      <c r="RVM38" s="292"/>
      <c r="RVN38" s="292"/>
      <c r="RVO38" s="292"/>
      <c r="RVP38" s="292"/>
      <c r="RVQ38" s="292"/>
      <c r="RVR38" s="292"/>
      <c r="RVS38" s="292"/>
      <c r="RVT38" s="292"/>
      <c r="RVU38" s="292"/>
      <c r="RVV38" s="292"/>
      <c r="RVW38" s="292"/>
      <c r="RVX38" s="292"/>
      <c r="RVY38" s="292"/>
      <c r="RVZ38" s="292"/>
      <c r="RWA38" s="292"/>
      <c r="RWB38" s="292"/>
      <c r="RWC38" s="292"/>
      <c r="RWD38" s="292"/>
      <c r="RWE38" s="292"/>
      <c r="RWF38" s="292"/>
      <c r="RWG38" s="292"/>
      <c r="RWH38" s="292"/>
      <c r="RWI38" s="292"/>
      <c r="RWJ38" s="292"/>
      <c r="RWK38" s="292"/>
      <c r="RWL38" s="292"/>
      <c r="RWM38" s="292"/>
      <c r="RWN38" s="292"/>
      <c r="RWO38" s="292"/>
      <c r="RWP38" s="292"/>
      <c r="RWQ38" s="292"/>
      <c r="RWR38" s="292"/>
      <c r="RWS38" s="292"/>
      <c r="RWT38" s="292"/>
      <c r="RWU38" s="292"/>
      <c r="RWV38" s="292"/>
      <c r="RWW38" s="292"/>
      <c r="RWX38" s="292"/>
      <c r="RWY38" s="292"/>
      <c r="RWZ38" s="292"/>
      <c r="RXA38" s="292"/>
      <c r="RXB38" s="292"/>
      <c r="RXC38" s="292"/>
      <c r="RXD38" s="292"/>
      <c r="RXE38" s="292"/>
      <c r="RXF38" s="292"/>
      <c r="RXG38" s="292"/>
      <c r="RXH38" s="292"/>
      <c r="RXI38" s="292"/>
      <c r="RXJ38" s="292"/>
      <c r="RXK38" s="292"/>
      <c r="RXL38" s="292"/>
      <c r="RXM38" s="292"/>
      <c r="RXN38" s="292"/>
      <c r="RXO38" s="292"/>
      <c r="RXP38" s="292"/>
      <c r="RXQ38" s="292"/>
      <c r="RXR38" s="292"/>
      <c r="RXS38" s="292"/>
      <c r="RXT38" s="292"/>
      <c r="RXU38" s="292"/>
      <c r="RXV38" s="292"/>
      <c r="RXW38" s="292"/>
      <c r="RXX38" s="292"/>
      <c r="RXY38" s="292"/>
      <c r="RXZ38" s="292"/>
      <c r="RYA38" s="292"/>
      <c r="RYB38" s="292"/>
      <c r="RYC38" s="292"/>
      <c r="RYD38" s="292"/>
      <c r="RYE38" s="292"/>
      <c r="RYF38" s="292"/>
      <c r="RYG38" s="292"/>
      <c r="RYH38" s="292"/>
      <c r="RYI38" s="292"/>
      <c r="RYJ38" s="292"/>
      <c r="RYK38" s="292"/>
      <c r="RYL38" s="292"/>
      <c r="RYM38" s="292"/>
      <c r="RYN38" s="292"/>
      <c r="RYO38" s="292"/>
      <c r="RYP38" s="292"/>
      <c r="RYQ38" s="292"/>
      <c r="RYR38" s="292"/>
      <c r="RYS38" s="292"/>
      <c r="RYT38" s="292"/>
      <c r="RYU38" s="292"/>
      <c r="RYV38" s="292"/>
      <c r="RYW38" s="292"/>
      <c r="RYX38" s="292"/>
      <c r="RYY38" s="292"/>
      <c r="RYZ38" s="292"/>
      <c r="RZA38" s="292"/>
      <c r="RZB38" s="292"/>
      <c r="RZC38" s="292"/>
      <c r="RZD38" s="292"/>
      <c r="RZE38" s="292"/>
      <c r="RZF38" s="292"/>
      <c r="RZG38" s="292"/>
      <c r="RZH38" s="292"/>
      <c r="RZI38" s="292"/>
      <c r="RZJ38" s="292"/>
      <c r="RZK38" s="292"/>
      <c r="RZL38" s="292"/>
      <c r="RZM38" s="292"/>
      <c r="RZN38" s="292"/>
      <c r="RZO38" s="292"/>
      <c r="RZP38" s="292"/>
      <c r="RZQ38" s="292"/>
      <c r="RZR38" s="292"/>
      <c r="RZS38" s="292"/>
      <c r="RZT38" s="292"/>
      <c r="RZU38" s="292"/>
      <c r="RZV38" s="292"/>
      <c r="RZW38" s="292"/>
      <c r="RZX38" s="292"/>
      <c r="RZY38" s="292"/>
      <c r="RZZ38" s="292"/>
      <c r="SAA38" s="292"/>
      <c r="SAB38" s="292"/>
      <c r="SAC38" s="292"/>
      <c r="SAD38" s="292"/>
      <c r="SAE38" s="292"/>
      <c r="SAF38" s="292"/>
      <c r="SAG38" s="292"/>
      <c r="SAH38" s="292"/>
      <c r="SAI38" s="292"/>
      <c r="SAJ38" s="292"/>
      <c r="SAK38" s="292"/>
      <c r="SAL38" s="292"/>
      <c r="SAM38" s="292"/>
      <c r="SAN38" s="292"/>
      <c r="SAO38" s="292"/>
      <c r="SAP38" s="292"/>
      <c r="SAQ38" s="292"/>
      <c r="SAR38" s="292"/>
      <c r="SAS38" s="292"/>
      <c r="SAT38" s="292"/>
      <c r="SAU38" s="292"/>
      <c r="SAV38" s="292"/>
      <c r="SAW38" s="292"/>
      <c r="SAX38" s="292"/>
      <c r="SAY38" s="292"/>
      <c r="SAZ38" s="292"/>
      <c r="SBA38" s="292"/>
      <c r="SBB38" s="292"/>
      <c r="SBC38" s="292"/>
      <c r="SBD38" s="292"/>
      <c r="SBE38" s="292"/>
      <c r="SBF38" s="292"/>
      <c r="SBG38" s="292"/>
      <c r="SBH38" s="292"/>
      <c r="SBI38" s="292"/>
      <c r="SBJ38" s="292"/>
      <c r="SBK38" s="292"/>
      <c r="SBL38" s="292"/>
      <c r="SBM38" s="292"/>
      <c r="SBN38" s="292"/>
      <c r="SBO38" s="292"/>
      <c r="SBP38" s="292"/>
      <c r="SBQ38" s="292"/>
      <c r="SBR38" s="292"/>
      <c r="SBS38" s="292"/>
      <c r="SBT38" s="292"/>
      <c r="SBU38" s="292"/>
      <c r="SBV38" s="292"/>
      <c r="SBW38" s="292"/>
      <c r="SBX38" s="292"/>
      <c r="SBY38" s="292"/>
      <c r="SBZ38" s="292"/>
      <c r="SCA38" s="292"/>
      <c r="SCB38" s="292"/>
      <c r="SCC38" s="292"/>
      <c r="SCD38" s="292"/>
      <c r="SCE38" s="292"/>
      <c r="SCF38" s="292"/>
      <c r="SCG38" s="292"/>
      <c r="SCH38" s="292"/>
      <c r="SCI38" s="292"/>
      <c r="SCJ38" s="292"/>
      <c r="SCK38" s="292"/>
      <c r="SCL38" s="292"/>
      <c r="SCM38" s="292"/>
      <c r="SCN38" s="292"/>
      <c r="SCO38" s="292"/>
      <c r="SCP38" s="292"/>
      <c r="SCQ38" s="292"/>
      <c r="SCR38" s="292"/>
      <c r="SCS38" s="292"/>
      <c r="SCT38" s="292"/>
      <c r="SCU38" s="292"/>
      <c r="SCV38" s="292"/>
      <c r="SCW38" s="292"/>
      <c r="SCX38" s="292"/>
      <c r="SCY38" s="292"/>
      <c r="SCZ38" s="292"/>
      <c r="SDA38" s="292"/>
      <c r="SDB38" s="292"/>
      <c r="SDC38" s="292"/>
      <c r="SDD38" s="292"/>
      <c r="SDE38" s="292"/>
      <c r="SDF38" s="292"/>
      <c r="SDG38" s="292"/>
      <c r="SDH38" s="292"/>
      <c r="SDI38" s="292"/>
      <c r="SDJ38" s="292"/>
      <c r="SDK38" s="292"/>
      <c r="SDL38" s="292"/>
      <c r="SDM38" s="292"/>
      <c r="SDN38" s="292"/>
      <c r="SDO38" s="292"/>
      <c r="SDP38" s="292"/>
      <c r="SDQ38" s="292"/>
      <c r="SDR38" s="292"/>
      <c r="SDS38" s="292"/>
      <c r="SDT38" s="292"/>
      <c r="SDU38" s="292"/>
      <c r="SDV38" s="292"/>
      <c r="SDW38" s="292"/>
      <c r="SDX38" s="292"/>
      <c r="SDY38" s="292"/>
      <c r="SDZ38" s="292"/>
      <c r="SEA38" s="292"/>
      <c r="SEB38" s="292"/>
      <c r="SEC38" s="292"/>
      <c r="SED38" s="292"/>
      <c r="SEE38" s="292"/>
      <c r="SEF38" s="292"/>
      <c r="SEG38" s="292"/>
      <c r="SEH38" s="292"/>
      <c r="SEI38" s="292"/>
      <c r="SEJ38" s="292"/>
      <c r="SEK38" s="292"/>
      <c r="SEL38" s="292"/>
      <c r="SEM38" s="292"/>
      <c r="SEN38" s="292"/>
      <c r="SEO38" s="292"/>
      <c r="SEP38" s="292"/>
      <c r="SEQ38" s="292"/>
      <c r="SER38" s="292"/>
      <c r="SES38" s="292"/>
      <c r="SET38" s="292"/>
      <c r="SEU38" s="292"/>
      <c r="SEV38" s="292"/>
      <c r="SEW38" s="292"/>
      <c r="SEX38" s="292"/>
      <c r="SEY38" s="292"/>
      <c r="SEZ38" s="292"/>
      <c r="SFA38" s="292"/>
      <c r="SFB38" s="292"/>
      <c r="SFC38" s="292"/>
      <c r="SFD38" s="292"/>
      <c r="SFE38" s="292"/>
      <c r="SFF38" s="292"/>
      <c r="SFG38" s="292"/>
      <c r="SFH38" s="292"/>
      <c r="SFI38" s="292"/>
      <c r="SFJ38" s="292"/>
      <c r="SFK38" s="292"/>
      <c r="SFL38" s="292"/>
      <c r="SFM38" s="292"/>
      <c r="SFN38" s="292"/>
      <c r="SFO38" s="292"/>
      <c r="SFP38" s="292"/>
      <c r="SFQ38" s="292"/>
      <c r="SFR38" s="292"/>
      <c r="SFS38" s="292"/>
      <c r="SFT38" s="292"/>
      <c r="SFU38" s="292"/>
      <c r="SFV38" s="292"/>
      <c r="SFW38" s="292"/>
      <c r="SFX38" s="292"/>
      <c r="SFY38" s="292"/>
      <c r="SFZ38" s="292"/>
      <c r="SGA38" s="292"/>
      <c r="SGB38" s="292"/>
      <c r="SGC38" s="292"/>
      <c r="SGD38" s="292"/>
      <c r="SGE38" s="292"/>
      <c r="SGF38" s="292"/>
      <c r="SGG38" s="292"/>
      <c r="SGH38" s="292"/>
      <c r="SGI38" s="292"/>
      <c r="SGJ38" s="292"/>
      <c r="SGK38" s="292"/>
      <c r="SGL38" s="292"/>
      <c r="SGM38" s="292"/>
      <c r="SGN38" s="292"/>
      <c r="SGO38" s="292"/>
      <c r="SGP38" s="292"/>
      <c r="SGQ38" s="292"/>
      <c r="SGR38" s="292"/>
      <c r="SGS38" s="292"/>
      <c r="SGT38" s="292"/>
      <c r="SGU38" s="292"/>
      <c r="SGV38" s="292"/>
      <c r="SGW38" s="292"/>
      <c r="SGX38" s="292"/>
      <c r="SGY38" s="292"/>
      <c r="SGZ38" s="292"/>
      <c r="SHA38" s="292"/>
      <c r="SHB38" s="292"/>
      <c r="SHC38" s="292"/>
      <c r="SHD38" s="292"/>
      <c r="SHE38" s="292"/>
      <c r="SHF38" s="292"/>
      <c r="SHG38" s="292"/>
      <c r="SHH38" s="292"/>
      <c r="SHI38" s="292"/>
      <c r="SHJ38" s="292"/>
      <c r="SHK38" s="292"/>
      <c r="SHL38" s="292"/>
      <c r="SHM38" s="292"/>
      <c r="SHN38" s="292"/>
      <c r="SHO38" s="292"/>
      <c r="SHP38" s="292"/>
      <c r="SHQ38" s="292"/>
      <c r="SHR38" s="292"/>
      <c r="SHS38" s="292"/>
      <c r="SHT38" s="292"/>
      <c r="SHU38" s="292"/>
      <c r="SHV38" s="292"/>
      <c r="SHW38" s="292"/>
      <c r="SHX38" s="292"/>
      <c r="SHY38" s="292"/>
      <c r="SHZ38" s="292"/>
      <c r="SIA38" s="292"/>
      <c r="SIB38" s="292"/>
      <c r="SIC38" s="292"/>
      <c r="SID38" s="292"/>
      <c r="SIE38" s="292"/>
      <c r="SIF38" s="292"/>
      <c r="SIG38" s="292"/>
      <c r="SIH38" s="292"/>
      <c r="SII38" s="292"/>
      <c r="SIJ38" s="292"/>
      <c r="SIK38" s="292"/>
      <c r="SIL38" s="292"/>
      <c r="SIM38" s="292"/>
      <c r="SIN38" s="292"/>
      <c r="SIO38" s="292"/>
      <c r="SIP38" s="292"/>
      <c r="SIQ38" s="292"/>
      <c r="SIR38" s="292"/>
      <c r="SIS38" s="292"/>
      <c r="SIT38" s="292"/>
      <c r="SIU38" s="292"/>
      <c r="SIV38" s="292"/>
      <c r="SIW38" s="292"/>
      <c r="SIX38" s="292"/>
      <c r="SIY38" s="292"/>
      <c r="SIZ38" s="292"/>
      <c r="SJA38" s="292"/>
      <c r="SJB38" s="292"/>
      <c r="SJC38" s="292"/>
      <c r="SJD38" s="292"/>
      <c r="SJE38" s="292"/>
      <c r="SJF38" s="292"/>
      <c r="SJG38" s="292"/>
      <c r="SJH38" s="292"/>
      <c r="SJI38" s="292"/>
      <c r="SJJ38" s="292"/>
      <c r="SJK38" s="292"/>
      <c r="SJL38" s="292"/>
      <c r="SJM38" s="292"/>
      <c r="SJN38" s="292"/>
      <c r="SJO38" s="292"/>
      <c r="SJP38" s="292"/>
      <c r="SJQ38" s="292"/>
      <c r="SJR38" s="292"/>
      <c r="SJS38" s="292"/>
      <c r="SJT38" s="292"/>
      <c r="SJU38" s="292"/>
      <c r="SJV38" s="292"/>
      <c r="SJW38" s="292"/>
      <c r="SJX38" s="292"/>
      <c r="SJY38" s="292"/>
      <c r="SJZ38" s="292"/>
      <c r="SKA38" s="292"/>
      <c r="SKB38" s="292"/>
      <c r="SKC38" s="292"/>
      <c r="SKD38" s="292"/>
      <c r="SKE38" s="292"/>
      <c r="SKF38" s="292"/>
      <c r="SKG38" s="292"/>
      <c r="SKH38" s="292"/>
      <c r="SKI38" s="292"/>
      <c r="SKJ38" s="292"/>
      <c r="SKK38" s="292"/>
      <c r="SKL38" s="292"/>
      <c r="SKM38" s="292"/>
      <c r="SKN38" s="292"/>
      <c r="SKO38" s="292"/>
      <c r="SKP38" s="292"/>
      <c r="SKQ38" s="292"/>
      <c r="SKR38" s="292"/>
      <c r="SKS38" s="292"/>
      <c r="SKT38" s="292"/>
      <c r="SKU38" s="292"/>
      <c r="SKV38" s="292"/>
      <c r="SKW38" s="292"/>
      <c r="SKX38" s="292"/>
      <c r="SKY38" s="292"/>
      <c r="SKZ38" s="292"/>
      <c r="SLA38" s="292"/>
      <c r="SLB38" s="292"/>
      <c r="SLC38" s="292"/>
      <c r="SLD38" s="292"/>
      <c r="SLE38" s="292"/>
      <c r="SLF38" s="292"/>
      <c r="SLG38" s="292"/>
      <c r="SLH38" s="292"/>
      <c r="SLI38" s="292"/>
      <c r="SLJ38" s="292"/>
      <c r="SLK38" s="292"/>
      <c r="SLL38" s="292"/>
      <c r="SLM38" s="292"/>
      <c r="SLN38" s="292"/>
      <c r="SLO38" s="292"/>
      <c r="SLP38" s="292"/>
      <c r="SLQ38" s="292"/>
      <c r="SLR38" s="292"/>
      <c r="SLS38" s="292"/>
      <c r="SLT38" s="292"/>
      <c r="SLU38" s="292"/>
      <c r="SLV38" s="292"/>
      <c r="SLW38" s="292"/>
      <c r="SLX38" s="292"/>
      <c r="SLY38" s="292"/>
      <c r="SLZ38" s="292"/>
      <c r="SMA38" s="292"/>
      <c r="SMB38" s="292"/>
      <c r="SMC38" s="292"/>
      <c r="SMD38" s="292"/>
      <c r="SME38" s="292"/>
      <c r="SMF38" s="292"/>
      <c r="SMG38" s="292"/>
      <c r="SMH38" s="292"/>
      <c r="SMI38" s="292"/>
      <c r="SMJ38" s="292"/>
      <c r="SMK38" s="292"/>
      <c r="SML38" s="292"/>
      <c r="SMM38" s="292"/>
      <c r="SMN38" s="292"/>
      <c r="SMO38" s="292"/>
      <c r="SMP38" s="292"/>
      <c r="SMQ38" s="292"/>
      <c r="SMR38" s="292"/>
      <c r="SMS38" s="292"/>
      <c r="SMT38" s="292"/>
      <c r="SMU38" s="292"/>
      <c r="SMV38" s="292"/>
      <c r="SMW38" s="292"/>
      <c r="SMX38" s="292"/>
      <c r="SMY38" s="292"/>
      <c r="SMZ38" s="292"/>
      <c r="SNA38" s="292"/>
      <c r="SNB38" s="292"/>
      <c r="SNC38" s="292"/>
      <c r="SND38" s="292"/>
      <c r="SNE38" s="292"/>
      <c r="SNF38" s="292"/>
      <c r="SNG38" s="292"/>
      <c r="SNH38" s="292"/>
      <c r="SNI38" s="292"/>
      <c r="SNJ38" s="292"/>
      <c r="SNK38" s="292"/>
      <c r="SNL38" s="292"/>
      <c r="SNM38" s="292"/>
      <c r="SNN38" s="292"/>
      <c r="SNO38" s="292"/>
      <c r="SNP38" s="292"/>
      <c r="SNQ38" s="292"/>
      <c r="SNR38" s="292"/>
      <c r="SNS38" s="292"/>
      <c r="SNT38" s="292"/>
      <c r="SNU38" s="292"/>
      <c r="SNV38" s="292"/>
      <c r="SNW38" s="292"/>
      <c r="SNX38" s="292"/>
      <c r="SNY38" s="292"/>
      <c r="SNZ38" s="292"/>
      <c r="SOA38" s="292"/>
      <c r="SOB38" s="292"/>
      <c r="SOC38" s="292"/>
      <c r="SOD38" s="292"/>
      <c r="SOE38" s="292"/>
      <c r="SOF38" s="292"/>
      <c r="SOG38" s="292"/>
      <c r="SOH38" s="292"/>
      <c r="SOI38" s="292"/>
      <c r="SOJ38" s="292"/>
      <c r="SOK38" s="292"/>
      <c r="SOL38" s="292"/>
      <c r="SOM38" s="292"/>
      <c r="SON38" s="292"/>
      <c r="SOO38" s="292"/>
      <c r="SOP38" s="292"/>
      <c r="SOQ38" s="292"/>
      <c r="SOR38" s="292"/>
      <c r="SOS38" s="292"/>
      <c r="SOT38" s="292"/>
      <c r="SOU38" s="292"/>
      <c r="SOV38" s="292"/>
      <c r="SOW38" s="292"/>
      <c r="SOX38" s="292"/>
      <c r="SOY38" s="292"/>
      <c r="SOZ38" s="292"/>
      <c r="SPA38" s="292"/>
      <c r="SPB38" s="292"/>
      <c r="SPC38" s="292"/>
      <c r="SPD38" s="292"/>
      <c r="SPE38" s="292"/>
      <c r="SPF38" s="292"/>
      <c r="SPG38" s="292"/>
      <c r="SPH38" s="292"/>
      <c r="SPI38" s="292"/>
      <c r="SPJ38" s="292"/>
      <c r="SPK38" s="292"/>
      <c r="SPL38" s="292"/>
      <c r="SPM38" s="292"/>
      <c r="SPN38" s="292"/>
      <c r="SPO38" s="292"/>
      <c r="SPP38" s="292"/>
      <c r="SPQ38" s="292"/>
      <c r="SPR38" s="292"/>
      <c r="SPS38" s="292"/>
      <c r="SPT38" s="292"/>
      <c r="SPU38" s="292"/>
      <c r="SPV38" s="292"/>
      <c r="SPW38" s="292"/>
      <c r="SPX38" s="292"/>
      <c r="SPY38" s="292"/>
      <c r="SPZ38" s="292"/>
      <c r="SQA38" s="292"/>
      <c r="SQB38" s="292"/>
      <c r="SQC38" s="292"/>
      <c r="SQD38" s="292"/>
      <c r="SQE38" s="292"/>
      <c r="SQF38" s="292"/>
      <c r="SQG38" s="292"/>
      <c r="SQH38" s="292"/>
      <c r="SQI38" s="292"/>
      <c r="SQJ38" s="292"/>
      <c r="SQK38" s="292"/>
      <c r="SQL38" s="292"/>
      <c r="SQM38" s="292"/>
      <c r="SQN38" s="292"/>
      <c r="SQO38" s="292"/>
      <c r="SQP38" s="292"/>
      <c r="SQQ38" s="292"/>
      <c r="SQR38" s="292"/>
      <c r="SQS38" s="292"/>
      <c r="SQT38" s="292"/>
      <c r="SQU38" s="292"/>
      <c r="SQV38" s="292"/>
      <c r="SQW38" s="292"/>
      <c r="SQX38" s="292"/>
      <c r="SQY38" s="292"/>
      <c r="SQZ38" s="292"/>
      <c r="SRA38" s="292"/>
      <c r="SRB38" s="292"/>
      <c r="SRC38" s="292"/>
      <c r="SRD38" s="292"/>
      <c r="SRE38" s="292"/>
      <c r="SRF38" s="292"/>
      <c r="SRG38" s="292"/>
      <c r="SRH38" s="292"/>
      <c r="SRI38" s="292"/>
      <c r="SRJ38" s="292"/>
      <c r="SRK38" s="292"/>
      <c r="SRL38" s="292"/>
      <c r="SRM38" s="292"/>
      <c r="SRN38" s="292"/>
      <c r="SRO38" s="292"/>
      <c r="SRP38" s="292"/>
      <c r="SRQ38" s="292"/>
      <c r="SRR38" s="292"/>
      <c r="SRS38" s="292"/>
      <c r="SRT38" s="292"/>
      <c r="SRU38" s="292"/>
      <c r="SRV38" s="292"/>
      <c r="SRW38" s="292"/>
      <c r="SRX38" s="292"/>
      <c r="SRY38" s="292"/>
      <c r="SRZ38" s="292"/>
      <c r="SSA38" s="292"/>
      <c r="SSB38" s="292"/>
      <c r="SSC38" s="292"/>
      <c r="SSD38" s="292"/>
      <c r="SSE38" s="292"/>
      <c r="SSF38" s="292"/>
      <c r="SSG38" s="292"/>
      <c r="SSH38" s="292"/>
      <c r="SSI38" s="292"/>
      <c r="SSJ38" s="292"/>
      <c r="SSK38" s="292"/>
      <c r="SSL38" s="292"/>
      <c r="SSM38" s="292"/>
      <c r="SSN38" s="292"/>
      <c r="SSO38" s="292"/>
      <c r="SSP38" s="292"/>
      <c r="SSQ38" s="292"/>
      <c r="SSR38" s="292"/>
      <c r="SSS38" s="292"/>
      <c r="SST38" s="292"/>
      <c r="SSU38" s="292"/>
      <c r="SSV38" s="292"/>
      <c r="SSW38" s="292"/>
      <c r="SSX38" s="292"/>
      <c r="SSY38" s="292"/>
      <c r="SSZ38" s="292"/>
      <c r="STA38" s="292"/>
      <c r="STB38" s="292"/>
      <c r="STC38" s="292"/>
      <c r="STD38" s="292"/>
      <c r="STE38" s="292"/>
      <c r="STF38" s="292"/>
      <c r="STG38" s="292"/>
      <c r="STH38" s="292"/>
      <c r="STI38" s="292"/>
      <c r="STJ38" s="292"/>
      <c r="STK38" s="292"/>
      <c r="STL38" s="292"/>
      <c r="STM38" s="292"/>
      <c r="STN38" s="292"/>
      <c r="STO38" s="292"/>
      <c r="STP38" s="292"/>
      <c r="STQ38" s="292"/>
      <c r="STR38" s="292"/>
      <c r="STS38" s="292"/>
      <c r="STT38" s="292"/>
      <c r="STU38" s="292"/>
      <c r="STV38" s="292"/>
      <c r="STW38" s="292"/>
      <c r="STX38" s="292"/>
      <c r="STY38" s="292"/>
      <c r="STZ38" s="292"/>
      <c r="SUA38" s="292"/>
      <c r="SUB38" s="292"/>
      <c r="SUC38" s="292"/>
      <c r="SUD38" s="292"/>
      <c r="SUE38" s="292"/>
      <c r="SUF38" s="292"/>
      <c r="SUG38" s="292"/>
      <c r="SUH38" s="292"/>
      <c r="SUI38" s="292"/>
      <c r="SUJ38" s="292"/>
      <c r="SUK38" s="292"/>
      <c r="SUL38" s="292"/>
      <c r="SUM38" s="292"/>
      <c r="SUN38" s="292"/>
      <c r="SUO38" s="292"/>
      <c r="SUP38" s="292"/>
      <c r="SUQ38" s="292"/>
      <c r="SUR38" s="292"/>
      <c r="SUS38" s="292"/>
      <c r="SUT38" s="292"/>
      <c r="SUU38" s="292"/>
      <c r="SUV38" s="292"/>
      <c r="SUW38" s="292"/>
      <c r="SUX38" s="292"/>
      <c r="SUY38" s="292"/>
      <c r="SUZ38" s="292"/>
      <c r="SVA38" s="292"/>
      <c r="SVB38" s="292"/>
      <c r="SVC38" s="292"/>
      <c r="SVD38" s="292"/>
      <c r="SVE38" s="292"/>
      <c r="SVF38" s="292"/>
      <c r="SVG38" s="292"/>
      <c r="SVH38" s="292"/>
      <c r="SVI38" s="292"/>
      <c r="SVJ38" s="292"/>
      <c r="SVK38" s="292"/>
      <c r="SVL38" s="292"/>
      <c r="SVM38" s="292"/>
      <c r="SVN38" s="292"/>
      <c r="SVO38" s="292"/>
      <c r="SVP38" s="292"/>
      <c r="SVQ38" s="292"/>
      <c r="SVR38" s="292"/>
      <c r="SVS38" s="292"/>
      <c r="SVT38" s="292"/>
      <c r="SVU38" s="292"/>
      <c r="SVV38" s="292"/>
      <c r="SVW38" s="292"/>
      <c r="SVX38" s="292"/>
      <c r="SVY38" s="292"/>
      <c r="SVZ38" s="292"/>
      <c r="SWA38" s="292"/>
      <c r="SWB38" s="292"/>
      <c r="SWC38" s="292"/>
      <c r="SWD38" s="292"/>
      <c r="SWE38" s="292"/>
      <c r="SWF38" s="292"/>
      <c r="SWG38" s="292"/>
      <c r="SWH38" s="292"/>
      <c r="SWI38" s="292"/>
      <c r="SWJ38" s="292"/>
      <c r="SWK38" s="292"/>
      <c r="SWL38" s="292"/>
      <c r="SWM38" s="292"/>
      <c r="SWN38" s="292"/>
      <c r="SWO38" s="292"/>
      <c r="SWP38" s="292"/>
      <c r="SWQ38" s="292"/>
      <c r="SWR38" s="292"/>
      <c r="SWS38" s="292"/>
      <c r="SWT38" s="292"/>
      <c r="SWU38" s="292"/>
      <c r="SWV38" s="292"/>
      <c r="SWW38" s="292"/>
      <c r="SWX38" s="292"/>
      <c r="SWY38" s="292"/>
      <c r="SWZ38" s="292"/>
      <c r="SXA38" s="292"/>
      <c r="SXB38" s="292"/>
      <c r="SXC38" s="292"/>
      <c r="SXD38" s="292"/>
      <c r="SXE38" s="292"/>
      <c r="SXF38" s="292"/>
      <c r="SXG38" s="292"/>
      <c r="SXH38" s="292"/>
      <c r="SXI38" s="292"/>
      <c r="SXJ38" s="292"/>
      <c r="SXK38" s="292"/>
      <c r="SXL38" s="292"/>
      <c r="SXM38" s="292"/>
      <c r="SXN38" s="292"/>
      <c r="SXO38" s="292"/>
      <c r="SXP38" s="292"/>
      <c r="SXQ38" s="292"/>
      <c r="SXR38" s="292"/>
      <c r="SXS38" s="292"/>
      <c r="SXT38" s="292"/>
      <c r="SXU38" s="292"/>
      <c r="SXV38" s="292"/>
      <c r="SXW38" s="292"/>
      <c r="SXX38" s="292"/>
      <c r="SXY38" s="292"/>
      <c r="SXZ38" s="292"/>
      <c r="SYA38" s="292"/>
      <c r="SYB38" s="292"/>
      <c r="SYC38" s="292"/>
      <c r="SYD38" s="292"/>
      <c r="SYE38" s="292"/>
      <c r="SYF38" s="292"/>
      <c r="SYG38" s="292"/>
      <c r="SYH38" s="292"/>
      <c r="SYI38" s="292"/>
      <c r="SYJ38" s="292"/>
      <c r="SYK38" s="292"/>
      <c r="SYL38" s="292"/>
      <c r="SYM38" s="292"/>
      <c r="SYN38" s="292"/>
      <c r="SYO38" s="292"/>
      <c r="SYP38" s="292"/>
      <c r="SYQ38" s="292"/>
      <c r="SYR38" s="292"/>
      <c r="SYS38" s="292"/>
      <c r="SYT38" s="292"/>
      <c r="SYU38" s="292"/>
      <c r="SYV38" s="292"/>
      <c r="SYW38" s="292"/>
      <c r="SYX38" s="292"/>
      <c r="SYY38" s="292"/>
      <c r="SYZ38" s="292"/>
      <c r="SZA38" s="292"/>
      <c r="SZB38" s="292"/>
      <c r="SZC38" s="292"/>
      <c r="SZD38" s="292"/>
      <c r="SZE38" s="292"/>
      <c r="SZF38" s="292"/>
      <c r="SZG38" s="292"/>
      <c r="SZH38" s="292"/>
      <c r="SZI38" s="292"/>
      <c r="SZJ38" s="292"/>
      <c r="SZK38" s="292"/>
      <c r="SZL38" s="292"/>
      <c r="SZM38" s="292"/>
      <c r="SZN38" s="292"/>
      <c r="SZO38" s="292"/>
      <c r="SZP38" s="292"/>
      <c r="SZQ38" s="292"/>
      <c r="SZR38" s="292"/>
      <c r="SZS38" s="292"/>
      <c r="SZT38" s="292"/>
      <c r="SZU38" s="292"/>
      <c r="SZV38" s="292"/>
      <c r="SZW38" s="292"/>
      <c r="SZX38" s="292"/>
      <c r="SZY38" s="292"/>
      <c r="SZZ38" s="292"/>
      <c r="TAA38" s="292"/>
      <c r="TAB38" s="292"/>
      <c r="TAC38" s="292"/>
      <c r="TAD38" s="292"/>
      <c r="TAE38" s="292"/>
      <c r="TAF38" s="292"/>
      <c r="TAG38" s="292"/>
      <c r="TAH38" s="292"/>
      <c r="TAI38" s="292"/>
      <c r="TAJ38" s="292"/>
      <c r="TAK38" s="292"/>
      <c r="TAL38" s="292"/>
      <c r="TAM38" s="292"/>
      <c r="TAN38" s="292"/>
      <c r="TAO38" s="292"/>
      <c r="TAP38" s="292"/>
      <c r="TAQ38" s="292"/>
      <c r="TAR38" s="292"/>
      <c r="TAS38" s="292"/>
      <c r="TAT38" s="292"/>
      <c r="TAU38" s="292"/>
      <c r="TAV38" s="292"/>
      <c r="TAW38" s="292"/>
      <c r="TAX38" s="292"/>
      <c r="TAY38" s="292"/>
      <c r="TAZ38" s="292"/>
      <c r="TBA38" s="292"/>
      <c r="TBB38" s="292"/>
      <c r="TBC38" s="292"/>
      <c r="TBD38" s="292"/>
      <c r="TBE38" s="292"/>
      <c r="TBF38" s="292"/>
      <c r="TBG38" s="292"/>
      <c r="TBH38" s="292"/>
      <c r="TBI38" s="292"/>
      <c r="TBJ38" s="292"/>
      <c r="TBK38" s="292"/>
      <c r="TBL38" s="292"/>
      <c r="TBM38" s="292"/>
      <c r="TBN38" s="292"/>
      <c r="TBO38" s="292"/>
      <c r="TBP38" s="292"/>
      <c r="TBQ38" s="292"/>
      <c r="TBR38" s="292"/>
      <c r="TBS38" s="292"/>
      <c r="TBT38" s="292"/>
      <c r="TBU38" s="292"/>
      <c r="TBV38" s="292"/>
      <c r="TBW38" s="292"/>
      <c r="TBX38" s="292"/>
      <c r="TBY38" s="292"/>
      <c r="TBZ38" s="292"/>
      <c r="TCA38" s="292"/>
      <c r="TCB38" s="292"/>
      <c r="TCC38" s="292"/>
      <c r="TCD38" s="292"/>
      <c r="TCE38" s="292"/>
      <c r="TCF38" s="292"/>
      <c r="TCG38" s="292"/>
      <c r="TCH38" s="292"/>
      <c r="TCI38" s="292"/>
      <c r="TCJ38" s="292"/>
      <c r="TCK38" s="292"/>
      <c r="TCL38" s="292"/>
      <c r="TCM38" s="292"/>
      <c r="TCN38" s="292"/>
      <c r="TCO38" s="292"/>
      <c r="TCP38" s="292"/>
      <c r="TCQ38" s="292"/>
      <c r="TCR38" s="292"/>
      <c r="TCS38" s="292"/>
      <c r="TCT38" s="292"/>
      <c r="TCU38" s="292"/>
      <c r="TCV38" s="292"/>
      <c r="TCW38" s="292"/>
      <c r="TCX38" s="292"/>
      <c r="TCY38" s="292"/>
      <c r="TCZ38" s="292"/>
      <c r="TDA38" s="292"/>
      <c r="TDB38" s="292"/>
      <c r="TDC38" s="292"/>
      <c r="TDD38" s="292"/>
      <c r="TDE38" s="292"/>
      <c r="TDF38" s="292"/>
      <c r="TDG38" s="292"/>
      <c r="TDH38" s="292"/>
      <c r="TDI38" s="292"/>
      <c r="TDJ38" s="292"/>
      <c r="TDK38" s="292"/>
      <c r="TDL38" s="292"/>
      <c r="TDM38" s="292"/>
      <c r="TDN38" s="292"/>
      <c r="TDO38" s="292"/>
      <c r="TDP38" s="292"/>
      <c r="TDQ38" s="292"/>
      <c r="TDR38" s="292"/>
      <c r="TDS38" s="292"/>
      <c r="TDT38" s="292"/>
      <c r="TDU38" s="292"/>
      <c r="TDV38" s="292"/>
      <c r="TDW38" s="292"/>
      <c r="TDX38" s="292"/>
      <c r="TDY38" s="292"/>
      <c r="TDZ38" s="292"/>
      <c r="TEA38" s="292"/>
      <c r="TEB38" s="292"/>
      <c r="TEC38" s="292"/>
      <c r="TED38" s="292"/>
      <c r="TEE38" s="292"/>
      <c r="TEF38" s="292"/>
      <c r="TEG38" s="292"/>
      <c r="TEH38" s="292"/>
      <c r="TEI38" s="292"/>
      <c r="TEJ38" s="292"/>
      <c r="TEK38" s="292"/>
      <c r="TEL38" s="292"/>
      <c r="TEM38" s="292"/>
      <c r="TEN38" s="292"/>
      <c r="TEO38" s="292"/>
      <c r="TEP38" s="292"/>
      <c r="TEQ38" s="292"/>
      <c r="TER38" s="292"/>
      <c r="TES38" s="292"/>
      <c r="TET38" s="292"/>
      <c r="TEU38" s="292"/>
      <c r="TEV38" s="292"/>
      <c r="TEW38" s="292"/>
      <c r="TEX38" s="292"/>
      <c r="TEY38" s="292"/>
      <c r="TEZ38" s="292"/>
      <c r="TFA38" s="292"/>
      <c r="TFB38" s="292"/>
      <c r="TFC38" s="292"/>
      <c r="TFD38" s="292"/>
      <c r="TFE38" s="292"/>
      <c r="TFF38" s="292"/>
      <c r="TFG38" s="292"/>
      <c r="TFH38" s="292"/>
      <c r="TFI38" s="292"/>
      <c r="TFJ38" s="292"/>
      <c r="TFK38" s="292"/>
      <c r="TFL38" s="292"/>
      <c r="TFM38" s="292"/>
      <c r="TFN38" s="292"/>
      <c r="TFO38" s="292"/>
      <c r="TFP38" s="292"/>
      <c r="TFQ38" s="292"/>
      <c r="TFR38" s="292"/>
      <c r="TFS38" s="292"/>
      <c r="TFT38" s="292"/>
      <c r="TFU38" s="292"/>
      <c r="TFV38" s="292"/>
      <c r="TFW38" s="292"/>
      <c r="TFX38" s="292"/>
      <c r="TFY38" s="292"/>
      <c r="TFZ38" s="292"/>
      <c r="TGA38" s="292"/>
      <c r="TGB38" s="292"/>
      <c r="TGC38" s="292"/>
      <c r="TGD38" s="292"/>
      <c r="TGE38" s="292"/>
      <c r="TGF38" s="292"/>
      <c r="TGG38" s="292"/>
      <c r="TGH38" s="292"/>
      <c r="TGI38" s="292"/>
      <c r="TGJ38" s="292"/>
      <c r="TGK38" s="292"/>
      <c r="TGL38" s="292"/>
      <c r="TGM38" s="292"/>
      <c r="TGN38" s="292"/>
      <c r="TGO38" s="292"/>
      <c r="TGP38" s="292"/>
      <c r="TGQ38" s="292"/>
      <c r="TGR38" s="292"/>
      <c r="TGS38" s="292"/>
      <c r="TGT38" s="292"/>
      <c r="TGU38" s="292"/>
      <c r="TGV38" s="292"/>
      <c r="TGW38" s="292"/>
      <c r="TGX38" s="292"/>
      <c r="TGY38" s="292"/>
      <c r="TGZ38" s="292"/>
      <c r="THA38" s="292"/>
      <c r="THB38" s="292"/>
      <c r="THC38" s="292"/>
      <c r="THD38" s="292"/>
      <c r="THE38" s="292"/>
      <c r="THF38" s="292"/>
      <c r="THG38" s="292"/>
      <c r="THH38" s="292"/>
      <c r="THI38" s="292"/>
      <c r="THJ38" s="292"/>
      <c r="THK38" s="292"/>
      <c r="THL38" s="292"/>
      <c r="THM38" s="292"/>
      <c r="THN38" s="292"/>
      <c r="THO38" s="292"/>
      <c r="THP38" s="292"/>
      <c r="THQ38" s="292"/>
      <c r="THR38" s="292"/>
      <c r="THS38" s="292"/>
      <c r="THT38" s="292"/>
      <c r="THU38" s="292"/>
      <c r="THV38" s="292"/>
      <c r="THW38" s="292"/>
      <c r="THX38" s="292"/>
      <c r="THY38" s="292"/>
      <c r="THZ38" s="292"/>
      <c r="TIA38" s="292"/>
      <c r="TIB38" s="292"/>
      <c r="TIC38" s="292"/>
      <c r="TID38" s="292"/>
      <c r="TIE38" s="292"/>
      <c r="TIF38" s="292"/>
      <c r="TIG38" s="292"/>
      <c r="TIH38" s="292"/>
      <c r="TII38" s="292"/>
      <c r="TIJ38" s="292"/>
      <c r="TIK38" s="292"/>
      <c r="TIL38" s="292"/>
      <c r="TIM38" s="292"/>
      <c r="TIN38" s="292"/>
      <c r="TIO38" s="292"/>
      <c r="TIP38" s="292"/>
      <c r="TIQ38" s="292"/>
      <c r="TIR38" s="292"/>
      <c r="TIS38" s="292"/>
      <c r="TIT38" s="292"/>
      <c r="TIU38" s="292"/>
      <c r="TIV38" s="292"/>
      <c r="TIW38" s="292"/>
      <c r="TIX38" s="292"/>
      <c r="TIY38" s="292"/>
      <c r="TIZ38" s="292"/>
      <c r="TJA38" s="292"/>
      <c r="TJB38" s="292"/>
      <c r="TJC38" s="292"/>
      <c r="TJD38" s="292"/>
      <c r="TJE38" s="292"/>
      <c r="TJF38" s="292"/>
      <c r="TJG38" s="292"/>
      <c r="TJH38" s="292"/>
      <c r="TJI38" s="292"/>
      <c r="TJJ38" s="292"/>
      <c r="TJK38" s="292"/>
      <c r="TJL38" s="292"/>
      <c r="TJM38" s="292"/>
      <c r="TJN38" s="292"/>
      <c r="TJO38" s="292"/>
      <c r="TJP38" s="292"/>
      <c r="TJQ38" s="292"/>
      <c r="TJR38" s="292"/>
      <c r="TJS38" s="292"/>
      <c r="TJT38" s="292"/>
      <c r="TJU38" s="292"/>
      <c r="TJV38" s="292"/>
      <c r="TJW38" s="292"/>
      <c r="TJX38" s="292"/>
      <c r="TJY38" s="292"/>
      <c r="TJZ38" s="292"/>
      <c r="TKA38" s="292"/>
      <c r="TKB38" s="292"/>
      <c r="TKC38" s="292"/>
      <c r="TKD38" s="292"/>
      <c r="TKE38" s="292"/>
      <c r="TKF38" s="292"/>
      <c r="TKG38" s="292"/>
      <c r="TKH38" s="292"/>
      <c r="TKI38" s="292"/>
      <c r="TKJ38" s="292"/>
      <c r="TKK38" s="292"/>
      <c r="TKL38" s="292"/>
      <c r="TKM38" s="292"/>
      <c r="TKN38" s="292"/>
      <c r="TKO38" s="292"/>
      <c r="TKP38" s="292"/>
      <c r="TKQ38" s="292"/>
      <c r="TKR38" s="292"/>
      <c r="TKS38" s="292"/>
      <c r="TKT38" s="292"/>
      <c r="TKU38" s="292"/>
      <c r="TKV38" s="292"/>
      <c r="TKW38" s="292"/>
      <c r="TKX38" s="292"/>
      <c r="TKY38" s="292"/>
      <c r="TKZ38" s="292"/>
      <c r="TLA38" s="292"/>
      <c r="TLB38" s="292"/>
      <c r="TLC38" s="292"/>
      <c r="TLD38" s="292"/>
      <c r="TLE38" s="292"/>
      <c r="TLF38" s="292"/>
      <c r="TLG38" s="292"/>
      <c r="TLH38" s="292"/>
      <c r="TLI38" s="292"/>
      <c r="TLJ38" s="292"/>
      <c r="TLK38" s="292"/>
      <c r="TLL38" s="292"/>
      <c r="TLM38" s="292"/>
      <c r="TLN38" s="292"/>
      <c r="TLO38" s="292"/>
      <c r="TLP38" s="292"/>
      <c r="TLQ38" s="292"/>
      <c r="TLR38" s="292"/>
      <c r="TLS38" s="292"/>
      <c r="TLT38" s="292"/>
      <c r="TLU38" s="292"/>
      <c r="TLV38" s="292"/>
      <c r="TLW38" s="292"/>
      <c r="TLX38" s="292"/>
      <c r="TLY38" s="292"/>
      <c r="TLZ38" s="292"/>
      <c r="TMA38" s="292"/>
      <c r="TMB38" s="292"/>
      <c r="TMC38" s="292"/>
      <c r="TMD38" s="292"/>
      <c r="TME38" s="292"/>
      <c r="TMF38" s="292"/>
      <c r="TMG38" s="292"/>
      <c r="TMH38" s="292"/>
      <c r="TMI38" s="292"/>
      <c r="TMJ38" s="292"/>
      <c r="TMK38" s="292"/>
      <c r="TML38" s="292"/>
      <c r="TMM38" s="292"/>
      <c r="TMN38" s="292"/>
      <c r="TMO38" s="292"/>
      <c r="TMP38" s="292"/>
      <c r="TMQ38" s="292"/>
      <c r="TMR38" s="292"/>
      <c r="TMS38" s="292"/>
      <c r="TMT38" s="292"/>
      <c r="TMU38" s="292"/>
      <c r="TMV38" s="292"/>
      <c r="TMW38" s="292"/>
      <c r="TMX38" s="292"/>
      <c r="TMY38" s="292"/>
      <c r="TMZ38" s="292"/>
      <c r="TNA38" s="292"/>
      <c r="TNB38" s="292"/>
      <c r="TNC38" s="292"/>
      <c r="TND38" s="292"/>
      <c r="TNE38" s="292"/>
      <c r="TNF38" s="292"/>
      <c r="TNG38" s="292"/>
      <c r="TNH38" s="292"/>
      <c r="TNI38" s="292"/>
      <c r="TNJ38" s="292"/>
      <c r="TNK38" s="292"/>
      <c r="TNL38" s="292"/>
      <c r="TNM38" s="292"/>
      <c r="TNN38" s="292"/>
      <c r="TNO38" s="292"/>
      <c r="TNP38" s="292"/>
      <c r="TNQ38" s="292"/>
      <c r="TNR38" s="292"/>
      <c r="TNS38" s="292"/>
      <c r="TNT38" s="292"/>
      <c r="TNU38" s="292"/>
      <c r="TNV38" s="292"/>
      <c r="TNW38" s="292"/>
      <c r="TNX38" s="292"/>
      <c r="TNY38" s="292"/>
      <c r="TNZ38" s="292"/>
      <c r="TOA38" s="292"/>
      <c r="TOB38" s="292"/>
      <c r="TOC38" s="292"/>
      <c r="TOD38" s="292"/>
      <c r="TOE38" s="292"/>
      <c r="TOF38" s="292"/>
      <c r="TOG38" s="292"/>
      <c r="TOH38" s="292"/>
      <c r="TOI38" s="292"/>
      <c r="TOJ38" s="292"/>
      <c r="TOK38" s="292"/>
      <c r="TOL38" s="292"/>
      <c r="TOM38" s="292"/>
      <c r="TON38" s="292"/>
      <c r="TOO38" s="292"/>
      <c r="TOP38" s="292"/>
      <c r="TOQ38" s="292"/>
      <c r="TOR38" s="292"/>
      <c r="TOS38" s="292"/>
      <c r="TOT38" s="292"/>
      <c r="TOU38" s="292"/>
      <c r="TOV38" s="292"/>
      <c r="TOW38" s="292"/>
      <c r="TOX38" s="292"/>
      <c r="TOY38" s="292"/>
      <c r="TOZ38" s="292"/>
      <c r="TPA38" s="292"/>
      <c r="TPB38" s="292"/>
      <c r="TPC38" s="292"/>
      <c r="TPD38" s="292"/>
      <c r="TPE38" s="292"/>
      <c r="TPF38" s="292"/>
      <c r="TPG38" s="292"/>
      <c r="TPH38" s="292"/>
      <c r="TPI38" s="292"/>
      <c r="TPJ38" s="292"/>
      <c r="TPK38" s="292"/>
      <c r="TPL38" s="292"/>
      <c r="TPM38" s="292"/>
      <c r="TPN38" s="292"/>
      <c r="TPO38" s="292"/>
      <c r="TPP38" s="292"/>
      <c r="TPQ38" s="292"/>
      <c r="TPR38" s="292"/>
      <c r="TPS38" s="292"/>
      <c r="TPT38" s="292"/>
      <c r="TPU38" s="292"/>
      <c r="TPV38" s="292"/>
      <c r="TPW38" s="292"/>
      <c r="TPX38" s="292"/>
      <c r="TPY38" s="292"/>
      <c r="TPZ38" s="292"/>
      <c r="TQA38" s="292"/>
      <c r="TQB38" s="292"/>
      <c r="TQC38" s="292"/>
      <c r="TQD38" s="292"/>
      <c r="TQE38" s="292"/>
      <c r="TQF38" s="292"/>
      <c r="TQG38" s="292"/>
      <c r="TQH38" s="292"/>
      <c r="TQI38" s="292"/>
      <c r="TQJ38" s="292"/>
      <c r="TQK38" s="292"/>
      <c r="TQL38" s="292"/>
      <c r="TQM38" s="292"/>
      <c r="TQN38" s="292"/>
      <c r="TQO38" s="292"/>
      <c r="TQP38" s="292"/>
      <c r="TQQ38" s="292"/>
      <c r="TQR38" s="292"/>
      <c r="TQS38" s="292"/>
      <c r="TQT38" s="292"/>
      <c r="TQU38" s="292"/>
      <c r="TQV38" s="292"/>
      <c r="TQW38" s="292"/>
      <c r="TQX38" s="292"/>
      <c r="TQY38" s="292"/>
      <c r="TQZ38" s="292"/>
      <c r="TRA38" s="292"/>
      <c r="TRB38" s="292"/>
      <c r="TRC38" s="292"/>
      <c r="TRD38" s="292"/>
      <c r="TRE38" s="292"/>
      <c r="TRF38" s="292"/>
      <c r="TRG38" s="292"/>
      <c r="TRH38" s="292"/>
      <c r="TRI38" s="292"/>
      <c r="TRJ38" s="292"/>
      <c r="TRK38" s="292"/>
      <c r="TRL38" s="292"/>
      <c r="TRM38" s="292"/>
      <c r="TRN38" s="292"/>
      <c r="TRO38" s="292"/>
      <c r="TRP38" s="292"/>
      <c r="TRQ38" s="292"/>
      <c r="TRR38" s="292"/>
      <c r="TRS38" s="292"/>
      <c r="TRT38" s="292"/>
      <c r="TRU38" s="292"/>
      <c r="TRV38" s="292"/>
      <c r="TRW38" s="292"/>
      <c r="TRX38" s="292"/>
      <c r="TRY38" s="292"/>
      <c r="TRZ38" s="292"/>
      <c r="TSA38" s="292"/>
      <c r="TSB38" s="292"/>
      <c r="TSC38" s="292"/>
      <c r="TSD38" s="292"/>
      <c r="TSE38" s="292"/>
      <c r="TSF38" s="292"/>
      <c r="TSG38" s="292"/>
      <c r="TSH38" s="292"/>
      <c r="TSI38" s="292"/>
      <c r="TSJ38" s="292"/>
      <c r="TSK38" s="292"/>
      <c r="TSL38" s="292"/>
      <c r="TSM38" s="292"/>
      <c r="TSN38" s="292"/>
      <c r="TSO38" s="292"/>
      <c r="TSP38" s="292"/>
      <c r="TSQ38" s="292"/>
      <c r="TSR38" s="292"/>
      <c r="TSS38" s="292"/>
      <c r="TST38" s="292"/>
      <c r="TSU38" s="292"/>
      <c r="TSV38" s="292"/>
      <c r="TSW38" s="292"/>
      <c r="TSX38" s="292"/>
      <c r="TSY38" s="292"/>
      <c r="TSZ38" s="292"/>
      <c r="TTA38" s="292"/>
      <c r="TTB38" s="292"/>
      <c r="TTC38" s="292"/>
      <c r="TTD38" s="292"/>
      <c r="TTE38" s="292"/>
      <c r="TTF38" s="292"/>
      <c r="TTG38" s="292"/>
      <c r="TTH38" s="292"/>
      <c r="TTI38" s="292"/>
      <c r="TTJ38" s="292"/>
      <c r="TTK38" s="292"/>
      <c r="TTL38" s="292"/>
      <c r="TTM38" s="292"/>
      <c r="TTN38" s="292"/>
      <c r="TTO38" s="292"/>
      <c r="TTP38" s="292"/>
      <c r="TTQ38" s="292"/>
      <c r="TTR38" s="292"/>
      <c r="TTS38" s="292"/>
      <c r="TTT38" s="292"/>
      <c r="TTU38" s="292"/>
      <c r="TTV38" s="292"/>
      <c r="TTW38" s="292"/>
      <c r="TTX38" s="292"/>
      <c r="TTY38" s="292"/>
      <c r="TTZ38" s="292"/>
      <c r="TUA38" s="292"/>
      <c r="TUB38" s="292"/>
      <c r="TUC38" s="292"/>
      <c r="TUD38" s="292"/>
      <c r="TUE38" s="292"/>
      <c r="TUF38" s="292"/>
      <c r="TUG38" s="292"/>
      <c r="TUH38" s="292"/>
      <c r="TUI38" s="292"/>
      <c r="TUJ38" s="292"/>
      <c r="TUK38" s="292"/>
      <c r="TUL38" s="292"/>
      <c r="TUM38" s="292"/>
      <c r="TUN38" s="292"/>
      <c r="TUO38" s="292"/>
      <c r="TUP38" s="292"/>
      <c r="TUQ38" s="292"/>
      <c r="TUR38" s="292"/>
      <c r="TUS38" s="292"/>
      <c r="TUT38" s="292"/>
      <c r="TUU38" s="292"/>
      <c r="TUV38" s="292"/>
      <c r="TUW38" s="292"/>
      <c r="TUX38" s="292"/>
      <c r="TUY38" s="292"/>
      <c r="TUZ38" s="292"/>
      <c r="TVA38" s="292"/>
      <c r="TVB38" s="292"/>
      <c r="TVC38" s="292"/>
      <c r="TVD38" s="292"/>
      <c r="TVE38" s="292"/>
      <c r="TVF38" s="292"/>
      <c r="TVG38" s="292"/>
      <c r="TVH38" s="292"/>
      <c r="TVI38" s="292"/>
      <c r="TVJ38" s="292"/>
      <c r="TVK38" s="292"/>
      <c r="TVL38" s="292"/>
      <c r="TVM38" s="292"/>
      <c r="TVN38" s="292"/>
      <c r="TVO38" s="292"/>
      <c r="TVP38" s="292"/>
      <c r="TVQ38" s="292"/>
      <c r="TVR38" s="292"/>
      <c r="TVS38" s="292"/>
      <c r="TVT38" s="292"/>
      <c r="TVU38" s="292"/>
      <c r="TVV38" s="292"/>
      <c r="TVW38" s="292"/>
      <c r="TVX38" s="292"/>
      <c r="TVY38" s="292"/>
      <c r="TVZ38" s="292"/>
      <c r="TWA38" s="292"/>
      <c r="TWB38" s="292"/>
      <c r="TWC38" s="292"/>
      <c r="TWD38" s="292"/>
      <c r="TWE38" s="292"/>
      <c r="TWF38" s="292"/>
      <c r="TWG38" s="292"/>
      <c r="TWH38" s="292"/>
      <c r="TWI38" s="292"/>
      <c r="TWJ38" s="292"/>
      <c r="TWK38" s="292"/>
      <c r="TWL38" s="292"/>
      <c r="TWM38" s="292"/>
      <c r="TWN38" s="292"/>
      <c r="TWO38" s="292"/>
      <c r="TWP38" s="292"/>
      <c r="TWQ38" s="292"/>
      <c r="TWR38" s="292"/>
      <c r="TWS38" s="292"/>
      <c r="TWT38" s="292"/>
      <c r="TWU38" s="292"/>
      <c r="TWV38" s="292"/>
      <c r="TWW38" s="292"/>
      <c r="TWX38" s="292"/>
      <c r="TWY38" s="292"/>
      <c r="TWZ38" s="292"/>
      <c r="TXA38" s="292"/>
      <c r="TXB38" s="292"/>
      <c r="TXC38" s="292"/>
      <c r="TXD38" s="292"/>
      <c r="TXE38" s="292"/>
      <c r="TXF38" s="292"/>
      <c r="TXG38" s="292"/>
      <c r="TXH38" s="292"/>
      <c r="TXI38" s="292"/>
      <c r="TXJ38" s="292"/>
      <c r="TXK38" s="292"/>
      <c r="TXL38" s="292"/>
      <c r="TXM38" s="292"/>
      <c r="TXN38" s="292"/>
      <c r="TXO38" s="292"/>
      <c r="TXP38" s="292"/>
      <c r="TXQ38" s="292"/>
      <c r="TXR38" s="292"/>
      <c r="TXS38" s="292"/>
      <c r="TXT38" s="292"/>
      <c r="TXU38" s="292"/>
      <c r="TXV38" s="292"/>
      <c r="TXW38" s="292"/>
      <c r="TXX38" s="292"/>
      <c r="TXY38" s="292"/>
      <c r="TXZ38" s="292"/>
      <c r="TYA38" s="292"/>
      <c r="TYB38" s="292"/>
      <c r="TYC38" s="292"/>
      <c r="TYD38" s="292"/>
      <c r="TYE38" s="292"/>
      <c r="TYF38" s="292"/>
      <c r="TYG38" s="292"/>
      <c r="TYH38" s="292"/>
      <c r="TYI38" s="292"/>
      <c r="TYJ38" s="292"/>
      <c r="TYK38" s="292"/>
      <c r="TYL38" s="292"/>
      <c r="TYM38" s="292"/>
      <c r="TYN38" s="292"/>
      <c r="TYO38" s="292"/>
      <c r="TYP38" s="292"/>
      <c r="TYQ38" s="292"/>
      <c r="TYR38" s="292"/>
      <c r="TYS38" s="292"/>
      <c r="TYT38" s="292"/>
      <c r="TYU38" s="292"/>
      <c r="TYV38" s="292"/>
      <c r="TYW38" s="292"/>
      <c r="TYX38" s="292"/>
      <c r="TYY38" s="292"/>
      <c r="TYZ38" s="292"/>
      <c r="TZA38" s="292"/>
      <c r="TZB38" s="292"/>
      <c r="TZC38" s="292"/>
      <c r="TZD38" s="292"/>
      <c r="TZE38" s="292"/>
      <c r="TZF38" s="292"/>
      <c r="TZG38" s="292"/>
      <c r="TZH38" s="292"/>
      <c r="TZI38" s="292"/>
      <c r="TZJ38" s="292"/>
      <c r="TZK38" s="292"/>
      <c r="TZL38" s="292"/>
      <c r="TZM38" s="292"/>
      <c r="TZN38" s="292"/>
      <c r="TZO38" s="292"/>
      <c r="TZP38" s="292"/>
      <c r="TZQ38" s="292"/>
      <c r="TZR38" s="292"/>
      <c r="TZS38" s="292"/>
      <c r="TZT38" s="292"/>
      <c r="TZU38" s="292"/>
      <c r="TZV38" s="292"/>
      <c r="TZW38" s="292"/>
      <c r="TZX38" s="292"/>
      <c r="TZY38" s="292"/>
      <c r="TZZ38" s="292"/>
      <c r="UAA38" s="292"/>
      <c r="UAB38" s="292"/>
      <c r="UAC38" s="292"/>
      <c r="UAD38" s="292"/>
      <c r="UAE38" s="292"/>
      <c r="UAF38" s="292"/>
      <c r="UAG38" s="292"/>
      <c r="UAH38" s="292"/>
      <c r="UAI38" s="292"/>
      <c r="UAJ38" s="292"/>
      <c r="UAK38" s="292"/>
      <c r="UAL38" s="292"/>
      <c r="UAM38" s="292"/>
      <c r="UAN38" s="292"/>
      <c r="UAO38" s="292"/>
      <c r="UAP38" s="292"/>
      <c r="UAQ38" s="292"/>
      <c r="UAR38" s="292"/>
      <c r="UAS38" s="292"/>
      <c r="UAT38" s="292"/>
      <c r="UAU38" s="292"/>
      <c r="UAV38" s="292"/>
      <c r="UAW38" s="292"/>
      <c r="UAX38" s="292"/>
      <c r="UAY38" s="292"/>
      <c r="UAZ38" s="292"/>
      <c r="UBA38" s="292"/>
      <c r="UBB38" s="292"/>
      <c r="UBC38" s="292"/>
      <c r="UBD38" s="292"/>
      <c r="UBE38" s="292"/>
      <c r="UBF38" s="292"/>
      <c r="UBG38" s="292"/>
      <c r="UBH38" s="292"/>
      <c r="UBI38" s="292"/>
      <c r="UBJ38" s="292"/>
      <c r="UBK38" s="292"/>
      <c r="UBL38" s="292"/>
      <c r="UBM38" s="292"/>
      <c r="UBN38" s="292"/>
      <c r="UBO38" s="292"/>
      <c r="UBP38" s="292"/>
      <c r="UBQ38" s="292"/>
      <c r="UBR38" s="292"/>
      <c r="UBS38" s="292"/>
      <c r="UBT38" s="292"/>
      <c r="UBU38" s="292"/>
      <c r="UBV38" s="292"/>
      <c r="UBW38" s="292"/>
      <c r="UBX38" s="292"/>
      <c r="UBY38" s="292"/>
      <c r="UBZ38" s="292"/>
      <c r="UCA38" s="292"/>
      <c r="UCB38" s="292"/>
      <c r="UCC38" s="292"/>
      <c r="UCD38" s="292"/>
      <c r="UCE38" s="292"/>
      <c r="UCF38" s="292"/>
      <c r="UCG38" s="292"/>
      <c r="UCH38" s="292"/>
      <c r="UCI38" s="292"/>
      <c r="UCJ38" s="292"/>
      <c r="UCK38" s="292"/>
      <c r="UCL38" s="292"/>
      <c r="UCM38" s="292"/>
      <c r="UCN38" s="292"/>
      <c r="UCO38" s="292"/>
      <c r="UCP38" s="292"/>
      <c r="UCQ38" s="292"/>
      <c r="UCR38" s="292"/>
      <c r="UCS38" s="292"/>
      <c r="UCT38" s="292"/>
      <c r="UCU38" s="292"/>
      <c r="UCV38" s="292"/>
      <c r="UCW38" s="292"/>
      <c r="UCX38" s="292"/>
      <c r="UCY38" s="292"/>
      <c r="UCZ38" s="292"/>
      <c r="UDA38" s="292"/>
      <c r="UDB38" s="292"/>
      <c r="UDC38" s="292"/>
      <c r="UDD38" s="292"/>
      <c r="UDE38" s="292"/>
      <c r="UDF38" s="292"/>
      <c r="UDG38" s="292"/>
      <c r="UDH38" s="292"/>
      <c r="UDI38" s="292"/>
      <c r="UDJ38" s="292"/>
      <c r="UDK38" s="292"/>
      <c r="UDL38" s="292"/>
      <c r="UDM38" s="292"/>
      <c r="UDN38" s="292"/>
      <c r="UDO38" s="292"/>
      <c r="UDP38" s="292"/>
      <c r="UDQ38" s="292"/>
      <c r="UDR38" s="292"/>
      <c r="UDS38" s="292"/>
      <c r="UDT38" s="292"/>
      <c r="UDU38" s="292"/>
      <c r="UDV38" s="292"/>
      <c r="UDW38" s="292"/>
      <c r="UDX38" s="292"/>
      <c r="UDY38" s="292"/>
      <c r="UDZ38" s="292"/>
      <c r="UEA38" s="292"/>
      <c r="UEB38" s="292"/>
      <c r="UEC38" s="292"/>
      <c r="UED38" s="292"/>
      <c r="UEE38" s="292"/>
      <c r="UEF38" s="292"/>
      <c r="UEG38" s="292"/>
      <c r="UEH38" s="292"/>
      <c r="UEI38" s="292"/>
      <c r="UEJ38" s="292"/>
      <c r="UEK38" s="292"/>
      <c r="UEL38" s="292"/>
      <c r="UEM38" s="292"/>
      <c r="UEN38" s="292"/>
      <c r="UEO38" s="292"/>
      <c r="UEP38" s="292"/>
      <c r="UEQ38" s="292"/>
      <c r="UER38" s="292"/>
      <c r="UES38" s="292"/>
      <c r="UET38" s="292"/>
      <c r="UEU38" s="292"/>
      <c r="UEV38" s="292"/>
      <c r="UEW38" s="292"/>
      <c r="UEX38" s="292"/>
      <c r="UEY38" s="292"/>
      <c r="UEZ38" s="292"/>
      <c r="UFA38" s="292"/>
      <c r="UFB38" s="292"/>
      <c r="UFC38" s="292"/>
      <c r="UFD38" s="292"/>
      <c r="UFE38" s="292"/>
      <c r="UFF38" s="292"/>
      <c r="UFG38" s="292"/>
      <c r="UFH38" s="292"/>
      <c r="UFI38" s="292"/>
      <c r="UFJ38" s="292"/>
      <c r="UFK38" s="292"/>
      <c r="UFL38" s="292"/>
      <c r="UFM38" s="292"/>
      <c r="UFN38" s="292"/>
      <c r="UFO38" s="292"/>
      <c r="UFP38" s="292"/>
      <c r="UFQ38" s="292"/>
      <c r="UFR38" s="292"/>
      <c r="UFS38" s="292"/>
      <c r="UFT38" s="292"/>
      <c r="UFU38" s="292"/>
      <c r="UFV38" s="292"/>
      <c r="UFW38" s="292"/>
      <c r="UFX38" s="292"/>
      <c r="UFY38" s="292"/>
      <c r="UFZ38" s="292"/>
      <c r="UGA38" s="292"/>
      <c r="UGB38" s="292"/>
      <c r="UGC38" s="292"/>
      <c r="UGD38" s="292"/>
      <c r="UGE38" s="292"/>
      <c r="UGF38" s="292"/>
      <c r="UGG38" s="292"/>
      <c r="UGH38" s="292"/>
      <c r="UGI38" s="292"/>
      <c r="UGJ38" s="292"/>
      <c r="UGK38" s="292"/>
      <c r="UGL38" s="292"/>
      <c r="UGM38" s="292"/>
      <c r="UGN38" s="292"/>
      <c r="UGO38" s="292"/>
      <c r="UGP38" s="292"/>
      <c r="UGQ38" s="292"/>
      <c r="UGR38" s="292"/>
      <c r="UGS38" s="292"/>
      <c r="UGT38" s="292"/>
      <c r="UGU38" s="292"/>
      <c r="UGV38" s="292"/>
      <c r="UGW38" s="292"/>
      <c r="UGX38" s="292"/>
      <c r="UGY38" s="292"/>
      <c r="UGZ38" s="292"/>
      <c r="UHA38" s="292"/>
      <c r="UHB38" s="292"/>
      <c r="UHC38" s="292"/>
      <c r="UHD38" s="292"/>
      <c r="UHE38" s="292"/>
      <c r="UHF38" s="292"/>
      <c r="UHG38" s="292"/>
      <c r="UHH38" s="292"/>
      <c r="UHI38" s="292"/>
      <c r="UHJ38" s="292"/>
      <c r="UHK38" s="292"/>
      <c r="UHL38" s="292"/>
      <c r="UHM38" s="292"/>
      <c r="UHN38" s="292"/>
      <c r="UHO38" s="292"/>
      <c r="UHP38" s="292"/>
      <c r="UHQ38" s="292"/>
      <c r="UHR38" s="292"/>
      <c r="UHS38" s="292"/>
      <c r="UHT38" s="292"/>
      <c r="UHU38" s="292"/>
      <c r="UHV38" s="292"/>
      <c r="UHW38" s="292"/>
      <c r="UHX38" s="292"/>
      <c r="UHY38" s="292"/>
      <c r="UHZ38" s="292"/>
      <c r="UIA38" s="292"/>
      <c r="UIB38" s="292"/>
      <c r="UIC38" s="292"/>
      <c r="UID38" s="292"/>
      <c r="UIE38" s="292"/>
      <c r="UIF38" s="292"/>
      <c r="UIG38" s="292"/>
      <c r="UIH38" s="292"/>
      <c r="UII38" s="292"/>
      <c r="UIJ38" s="292"/>
      <c r="UIK38" s="292"/>
      <c r="UIL38" s="292"/>
      <c r="UIM38" s="292"/>
      <c r="UIN38" s="292"/>
      <c r="UIO38" s="292"/>
      <c r="UIP38" s="292"/>
      <c r="UIQ38" s="292"/>
      <c r="UIR38" s="292"/>
      <c r="UIS38" s="292"/>
      <c r="UIT38" s="292"/>
      <c r="UIU38" s="292"/>
      <c r="UIV38" s="292"/>
      <c r="UIW38" s="292"/>
      <c r="UIX38" s="292"/>
      <c r="UIY38" s="292"/>
      <c r="UIZ38" s="292"/>
      <c r="UJA38" s="292"/>
      <c r="UJB38" s="292"/>
      <c r="UJC38" s="292"/>
      <c r="UJD38" s="292"/>
      <c r="UJE38" s="292"/>
      <c r="UJF38" s="292"/>
      <c r="UJG38" s="292"/>
      <c r="UJH38" s="292"/>
      <c r="UJI38" s="292"/>
      <c r="UJJ38" s="292"/>
      <c r="UJK38" s="292"/>
      <c r="UJL38" s="292"/>
      <c r="UJM38" s="292"/>
      <c r="UJN38" s="292"/>
      <c r="UJO38" s="292"/>
      <c r="UJP38" s="292"/>
      <c r="UJQ38" s="292"/>
      <c r="UJR38" s="292"/>
      <c r="UJS38" s="292"/>
      <c r="UJT38" s="292"/>
      <c r="UJU38" s="292"/>
      <c r="UJV38" s="292"/>
      <c r="UJW38" s="292"/>
      <c r="UJX38" s="292"/>
      <c r="UJY38" s="292"/>
      <c r="UJZ38" s="292"/>
      <c r="UKA38" s="292"/>
      <c r="UKB38" s="292"/>
      <c r="UKC38" s="292"/>
      <c r="UKD38" s="292"/>
      <c r="UKE38" s="292"/>
      <c r="UKF38" s="292"/>
      <c r="UKG38" s="292"/>
      <c r="UKH38" s="292"/>
      <c r="UKI38" s="292"/>
      <c r="UKJ38" s="292"/>
      <c r="UKK38" s="292"/>
      <c r="UKL38" s="292"/>
      <c r="UKM38" s="292"/>
      <c r="UKN38" s="292"/>
      <c r="UKO38" s="292"/>
      <c r="UKP38" s="292"/>
      <c r="UKQ38" s="292"/>
      <c r="UKR38" s="292"/>
      <c r="UKS38" s="292"/>
      <c r="UKT38" s="292"/>
      <c r="UKU38" s="292"/>
      <c r="UKV38" s="292"/>
      <c r="UKW38" s="292"/>
      <c r="UKX38" s="292"/>
      <c r="UKY38" s="292"/>
      <c r="UKZ38" s="292"/>
      <c r="ULA38" s="292"/>
      <c r="ULB38" s="292"/>
      <c r="ULC38" s="292"/>
      <c r="ULD38" s="292"/>
      <c r="ULE38" s="292"/>
      <c r="ULF38" s="292"/>
      <c r="ULG38" s="292"/>
      <c r="ULH38" s="292"/>
      <c r="ULI38" s="292"/>
      <c r="ULJ38" s="292"/>
      <c r="ULK38" s="292"/>
      <c r="ULL38" s="292"/>
      <c r="ULM38" s="292"/>
      <c r="ULN38" s="292"/>
      <c r="ULO38" s="292"/>
      <c r="ULP38" s="292"/>
      <c r="ULQ38" s="292"/>
      <c r="ULR38" s="292"/>
      <c r="ULS38" s="292"/>
      <c r="ULT38" s="292"/>
      <c r="ULU38" s="292"/>
      <c r="ULV38" s="292"/>
      <c r="ULW38" s="292"/>
      <c r="ULX38" s="292"/>
      <c r="ULY38" s="292"/>
      <c r="ULZ38" s="292"/>
      <c r="UMA38" s="292"/>
      <c r="UMB38" s="292"/>
      <c r="UMC38" s="292"/>
      <c r="UMD38" s="292"/>
      <c r="UME38" s="292"/>
      <c r="UMF38" s="292"/>
      <c r="UMG38" s="292"/>
      <c r="UMH38" s="292"/>
      <c r="UMI38" s="292"/>
      <c r="UMJ38" s="292"/>
      <c r="UMK38" s="292"/>
      <c r="UML38" s="292"/>
      <c r="UMM38" s="292"/>
      <c r="UMN38" s="292"/>
      <c r="UMO38" s="292"/>
      <c r="UMP38" s="292"/>
      <c r="UMQ38" s="292"/>
      <c r="UMR38" s="292"/>
      <c r="UMS38" s="292"/>
      <c r="UMT38" s="292"/>
      <c r="UMU38" s="292"/>
      <c r="UMV38" s="292"/>
      <c r="UMW38" s="292"/>
      <c r="UMX38" s="292"/>
      <c r="UMY38" s="292"/>
      <c r="UMZ38" s="292"/>
      <c r="UNA38" s="292"/>
      <c r="UNB38" s="292"/>
      <c r="UNC38" s="292"/>
      <c r="UND38" s="292"/>
      <c r="UNE38" s="292"/>
      <c r="UNF38" s="292"/>
      <c r="UNG38" s="292"/>
      <c r="UNH38" s="292"/>
      <c r="UNI38" s="292"/>
      <c r="UNJ38" s="292"/>
      <c r="UNK38" s="292"/>
      <c r="UNL38" s="292"/>
      <c r="UNM38" s="292"/>
      <c r="UNN38" s="292"/>
      <c r="UNO38" s="292"/>
      <c r="UNP38" s="292"/>
      <c r="UNQ38" s="292"/>
      <c r="UNR38" s="292"/>
      <c r="UNS38" s="292"/>
      <c r="UNT38" s="292"/>
      <c r="UNU38" s="292"/>
      <c r="UNV38" s="292"/>
      <c r="UNW38" s="292"/>
      <c r="UNX38" s="292"/>
      <c r="UNY38" s="292"/>
      <c r="UNZ38" s="292"/>
      <c r="UOA38" s="292"/>
      <c r="UOB38" s="292"/>
      <c r="UOC38" s="292"/>
      <c r="UOD38" s="292"/>
      <c r="UOE38" s="292"/>
      <c r="UOF38" s="292"/>
      <c r="UOG38" s="292"/>
      <c r="UOH38" s="292"/>
      <c r="UOI38" s="292"/>
      <c r="UOJ38" s="292"/>
      <c r="UOK38" s="292"/>
      <c r="UOL38" s="292"/>
      <c r="UOM38" s="292"/>
      <c r="UON38" s="292"/>
      <c r="UOO38" s="292"/>
      <c r="UOP38" s="292"/>
      <c r="UOQ38" s="292"/>
      <c r="UOR38" s="292"/>
      <c r="UOS38" s="292"/>
      <c r="UOT38" s="292"/>
      <c r="UOU38" s="292"/>
      <c r="UOV38" s="292"/>
      <c r="UOW38" s="292"/>
      <c r="UOX38" s="292"/>
      <c r="UOY38" s="292"/>
      <c r="UOZ38" s="292"/>
      <c r="UPA38" s="292"/>
      <c r="UPB38" s="292"/>
      <c r="UPC38" s="292"/>
      <c r="UPD38" s="292"/>
      <c r="UPE38" s="292"/>
      <c r="UPF38" s="292"/>
      <c r="UPG38" s="292"/>
      <c r="UPH38" s="292"/>
      <c r="UPI38" s="292"/>
      <c r="UPJ38" s="292"/>
      <c r="UPK38" s="292"/>
      <c r="UPL38" s="292"/>
      <c r="UPM38" s="292"/>
      <c r="UPN38" s="292"/>
      <c r="UPO38" s="292"/>
      <c r="UPP38" s="292"/>
      <c r="UPQ38" s="292"/>
      <c r="UPR38" s="292"/>
      <c r="UPS38" s="292"/>
      <c r="UPT38" s="292"/>
      <c r="UPU38" s="292"/>
      <c r="UPV38" s="292"/>
      <c r="UPW38" s="292"/>
      <c r="UPX38" s="292"/>
      <c r="UPY38" s="292"/>
      <c r="UPZ38" s="292"/>
      <c r="UQA38" s="292"/>
      <c r="UQB38" s="292"/>
      <c r="UQC38" s="292"/>
      <c r="UQD38" s="292"/>
      <c r="UQE38" s="292"/>
      <c r="UQF38" s="292"/>
      <c r="UQG38" s="292"/>
      <c r="UQH38" s="292"/>
      <c r="UQI38" s="292"/>
      <c r="UQJ38" s="292"/>
      <c r="UQK38" s="292"/>
      <c r="UQL38" s="292"/>
      <c r="UQM38" s="292"/>
      <c r="UQN38" s="292"/>
      <c r="UQO38" s="292"/>
      <c r="UQP38" s="292"/>
      <c r="UQQ38" s="292"/>
      <c r="UQR38" s="292"/>
      <c r="UQS38" s="292"/>
      <c r="UQT38" s="292"/>
      <c r="UQU38" s="292"/>
      <c r="UQV38" s="292"/>
      <c r="UQW38" s="292"/>
      <c r="UQX38" s="292"/>
      <c r="UQY38" s="292"/>
      <c r="UQZ38" s="292"/>
      <c r="URA38" s="292"/>
      <c r="URB38" s="292"/>
      <c r="URC38" s="292"/>
      <c r="URD38" s="292"/>
      <c r="URE38" s="292"/>
      <c r="URF38" s="292"/>
      <c r="URG38" s="292"/>
      <c r="URH38" s="292"/>
      <c r="URI38" s="292"/>
      <c r="URJ38" s="292"/>
      <c r="URK38" s="292"/>
      <c r="URL38" s="292"/>
      <c r="URM38" s="292"/>
      <c r="URN38" s="292"/>
      <c r="URO38" s="292"/>
      <c r="URP38" s="292"/>
      <c r="URQ38" s="292"/>
      <c r="URR38" s="292"/>
      <c r="URS38" s="292"/>
      <c r="URT38" s="292"/>
      <c r="URU38" s="292"/>
      <c r="URV38" s="292"/>
      <c r="URW38" s="292"/>
      <c r="URX38" s="292"/>
      <c r="URY38" s="292"/>
      <c r="URZ38" s="292"/>
      <c r="USA38" s="292"/>
      <c r="USB38" s="292"/>
      <c r="USC38" s="292"/>
      <c r="USD38" s="292"/>
      <c r="USE38" s="292"/>
      <c r="USF38" s="292"/>
      <c r="USG38" s="292"/>
      <c r="USH38" s="292"/>
      <c r="USI38" s="292"/>
      <c r="USJ38" s="292"/>
      <c r="USK38" s="292"/>
      <c r="USL38" s="292"/>
      <c r="USM38" s="292"/>
      <c r="USN38" s="292"/>
      <c r="USO38" s="292"/>
      <c r="USP38" s="292"/>
      <c r="USQ38" s="292"/>
      <c r="USR38" s="292"/>
      <c r="USS38" s="292"/>
      <c r="UST38" s="292"/>
      <c r="USU38" s="292"/>
      <c r="USV38" s="292"/>
      <c r="USW38" s="292"/>
      <c r="USX38" s="292"/>
      <c r="USY38" s="292"/>
      <c r="USZ38" s="292"/>
      <c r="UTA38" s="292"/>
      <c r="UTB38" s="292"/>
      <c r="UTC38" s="292"/>
      <c r="UTD38" s="292"/>
      <c r="UTE38" s="292"/>
      <c r="UTF38" s="292"/>
      <c r="UTG38" s="292"/>
      <c r="UTH38" s="292"/>
      <c r="UTI38" s="292"/>
      <c r="UTJ38" s="292"/>
      <c r="UTK38" s="292"/>
      <c r="UTL38" s="292"/>
      <c r="UTM38" s="292"/>
      <c r="UTN38" s="292"/>
      <c r="UTO38" s="292"/>
      <c r="UTP38" s="292"/>
      <c r="UTQ38" s="292"/>
      <c r="UTR38" s="292"/>
      <c r="UTS38" s="292"/>
      <c r="UTT38" s="292"/>
      <c r="UTU38" s="292"/>
      <c r="UTV38" s="292"/>
      <c r="UTW38" s="292"/>
      <c r="UTX38" s="292"/>
      <c r="UTY38" s="292"/>
      <c r="UTZ38" s="292"/>
      <c r="UUA38" s="292"/>
      <c r="UUB38" s="292"/>
      <c r="UUC38" s="292"/>
      <c r="UUD38" s="292"/>
      <c r="UUE38" s="292"/>
      <c r="UUF38" s="292"/>
      <c r="UUG38" s="292"/>
      <c r="UUH38" s="292"/>
      <c r="UUI38" s="292"/>
      <c r="UUJ38" s="292"/>
      <c r="UUK38" s="292"/>
      <c r="UUL38" s="292"/>
      <c r="UUM38" s="292"/>
      <c r="UUN38" s="292"/>
      <c r="UUO38" s="292"/>
      <c r="UUP38" s="292"/>
      <c r="UUQ38" s="292"/>
      <c r="UUR38" s="292"/>
      <c r="UUS38" s="292"/>
      <c r="UUT38" s="292"/>
      <c r="UUU38" s="292"/>
      <c r="UUV38" s="292"/>
      <c r="UUW38" s="292"/>
      <c r="UUX38" s="292"/>
      <c r="UUY38" s="292"/>
      <c r="UUZ38" s="292"/>
      <c r="UVA38" s="292"/>
      <c r="UVB38" s="292"/>
      <c r="UVC38" s="292"/>
      <c r="UVD38" s="292"/>
      <c r="UVE38" s="292"/>
      <c r="UVF38" s="292"/>
      <c r="UVG38" s="292"/>
      <c r="UVH38" s="292"/>
      <c r="UVI38" s="292"/>
      <c r="UVJ38" s="292"/>
      <c r="UVK38" s="292"/>
      <c r="UVL38" s="292"/>
      <c r="UVM38" s="292"/>
      <c r="UVN38" s="292"/>
      <c r="UVO38" s="292"/>
      <c r="UVP38" s="292"/>
      <c r="UVQ38" s="292"/>
      <c r="UVR38" s="292"/>
      <c r="UVS38" s="292"/>
      <c r="UVT38" s="292"/>
      <c r="UVU38" s="292"/>
      <c r="UVV38" s="292"/>
      <c r="UVW38" s="292"/>
      <c r="UVX38" s="292"/>
      <c r="UVY38" s="292"/>
      <c r="UVZ38" s="292"/>
      <c r="UWA38" s="292"/>
      <c r="UWB38" s="292"/>
      <c r="UWC38" s="292"/>
      <c r="UWD38" s="292"/>
      <c r="UWE38" s="292"/>
      <c r="UWF38" s="292"/>
      <c r="UWG38" s="292"/>
      <c r="UWH38" s="292"/>
      <c r="UWI38" s="292"/>
      <c r="UWJ38" s="292"/>
      <c r="UWK38" s="292"/>
      <c r="UWL38" s="292"/>
      <c r="UWM38" s="292"/>
      <c r="UWN38" s="292"/>
      <c r="UWO38" s="292"/>
      <c r="UWP38" s="292"/>
      <c r="UWQ38" s="292"/>
      <c r="UWR38" s="292"/>
      <c r="UWS38" s="292"/>
      <c r="UWT38" s="292"/>
      <c r="UWU38" s="292"/>
      <c r="UWV38" s="292"/>
      <c r="UWW38" s="292"/>
      <c r="UWX38" s="292"/>
      <c r="UWY38" s="292"/>
      <c r="UWZ38" s="292"/>
      <c r="UXA38" s="292"/>
      <c r="UXB38" s="292"/>
      <c r="UXC38" s="292"/>
      <c r="UXD38" s="292"/>
      <c r="UXE38" s="292"/>
      <c r="UXF38" s="292"/>
      <c r="UXG38" s="292"/>
      <c r="UXH38" s="292"/>
      <c r="UXI38" s="292"/>
      <c r="UXJ38" s="292"/>
      <c r="UXK38" s="292"/>
      <c r="UXL38" s="292"/>
      <c r="UXM38" s="292"/>
      <c r="UXN38" s="292"/>
      <c r="UXO38" s="292"/>
      <c r="UXP38" s="292"/>
      <c r="UXQ38" s="292"/>
      <c r="UXR38" s="292"/>
      <c r="UXS38" s="292"/>
      <c r="UXT38" s="292"/>
      <c r="UXU38" s="292"/>
      <c r="UXV38" s="292"/>
      <c r="UXW38" s="292"/>
      <c r="UXX38" s="292"/>
      <c r="UXY38" s="292"/>
      <c r="UXZ38" s="292"/>
      <c r="UYA38" s="292"/>
      <c r="UYB38" s="292"/>
      <c r="UYC38" s="292"/>
      <c r="UYD38" s="292"/>
      <c r="UYE38" s="292"/>
      <c r="UYF38" s="292"/>
      <c r="UYG38" s="292"/>
      <c r="UYH38" s="292"/>
      <c r="UYI38" s="292"/>
      <c r="UYJ38" s="292"/>
      <c r="UYK38" s="292"/>
      <c r="UYL38" s="292"/>
      <c r="UYM38" s="292"/>
      <c r="UYN38" s="292"/>
      <c r="UYO38" s="292"/>
      <c r="UYP38" s="292"/>
      <c r="UYQ38" s="292"/>
      <c r="UYR38" s="292"/>
      <c r="UYS38" s="292"/>
      <c r="UYT38" s="292"/>
      <c r="UYU38" s="292"/>
      <c r="UYV38" s="292"/>
      <c r="UYW38" s="292"/>
      <c r="UYX38" s="292"/>
      <c r="UYY38" s="292"/>
      <c r="UYZ38" s="292"/>
      <c r="UZA38" s="292"/>
      <c r="UZB38" s="292"/>
      <c r="UZC38" s="292"/>
      <c r="UZD38" s="292"/>
      <c r="UZE38" s="292"/>
      <c r="UZF38" s="292"/>
      <c r="UZG38" s="292"/>
      <c r="UZH38" s="292"/>
      <c r="UZI38" s="292"/>
      <c r="UZJ38" s="292"/>
      <c r="UZK38" s="292"/>
      <c r="UZL38" s="292"/>
      <c r="UZM38" s="292"/>
      <c r="UZN38" s="292"/>
      <c r="UZO38" s="292"/>
      <c r="UZP38" s="292"/>
      <c r="UZQ38" s="292"/>
      <c r="UZR38" s="292"/>
      <c r="UZS38" s="292"/>
      <c r="UZT38" s="292"/>
      <c r="UZU38" s="292"/>
      <c r="UZV38" s="292"/>
      <c r="UZW38" s="292"/>
      <c r="UZX38" s="292"/>
      <c r="UZY38" s="292"/>
      <c r="UZZ38" s="292"/>
      <c r="VAA38" s="292"/>
      <c r="VAB38" s="292"/>
      <c r="VAC38" s="292"/>
      <c r="VAD38" s="292"/>
      <c r="VAE38" s="292"/>
      <c r="VAF38" s="292"/>
      <c r="VAG38" s="292"/>
      <c r="VAH38" s="292"/>
      <c r="VAI38" s="292"/>
      <c r="VAJ38" s="292"/>
      <c r="VAK38" s="292"/>
      <c r="VAL38" s="292"/>
      <c r="VAM38" s="292"/>
      <c r="VAN38" s="292"/>
      <c r="VAO38" s="292"/>
      <c r="VAP38" s="292"/>
      <c r="VAQ38" s="292"/>
      <c r="VAR38" s="292"/>
      <c r="VAS38" s="292"/>
      <c r="VAT38" s="292"/>
      <c r="VAU38" s="292"/>
      <c r="VAV38" s="292"/>
      <c r="VAW38" s="292"/>
      <c r="VAX38" s="292"/>
      <c r="VAY38" s="292"/>
      <c r="VAZ38" s="292"/>
      <c r="VBA38" s="292"/>
      <c r="VBB38" s="292"/>
      <c r="VBC38" s="292"/>
      <c r="VBD38" s="292"/>
      <c r="VBE38" s="292"/>
      <c r="VBF38" s="292"/>
      <c r="VBG38" s="292"/>
      <c r="VBH38" s="292"/>
      <c r="VBI38" s="292"/>
      <c r="VBJ38" s="292"/>
      <c r="VBK38" s="292"/>
      <c r="VBL38" s="292"/>
      <c r="VBM38" s="292"/>
      <c r="VBN38" s="292"/>
      <c r="VBO38" s="292"/>
      <c r="VBP38" s="292"/>
      <c r="VBQ38" s="292"/>
      <c r="VBR38" s="292"/>
      <c r="VBS38" s="292"/>
      <c r="VBT38" s="292"/>
      <c r="VBU38" s="292"/>
      <c r="VBV38" s="292"/>
      <c r="VBW38" s="292"/>
      <c r="VBX38" s="292"/>
      <c r="VBY38" s="292"/>
      <c r="VBZ38" s="292"/>
      <c r="VCA38" s="292"/>
      <c r="VCB38" s="292"/>
      <c r="VCC38" s="292"/>
      <c r="VCD38" s="292"/>
      <c r="VCE38" s="292"/>
      <c r="VCF38" s="292"/>
      <c r="VCG38" s="292"/>
      <c r="VCH38" s="292"/>
      <c r="VCI38" s="292"/>
      <c r="VCJ38" s="292"/>
      <c r="VCK38" s="292"/>
      <c r="VCL38" s="292"/>
      <c r="VCM38" s="292"/>
      <c r="VCN38" s="292"/>
      <c r="VCO38" s="292"/>
      <c r="VCP38" s="292"/>
      <c r="VCQ38" s="292"/>
      <c r="VCR38" s="292"/>
      <c r="VCS38" s="292"/>
      <c r="VCT38" s="292"/>
      <c r="VCU38" s="292"/>
      <c r="VCV38" s="292"/>
      <c r="VCW38" s="292"/>
      <c r="VCX38" s="292"/>
      <c r="VCY38" s="292"/>
      <c r="VCZ38" s="292"/>
      <c r="VDA38" s="292"/>
      <c r="VDB38" s="292"/>
      <c r="VDC38" s="292"/>
      <c r="VDD38" s="292"/>
      <c r="VDE38" s="292"/>
      <c r="VDF38" s="292"/>
      <c r="VDG38" s="292"/>
      <c r="VDH38" s="292"/>
      <c r="VDI38" s="292"/>
      <c r="VDJ38" s="292"/>
      <c r="VDK38" s="292"/>
      <c r="VDL38" s="292"/>
      <c r="VDM38" s="292"/>
      <c r="VDN38" s="292"/>
      <c r="VDO38" s="292"/>
      <c r="VDP38" s="292"/>
      <c r="VDQ38" s="292"/>
      <c r="VDR38" s="292"/>
      <c r="VDS38" s="292"/>
      <c r="VDT38" s="292"/>
      <c r="VDU38" s="292"/>
      <c r="VDV38" s="292"/>
      <c r="VDW38" s="292"/>
      <c r="VDX38" s="292"/>
      <c r="VDY38" s="292"/>
      <c r="VDZ38" s="292"/>
      <c r="VEA38" s="292"/>
      <c r="VEB38" s="292"/>
      <c r="VEC38" s="292"/>
      <c r="VED38" s="292"/>
      <c r="VEE38" s="292"/>
      <c r="VEF38" s="292"/>
      <c r="VEG38" s="292"/>
      <c r="VEH38" s="292"/>
      <c r="VEI38" s="292"/>
      <c r="VEJ38" s="292"/>
      <c r="VEK38" s="292"/>
      <c r="VEL38" s="292"/>
      <c r="VEM38" s="292"/>
      <c r="VEN38" s="292"/>
      <c r="VEO38" s="292"/>
      <c r="VEP38" s="292"/>
      <c r="VEQ38" s="292"/>
      <c r="VER38" s="292"/>
      <c r="VES38" s="292"/>
      <c r="VET38" s="292"/>
      <c r="VEU38" s="292"/>
      <c r="VEV38" s="292"/>
      <c r="VEW38" s="292"/>
      <c r="VEX38" s="292"/>
      <c r="VEY38" s="292"/>
      <c r="VEZ38" s="292"/>
      <c r="VFA38" s="292"/>
      <c r="VFB38" s="292"/>
      <c r="VFC38" s="292"/>
      <c r="VFD38" s="292"/>
      <c r="VFE38" s="292"/>
      <c r="VFF38" s="292"/>
      <c r="VFG38" s="292"/>
      <c r="VFH38" s="292"/>
      <c r="VFI38" s="292"/>
      <c r="VFJ38" s="292"/>
      <c r="VFK38" s="292"/>
      <c r="VFL38" s="292"/>
      <c r="VFM38" s="292"/>
      <c r="VFN38" s="292"/>
      <c r="VFO38" s="292"/>
      <c r="VFP38" s="292"/>
      <c r="VFQ38" s="292"/>
      <c r="VFR38" s="292"/>
      <c r="VFS38" s="292"/>
      <c r="VFT38" s="292"/>
      <c r="VFU38" s="292"/>
      <c r="VFV38" s="292"/>
      <c r="VFW38" s="292"/>
      <c r="VFX38" s="292"/>
      <c r="VFY38" s="292"/>
      <c r="VFZ38" s="292"/>
      <c r="VGA38" s="292"/>
      <c r="VGB38" s="292"/>
      <c r="VGC38" s="292"/>
      <c r="VGD38" s="292"/>
      <c r="VGE38" s="292"/>
      <c r="VGF38" s="292"/>
      <c r="VGG38" s="292"/>
      <c r="VGH38" s="292"/>
      <c r="VGI38" s="292"/>
      <c r="VGJ38" s="292"/>
      <c r="VGK38" s="292"/>
      <c r="VGL38" s="292"/>
      <c r="VGM38" s="292"/>
      <c r="VGN38" s="292"/>
      <c r="VGO38" s="292"/>
      <c r="VGP38" s="292"/>
      <c r="VGQ38" s="292"/>
      <c r="VGR38" s="292"/>
      <c r="VGS38" s="292"/>
      <c r="VGT38" s="292"/>
      <c r="VGU38" s="292"/>
      <c r="VGV38" s="292"/>
      <c r="VGW38" s="292"/>
      <c r="VGX38" s="292"/>
      <c r="VGY38" s="292"/>
      <c r="VGZ38" s="292"/>
      <c r="VHA38" s="292"/>
      <c r="VHB38" s="292"/>
      <c r="VHC38" s="292"/>
      <c r="VHD38" s="292"/>
      <c r="VHE38" s="292"/>
      <c r="VHF38" s="292"/>
      <c r="VHG38" s="292"/>
      <c r="VHH38" s="292"/>
      <c r="VHI38" s="292"/>
      <c r="VHJ38" s="292"/>
      <c r="VHK38" s="292"/>
      <c r="VHL38" s="292"/>
      <c r="VHM38" s="292"/>
      <c r="VHN38" s="292"/>
      <c r="VHO38" s="292"/>
      <c r="VHP38" s="292"/>
      <c r="VHQ38" s="292"/>
      <c r="VHR38" s="292"/>
      <c r="VHS38" s="292"/>
      <c r="VHT38" s="292"/>
      <c r="VHU38" s="292"/>
      <c r="VHV38" s="292"/>
      <c r="VHW38" s="292"/>
      <c r="VHX38" s="292"/>
      <c r="VHY38" s="292"/>
      <c r="VHZ38" s="292"/>
      <c r="VIA38" s="292"/>
      <c r="VIB38" s="292"/>
      <c r="VIC38" s="292"/>
      <c r="VID38" s="292"/>
      <c r="VIE38" s="292"/>
      <c r="VIF38" s="292"/>
      <c r="VIG38" s="292"/>
      <c r="VIH38" s="292"/>
      <c r="VII38" s="292"/>
      <c r="VIJ38" s="292"/>
      <c r="VIK38" s="292"/>
      <c r="VIL38" s="292"/>
      <c r="VIM38" s="292"/>
      <c r="VIN38" s="292"/>
      <c r="VIO38" s="292"/>
      <c r="VIP38" s="292"/>
      <c r="VIQ38" s="292"/>
      <c r="VIR38" s="292"/>
      <c r="VIS38" s="292"/>
      <c r="VIT38" s="292"/>
      <c r="VIU38" s="292"/>
      <c r="VIV38" s="292"/>
      <c r="VIW38" s="292"/>
      <c r="VIX38" s="292"/>
      <c r="VIY38" s="292"/>
      <c r="VIZ38" s="292"/>
      <c r="VJA38" s="292"/>
      <c r="VJB38" s="292"/>
      <c r="VJC38" s="292"/>
      <c r="VJD38" s="292"/>
      <c r="VJE38" s="292"/>
      <c r="VJF38" s="292"/>
      <c r="VJG38" s="292"/>
      <c r="VJH38" s="292"/>
      <c r="VJI38" s="292"/>
      <c r="VJJ38" s="292"/>
      <c r="VJK38" s="292"/>
      <c r="VJL38" s="292"/>
      <c r="VJM38" s="292"/>
      <c r="VJN38" s="292"/>
      <c r="VJO38" s="292"/>
      <c r="VJP38" s="292"/>
      <c r="VJQ38" s="292"/>
      <c r="VJR38" s="292"/>
      <c r="VJS38" s="292"/>
      <c r="VJT38" s="292"/>
      <c r="VJU38" s="292"/>
      <c r="VJV38" s="292"/>
      <c r="VJW38" s="292"/>
      <c r="VJX38" s="292"/>
      <c r="VJY38" s="292"/>
      <c r="VJZ38" s="292"/>
      <c r="VKA38" s="292"/>
      <c r="VKB38" s="292"/>
      <c r="VKC38" s="292"/>
      <c r="VKD38" s="292"/>
      <c r="VKE38" s="292"/>
      <c r="VKF38" s="292"/>
      <c r="VKG38" s="292"/>
      <c r="VKH38" s="292"/>
      <c r="VKI38" s="292"/>
      <c r="VKJ38" s="292"/>
      <c r="VKK38" s="292"/>
      <c r="VKL38" s="292"/>
      <c r="VKM38" s="292"/>
      <c r="VKN38" s="292"/>
      <c r="VKO38" s="292"/>
      <c r="VKP38" s="292"/>
      <c r="VKQ38" s="292"/>
      <c r="VKR38" s="292"/>
      <c r="VKS38" s="292"/>
      <c r="VKT38" s="292"/>
      <c r="VKU38" s="292"/>
      <c r="VKV38" s="292"/>
      <c r="VKW38" s="292"/>
      <c r="VKX38" s="292"/>
      <c r="VKY38" s="292"/>
      <c r="VKZ38" s="292"/>
      <c r="VLA38" s="292"/>
      <c r="VLB38" s="292"/>
      <c r="VLC38" s="292"/>
      <c r="VLD38" s="292"/>
      <c r="VLE38" s="292"/>
      <c r="VLF38" s="292"/>
      <c r="VLG38" s="292"/>
      <c r="VLH38" s="292"/>
      <c r="VLI38" s="292"/>
      <c r="VLJ38" s="292"/>
      <c r="VLK38" s="292"/>
      <c r="VLL38" s="292"/>
      <c r="VLM38" s="292"/>
      <c r="VLN38" s="292"/>
      <c r="VLO38" s="292"/>
      <c r="VLP38" s="292"/>
      <c r="VLQ38" s="292"/>
      <c r="VLR38" s="292"/>
      <c r="VLS38" s="292"/>
      <c r="VLT38" s="292"/>
      <c r="VLU38" s="292"/>
      <c r="VLV38" s="292"/>
      <c r="VLW38" s="292"/>
      <c r="VLX38" s="292"/>
      <c r="VLY38" s="292"/>
      <c r="VLZ38" s="292"/>
      <c r="VMA38" s="292"/>
      <c r="VMB38" s="292"/>
      <c r="VMC38" s="292"/>
      <c r="VMD38" s="292"/>
      <c r="VME38" s="292"/>
      <c r="VMF38" s="292"/>
      <c r="VMG38" s="292"/>
      <c r="VMH38" s="292"/>
      <c r="VMI38" s="292"/>
      <c r="VMJ38" s="292"/>
      <c r="VMK38" s="292"/>
      <c r="VML38" s="292"/>
      <c r="VMM38" s="292"/>
      <c r="VMN38" s="292"/>
      <c r="VMO38" s="292"/>
      <c r="VMP38" s="292"/>
      <c r="VMQ38" s="292"/>
      <c r="VMR38" s="292"/>
      <c r="VMS38" s="292"/>
      <c r="VMT38" s="292"/>
      <c r="VMU38" s="292"/>
      <c r="VMV38" s="292"/>
      <c r="VMW38" s="292"/>
      <c r="VMX38" s="292"/>
      <c r="VMY38" s="292"/>
      <c r="VMZ38" s="292"/>
      <c r="VNA38" s="292"/>
      <c r="VNB38" s="292"/>
      <c r="VNC38" s="292"/>
      <c r="VND38" s="292"/>
      <c r="VNE38" s="292"/>
      <c r="VNF38" s="292"/>
      <c r="VNG38" s="292"/>
      <c r="VNH38" s="292"/>
      <c r="VNI38" s="292"/>
      <c r="VNJ38" s="292"/>
      <c r="VNK38" s="292"/>
      <c r="VNL38" s="292"/>
      <c r="VNM38" s="292"/>
      <c r="VNN38" s="292"/>
      <c r="VNO38" s="292"/>
      <c r="VNP38" s="292"/>
      <c r="VNQ38" s="292"/>
      <c r="VNR38" s="292"/>
      <c r="VNS38" s="292"/>
      <c r="VNT38" s="292"/>
      <c r="VNU38" s="292"/>
      <c r="VNV38" s="292"/>
      <c r="VNW38" s="292"/>
      <c r="VNX38" s="292"/>
      <c r="VNY38" s="292"/>
      <c r="VNZ38" s="292"/>
      <c r="VOA38" s="292"/>
      <c r="VOB38" s="292"/>
      <c r="VOC38" s="292"/>
      <c r="VOD38" s="292"/>
      <c r="VOE38" s="292"/>
      <c r="VOF38" s="292"/>
      <c r="VOG38" s="292"/>
      <c r="VOH38" s="292"/>
      <c r="VOI38" s="292"/>
      <c r="VOJ38" s="292"/>
      <c r="VOK38" s="292"/>
      <c r="VOL38" s="292"/>
      <c r="VOM38" s="292"/>
      <c r="VON38" s="292"/>
      <c r="VOO38" s="292"/>
      <c r="VOP38" s="292"/>
      <c r="VOQ38" s="292"/>
      <c r="VOR38" s="292"/>
      <c r="VOS38" s="292"/>
      <c r="VOT38" s="292"/>
      <c r="VOU38" s="292"/>
      <c r="VOV38" s="292"/>
      <c r="VOW38" s="292"/>
      <c r="VOX38" s="292"/>
      <c r="VOY38" s="292"/>
      <c r="VOZ38" s="292"/>
      <c r="VPA38" s="292"/>
      <c r="VPB38" s="292"/>
      <c r="VPC38" s="292"/>
      <c r="VPD38" s="292"/>
      <c r="VPE38" s="292"/>
      <c r="VPF38" s="292"/>
      <c r="VPG38" s="292"/>
      <c r="VPH38" s="292"/>
      <c r="VPI38" s="292"/>
      <c r="VPJ38" s="292"/>
      <c r="VPK38" s="292"/>
      <c r="VPL38" s="292"/>
      <c r="VPM38" s="292"/>
      <c r="VPN38" s="292"/>
      <c r="VPO38" s="292"/>
      <c r="VPP38" s="292"/>
      <c r="VPQ38" s="292"/>
      <c r="VPR38" s="292"/>
      <c r="VPS38" s="292"/>
      <c r="VPT38" s="292"/>
      <c r="VPU38" s="292"/>
      <c r="VPV38" s="292"/>
      <c r="VPW38" s="292"/>
      <c r="VPX38" s="292"/>
      <c r="VPY38" s="292"/>
      <c r="VPZ38" s="292"/>
      <c r="VQA38" s="292"/>
      <c r="VQB38" s="292"/>
      <c r="VQC38" s="292"/>
      <c r="VQD38" s="292"/>
      <c r="VQE38" s="292"/>
      <c r="VQF38" s="292"/>
      <c r="VQG38" s="292"/>
      <c r="VQH38" s="292"/>
      <c r="VQI38" s="292"/>
      <c r="VQJ38" s="292"/>
      <c r="VQK38" s="292"/>
      <c r="VQL38" s="292"/>
      <c r="VQM38" s="292"/>
      <c r="VQN38" s="292"/>
      <c r="VQO38" s="292"/>
      <c r="VQP38" s="292"/>
      <c r="VQQ38" s="292"/>
      <c r="VQR38" s="292"/>
      <c r="VQS38" s="292"/>
      <c r="VQT38" s="292"/>
      <c r="VQU38" s="292"/>
      <c r="VQV38" s="292"/>
      <c r="VQW38" s="292"/>
      <c r="VQX38" s="292"/>
      <c r="VQY38" s="292"/>
      <c r="VQZ38" s="292"/>
      <c r="VRA38" s="292"/>
      <c r="VRB38" s="292"/>
      <c r="VRC38" s="292"/>
      <c r="VRD38" s="292"/>
      <c r="VRE38" s="292"/>
      <c r="VRF38" s="292"/>
      <c r="VRG38" s="292"/>
      <c r="VRH38" s="292"/>
      <c r="VRI38" s="292"/>
      <c r="VRJ38" s="292"/>
      <c r="VRK38" s="292"/>
      <c r="VRL38" s="292"/>
      <c r="VRM38" s="292"/>
      <c r="VRN38" s="292"/>
      <c r="VRO38" s="292"/>
      <c r="VRP38" s="292"/>
      <c r="VRQ38" s="292"/>
      <c r="VRR38" s="292"/>
      <c r="VRS38" s="292"/>
      <c r="VRT38" s="292"/>
      <c r="VRU38" s="292"/>
      <c r="VRV38" s="292"/>
      <c r="VRW38" s="292"/>
      <c r="VRX38" s="292"/>
      <c r="VRY38" s="292"/>
      <c r="VRZ38" s="292"/>
      <c r="VSA38" s="292"/>
      <c r="VSB38" s="292"/>
      <c r="VSC38" s="292"/>
      <c r="VSD38" s="292"/>
      <c r="VSE38" s="292"/>
      <c r="VSF38" s="292"/>
      <c r="VSG38" s="292"/>
      <c r="VSH38" s="292"/>
      <c r="VSI38" s="292"/>
      <c r="VSJ38" s="292"/>
      <c r="VSK38" s="292"/>
      <c r="VSL38" s="292"/>
      <c r="VSM38" s="292"/>
      <c r="VSN38" s="292"/>
      <c r="VSO38" s="292"/>
      <c r="VSP38" s="292"/>
      <c r="VSQ38" s="292"/>
      <c r="VSR38" s="292"/>
      <c r="VSS38" s="292"/>
      <c r="VST38" s="292"/>
      <c r="VSU38" s="292"/>
      <c r="VSV38" s="292"/>
      <c r="VSW38" s="292"/>
      <c r="VSX38" s="292"/>
      <c r="VSY38" s="292"/>
      <c r="VSZ38" s="292"/>
      <c r="VTA38" s="292"/>
      <c r="VTB38" s="292"/>
      <c r="VTC38" s="292"/>
      <c r="VTD38" s="292"/>
      <c r="VTE38" s="292"/>
      <c r="VTF38" s="292"/>
      <c r="VTG38" s="292"/>
      <c r="VTH38" s="292"/>
      <c r="VTI38" s="292"/>
      <c r="VTJ38" s="292"/>
      <c r="VTK38" s="292"/>
      <c r="VTL38" s="292"/>
      <c r="VTM38" s="292"/>
      <c r="VTN38" s="292"/>
      <c r="VTO38" s="292"/>
      <c r="VTP38" s="292"/>
      <c r="VTQ38" s="292"/>
      <c r="VTR38" s="292"/>
      <c r="VTS38" s="292"/>
      <c r="VTT38" s="292"/>
      <c r="VTU38" s="292"/>
      <c r="VTV38" s="292"/>
      <c r="VTW38" s="292"/>
      <c r="VTX38" s="292"/>
      <c r="VTY38" s="292"/>
      <c r="VTZ38" s="292"/>
      <c r="VUA38" s="292"/>
      <c r="VUB38" s="292"/>
      <c r="VUC38" s="292"/>
      <c r="VUD38" s="292"/>
      <c r="VUE38" s="292"/>
      <c r="VUF38" s="292"/>
      <c r="VUG38" s="292"/>
      <c r="VUH38" s="292"/>
      <c r="VUI38" s="292"/>
      <c r="VUJ38" s="292"/>
      <c r="VUK38" s="292"/>
      <c r="VUL38" s="292"/>
      <c r="VUM38" s="292"/>
      <c r="VUN38" s="292"/>
      <c r="VUO38" s="292"/>
      <c r="VUP38" s="292"/>
      <c r="VUQ38" s="292"/>
      <c r="VUR38" s="292"/>
      <c r="VUS38" s="292"/>
      <c r="VUT38" s="292"/>
      <c r="VUU38" s="292"/>
      <c r="VUV38" s="292"/>
      <c r="VUW38" s="292"/>
      <c r="VUX38" s="292"/>
      <c r="VUY38" s="292"/>
      <c r="VUZ38" s="292"/>
      <c r="VVA38" s="292"/>
      <c r="VVB38" s="292"/>
      <c r="VVC38" s="292"/>
      <c r="VVD38" s="292"/>
      <c r="VVE38" s="292"/>
      <c r="VVF38" s="292"/>
      <c r="VVG38" s="292"/>
      <c r="VVH38" s="292"/>
      <c r="VVI38" s="292"/>
      <c r="VVJ38" s="292"/>
      <c r="VVK38" s="292"/>
      <c r="VVL38" s="292"/>
      <c r="VVM38" s="292"/>
      <c r="VVN38" s="292"/>
      <c r="VVO38" s="292"/>
      <c r="VVP38" s="292"/>
      <c r="VVQ38" s="292"/>
      <c r="VVR38" s="292"/>
      <c r="VVS38" s="292"/>
      <c r="VVT38" s="292"/>
      <c r="VVU38" s="292"/>
      <c r="VVV38" s="292"/>
      <c r="VVW38" s="292"/>
      <c r="VVX38" s="292"/>
      <c r="VVY38" s="292"/>
      <c r="VVZ38" s="292"/>
      <c r="VWA38" s="292"/>
      <c r="VWB38" s="292"/>
      <c r="VWC38" s="292"/>
      <c r="VWD38" s="292"/>
      <c r="VWE38" s="292"/>
      <c r="VWF38" s="292"/>
      <c r="VWG38" s="292"/>
      <c r="VWH38" s="292"/>
      <c r="VWI38" s="292"/>
      <c r="VWJ38" s="292"/>
      <c r="VWK38" s="292"/>
      <c r="VWL38" s="292"/>
      <c r="VWM38" s="292"/>
      <c r="VWN38" s="292"/>
      <c r="VWO38" s="292"/>
      <c r="VWP38" s="292"/>
      <c r="VWQ38" s="292"/>
      <c r="VWR38" s="292"/>
      <c r="VWS38" s="292"/>
      <c r="VWT38" s="292"/>
      <c r="VWU38" s="292"/>
      <c r="VWV38" s="292"/>
      <c r="VWW38" s="292"/>
      <c r="VWX38" s="292"/>
      <c r="VWY38" s="292"/>
      <c r="VWZ38" s="292"/>
      <c r="VXA38" s="292"/>
      <c r="VXB38" s="292"/>
      <c r="VXC38" s="292"/>
      <c r="VXD38" s="292"/>
      <c r="VXE38" s="292"/>
      <c r="VXF38" s="292"/>
      <c r="VXG38" s="292"/>
      <c r="VXH38" s="292"/>
      <c r="VXI38" s="292"/>
      <c r="VXJ38" s="292"/>
      <c r="VXK38" s="292"/>
      <c r="VXL38" s="292"/>
      <c r="VXM38" s="292"/>
      <c r="VXN38" s="292"/>
      <c r="VXO38" s="292"/>
      <c r="VXP38" s="292"/>
      <c r="VXQ38" s="292"/>
      <c r="VXR38" s="292"/>
      <c r="VXS38" s="292"/>
      <c r="VXT38" s="292"/>
      <c r="VXU38" s="292"/>
      <c r="VXV38" s="292"/>
      <c r="VXW38" s="292"/>
      <c r="VXX38" s="292"/>
      <c r="VXY38" s="292"/>
      <c r="VXZ38" s="292"/>
      <c r="VYA38" s="292"/>
      <c r="VYB38" s="292"/>
      <c r="VYC38" s="292"/>
      <c r="VYD38" s="292"/>
      <c r="VYE38" s="292"/>
      <c r="VYF38" s="292"/>
      <c r="VYG38" s="292"/>
      <c r="VYH38" s="292"/>
      <c r="VYI38" s="292"/>
      <c r="VYJ38" s="292"/>
      <c r="VYK38" s="292"/>
      <c r="VYL38" s="292"/>
      <c r="VYM38" s="292"/>
      <c r="VYN38" s="292"/>
      <c r="VYO38" s="292"/>
      <c r="VYP38" s="292"/>
      <c r="VYQ38" s="292"/>
      <c r="VYR38" s="292"/>
      <c r="VYS38" s="292"/>
      <c r="VYT38" s="292"/>
      <c r="VYU38" s="292"/>
      <c r="VYV38" s="292"/>
      <c r="VYW38" s="292"/>
      <c r="VYX38" s="292"/>
      <c r="VYY38" s="292"/>
      <c r="VYZ38" s="292"/>
      <c r="VZA38" s="292"/>
      <c r="VZB38" s="292"/>
      <c r="VZC38" s="292"/>
      <c r="VZD38" s="292"/>
      <c r="VZE38" s="292"/>
      <c r="VZF38" s="292"/>
      <c r="VZG38" s="292"/>
      <c r="VZH38" s="292"/>
      <c r="VZI38" s="292"/>
      <c r="VZJ38" s="292"/>
      <c r="VZK38" s="292"/>
      <c r="VZL38" s="292"/>
      <c r="VZM38" s="292"/>
      <c r="VZN38" s="292"/>
      <c r="VZO38" s="292"/>
      <c r="VZP38" s="292"/>
      <c r="VZQ38" s="292"/>
      <c r="VZR38" s="292"/>
      <c r="VZS38" s="292"/>
      <c r="VZT38" s="292"/>
      <c r="VZU38" s="292"/>
      <c r="VZV38" s="292"/>
      <c r="VZW38" s="292"/>
      <c r="VZX38" s="292"/>
      <c r="VZY38" s="292"/>
      <c r="VZZ38" s="292"/>
      <c r="WAA38" s="292"/>
      <c r="WAB38" s="292"/>
      <c r="WAC38" s="292"/>
      <c r="WAD38" s="292"/>
      <c r="WAE38" s="292"/>
      <c r="WAF38" s="292"/>
      <c r="WAG38" s="292"/>
      <c r="WAH38" s="292"/>
      <c r="WAI38" s="292"/>
      <c r="WAJ38" s="292"/>
      <c r="WAK38" s="292"/>
      <c r="WAL38" s="292"/>
      <c r="WAM38" s="292"/>
      <c r="WAN38" s="292"/>
      <c r="WAO38" s="292"/>
      <c r="WAP38" s="292"/>
      <c r="WAQ38" s="292"/>
      <c r="WAR38" s="292"/>
      <c r="WAS38" s="292"/>
      <c r="WAT38" s="292"/>
      <c r="WAU38" s="292"/>
      <c r="WAV38" s="292"/>
      <c r="WAW38" s="292"/>
      <c r="WAX38" s="292"/>
      <c r="WAY38" s="292"/>
      <c r="WAZ38" s="292"/>
      <c r="WBA38" s="292"/>
      <c r="WBB38" s="292"/>
      <c r="WBC38" s="292"/>
      <c r="WBD38" s="292"/>
      <c r="WBE38" s="292"/>
      <c r="WBF38" s="292"/>
      <c r="WBG38" s="292"/>
      <c r="WBH38" s="292"/>
      <c r="WBI38" s="292"/>
      <c r="WBJ38" s="292"/>
      <c r="WBK38" s="292"/>
      <c r="WBL38" s="292"/>
      <c r="WBM38" s="292"/>
      <c r="WBN38" s="292"/>
      <c r="WBO38" s="292"/>
      <c r="WBP38" s="292"/>
      <c r="WBQ38" s="292"/>
      <c r="WBR38" s="292"/>
      <c r="WBS38" s="292"/>
      <c r="WBT38" s="292"/>
      <c r="WBU38" s="292"/>
      <c r="WBV38" s="292"/>
      <c r="WBW38" s="292"/>
      <c r="WBX38" s="292"/>
      <c r="WBY38" s="292"/>
      <c r="WBZ38" s="292"/>
      <c r="WCA38" s="292"/>
      <c r="WCB38" s="292"/>
      <c r="WCC38" s="292"/>
      <c r="WCD38" s="292"/>
      <c r="WCE38" s="292"/>
      <c r="WCF38" s="292"/>
      <c r="WCG38" s="292"/>
      <c r="WCH38" s="292"/>
      <c r="WCI38" s="292"/>
      <c r="WCJ38" s="292"/>
      <c r="WCK38" s="292"/>
      <c r="WCL38" s="292"/>
      <c r="WCM38" s="292"/>
      <c r="WCN38" s="292"/>
      <c r="WCO38" s="292"/>
      <c r="WCP38" s="292"/>
      <c r="WCQ38" s="292"/>
      <c r="WCR38" s="292"/>
      <c r="WCS38" s="292"/>
      <c r="WCT38" s="292"/>
      <c r="WCU38" s="292"/>
      <c r="WCV38" s="292"/>
      <c r="WCW38" s="292"/>
      <c r="WCX38" s="292"/>
      <c r="WCY38" s="292"/>
      <c r="WCZ38" s="292"/>
      <c r="WDA38" s="292"/>
      <c r="WDB38" s="292"/>
      <c r="WDC38" s="292"/>
      <c r="WDD38" s="292"/>
      <c r="WDE38" s="292"/>
      <c r="WDF38" s="292"/>
      <c r="WDG38" s="292"/>
      <c r="WDH38" s="292"/>
      <c r="WDI38" s="292"/>
      <c r="WDJ38" s="292"/>
      <c r="WDK38" s="292"/>
      <c r="WDL38" s="292"/>
      <c r="WDM38" s="292"/>
      <c r="WDN38" s="292"/>
      <c r="WDO38" s="292"/>
      <c r="WDP38" s="292"/>
      <c r="WDQ38" s="292"/>
      <c r="WDR38" s="292"/>
      <c r="WDS38" s="292"/>
      <c r="WDT38" s="292"/>
      <c r="WDU38" s="292"/>
      <c r="WDV38" s="292"/>
      <c r="WDW38" s="292"/>
      <c r="WDX38" s="292"/>
      <c r="WDY38" s="292"/>
      <c r="WDZ38" s="292"/>
      <c r="WEA38" s="292"/>
      <c r="WEB38" s="292"/>
      <c r="WEC38" s="292"/>
      <c r="WED38" s="292"/>
      <c r="WEE38" s="292"/>
      <c r="WEF38" s="292"/>
      <c r="WEG38" s="292"/>
      <c r="WEH38" s="292"/>
      <c r="WEI38" s="292"/>
      <c r="WEJ38" s="292"/>
      <c r="WEK38" s="292"/>
      <c r="WEL38" s="292"/>
      <c r="WEM38" s="292"/>
      <c r="WEN38" s="292"/>
      <c r="WEO38" s="292"/>
      <c r="WEP38" s="292"/>
      <c r="WEQ38" s="292"/>
      <c r="WER38" s="292"/>
      <c r="WES38" s="292"/>
      <c r="WET38" s="292"/>
      <c r="WEU38" s="292"/>
      <c r="WEV38" s="292"/>
      <c r="WEW38" s="292"/>
      <c r="WEX38" s="292"/>
      <c r="WEY38" s="292"/>
      <c r="WEZ38" s="292"/>
      <c r="WFA38" s="292"/>
      <c r="WFB38" s="292"/>
      <c r="WFC38" s="292"/>
      <c r="WFD38" s="292"/>
      <c r="WFE38" s="292"/>
      <c r="WFF38" s="292"/>
      <c r="WFG38" s="292"/>
      <c r="WFH38" s="292"/>
      <c r="WFI38" s="292"/>
      <c r="WFJ38" s="292"/>
      <c r="WFK38" s="292"/>
      <c r="WFL38" s="292"/>
      <c r="WFM38" s="292"/>
      <c r="WFN38" s="292"/>
      <c r="WFO38" s="292"/>
      <c r="WFP38" s="292"/>
      <c r="WFQ38" s="292"/>
      <c r="WFR38" s="292"/>
      <c r="WFS38" s="292"/>
      <c r="WFT38" s="292"/>
      <c r="WFU38" s="292"/>
      <c r="WFV38" s="292"/>
      <c r="WFW38" s="292"/>
      <c r="WFX38" s="292"/>
      <c r="WFY38" s="292"/>
      <c r="WFZ38" s="292"/>
      <c r="WGA38" s="292"/>
      <c r="WGB38" s="292"/>
      <c r="WGC38" s="292"/>
      <c r="WGD38" s="292"/>
      <c r="WGE38" s="292"/>
      <c r="WGF38" s="292"/>
      <c r="WGG38" s="292"/>
      <c r="WGH38" s="292"/>
      <c r="WGI38" s="292"/>
      <c r="WGJ38" s="292"/>
      <c r="WGK38" s="292"/>
      <c r="WGL38" s="292"/>
      <c r="WGM38" s="292"/>
      <c r="WGN38" s="292"/>
      <c r="WGO38" s="292"/>
      <c r="WGP38" s="292"/>
      <c r="WGQ38" s="292"/>
      <c r="WGR38" s="292"/>
      <c r="WGS38" s="292"/>
      <c r="WGT38" s="292"/>
      <c r="WGU38" s="292"/>
      <c r="WGV38" s="292"/>
      <c r="WGW38" s="292"/>
      <c r="WGX38" s="292"/>
      <c r="WGY38" s="292"/>
      <c r="WGZ38" s="292"/>
      <c r="WHA38" s="292"/>
      <c r="WHB38" s="292"/>
      <c r="WHC38" s="292"/>
      <c r="WHD38" s="292"/>
      <c r="WHE38" s="292"/>
      <c r="WHF38" s="292"/>
      <c r="WHG38" s="292"/>
      <c r="WHH38" s="292"/>
      <c r="WHI38" s="292"/>
      <c r="WHJ38" s="292"/>
      <c r="WHK38" s="292"/>
      <c r="WHL38" s="292"/>
      <c r="WHM38" s="292"/>
      <c r="WHN38" s="292"/>
      <c r="WHO38" s="292"/>
      <c r="WHP38" s="292"/>
      <c r="WHQ38" s="292"/>
      <c r="WHR38" s="292"/>
      <c r="WHS38" s="292"/>
      <c r="WHT38" s="292"/>
      <c r="WHU38" s="292"/>
      <c r="WHV38" s="292"/>
      <c r="WHW38" s="292"/>
      <c r="WHX38" s="292"/>
      <c r="WHY38" s="292"/>
      <c r="WHZ38" s="292"/>
      <c r="WIA38" s="292"/>
      <c r="WIB38" s="292"/>
      <c r="WIC38" s="292"/>
      <c r="WID38" s="292"/>
      <c r="WIE38" s="292"/>
      <c r="WIF38" s="292"/>
      <c r="WIG38" s="292"/>
      <c r="WIH38" s="292"/>
      <c r="WII38" s="292"/>
      <c r="WIJ38" s="292"/>
      <c r="WIK38" s="292"/>
      <c r="WIL38" s="292"/>
      <c r="WIM38" s="292"/>
      <c r="WIN38" s="292"/>
      <c r="WIO38" s="292"/>
      <c r="WIP38" s="292"/>
      <c r="WIQ38" s="292"/>
      <c r="WIR38" s="292"/>
      <c r="WIS38" s="292"/>
      <c r="WIT38" s="292"/>
      <c r="WIU38" s="292"/>
      <c r="WIV38" s="292"/>
      <c r="WIW38" s="292"/>
      <c r="WIX38" s="292"/>
      <c r="WIY38" s="292"/>
      <c r="WIZ38" s="292"/>
      <c r="WJA38" s="292"/>
      <c r="WJB38" s="292"/>
      <c r="WJC38" s="292"/>
      <c r="WJD38" s="292"/>
      <c r="WJE38" s="292"/>
      <c r="WJF38" s="292"/>
      <c r="WJG38" s="292"/>
      <c r="WJH38" s="292"/>
      <c r="WJI38" s="292"/>
      <c r="WJJ38" s="292"/>
      <c r="WJK38" s="292"/>
      <c r="WJL38" s="292"/>
      <c r="WJM38" s="292"/>
      <c r="WJN38" s="292"/>
      <c r="WJO38" s="292"/>
      <c r="WJP38" s="292"/>
      <c r="WJQ38" s="292"/>
      <c r="WJR38" s="292"/>
      <c r="WJS38" s="292"/>
      <c r="WJT38" s="292"/>
      <c r="WJU38" s="292"/>
      <c r="WJV38" s="292"/>
      <c r="WJW38" s="292"/>
      <c r="WJX38" s="292"/>
      <c r="WJY38" s="292"/>
      <c r="WJZ38" s="292"/>
      <c r="WKA38" s="292"/>
      <c r="WKB38" s="292"/>
      <c r="WKC38" s="292"/>
      <c r="WKD38" s="292"/>
      <c r="WKE38" s="292"/>
      <c r="WKF38" s="292"/>
      <c r="WKG38" s="292"/>
      <c r="WKH38" s="292"/>
      <c r="WKI38" s="292"/>
      <c r="WKJ38" s="292"/>
      <c r="WKK38" s="292"/>
      <c r="WKL38" s="292"/>
      <c r="WKM38" s="292"/>
      <c r="WKN38" s="292"/>
      <c r="WKO38" s="292"/>
      <c r="WKP38" s="292"/>
      <c r="WKQ38" s="292"/>
      <c r="WKR38" s="292"/>
      <c r="WKS38" s="292"/>
      <c r="WKT38" s="292"/>
      <c r="WKU38" s="292"/>
      <c r="WKV38" s="292"/>
      <c r="WKW38" s="292"/>
      <c r="WKX38" s="292"/>
      <c r="WKY38" s="292"/>
      <c r="WKZ38" s="292"/>
      <c r="WLA38" s="292"/>
      <c r="WLB38" s="292"/>
      <c r="WLC38" s="292"/>
      <c r="WLD38" s="292"/>
      <c r="WLE38" s="292"/>
      <c r="WLF38" s="292"/>
      <c r="WLG38" s="292"/>
      <c r="WLH38" s="292"/>
      <c r="WLI38" s="292"/>
      <c r="WLJ38" s="292"/>
      <c r="WLK38" s="292"/>
      <c r="WLL38" s="292"/>
      <c r="WLM38" s="292"/>
      <c r="WLN38" s="292"/>
      <c r="WLO38" s="292"/>
      <c r="WLP38" s="292"/>
      <c r="WLQ38" s="292"/>
      <c r="WLR38" s="292"/>
      <c r="WLS38" s="292"/>
      <c r="WLT38" s="292"/>
      <c r="WLU38" s="292"/>
      <c r="WLV38" s="292"/>
      <c r="WLW38" s="292"/>
      <c r="WLX38" s="292"/>
      <c r="WLY38" s="292"/>
      <c r="WLZ38" s="292"/>
      <c r="WMA38" s="292"/>
      <c r="WMB38" s="292"/>
      <c r="WMC38" s="292"/>
      <c r="WMD38" s="292"/>
      <c r="WME38" s="292"/>
      <c r="WMF38" s="292"/>
      <c r="WMG38" s="292"/>
      <c r="WMH38" s="292"/>
      <c r="WMI38" s="292"/>
      <c r="WMJ38" s="292"/>
      <c r="WMK38" s="292"/>
      <c r="WML38" s="292"/>
      <c r="WMM38" s="292"/>
      <c r="WMN38" s="292"/>
      <c r="WMO38" s="292"/>
      <c r="WMP38" s="292"/>
      <c r="WMQ38" s="292"/>
      <c r="WMR38" s="292"/>
      <c r="WMS38" s="292"/>
      <c r="WMT38" s="292"/>
      <c r="WMU38" s="292"/>
      <c r="WMV38" s="292"/>
      <c r="WMW38" s="292"/>
      <c r="WMX38" s="292"/>
      <c r="WMY38" s="292"/>
      <c r="WMZ38" s="292"/>
      <c r="WNA38" s="292"/>
      <c r="WNB38" s="292"/>
      <c r="WNC38" s="292"/>
      <c r="WND38" s="292"/>
      <c r="WNE38" s="292"/>
      <c r="WNF38" s="292"/>
      <c r="WNG38" s="292"/>
      <c r="WNH38" s="292"/>
      <c r="WNI38" s="292"/>
      <c r="WNJ38" s="292"/>
      <c r="WNK38" s="292"/>
      <c r="WNL38" s="292"/>
      <c r="WNM38" s="292"/>
      <c r="WNN38" s="292"/>
      <c r="WNO38" s="292"/>
      <c r="WNP38" s="292"/>
      <c r="WNQ38" s="292"/>
      <c r="WNR38" s="292"/>
      <c r="WNS38" s="292"/>
      <c r="WNT38" s="292"/>
      <c r="WNU38" s="292"/>
      <c r="WNV38" s="292"/>
      <c r="WNW38" s="292"/>
      <c r="WNX38" s="292"/>
      <c r="WNY38" s="292"/>
      <c r="WNZ38" s="292"/>
      <c r="WOA38" s="292"/>
      <c r="WOB38" s="292"/>
      <c r="WOC38" s="292"/>
      <c r="WOD38" s="292"/>
      <c r="WOE38" s="292"/>
      <c r="WOF38" s="292"/>
      <c r="WOG38" s="292"/>
      <c r="WOH38" s="292"/>
      <c r="WOI38" s="292"/>
      <c r="WOJ38" s="292"/>
      <c r="WOK38" s="292"/>
      <c r="WOL38" s="292"/>
      <c r="WOM38" s="292"/>
      <c r="WON38" s="292"/>
      <c r="WOO38" s="292"/>
      <c r="WOP38" s="292"/>
      <c r="WOQ38" s="292"/>
      <c r="WOR38" s="292"/>
      <c r="WOS38" s="292"/>
      <c r="WOT38" s="292"/>
      <c r="WOU38" s="292"/>
      <c r="WOV38" s="292"/>
      <c r="WOW38" s="292"/>
      <c r="WOX38" s="292"/>
      <c r="WOY38" s="292"/>
      <c r="WOZ38" s="292"/>
      <c r="WPA38" s="292"/>
      <c r="WPB38" s="292"/>
      <c r="WPC38" s="292"/>
      <c r="WPD38" s="292"/>
      <c r="WPE38" s="292"/>
      <c r="WPF38" s="292"/>
      <c r="WPG38" s="292"/>
      <c r="WPH38" s="292"/>
      <c r="WPI38" s="292"/>
      <c r="WPJ38" s="292"/>
      <c r="WPK38" s="292"/>
      <c r="WPL38" s="292"/>
      <c r="WPM38" s="292"/>
      <c r="WPN38" s="292"/>
      <c r="WPO38" s="292"/>
      <c r="WPP38" s="292"/>
      <c r="WPQ38" s="292"/>
      <c r="WPR38" s="292"/>
      <c r="WPS38" s="292"/>
      <c r="WPT38" s="292"/>
      <c r="WPU38" s="292"/>
      <c r="WPV38" s="292"/>
      <c r="WPW38" s="292"/>
      <c r="WPX38" s="292"/>
      <c r="WPY38" s="292"/>
      <c r="WPZ38" s="292"/>
      <c r="WQA38" s="292"/>
      <c r="WQB38" s="292"/>
      <c r="WQC38" s="292"/>
      <c r="WQD38" s="292"/>
      <c r="WQE38" s="292"/>
      <c r="WQF38" s="292"/>
      <c r="WQG38" s="292"/>
      <c r="WQH38" s="292"/>
      <c r="WQI38" s="292"/>
      <c r="WQJ38" s="292"/>
      <c r="WQK38" s="292"/>
      <c r="WQL38" s="292"/>
      <c r="WQM38" s="292"/>
      <c r="WQN38" s="292"/>
      <c r="WQO38" s="292"/>
      <c r="WQP38" s="292"/>
      <c r="WQQ38" s="292"/>
      <c r="WQR38" s="292"/>
      <c r="WQS38" s="292"/>
      <c r="WQT38" s="292"/>
      <c r="WQU38" s="292"/>
      <c r="WQV38" s="292"/>
      <c r="WQW38" s="292"/>
      <c r="WQX38" s="292"/>
      <c r="WQY38" s="292"/>
      <c r="WQZ38" s="292"/>
      <c r="WRA38" s="292"/>
      <c r="WRB38" s="292"/>
      <c r="WRC38" s="292"/>
      <c r="WRD38" s="292"/>
      <c r="WRE38" s="292"/>
      <c r="WRF38" s="292"/>
      <c r="WRG38" s="292"/>
      <c r="WRH38" s="292"/>
      <c r="WRI38" s="292"/>
      <c r="WRJ38" s="292"/>
      <c r="WRK38" s="292"/>
      <c r="WRL38" s="292"/>
      <c r="WRM38" s="292"/>
      <c r="WRN38" s="292"/>
      <c r="WRO38" s="292"/>
      <c r="WRP38" s="292"/>
      <c r="WRQ38" s="292"/>
      <c r="WRR38" s="292"/>
      <c r="WRS38" s="292"/>
      <c r="WRT38" s="292"/>
      <c r="WRU38" s="292"/>
      <c r="WRV38" s="292"/>
      <c r="WRW38" s="292"/>
      <c r="WRX38" s="292"/>
      <c r="WRY38" s="292"/>
      <c r="WRZ38" s="292"/>
      <c r="WSA38" s="292"/>
      <c r="WSB38" s="292"/>
      <c r="WSC38" s="292"/>
      <c r="WSD38" s="292"/>
      <c r="WSE38" s="292"/>
      <c r="WSF38" s="292"/>
      <c r="WSG38" s="292"/>
      <c r="WSH38" s="292"/>
      <c r="WSI38" s="292"/>
      <c r="WSJ38" s="292"/>
      <c r="WSK38" s="292"/>
      <c r="WSL38" s="292"/>
      <c r="WSM38" s="292"/>
      <c r="WSN38" s="292"/>
      <c r="WSO38" s="292"/>
      <c r="WSP38" s="292"/>
      <c r="WSQ38" s="292"/>
      <c r="WSR38" s="292"/>
      <c r="WSS38" s="292"/>
      <c r="WST38" s="292"/>
      <c r="WSU38" s="292"/>
      <c r="WSV38" s="292"/>
      <c r="WSW38" s="292"/>
      <c r="WSX38" s="292"/>
      <c r="WSY38" s="292"/>
      <c r="WSZ38" s="292"/>
      <c r="WTA38" s="292"/>
      <c r="WTB38" s="292"/>
      <c r="WTC38" s="292"/>
      <c r="WTD38" s="292"/>
      <c r="WTE38" s="292"/>
      <c r="WTF38" s="292"/>
      <c r="WTG38" s="292"/>
      <c r="WTH38" s="292"/>
      <c r="WTI38" s="292"/>
      <c r="WTJ38" s="292"/>
      <c r="WTK38" s="292"/>
      <c r="WTL38" s="292"/>
      <c r="WTM38" s="292"/>
      <c r="WTN38" s="292"/>
      <c r="WTO38" s="292"/>
      <c r="WTP38" s="292"/>
      <c r="WTQ38" s="292"/>
      <c r="WTR38" s="292"/>
      <c r="WTS38" s="292"/>
      <c r="WTT38" s="292"/>
      <c r="WTU38" s="292"/>
      <c r="WTV38" s="292"/>
      <c r="WTW38" s="292"/>
      <c r="WTX38" s="292"/>
      <c r="WTY38" s="292"/>
      <c r="WTZ38" s="292"/>
      <c r="WUA38" s="292"/>
      <c r="WUB38" s="292"/>
      <c r="WUC38" s="292"/>
      <c r="WUD38" s="292"/>
      <c r="WUE38" s="292"/>
      <c r="WUF38" s="292"/>
      <c r="WUG38" s="292"/>
      <c r="WUH38" s="292"/>
      <c r="WUI38" s="292"/>
      <c r="WUJ38" s="292"/>
      <c r="WUK38" s="292"/>
      <c r="WUL38" s="292"/>
      <c r="WUM38" s="292"/>
      <c r="WUN38" s="292"/>
      <c r="WUO38" s="292"/>
      <c r="WUP38" s="292"/>
      <c r="WUQ38" s="292"/>
      <c r="WUR38" s="292"/>
      <c r="WUS38" s="292"/>
      <c r="WUT38" s="292"/>
      <c r="WUU38" s="292"/>
      <c r="WUV38" s="292"/>
      <c r="WUW38" s="292"/>
      <c r="WUX38" s="292"/>
      <c r="WUY38" s="292"/>
      <c r="WUZ38" s="292"/>
      <c r="WVA38" s="292"/>
      <c r="WVB38" s="292"/>
      <c r="WVC38" s="292"/>
      <c r="WVD38" s="292"/>
      <c r="WVE38" s="292"/>
      <c r="WVF38" s="292"/>
      <c r="WVG38" s="292"/>
      <c r="WVH38" s="292"/>
      <c r="WVI38" s="292"/>
      <c r="WVJ38" s="292"/>
      <c r="WVK38" s="292"/>
      <c r="WVL38" s="292"/>
      <c r="WVM38" s="292"/>
      <c r="WVN38" s="292"/>
      <c r="WVO38" s="292"/>
      <c r="WVP38" s="292"/>
      <c r="WVQ38" s="292"/>
      <c r="WVR38" s="292"/>
      <c r="WVS38" s="292"/>
      <c r="WVT38" s="292"/>
      <c r="WVU38" s="292"/>
      <c r="WVV38" s="292"/>
      <c r="WVW38" s="292"/>
      <c r="WVX38" s="292"/>
      <c r="WVY38" s="292"/>
      <c r="WVZ38" s="292"/>
      <c r="WWA38" s="292"/>
      <c r="WWB38" s="292"/>
      <c r="WWC38" s="292"/>
      <c r="WWD38" s="292"/>
      <c r="WWE38" s="292"/>
      <c r="WWF38" s="292"/>
      <c r="WWG38" s="292"/>
      <c r="WWH38" s="292"/>
      <c r="WWI38" s="292"/>
      <c r="WWJ38" s="292"/>
      <c r="WWK38" s="292"/>
      <c r="WWL38" s="292"/>
      <c r="WWM38" s="292"/>
      <c r="WWN38" s="292"/>
      <c r="WWO38" s="292"/>
      <c r="WWP38" s="292"/>
      <c r="WWQ38" s="292"/>
      <c r="WWR38" s="292"/>
      <c r="WWS38" s="292"/>
      <c r="WWT38" s="292"/>
      <c r="WWU38" s="292"/>
      <c r="WWV38" s="292"/>
      <c r="WWW38" s="292"/>
      <c r="WWX38" s="292"/>
      <c r="WWY38" s="292"/>
      <c r="WWZ38" s="292"/>
      <c r="WXA38" s="292"/>
      <c r="WXB38" s="292"/>
      <c r="WXC38" s="292"/>
      <c r="WXD38" s="292"/>
      <c r="WXE38" s="292"/>
      <c r="WXF38" s="292"/>
      <c r="WXG38" s="292"/>
      <c r="WXH38" s="292"/>
      <c r="WXI38" s="292"/>
      <c r="WXJ38" s="292"/>
      <c r="WXK38" s="292"/>
      <c r="WXL38" s="292"/>
      <c r="WXM38" s="292"/>
      <c r="WXN38" s="292"/>
      <c r="WXO38" s="292"/>
      <c r="WXP38" s="292"/>
      <c r="WXQ38" s="292"/>
      <c r="WXR38" s="292"/>
      <c r="WXS38" s="292"/>
      <c r="WXT38" s="292"/>
      <c r="WXU38" s="292"/>
      <c r="WXV38" s="292"/>
      <c r="WXW38" s="292"/>
      <c r="WXX38" s="292"/>
      <c r="WXY38" s="292"/>
      <c r="WXZ38" s="292"/>
      <c r="WYA38" s="292"/>
      <c r="WYB38" s="292"/>
      <c r="WYC38" s="292"/>
      <c r="WYD38" s="292"/>
      <c r="WYE38" s="292"/>
      <c r="WYF38" s="292"/>
      <c r="WYG38" s="292"/>
      <c r="WYH38" s="292"/>
      <c r="WYI38" s="292"/>
      <c r="WYJ38" s="292"/>
      <c r="WYK38" s="292"/>
      <c r="WYL38" s="292"/>
      <c r="WYM38" s="292"/>
      <c r="WYN38" s="292"/>
      <c r="WYO38" s="292"/>
      <c r="WYP38" s="292"/>
      <c r="WYQ38" s="292"/>
      <c r="WYR38" s="292"/>
      <c r="WYS38" s="292"/>
      <c r="WYT38" s="292"/>
      <c r="WYU38" s="292"/>
      <c r="WYV38" s="292"/>
      <c r="WYW38" s="292"/>
      <c r="WYX38" s="292"/>
      <c r="WYY38" s="292"/>
      <c r="WYZ38" s="292"/>
      <c r="WZA38" s="292"/>
      <c r="WZB38" s="292"/>
      <c r="WZC38" s="292"/>
      <c r="WZD38" s="292"/>
      <c r="WZE38" s="292"/>
      <c r="WZF38" s="292"/>
      <c r="WZG38" s="292"/>
      <c r="WZH38" s="292"/>
      <c r="WZI38" s="292"/>
      <c r="WZJ38" s="292"/>
      <c r="WZK38" s="292"/>
      <c r="WZL38" s="292"/>
      <c r="WZM38" s="292"/>
      <c r="WZN38" s="292"/>
      <c r="WZO38" s="292"/>
      <c r="WZP38" s="292"/>
      <c r="WZQ38" s="292"/>
      <c r="WZR38" s="292"/>
      <c r="WZS38" s="292"/>
      <c r="WZT38" s="292"/>
      <c r="WZU38" s="292"/>
      <c r="WZV38" s="292"/>
      <c r="WZW38" s="292"/>
      <c r="WZX38" s="292"/>
      <c r="WZY38" s="292"/>
      <c r="WZZ38" s="292"/>
      <c r="XAA38" s="292"/>
      <c r="XAB38" s="292"/>
      <c r="XAC38" s="292"/>
      <c r="XAD38" s="292"/>
      <c r="XAE38" s="292"/>
      <c r="XAF38" s="292"/>
      <c r="XAG38" s="292"/>
      <c r="XAH38" s="292"/>
      <c r="XAI38" s="292"/>
      <c r="XAJ38" s="292"/>
      <c r="XAK38" s="292"/>
      <c r="XAL38" s="292"/>
      <c r="XAM38" s="292"/>
      <c r="XAN38" s="292"/>
      <c r="XAO38" s="292"/>
      <c r="XAP38" s="292"/>
      <c r="XAQ38" s="292"/>
      <c r="XAR38" s="292"/>
      <c r="XAS38" s="292"/>
      <c r="XAT38" s="292"/>
      <c r="XAU38" s="292"/>
      <c r="XAV38" s="292"/>
      <c r="XAW38" s="292"/>
      <c r="XAX38" s="292"/>
      <c r="XAY38" s="292"/>
      <c r="XAZ38" s="292"/>
      <c r="XBA38" s="292"/>
      <c r="XBB38" s="292"/>
      <c r="XBC38" s="292"/>
      <c r="XBD38" s="292"/>
      <c r="XBE38" s="292"/>
      <c r="XBF38" s="292"/>
      <c r="XBG38" s="292"/>
      <c r="XBH38" s="292"/>
      <c r="XBI38" s="292"/>
      <c r="XBJ38" s="292"/>
      <c r="XBK38" s="292"/>
      <c r="XBL38" s="292"/>
      <c r="XBM38" s="292"/>
      <c r="XBN38" s="292"/>
      <c r="XBO38" s="292"/>
      <c r="XBP38" s="292"/>
      <c r="XBQ38" s="292"/>
      <c r="XBR38" s="292"/>
      <c r="XBS38" s="292"/>
      <c r="XBT38" s="292"/>
      <c r="XBU38" s="292"/>
      <c r="XBV38" s="292"/>
      <c r="XBW38" s="292"/>
      <c r="XBX38" s="292"/>
      <c r="XBY38" s="292"/>
      <c r="XBZ38" s="292"/>
      <c r="XCA38" s="292"/>
      <c r="XCB38" s="292"/>
      <c r="XCC38" s="292"/>
      <c r="XCD38" s="292"/>
      <c r="XCE38" s="292"/>
      <c r="XCF38" s="292"/>
      <c r="XCG38" s="292"/>
      <c r="XCH38" s="292"/>
      <c r="XCI38" s="292"/>
      <c r="XCJ38" s="292"/>
      <c r="XCK38" s="292"/>
      <c r="XCL38" s="292"/>
      <c r="XCM38" s="292"/>
      <c r="XCN38" s="292"/>
      <c r="XCO38" s="292"/>
      <c r="XCP38" s="292"/>
      <c r="XCQ38" s="292"/>
      <c r="XCR38" s="292"/>
      <c r="XCS38" s="292"/>
      <c r="XCT38" s="292"/>
      <c r="XCU38" s="292"/>
      <c r="XCV38" s="292"/>
      <c r="XCW38" s="292"/>
      <c r="XCX38" s="292"/>
      <c r="XCY38" s="292"/>
      <c r="XCZ38" s="292"/>
      <c r="XDA38" s="292"/>
      <c r="XDB38" s="292"/>
      <c r="XDC38" s="292"/>
      <c r="XDD38" s="292"/>
      <c r="XDE38" s="292"/>
      <c r="XDF38" s="292"/>
      <c r="XDG38" s="292"/>
      <c r="XDH38" s="292"/>
      <c r="XDI38" s="292"/>
      <c r="XDJ38" s="292"/>
      <c r="XDK38" s="292"/>
      <c r="XDL38" s="292"/>
      <c r="XDM38" s="292"/>
      <c r="XDN38" s="292"/>
      <c r="XDO38" s="292"/>
      <c r="XDP38" s="292"/>
      <c r="XDQ38" s="292"/>
      <c r="XDR38" s="292"/>
      <c r="XDS38" s="292"/>
      <c r="XDT38" s="292"/>
      <c r="XDU38" s="292"/>
      <c r="XDV38" s="292"/>
      <c r="XDW38" s="292"/>
      <c r="XDX38" s="292"/>
      <c r="XDY38" s="292"/>
      <c r="XDZ38" s="292"/>
      <c r="XEA38" s="292"/>
      <c r="XEB38" s="292"/>
      <c r="XEC38" s="292"/>
      <c r="XED38" s="292"/>
      <c r="XEE38" s="292"/>
      <c r="XEF38" s="292"/>
      <c r="XEG38" s="292"/>
      <c r="XEH38" s="292"/>
      <c r="XEI38" s="292"/>
      <c r="XEJ38" s="292"/>
      <c r="XEK38" s="292"/>
      <c r="XEL38" s="292"/>
      <c r="XEM38" s="292"/>
      <c r="XEN38" s="292"/>
      <c r="XEO38" s="292"/>
      <c r="XEP38" s="292"/>
      <c r="XEQ38" s="292"/>
      <c r="XER38" s="292"/>
      <c r="XES38" s="292"/>
      <c r="XET38" s="292"/>
      <c r="XEU38" s="292"/>
      <c r="XEV38" s="292"/>
      <c r="XEW38" s="292"/>
      <c r="XEX38" s="292"/>
      <c r="XEY38" s="292"/>
      <c r="XEZ38" s="292"/>
      <c r="XFA38" s="292"/>
      <c r="XFB38" s="292"/>
      <c r="XFC38" s="292"/>
      <c r="XFD38" s="292"/>
    </row>
    <row r="39" ht="15.75" customHeight="1">
      <c r="D39" s="934" t="s">
        <v>166</v>
      </c>
      <c r="E39" s="863">
        <v>3600.0</v>
      </c>
      <c r="F39" s="940" t="s">
        <v>283</v>
      </c>
      <c r="I39" s="292"/>
      <c r="J39" s="292"/>
    </row>
    <row r="40" ht="15.75" customHeight="1">
      <c r="D40" s="934" t="s">
        <v>300</v>
      </c>
      <c r="E40" s="865">
        <f>15/60</f>
        <v>0.25</v>
      </c>
      <c r="F40" s="940" t="s">
        <v>346</v>
      </c>
      <c r="I40" s="292"/>
      <c r="J40" s="292"/>
    </row>
    <row r="41" ht="15.75" customHeight="1">
      <c r="D41" s="934" t="s">
        <v>286</v>
      </c>
      <c r="E41" s="865">
        <v>15.75</v>
      </c>
      <c r="F41" s="940" t="s">
        <v>677</v>
      </c>
      <c r="I41" s="292"/>
      <c r="J41" s="292"/>
    </row>
    <row r="42" ht="15.75" customHeight="1">
      <c r="I42" s="292"/>
      <c r="J42" s="292"/>
    </row>
    <row r="43" ht="15.75" customHeight="1">
      <c r="A43" s="292"/>
      <c r="B43" s="292"/>
      <c r="C43" s="292"/>
      <c r="D43" s="292"/>
      <c r="E43" s="925">
        <f>E39*E40*E41</f>
        <v>14175</v>
      </c>
      <c r="F43" s="292"/>
      <c r="G43" s="292"/>
      <c r="H43" s="292"/>
      <c r="I43" s="292"/>
      <c r="J43" s="292"/>
      <c r="K43" s="292"/>
      <c r="L43" s="292"/>
      <c r="M43" s="292"/>
      <c r="N43" s="292"/>
      <c r="O43" s="292"/>
      <c r="P43" s="292"/>
      <c r="Q43" s="292"/>
      <c r="R43" s="292"/>
      <c r="S43" s="292"/>
      <c r="T43" s="292"/>
      <c r="U43" s="292"/>
      <c r="V43" s="292"/>
      <c r="W43" s="292"/>
      <c r="X43" s="292"/>
      <c r="Y43" s="292"/>
      <c r="Z43" s="292"/>
      <c r="AA43" s="292"/>
      <c r="AB43" s="292"/>
      <c r="AC43" s="292"/>
      <c r="AD43" s="292"/>
      <c r="AE43" s="292"/>
      <c r="AF43" s="292"/>
      <c r="AG43" s="292"/>
      <c r="AH43" s="292"/>
      <c r="AI43" s="292"/>
      <c r="AJ43" s="292"/>
      <c r="AK43" s="292"/>
      <c r="AL43" s="292"/>
      <c r="AM43" s="292"/>
      <c r="AN43" s="292"/>
      <c r="AO43" s="292"/>
      <c r="AP43" s="292"/>
      <c r="AQ43" s="292"/>
      <c r="AR43" s="292"/>
      <c r="AS43" s="292"/>
      <c r="AT43" s="292"/>
      <c r="AU43" s="292"/>
      <c r="AV43" s="292"/>
      <c r="AW43" s="292"/>
      <c r="AX43" s="292"/>
      <c r="AY43" s="292"/>
      <c r="AZ43" s="292"/>
      <c r="BA43" s="292"/>
      <c r="BB43" s="292"/>
      <c r="BC43" s="292"/>
      <c r="BD43" s="292"/>
      <c r="BE43" s="292"/>
      <c r="BF43" s="292"/>
      <c r="BG43" s="292"/>
      <c r="BH43" s="292"/>
      <c r="BI43" s="292"/>
      <c r="BJ43" s="292"/>
      <c r="BK43" s="292"/>
      <c r="BL43" s="292"/>
      <c r="BM43" s="292"/>
      <c r="BN43" s="292"/>
      <c r="BO43" s="292"/>
      <c r="BP43" s="292"/>
      <c r="BQ43" s="292"/>
      <c r="BR43" s="292"/>
      <c r="BS43" s="292"/>
      <c r="BT43" s="292"/>
      <c r="BU43" s="292"/>
      <c r="BV43" s="292"/>
      <c r="BW43" s="292"/>
      <c r="BX43" s="292"/>
      <c r="BY43" s="292"/>
      <c r="BZ43" s="292"/>
      <c r="CA43" s="292"/>
      <c r="CB43" s="292"/>
      <c r="CC43" s="292"/>
      <c r="CD43" s="292"/>
      <c r="CE43" s="292"/>
      <c r="CF43" s="292"/>
      <c r="CG43" s="292"/>
      <c r="CH43" s="292"/>
      <c r="CI43" s="292"/>
      <c r="CJ43" s="292"/>
      <c r="CK43" s="292"/>
      <c r="CL43" s="292"/>
      <c r="CM43" s="292"/>
      <c r="CN43" s="292"/>
      <c r="CO43" s="292"/>
      <c r="CP43" s="292"/>
      <c r="CQ43" s="292"/>
      <c r="CR43" s="292"/>
      <c r="CS43" s="292"/>
      <c r="CT43" s="292"/>
      <c r="CU43" s="292"/>
      <c r="CV43" s="292"/>
      <c r="CW43" s="292"/>
      <c r="CX43" s="292"/>
      <c r="CY43" s="292"/>
      <c r="CZ43" s="292"/>
      <c r="DA43" s="292"/>
      <c r="DB43" s="292"/>
      <c r="DC43" s="292"/>
      <c r="DD43" s="292"/>
      <c r="DE43" s="292"/>
      <c r="DF43" s="292"/>
      <c r="DG43" s="292"/>
      <c r="DH43" s="292"/>
      <c r="DI43" s="292"/>
      <c r="DJ43" s="292"/>
      <c r="DK43" s="292"/>
      <c r="DL43" s="292"/>
      <c r="DM43" s="292"/>
      <c r="DN43" s="292"/>
      <c r="DO43" s="292"/>
      <c r="DP43" s="292"/>
      <c r="DQ43" s="292"/>
      <c r="DR43" s="292"/>
      <c r="DS43" s="292"/>
      <c r="DT43" s="292"/>
      <c r="DU43" s="292"/>
      <c r="DV43" s="292"/>
      <c r="DW43" s="292"/>
      <c r="DX43" s="292"/>
      <c r="DY43" s="292"/>
      <c r="DZ43" s="292"/>
      <c r="EA43" s="292"/>
      <c r="EB43" s="292"/>
      <c r="EC43" s="292"/>
      <c r="ED43" s="292"/>
      <c r="EE43" s="292"/>
      <c r="EF43" s="292"/>
      <c r="EG43" s="292"/>
      <c r="EH43" s="292"/>
      <c r="EI43" s="292"/>
      <c r="EJ43" s="292"/>
      <c r="EK43" s="292"/>
      <c r="EL43" s="292"/>
      <c r="EM43" s="292"/>
      <c r="EN43" s="292"/>
      <c r="EO43" s="292"/>
      <c r="EP43" s="292"/>
      <c r="EQ43" s="292"/>
      <c r="ER43" s="292"/>
      <c r="ES43" s="292"/>
      <c r="ET43" s="292"/>
      <c r="EU43" s="292"/>
      <c r="EV43" s="292"/>
      <c r="EW43" s="292"/>
      <c r="EX43" s="292"/>
      <c r="EY43" s="292"/>
      <c r="EZ43" s="292"/>
      <c r="FA43" s="292"/>
      <c r="FB43" s="292"/>
      <c r="FC43" s="292"/>
      <c r="FD43" s="292"/>
      <c r="FE43" s="292"/>
      <c r="FF43" s="292"/>
      <c r="FG43" s="292"/>
      <c r="FH43" s="292"/>
      <c r="FI43" s="292"/>
      <c r="FJ43" s="292"/>
      <c r="FK43" s="292"/>
      <c r="FL43" s="292"/>
      <c r="FM43" s="292"/>
      <c r="FN43" s="292"/>
      <c r="FO43" s="292"/>
      <c r="FP43" s="292"/>
      <c r="FQ43" s="292"/>
      <c r="FR43" s="292"/>
      <c r="FS43" s="292"/>
      <c r="FT43" s="292"/>
      <c r="FU43" s="292"/>
      <c r="FV43" s="292"/>
      <c r="FW43" s="292"/>
      <c r="FX43" s="292"/>
      <c r="FY43" s="292"/>
      <c r="FZ43" s="292"/>
      <c r="GA43" s="292"/>
      <c r="GB43" s="292"/>
      <c r="GC43" s="292"/>
      <c r="GD43" s="292"/>
      <c r="GE43" s="292"/>
      <c r="GF43" s="292"/>
      <c r="GG43" s="292"/>
      <c r="GH43" s="292"/>
      <c r="GI43" s="292"/>
      <c r="GJ43" s="292"/>
      <c r="GK43" s="292"/>
      <c r="GL43" s="292"/>
      <c r="GM43" s="292"/>
      <c r="GN43" s="292"/>
      <c r="GO43" s="292"/>
      <c r="GP43" s="292"/>
      <c r="GQ43" s="292"/>
      <c r="GR43" s="292"/>
      <c r="GS43" s="292"/>
      <c r="GT43" s="292"/>
      <c r="GU43" s="292"/>
      <c r="GV43" s="292"/>
      <c r="GW43" s="292"/>
      <c r="GX43" s="292"/>
      <c r="GY43" s="292"/>
      <c r="GZ43" s="292"/>
      <c r="HA43" s="292"/>
      <c r="HB43" s="292"/>
      <c r="HC43" s="292"/>
      <c r="HD43" s="292"/>
      <c r="HE43" s="292"/>
      <c r="HF43" s="292"/>
      <c r="HG43" s="292"/>
      <c r="HH43" s="292"/>
      <c r="HI43" s="292"/>
      <c r="HJ43" s="292"/>
      <c r="HK43" s="292"/>
      <c r="HL43" s="292"/>
      <c r="HM43" s="292"/>
      <c r="HN43" s="292"/>
      <c r="HO43" s="292"/>
      <c r="HP43" s="292"/>
      <c r="HQ43" s="292"/>
      <c r="HR43" s="292"/>
      <c r="HS43" s="292"/>
      <c r="HT43" s="292"/>
      <c r="HU43" s="292"/>
      <c r="HV43" s="292"/>
      <c r="HW43" s="292"/>
      <c r="HX43" s="292"/>
      <c r="HY43" s="292"/>
      <c r="HZ43" s="292"/>
      <c r="IA43" s="292"/>
      <c r="IB43" s="292"/>
      <c r="IC43" s="292"/>
      <c r="ID43" s="292"/>
      <c r="IE43" s="292"/>
      <c r="IF43" s="292"/>
      <c r="IG43" s="292"/>
      <c r="IH43" s="292"/>
      <c r="II43" s="292"/>
      <c r="IJ43" s="292"/>
      <c r="IK43" s="292"/>
      <c r="IL43" s="292"/>
      <c r="IM43" s="292"/>
      <c r="IN43" s="292"/>
      <c r="IO43" s="292"/>
      <c r="IP43" s="292"/>
      <c r="IQ43" s="292"/>
      <c r="IR43" s="292"/>
      <c r="IS43" s="292"/>
      <c r="IT43" s="292"/>
      <c r="IU43" s="292"/>
      <c r="IV43" s="292"/>
      <c r="IW43" s="292"/>
      <c r="IX43" s="292"/>
      <c r="IY43" s="292"/>
      <c r="IZ43" s="292"/>
      <c r="JA43" s="292"/>
      <c r="JB43" s="292"/>
      <c r="JC43" s="292"/>
      <c r="JD43" s="292"/>
      <c r="JE43" s="292"/>
      <c r="JF43" s="292"/>
      <c r="JG43" s="292"/>
      <c r="JH43" s="292"/>
      <c r="JI43" s="292"/>
      <c r="JJ43" s="292"/>
      <c r="JK43" s="292"/>
      <c r="JL43" s="292"/>
      <c r="JM43" s="292"/>
      <c r="JN43" s="292"/>
      <c r="JO43" s="292"/>
      <c r="JP43" s="292"/>
      <c r="JQ43" s="292"/>
      <c r="JR43" s="292"/>
      <c r="JS43" s="292"/>
      <c r="JT43" s="292"/>
      <c r="JU43" s="292"/>
      <c r="JV43" s="292"/>
      <c r="JW43" s="292"/>
      <c r="JX43" s="292"/>
      <c r="JY43" s="292"/>
      <c r="JZ43" s="292"/>
      <c r="KA43" s="292"/>
      <c r="KB43" s="292"/>
      <c r="KC43" s="292"/>
      <c r="KD43" s="292"/>
      <c r="KE43" s="292"/>
      <c r="KF43" s="292"/>
      <c r="KG43" s="292"/>
      <c r="KH43" s="292"/>
      <c r="KI43" s="292"/>
      <c r="KJ43" s="292"/>
      <c r="KK43" s="292"/>
      <c r="KL43" s="292"/>
      <c r="KM43" s="292"/>
      <c r="KN43" s="292"/>
      <c r="KO43" s="292"/>
      <c r="KP43" s="292"/>
      <c r="KQ43" s="292"/>
      <c r="KR43" s="292"/>
      <c r="KS43" s="292"/>
      <c r="KT43" s="292"/>
      <c r="KU43" s="292"/>
      <c r="KV43" s="292"/>
      <c r="KW43" s="292"/>
      <c r="KX43" s="292"/>
      <c r="KY43" s="292"/>
      <c r="KZ43" s="292"/>
      <c r="LA43" s="292"/>
      <c r="LB43" s="292"/>
      <c r="LC43" s="292"/>
      <c r="LD43" s="292"/>
      <c r="LE43" s="292"/>
      <c r="LF43" s="292"/>
      <c r="LG43" s="292"/>
      <c r="LH43" s="292"/>
      <c r="LI43" s="292"/>
      <c r="LJ43" s="292"/>
      <c r="LK43" s="292"/>
      <c r="LL43" s="292"/>
      <c r="LM43" s="292"/>
      <c r="LN43" s="292"/>
      <c r="LO43" s="292"/>
      <c r="LP43" s="292"/>
      <c r="LQ43" s="292"/>
      <c r="LR43" s="292"/>
      <c r="LS43" s="292"/>
      <c r="LT43" s="292"/>
      <c r="LU43" s="292"/>
      <c r="LV43" s="292"/>
      <c r="LW43" s="292"/>
      <c r="LX43" s="292"/>
      <c r="LY43" s="292"/>
      <c r="LZ43" s="292"/>
      <c r="MA43" s="292"/>
      <c r="MB43" s="292"/>
      <c r="MC43" s="292"/>
      <c r="MD43" s="292"/>
      <c r="ME43" s="292"/>
      <c r="MF43" s="292"/>
      <c r="MG43" s="292"/>
      <c r="MH43" s="292"/>
      <c r="MI43" s="292"/>
      <c r="MJ43" s="292"/>
      <c r="MK43" s="292"/>
      <c r="ML43" s="292"/>
      <c r="MM43" s="292"/>
      <c r="MN43" s="292"/>
      <c r="MO43" s="292"/>
      <c r="MP43" s="292"/>
      <c r="MQ43" s="292"/>
      <c r="MR43" s="292"/>
      <c r="MS43" s="292"/>
      <c r="MT43" s="292"/>
      <c r="MU43" s="292"/>
      <c r="MV43" s="292"/>
      <c r="MW43" s="292"/>
      <c r="MX43" s="292"/>
      <c r="MY43" s="292"/>
      <c r="MZ43" s="292"/>
      <c r="NA43" s="292"/>
      <c r="NB43" s="292"/>
      <c r="NC43" s="292"/>
      <c r="ND43" s="292"/>
      <c r="NE43" s="292"/>
      <c r="NF43" s="292"/>
      <c r="NG43" s="292"/>
      <c r="NH43" s="292"/>
      <c r="NI43" s="292"/>
      <c r="NJ43" s="292"/>
      <c r="NK43" s="292"/>
      <c r="NL43" s="292"/>
      <c r="NM43" s="292"/>
      <c r="NN43" s="292"/>
      <c r="NO43" s="292"/>
      <c r="NP43" s="292"/>
      <c r="NQ43" s="292"/>
      <c r="NR43" s="292"/>
      <c r="NS43" s="292"/>
      <c r="NT43" s="292"/>
      <c r="NU43" s="292"/>
      <c r="NV43" s="292"/>
      <c r="NW43" s="292"/>
      <c r="NX43" s="292"/>
      <c r="NY43" s="292"/>
      <c r="NZ43" s="292"/>
      <c r="OA43" s="292"/>
      <c r="OB43" s="292"/>
      <c r="OC43" s="292"/>
      <c r="OD43" s="292"/>
      <c r="OE43" s="292"/>
      <c r="OF43" s="292"/>
      <c r="OG43" s="292"/>
      <c r="OH43" s="292"/>
      <c r="OI43" s="292"/>
      <c r="OJ43" s="292"/>
      <c r="OK43" s="292"/>
      <c r="OL43" s="292"/>
      <c r="OM43" s="292"/>
      <c r="ON43" s="292"/>
      <c r="OO43" s="292"/>
      <c r="OP43" s="292"/>
      <c r="OQ43" s="292"/>
      <c r="OR43" s="292"/>
      <c r="OS43" s="292"/>
      <c r="OT43" s="292"/>
      <c r="OU43" s="292"/>
      <c r="OV43" s="292"/>
      <c r="OW43" s="292"/>
      <c r="OX43" s="292"/>
      <c r="OY43" s="292"/>
      <c r="OZ43" s="292"/>
      <c r="PA43" s="292"/>
      <c r="PB43" s="292"/>
      <c r="PC43" s="292"/>
      <c r="PD43" s="292"/>
      <c r="PE43" s="292"/>
      <c r="PF43" s="292"/>
      <c r="PG43" s="292"/>
      <c r="PH43" s="292"/>
      <c r="PI43" s="292"/>
      <c r="PJ43" s="292"/>
      <c r="PK43" s="292"/>
      <c r="PL43" s="292"/>
      <c r="PM43" s="292"/>
      <c r="PN43" s="292"/>
      <c r="PO43" s="292"/>
      <c r="PP43" s="292"/>
      <c r="PQ43" s="292"/>
      <c r="PR43" s="292"/>
      <c r="PS43" s="292"/>
      <c r="PT43" s="292"/>
      <c r="PU43" s="292"/>
      <c r="PV43" s="292"/>
      <c r="PW43" s="292"/>
      <c r="PX43" s="292"/>
      <c r="PY43" s="292"/>
      <c r="PZ43" s="292"/>
      <c r="QA43" s="292"/>
      <c r="QB43" s="292"/>
      <c r="QC43" s="292"/>
      <c r="QD43" s="292"/>
      <c r="QE43" s="292"/>
      <c r="QF43" s="292"/>
      <c r="QG43" s="292"/>
      <c r="QH43" s="292"/>
      <c r="QI43" s="292"/>
      <c r="QJ43" s="292"/>
      <c r="QK43" s="292"/>
      <c r="QL43" s="292"/>
      <c r="QM43" s="292"/>
      <c r="QN43" s="292"/>
      <c r="QO43" s="292"/>
      <c r="QP43" s="292"/>
      <c r="QQ43" s="292"/>
      <c r="QR43" s="292"/>
      <c r="QS43" s="292"/>
      <c r="QT43" s="292"/>
      <c r="QU43" s="292"/>
      <c r="QV43" s="292"/>
      <c r="QW43" s="292"/>
      <c r="QX43" s="292"/>
      <c r="QY43" s="292"/>
      <c r="QZ43" s="292"/>
      <c r="RA43" s="292"/>
      <c r="RB43" s="292"/>
      <c r="RC43" s="292"/>
      <c r="RD43" s="292"/>
      <c r="RE43" s="292"/>
      <c r="RF43" s="292"/>
      <c r="RG43" s="292"/>
      <c r="RH43" s="292"/>
      <c r="RI43" s="292"/>
      <c r="RJ43" s="292"/>
      <c r="RK43" s="292"/>
      <c r="RL43" s="292"/>
      <c r="RM43" s="292"/>
      <c r="RN43" s="292"/>
      <c r="RO43" s="292"/>
      <c r="RP43" s="292"/>
      <c r="RQ43" s="292"/>
      <c r="RR43" s="292"/>
      <c r="RS43" s="292"/>
      <c r="RT43" s="292"/>
      <c r="RU43" s="292"/>
      <c r="RV43" s="292"/>
      <c r="RW43" s="292"/>
      <c r="RX43" s="292"/>
      <c r="RY43" s="292"/>
      <c r="RZ43" s="292"/>
      <c r="SA43" s="292"/>
      <c r="SB43" s="292"/>
      <c r="SC43" s="292"/>
      <c r="SD43" s="292"/>
      <c r="SE43" s="292"/>
      <c r="SF43" s="292"/>
      <c r="SG43" s="292"/>
      <c r="SH43" s="292"/>
      <c r="SI43" s="292"/>
      <c r="SJ43" s="292"/>
      <c r="SK43" s="292"/>
      <c r="SL43" s="292"/>
      <c r="SM43" s="292"/>
      <c r="SN43" s="292"/>
      <c r="SO43" s="292"/>
      <c r="SP43" s="292"/>
      <c r="SQ43" s="292"/>
      <c r="SR43" s="292"/>
      <c r="SS43" s="292"/>
      <c r="ST43" s="292"/>
      <c r="SU43" s="292"/>
      <c r="SV43" s="292"/>
      <c r="SW43" s="292"/>
      <c r="SX43" s="292"/>
      <c r="SY43" s="292"/>
      <c r="SZ43" s="292"/>
      <c r="TA43" s="292"/>
      <c r="TB43" s="292"/>
      <c r="TC43" s="292"/>
      <c r="TD43" s="292"/>
      <c r="TE43" s="292"/>
      <c r="TF43" s="292"/>
      <c r="TG43" s="292"/>
      <c r="TH43" s="292"/>
      <c r="TI43" s="292"/>
      <c r="TJ43" s="292"/>
      <c r="TK43" s="292"/>
      <c r="TL43" s="292"/>
      <c r="TM43" s="292"/>
      <c r="TN43" s="292"/>
      <c r="TO43" s="292"/>
      <c r="TP43" s="292"/>
      <c r="TQ43" s="292"/>
      <c r="TR43" s="292"/>
      <c r="TS43" s="292"/>
      <c r="TT43" s="292"/>
      <c r="TU43" s="292"/>
      <c r="TV43" s="292"/>
      <c r="TW43" s="292"/>
      <c r="TX43" s="292"/>
      <c r="TY43" s="292"/>
      <c r="TZ43" s="292"/>
      <c r="UA43" s="292"/>
      <c r="UB43" s="292"/>
      <c r="UC43" s="292"/>
      <c r="UD43" s="292"/>
      <c r="UE43" s="292"/>
      <c r="UF43" s="292"/>
      <c r="UG43" s="292"/>
      <c r="UH43" s="292"/>
      <c r="UI43" s="292"/>
      <c r="UJ43" s="292"/>
      <c r="UK43" s="292"/>
      <c r="UL43" s="292"/>
      <c r="UM43" s="292"/>
      <c r="UN43" s="292"/>
      <c r="UO43" s="292"/>
      <c r="UP43" s="292"/>
      <c r="UQ43" s="292"/>
      <c r="UR43" s="292"/>
      <c r="US43" s="292"/>
      <c r="UT43" s="292"/>
      <c r="UU43" s="292"/>
      <c r="UV43" s="292"/>
      <c r="UW43" s="292"/>
      <c r="UX43" s="292"/>
      <c r="UY43" s="292"/>
      <c r="UZ43" s="292"/>
      <c r="VA43" s="292"/>
      <c r="VB43" s="292"/>
      <c r="VC43" s="292"/>
      <c r="VD43" s="292"/>
      <c r="VE43" s="292"/>
      <c r="VF43" s="292"/>
      <c r="VG43" s="292"/>
      <c r="VH43" s="292"/>
      <c r="VI43" s="292"/>
      <c r="VJ43" s="292"/>
      <c r="VK43" s="292"/>
      <c r="VL43" s="292"/>
      <c r="VM43" s="292"/>
      <c r="VN43" s="292"/>
      <c r="VO43" s="292"/>
      <c r="VP43" s="292"/>
      <c r="VQ43" s="292"/>
      <c r="VR43" s="292"/>
      <c r="VS43" s="292"/>
      <c r="VT43" s="292"/>
      <c r="VU43" s="292"/>
      <c r="VV43" s="292"/>
      <c r="VW43" s="292"/>
      <c r="VX43" s="292"/>
      <c r="VY43" s="292"/>
      <c r="VZ43" s="292"/>
      <c r="WA43" s="292"/>
      <c r="WB43" s="292"/>
      <c r="WC43" s="292"/>
      <c r="WD43" s="292"/>
      <c r="WE43" s="292"/>
      <c r="WF43" s="292"/>
      <c r="WG43" s="292"/>
      <c r="WH43" s="292"/>
      <c r="WI43" s="292"/>
      <c r="WJ43" s="292"/>
      <c r="WK43" s="292"/>
      <c r="WL43" s="292"/>
      <c r="WM43" s="292"/>
      <c r="WN43" s="292"/>
      <c r="WO43" s="292"/>
      <c r="WP43" s="292"/>
      <c r="WQ43" s="292"/>
      <c r="WR43" s="292"/>
      <c r="WS43" s="292"/>
      <c r="WT43" s="292"/>
      <c r="WU43" s="292"/>
      <c r="WV43" s="292"/>
      <c r="WW43" s="292"/>
      <c r="WX43" s="292"/>
      <c r="WY43" s="292"/>
      <c r="WZ43" s="292"/>
      <c r="XA43" s="292"/>
      <c r="XB43" s="292"/>
      <c r="XC43" s="292"/>
      <c r="XD43" s="292"/>
      <c r="XE43" s="292"/>
      <c r="XF43" s="292"/>
      <c r="XG43" s="292"/>
      <c r="XH43" s="292"/>
      <c r="XI43" s="292"/>
      <c r="XJ43" s="292"/>
      <c r="XK43" s="292"/>
      <c r="XL43" s="292"/>
      <c r="XM43" s="292"/>
      <c r="XN43" s="292"/>
      <c r="XO43" s="292"/>
      <c r="XP43" s="292"/>
      <c r="XQ43" s="292"/>
      <c r="XR43" s="292"/>
      <c r="XS43" s="292"/>
      <c r="XT43" s="292"/>
      <c r="XU43" s="292"/>
      <c r="XV43" s="292"/>
      <c r="XW43" s="292"/>
      <c r="XX43" s="292"/>
      <c r="XY43" s="292"/>
      <c r="XZ43" s="292"/>
      <c r="YA43" s="292"/>
      <c r="YB43" s="292"/>
      <c r="YC43" s="292"/>
      <c r="YD43" s="292"/>
      <c r="YE43" s="292"/>
      <c r="YF43" s="292"/>
      <c r="YG43" s="292"/>
      <c r="YH43" s="292"/>
      <c r="YI43" s="292"/>
      <c r="YJ43" s="292"/>
      <c r="YK43" s="292"/>
      <c r="YL43" s="292"/>
      <c r="YM43" s="292"/>
      <c r="YN43" s="292"/>
      <c r="YO43" s="292"/>
      <c r="YP43" s="292"/>
      <c r="YQ43" s="292"/>
      <c r="YR43" s="292"/>
      <c r="YS43" s="292"/>
      <c r="YT43" s="292"/>
      <c r="YU43" s="292"/>
      <c r="YV43" s="292"/>
      <c r="YW43" s="292"/>
      <c r="YX43" s="292"/>
      <c r="YY43" s="292"/>
      <c r="YZ43" s="292"/>
      <c r="ZA43" s="292"/>
      <c r="ZB43" s="292"/>
      <c r="ZC43" s="292"/>
      <c r="ZD43" s="292"/>
      <c r="ZE43" s="292"/>
      <c r="ZF43" s="292"/>
      <c r="ZG43" s="292"/>
      <c r="ZH43" s="292"/>
      <c r="ZI43" s="292"/>
      <c r="ZJ43" s="292"/>
      <c r="ZK43" s="292"/>
      <c r="ZL43" s="292"/>
      <c r="ZM43" s="292"/>
      <c r="ZN43" s="292"/>
      <c r="ZO43" s="292"/>
      <c r="ZP43" s="292"/>
      <c r="ZQ43" s="292"/>
      <c r="ZR43" s="292"/>
      <c r="ZS43" s="292"/>
      <c r="ZT43" s="292"/>
      <c r="ZU43" s="292"/>
      <c r="ZV43" s="292"/>
      <c r="ZW43" s="292"/>
      <c r="ZX43" s="292"/>
      <c r="ZY43" s="292"/>
      <c r="ZZ43" s="292"/>
      <c r="AAA43" s="292"/>
      <c r="AAB43" s="292"/>
      <c r="AAC43" s="292"/>
      <c r="AAD43" s="292"/>
      <c r="AAE43" s="292"/>
      <c r="AAF43" s="292"/>
      <c r="AAG43" s="292"/>
      <c r="AAH43" s="292"/>
      <c r="AAI43" s="292"/>
      <c r="AAJ43" s="292"/>
      <c r="AAK43" s="292"/>
      <c r="AAL43" s="292"/>
      <c r="AAM43" s="292"/>
      <c r="AAN43" s="292"/>
      <c r="AAO43" s="292"/>
      <c r="AAP43" s="292"/>
      <c r="AAQ43" s="292"/>
      <c r="AAR43" s="292"/>
      <c r="AAS43" s="292"/>
      <c r="AAT43" s="292"/>
      <c r="AAU43" s="292"/>
      <c r="AAV43" s="292"/>
      <c r="AAW43" s="292"/>
      <c r="AAX43" s="292"/>
      <c r="AAY43" s="292"/>
      <c r="AAZ43" s="292"/>
      <c r="ABA43" s="292"/>
      <c r="ABB43" s="292"/>
      <c r="ABC43" s="292"/>
      <c r="ABD43" s="292"/>
      <c r="ABE43" s="292"/>
      <c r="ABF43" s="292"/>
      <c r="ABG43" s="292"/>
      <c r="ABH43" s="292"/>
      <c r="ABI43" s="292"/>
      <c r="ABJ43" s="292"/>
      <c r="ABK43" s="292"/>
      <c r="ABL43" s="292"/>
      <c r="ABM43" s="292"/>
      <c r="ABN43" s="292"/>
      <c r="ABO43" s="292"/>
      <c r="ABP43" s="292"/>
      <c r="ABQ43" s="292"/>
      <c r="ABR43" s="292"/>
      <c r="ABS43" s="292"/>
      <c r="ABT43" s="292"/>
      <c r="ABU43" s="292"/>
      <c r="ABV43" s="292"/>
      <c r="ABW43" s="292"/>
      <c r="ABX43" s="292"/>
      <c r="ABY43" s="292"/>
      <c r="ABZ43" s="292"/>
      <c r="ACA43" s="292"/>
      <c r="ACB43" s="292"/>
      <c r="ACC43" s="292"/>
      <c r="ACD43" s="292"/>
      <c r="ACE43" s="292"/>
      <c r="ACF43" s="292"/>
      <c r="ACG43" s="292"/>
      <c r="ACH43" s="292"/>
      <c r="ACI43" s="292"/>
      <c r="ACJ43" s="292"/>
      <c r="ACK43" s="292"/>
      <c r="ACL43" s="292"/>
      <c r="ACM43" s="292"/>
      <c r="ACN43" s="292"/>
      <c r="ACO43" s="292"/>
      <c r="ACP43" s="292"/>
      <c r="ACQ43" s="292"/>
      <c r="ACR43" s="292"/>
      <c r="ACS43" s="292"/>
      <c r="ACT43" s="292"/>
      <c r="ACU43" s="292"/>
      <c r="ACV43" s="292"/>
      <c r="ACW43" s="292"/>
      <c r="ACX43" s="292"/>
      <c r="ACY43" s="292"/>
      <c r="ACZ43" s="292"/>
      <c r="ADA43" s="292"/>
      <c r="ADB43" s="292"/>
      <c r="ADC43" s="292"/>
      <c r="ADD43" s="292"/>
      <c r="ADE43" s="292"/>
      <c r="ADF43" s="292"/>
      <c r="ADG43" s="292"/>
      <c r="ADH43" s="292"/>
      <c r="ADI43" s="292"/>
      <c r="ADJ43" s="292"/>
      <c r="ADK43" s="292"/>
      <c r="ADL43" s="292"/>
      <c r="ADM43" s="292"/>
      <c r="ADN43" s="292"/>
      <c r="ADO43" s="292"/>
      <c r="ADP43" s="292"/>
      <c r="ADQ43" s="292"/>
      <c r="ADR43" s="292"/>
      <c r="ADS43" s="292"/>
      <c r="ADT43" s="292"/>
      <c r="ADU43" s="292"/>
      <c r="ADV43" s="292"/>
      <c r="ADW43" s="292"/>
      <c r="ADX43" s="292"/>
      <c r="ADY43" s="292"/>
      <c r="ADZ43" s="292"/>
      <c r="AEA43" s="292"/>
      <c r="AEB43" s="292"/>
      <c r="AEC43" s="292"/>
      <c r="AED43" s="292"/>
      <c r="AEE43" s="292"/>
      <c r="AEF43" s="292"/>
      <c r="AEG43" s="292"/>
      <c r="AEH43" s="292"/>
      <c r="AEI43" s="292"/>
      <c r="AEJ43" s="292"/>
      <c r="AEK43" s="292"/>
      <c r="AEL43" s="292"/>
      <c r="AEM43" s="292"/>
      <c r="AEN43" s="292"/>
      <c r="AEO43" s="292"/>
      <c r="AEP43" s="292"/>
      <c r="AEQ43" s="292"/>
      <c r="AER43" s="292"/>
      <c r="AES43" s="292"/>
      <c r="AET43" s="292"/>
      <c r="AEU43" s="292"/>
      <c r="AEV43" s="292"/>
      <c r="AEW43" s="292"/>
      <c r="AEX43" s="292"/>
      <c r="AEY43" s="292"/>
      <c r="AEZ43" s="292"/>
      <c r="AFA43" s="292"/>
      <c r="AFB43" s="292"/>
      <c r="AFC43" s="292"/>
      <c r="AFD43" s="292"/>
      <c r="AFE43" s="292"/>
      <c r="AFF43" s="292"/>
      <c r="AFG43" s="292"/>
      <c r="AFH43" s="292"/>
      <c r="AFI43" s="292"/>
      <c r="AFJ43" s="292"/>
      <c r="AFK43" s="292"/>
      <c r="AFL43" s="292"/>
      <c r="AFM43" s="292"/>
      <c r="AFN43" s="292"/>
      <c r="AFO43" s="292"/>
      <c r="AFP43" s="292"/>
      <c r="AFQ43" s="292"/>
      <c r="AFR43" s="292"/>
      <c r="AFS43" s="292"/>
      <c r="AFT43" s="292"/>
      <c r="AFU43" s="292"/>
      <c r="AFV43" s="292"/>
      <c r="AFW43" s="292"/>
      <c r="AFX43" s="292"/>
      <c r="AFY43" s="292"/>
      <c r="AFZ43" s="292"/>
      <c r="AGA43" s="292"/>
      <c r="AGB43" s="292"/>
      <c r="AGC43" s="292"/>
      <c r="AGD43" s="292"/>
      <c r="AGE43" s="292"/>
      <c r="AGF43" s="292"/>
      <c r="AGG43" s="292"/>
      <c r="AGH43" s="292"/>
      <c r="AGI43" s="292"/>
      <c r="AGJ43" s="292"/>
      <c r="AGK43" s="292"/>
      <c r="AGL43" s="292"/>
      <c r="AGM43" s="292"/>
      <c r="AGN43" s="292"/>
      <c r="AGO43" s="292"/>
      <c r="AGP43" s="292"/>
      <c r="AGQ43" s="292"/>
      <c r="AGR43" s="292"/>
      <c r="AGS43" s="292"/>
      <c r="AGT43" s="292"/>
      <c r="AGU43" s="292"/>
      <c r="AGV43" s="292"/>
      <c r="AGW43" s="292"/>
      <c r="AGX43" s="292"/>
      <c r="AGY43" s="292"/>
      <c r="AGZ43" s="292"/>
      <c r="AHA43" s="292"/>
      <c r="AHB43" s="292"/>
      <c r="AHC43" s="292"/>
      <c r="AHD43" s="292"/>
      <c r="AHE43" s="292"/>
      <c r="AHF43" s="292"/>
      <c r="AHG43" s="292"/>
      <c r="AHH43" s="292"/>
      <c r="AHI43" s="292"/>
      <c r="AHJ43" s="292"/>
      <c r="AHK43" s="292"/>
      <c r="AHL43" s="292"/>
      <c r="AHM43" s="292"/>
      <c r="AHN43" s="292"/>
      <c r="AHO43" s="292"/>
      <c r="AHP43" s="292"/>
      <c r="AHQ43" s="292"/>
      <c r="AHR43" s="292"/>
      <c r="AHS43" s="292"/>
      <c r="AHT43" s="292"/>
      <c r="AHU43" s="292"/>
      <c r="AHV43" s="292"/>
      <c r="AHW43" s="292"/>
      <c r="AHX43" s="292"/>
      <c r="AHY43" s="292"/>
      <c r="AHZ43" s="292"/>
      <c r="AIA43" s="292"/>
      <c r="AIB43" s="292"/>
      <c r="AIC43" s="292"/>
      <c r="AID43" s="292"/>
      <c r="AIE43" s="292"/>
      <c r="AIF43" s="292"/>
      <c r="AIG43" s="292"/>
      <c r="AIH43" s="292"/>
      <c r="AII43" s="292"/>
      <c r="AIJ43" s="292"/>
      <c r="AIK43" s="292"/>
      <c r="AIL43" s="292"/>
      <c r="AIM43" s="292"/>
      <c r="AIN43" s="292"/>
      <c r="AIO43" s="292"/>
      <c r="AIP43" s="292"/>
      <c r="AIQ43" s="292"/>
      <c r="AIR43" s="292"/>
      <c r="AIS43" s="292"/>
      <c r="AIT43" s="292"/>
      <c r="AIU43" s="292"/>
      <c r="AIV43" s="292"/>
      <c r="AIW43" s="292"/>
      <c r="AIX43" s="292"/>
      <c r="AIY43" s="292"/>
      <c r="AIZ43" s="292"/>
      <c r="AJA43" s="292"/>
      <c r="AJB43" s="292"/>
      <c r="AJC43" s="292"/>
      <c r="AJD43" s="292"/>
      <c r="AJE43" s="292"/>
      <c r="AJF43" s="292"/>
      <c r="AJG43" s="292"/>
      <c r="AJH43" s="292"/>
      <c r="AJI43" s="292"/>
      <c r="AJJ43" s="292"/>
      <c r="AJK43" s="292"/>
      <c r="AJL43" s="292"/>
      <c r="AJM43" s="292"/>
      <c r="AJN43" s="292"/>
      <c r="AJO43" s="292"/>
      <c r="AJP43" s="292"/>
      <c r="AJQ43" s="292"/>
      <c r="AJR43" s="292"/>
      <c r="AJS43" s="292"/>
      <c r="AJT43" s="292"/>
      <c r="AJU43" s="292"/>
      <c r="AJV43" s="292"/>
      <c r="AJW43" s="292"/>
      <c r="AJX43" s="292"/>
      <c r="AJY43" s="292"/>
      <c r="AJZ43" s="292"/>
      <c r="AKA43" s="292"/>
      <c r="AKB43" s="292"/>
      <c r="AKC43" s="292"/>
      <c r="AKD43" s="292"/>
      <c r="AKE43" s="292"/>
      <c r="AKF43" s="292"/>
      <c r="AKG43" s="292"/>
      <c r="AKH43" s="292"/>
      <c r="AKI43" s="292"/>
      <c r="AKJ43" s="292"/>
      <c r="AKK43" s="292"/>
      <c r="AKL43" s="292"/>
      <c r="AKM43" s="292"/>
      <c r="AKN43" s="292"/>
      <c r="AKO43" s="292"/>
      <c r="AKP43" s="292"/>
      <c r="AKQ43" s="292"/>
      <c r="AKR43" s="292"/>
      <c r="AKS43" s="292"/>
      <c r="AKT43" s="292"/>
      <c r="AKU43" s="292"/>
      <c r="AKV43" s="292"/>
      <c r="AKW43" s="292"/>
      <c r="AKX43" s="292"/>
      <c r="AKY43" s="292"/>
      <c r="AKZ43" s="292"/>
      <c r="ALA43" s="292"/>
      <c r="ALB43" s="292"/>
      <c r="ALC43" s="292"/>
      <c r="ALD43" s="292"/>
      <c r="ALE43" s="292"/>
      <c r="ALF43" s="292"/>
      <c r="ALG43" s="292"/>
      <c r="ALH43" s="292"/>
      <c r="ALI43" s="292"/>
      <c r="ALJ43" s="292"/>
      <c r="ALK43" s="292"/>
      <c r="ALL43" s="292"/>
      <c r="ALM43" s="292"/>
      <c r="ALN43" s="292"/>
      <c r="ALO43" s="292"/>
      <c r="ALP43" s="292"/>
      <c r="ALQ43" s="292"/>
      <c r="ALR43" s="292"/>
      <c r="ALS43" s="292"/>
      <c r="ALT43" s="292"/>
      <c r="ALU43" s="292"/>
      <c r="ALV43" s="292"/>
      <c r="ALW43" s="292"/>
      <c r="ALX43" s="292"/>
      <c r="ALY43" s="292"/>
      <c r="ALZ43" s="292"/>
      <c r="AMA43" s="292"/>
      <c r="AMB43" s="292"/>
      <c r="AMC43" s="292"/>
      <c r="AMD43" s="292"/>
      <c r="AME43" s="292"/>
      <c r="AMF43" s="292"/>
      <c r="AMG43" s="292"/>
      <c r="AMH43" s="292"/>
      <c r="AMI43" s="292"/>
      <c r="AMJ43" s="292"/>
      <c r="AMK43" s="292"/>
      <c r="AML43" s="292"/>
      <c r="AMM43" s="292"/>
      <c r="AMN43" s="292"/>
      <c r="AMO43" s="292"/>
      <c r="AMP43" s="292"/>
      <c r="AMQ43" s="292"/>
      <c r="AMR43" s="292"/>
      <c r="AMS43" s="292"/>
      <c r="AMT43" s="292"/>
      <c r="AMU43" s="292"/>
      <c r="AMV43" s="292"/>
      <c r="AMW43" s="292"/>
      <c r="AMX43" s="292"/>
      <c r="AMY43" s="292"/>
      <c r="AMZ43" s="292"/>
      <c r="ANA43" s="292"/>
      <c r="ANB43" s="292"/>
      <c r="ANC43" s="292"/>
      <c r="AND43" s="292"/>
      <c r="ANE43" s="292"/>
      <c r="ANF43" s="292"/>
      <c r="ANG43" s="292"/>
      <c r="ANH43" s="292"/>
      <c r="ANI43" s="292"/>
      <c r="ANJ43" s="292"/>
      <c r="ANK43" s="292"/>
      <c r="ANL43" s="292"/>
      <c r="ANM43" s="292"/>
      <c r="ANN43" s="292"/>
      <c r="ANO43" s="292"/>
      <c r="ANP43" s="292"/>
      <c r="ANQ43" s="292"/>
      <c r="ANR43" s="292"/>
      <c r="ANS43" s="292"/>
      <c r="ANT43" s="292"/>
      <c r="ANU43" s="292"/>
      <c r="ANV43" s="292"/>
      <c r="ANW43" s="292"/>
      <c r="ANX43" s="292"/>
      <c r="ANY43" s="292"/>
      <c r="ANZ43" s="292"/>
      <c r="AOA43" s="292"/>
      <c r="AOB43" s="292"/>
      <c r="AOC43" s="292"/>
      <c r="AOD43" s="292"/>
      <c r="AOE43" s="292"/>
      <c r="AOF43" s="292"/>
      <c r="AOG43" s="292"/>
      <c r="AOH43" s="292"/>
      <c r="AOI43" s="292"/>
      <c r="AOJ43" s="292"/>
      <c r="AOK43" s="292"/>
      <c r="AOL43" s="292"/>
      <c r="AOM43" s="292"/>
      <c r="AON43" s="292"/>
      <c r="AOO43" s="292"/>
      <c r="AOP43" s="292"/>
      <c r="AOQ43" s="292"/>
      <c r="AOR43" s="292"/>
      <c r="AOS43" s="292"/>
      <c r="AOT43" s="292"/>
      <c r="AOU43" s="292"/>
      <c r="AOV43" s="292"/>
      <c r="AOW43" s="292"/>
      <c r="AOX43" s="292"/>
      <c r="AOY43" s="292"/>
      <c r="AOZ43" s="292"/>
      <c r="APA43" s="292"/>
      <c r="APB43" s="292"/>
      <c r="APC43" s="292"/>
      <c r="APD43" s="292"/>
      <c r="APE43" s="292"/>
      <c r="APF43" s="292"/>
      <c r="APG43" s="292"/>
      <c r="APH43" s="292"/>
      <c r="API43" s="292"/>
      <c r="APJ43" s="292"/>
      <c r="APK43" s="292"/>
      <c r="APL43" s="292"/>
      <c r="APM43" s="292"/>
      <c r="APN43" s="292"/>
      <c r="APO43" s="292"/>
      <c r="APP43" s="292"/>
      <c r="APQ43" s="292"/>
      <c r="APR43" s="292"/>
      <c r="APS43" s="292"/>
      <c r="APT43" s="292"/>
      <c r="APU43" s="292"/>
      <c r="APV43" s="292"/>
      <c r="APW43" s="292"/>
      <c r="APX43" s="292"/>
      <c r="APY43" s="292"/>
      <c r="APZ43" s="292"/>
      <c r="AQA43" s="292"/>
      <c r="AQB43" s="292"/>
      <c r="AQC43" s="292"/>
      <c r="AQD43" s="292"/>
      <c r="AQE43" s="292"/>
      <c r="AQF43" s="292"/>
      <c r="AQG43" s="292"/>
      <c r="AQH43" s="292"/>
      <c r="AQI43" s="292"/>
      <c r="AQJ43" s="292"/>
      <c r="AQK43" s="292"/>
      <c r="AQL43" s="292"/>
      <c r="AQM43" s="292"/>
      <c r="AQN43" s="292"/>
      <c r="AQO43" s="292"/>
      <c r="AQP43" s="292"/>
      <c r="AQQ43" s="292"/>
      <c r="AQR43" s="292"/>
      <c r="AQS43" s="292"/>
      <c r="AQT43" s="292"/>
      <c r="AQU43" s="292"/>
      <c r="AQV43" s="292"/>
      <c r="AQW43" s="292"/>
      <c r="AQX43" s="292"/>
      <c r="AQY43" s="292"/>
      <c r="AQZ43" s="292"/>
      <c r="ARA43" s="292"/>
      <c r="ARB43" s="292"/>
      <c r="ARC43" s="292"/>
      <c r="ARD43" s="292"/>
      <c r="ARE43" s="292"/>
      <c r="ARF43" s="292"/>
      <c r="ARG43" s="292"/>
      <c r="ARH43" s="292"/>
      <c r="ARI43" s="292"/>
      <c r="ARJ43" s="292"/>
      <c r="ARK43" s="292"/>
      <c r="ARL43" s="292"/>
      <c r="ARM43" s="292"/>
      <c r="ARN43" s="292"/>
      <c r="ARO43" s="292"/>
      <c r="ARP43" s="292"/>
      <c r="ARQ43" s="292"/>
      <c r="ARR43" s="292"/>
      <c r="ARS43" s="292"/>
      <c r="ART43" s="292"/>
      <c r="ARU43" s="292"/>
      <c r="ARV43" s="292"/>
      <c r="ARW43" s="292"/>
      <c r="ARX43" s="292"/>
      <c r="ARY43" s="292"/>
      <c r="ARZ43" s="292"/>
      <c r="ASA43" s="292"/>
      <c r="ASB43" s="292"/>
      <c r="ASC43" s="292"/>
      <c r="ASD43" s="292"/>
      <c r="ASE43" s="292"/>
      <c r="ASF43" s="292"/>
      <c r="ASG43" s="292"/>
      <c r="ASH43" s="292"/>
      <c r="ASI43" s="292"/>
      <c r="ASJ43" s="292"/>
      <c r="ASK43" s="292"/>
      <c r="ASL43" s="292"/>
      <c r="ASM43" s="292"/>
      <c r="ASN43" s="292"/>
      <c r="ASO43" s="292"/>
      <c r="ASP43" s="292"/>
      <c r="ASQ43" s="292"/>
      <c r="ASR43" s="292"/>
      <c r="ASS43" s="292"/>
      <c r="AST43" s="292"/>
      <c r="ASU43" s="292"/>
      <c r="ASV43" s="292"/>
      <c r="ASW43" s="292"/>
      <c r="ASX43" s="292"/>
      <c r="ASY43" s="292"/>
      <c r="ASZ43" s="292"/>
      <c r="ATA43" s="292"/>
      <c r="ATB43" s="292"/>
      <c r="ATC43" s="292"/>
      <c r="ATD43" s="292"/>
      <c r="ATE43" s="292"/>
      <c r="ATF43" s="292"/>
      <c r="ATG43" s="292"/>
      <c r="ATH43" s="292"/>
      <c r="ATI43" s="292"/>
      <c r="ATJ43" s="292"/>
      <c r="ATK43" s="292"/>
      <c r="ATL43" s="292"/>
      <c r="ATM43" s="292"/>
      <c r="ATN43" s="292"/>
      <c r="ATO43" s="292"/>
      <c r="ATP43" s="292"/>
      <c r="ATQ43" s="292"/>
      <c r="ATR43" s="292"/>
      <c r="ATS43" s="292"/>
      <c r="ATT43" s="292"/>
      <c r="ATU43" s="292"/>
      <c r="ATV43" s="292"/>
      <c r="ATW43" s="292"/>
      <c r="ATX43" s="292"/>
      <c r="ATY43" s="292"/>
      <c r="ATZ43" s="292"/>
      <c r="AUA43" s="292"/>
      <c r="AUB43" s="292"/>
      <c r="AUC43" s="292"/>
      <c r="AUD43" s="292"/>
      <c r="AUE43" s="292"/>
      <c r="AUF43" s="292"/>
      <c r="AUG43" s="292"/>
      <c r="AUH43" s="292"/>
      <c r="AUI43" s="292"/>
      <c r="AUJ43" s="292"/>
      <c r="AUK43" s="292"/>
      <c r="AUL43" s="292"/>
      <c r="AUM43" s="292"/>
      <c r="AUN43" s="292"/>
      <c r="AUO43" s="292"/>
      <c r="AUP43" s="292"/>
      <c r="AUQ43" s="292"/>
      <c r="AUR43" s="292"/>
      <c r="AUS43" s="292"/>
      <c r="AUT43" s="292"/>
      <c r="AUU43" s="292"/>
      <c r="AUV43" s="292"/>
      <c r="AUW43" s="292"/>
      <c r="AUX43" s="292"/>
      <c r="AUY43" s="292"/>
      <c r="AUZ43" s="292"/>
      <c r="AVA43" s="292"/>
      <c r="AVB43" s="292"/>
      <c r="AVC43" s="292"/>
      <c r="AVD43" s="292"/>
      <c r="AVE43" s="292"/>
      <c r="AVF43" s="292"/>
      <c r="AVG43" s="292"/>
      <c r="AVH43" s="292"/>
      <c r="AVI43" s="292"/>
      <c r="AVJ43" s="292"/>
      <c r="AVK43" s="292"/>
      <c r="AVL43" s="292"/>
      <c r="AVM43" s="292"/>
      <c r="AVN43" s="292"/>
      <c r="AVO43" s="292"/>
      <c r="AVP43" s="292"/>
      <c r="AVQ43" s="292"/>
      <c r="AVR43" s="292"/>
      <c r="AVS43" s="292"/>
      <c r="AVT43" s="292"/>
      <c r="AVU43" s="292"/>
      <c r="AVV43" s="292"/>
      <c r="AVW43" s="292"/>
      <c r="AVX43" s="292"/>
      <c r="AVY43" s="292"/>
      <c r="AVZ43" s="292"/>
      <c r="AWA43" s="292"/>
      <c r="AWB43" s="292"/>
      <c r="AWC43" s="292"/>
      <c r="AWD43" s="292"/>
      <c r="AWE43" s="292"/>
      <c r="AWF43" s="292"/>
      <c r="AWG43" s="292"/>
      <c r="AWH43" s="292"/>
      <c r="AWI43" s="292"/>
      <c r="AWJ43" s="292"/>
      <c r="AWK43" s="292"/>
      <c r="AWL43" s="292"/>
      <c r="AWM43" s="292"/>
      <c r="AWN43" s="292"/>
      <c r="AWO43" s="292"/>
      <c r="AWP43" s="292"/>
      <c r="AWQ43" s="292"/>
      <c r="AWR43" s="292"/>
      <c r="AWS43" s="292"/>
      <c r="AWT43" s="292"/>
      <c r="AWU43" s="292"/>
      <c r="AWV43" s="292"/>
      <c r="AWW43" s="292"/>
      <c r="AWX43" s="292"/>
      <c r="AWY43" s="292"/>
      <c r="AWZ43" s="292"/>
      <c r="AXA43" s="292"/>
      <c r="AXB43" s="292"/>
      <c r="AXC43" s="292"/>
      <c r="AXD43" s="292"/>
      <c r="AXE43" s="292"/>
      <c r="AXF43" s="292"/>
      <c r="AXG43" s="292"/>
      <c r="AXH43" s="292"/>
      <c r="AXI43" s="292"/>
      <c r="AXJ43" s="292"/>
      <c r="AXK43" s="292"/>
      <c r="AXL43" s="292"/>
      <c r="AXM43" s="292"/>
      <c r="AXN43" s="292"/>
      <c r="AXO43" s="292"/>
      <c r="AXP43" s="292"/>
      <c r="AXQ43" s="292"/>
      <c r="AXR43" s="292"/>
      <c r="AXS43" s="292"/>
      <c r="AXT43" s="292"/>
      <c r="AXU43" s="292"/>
      <c r="AXV43" s="292"/>
      <c r="AXW43" s="292"/>
      <c r="AXX43" s="292"/>
      <c r="AXY43" s="292"/>
      <c r="AXZ43" s="292"/>
      <c r="AYA43" s="292"/>
      <c r="AYB43" s="292"/>
      <c r="AYC43" s="292"/>
      <c r="AYD43" s="292"/>
      <c r="AYE43" s="292"/>
      <c r="AYF43" s="292"/>
      <c r="AYG43" s="292"/>
      <c r="AYH43" s="292"/>
      <c r="AYI43" s="292"/>
      <c r="AYJ43" s="292"/>
      <c r="AYK43" s="292"/>
      <c r="AYL43" s="292"/>
      <c r="AYM43" s="292"/>
      <c r="AYN43" s="292"/>
      <c r="AYO43" s="292"/>
      <c r="AYP43" s="292"/>
      <c r="AYQ43" s="292"/>
      <c r="AYR43" s="292"/>
      <c r="AYS43" s="292"/>
      <c r="AYT43" s="292"/>
      <c r="AYU43" s="292"/>
      <c r="AYV43" s="292"/>
      <c r="AYW43" s="292"/>
      <c r="AYX43" s="292"/>
      <c r="AYY43" s="292"/>
      <c r="AYZ43" s="292"/>
      <c r="AZA43" s="292"/>
      <c r="AZB43" s="292"/>
      <c r="AZC43" s="292"/>
      <c r="AZD43" s="292"/>
      <c r="AZE43" s="292"/>
      <c r="AZF43" s="292"/>
      <c r="AZG43" s="292"/>
      <c r="AZH43" s="292"/>
      <c r="AZI43" s="292"/>
      <c r="AZJ43" s="292"/>
      <c r="AZK43" s="292"/>
      <c r="AZL43" s="292"/>
      <c r="AZM43" s="292"/>
      <c r="AZN43" s="292"/>
      <c r="AZO43" s="292"/>
      <c r="AZP43" s="292"/>
      <c r="AZQ43" s="292"/>
      <c r="AZR43" s="292"/>
      <c r="AZS43" s="292"/>
      <c r="AZT43" s="292"/>
      <c r="AZU43" s="292"/>
      <c r="AZV43" s="292"/>
      <c r="AZW43" s="292"/>
      <c r="AZX43" s="292"/>
      <c r="AZY43" s="292"/>
      <c r="AZZ43" s="292"/>
      <c r="BAA43" s="292"/>
      <c r="BAB43" s="292"/>
      <c r="BAC43" s="292"/>
      <c r="BAD43" s="292"/>
      <c r="BAE43" s="292"/>
      <c r="BAF43" s="292"/>
      <c r="BAG43" s="292"/>
      <c r="BAH43" s="292"/>
      <c r="BAI43" s="292"/>
      <c r="BAJ43" s="292"/>
      <c r="BAK43" s="292"/>
      <c r="BAL43" s="292"/>
      <c r="BAM43" s="292"/>
      <c r="BAN43" s="292"/>
      <c r="BAO43" s="292"/>
      <c r="BAP43" s="292"/>
      <c r="BAQ43" s="292"/>
      <c r="BAR43" s="292"/>
      <c r="BAS43" s="292"/>
      <c r="BAT43" s="292"/>
      <c r="BAU43" s="292"/>
      <c r="BAV43" s="292"/>
      <c r="BAW43" s="292"/>
      <c r="BAX43" s="292"/>
      <c r="BAY43" s="292"/>
      <c r="BAZ43" s="292"/>
      <c r="BBA43" s="292"/>
      <c r="BBB43" s="292"/>
      <c r="BBC43" s="292"/>
      <c r="BBD43" s="292"/>
      <c r="BBE43" s="292"/>
      <c r="BBF43" s="292"/>
      <c r="BBG43" s="292"/>
      <c r="BBH43" s="292"/>
      <c r="BBI43" s="292"/>
      <c r="BBJ43" s="292"/>
      <c r="BBK43" s="292"/>
      <c r="BBL43" s="292"/>
      <c r="BBM43" s="292"/>
      <c r="BBN43" s="292"/>
      <c r="BBO43" s="292"/>
      <c r="BBP43" s="292"/>
      <c r="BBQ43" s="292"/>
      <c r="BBR43" s="292"/>
      <c r="BBS43" s="292"/>
      <c r="BBT43" s="292"/>
      <c r="BBU43" s="292"/>
      <c r="BBV43" s="292"/>
      <c r="BBW43" s="292"/>
      <c r="BBX43" s="292"/>
      <c r="BBY43" s="292"/>
      <c r="BBZ43" s="292"/>
      <c r="BCA43" s="292"/>
      <c r="BCB43" s="292"/>
      <c r="BCC43" s="292"/>
      <c r="BCD43" s="292"/>
      <c r="BCE43" s="292"/>
      <c r="BCF43" s="292"/>
      <c r="BCG43" s="292"/>
      <c r="BCH43" s="292"/>
      <c r="BCI43" s="292"/>
      <c r="BCJ43" s="292"/>
      <c r="BCK43" s="292"/>
      <c r="BCL43" s="292"/>
      <c r="BCM43" s="292"/>
      <c r="BCN43" s="292"/>
      <c r="BCO43" s="292"/>
      <c r="BCP43" s="292"/>
      <c r="BCQ43" s="292"/>
      <c r="BCR43" s="292"/>
      <c r="BCS43" s="292"/>
      <c r="BCT43" s="292"/>
      <c r="BCU43" s="292"/>
      <c r="BCV43" s="292"/>
      <c r="BCW43" s="292"/>
      <c r="BCX43" s="292"/>
      <c r="BCY43" s="292"/>
      <c r="BCZ43" s="292"/>
      <c r="BDA43" s="292"/>
      <c r="BDB43" s="292"/>
      <c r="BDC43" s="292"/>
      <c r="BDD43" s="292"/>
      <c r="BDE43" s="292"/>
      <c r="BDF43" s="292"/>
      <c r="BDG43" s="292"/>
      <c r="BDH43" s="292"/>
      <c r="BDI43" s="292"/>
      <c r="BDJ43" s="292"/>
      <c r="BDK43" s="292"/>
      <c r="BDL43" s="292"/>
      <c r="BDM43" s="292"/>
      <c r="BDN43" s="292"/>
      <c r="BDO43" s="292"/>
      <c r="BDP43" s="292"/>
      <c r="BDQ43" s="292"/>
      <c r="BDR43" s="292"/>
      <c r="BDS43" s="292"/>
      <c r="BDT43" s="292"/>
      <c r="BDU43" s="292"/>
      <c r="BDV43" s="292"/>
      <c r="BDW43" s="292"/>
      <c r="BDX43" s="292"/>
      <c r="BDY43" s="292"/>
      <c r="BDZ43" s="292"/>
      <c r="BEA43" s="292"/>
      <c r="BEB43" s="292"/>
      <c r="BEC43" s="292"/>
      <c r="BED43" s="292"/>
      <c r="BEE43" s="292"/>
      <c r="BEF43" s="292"/>
      <c r="BEG43" s="292"/>
      <c r="BEH43" s="292"/>
      <c r="BEI43" s="292"/>
      <c r="BEJ43" s="292"/>
      <c r="BEK43" s="292"/>
      <c r="BEL43" s="292"/>
      <c r="BEM43" s="292"/>
      <c r="BEN43" s="292"/>
      <c r="BEO43" s="292"/>
      <c r="BEP43" s="292"/>
      <c r="BEQ43" s="292"/>
      <c r="BER43" s="292"/>
      <c r="BES43" s="292"/>
      <c r="BET43" s="292"/>
      <c r="BEU43" s="292"/>
      <c r="BEV43" s="292"/>
      <c r="BEW43" s="292"/>
      <c r="BEX43" s="292"/>
      <c r="BEY43" s="292"/>
      <c r="BEZ43" s="292"/>
      <c r="BFA43" s="292"/>
      <c r="BFB43" s="292"/>
      <c r="BFC43" s="292"/>
      <c r="BFD43" s="292"/>
      <c r="BFE43" s="292"/>
      <c r="BFF43" s="292"/>
      <c r="BFG43" s="292"/>
      <c r="BFH43" s="292"/>
      <c r="BFI43" s="292"/>
      <c r="BFJ43" s="292"/>
      <c r="BFK43" s="292"/>
      <c r="BFL43" s="292"/>
      <c r="BFM43" s="292"/>
      <c r="BFN43" s="292"/>
      <c r="BFO43" s="292"/>
      <c r="BFP43" s="292"/>
      <c r="BFQ43" s="292"/>
      <c r="BFR43" s="292"/>
      <c r="BFS43" s="292"/>
      <c r="BFT43" s="292"/>
      <c r="BFU43" s="292"/>
      <c r="BFV43" s="292"/>
      <c r="BFW43" s="292"/>
      <c r="BFX43" s="292"/>
      <c r="BFY43" s="292"/>
      <c r="BFZ43" s="292"/>
      <c r="BGA43" s="292"/>
      <c r="BGB43" s="292"/>
      <c r="BGC43" s="292"/>
      <c r="BGD43" s="292"/>
      <c r="BGE43" s="292"/>
      <c r="BGF43" s="292"/>
      <c r="BGG43" s="292"/>
      <c r="BGH43" s="292"/>
      <c r="BGI43" s="292"/>
      <c r="BGJ43" s="292"/>
      <c r="BGK43" s="292"/>
      <c r="BGL43" s="292"/>
      <c r="BGM43" s="292"/>
      <c r="BGN43" s="292"/>
      <c r="BGO43" s="292"/>
      <c r="BGP43" s="292"/>
      <c r="BGQ43" s="292"/>
      <c r="BGR43" s="292"/>
      <c r="BGS43" s="292"/>
      <c r="BGT43" s="292"/>
      <c r="BGU43" s="292"/>
      <c r="BGV43" s="292"/>
      <c r="BGW43" s="292"/>
      <c r="BGX43" s="292"/>
      <c r="BGY43" s="292"/>
      <c r="BGZ43" s="292"/>
      <c r="BHA43" s="292"/>
      <c r="BHB43" s="292"/>
      <c r="BHC43" s="292"/>
      <c r="BHD43" s="292"/>
      <c r="BHE43" s="292"/>
      <c r="BHF43" s="292"/>
      <c r="BHG43" s="292"/>
      <c r="BHH43" s="292"/>
      <c r="BHI43" s="292"/>
      <c r="BHJ43" s="292"/>
      <c r="BHK43" s="292"/>
      <c r="BHL43" s="292"/>
      <c r="BHM43" s="292"/>
      <c r="BHN43" s="292"/>
      <c r="BHO43" s="292"/>
      <c r="BHP43" s="292"/>
      <c r="BHQ43" s="292"/>
      <c r="BHR43" s="292"/>
      <c r="BHS43" s="292"/>
      <c r="BHT43" s="292"/>
      <c r="BHU43" s="292"/>
      <c r="BHV43" s="292"/>
      <c r="BHW43" s="292"/>
      <c r="BHX43" s="292"/>
      <c r="BHY43" s="292"/>
      <c r="BHZ43" s="292"/>
      <c r="BIA43" s="292"/>
      <c r="BIB43" s="292"/>
      <c r="BIC43" s="292"/>
      <c r="BID43" s="292"/>
      <c r="BIE43" s="292"/>
      <c r="BIF43" s="292"/>
      <c r="BIG43" s="292"/>
      <c r="BIH43" s="292"/>
      <c r="BII43" s="292"/>
      <c r="BIJ43" s="292"/>
      <c r="BIK43" s="292"/>
      <c r="BIL43" s="292"/>
      <c r="BIM43" s="292"/>
      <c r="BIN43" s="292"/>
      <c r="BIO43" s="292"/>
      <c r="BIP43" s="292"/>
      <c r="BIQ43" s="292"/>
      <c r="BIR43" s="292"/>
      <c r="BIS43" s="292"/>
      <c r="BIT43" s="292"/>
      <c r="BIU43" s="292"/>
      <c r="BIV43" s="292"/>
      <c r="BIW43" s="292"/>
      <c r="BIX43" s="292"/>
      <c r="BIY43" s="292"/>
      <c r="BIZ43" s="292"/>
      <c r="BJA43" s="292"/>
      <c r="BJB43" s="292"/>
      <c r="BJC43" s="292"/>
      <c r="BJD43" s="292"/>
      <c r="BJE43" s="292"/>
      <c r="BJF43" s="292"/>
      <c r="BJG43" s="292"/>
      <c r="BJH43" s="292"/>
      <c r="BJI43" s="292"/>
      <c r="BJJ43" s="292"/>
      <c r="BJK43" s="292"/>
      <c r="BJL43" s="292"/>
      <c r="BJM43" s="292"/>
      <c r="BJN43" s="292"/>
      <c r="BJO43" s="292"/>
      <c r="BJP43" s="292"/>
      <c r="BJQ43" s="292"/>
      <c r="BJR43" s="292"/>
      <c r="BJS43" s="292"/>
      <c r="BJT43" s="292"/>
      <c r="BJU43" s="292"/>
      <c r="BJV43" s="292"/>
      <c r="BJW43" s="292"/>
      <c r="BJX43" s="292"/>
      <c r="BJY43" s="292"/>
      <c r="BJZ43" s="292"/>
      <c r="BKA43" s="292"/>
      <c r="BKB43" s="292"/>
      <c r="BKC43" s="292"/>
      <c r="BKD43" s="292"/>
      <c r="BKE43" s="292"/>
      <c r="BKF43" s="292"/>
      <c r="BKG43" s="292"/>
      <c r="BKH43" s="292"/>
      <c r="BKI43" s="292"/>
      <c r="BKJ43" s="292"/>
      <c r="BKK43" s="292"/>
      <c r="BKL43" s="292"/>
      <c r="BKM43" s="292"/>
      <c r="BKN43" s="292"/>
      <c r="BKO43" s="292"/>
      <c r="BKP43" s="292"/>
      <c r="BKQ43" s="292"/>
      <c r="BKR43" s="292"/>
      <c r="BKS43" s="292"/>
      <c r="BKT43" s="292"/>
      <c r="BKU43" s="292"/>
      <c r="BKV43" s="292"/>
      <c r="BKW43" s="292"/>
      <c r="BKX43" s="292"/>
      <c r="BKY43" s="292"/>
      <c r="BKZ43" s="292"/>
      <c r="BLA43" s="292"/>
      <c r="BLB43" s="292"/>
      <c r="BLC43" s="292"/>
      <c r="BLD43" s="292"/>
      <c r="BLE43" s="292"/>
      <c r="BLF43" s="292"/>
      <c r="BLG43" s="292"/>
      <c r="BLH43" s="292"/>
      <c r="BLI43" s="292"/>
      <c r="BLJ43" s="292"/>
      <c r="BLK43" s="292"/>
      <c r="BLL43" s="292"/>
      <c r="BLM43" s="292"/>
      <c r="BLN43" s="292"/>
      <c r="BLO43" s="292"/>
      <c r="BLP43" s="292"/>
      <c r="BLQ43" s="292"/>
      <c r="BLR43" s="292"/>
      <c r="BLS43" s="292"/>
      <c r="BLT43" s="292"/>
      <c r="BLU43" s="292"/>
      <c r="BLV43" s="292"/>
      <c r="BLW43" s="292"/>
      <c r="BLX43" s="292"/>
      <c r="BLY43" s="292"/>
      <c r="BLZ43" s="292"/>
      <c r="BMA43" s="292"/>
      <c r="BMB43" s="292"/>
      <c r="BMC43" s="292"/>
      <c r="BMD43" s="292"/>
      <c r="BME43" s="292"/>
      <c r="BMF43" s="292"/>
      <c r="BMG43" s="292"/>
      <c r="BMH43" s="292"/>
      <c r="BMI43" s="292"/>
      <c r="BMJ43" s="292"/>
      <c r="BMK43" s="292"/>
      <c r="BML43" s="292"/>
      <c r="BMM43" s="292"/>
      <c r="BMN43" s="292"/>
      <c r="BMO43" s="292"/>
      <c r="BMP43" s="292"/>
      <c r="BMQ43" s="292"/>
      <c r="BMR43" s="292"/>
      <c r="BMS43" s="292"/>
      <c r="BMT43" s="292"/>
      <c r="BMU43" s="292"/>
      <c r="BMV43" s="292"/>
      <c r="BMW43" s="292"/>
      <c r="BMX43" s="292"/>
      <c r="BMY43" s="292"/>
      <c r="BMZ43" s="292"/>
      <c r="BNA43" s="292"/>
      <c r="BNB43" s="292"/>
      <c r="BNC43" s="292"/>
      <c r="BND43" s="292"/>
      <c r="BNE43" s="292"/>
      <c r="BNF43" s="292"/>
      <c r="BNG43" s="292"/>
      <c r="BNH43" s="292"/>
      <c r="BNI43" s="292"/>
      <c r="BNJ43" s="292"/>
      <c r="BNK43" s="292"/>
      <c r="BNL43" s="292"/>
      <c r="BNM43" s="292"/>
      <c r="BNN43" s="292"/>
      <c r="BNO43" s="292"/>
      <c r="BNP43" s="292"/>
      <c r="BNQ43" s="292"/>
      <c r="BNR43" s="292"/>
      <c r="BNS43" s="292"/>
      <c r="BNT43" s="292"/>
      <c r="BNU43" s="292"/>
      <c r="BNV43" s="292"/>
      <c r="BNW43" s="292"/>
      <c r="BNX43" s="292"/>
      <c r="BNY43" s="292"/>
      <c r="BNZ43" s="292"/>
      <c r="BOA43" s="292"/>
      <c r="BOB43" s="292"/>
      <c r="BOC43" s="292"/>
      <c r="BOD43" s="292"/>
      <c r="BOE43" s="292"/>
      <c r="BOF43" s="292"/>
      <c r="BOG43" s="292"/>
      <c r="BOH43" s="292"/>
      <c r="BOI43" s="292"/>
      <c r="BOJ43" s="292"/>
      <c r="BOK43" s="292"/>
      <c r="BOL43" s="292"/>
      <c r="BOM43" s="292"/>
      <c r="BON43" s="292"/>
      <c r="BOO43" s="292"/>
      <c r="BOP43" s="292"/>
      <c r="BOQ43" s="292"/>
      <c r="BOR43" s="292"/>
      <c r="BOS43" s="292"/>
      <c r="BOT43" s="292"/>
      <c r="BOU43" s="292"/>
      <c r="BOV43" s="292"/>
      <c r="BOW43" s="292"/>
      <c r="BOX43" s="292"/>
      <c r="BOY43" s="292"/>
      <c r="BOZ43" s="292"/>
      <c r="BPA43" s="292"/>
      <c r="BPB43" s="292"/>
      <c r="BPC43" s="292"/>
      <c r="BPD43" s="292"/>
      <c r="BPE43" s="292"/>
      <c r="BPF43" s="292"/>
      <c r="BPG43" s="292"/>
      <c r="BPH43" s="292"/>
      <c r="BPI43" s="292"/>
      <c r="BPJ43" s="292"/>
      <c r="BPK43" s="292"/>
      <c r="BPL43" s="292"/>
      <c r="BPM43" s="292"/>
      <c r="BPN43" s="292"/>
      <c r="BPO43" s="292"/>
      <c r="BPP43" s="292"/>
      <c r="BPQ43" s="292"/>
      <c r="BPR43" s="292"/>
      <c r="BPS43" s="292"/>
      <c r="BPT43" s="292"/>
      <c r="BPU43" s="292"/>
      <c r="BPV43" s="292"/>
      <c r="BPW43" s="292"/>
      <c r="BPX43" s="292"/>
      <c r="BPY43" s="292"/>
      <c r="BPZ43" s="292"/>
      <c r="BQA43" s="292"/>
      <c r="BQB43" s="292"/>
      <c r="BQC43" s="292"/>
      <c r="BQD43" s="292"/>
      <c r="BQE43" s="292"/>
      <c r="BQF43" s="292"/>
      <c r="BQG43" s="292"/>
      <c r="BQH43" s="292"/>
      <c r="BQI43" s="292"/>
      <c r="BQJ43" s="292"/>
      <c r="BQK43" s="292"/>
      <c r="BQL43" s="292"/>
      <c r="BQM43" s="292"/>
      <c r="BQN43" s="292"/>
      <c r="BQO43" s="292"/>
      <c r="BQP43" s="292"/>
      <c r="BQQ43" s="292"/>
      <c r="BQR43" s="292"/>
      <c r="BQS43" s="292"/>
      <c r="BQT43" s="292"/>
      <c r="BQU43" s="292"/>
      <c r="BQV43" s="292"/>
      <c r="BQW43" s="292"/>
      <c r="BQX43" s="292"/>
      <c r="BQY43" s="292"/>
      <c r="BQZ43" s="292"/>
      <c r="BRA43" s="292"/>
      <c r="BRB43" s="292"/>
      <c r="BRC43" s="292"/>
      <c r="BRD43" s="292"/>
      <c r="BRE43" s="292"/>
      <c r="BRF43" s="292"/>
      <c r="BRG43" s="292"/>
      <c r="BRH43" s="292"/>
      <c r="BRI43" s="292"/>
      <c r="BRJ43" s="292"/>
      <c r="BRK43" s="292"/>
      <c r="BRL43" s="292"/>
      <c r="BRM43" s="292"/>
      <c r="BRN43" s="292"/>
      <c r="BRO43" s="292"/>
      <c r="BRP43" s="292"/>
      <c r="BRQ43" s="292"/>
      <c r="BRR43" s="292"/>
      <c r="BRS43" s="292"/>
      <c r="BRT43" s="292"/>
      <c r="BRU43" s="292"/>
      <c r="BRV43" s="292"/>
      <c r="BRW43" s="292"/>
      <c r="BRX43" s="292"/>
      <c r="BRY43" s="292"/>
      <c r="BRZ43" s="292"/>
      <c r="BSA43" s="292"/>
      <c r="BSB43" s="292"/>
      <c r="BSC43" s="292"/>
      <c r="BSD43" s="292"/>
      <c r="BSE43" s="292"/>
      <c r="BSF43" s="292"/>
      <c r="BSG43" s="292"/>
      <c r="BSH43" s="292"/>
      <c r="BSI43" s="292"/>
      <c r="BSJ43" s="292"/>
      <c r="BSK43" s="292"/>
      <c r="BSL43" s="292"/>
      <c r="BSM43" s="292"/>
      <c r="BSN43" s="292"/>
      <c r="BSO43" s="292"/>
      <c r="BSP43" s="292"/>
      <c r="BSQ43" s="292"/>
      <c r="BSR43" s="292"/>
      <c r="BSS43" s="292"/>
      <c r="BST43" s="292"/>
      <c r="BSU43" s="292"/>
      <c r="BSV43" s="292"/>
      <c r="BSW43" s="292"/>
      <c r="BSX43" s="292"/>
      <c r="BSY43" s="292"/>
      <c r="BSZ43" s="292"/>
      <c r="BTA43" s="292"/>
      <c r="BTB43" s="292"/>
      <c r="BTC43" s="292"/>
      <c r="BTD43" s="292"/>
      <c r="BTE43" s="292"/>
      <c r="BTF43" s="292"/>
      <c r="BTG43" s="292"/>
      <c r="BTH43" s="292"/>
      <c r="BTI43" s="292"/>
      <c r="BTJ43" s="292"/>
      <c r="BTK43" s="292"/>
      <c r="BTL43" s="292"/>
      <c r="BTM43" s="292"/>
      <c r="BTN43" s="292"/>
      <c r="BTO43" s="292"/>
      <c r="BTP43" s="292"/>
      <c r="BTQ43" s="292"/>
      <c r="BTR43" s="292"/>
      <c r="BTS43" s="292"/>
      <c r="BTT43" s="292"/>
      <c r="BTU43" s="292"/>
      <c r="BTV43" s="292"/>
      <c r="BTW43" s="292"/>
      <c r="BTX43" s="292"/>
      <c r="BTY43" s="292"/>
      <c r="BTZ43" s="292"/>
      <c r="BUA43" s="292"/>
      <c r="BUB43" s="292"/>
      <c r="BUC43" s="292"/>
      <c r="BUD43" s="292"/>
      <c r="BUE43" s="292"/>
      <c r="BUF43" s="292"/>
      <c r="BUG43" s="292"/>
      <c r="BUH43" s="292"/>
      <c r="BUI43" s="292"/>
      <c r="BUJ43" s="292"/>
      <c r="BUK43" s="292"/>
      <c r="BUL43" s="292"/>
      <c r="BUM43" s="292"/>
      <c r="BUN43" s="292"/>
      <c r="BUO43" s="292"/>
      <c r="BUP43" s="292"/>
      <c r="BUQ43" s="292"/>
      <c r="BUR43" s="292"/>
      <c r="BUS43" s="292"/>
      <c r="BUT43" s="292"/>
      <c r="BUU43" s="292"/>
      <c r="BUV43" s="292"/>
      <c r="BUW43" s="292"/>
      <c r="BUX43" s="292"/>
      <c r="BUY43" s="292"/>
      <c r="BUZ43" s="292"/>
      <c r="BVA43" s="292"/>
      <c r="BVB43" s="292"/>
      <c r="BVC43" s="292"/>
      <c r="BVD43" s="292"/>
      <c r="BVE43" s="292"/>
      <c r="BVF43" s="292"/>
      <c r="BVG43" s="292"/>
      <c r="BVH43" s="292"/>
      <c r="BVI43" s="292"/>
      <c r="BVJ43" s="292"/>
      <c r="BVK43" s="292"/>
      <c r="BVL43" s="292"/>
      <c r="BVM43" s="292"/>
      <c r="BVN43" s="292"/>
      <c r="BVO43" s="292"/>
      <c r="BVP43" s="292"/>
      <c r="BVQ43" s="292"/>
      <c r="BVR43" s="292"/>
      <c r="BVS43" s="292"/>
      <c r="BVT43" s="292"/>
      <c r="BVU43" s="292"/>
      <c r="BVV43" s="292"/>
      <c r="BVW43" s="292"/>
      <c r="BVX43" s="292"/>
      <c r="BVY43" s="292"/>
      <c r="BVZ43" s="292"/>
      <c r="BWA43" s="292"/>
      <c r="BWB43" s="292"/>
      <c r="BWC43" s="292"/>
      <c r="BWD43" s="292"/>
      <c r="BWE43" s="292"/>
      <c r="BWF43" s="292"/>
      <c r="BWG43" s="292"/>
      <c r="BWH43" s="292"/>
      <c r="BWI43" s="292"/>
      <c r="BWJ43" s="292"/>
      <c r="BWK43" s="292"/>
      <c r="BWL43" s="292"/>
      <c r="BWM43" s="292"/>
      <c r="BWN43" s="292"/>
      <c r="BWO43" s="292"/>
      <c r="BWP43" s="292"/>
      <c r="BWQ43" s="292"/>
      <c r="BWR43" s="292"/>
      <c r="BWS43" s="292"/>
      <c r="BWT43" s="292"/>
      <c r="BWU43" s="292"/>
      <c r="BWV43" s="292"/>
      <c r="BWW43" s="292"/>
      <c r="BWX43" s="292"/>
      <c r="BWY43" s="292"/>
      <c r="BWZ43" s="292"/>
      <c r="BXA43" s="292"/>
      <c r="BXB43" s="292"/>
      <c r="BXC43" s="292"/>
      <c r="BXD43" s="292"/>
      <c r="BXE43" s="292"/>
      <c r="BXF43" s="292"/>
      <c r="BXG43" s="292"/>
      <c r="BXH43" s="292"/>
      <c r="BXI43" s="292"/>
      <c r="BXJ43" s="292"/>
      <c r="BXK43" s="292"/>
      <c r="BXL43" s="292"/>
      <c r="BXM43" s="292"/>
      <c r="BXN43" s="292"/>
      <c r="BXO43" s="292"/>
      <c r="BXP43" s="292"/>
      <c r="BXQ43" s="292"/>
      <c r="BXR43" s="292"/>
      <c r="BXS43" s="292"/>
      <c r="BXT43" s="292"/>
      <c r="BXU43" s="292"/>
      <c r="BXV43" s="292"/>
      <c r="BXW43" s="292"/>
      <c r="BXX43" s="292"/>
      <c r="BXY43" s="292"/>
      <c r="BXZ43" s="292"/>
      <c r="BYA43" s="292"/>
      <c r="BYB43" s="292"/>
      <c r="BYC43" s="292"/>
      <c r="BYD43" s="292"/>
      <c r="BYE43" s="292"/>
      <c r="BYF43" s="292"/>
      <c r="BYG43" s="292"/>
      <c r="BYH43" s="292"/>
      <c r="BYI43" s="292"/>
      <c r="BYJ43" s="292"/>
      <c r="BYK43" s="292"/>
      <c r="BYL43" s="292"/>
      <c r="BYM43" s="292"/>
      <c r="BYN43" s="292"/>
      <c r="BYO43" s="292"/>
      <c r="BYP43" s="292"/>
      <c r="BYQ43" s="292"/>
      <c r="BYR43" s="292"/>
      <c r="BYS43" s="292"/>
      <c r="BYT43" s="292"/>
      <c r="BYU43" s="292"/>
      <c r="BYV43" s="292"/>
      <c r="BYW43" s="292"/>
      <c r="BYX43" s="292"/>
      <c r="BYY43" s="292"/>
      <c r="BYZ43" s="292"/>
      <c r="BZA43" s="292"/>
      <c r="BZB43" s="292"/>
      <c r="BZC43" s="292"/>
      <c r="BZD43" s="292"/>
      <c r="BZE43" s="292"/>
      <c r="BZF43" s="292"/>
      <c r="BZG43" s="292"/>
      <c r="BZH43" s="292"/>
      <c r="BZI43" s="292"/>
      <c r="BZJ43" s="292"/>
      <c r="BZK43" s="292"/>
      <c r="BZL43" s="292"/>
      <c r="BZM43" s="292"/>
      <c r="BZN43" s="292"/>
      <c r="BZO43" s="292"/>
      <c r="BZP43" s="292"/>
      <c r="BZQ43" s="292"/>
      <c r="BZR43" s="292"/>
      <c r="BZS43" s="292"/>
      <c r="BZT43" s="292"/>
      <c r="BZU43" s="292"/>
      <c r="BZV43" s="292"/>
      <c r="BZW43" s="292"/>
      <c r="BZX43" s="292"/>
      <c r="BZY43" s="292"/>
      <c r="BZZ43" s="292"/>
      <c r="CAA43" s="292"/>
      <c r="CAB43" s="292"/>
      <c r="CAC43" s="292"/>
      <c r="CAD43" s="292"/>
      <c r="CAE43" s="292"/>
      <c r="CAF43" s="292"/>
      <c r="CAG43" s="292"/>
      <c r="CAH43" s="292"/>
      <c r="CAI43" s="292"/>
      <c r="CAJ43" s="292"/>
      <c r="CAK43" s="292"/>
      <c r="CAL43" s="292"/>
      <c r="CAM43" s="292"/>
      <c r="CAN43" s="292"/>
      <c r="CAO43" s="292"/>
      <c r="CAP43" s="292"/>
      <c r="CAQ43" s="292"/>
      <c r="CAR43" s="292"/>
      <c r="CAS43" s="292"/>
      <c r="CAT43" s="292"/>
      <c r="CAU43" s="292"/>
      <c r="CAV43" s="292"/>
      <c r="CAW43" s="292"/>
      <c r="CAX43" s="292"/>
      <c r="CAY43" s="292"/>
      <c r="CAZ43" s="292"/>
      <c r="CBA43" s="292"/>
      <c r="CBB43" s="292"/>
      <c r="CBC43" s="292"/>
      <c r="CBD43" s="292"/>
      <c r="CBE43" s="292"/>
      <c r="CBF43" s="292"/>
      <c r="CBG43" s="292"/>
      <c r="CBH43" s="292"/>
      <c r="CBI43" s="292"/>
      <c r="CBJ43" s="292"/>
      <c r="CBK43" s="292"/>
      <c r="CBL43" s="292"/>
      <c r="CBM43" s="292"/>
      <c r="CBN43" s="292"/>
      <c r="CBO43" s="292"/>
      <c r="CBP43" s="292"/>
      <c r="CBQ43" s="292"/>
      <c r="CBR43" s="292"/>
      <c r="CBS43" s="292"/>
      <c r="CBT43" s="292"/>
      <c r="CBU43" s="292"/>
      <c r="CBV43" s="292"/>
      <c r="CBW43" s="292"/>
      <c r="CBX43" s="292"/>
      <c r="CBY43" s="292"/>
      <c r="CBZ43" s="292"/>
      <c r="CCA43" s="292"/>
      <c r="CCB43" s="292"/>
      <c r="CCC43" s="292"/>
      <c r="CCD43" s="292"/>
      <c r="CCE43" s="292"/>
      <c r="CCF43" s="292"/>
      <c r="CCG43" s="292"/>
      <c r="CCH43" s="292"/>
      <c r="CCI43" s="292"/>
      <c r="CCJ43" s="292"/>
      <c r="CCK43" s="292"/>
      <c r="CCL43" s="292"/>
      <c r="CCM43" s="292"/>
      <c r="CCN43" s="292"/>
      <c r="CCO43" s="292"/>
      <c r="CCP43" s="292"/>
      <c r="CCQ43" s="292"/>
      <c r="CCR43" s="292"/>
      <c r="CCS43" s="292"/>
      <c r="CCT43" s="292"/>
      <c r="CCU43" s="292"/>
      <c r="CCV43" s="292"/>
      <c r="CCW43" s="292"/>
      <c r="CCX43" s="292"/>
      <c r="CCY43" s="292"/>
      <c r="CCZ43" s="292"/>
      <c r="CDA43" s="292"/>
      <c r="CDB43" s="292"/>
      <c r="CDC43" s="292"/>
      <c r="CDD43" s="292"/>
      <c r="CDE43" s="292"/>
      <c r="CDF43" s="292"/>
      <c r="CDG43" s="292"/>
      <c r="CDH43" s="292"/>
      <c r="CDI43" s="292"/>
      <c r="CDJ43" s="292"/>
      <c r="CDK43" s="292"/>
      <c r="CDL43" s="292"/>
      <c r="CDM43" s="292"/>
      <c r="CDN43" s="292"/>
      <c r="CDO43" s="292"/>
      <c r="CDP43" s="292"/>
      <c r="CDQ43" s="292"/>
      <c r="CDR43" s="292"/>
      <c r="CDS43" s="292"/>
      <c r="CDT43" s="292"/>
      <c r="CDU43" s="292"/>
      <c r="CDV43" s="292"/>
      <c r="CDW43" s="292"/>
      <c r="CDX43" s="292"/>
      <c r="CDY43" s="292"/>
      <c r="CDZ43" s="292"/>
      <c r="CEA43" s="292"/>
      <c r="CEB43" s="292"/>
      <c r="CEC43" s="292"/>
      <c r="CED43" s="292"/>
      <c r="CEE43" s="292"/>
      <c r="CEF43" s="292"/>
      <c r="CEG43" s="292"/>
      <c r="CEH43" s="292"/>
      <c r="CEI43" s="292"/>
      <c r="CEJ43" s="292"/>
      <c r="CEK43" s="292"/>
      <c r="CEL43" s="292"/>
      <c r="CEM43" s="292"/>
      <c r="CEN43" s="292"/>
      <c r="CEO43" s="292"/>
      <c r="CEP43" s="292"/>
      <c r="CEQ43" s="292"/>
      <c r="CER43" s="292"/>
      <c r="CES43" s="292"/>
      <c r="CET43" s="292"/>
      <c r="CEU43" s="292"/>
      <c r="CEV43" s="292"/>
      <c r="CEW43" s="292"/>
      <c r="CEX43" s="292"/>
      <c r="CEY43" s="292"/>
      <c r="CEZ43" s="292"/>
      <c r="CFA43" s="292"/>
      <c r="CFB43" s="292"/>
      <c r="CFC43" s="292"/>
      <c r="CFD43" s="292"/>
      <c r="CFE43" s="292"/>
      <c r="CFF43" s="292"/>
      <c r="CFG43" s="292"/>
      <c r="CFH43" s="292"/>
      <c r="CFI43" s="292"/>
      <c r="CFJ43" s="292"/>
      <c r="CFK43" s="292"/>
      <c r="CFL43" s="292"/>
      <c r="CFM43" s="292"/>
      <c r="CFN43" s="292"/>
      <c r="CFO43" s="292"/>
      <c r="CFP43" s="292"/>
      <c r="CFQ43" s="292"/>
      <c r="CFR43" s="292"/>
      <c r="CFS43" s="292"/>
      <c r="CFT43" s="292"/>
      <c r="CFU43" s="292"/>
      <c r="CFV43" s="292"/>
      <c r="CFW43" s="292"/>
      <c r="CFX43" s="292"/>
      <c r="CFY43" s="292"/>
      <c r="CFZ43" s="292"/>
      <c r="CGA43" s="292"/>
      <c r="CGB43" s="292"/>
      <c r="CGC43" s="292"/>
      <c r="CGD43" s="292"/>
      <c r="CGE43" s="292"/>
      <c r="CGF43" s="292"/>
      <c r="CGG43" s="292"/>
      <c r="CGH43" s="292"/>
      <c r="CGI43" s="292"/>
      <c r="CGJ43" s="292"/>
      <c r="CGK43" s="292"/>
      <c r="CGL43" s="292"/>
      <c r="CGM43" s="292"/>
      <c r="CGN43" s="292"/>
      <c r="CGO43" s="292"/>
      <c r="CGP43" s="292"/>
      <c r="CGQ43" s="292"/>
      <c r="CGR43" s="292"/>
      <c r="CGS43" s="292"/>
      <c r="CGT43" s="292"/>
      <c r="CGU43" s="292"/>
      <c r="CGV43" s="292"/>
      <c r="CGW43" s="292"/>
      <c r="CGX43" s="292"/>
      <c r="CGY43" s="292"/>
      <c r="CGZ43" s="292"/>
      <c r="CHA43" s="292"/>
      <c r="CHB43" s="292"/>
      <c r="CHC43" s="292"/>
      <c r="CHD43" s="292"/>
      <c r="CHE43" s="292"/>
      <c r="CHF43" s="292"/>
      <c r="CHG43" s="292"/>
      <c r="CHH43" s="292"/>
      <c r="CHI43" s="292"/>
      <c r="CHJ43" s="292"/>
      <c r="CHK43" s="292"/>
      <c r="CHL43" s="292"/>
      <c r="CHM43" s="292"/>
      <c r="CHN43" s="292"/>
      <c r="CHO43" s="292"/>
      <c r="CHP43" s="292"/>
      <c r="CHQ43" s="292"/>
      <c r="CHR43" s="292"/>
      <c r="CHS43" s="292"/>
      <c r="CHT43" s="292"/>
      <c r="CHU43" s="292"/>
      <c r="CHV43" s="292"/>
      <c r="CHW43" s="292"/>
      <c r="CHX43" s="292"/>
      <c r="CHY43" s="292"/>
      <c r="CHZ43" s="292"/>
      <c r="CIA43" s="292"/>
      <c r="CIB43" s="292"/>
      <c r="CIC43" s="292"/>
      <c r="CID43" s="292"/>
      <c r="CIE43" s="292"/>
      <c r="CIF43" s="292"/>
      <c r="CIG43" s="292"/>
      <c r="CIH43" s="292"/>
      <c r="CII43" s="292"/>
      <c r="CIJ43" s="292"/>
      <c r="CIK43" s="292"/>
      <c r="CIL43" s="292"/>
      <c r="CIM43" s="292"/>
      <c r="CIN43" s="292"/>
      <c r="CIO43" s="292"/>
      <c r="CIP43" s="292"/>
      <c r="CIQ43" s="292"/>
      <c r="CIR43" s="292"/>
      <c r="CIS43" s="292"/>
      <c r="CIT43" s="292"/>
      <c r="CIU43" s="292"/>
      <c r="CIV43" s="292"/>
      <c r="CIW43" s="292"/>
      <c r="CIX43" s="292"/>
      <c r="CIY43" s="292"/>
      <c r="CIZ43" s="292"/>
      <c r="CJA43" s="292"/>
      <c r="CJB43" s="292"/>
      <c r="CJC43" s="292"/>
      <c r="CJD43" s="292"/>
      <c r="CJE43" s="292"/>
      <c r="CJF43" s="292"/>
      <c r="CJG43" s="292"/>
      <c r="CJH43" s="292"/>
      <c r="CJI43" s="292"/>
      <c r="CJJ43" s="292"/>
      <c r="CJK43" s="292"/>
      <c r="CJL43" s="292"/>
      <c r="CJM43" s="292"/>
      <c r="CJN43" s="292"/>
      <c r="CJO43" s="292"/>
      <c r="CJP43" s="292"/>
      <c r="CJQ43" s="292"/>
      <c r="CJR43" s="292"/>
      <c r="CJS43" s="292"/>
      <c r="CJT43" s="292"/>
      <c r="CJU43" s="292"/>
      <c r="CJV43" s="292"/>
      <c r="CJW43" s="292"/>
      <c r="CJX43" s="292"/>
      <c r="CJY43" s="292"/>
      <c r="CJZ43" s="292"/>
      <c r="CKA43" s="292"/>
      <c r="CKB43" s="292"/>
      <c r="CKC43" s="292"/>
      <c r="CKD43" s="292"/>
      <c r="CKE43" s="292"/>
      <c r="CKF43" s="292"/>
      <c r="CKG43" s="292"/>
      <c r="CKH43" s="292"/>
      <c r="CKI43" s="292"/>
      <c r="CKJ43" s="292"/>
      <c r="CKK43" s="292"/>
      <c r="CKL43" s="292"/>
      <c r="CKM43" s="292"/>
      <c r="CKN43" s="292"/>
      <c r="CKO43" s="292"/>
      <c r="CKP43" s="292"/>
      <c r="CKQ43" s="292"/>
      <c r="CKR43" s="292"/>
      <c r="CKS43" s="292"/>
      <c r="CKT43" s="292"/>
      <c r="CKU43" s="292"/>
      <c r="CKV43" s="292"/>
      <c r="CKW43" s="292"/>
      <c r="CKX43" s="292"/>
      <c r="CKY43" s="292"/>
      <c r="CKZ43" s="292"/>
      <c r="CLA43" s="292"/>
      <c r="CLB43" s="292"/>
      <c r="CLC43" s="292"/>
      <c r="CLD43" s="292"/>
      <c r="CLE43" s="292"/>
      <c r="CLF43" s="292"/>
      <c r="CLG43" s="292"/>
      <c r="CLH43" s="292"/>
      <c r="CLI43" s="292"/>
      <c r="CLJ43" s="292"/>
      <c r="CLK43" s="292"/>
      <c r="CLL43" s="292"/>
      <c r="CLM43" s="292"/>
      <c r="CLN43" s="292"/>
      <c r="CLO43" s="292"/>
      <c r="CLP43" s="292"/>
      <c r="CLQ43" s="292"/>
      <c r="CLR43" s="292"/>
      <c r="CLS43" s="292"/>
      <c r="CLT43" s="292"/>
      <c r="CLU43" s="292"/>
      <c r="CLV43" s="292"/>
      <c r="CLW43" s="292"/>
      <c r="CLX43" s="292"/>
      <c r="CLY43" s="292"/>
      <c r="CLZ43" s="292"/>
      <c r="CMA43" s="292"/>
      <c r="CMB43" s="292"/>
      <c r="CMC43" s="292"/>
      <c r="CMD43" s="292"/>
      <c r="CME43" s="292"/>
      <c r="CMF43" s="292"/>
      <c r="CMG43" s="292"/>
      <c r="CMH43" s="292"/>
      <c r="CMI43" s="292"/>
      <c r="CMJ43" s="292"/>
      <c r="CMK43" s="292"/>
      <c r="CML43" s="292"/>
      <c r="CMM43" s="292"/>
      <c r="CMN43" s="292"/>
      <c r="CMO43" s="292"/>
      <c r="CMP43" s="292"/>
      <c r="CMQ43" s="292"/>
      <c r="CMR43" s="292"/>
      <c r="CMS43" s="292"/>
      <c r="CMT43" s="292"/>
      <c r="CMU43" s="292"/>
      <c r="CMV43" s="292"/>
      <c r="CMW43" s="292"/>
      <c r="CMX43" s="292"/>
      <c r="CMY43" s="292"/>
      <c r="CMZ43" s="292"/>
      <c r="CNA43" s="292"/>
      <c r="CNB43" s="292"/>
      <c r="CNC43" s="292"/>
      <c r="CND43" s="292"/>
      <c r="CNE43" s="292"/>
      <c r="CNF43" s="292"/>
      <c r="CNG43" s="292"/>
      <c r="CNH43" s="292"/>
      <c r="CNI43" s="292"/>
      <c r="CNJ43" s="292"/>
      <c r="CNK43" s="292"/>
      <c r="CNL43" s="292"/>
      <c r="CNM43" s="292"/>
      <c r="CNN43" s="292"/>
      <c r="CNO43" s="292"/>
      <c r="CNP43" s="292"/>
      <c r="CNQ43" s="292"/>
      <c r="CNR43" s="292"/>
      <c r="CNS43" s="292"/>
      <c r="CNT43" s="292"/>
      <c r="CNU43" s="292"/>
      <c r="CNV43" s="292"/>
      <c r="CNW43" s="292"/>
      <c r="CNX43" s="292"/>
      <c r="CNY43" s="292"/>
      <c r="CNZ43" s="292"/>
      <c r="COA43" s="292"/>
      <c r="COB43" s="292"/>
      <c r="COC43" s="292"/>
      <c r="COD43" s="292"/>
      <c r="COE43" s="292"/>
      <c r="COF43" s="292"/>
      <c r="COG43" s="292"/>
      <c r="COH43" s="292"/>
      <c r="COI43" s="292"/>
      <c r="COJ43" s="292"/>
      <c r="COK43" s="292"/>
      <c r="COL43" s="292"/>
      <c r="COM43" s="292"/>
      <c r="CON43" s="292"/>
      <c r="COO43" s="292"/>
      <c r="COP43" s="292"/>
      <c r="COQ43" s="292"/>
      <c r="COR43" s="292"/>
      <c r="COS43" s="292"/>
      <c r="COT43" s="292"/>
      <c r="COU43" s="292"/>
      <c r="COV43" s="292"/>
      <c r="COW43" s="292"/>
      <c r="COX43" s="292"/>
      <c r="COY43" s="292"/>
      <c r="COZ43" s="292"/>
      <c r="CPA43" s="292"/>
      <c r="CPB43" s="292"/>
      <c r="CPC43" s="292"/>
      <c r="CPD43" s="292"/>
      <c r="CPE43" s="292"/>
      <c r="CPF43" s="292"/>
      <c r="CPG43" s="292"/>
      <c r="CPH43" s="292"/>
      <c r="CPI43" s="292"/>
      <c r="CPJ43" s="292"/>
      <c r="CPK43" s="292"/>
      <c r="CPL43" s="292"/>
      <c r="CPM43" s="292"/>
      <c r="CPN43" s="292"/>
      <c r="CPO43" s="292"/>
      <c r="CPP43" s="292"/>
      <c r="CPQ43" s="292"/>
      <c r="CPR43" s="292"/>
      <c r="CPS43" s="292"/>
      <c r="CPT43" s="292"/>
      <c r="CPU43" s="292"/>
      <c r="CPV43" s="292"/>
      <c r="CPW43" s="292"/>
      <c r="CPX43" s="292"/>
      <c r="CPY43" s="292"/>
      <c r="CPZ43" s="292"/>
      <c r="CQA43" s="292"/>
      <c r="CQB43" s="292"/>
      <c r="CQC43" s="292"/>
      <c r="CQD43" s="292"/>
      <c r="CQE43" s="292"/>
      <c r="CQF43" s="292"/>
      <c r="CQG43" s="292"/>
      <c r="CQH43" s="292"/>
      <c r="CQI43" s="292"/>
      <c r="CQJ43" s="292"/>
      <c r="CQK43" s="292"/>
      <c r="CQL43" s="292"/>
      <c r="CQM43" s="292"/>
      <c r="CQN43" s="292"/>
      <c r="CQO43" s="292"/>
      <c r="CQP43" s="292"/>
      <c r="CQQ43" s="292"/>
      <c r="CQR43" s="292"/>
      <c r="CQS43" s="292"/>
      <c r="CQT43" s="292"/>
      <c r="CQU43" s="292"/>
      <c r="CQV43" s="292"/>
      <c r="CQW43" s="292"/>
      <c r="CQX43" s="292"/>
      <c r="CQY43" s="292"/>
      <c r="CQZ43" s="292"/>
      <c r="CRA43" s="292"/>
      <c r="CRB43" s="292"/>
      <c r="CRC43" s="292"/>
      <c r="CRD43" s="292"/>
      <c r="CRE43" s="292"/>
      <c r="CRF43" s="292"/>
      <c r="CRG43" s="292"/>
      <c r="CRH43" s="292"/>
      <c r="CRI43" s="292"/>
      <c r="CRJ43" s="292"/>
      <c r="CRK43" s="292"/>
      <c r="CRL43" s="292"/>
      <c r="CRM43" s="292"/>
      <c r="CRN43" s="292"/>
      <c r="CRO43" s="292"/>
      <c r="CRP43" s="292"/>
      <c r="CRQ43" s="292"/>
      <c r="CRR43" s="292"/>
      <c r="CRS43" s="292"/>
      <c r="CRT43" s="292"/>
      <c r="CRU43" s="292"/>
      <c r="CRV43" s="292"/>
      <c r="CRW43" s="292"/>
      <c r="CRX43" s="292"/>
      <c r="CRY43" s="292"/>
      <c r="CRZ43" s="292"/>
      <c r="CSA43" s="292"/>
      <c r="CSB43" s="292"/>
      <c r="CSC43" s="292"/>
      <c r="CSD43" s="292"/>
      <c r="CSE43" s="292"/>
      <c r="CSF43" s="292"/>
      <c r="CSG43" s="292"/>
      <c r="CSH43" s="292"/>
      <c r="CSI43" s="292"/>
      <c r="CSJ43" s="292"/>
      <c r="CSK43" s="292"/>
      <c r="CSL43" s="292"/>
      <c r="CSM43" s="292"/>
      <c r="CSN43" s="292"/>
      <c r="CSO43" s="292"/>
      <c r="CSP43" s="292"/>
      <c r="CSQ43" s="292"/>
      <c r="CSR43" s="292"/>
      <c r="CSS43" s="292"/>
      <c r="CST43" s="292"/>
      <c r="CSU43" s="292"/>
      <c r="CSV43" s="292"/>
      <c r="CSW43" s="292"/>
      <c r="CSX43" s="292"/>
      <c r="CSY43" s="292"/>
      <c r="CSZ43" s="292"/>
      <c r="CTA43" s="292"/>
      <c r="CTB43" s="292"/>
      <c r="CTC43" s="292"/>
      <c r="CTD43" s="292"/>
      <c r="CTE43" s="292"/>
      <c r="CTF43" s="292"/>
      <c r="CTG43" s="292"/>
      <c r="CTH43" s="292"/>
      <c r="CTI43" s="292"/>
      <c r="CTJ43" s="292"/>
      <c r="CTK43" s="292"/>
      <c r="CTL43" s="292"/>
      <c r="CTM43" s="292"/>
      <c r="CTN43" s="292"/>
      <c r="CTO43" s="292"/>
      <c r="CTP43" s="292"/>
      <c r="CTQ43" s="292"/>
      <c r="CTR43" s="292"/>
      <c r="CTS43" s="292"/>
      <c r="CTT43" s="292"/>
      <c r="CTU43" s="292"/>
      <c r="CTV43" s="292"/>
      <c r="CTW43" s="292"/>
      <c r="CTX43" s="292"/>
      <c r="CTY43" s="292"/>
      <c r="CTZ43" s="292"/>
      <c r="CUA43" s="292"/>
      <c r="CUB43" s="292"/>
      <c r="CUC43" s="292"/>
      <c r="CUD43" s="292"/>
      <c r="CUE43" s="292"/>
      <c r="CUF43" s="292"/>
      <c r="CUG43" s="292"/>
      <c r="CUH43" s="292"/>
      <c r="CUI43" s="292"/>
      <c r="CUJ43" s="292"/>
      <c r="CUK43" s="292"/>
      <c r="CUL43" s="292"/>
      <c r="CUM43" s="292"/>
      <c r="CUN43" s="292"/>
      <c r="CUO43" s="292"/>
      <c r="CUP43" s="292"/>
      <c r="CUQ43" s="292"/>
      <c r="CUR43" s="292"/>
      <c r="CUS43" s="292"/>
      <c r="CUT43" s="292"/>
      <c r="CUU43" s="292"/>
      <c r="CUV43" s="292"/>
      <c r="CUW43" s="292"/>
      <c r="CUX43" s="292"/>
      <c r="CUY43" s="292"/>
      <c r="CUZ43" s="292"/>
      <c r="CVA43" s="292"/>
      <c r="CVB43" s="292"/>
      <c r="CVC43" s="292"/>
      <c r="CVD43" s="292"/>
      <c r="CVE43" s="292"/>
      <c r="CVF43" s="292"/>
      <c r="CVG43" s="292"/>
      <c r="CVH43" s="292"/>
      <c r="CVI43" s="292"/>
      <c r="CVJ43" s="292"/>
      <c r="CVK43" s="292"/>
      <c r="CVL43" s="292"/>
      <c r="CVM43" s="292"/>
      <c r="CVN43" s="292"/>
      <c r="CVO43" s="292"/>
      <c r="CVP43" s="292"/>
      <c r="CVQ43" s="292"/>
      <c r="CVR43" s="292"/>
      <c r="CVS43" s="292"/>
      <c r="CVT43" s="292"/>
      <c r="CVU43" s="292"/>
      <c r="CVV43" s="292"/>
      <c r="CVW43" s="292"/>
      <c r="CVX43" s="292"/>
      <c r="CVY43" s="292"/>
      <c r="CVZ43" s="292"/>
      <c r="CWA43" s="292"/>
      <c r="CWB43" s="292"/>
      <c r="CWC43" s="292"/>
      <c r="CWD43" s="292"/>
      <c r="CWE43" s="292"/>
      <c r="CWF43" s="292"/>
      <c r="CWG43" s="292"/>
      <c r="CWH43" s="292"/>
      <c r="CWI43" s="292"/>
      <c r="CWJ43" s="292"/>
      <c r="CWK43" s="292"/>
      <c r="CWL43" s="292"/>
      <c r="CWM43" s="292"/>
      <c r="CWN43" s="292"/>
      <c r="CWO43" s="292"/>
      <c r="CWP43" s="292"/>
      <c r="CWQ43" s="292"/>
      <c r="CWR43" s="292"/>
      <c r="CWS43" s="292"/>
      <c r="CWT43" s="292"/>
      <c r="CWU43" s="292"/>
      <c r="CWV43" s="292"/>
      <c r="CWW43" s="292"/>
      <c r="CWX43" s="292"/>
      <c r="CWY43" s="292"/>
      <c r="CWZ43" s="292"/>
      <c r="CXA43" s="292"/>
      <c r="CXB43" s="292"/>
      <c r="CXC43" s="292"/>
      <c r="CXD43" s="292"/>
      <c r="CXE43" s="292"/>
      <c r="CXF43" s="292"/>
      <c r="CXG43" s="292"/>
      <c r="CXH43" s="292"/>
      <c r="CXI43" s="292"/>
      <c r="CXJ43" s="292"/>
      <c r="CXK43" s="292"/>
      <c r="CXL43" s="292"/>
      <c r="CXM43" s="292"/>
      <c r="CXN43" s="292"/>
      <c r="CXO43" s="292"/>
      <c r="CXP43" s="292"/>
      <c r="CXQ43" s="292"/>
      <c r="CXR43" s="292"/>
      <c r="CXS43" s="292"/>
      <c r="CXT43" s="292"/>
      <c r="CXU43" s="292"/>
      <c r="CXV43" s="292"/>
      <c r="CXW43" s="292"/>
      <c r="CXX43" s="292"/>
      <c r="CXY43" s="292"/>
      <c r="CXZ43" s="292"/>
      <c r="CYA43" s="292"/>
      <c r="CYB43" s="292"/>
      <c r="CYC43" s="292"/>
      <c r="CYD43" s="292"/>
      <c r="CYE43" s="292"/>
      <c r="CYF43" s="292"/>
      <c r="CYG43" s="292"/>
      <c r="CYH43" s="292"/>
      <c r="CYI43" s="292"/>
      <c r="CYJ43" s="292"/>
      <c r="CYK43" s="292"/>
      <c r="CYL43" s="292"/>
      <c r="CYM43" s="292"/>
      <c r="CYN43" s="292"/>
      <c r="CYO43" s="292"/>
      <c r="CYP43" s="292"/>
      <c r="CYQ43" s="292"/>
      <c r="CYR43" s="292"/>
      <c r="CYS43" s="292"/>
      <c r="CYT43" s="292"/>
      <c r="CYU43" s="292"/>
      <c r="CYV43" s="292"/>
      <c r="CYW43" s="292"/>
      <c r="CYX43" s="292"/>
      <c r="CYY43" s="292"/>
      <c r="CYZ43" s="292"/>
      <c r="CZA43" s="292"/>
      <c r="CZB43" s="292"/>
      <c r="CZC43" s="292"/>
      <c r="CZD43" s="292"/>
      <c r="CZE43" s="292"/>
      <c r="CZF43" s="292"/>
      <c r="CZG43" s="292"/>
      <c r="CZH43" s="292"/>
      <c r="CZI43" s="292"/>
      <c r="CZJ43" s="292"/>
      <c r="CZK43" s="292"/>
      <c r="CZL43" s="292"/>
      <c r="CZM43" s="292"/>
      <c r="CZN43" s="292"/>
      <c r="CZO43" s="292"/>
      <c r="CZP43" s="292"/>
      <c r="CZQ43" s="292"/>
      <c r="CZR43" s="292"/>
      <c r="CZS43" s="292"/>
      <c r="CZT43" s="292"/>
      <c r="CZU43" s="292"/>
      <c r="CZV43" s="292"/>
      <c r="CZW43" s="292"/>
      <c r="CZX43" s="292"/>
      <c r="CZY43" s="292"/>
      <c r="CZZ43" s="292"/>
      <c r="DAA43" s="292"/>
      <c r="DAB43" s="292"/>
      <c r="DAC43" s="292"/>
      <c r="DAD43" s="292"/>
      <c r="DAE43" s="292"/>
      <c r="DAF43" s="292"/>
      <c r="DAG43" s="292"/>
      <c r="DAH43" s="292"/>
      <c r="DAI43" s="292"/>
      <c r="DAJ43" s="292"/>
      <c r="DAK43" s="292"/>
      <c r="DAL43" s="292"/>
      <c r="DAM43" s="292"/>
      <c r="DAN43" s="292"/>
      <c r="DAO43" s="292"/>
      <c r="DAP43" s="292"/>
      <c r="DAQ43" s="292"/>
      <c r="DAR43" s="292"/>
      <c r="DAS43" s="292"/>
      <c r="DAT43" s="292"/>
      <c r="DAU43" s="292"/>
      <c r="DAV43" s="292"/>
      <c r="DAW43" s="292"/>
      <c r="DAX43" s="292"/>
      <c r="DAY43" s="292"/>
      <c r="DAZ43" s="292"/>
      <c r="DBA43" s="292"/>
      <c r="DBB43" s="292"/>
      <c r="DBC43" s="292"/>
      <c r="DBD43" s="292"/>
      <c r="DBE43" s="292"/>
      <c r="DBF43" s="292"/>
      <c r="DBG43" s="292"/>
      <c r="DBH43" s="292"/>
      <c r="DBI43" s="292"/>
      <c r="DBJ43" s="292"/>
      <c r="DBK43" s="292"/>
      <c r="DBL43" s="292"/>
      <c r="DBM43" s="292"/>
      <c r="DBN43" s="292"/>
      <c r="DBO43" s="292"/>
      <c r="DBP43" s="292"/>
      <c r="DBQ43" s="292"/>
      <c r="DBR43" s="292"/>
      <c r="DBS43" s="292"/>
      <c r="DBT43" s="292"/>
      <c r="DBU43" s="292"/>
      <c r="DBV43" s="292"/>
      <c r="DBW43" s="292"/>
      <c r="DBX43" s="292"/>
      <c r="DBY43" s="292"/>
      <c r="DBZ43" s="292"/>
      <c r="DCA43" s="292"/>
      <c r="DCB43" s="292"/>
      <c r="DCC43" s="292"/>
      <c r="DCD43" s="292"/>
      <c r="DCE43" s="292"/>
      <c r="DCF43" s="292"/>
      <c r="DCG43" s="292"/>
      <c r="DCH43" s="292"/>
      <c r="DCI43" s="292"/>
      <c r="DCJ43" s="292"/>
      <c r="DCK43" s="292"/>
      <c r="DCL43" s="292"/>
      <c r="DCM43" s="292"/>
      <c r="DCN43" s="292"/>
      <c r="DCO43" s="292"/>
      <c r="DCP43" s="292"/>
      <c r="DCQ43" s="292"/>
      <c r="DCR43" s="292"/>
      <c r="DCS43" s="292"/>
      <c r="DCT43" s="292"/>
      <c r="DCU43" s="292"/>
      <c r="DCV43" s="292"/>
      <c r="DCW43" s="292"/>
      <c r="DCX43" s="292"/>
      <c r="DCY43" s="292"/>
      <c r="DCZ43" s="292"/>
      <c r="DDA43" s="292"/>
      <c r="DDB43" s="292"/>
      <c r="DDC43" s="292"/>
      <c r="DDD43" s="292"/>
      <c r="DDE43" s="292"/>
      <c r="DDF43" s="292"/>
      <c r="DDG43" s="292"/>
      <c r="DDH43" s="292"/>
      <c r="DDI43" s="292"/>
      <c r="DDJ43" s="292"/>
      <c r="DDK43" s="292"/>
      <c r="DDL43" s="292"/>
      <c r="DDM43" s="292"/>
      <c r="DDN43" s="292"/>
      <c r="DDO43" s="292"/>
      <c r="DDP43" s="292"/>
      <c r="DDQ43" s="292"/>
      <c r="DDR43" s="292"/>
      <c r="DDS43" s="292"/>
      <c r="DDT43" s="292"/>
      <c r="DDU43" s="292"/>
      <c r="DDV43" s="292"/>
      <c r="DDW43" s="292"/>
      <c r="DDX43" s="292"/>
      <c r="DDY43" s="292"/>
      <c r="DDZ43" s="292"/>
      <c r="DEA43" s="292"/>
      <c r="DEB43" s="292"/>
      <c r="DEC43" s="292"/>
      <c r="DED43" s="292"/>
      <c r="DEE43" s="292"/>
      <c r="DEF43" s="292"/>
      <c r="DEG43" s="292"/>
      <c r="DEH43" s="292"/>
      <c r="DEI43" s="292"/>
      <c r="DEJ43" s="292"/>
      <c r="DEK43" s="292"/>
      <c r="DEL43" s="292"/>
      <c r="DEM43" s="292"/>
      <c r="DEN43" s="292"/>
      <c r="DEO43" s="292"/>
      <c r="DEP43" s="292"/>
      <c r="DEQ43" s="292"/>
      <c r="DER43" s="292"/>
      <c r="DES43" s="292"/>
      <c r="DET43" s="292"/>
      <c r="DEU43" s="292"/>
      <c r="DEV43" s="292"/>
      <c r="DEW43" s="292"/>
      <c r="DEX43" s="292"/>
      <c r="DEY43" s="292"/>
      <c r="DEZ43" s="292"/>
      <c r="DFA43" s="292"/>
      <c r="DFB43" s="292"/>
      <c r="DFC43" s="292"/>
      <c r="DFD43" s="292"/>
      <c r="DFE43" s="292"/>
      <c r="DFF43" s="292"/>
      <c r="DFG43" s="292"/>
      <c r="DFH43" s="292"/>
      <c r="DFI43" s="292"/>
      <c r="DFJ43" s="292"/>
      <c r="DFK43" s="292"/>
      <c r="DFL43" s="292"/>
      <c r="DFM43" s="292"/>
      <c r="DFN43" s="292"/>
      <c r="DFO43" s="292"/>
      <c r="DFP43" s="292"/>
      <c r="DFQ43" s="292"/>
      <c r="DFR43" s="292"/>
      <c r="DFS43" s="292"/>
      <c r="DFT43" s="292"/>
      <c r="DFU43" s="292"/>
      <c r="DFV43" s="292"/>
      <c r="DFW43" s="292"/>
      <c r="DFX43" s="292"/>
      <c r="DFY43" s="292"/>
      <c r="DFZ43" s="292"/>
      <c r="DGA43" s="292"/>
      <c r="DGB43" s="292"/>
      <c r="DGC43" s="292"/>
      <c r="DGD43" s="292"/>
      <c r="DGE43" s="292"/>
      <c r="DGF43" s="292"/>
      <c r="DGG43" s="292"/>
      <c r="DGH43" s="292"/>
      <c r="DGI43" s="292"/>
      <c r="DGJ43" s="292"/>
      <c r="DGK43" s="292"/>
      <c r="DGL43" s="292"/>
      <c r="DGM43" s="292"/>
      <c r="DGN43" s="292"/>
      <c r="DGO43" s="292"/>
      <c r="DGP43" s="292"/>
      <c r="DGQ43" s="292"/>
      <c r="DGR43" s="292"/>
      <c r="DGS43" s="292"/>
      <c r="DGT43" s="292"/>
      <c r="DGU43" s="292"/>
      <c r="DGV43" s="292"/>
      <c r="DGW43" s="292"/>
      <c r="DGX43" s="292"/>
      <c r="DGY43" s="292"/>
      <c r="DGZ43" s="292"/>
      <c r="DHA43" s="292"/>
      <c r="DHB43" s="292"/>
      <c r="DHC43" s="292"/>
      <c r="DHD43" s="292"/>
      <c r="DHE43" s="292"/>
      <c r="DHF43" s="292"/>
      <c r="DHG43" s="292"/>
      <c r="DHH43" s="292"/>
      <c r="DHI43" s="292"/>
      <c r="DHJ43" s="292"/>
      <c r="DHK43" s="292"/>
      <c r="DHL43" s="292"/>
      <c r="DHM43" s="292"/>
      <c r="DHN43" s="292"/>
      <c r="DHO43" s="292"/>
      <c r="DHP43" s="292"/>
      <c r="DHQ43" s="292"/>
      <c r="DHR43" s="292"/>
      <c r="DHS43" s="292"/>
      <c r="DHT43" s="292"/>
      <c r="DHU43" s="292"/>
      <c r="DHV43" s="292"/>
      <c r="DHW43" s="292"/>
      <c r="DHX43" s="292"/>
      <c r="DHY43" s="292"/>
      <c r="DHZ43" s="292"/>
      <c r="DIA43" s="292"/>
      <c r="DIB43" s="292"/>
      <c r="DIC43" s="292"/>
      <c r="DID43" s="292"/>
      <c r="DIE43" s="292"/>
      <c r="DIF43" s="292"/>
      <c r="DIG43" s="292"/>
      <c r="DIH43" s="292"/>
      <c r="DII43" s="292"/>
      <c r="DIJ43" s="292"/>
      <c r="DIK43" s="292"/>
      <c r="DIL43" s="292"/>
      <c r="DIM43" s="292"/>
      <c r="DIN43" s="292"/>
      <c r="DIO43" s="292"/>
      <c r="DIP43" s="292"/>
      <c r="DIQ43" s="292"/>
      <c r="DIR43" s="292"/>
      <c r="DIS43" s="292"/>
      <c r="DIT43" s="292"/>
      <c r="DIU43" s="292"/>
      <c r="DIV43" s="292"/>
      <c r="DIW43" s="292"/>
      <c r="DIX43" s="292"/>
      <c r="DIY43" s="292"/>
      <c r="DIZ43" s="292"/>
      <c r="DJA43" s="292"/>
      <c r="DJB43" s="292"/>
      <c r="DJC43" s="292"/>
      <c r="DJD43" s="292"/>
      <c r="DJE43" s="292"/>
      <c r="DJF43" s="292"/>
      <c r="DJG43" s="292"/>
      <c r="DJH43" s="292"/>
      <c r="DJI43" s="292"/>
      <c r="DJJ43" s="292"/>
      <c r="DJK43" s="292"/>
      <c r="DJL43" s="292"/>
      <c r="DJM43" s="292"/>
      <c r="DJN43" s="292"/>
      <c r="DJO43" s="292"/>
      <c r="DJP43" s="292"/>
      <c r="DJQ43" s="292"/>
      <c r="DJR43" s="292"/>
      <c r="DJS43" s="292"/>
      <c r="DJT43" s="292"/>
      <c r="DJU43" s="292"/>
      <c r="DJV43" s="292"/>
      <c r="DJW43" s="292"/>
      <c r="DJX43" s="292"/>
      <c r="DJY43" s="292"/>
      <c r="DJZ43" s="292"/>
      <c r="DKA43" s="292"/>
      <c r="DKB43" s="292"/>
      <c r="DKC43" s="292"/>
      <c r="DKD43" s="292"/>
      <c r="DKE43" s="292"/>
      <c r="DKF43" s="292"/>
      <c r="DKG43" s="292"/>
      <c r="DKH43" s="292"/>
      <c r="DKI43" s="292"/>
      <c r="DKJ43" s="292"/>
      <c r="DKK43" s="292"/>
      <c r="DKL43" s="292"/>
      <c r="DKM43" s="292"/>
      <c r="DKN43" s="292"/>
      <c r="DKO43" s="292"/>
      <c r="DKP43" s="292"/>
      <c r="DKQ43" s="292"/>
      <c r="DKR43" s="292"/>
      <c r="DKS43" s="292"/>
      <c r="DKT43" s="292"/>
      <c r="DKU43" s="292"/>
      <c r="DKV43" s="292"/>
      <c r="DKW43" s="292"/>
      <c r="DKX43" s="292"/>
      <c r="DKY43" s="292"/>
      <c r="DKZ43" s="292"/>
      <c r="DLA43" s="292"/>
      <c r="DLB43" s="292"/>
      <c r="DLC43" s="292"/>
      <c r="DLD43" s="292"/>
      <c r="DLE43" s="292"/>
      <c r="DLF43" s="292"/>
      <c r="DLG43" s="292"/>
      <c r="DLH43" s="292"/>
      <c r="DLI43" s="292"/>
      <c r="DLJ43" s="292"/>
      <c r="DLK43" s="292"/>
      <c r="DLL43" s="292"/>
      <c r="DLM43" s="292"/>
      <c r="DLN43" s="292"/>
      <c r="DLO43" s="292"/>
      <c r="DLP43" s="292"/>
      <c r="DLQ43" s="292"/>
      <c r="DLR43" s="292"/>
      <c r="DLS43" s="292"/>
      <c r="DLT43" s="292"/>
      <c r="DLU43" s="292"/>
      <c r="DLV43" s="292"/>
      <c r="DLW43" s="292"/>
      <c r="DLX43" s="292"/>
      <c r="DLY43" s="292"/>
      <c r="DLZ43" s="292"/>
      <c r="DMA43" s="292"/>
      <c r="DMB43" s="292"/>
      <c r="DMC43" s="292"/>
      <c r="DMD43" s="292"/>
      <c r="DME43" s="292"/>
      <c r="DMF43" s="292"/>
      <c r="DMG43" s="292"/>
      <c r="DMH43" s="292"/>
      <c r="DMI43" s="292"/>
      <c r="DMJ43" s="292"/>
      <c r="DMK43" s="292"/>
      <c r="DML43" s="292"/>
      <c r="DMM43" s="292"/>
      <c r="DMN43" s="292"/>
      <c r="DMO43" s="292"/>
      <c r="DMP43" s="292"/>
      <c r="DMQ43" s="292"/>
      <c r="DMR43" s="292"/>
      <c r="DMS43" s="292"/>
      <c r="DMT43" s="292"/>
      <c r="DMU43" s="292"/>
      <c r="DMV43" s="292"/>
      <c r="DMW43" s="292"/>
      <c r="DMX43" s="292"/>
      <c r="DMY43" s="292"/>
      <c r="DMZ43" s="292"/>
      <c r="DNA43" s="292"/>
      <c r="DNB43" s="292"/>
      <c r="DNC43" s="292"/>
      <c r="DND43" s="292"/>
      <c r="DNE43" s="292"/>
      <c r="DNF43" s="292"/>
      <c r="DNG43" s="292"/>
      <c r="DNH43" s="292"/>
      <c r="DNI43" s="292"/>
      <c r="DNJ43" s="292"/>
      <c r="DNK43" s="292"/>
      <c r="DNL43" s="292"/>
      <c r="DNM43" s="292"/>
      <c r="DNN43" s="292"/>
      <c r="DNO43" s="292"/>
      <c r="DNP43" s="292"/>
      <c r="DNQ43" s="292"/>
      <c r="DNR43" s="292"/>
      <c r="DNS43" s="292"/>
      <c r="DNT43" s="292"/>
      <c r="DNU43" s="292"/>
      <c r="DNV43" s="292"/>
      <c r="DNW43" s="292"/>
      <c r="DNX43" s="292"/>
      <c r="DNY43" s="292"/>
      <c r="DNZ43" s="292"/>
      <c r="DOA43" s="292"/>
      <c r="DOB43" s="292"/>
      <c r="DOC43" s="292"/>
      <c r="DOD43" s="292"/>
      <c r="DOE43" s="292"/>
      <c r="DOF43" s="292"/>
      <c r="DOG43" s="292"/>
      <c r="DOH43" s="292"/>
      <c r="DOI43" s="292"/>
      <c r="DOJ43" s="292"/>
      <c r="DOK43" s="292"/>
      <c r="DOL43" s="292"/>
      <c r="DOM43" s="292"/>
      <c r="DON43" s="292"/>
      <c r="DOO43" s="292"/>
      <c r="DOP43" s="292"/>
      <c r="DOQ43" s="292"/>
      <c r="DOR43" s="292"/>
      <c r="DOS43" s="292"/>
      <c r="DOT43" s="292"/>
      <c r="DOU43" s="292"/>
      <c r="DOV43" s="292"/>
      <c r="DOW43" s="292"/>
      <c r="DOX43" s="292"/>
      <c r="DOY43" s="292"/>
      <c r="DOZ43" s="292"/>
      <c r="DPA43" s="292"/>
      <c r="DPB43" s="292"/>
      <c r="DPC43" s="292"/>
      <c r="DPD43" s="292"/>
      <c r="DPE43" s="292"/>
      <c r="DPF43" s="292"/>
      <c r="DPG43" s="292"/>
      <c r="DPH43" s="292"/>
      <c r="DPI43" s="292"/>
      <c r="DPJ43" s="292"/>
      <c r="DPK43" s="292"/>
      <c r="DPL43" s="292"/>
      <c r="DPM43" s="292"/>
      <c r="DPN43" s="292"/>
      <c r="DPO43" s="292"/>
      <c r="DPP43" s="292"/>
      <c r="DPQ43" s="292"/>
      <c r="DPR43" s="292"/>
      <c r="DPS43" s="292"/>
      <c r="DPT43" s="292"/>
      <c r="DPU43" s="292"/>
      <c r="DPV43" s="292"/>
      <c r="DPW43" s="292"/>
      <c r="DPX43" s="292"/>
      <c r="DPY43" s="292"/>
      <c r="DPZ43" s="292"/>
      <c r="DQA43" s="292"/>
      <c r="DQB43" s="292"/>
      <c r="DQC43" s="292"/>
      <c r="DQD43" s="292"/>
      <c r="DQE43" s="292"/>
      <c r="DQF43" s="292"/>
      <c r="DQG43" s="292"/>
      <c r="DQH43" s="292"/>
      <c r="DQI43" s="292"/>
      <c r="DQJ43" s="292"/>
      <c r="DQK43" s="292"/>
      <c r="DQL43" s="292"/>
      <c r="DQM43" s="292"/>
      <c r="DQN43" s="292"/>
      <c r="DQO43" s="292"/>
      <c r="DQP43" s="292"/>
      <c r="DQQ43" s="292"/>
      <c r="DQR43" s="292"/>
      <c r="DQS43" s="292"/>
      <c r="DQT43" s="292"/>
      <c r="DQU43" s="292"/>
      <c r="DQV43" s="292"/>
      <c r="DQW43" s="292"/>
      <c r="DQX43" s="292"/>
      <c r="DQY43" s="292"/>
      <c r="DQZ43" s="292"/>
      <c r="DRA43" s="292"/>
      <c r="DRB43" s="292"/>
      <c r="DRC43" s="292"/>
      <c r="DRD43" s="292"/>
      <c r="DRE43" s="292"/>
      <c r="DRF43" s="292"/>
      <c r="DRG43" s="292"/>
      <c r="DRH43" s="292"/>
      <c r="DRI43" s="292"/>
      <c r="DRJ43" s="292"/>
      <c r="DRK43" s="292"/>
      <c r="DRL43" s="292"/>
      <c r="DRM43" s="292"/>
      <c r="DRN43" s="292"/>
      <c r="DRO43" s="292"/>
      <c r="DRP43" s="292"/>
      <c r="DRQ43" s="292"/>
      <c r="DRR43" s="292"/>
      <c r="DRS43" s="292"/>
      <c r="DRT43" s="292"/>
      <c r="DRU43" s="292"/>
      <c r="DRV43" s="292"/>
      <c r="DRW43" s="292"/>
      <c r="DRX43" s="292"/>
      <c r="DRY43" s="292"/>
      <c r="DRZ43" s="292"/>
      <c r="DSA43" s="292"/>
      <c r="DSB43" s="292"/>
      <c r="DSC43" s="292"/>
      <c r="DSD43" s="292"/>
      <c r="DSE43" s="292"/>
      <c r="DSF43" s="292"/>
      <c r="DSG43" s="292"/>
      <c r="DSH43" s="292"/>
      <c r="DSI43" s="292"/>
      <c r="DSJ43" s="292"/>
      <c r="DSK43" s="292"/>
      <c r="DSL43" s="292"/>
      <c r="DSM43" s="292"/>
      <c r="DSN43" s="292"/>
      <c r="DSO43" s="292"/>
      <c r="DSP43" s="292"/>
      <c r="DSQ43" s="292"/>
      <c r="DSR43" s="292"/>
      <c r="DSS43" s="292"/>
      <c r="DST43" s="292"/>
      <c r="DSU43" s="292"/>
      <c r="DSV43" s="292"/>
      <c r="DSW43" s="292"/>
      <c r="DSX43" s="292"/>
      <c r="DSY43" s="292"/>
      <c r="DSZ43" s="292"/>
      <c r="DTA43" s="292"/>
      <c r="DTB43" s="292"/>
      <c r="DTC43" s="292"/>
      <c r="DTD43" s="292"/>
      <c r="DTE43" s="292"/>
      <c r="DTF43" s="292"/>
      <c r="DTG43" s="292"/>
      <c r="DTH43" s="292"/>
      <c r="DTI43" s="292"/>
      <c r="DTJ43" s="292"/>
      <c r="DTK43" s="292"/>
      <c r="DTL43" s="292"/>
      <c r="DTM43" s="292"/>
      <c r="DTN43" s="292"/>
      <c r="DTO43" s="292"/>
      <c r="DTP43" s="292"/>
      <c r="DTQ43" s="292"/>
      <c r="DTR43" s="292"/>
      <c r="DTS43" s="292"/>
      <c r="DTT43" s="292"/>
      <c r="DTU43" s="292"/>
      <c r="DTV43" s="292"/>
      <c r="DTW43" s="292"/>
      <c r="DTX43" s="292"/>
      <c r="DTY43" s="292"/>
      <c r="DTZ43" s="292"/>
      <c r="DUA43" s="292"/>
      <c r="DUB43" s="292"/>
      <c r="DUC43" s="292"/>
      <c r="DUD43" s="292"/>
      <c r="DUE43" s="292"/>
      <c r="DUF43" s="292"/>
      <c r="DUG43" s="292"/>
      <c r="DUH43" s="292"/>
      <c r="DUI43" s="292"/>
      <c r="DUJ43" s="292"/>
      <c r="DUK43" s="292"/>
      <c r="DUL43" s="292"/>
      <c r="DUM43" s="292"/>
      <c r="DUN43" s="292"/>
      <c r="DUO43" s="292"/>
      <c r="DUP43" s="292"/>
      <c r="DUQ43" s="292"/>
      <c r="DUR43" s="292"/>
      <c r="DUS43" s="292"/>
      <c r="DUT43" s="292"/>
      <c r="DUU43" s="292"/>
      <c r="DUV43" s="292"/>
      <c r="DUW43" s="292"/>
      <c r="DUX43" s="292"/>
      <c r="DUY43" s="292"/>
      <c r="DUZ43" s="292"/>
      <c r="DVA43" s="292"/>
      <c r="DVB43" s="292"/>
      <c r="DVC43" s="292"/>
      <c r="DVD43" s="292"/>
      <c r="DVE43" s="292"/>
      <c r="DVF43" s="292"/>
      <c r="DVG43" s="292"/>
      <c r="DVH43" s="292"/>
      <c r="DVI43" s="292"/>
      <c r="DVJ43" s="292"/>
      <c r="DVK43" s="292"/>
      <c r="DVL43" s="292"/>
      <c r="DVM43" s="292"/>
      <c r="DVN43" s="292"/>
      <c r="DVO43" s="292"/>
      <c r="DVP43" s="292"/>
      <c r="DVQ43" s="292"/>
      <c r="DVR43" s="292"/>
      <c r="DVS43" s="292"/>
      <c r="DVT43" s="292"/>
      <c r="DVU43" s="292"/>
      <c r="DVV43" s="292"/>
      <c r="DVW43" s="292"/>
      <c r="DVX43" s="292"/>
      <c r="DVY43" s="292"/>
      <c r="DVZ43" s="292"/>
      <c r="DWA43" s="292"/>
      <c r="DWB43" s="292"/>
      <c r="DWC43" s="292"/>
      <c r="DWD43" s="292"/>
      <c r="DWE43" s="292"/>
      <c r="DWF43" s="292"/>
      <c r="DWG43" s="292"/>
      <c r="DWH43" s="292"/>
      <c r="DWI43" s="292"/>
      <c r="DWJ43" s="292"/>
      <c r="DWK43" s="292"/>
      <c r="DWL43" s="292"/>
      <c r="DWM43" s="292"/>
      <c r="DWN43" s="292"/>
      <c r="DWO43" s="292"/>
      <c r="DWP43" s="292"/>
      <c r="DWQ43" s="292"/>
      <c r="DWR43" s="292"/>
      <c r="DWS43" s="292"/>
      <c r="DWT43" s="292"/>
      <c r="DWU43" s="292"/>
      <c r="DWV43" s="292"/>
      <c r="DWW43" s="292"/>
      <c r="DWX43" s="292"/>
      <c r="DWY43" s="292"/>
      <c r="DWZ43" s="292"/>
      <c r="DXA43" s="292"/>
      <c r="DXB43" s="292"/>
      <c r="DXC43" s="292"/>
      <c r="DXD43" s="292"/>
      <c r="DXE43" s="292"/>
      <c r="DXF43" s="292"/>
      <c r="DXG43" s="292"/>
      <c r="DXH43" s="292"/>
      <c r="DXI43" s="292"/>
      <c r="DXJ43" s="292"/>
      <c r="DXK43" s="292"/>
      <c r="DXL43" s="292"/>
      <c r="DXM43" s="292"/>
      <c r="DXN43" s="292"/>
      <c r="DXO43" s="292"/>
      <c r="DXP43" s="292"/>
      <c r="DXQ43" s="292"/>
      <c r="DXR43" s="292"/>
      <c r="DXS43" s="292"/>
      <c r="DXT43" s="292"/>
      <c r="DXU43" s="292"/>
      <c r="DXV43" s="292"/>
      <c r="DXW43" s="292"/>
      <c r="DXX43" s="292"/>
      <c r="DXY43" s="292"/>
      <c r="DXZ43" s="292"/>
      <c r="DYA43" s="292"/>
      <c r="DYB43" s="292"/>
      <c r="DYC43" s="292"/>
      <c r="DYD43" s="292"/>
      <c r="DYE43" s="292"/>
      <c r="DYF43" s="292"/>
      <c r="DYG43" s="292"/>
      <c r="DYH43" s="292"/>
      <c r="DYI43" s="292"/>
      <c r="DYJ43" s="292"/>
      <c r="DYK43" s="292"/>
      <c r="DYL43" s="292"/>
      <c r="DYM43" s="292"/>
      <c r="DYN43" s="292"/>
      <c r="DYO43" s="292"/>
      <c r="DYP43" s="292"/>
      <c r="DYQ43" s="292"/>
      <c r="DYR43" s="292"/>
      <c r="DYS43" s="292"/>
      <c r="DYT43" s="292"/>
      <c r="DYU43" s="292"/>
      <c r="DYV43" s="292"/>
      <c r="DYW43" s="292"/>
      <c r="DYX43" s="292"/>
      <c r="DYY43" s="292"/>
      <c r="DYZ43" s="292"/>
      <c r="DZA43" s="292"/>
      <c r="DZB43" s="292"/>
      <c r="DZC43" s="292"/>
      <c r="DZD43" s="292"/>
      <c r="DZE43" s="292"/>
      <c r="DZF43" s="292"/>
      <c r="DZG43" s="292"/>
      <c r="DZH43" s="292"/>
      <c r="DZI43" s="292"/>
      <c r="DZJ43" s="292"/>
      <c r="DZK43" s="292"/>
      <c r="DZL43" s="292"/>
      <c r="DZM43" s="292"/>
      <c r="DZN43" s="292"/>
      <c r="DZO43" s="292"/>
      <c r="DZP43" s="292"/>
      <c r="DZQ43" s="292"/>
      <c r="DZR43" s="292"/>
      <c r="DZS43" s="292"/>
      <c r="DZT43" s="292"/>
      <c r="DZU43" s="292"/>
      <c r="DZV43" s="292"/>
      <c r="DZW43" s="292"/>
      <c r="DZX43" s="292"/>
      <c r="DZY43" s="292"/>
      <c r="DZZ43" s="292"/>
      <c r="EAA43" s="292"/>
      <c r="EAB43" s="292"/>
      <c r="EAC43" s="292"/>
      <c r="EAD43" s="292"/>
      <c r="EAE43" s="292"/>
      <c r="EAF43" s="292"/>
      <c r="EAG43" s="292"/>
      <c r="EAH43" s="292"/>
      <c r="EAI43" s="292"/>
      <c r="EAJ43" s="292"/>
      <c r="EAK43" s="292"/>
      <c r="EAL43" s="292"/>
      <c r="EAM43" s="292"/>
      <c r="EAN43" s="292"/>
      <c r="EAO43" s="292"/>
      <c r="EAP43" s="292"/>
      <c r="EAQ43" s="292"/>
      <c r="EAR43" s="292"/>
      <c r="EAS43" s="292"/>
      <c r="EAT43" s="292"/>
      <c r="EAU43" s="292"/>
      <c r="EAV43" s="292"/>
      <c r="EAW43" s="292"/>
      <c r="EAX43" s="292"/>
      <c r="EAY43" s="292"/>
      <c r="EAZ43" s="292"/>
      <c r="EBA43" s="292"/>
      <c r="EBB43" s="292"/>
      <c r="EBC43" s="292"/>
      <c r="EBD43" s="292"/>
      <c r="EBE43" s="292"/>
      <c r="EBF43" s="292"/>
      <c r="EBG43" s="292"/>
      <c r="EBH43" s="292"/>
      <c r="EBI43" s="292"/>
      <c r="EBJ43" s="292"/>
      <c r="EBK43" s="292"/>
      <c r="EBL43" s="292"/>
      <c r="EBM43" s="292"/>
      <c r="EBN43" s="292"/>
      <c r="EBO43" s="292"/>
      <c r="EBP43" s="292"/>
      <c r="EBQ43" s="292"/>
      <c r="EBR43" s="292"/>
      <c r="EBS43" s="292"/>
      <c r="EBT43" s="292"/>
      <c r="EBU43" s="292"/>
      <c r="EBV43" s="292"/>
      <c r="EBW43" s="292"/>
      <c r="EBX43" s="292"/>
      <c r="EBY43" s="292"/>
      <c r="EBZ43" s="292"/>
      <c r="ECA43" s="292"/>
      <c r="ECB43" s="292"/>
      <c r="ECC43" s="292"/>
      <c r="ECD43" s="292"/>
      <c r="ECE43" s="292"/>
      <c r="ECF43" s="292"/>
      <c r="ECG43" s="292"/>
      <c r="ECH43" s="292"/>
      <c r="ECI43" s="292"/>
      <c r="ECJ43" s="292"/>
      <c r="ECK43" s="292"/>
      <c r="ECL43" s="292"/>
      <c r="ECM43" s="292"/>
      <c r="ECN43" s="292"/>
      <c r="ECO43" s="292"/>
      <c r="ECP43" s="292"/>
      <c r="ECQ43" s="292"/>
      <c r="ECR43" s="292"/>
      <c r="ECS43" s="292"/>
      <c r="ECT43" s="292"/>
      <c r="ECU43" s="292"/>
      <c r="ECV43" s="292"/>
      <c r="ECW43" s="292"/>
      <c r="ECX43" s="292"/>
      <c r="ECY43" s="292"/>
      <c r="ECZ43" s="292"/>
      <c r="EDA43" s="292"/>
      <c r="EDB43" s="292"/>
      <c r="EDC43" s="292"/>
      <c r="EDD43" s="292"/>
      <c r="EDE43" s="292"/>
      <c r="EDF43" s="292"/>
      <c r="EDG43" s="292"/>
      <c r="EDH43" s="292"/>
      <c r="EDI43" s="292"/>
      <c r="EDJ43" s="292"/>
      <c r="EDK43" s="292"/>
      <c r="EDL43" s="292"/>
      <c r="EDM43" s="292"/>
      <c r="EDN43" s="292"/>
      <c r="EDO43" s="292"/>
      <c r="EDP43" s="292"/>
      <c r="EDQ43" s="292"/>
      <c r="EDR43" s="292"/>
      <c r="EDS43" s="292"/>
      <c r="EDT43" s="292"/>
      <c r="EDU43" s="292"/>
      <c r="EDV43" s="292"/>
      <c r="EDW43" s="292"/>
      <c r="EDX43" s="292"/>
      <c r="EDY43" s="292"/>
      <c r="EDZ43" s="292"/>
      <c r="EEA43" s="292"/>
      <c r="EEB43" s="292"/>
      <c r="EEC43" s="292"/>
      <c r="EED43" s="292"/>
      <c r="EEE43" s="292"/>
      <c r="EEF43" s="292"/>
      <c r="EEG43" s="292"/>
      <c r="EEH43" s="292"/>
      <c r="EEI43" s="292"/>
      <c r="EEJ43" s="292"/>
      <c r="EEK43" s="292"/>
      <c r="EEL43" s="292"/>
      <c r="EEM43" s="292"/>
      <c r="EEN43" s="292"/>
      <c r="EEO43" s="292"/>
      <c r="EEP43" s="292"/>
      <c r="EEQ43" s="292"/>
      <c r="EER43" s="292"/>
      <c r="EES43" s="292"/>
      <c r="EET43" s="292"/>
      <c r="EEU43" s="292"/>
      <c r="EEV43" s="292"/>
      <c r="EEW43" s="292"/>
      <c r="EEX43" s="292"/>
      <c r="EEY43" s="292"/>
      <c r="EEZ43" s="292"/>
      <c r="EFA43" s="292"/>
      <c r="EFB43" s="292"/>
      <c r="EFC43" s="292"/>
      <c r="EFD43" s="292"/>
      <c r="EFE43" s="292"/>
      <c r="EFF43" s="292"/>
      <c r="EFG43" s="292"/>
      <c r="EFH43" s="292"/>
      <c r="EFI43" s="292"/>
      <c r="EFJ43" s="292"/>
      <c r="EFK43" s="292"/>
      <c r="EFL43" s="292"/>
      <c r="EFM43" s="292"/>
      <c r="EFN43" s="292"/>
      <c r="EFO43" s="292"/>
      <c r="EFP43" s="292"/>
      <c r="EFQ43" s="292"/>
      <c r="EFR43" s="292"/>
      <c r="EFS43" s="292"/>
      <c r="EFT43" s="292"/>
      <c r="EFU43" s="292"/>
      <c r="EFV43" s="292"/>
      <c r="EFW43" s="292"/>
      <c r="EFX43" s="292"/>
      <c r="EFY43" s="292"/>
      <c r="EFZ43" s="292"/>
      <c r="EGA43" s="292"/>
      <c r="EGB43" s="292"/>
      <c r="EGC43" s="292"/>
      <c r="EGD43" s="292"/>
      <c r="EGE43" s="292"/>
      <c r="EGF43" s="292"/>
      <c r="EGG43" s="292"/>
      <c r="EGH43" s="292"/>
      <c r="EGI43" s="292"/>
      <c r="EGJ43" s="292"/>
      <c r="EGK43" s="292"/>
      <c r="EGL43" s="292"/>
      <c r="EGM43" s="292"/>
      <c r="EGN43" s="292"/>
      <c r="EGO43" s="292"/>
      <c r="EGP43" s="292"/>
      <c r="EGQ43" s="292"/>
      <c r="EGR43" s="292"/>
      <c r="EGS43" s="292"/>
      <c r="EGT43" s="292"/>
      <c r="EGU43" s="292"/>
      <c r="EGV43" s="292"/>
      <c r="EGW43" s="292"/>
      <c r="EGX43" s="292"/>
      <c r="EGY43" s="292"/>
      <c r="EGZ43" s="292"/>
      <c r="EHA43" s="292"/>
      <c r="EHB43" s="292"/>
      <c r="EHC43" s="292"/>
      <c r="EHD43" s="292"/>
      <c r="EHE43" s="292"/>
      <c r="EHF43" s="292"/>
      <c r="EHG43" s="292"/>
      <c r="EHH43" s="292"/>
      <c r="EHI43" s="292"/>
      <c r="EHJ43" s="292"/>
      <c r="EHK43" s="292"/>
      <c r="EHL43" s="292"/>
      <c r="EHM43" s="292"/>
      <c r="EHN43" s="292"/>
      <c r="EHO43" s="292"/>
      <c r="EHP43" s="292"/>
      <c r="EHQ43" s="292"/>
      <c r="EHR43" s="292"/>
      <c r="EHS43" s="292"/>
      <c r="EHT43" s="292"/>
      <c r="EHU43" s="292"/>
      <c r="EHV43" s="292"/>
      <c r="EHW43" s="292"/>
      <c r="EHX43" s="292"/>
      <c r="EHY43" s="292"/>
      <c r="EHZ43" s="292"/>
      <c r="EIA43" s="292"/>
      <c r="EIB43" s="292"/>
      <c r="EIC43" s="292"/>
      <c r="EID43" s="292"/>
      <c r="EIE43" s="292"/>
      <c r="EIF43" s="292"/>
      <c r="EIG43" s="292"/>
      <c r="EIH43" s="292"/>
      <c r="EII43" s="292"/>
      <c r="EIJ43" s="292"/>
      <c r="EIK43" s="292"/>
      <c r="EIL43" s="292"/>
      <c r="EIM43" s="292"/>
      <c r="EIN43" s="292"/>
      <c r="EIO43" s="292"/>
      <c r="EIP43" s="292"/>
      <c r="EIQ43" s="292"/>
      <c r="EIR43" s="292"/>
      <c r="EIS43" s="292"/>
      <c r="EIT43" s="292"/>
      <c r="EIU43" s="292"/>
      <c r="EIV43" s="292"/>
      <c r="EIW43" s="292"/>
      <c r="EIX43" s="292"/>
      <c r="EIY43" s="292"/>
      <c r="EIZ43" s="292"/>
      <c r="EJA43" s="292"/>
      <c r="EJB43" s="292"/>
      <c r="EJC43" s="292"/>
      <c r="EJD43" s="292"/>
      <c r="EJE43" s="292"/>
      <c r="EJF43" s="292"/>
      <c r="EJG43" s="292"/>
      <c r="EJH43" s="292"/>
      <c r="EJI43" s="292"/>
      <c r="EJJ43" s="292"/>
      <c r="EJK43" s="292"/>
      <c r="EJL43" s="292"/>
      <c r="EJM43" s="292"/>
      <c r="EJN43" s="292"/>
      <c r="EJO43" s="292"/>
      <c r="EJP43" s="292"/>
      <c r="EJQ43" s="292"/>
      <c r="EJR43" s="292"/>
      <c r="EJS43" s="292"/>
      <c r="EJT43" s="292"/>
      <c r="EJU43" s="292"/>
      <c r="EJV43" s="292"/>
      <c r="EJW43" s="292"/>
      <c r="EJX43" s="292"/>
      <c r="EJY43" s="292"/>
      <c r="EJZ43" s="292"/>
      <c r="EKA43" s="292"/>
      <c r="EKB43" s="292"/>
      <c r="EKC43" s="292"/>
      <c r="EKD43" s="292"/>
      <c r="EKE43" s="292"/>
      <c r="EKF43" s="292"/>
      <c r="EKG43" s="292"/>
      <c r="EKH43" s="292"/>
      <c r="EKI43" s="292"/>
      <c r="EKJ43" s="292"/>
      <c r="EKK43" s="292"/>
      <c r="EKL43" s="292"/>
      <c r="EKM43" s="292"/>
      <c r="EKN43" s="292"/>
      <c r="EKO43" s="292"/>
      <c r="EKP43" s="292"/>
      <c r="EKQ43" s="292"/>
      <c r="EKR43" s="292"/>
      <c r="EKS43" s="292"/>
      <c r="EKT43" s="292"/>
      <c r="EKU43" s="292"/>
      <c r="EKV43" s="292"/>
      <c r="EKW43" s="292"/>
      <c r="EKX43" s="292"/>
      <c r="EKY43" s="292"/>
      <c r="EKZ43" s="292"/>
      <c r="ELA43" s="292"/>
      <c r="ELB43" s="292"/>
      <c r="ELC43" s="292"/>
      <c r="ELD43" s="292"/>
      <c r="ELE43" s="292"/>
      <c r="ELF43" s="292"/>
      <c r="ELG43" s="292"/>
      <c r="ELH43" s="292"/>
      <c r="ELI43" s="292"/>
      <c r="ELJ43" s="292"/>
      <c r="ELK43" s="292"/>
      <c r="ELL43" s="292"/>
      <c r="ELM43" s="292"/>
      <c r="ELN43" s="292"/>
      <c r="ELO43" s="292"/>
      <c r="ELP43" s="292"/>
      <c r="ELQ43" s="292"/>
      <c r="ELR43" s="292"/>
      <c r="ELS43" s="292"/>
      <c r="ELT43" s="292"/>
      <c r="ELU43" s="292"/>
      <c r="ELV43" s="292"/>
      <c r="ELW43" s="292"/>
      <c r="ELX43" s="292"/>
      <c r="ELY43" s="292"/>
      <c r="ELZ43" s="292"/>
      <c r="EMA43" s="292"/>
      <c r="EMB43" s="292"/>
      <c r="EMC43" s="292"/>
      <c r="EMD43" s="292"/>
      <c r="EME43" s="292"/>
      <c r="EMF43" s="292"/>
      <c r="EMG43" s="292"/>
      <c r="EMH43" s="292"/>
      <c r="EMI43" s="292"/>
      <c r="EMJ43" s="292"/>
      <c r="EMK43" s="292"/>
      <c r="EML43" s="292"/>
      <c r="EMM43" s="292"/>
      <c r="EMN43" s="292"/>
      <c r="EMO43" s="292"/>
      <c r="EMP43" s="292"/>
      <c r="EMQ43" s="292"/>
      <c r="EMR43" s="292"/>
      <c r="EMS43" s="292"/>
      <c r="EMT43" s="292"/>
      <c r="EMU43" s="292"/>
      <c r="EMV43" s="292"/>
      <c r="EMW43" s="292"/>
      <c r="EMX43" s="292"/>
      <c r="EMY43" s="292"/>
      <c r="EMZ43" s="292"/>
      <c r="ENA43" s="292"/>
      <c r="ENB43" s="292"/>
      <c r="ENC43" s="292"/>
      <c r="END43" s="292"/>
      <c r="ENE43" s="292"/>
      <c r="ENF43" s="292"/>
      <c r="ENG43" s="292"/>
      <c r="ENH43" s="292"/>
      <c r="ENI43" s="292"/>
      <c r="ENJ43" s="292"/>
      <c r="ENK43" s="292"/>
      <c r="ENL43" s="292"/>
      <c r="ENM43" s="292"/>
      <c r="ENN43" s="292"/>
      <c r="ENO43" s="292"/>
      <c r="ENP43" s="292"/>
      <c r="ENQ43" s="292"/>
      <c r="ENR43" s="292"/>
      <c r="ENS43" s="292"/>
      <c r="ENT43" s="292"/>
      <c r="ENU43" s="292"/>
      <c r="ENV43" s="292"/>
      <c r="ENW43" s="292"/>
      <c r="ENX43" s="292"/>
      <c r="ENY43" s="292"/>
      <c r="ENZ43" s="292"/>
      <c r="EOA43" s="292"/>
      <c r="EOB43" s="292"/>
      <c r="EOC43" s="292"/>
      <c r="EOD43" s="292"/>
      <c r="EOE43" s="292"/>
      <c r="EOF43" s="292"/>
      <c r="EOG43" s="292"/>
      <c r="EOH43" s="292"/>
      <c r="EOI43" s="292"/>
      <c r="EOJ43" s="292"/>
      <c r="EOK43" s="292"/>
      <c r="EOL43" s="292"/>
      <c r="EOM43" s="292"/>
      <c r="EON43" s="292"/>
      <c r="EOO43" s="292"/>
      <c r="EOP43" s="292"/>
      <c r="EOQ43" s="292"/>
      <c r="EOR43" s="292"/>
      <c r="EOS43" s="292"/>
      <c r="EOT43" s="292"/>
      <c r="EOU43" s="292"/>
      <c r="EOV43" s="292"/>
      <c r="EOW43" s="292"/>
      <c r="EOX43" s="292"/>
      <c r="EOY43" s="292"/>
      <c r="EOZ43" s="292"/>
      <c r="EPA43" s="292"/>
      <c r="EPB43" s="292"/>
      <c r="EPC43" s="292"/>
      <c r="EPD43" s="292"/>
      <c r="EPE43" s="292"/>
      <c r="EPF43" s="292"/>
      <c r="EPG43" s="292"/>
      <c r="EPH43" s="292"/>
      <c r="EPI43" s="292"/>
      <c r="EPJ43" s="292"/>
      <c r="EPK43" s="292"/>
      <c r="EPL43" s="292"/>
      <c r="EPM43" s="292"/>
      <c r="EPN43" s="292"/>
      <c r="EPO43" s="292"/>
      <c r="EPP43" s="292"/>
      <c r="EPQ43" s="292"/>
      <c r="EPR43" s="292"/>
      <c r="EPS43" s="292"/>
      <c r="EPT43" s="292"/>
      <c r="EPU43" s="292"/>
      <c r="EPV43" s="292"/>
      <c r="EPW43" s="292"/>
      <c r="EPX43" s="292"/>
      <c r="EPY43" s="292"/>
      <c r="EPZ43" s="292"/>
      <c r="EQA43" s="292"/>
      <c r="EQB43" s="292"/>
      <c r="EQC43" s="292"/>
      <c r="EQD43" s="292"/>
      <c r="EQE43" s="292"/>
      <c r="EQF43" s="292"/>
      <c r="EQG43" s="292"/>
      <c r="EQH43" s="292"/>
      <c r="EQI43" s="292"/>
      <c r="EQJ43" s="292"/>
      <c r="EQK43" s="292"/>
      <c r="EQL43" s="292"/>
      <c r="EQM43" s="292"/>
      <c r="EQN43" s="292"/>
      <c r="EQO43" s="292"/>
      <c r="EQP43" s="292"/>
      <c r="EQQ43" s="292"/>
      <c r="EQR43" s="292"/>
      <c r="EQS43" s="292"/>
      <c r="EQT43" s="292"/>
      <c r="EQU43" s="292"/>
      <c r="EQV43" s="292"/>
      <c r="EQW43" s="292"/>
      <c r="EQX43" s="292"/>
      <c r="EQY43" s="292"/>
      <c r="EQZ43" s="292"/>
      <c r="ERA43" s="292"/>
      <c r="ERB43" s="292"/>
      <c r="ERC43" s="292"/>
      <c r="ERD43" s="292"/>
      <c r="ERE43" s="292"/>
      <c r="ERF43" s="292"/>
      <c r="ERG43" s="292"/>
      <c r="ERH43" s="292"/>
      <c r="ERI43" s="292"/>
      <c r="ERJ43" s="292"/>
      <c r="ERK43" s="292"/>
      <c r="ERL43" s="292"/>
      <c r="ERM43" s="292"/>
      <c r="ERN43" s="292"/>
      <c r="ERO43" s="292"/>
      <c r="ERP43" s="292"/>
      <c r="ERQ43" s="292"/>
      <c r="ERR43" s="292"/>
      <c r="ERS43" s="292"/>
      <c r="ERT43" s="292"/>
      <c r="ERU43" s="292"/>
      <c r="ERV43" s="292"/>
      <c r="ERW43" s="292"/>
      <c r="ERX43" s="292"/>
      <c r="ERY43" s="292"/>
      <c r="ERZ43" s="292"/>
      <c r="ESA43" s="292"/>
      <c r="ESB43" s="292"/>
      <c r="ESC43" s="292"/>
      <c r="ESD43" s="292"/>
      <c r="ESE43" s="292"/>
      <c r="ESF43" s="292"/>
      <c r="ESG43" s="292"/>
      <c r="ESH43" s="292"/>
      <c r="ESI43" s="292"/>
      <c r="ESJ43" s="292"/>
      <c r="ESK43" s="292"/>
      <c r="ESL43" s="292"/>
      <c r="ESM43" s="292"/>
      <c r="ESN43" s="292"/>
      <c r="ESO43" s="292"/>
      <c r="ESP43" s="292"/>
      <c r="ESQ43" s="292"/>
      <c r="ESR43" s="292"/>
      <c r="ESS43" s="292"/>
      <c r="EST43" s="292"/>
      <c r="ESU43" s="292"/>
      <c r="ESV43" s="292"/>
      <c r="ESW43" s="292"/>
      <c r="ESX43" s="292"/>
      <c r="ESY43" s="292"/>
      <c r="ESZ43" s="292"/>
      <c r="ETA43" s="292"/>
      <c r="ETB43" s="292"/>
      <c r="ETC43" s="292"/>
      <c r="ETD43" s="292"/>
      <c r="ETE43" s="292"/>
      <c r="ETF43" s="292"/>
      <c r="ETG43" s="292"/>
      <c r="ETH43" s="292"/>
      <c r="ETI43" s="292"/>
      <c r="ETJ43" s="292"/>
      <c r="ETK43" s="292"/>
      <c r="ETL43" s="292"/>
      <c r="ETM43" s="292"/>
      <c r="ETN43" s="292"/>
      <c r="ETO43" s="292"/>
      <c r="ETP43" s="292"/>
      <c r="ETQ43" s="292"/>
      <c r="ETR43" s="292"/>
      <c r="ETS43" s="292"/>
      <c r="ETT43" s="292"/>
      <c r="ETU43" s="292"/>
      <c r="ETV43" s="292"/>
      <c r="ETW43" s="292"/>
      <c r="ETX43" s="292"/>
      <c r="ETY43" s="292"/>
      <c r="ETZ43" s="292"/>
      <c r="EUA43" s="292"/>
      <c r="EUB43" s="292"/>
      <c r="EUC43" s="292"/>
      <c r="EUD43" s="292"/>
      <c r="EUE43" s="292"/>
      <c r="EUF43" s="292"/>
      <c r="EUG43" s="292"/>
      <c r="EUH43" s="292"/>
      <c r="EUI43" s="292"/>
      <c r="EUJ43" s="292"/>
      <c r="EUK43" s="292"/>
      <c r="EUL43" s="292"/>
      <c r="EUM43" s="292"/>
      <c r="EUN43" s="292"/>
      <c r="EUO43" s="292"/>
      <c r="EUP43" s="292"/>
      <c r="EUQ43" s="292"/>
      <c r="EUR43" s="292"/>
      <c r="EUS43" s="292"/>
      <c r="EUT43" s="292"/>
      <c r="EUU43" s="292"/>
      <c r="EUV43" s="292"/>
      <c r="EUW43" s="292"/>
      <c r="EUX43" s="292"/>
      <c r="EUY43" s="292"/>
      <c r="EUZ43" s="292"/>
      <c r="EVA43" s="292"/>
      <c r="EVB43" s="292"/>
      <c r="EVC43" s="292"/>
      <c r="EVD43" s="292"/>
      <c r="EVE43" s="292"/>
      <c r="EVF43" s="292"/>
      <c r="EVG43" s="292"/>
      <c r="EVH43" s="292"/>
      <c r="EVI43" s="292"/>
      <c r="EVJ43" s="292"/>
      <c r="EVK43" s="292"/>
      <c r="EVL43" s="292"/>
      <c r="EVM43" s="292"/>
      <c r="EVN43" s="292"/>
      <c r="EVO43" s="292"/>
      <c r="EVP43" s="292"/>
      <c r="EVQ43" s="292"/>
      <c r="EVR43" s="292"/>
      <c r="EVS43" s="292"/>
      <c r="EVT43" s="292"/>
      <c r="EVU43" s="292"/>
      <c r="EVV43" s="292"/>
      <c r="EVW43" s="292"/>
      <c r="EVX43" s="292"/>
      <c r="EVY43" s="292"/>
      <c r="EVZ43" s="292"/>
      <c r="EWA43" s="292"/>
      <c r="EWB43" s="292"/>
      <c r="EWC43" s="292"/>
      <c r="EWD43" s="292"/>
      <c r="EWE43" s="292"/>
      <c r="EWF43" s="292"/>
      <c r="EWG43" s="292"/>
      <c r="EWH43" s="292"/>
      <c r="EWI43" s="292"/>
      <c r="EWJ43" s="292"/>
      <c r="EWK43" s="292"/>
      <c r="EWL43" s="292"/>
      <c r="EWM43" s="292"/>
      <c r="EWN43" s="292"/>
      <c r="EWO43" s="292"/>
      <c r="EWP43" s="292"/>
      <c r="EWQ43" s="292"/>
      <c r="EWR43" s="292"/>
      <c r="EWS43" s="292"/>
      <c r="EWT43" s="292"/>
      <c r="EWU43" s="292"/>
      <c r="EWV43" s="292"/>
      <c r="EWW43" s="292"/>
      <c r="EWX43" s="292"/>
      <c r="EWY43" s="292"/>
      <c r="EWZ43" s="292"/>
      <c r="EXA43" s="292"/>
      <c r="EXB43" s="292"/>
      <c r="EXC43" s="292"/>
      <c r="EXD43" s="292"/>
      <c r="EXE43" s="292"/>
      <c r="EXF43" s="292"/>
      <c r="EXG43" s="292"/>
      <c r="EXH43" s="292"/>
      <c r="EXI43" s="292"/>
      <c r="EXJ43" s="292"/>
      <c r="EXK43" s="292"/>
      <c r="EXL43" s="292"/>
      <c r="EXM43" s="292"/>
      <c r="EXN43" s="292"/>
      <c r="EXO43" s="292"/>
      <c r="EXP43" s="292"/>
      <c r="EXQ43" s="292"/>
      <c r="EXR43" s="292"/>
      <c r="EXS43" s="292"/>
      <c r="EXT43" s="292"/>
      <c r="EXU43" s="292"/>
      <c r="EXV43" s="292"/>
      <c r="EXW43" s="292"/>
      <c r="EXX43" s="292"/>
      <c r="EXY43" s="292"/>
      <c r="EXZ43" s="292"/>
      <c r="EYA43" s="292"/>
      <c r="EYB43" s="292"/>
      <c r="EYC43" s="292"/>
      <c r="EYD43" s="292"/>
      <c r="EYE43" s="292"/>
      <c r="EYF43" s="292"/>
      <c r="EYG43" s="292"/>
      <c r="EYH43" s="292"/>
      <c r="EYI43" s="292"/>
      <c r="EYJ43" s="292"/>
      <c r="EYK43" s="292"/>
      <c r="EYL43" s="292"/>
      <c r="EYM43" s="292"/>
      <c r="EYN43" s="292"/>
      <c r="EYO43" s="292"/>
      <c r="EYP43" s="292"/>
      <c r="EYQ43" s="292"/>
      <c r="EYR43" s="292"/>
      <c r="EYS43" s="292"/>
      <c r="EYT43" s="292"/>
      <c r="EYU43" s="292"/>
      <c r="EYV43" s="292"/>
      <c r="EYW43" s="292"/>
      <c r="EYX43" s="292"/>
      <c r="EYY43" s="292"/>
      <c r="EYZ43" s="292"/>
      <c r="EZA43" s="292"/>
      <c r="EZB43" s="292"/>
      <c r="EZC43" s="292"/>
      <c r="EZD43" s="292"/>
      <c r="EZE43" s="292"/>
      <c r="EZF43" s="292"/>
      <c r="EZG43" s="292"/>
      <c r="EZH43" s="292"/>
      <c r="EZI43" s="292"/>
      <c r="EZJ43" s="292"/>
      <c r="EZK43" s="292"/>
      <c r="EZL43" s="292"/>
      <c r="EZM43" s="292"/>
      <c r="EZN43" s="292"/>
      <c r="EZO43" s="292"/>
      <c r="EZP43" s="292"/>
      <c r="EZQ43" s="292"/>
      <c r="EZR43" s="292"/>
      <c r="EZS43" s="292"/>
      <c r="EZT43" s="292"/>
      <c r="EZU43" s="292"/>
      <c r="EZV43" s="292"/>
      <c r="EZW43" s="292"/>
      <c r="EZX43" s="292"/>
      <c r="EZY43" s="292"/>
      <c r="EZZ43" s="292"/>
      <c r="FAA43" s="292"/>
      <c r="FAB43" s="292"/>
      <c r="FAC43" s="292"/>
      <c r="FAD43" s="292"/>
      <c r="FAE43" s="292"/>
      <c r="FAF43" s="292"/>
      <c r="FAG43" s="292"/>
      <c r="FAH43" s="292"/>
      <c r="FAI43" s="292"/>
      <c r="FAJ43" s="292"/>
      <c r="FAK43" s="292"/>
      <c r="FAL43" s="292"/>
      <c r="FAM43" s="292"/>
      <c r="FAN43" s="292"/>
      <c r="FAO43" s="292"/>
      <c r="FAP43" s="292"/>
      <c r="FAQ43" s="292"/>
      <c r="FAR43" s="292"/>
      <c r="FAS43" s="292"/>
      <c r="FAT43" s="292"/>
      <c r="FAU43" s="292"/>
      <c r="FAV43" s="292"/>
      <c r="FAW43" s="292"/>
      <c r="FAX43" s="292"/>
      <c r="FAY43" s="292"/>
      <c r="FAZ43" s="292"/>
      <c r="FBA43" s="292"/>
      <c r="FBB43" s="292"/>
      <c r="FBC43" s="292"/>
      <c r="FBD43" s="292"/>
      <c r="FBE43" s="292"/>
      <c r="FBF43" s="292"/>
      <c r="FBG43" s="292"/>
      <c r="FBH43" s="292"/>
      <c r="FBI43" s="292"/>
      <c r="FBJ43" s="292"/>
      <c r="FBK43" s="292"/>
      <c r="FBL43" s="292"/>
      <c r="FBM43" s="292"/>
      <c r="FBN43" s="292"/>
      <c r="FBO43" s="292"/>
      <c r="FBP43" s="292"/>
      <c r="FBQ43" s="292"/>
      <c r="FBR43" s="292"/>
      <c r="FBS43" s="292"/>
      <c r="FBT43" s="292"/>
      <c r="FBU43" s="292"/>
      <c r="FBV43" s="292"/>
      <c r="FBW43" s="292"/>
      <c r="FBX43" s="292"/>
      <c r="FBY43" s="292"/>
      <c r="FBZ43" s="292"/>
      <c r="FCA43" s="292"/>
      <c r="FCB43" s="292"/>
      <c r="FCC43" s="292"/>
      <c r="FCD43" s="292"/>
      <c r="FCE43" s="292"/>
      <c r="FCF43" s="292"/>
      <c r="FCG43" s="292"/>
      <c r="FCH43" s="292"/>
      <c r="FCI43" s="292"/>
      <c r="FCJ43" s="292"/>
      <c r="FCK43" s="292"/>
      <c r="FCL43" s="292"/>
      <c r="FCM43" s="292"/>
      <c r="FCN43" s="292"/>
      <c r="FCO43" s="292"/>
      <c r="FCP43" s="292"/>
      <c r="FCQ43" s="292"/>
      <c r="FCR43" s="292"/>
      <c r="FCS43" s="292"/>
      <c r="FCT43" s="292"/>
      <c r="FCU43" s="292"/>
      <c r="FCV43" s="292"/>
      <c r="FCW43" s="292"/>
      <c r="FCX43" s="292"/>
      <c r="FCY43" s="292"/>
      <c r="FCZ43" s="292"/>
      <c r="FDA43" s="292"/>
      <c r="FDB43" s="292"/>
      <c r="FDC43" s="292"/>
      <c r="FDD43" s="292"/>
      <c r="FDE43" s="292"/>
      <c r="FDF43" s="292"/>
      <c r="FDG43" s="292"/>
      <c r="FDH43" s="292"/>
      <c r="FDI43" s="292"/>
      <c r="FDJ43" s="292"/>
      <c r="FDK43" s="292"/>
      <c r="FDL43" s="292"/>
      <c r="FDM43" s="292"/>
      <c r="FDN43" s="292"/>
      <c r="FDO43" s="292"/>
      <c r="FDP43" s="292"/>
      <c r="FDQ43" s="292"/>
      <c r="FDR43" s="292"/>
      <c r="FDS43" s="292"/>
      <c r="FDT43" s="292"/>
      <c r="FDU43" s="292"/>
      <c r="FDV43" s="292"/>
      <c r="FDW43" s="292"/>
      <c r="FDX43" s="292"/>
      <c r="FDY43" s="292"/>
      <c r="FDZ43" s="292"/>
      <c r="FEA43" s="292"/>
      <c r="FEB43" s="292"/>
      <c r="FEC43" s="292"/>
      <c r="FED43" s="292"/>
      <c r="FEE43" s="292"/>
      <c r="FEF43" s="292"/>
      <c r="FEG43" s="292"/>
      <c r="FEH43" s="292"/>
      <c r="FEI43" s="292"/>
      <c r="FEJ43" s="292"/>
      <c r="FEK43" s="292"/>
      <c r="FEL43" s="292"/>
      <c r="FEM43" s="292"/>
      <c r="FEN43" s="292"/>
      <c r="FEO43" s="292"/>
      <c r="FEP43" s="292"/>
      <c r="FEQ43" s="292"/>
      <c r="FER43" s="292"/>
      <c r="FES43" s="292"/>
      <c r="FET43" s="292"/>
      <c r="FEU43" s="292"/>
      <c r="FEV43" s="292"/>
      <c r="FEW43" s="292"/>
      <c r="FEX43" s="292"/>
      <c r="FEY43" s="292"/>
      <c r="FEZ43" s="292"/>
      <c r="FFA43" s="292"/>
      <c r="FFB43" s="292"/>
      <c r="FFC43" s="292"/>
      <c r="FFD43" s="292"/>
      <c r="FFE43" s="292"/>
      <c r="FFF43" s="292"/>
      <c r="FFG43" s="292"/>
      <c r="FFH43" s="292"/>
      <c r="FFI43" s="292"/>
      <c r="FFJ43" s="292"/>
      <c r="FFK43" s="292"/>
      <c r="FFL43" s="292"/>
      <c r="FFM43" s="292"/>
      <c r="FFN43" s="292"/>
      <c r="FFO43" s="292"/>
      <c r="FFP43" s="292"/>
      <c r="FFQ43" s="292"/>
      <c r="FFR43" s="292"/>
      <c r="FFS43" s="292"/>
      <c r="FFT43" s="292"/>
      <c r="FFU43" s="292"/>
      <c r="FFV43" s="292"/>
      <c r="FFW43" s="292"/>
      <c r="FFX43" s="292"/>
      <c r="FFY43" s="292"/>
      <c r="FFZ43" s="292"/>
      <c r="FGA43" s="292"/>
      <c r="FGB43" s="292"/>
      <c r="FGC43" s="292"/>
      <c r="FGD43" s="292"/>
      <c r="FGE43" s="292"/>
      <c r="FGF43" s="292"/>
      <c r="FGG43" s="292"/>
      <c r="FGH43" s="292"/>
      <c r="FGI43" s="292"/>
      <c r="FGJ43" s="292"/>
      <c r="FGK43" s="292"/>
      <c r="FGL43" s="292"/>
      <c r="FGM43" s="292"/>
      <c r="FGN43" s="292"/>
      <c r="FGO43" s="292"/>
      <c r="FGP43" s="292"/>
      <c r="FGQ43" s="292"/>
      <c r="FGR43" s="292"/>
      <c r="FGS43" s="292"/>
      <c r="FGT43" s="292"/>
      <c r="FGU43" s="292"/>
      <c r="FGV43" s="292"/>
      <c r="FGW43" s="292"/>
      <c r="FGX43" s="292"/>
      <c r="FGY43" s="292"/>
      <c r="FGZ43" s="292"/>
      <c r="FHA43" s="292"/>
      <c r="FHB43" s="292"/>
      <c r="FHC43" s="292"/>
      <c r="FHD43" s="292"/>
      <c r="FHE43" s="292"/>
      <c r="FHF43" s="292"/>
      <c r="FHG43" s="292"/>
      <c r="FHH43" s="292"/>
      <c r="FHI43" s="292"/>
      <c r="FHJ43" s="292"/>
      <c r="FHK43" s="292"/>
      <c r="FHL43" s="292"/>
      <c r="FHM43" s="292"/>
      <c r="FHN43" s="292"/>
      <c r="FHO43" s="292"/>
      <c r="FHP43" s="292"/>
      <c r="FHQ43" s="292"/>
      <c r="FHR43" s="292"/>
      <c r="FHS43" s="292"/>
      <c r="FHT43" s="292"/>
      <c r="FHU43" s="292"/>
      <c r="FHV43" s="292"/>
      <c r="FHW43" s="292"/>
      <c r="FHX43" s="292"/>
      <c r="FHY43" s="292"/>
      <c r="FHZ43" s="292"/>
      <c r="FIA43" s="292"/>
      <c r="FIB43" s="292"/>
      <c r="FIC43" s="292"/>
      <c r="FID43" s="292"/>
      <c r="FIE43" s="292"/>
      <c r="FIF43" s="292"/>
      <c r="FIG43" s="292"/>
      <c r="FIH43" s="292"/>
      <c r="FII43" s="292"/>
      <c r="FIJ43" s="292"/>
      <c r="FIK43" s="292"/>
      <c r="FIL43" s="292"/>
      <c r="FIM43" s="292"/>
      <c r="FIN43" s="292"/>
      <c r="FIO43" s="292"/>
      <c r="FIP43" s="292"/>
      <c r="FIQ43" s="292"/>
      <c r="FIR43" s="292"/>
      <c r="FIS43" s="292"/>
      <c r="FIT43" s="292"/>
      <c r="FIU43" s="292"/>
      <c r="FIV43" s="292"/>
      <c r="FIW43" s="292"/>
      <c r="FIX43" s="292"/>
      <c r="FIY43" s="292"/>
      <c r="FIZ43" s="292"/>
      <c r="FJA43" s="292"/>
      <c r="FJB43" s="292"/>
      <c r="FJC43" s="292"/>
      <c r="FJD43" s="292"/>
      <c r="FJE43" s="292"/>
      <c r="FJF43" s="292"/>
      <c r="FJG43" s="292"/>
      <c r="FJH43" s="292"/>
      <c r="FJI43" s="292"/>
      <c r="FJJ43" s="292"/>
      <c r="FJK43" s="292"/>
      <c r="FJL43" s="292"/>
      <c r="FJM43" s="292"/>
      <c r="FJN43" s="292"/>
      <c r="FJO43" s="292"/>
      <c r="FJP43" s="292"/>
      <c r="FJQ43" s="292"/>
      <c r="FJR43" s="292"/>
      <c r="FJS43" s="292"/>
      <c r="FJT43" s="292"/>
      <c r="FJU43" s="292"/>
      <c r="FJV43" s="292"/>
      <c r="FJW43" s="292"/>
      <c r="FJX43" s="292"/>
      <c r="FJY43" s="292"/>
      <c r="FJZ43" s="292"/>
      <c r="FKA43" s="292"/>
      <c r="FKB43" s="292"/>
      <c r="FKC43" s="292"/>
      <c r="FKD43" s="292"/>
      <c r="FKE43" s="292"/>
      <c r="FKF43" s="292"/>
      <c r="FKG43" s="292"/>
      <c r="FKH43" s="292"/>
      <c r="FKI43" s="292"/>
      <c r="FKJ43" s="292"/>
      <c r="FKK43" s="292"/>
      <c r="FKL43" s="292"/>
      <c r="FKM43" s="292"/>
      <c r="FKN43" s="292"/>
      <c r="FKO43" s="292"/>
      <c r="FKP43" s="292"/>
      <c r="FKQ43" s="292"/>
      <c r="FKR43" s="292"/>
      <c r="FKS43" s="292"/>
      <c r="FKT43" s="292"/>
      <c r="FKU43" s="292"/>
      <c r="FKV43" s="292"/>
      <c r="FKW43" s="292"/>
      <c r="FKX43" s="292"/>
      <c r="FKY43" s="292"/>
      <c r="FKZ43" s="292"/>
      <c r="FLA43" s="292"/>
      <c r="FLB43" s="292"/>
      <c r="FLC43" s="292"/>
      <c r="FLD43" s="292"/>
      <c r="FLE43" s="292"/>
      <c r="FLF43" s="292"/>
      <c r="FLG43" s="292"/>
      <c r="FLH43" s="292"/>
      <c r="FLI43" s="292"/>
      <c r="FLJ43" s="292"/>
      <c r="FLK43" s="292"/>
      <c r="FLL43" s="292"/>
      <c r="FLM43" s="292"/>
      <c r="FLN43" s="292"/>
      <c r="FLO43" s="292"/>
      <c r="FLP43" s="292"/>
      <c r="FLQ43" s="292"/>
      <c r="FLR43" s="292"/>
      <c r="FLS43" s="292"/>
      <c r="FLT43" s="292"/>
      <c r="FLU43" s="292"/>
      <c r="FLV43" s="292"/>
      <c r="FLW43" s="292"/>
      <c r="FLX43" s="292"/>
      <c r="FLY43" s="292"/>
      <c r="FLZ43" s="292"/>
      <c r="FMA43" s="292"/>
      <c r="FMB43" s="292"/>
      <c r="FMC43" s="292"/>
      <c r="FMD43" s="292"/>
      <c r="FME43" s="292"/>
      <c r="FMF43" s="292"/>
      <c r="FMG43" s="292"/>
      <c r="FMH43" s="292"/>
      <c r="FMI43" s="292"/>
      <c r="FMJ43" s="292"/>
      <c r="FMK43" s="292"/>
      <c r="FML43" s="292"/>
      <c r="FMM43" s="292"/>
      <c r="FMN43" s="292"/>
      <c r="FMO43" s="292"/>
      <c r="FMP43" s="292"/>
      <c r="FMQ43" s="292"/>
      <c r="FMR43" s="292"/>
      <c r="FMS43" s="292"/>
      <c r="FMT43" s="292"/>
      <c r="FMU43" s="292"/>
      <c r="FMV43" s="292"/>
      <c r="FMW43" s="292"/>
      <c r="FMX43" s="292"/>
      <c r="FMY43" s="292"/>
      <c r="FMZ43" s="292"/>
      <c r="FNA43" s="292"/>
      <c r="FNB43" s="292"/>
      <c r="FNC43" s="292"/>
      <c r="FND43" s="292"/>
      <c r="FNE43" s="292"/>
      <c r="FNF43" s="292"/>
      <c r="FNG43" s="292"/>
      <c r="FNH43" s="292"/>
      <c r="FNI43" s="292"/>
      <c r="FNJ43" s="292"/>
      <c r="FNK43" s="292"/>
      <c r="FNL43" s="292"/>
      <c r="FNM43" s="292"/>
      <c r="FNN43" s="292"/>
      <c r="FNO43" s="292"/>
      <c r="FNP43" s="292"/>
      <c r="FNQ43" s="292"/>
      <c r="FNR43" s="292"/>
      <c r="FNS43" s="292"/>
      <c r="FNT43" s="292"/>
      <c r="FNU43" s="292"/>
      <c r="FNV43" s="292"/>
      <c r="FNW43" s="292"/>
      <c r="FNX43" s="292"/>
      <c r="FNY43" s="292"/>
      <c r="FNZ43" s="292"/>
      <c r="FOA43" s="292"/>
      <c r="FOB43" s="292"/>
      <c r="FOC43" s="292"/>
      <c r="FOD43" s="292"/>
      <c r="FOE43" s="292"/>
      <c r="FOF43" s="292"/>
      <c r="FOG43" s="292"/>
      <c r="FOH43" s="292"/>
      <c r="FOI43" s="292"/>
      <c r="FOJ43" s="292"/>
      <c r="FOK43" s="292"/>
      <c r="FOL43" s="292"/>
      <c r="FOM43" s="292"/>
      <c r="FON43" s="292"/>
      <c r="FOO43" s="292"/>
      <c r="FOP43" s="292"/>
      <c r="FOQ43" s="292"/>
      <c r="FOR43" s="292"/>
      <c r="FOS43" s="292"/>
      <c r="FOT43" s="292"/>
      <c r="FOU43" s="292"/>
      <c r="FOV43" s="292"/>
      <c r="FOW43" s="292"/>
      <c r="FOX43" s="292"/>
      <c r="FOY43" s="292"/>
      <c r="FOZ43" s="292"/>
      <c r="FPA43" s="292"/>
      <c r="FPB43" s="292"/>
      <c r="FPC43" s="292"/>
      <c r="FPD43" s="292"/>
      <c r="FPE43" s="292"/>
      <c r="FPF43" s="292"/>
      <c r="FPG43" s="292"/>
      <c r="FPH43" s="292"/>
      <c r="FPI43" s="292"/>
      <c r="FPJ43" s="292"/>
      <c r="FPK43" s="292"/>
      <c r="FPL43" s="292"/>
      <c r="FPM43" s="292"/>
      <c r="FPN43" s="292"/>
      <c r="FPO43" s="292"/>
      <c r="FPP43" s="292"/>
      <c r="FPQ43" s="292"/>
      <c r="FPR43" s="292"/>
      <c r="FPS43" s="292"/>
      <c r="FPT43" s="292"/>
      <c r="FPU43" s="292"/>
      <c r="FPV43" s="292"/>
      <c r="FPW43" s="292"/>
      <c r="FPX43" s="292"/>
      <c r="FPY43" s="292"/>
      <c r="FPZ43" s="292"/>
      <c r="FQA43" s="292"/>
      <c r="FQB43" s="292"/>
      <c r="FQC43" s="292"/>
      <c r="FQD43" s="292"/>
      <c r="FQE43" s="292"/>
      <c r="FQF43" s="292"/>
      <c r="FQG43" s="292"/>
      <c r="FQH43" s="292"/>
      <c r="FQI43" s="292"/>
      <c r="FQJ43" s="292"/>
      <c r="FQK43" s="292"/>
      <c r="FQL43" s="292"/>
      <c r="FQM43" s="292"/>
      <c r="FQN43" s="292"/>
      <c r="FQO43" s="292"/>
      <c r="FQP43" s="292"/>
      <c r="FQQ43" s="292"/>
      <c r="FQR43" s="292"/>
      <c r="FQS43" s="292"/>
      <c r="FQT43" s="292"/>
      <c r="FQU43" s="292"/>
      <c r="FQV43" s="292"/>
      <c r="FQW43" s="292"/>
      <c r="FQX43" s="292"/>
      <c r="FQY43" s="292"/>
      <c r="FQZ43" s="292"/>
      <c r="FRA43" s="292"/>
      <c r="FRB43" s="292"/>
      <c r="FRC43" s="292"/>
      <c r="FRD43" s="292"/>
      <c r="FRE43" s="292"/>
      <c r="FRF43" s="292"/>
      <c r="FRG43" s="292"/>
      <c r="FRH43" s="292"/>
      <c r="FRI43" s="292"/>
      <c r="FRJ43" s="292"/>
      <c r="FRK43" s="292"/>
      <c r="FRL43" s="292"/>
      <c r="FRM43" s="292"/>
      <c r="FRN43" s="292"/>
      <c r="FRO43" s="292"/>
      <c r="FRP43" s="292"/>
      <c r="FRQ43" s="292"/>
      <c r="FRR43" s="292"/>
      <c r="FRS43" s="292"/>
      <c r="FRT43" s="292"/>
      <c r="FRU43" s="292"/>
      <c r="FRV43" s="292"/>
      <c r="FRW43" s="292"/>
      <c r="FRX43" s="292"/>
      <c r="FRY43" s="292"/>
      <c r="FRZ43" s="292"/>
      <c r="FSA43" s="292"/>
      <c r="FSB43" s="292"/>
      <c r="FSC43" s="292"/>
      <c r="FSD43" s="292"/>
      <c r="FSE43" s="292"/>
      <c r="FSF43" s="292"/>
      <c r="FSG43" s="292"/>
      <c r="FSH43" s="292"/>
      <c r="FSI43" s="292"/>
      <c r="FSJ43" s="292"/>
      <c r="FSK43" s="292"/>
      <c r="FSL43" s="292"/>
      <c r="FSM43" s="292"/>
      <c r="FSN43" s="292"/>
      <c r="FSO43" s="292"/>
      <c r="FSP43" s="292"/>
      <c r="FSQ43" s="292"/>
      <c r="FSR43" s="292"/>
      <c r="FSS43" s="292"/>
      <c r="FST43" s="292"/>
      <c r="FSU43" s="292"/>
      <c r="FSV43" s="292"/>
      <c r="FSW43" s="292"/>
      <c r="FSX43" s="292"/>
      <c r="FSY43" s="292"/>
      <c r="FSZ43" s="292"/>
      <c r="FTA43" s="292"/>
      <c r="FTB43" s="292"/>
      <c r="FTC43" s="292"/>
      <c r="FTD43" s="292"/>
      <c r="FTE43" s="292"/>
      <c r="FTF43" s="292"/>
      <c r="FTG43" s="292"/>
      <c r="FTH43" s="292"/>
      <c r="FTI43" s="292"/>
      <c r="FTJ43" s="292"/>
      <c r="FTK43" s="292"/>
      <c r="FTL43" s="292"/>
      <c r="FTM43" s="292"/>
      <c r="FTN43" s="292"/>
      <c r="FTO43" s="292"/>
      <c r="FTP43" s="292"/>
      <c r="FTQ43" s="292"/>
      <c r="FTR43" s="292"/>
      <c r="FTS43" s="292"/>
      <c r="FTT43" s="292"/>
      <c r="FTU43" s="292"/>
      <c r="FTV43" s="292"/>
      <c r="FTW43" s="292"/>
      <c r="FTX43" s="292"/>
      <c r="FTY43" s="292"/>
      <c r="FTZ43" s="292"/>
      <c r="FUA43" s="292"/>
      <c r="FUB43" s="292"/>
      <c r="FUC43" s="292"/>
      <c r="FUD43" s="292"/>
      <c r="FUE43" s="292"/>
      <c r="FUF43" s="292"/>
      <c r="FUG43" s="292"/>
      <c r="FUH43" s="292"/>
      <c r="FUI43" s="292"/>
      <c r="FUJ43" s="292"/>
      <c r="FUK43" s="292"/>
      <c r="FUL43" s="292"/>
      <c r="FUM43" s="292"/>
      <c r="FUN43" s="292"/>
      <c r="FUO43" s="292"/>
      <c r="FUP43" s="292"/>
      <c r="FUQ43" s="292"/>
      <c r="FUR43" s="292"/>
      <c r="FUS43" s="292"/>
      <c r="FUT43" s="292"/>
      <c r="FUU43" s="292"/>
      <c r="FUV43" s="292"/>
      <c r="FUW43" s="292"/>
      <c r="FUX43" s="292"/>
      <c r="FUY43" s="292"/>
      <c r="FUZ43" s="292"/>
      <c r="FVA43" s="292"/>
      <c r="FVB43" s="292"/>
      <c r="FVC43" s="292"/>
      <c r="FVD43" s="292"/>
      <c r="FVE43" s="292"/>
      <c r="FVF43" s="292"/>
      <c r="FVG43" s="292"/>
      <c r="FVH43" s="292"/>
      <c r="FVI43" s="292"/>
      <c r="FVJ43" s="292"/>
      <c r="FVK43" s="292"/>
      <c r="FVL43" s="292"/>
      <c r="FVM43" s="292"/>
      <c r="FVN43" s="292"/>
      <c r="FVO43" s="292"/>
      <c r="FVP43" s="292"/>
      <c r="FVQ43" s="292"/>
      <c r="FVR43" s="292"/>
      <c r="FVS43" s="292"/>
      <c r="FVT43" s="292"/>
      <c r="FVU43" s="292"/>
      <c r="FVV43" s="292"/>
      <c r="FVW43" s="292"/>
      <c r="FVX43" s="292"/>
      <c r="FVY43" s="292"/>
      <c r="FVZ43" s="292"/>
      <c r="FWA43" s="292"/>
      <c r="FWB43" s="292"/>
      <c r="FWC43" s="292"/>
      <c r="FWD43" s="292"/>
      <c r="FWE43" s="292"/>
      <c r="FWF43" s="292"/>
      <c r="FWG43" s="292"/>
      <c r="FWH43" s="292"/>
      <c r="FWI43" s="292"/>
      <c r="FWJ43" s="292"/>
      <c r="FWK43" s="292"/>
      <c r="FWL43" s="292"/>
      <c r="FWM43" s="292"/>
      <c r="FWN43" s="292"/>
      <c r="FWO43" s="292"/>
      <c r="FWP43" s="292"/>
      <c r="FWQ43" s="292"/>
      <c r="FWR43" s="292"/>
      <c r="FWS43" s="292"/>
      <c r="FWT43" s="292"/>
      <c r="FWU43" s="292"/>
      <c r="FWV43" s="292"/>
      <c r="FWW43" s="292"/>
      <c r="FWX43" s="292"/>
      <c r="FWY43" s="292"/>
      <c r="FWZ43" s="292"/>
      <c r="FXA43" s="292"/>
      <c r="FXB43" s="292"/>
      <c r="FXC43" s="292"/>
      <c r="FXD43" s="292"/>
      <c r="FXE43" s="292"/>
      <c r="FXF43" s="292"/>
      <c r="FXG43" s="292"/>
      <c r="FXH43" s="292"/>
      <c r="FXI43" s="292"/>
      <c r="FXJ43" s="292"/>
      <c r="FXK43" s="292"/>
      <c r="FXL43" s="292"/>
      <c r="FXM43" s="292"/>
      <c r="FXN43" s="292"/>
      <c r="FXO43" s="292"/>
      <c r="FXP43" s="292"/>
      <c r="FXQ43" s="292"/>
      <c r="FXR43" s="292"/>
      <c r="FXS43" s="292"/>
      <c r="FXT43" s="292"/>
      <c r="FXU43" s="292"/>
      <c r="FXV43" s="292"/>
      <c r="FXW43" s="292"/>
      <c r="FXX43" s="292"/>
      <c r="FXY43" s="292"/>
      <c r="FXZ43" s="292"/>
      <c r="FYA43" s="292"/>
      <c r="FYB43" s="292"/>
      <c r="FYC43" s="292"/>
      <c r="FYD43" s="292"/>
      <c r="FYE43" s="292"/>
      <c r="FYF43" s="292"/>
      <c r="FYG43" s="292"/>
      <c r="FYH43" s="292"/>
      <c r="FYI43" s="292"/>
      <c r="FYJ43" s="292"/>
      <c r="FYK43" s="292"/>
      <c r="FYL43" s="292"/>
      <c r="FYM43" s="292"/>
      <c r="FYN43" s="292"/>
      <c r="FYO43" s="292"/>
      <c r="FYP43" s="292"/>
      <c r="FYQ43" s="292"/>
      <c r="FYR43" s="292"/>
      <c r="FYS43" s="292"/>
      <c r="FYT43" s="292"/>
      <c r="FYU43" s="292"/>
      <c r="FYV43" s="292"/>
      <c r="FYW43" s="292"/>
      <c r="FYX43" s="292"/>
      <c r="FYY43" s="292"/>
      <c r="FYZ43" s="292"/>
      <c r="FZA43" s="292"/>
      <c r="FZB43" s="292"/>
      <c r="FZC43" s="292"/>
      <c r="FZD43" s="292"/>
      <c r="FZE43" s="292"/>
      <c r="FZF43" s="292"/>
      <c r="FZG43" s="292"/>
      <c r="FZH43" s="292"/>
      <c r="FZI43" s="292"/>
      <c r="FZJ43" s="292"/>
      <c r="FZK43" s="292"/>
      <c r="FZL43" s="292"/>
      <c r="FZM43" s="292"/>
      <c r="FZN43" s="292"/>
      <c r="FZO43" s="292"/>
      <c r="FZP43" s="292"/>
      <c r="FZQ43" s="292"/>
      <c r="FZR43" s="292"/>
      <c r="FZS43" s="292"/>
      <c r="FZT43" s="292"/>
      <c r="FZU43" s="292"/>
      <c r="FZV43" s="292"/>
      <c r="FZW43" s="292"/>
      <c r="FZX43" s="292"/>
      <c r="FZY43" s="292"/>
      <c r="FZZ43" s="292"/>
      <c r="GAA43" s="292"/>
      <c r="GAB43" s="292"/>
      <c r="GAC43" s="292"/>
      <c r="GAD43" s="292"/>
      <c r="GAE43" s="292"/>
      <c r="GAF43" s="292"/>
      <c r="GAG43" s="292"/>
      <c r="GAH43" s="292"/>
      <c r="GAI43" s="292"/>
      <c r="GAJ43" s="292"/>
      <c r="GAK43" s="292"/>
      <c r="GAL43" s="292"/>
      <c r="GAM43" s="292"/>
      <c r="GAN43" s="292"/>
      <c r="GAO43" s="292"/>
      <c r="GAP43" s="292"/>
      <c r="GAQ43" s="292"/>
      <c r="GAR43" s="292"/>
      <c r="GAS43" s="292"/>
      <c r="GAT43" s="292"/>
      <c r="GAU43" s="292"/>
      <c r="GAV43" s="292"/>
      <c r="GAW43" s="292"/>
      <c r="GAX43" s="292"/>
      <c r="GAY43" s="292"/>
      <c r="GAZ43" s="292"/>
      <c r="GBA43" s="292"/>
      <c r="GBB43" s="292"/>
      <c r="GBC43" s="292"/>
      <c r="GBD43" s="292"/>
      <c r="GBE43" s="292"/>
      <c r="GBF43" s="292"/>
      <c r="GBG43" s="292"/>
      <c r="GBH43" s="292"/>
      <c r="GBI43" s="292"/>
      <c r="GBJ43" s="292"/>
      <c r="GBK43" s="292"/>
      <c r="GBL43" s="292"/>
      <c r="GBM43" s="292"/>
      <c r="GBN43" s="292"/>
      <c r="GBO43" s="292"/>
      <c r="GBP43" s="292"/>
      <c r="GBQ43" s="292"/>
      <c r="GBR43" s="292"/>
      <c r="GBS43" s="292"/>
      <c r="GBT43" s="292"/>
      <c r="GBU43" s="292"/>
      <c r="GBV43" s="292"/>
      <c r="GBW43" s="292"/>
      <c r="GBX43" s="292"/>
      <c r="GBY43" s="292"/>
      <c r="GBZ43" s="292"/>
      <c r="GCA43" s="292"/>
      <c r="GCB43" s="292"/>
      <c r="GCC43" s="292"/>
      <c r="GCD43" s="292"/>
      <c r="GCE43" s="292"/>
      <c r="GCF43" s="292"/>
      <c r="GCG43" s="292"/>
      <c r="GCH43" s="292"/>
      <c r="GCI43" s="292"/>
      <c r="GCJ43" s="292"/>
      <c r="GCK43" s="292"/>
      <c r="GCL43" s="292"/>
      <c r="GCM43" s="292"/>
      <c r="GCN43" s="292"/>
      <c r="GCO43" s="292"/>
      <c r="GCP43" s="292"/>
      <c r="GCQ43" s="292"/>
      <c r="GCR43" s="292"/>
      <c r="GCS43" s="292"/>
      <c r="GCT43" s="292"/>
      <c r="GCU43" s="292"/>
      <c r="GCV43" s="292"/>
      <c r="GCW43" s="292"/>
      <c r="GCX43" s="292"/>
      <c r="GCY43" s="292"/>
      <c r="GCZ43" s="292"/>
      <c r="GDA43" s="292"/>
      <c r="GDB43" s="292"/>
      <c r="GDC43" s="292"/>
      <c r="GDD43" s="292"/>
      <c r="GDE43" s="292"/>
      <c r="GDF43" s="292"/>
      <c r="GDG43" s="292"/>
      <c r="GDH43" s="292"/>
      <c r="GDI43" s="292"/>
      <c r="GDJ43" s="292"/>
      <c r="GDK43" s="292"/>
      <c r="GDL43" s="292"/>
      <c r="GDM43" s="292"/>
      <c r="GDN43" s="292"/>
      <c r="GDO43" s="292"/>
      <c r="GDP43" s="292"/>
      <c r="GDQ43" s="292"/>
      <c r="GDR43" s="292"/>
      <c r="GDS43" s="292"/>
      <c r="GDT43" s="292"/>
      <c r="GDU43" s="292"/>
      <c r="GDV43" s="292"/>
      <c r="GDW43" s="292"/>
      <c r="GDX43" s="292"/>
      <c r="GDY43" s="292"/>
      <c r="GDZ43" s="292"/>
      <c r="GEA43" s="292"/>
      <c r="GEB43" s="292"/>
      <c r="GEC43" s="292"/>
      <c r="GED43" s="292"/>
      <c r="GEE43" s="292"/>
      <c r="GEF43" s="292"/>
      <c r="GEG43" s="292"/>
      <c r="GEH43" s="292"/>
      <c r="GEI43" s="292"/>
      <c r="GEJ43" s="292"/>
      <c r="GEK43" s="292"/>
      <c r="GEL43" s="292"/>
      <c r="GEM43" s="292"/>
      <c r="GEN43" s="292"/>
      <c r="GEO43" s="292"/>
      <c r="GEP43" s="292"/>
      <c r="GEQ43" s="292"/>
      <c r="GER43" s="292"/>
      <c r="GES43" s="292"/>
      <c r="GET43" s="292"/>
      <c r="GEU43" s="292"/>
      <c r="GEV43" s="292"/>
      <c r="GEW43" s="292"/>
      <c r="GEX43" s="292"/>
      <c r="GEY43" s="292"/>
      <c r="GEZ43" s="292"/>
      <c r="GFA43" s="292"/>
      <c r="GFB43" s="292"/>
      <c r="GFC43" s="292"/>
      <c r="GFD43" s="292"/>
      <c r="GFE43" s="292"/>
      <c r="GFF43" s="292"/>
      <c r="GFG43" s="292"/>
      <c r="GFH43" s="292"/>
      <c r="GFI43" s="292"/>
      <c r="GFJ43" s="292"/>
      <c r="GFK43" s="292"/>
      <c r="GFL43" s="292"/>
      <c r="GFM43" s="292"/>
      <c r="GFN43" s="292"/>
      <c r="GFO43" s="292"/>
      <c r="GFP43" s="292"/>
      <c r="GFQ43" s="292"/>
      <c r="GFR43" s="292"/>
      <c r="GFS43" s="292"/>
      <c r="GFT43" s="292"/>
      <c r="GFU43" s="292"/>
      <c r="GFV43" s="292"/>
      <c r="GFW43" s="292"/>
      <c r="GFX43" s="292"/>
      <c r="GFY43" s="292"/>
      <c r="GFZ43" s="292"/>
      <c r="GGA43" s="292"/>
      <c r="GGB43" s="292"/>
      <c r="GGC43" s="292"/>
      <c r="GGD43" s="292"/>
      <c r="GGE43" s="292"/>
      <c r="GGF43" s="292"/>
      <c r="GGG43" s="292"/>
      <c r="GGH43" s="292"/>
      <c r="GGI43" s="292"/>
      <c r="GGJ43" s="292"/>
      <c r="GGK43" s="292"/>
      <c r="GGL43" s="292"/>
      <c r="GGM43" s="292"/>
      <c r="GGN43" s="292"/>
      <c r="GGO43" s="292"/>
      <c r="GGP43" s="292"/>
      <c r="GGQ43" s="292"/>
      <c r="GGR43" s="292"/>
      <c r="GGS43" s="292"/>
      <c r="GGT43" s="292"/>
      <c r="GGU43" s="292"/>
      <c r="GGV43" s="292"/>
      <c r="GGW43" s="292"/>
      <c r="GGX43" s="292"/>
      <c r="GGY43" s="292"/>
      <c r="GGZ43" s="292"/>
      <c r="GHA43" s="292"/>
      <c r="GHB43" s="292"/>
      <c r="GHC43" s="292"/>
      <c r="GHD43" s="292"/>
      <c r="GHE43" s="292"/>
      <c r="GHF43" s="292"/>
      <c r="GHG43" s="292"/>
      <c r="GHH43" s="292"/>
      <c r="GHI43" s="292"/>
      <c r="GHJ43" s="292"/>
      <c r="GHK43" s="292"/>
      <c r="GHL43" s="292"/>
      <c r="GHM43" s="292"/>
      <c r="GHN43" s="292"/>
      <c r="GHO43" s="292"/>
      <c r="GHP43" s="292"/>
      <c r="GHQ43" s="292"/>
      <c r="GHR43" s="292"/>
      <c r="GHS43" s="292"/>
      <c r="GHT43" s="292"/>
      <c r="GHU43" s="292"/>
      <c r="GHV43" s="292"/>
      <c r="GHW43" s="292"/>
      <c r="GHX43" s="292"/>
      <c r="GHY43" s="292"/>
      <c r="GHZ43" s="292"/>
      <c r="GIA43" s="292"/>
      <c r="GIB43" s="292"/>
      <c r="GIC43" s="292"/>
      <c r="GID43" s="292"/>
      <c r="GIE43" s="292"/>
      <c r="GIF43" s="292"/>
      <c r="GIG43" s="292"/>
      <c r="GIH43" s="292"/>
      <c r="GII43" s="292"/>
      <c r="GIJ43" s="292"/>
      <c r="GIK43" s="292"/>
      <c r="GIL43" s="292"/>
      <c r="GIM43" s="292"/>
      <c r="GIN43" s="292"/>
      <c r="GIO43" s="292"/>
      <c r="GIP43" s="292"/>
      <c r="GIQ43" s="292"/>
      <c r="GIR43" s="292"/>
      <c r="GIS43" s="292"/>
      <c r="GIT43" s="292"/>
      <c r="GIU43" s="292"/>
      <c r="GIV43" s="292"/>
      <c r="GIW43" s="292"/>
      <c r="GIX43" s="292"/>
      <c r="GIY43" s="292"/>
      <c r="GIZ43" s="292"/>
      <c r="GJA43" s="292"/>
      <c r="GJB43" s="292"/>
      <c r="GJC43" s="292"/>
      <c r="GJD43" s="292"/>
      <c r="GJE43" s="292"/>
      <c r="GJF43" s="292"/>
      <c r="GJG43" s="292"/>
      <c r="GJH43" s="292"/>
      <c r="GJI43" s="292"/>
      <c r="GJJ43" s="292"/>
      <c r="GJK43" s="292"/>
      <c r="GJL43" s="292"/>
      <c r="GJM43" s="292"/>
      <c r="GJN43" s="292"/>
      <c r="GJO43" s="292"/>
      <c r="GJP43" s="292"/>
      <c r="GJQ43" s="292"/>
      <c r="GJR43" s="292"/>
      <c r="GJS43" s="292"/>
      <c r="GJT43" s="292"/>
      <c r="GJU43" s="292"/>
      <c r="GJV43" s="292"/>
      <c r="GJW43" s="292"/>
      <c r="GJX43" s="292"/>
      <c r="GJY43" s="292"/>
      <c r="GJZ43" s="292"/>
      <c r="GKA43" s="292"/>
      <c r="GKB43" s="292"/>
      <c r="GKC43" s="292"/>
      <c r="GKD43" s="292"/>
      <c r="GKE43" s="292"/>
      <c r="GKF43" s="292"/>
      <c r="GKG43" s="292"/>
      <c r="GKH43" s="292"/>
      <c r="GKI43" s="292"/>
      <c r="GKJ43" s="292"/>
      <c r="GKK43" s="292"/>
      <c r="GKL43" s="292"/>
      <c r="GKM43" s="292"/>
      <c r="GKN43" s="292"/>
      <c r="GKO43" s="292"/>
      <c r="GKP43" s="292"/>
      <c r="GKQ43" s="292"/>
      <c r="GKR43" s="292"/>
      <c r="GKS43" s="292"/>
      <c r="GKT43" s="292"/>
      <c r="GKU43" s="292"/>
      <c r="GKV43" s="292"/>
      <c r="GKW43" s="292"/>
      <c r="GKX43" s="292"/>
      <c r="GKY43" s="292"/>
      <c r="GKZ43" s="292"/>
      <c r="GLA43" s="292"/>
      <c r="GLB43" s="292"/>
      <c r="GLC43" s="292"/>
      <c r="GLD43" s="292"/>
      <c r="GLE43" s="292"/>
      <c r="GLF43" s="292"/>
      <c r="GLG43" s="292"/>
      <c r="GLH43" s="292"/>
      <c r="GLI43" s="292"/>
      <c r="GLJ43" s="292"/>
      <c r="GLK43" s="292"/>
      <c r="GLL43" s="292"/>
      <c r="GLM43" s="292"/>
      <c r="GLN43" s="292"/>
      <c r="GLO43" s="292"/>
      <c r="GLP43" s="292"/>
      <c r="GLQ43" s="292"/>
      <c r="GLR43" s="292"/>
      <c r="GLS43" s="292"/>
      <c r="GLT43" s="292"/>
      <c r="GLU43" s="292"/>
      <c r="GLV43" s="292"/>
      <c r="GLW43" s="292"/>
      <c r="GLX43" s="292"/>
      <c r="GLY43" s="292"/>
      <c r="GLZ43" s="292"/>
      <c r="GMA43" s="292"/>
      <c r="GMB43" s="292"/>
      <c r="GMC43" s="292"/>
      <c r="GMD43" s="292"/>
      <c r="GME43" s="292"/>
      <c r="GMF43" s="292"/>
      <c r="GMG43" s="292"/>
      <c r="GMH43" s="292"/>
      <c r="GMI43" s="292"/>
      <c r="GMJ43" s="292"/>
      <c r="GMK43" s="292"/>
      <c r="GML43" s="292"/>
      <c r="GMM43" s="292"/>
      <c r="GMN43" s="292"/>
      <c r="GMO43" s="292"/>
      <c r="GMP43" s="292"/>
      <c r="GMQ43" s="292"/>
      <c r="GMR43" s="292"/>
      <c r="GMS43" s="292"/>
      <c r="GMT43" s="292"/>
      <c r="GMU43" s="292"/>
      <c r="GMV43" s="292"/>
      <c r="GMW43" s="292"/>
      <c r="GMX43" s="292"/>
      <c r="GMY43" s="292"/>
      <c r="GMZ43" s="292"/>
      <c r="GNA43" s="292"/>
      <c r="GNB43" s="292"/>
      <c r="GNC43" s="292"/>
      <c r="GND43" s="292"/>
      <c r="GNE43" s="292"/>
      <c r="GNF43" s="292"/>
      <c r="GNG43" s="292"/>
      <c r="GNH43" s="292"/>
      <c r="GNI43" s="292"/>
      <c r="GNJ43" s="292"/>
      <c r="GNK43" s="292"/>
      <c r="GNL43" s="292"/>
      <c r="GNM43" s="292"/>
      <c r="GNN43" s="292"/>
      <c r="GNO43" s="292"/>
      <c r="GNP43" s="292"/>
      <c r="GNQ43" s="292"/>
      <c r="GNR43" s="292"/>
      <c r="GNS43" s="292"/>
      <c r="GNT43" s="292"/>
      <c r="GNU43" s="292"/>
      <c r="GNV43" s="292"/>
      <c r="GNW43" s="292"/>
      <c r="GNX43" s="292"/>
      <c r="GNY43" s="292"/>
      <c r="GNZ43" s="292"/>
      <c r="GOA43" s="292"/>
      <c r="GOB43" s="292"/>
      <c r="GOC43" s="292"/>
      <c r="GOD43" s="292"/>
      <c r="GOE43" s="292"/>
      <c r="GOF43" s="292"/>
      <c r="GOG43" s="292"/>
      <c r="GOH43" s="292"/>
      <c r="GOI43" s="292"/>
      <c r="GOJ43" s="292"/>
      <c r="GOK43" s="292"/>
      <c r="GOL43" s="292"/>
      <c r="GOM43" s="292"/>
      <c r="GON43" s="292"/>
      <c r="GOO43" s="292"/>
      <c r="GOP43" s="292"/>
      <c r="GOQ43" s="292"/>
      <c r="GOR43" s="292"/>
      <c r="GOS43" s="292"/>
      <c r="GOT43" s="292"/>
      <c r="GOU43" s="292"/>
      <c r="GOV43" s="292"/>
      <c r="GOW43" s="292"/>
      <c r="GOX43" s="292"/>
      <c r="GOY43" s="292"/>
      <c r="GOZ43" s="292"/>
      <c r="GPA43" s="292"/>
      <c r="GPB43" s="292"/>
      <c r="GPC43" s="292"/>
      <c r="GPD43" s="292"/>
      <c r="GPE43" s="292"/>
      <c r="GPF43" s="292"/>
      <c r="GPG43" s="292"/>
      <c r="GPH43" s="292"/>
      <c r="GPI43" s="292"/>
      <c r="GPJ43" s="292"/>
      <c r="GPK43" s="292"/>
      <c r="GPL43" s="292"/>
      <c r="GPM43" s="292"/>
      <c r="GPN43" s="292"/>
      <c r="GPO43" s="292"/>
      <c r="GPP43" s="292"/>
      <c r="GPQ43" s="292"/>
      <c r="GPR43" s="292"/>
      <c r="GPS43" s="292"/>
      <c r="GPT43" s="292"/>
      <c r="GPU43" s="292"/>
      <c r="GPV43" s="292"/>
      <c r="GPW43" s="292"/>
      <c r="GPX43" s="292"/>
      <c r="GPY43" s="292"/>
      <c r="GPZ43" s="292"/>
      <c r="GQA43" s="292"/>
      <c r="GQB43" s="292"/>
      <c r="GQC43" s="292"/>
      <c r="GQD43" s="292"/>
      <c r="GQE43" s="292"/>
      <c r="GQF43" s="292"/>
      <c r="GQG43" s="292"/>
      <c r="GQH43" s="292"/>
      <c r="GQI43" s="292"/>
      <c r="GQJ43" s="292"/>
      <c r="GQK43" s="292"/>
      <c r="GQL43" s="292"/>
      <c r="GQM43" s="292"/>
      <c r="GQN43" s="292"/>
      <c r="GQO43" s="292"/>
      <c r="GQP43" s="292"/>
      <c r="GQQ43" s="292"/>
      <c r="GQR43" s="292"/>
      <c r="GQS43" s="292"/>
      <c r="GQT43" s="292"/>
      <c r="GQU43" s="292"/>
      <c r="GQV43" s="292"/>
      <c r="GQW43" s="292"/>
      <c r="GQX43" s="292"/>
      <c r="GQY43" s="292"/>
      <c r="GQZ43" s="292"/>
      <c r="GRA43" s="292"/>
      <c r="GRB43" s="292"/>
      <c r="GRC43" s="292"/>
      <c r="GRD43" s="292"/>
      <c r="GRE43" s="292"/>
      <c r="GRF43" s="292"/>
      <c r="GRG43" s="292"/>
      <c r="GRH43" s="292"/>
      <c r="GRI43" s="292"/>
      <c r="GRJ43" s="292"/>
      <c r="GRK43" s="292"/>
      <c r="GRL43" s="292"/>
      <c r="GRM43" s="292"/>
      <c r="GRN43" s="292"/>
      <c r="GRO43" s="292"/>
      <c r="GRP43" s="292"/>
      <c r="GRQ43" s="292"/>
      <c r="GRR43" s="292"/>
      <c r="GRS43" s="292"/>
      <c r="GRT43" s="292"/>
      <c r="GRU43" s="292"/>
      <c r="GRV43" s="292"/>
      <c r="GRW43" s="292"/>
      <c r="GRX43" s="292"/>
      <c r="GRY43" s="292"/>
      <c r="GRZ43" s="292"/>
      <c r="GSA43" s="292"/>
      <c r="GSB43" s="292"/>
      <c r="GSC43" s="292"/>
      <c r="GSD43" s="292"/>
      <c r="GSE43" s="292"/>
      <c r="GSF43" s="292"/>
      <c r="GSG43" s="292"/>
      <c r="GSH43" s="292"/>
      <c r="GSI43" s="292"/>
      <c r="GSJ43" s="292"/>
      <c r="GSK43" s="292"/>
      <c r="GSL43" s="292"/>
      <c r="GSM43" s="292"/>
      <c r="GSN43" s="292"/>
      <c r="GSO43" s="292"/>
      <c r="GSP43" s="292"/>
      <c r="GSQ43" s="292"/>
      <c r="GSR43" s="292"/>
      <c r="GSS43" s="292"/>
      <c r="GST43" s="292"/>
      <c r="GSU43" s="292"/>
      <c r="GSV43" s="292"/>
      <c r="GSW43" s="292"/>
      <c r="GSX43" s="292"/>
      <c r="GSY43" s="292"/>
      <c r="GSZ43" s="292"/>
      <c r="GTA43" s="292"/>
      <c r="GTB43" s="292"/>
      <c r="GTC43" s="292"/>
      <c r="GTD43" s="292"/>
      <c r="GTE43" s="292"/>
      <c r="GTF43" s="292"/>
      <c r="GTG43" s="292"/>
      <c r="GTH43" s="292"/>
      <c r="GTI43" s="292"/>
      <c r="GTJ43" s="292"/>
      <c r="GTK43" s="292"/>
      <c r="GTL43" s="292"/>
      <c r="GTM43" s="292"/>
      <c r="GTN43" s="292"/>
      <c r="GTO43" s="292"/>
      <c r="GTP43" s="292"/>
      <c r="GTQ43" s="292"/>
      <c r="GTR43" s="292"/>
      <c r="GTS43" s="292"/>
      <c r="GTT43" s="292"/>
      <c r="GTU43" s="292"/>
      <c r="GTV43" s="292"/>
      <c r="GTW43" s="292"/>
      <c r="GTX43" s="292"/>
      <c r="GTY43" s="292"/>
      <c r="GTZ43" s="292"/>
      <c r="GUA43" s="292"/>
      <c r="GUB43" s="292"/>
      <c r="GUC43" s="292"/>
      <c r="GUD43" s="292"/>
      <c r="GUE43" s="292"/>
      <c r="GUF43" s="292"/>
      <c r="GUG43" s="292"/>
      <c r="GUH43" s="292"/>
      <c r="GUI43" s="292"/>
      <c r="GUJ43" s="292"/>
      <c r="GUK43" s="292"/>
      <c r="GUL43" s="292"/>
      <c r="GUM43" s="292"/>
      <c r="GUN43" s="292"/>
      <c r="GUO43" s="292"/>
      <c r="GUP43" s="292"/>
      <c r="GUQ43" s="292"/>
      <c r="GUR43" s="292"/>
      <c r="GUS43" s="292"/>
      <c r="GUT43" s="292"/>
      <c r="GUU43" s="292"/>
      <c r="GUV43" s="292"/>
      <c r="GUW43" s="292"/>
      <c r="GUX43" s="292"/>
      <c r="GUY43" s="292"/>
      <c r="GUZ43" s="292"/>
      <c r="GVA43" s="292"/>
      <c r="GVB43" s="292"/>
      <c r="GVC43" s="292"/>
      <c r="GVD43" s="292"/>
      <c r="GVE43" s="292"/>
      <c r="GVF43" s="292"/>
      <c r="GVG43" s="292"/>
      <c r="GVH43" s="292"/>
      <c r="GVI43" s="292"/>
      <c r="GVJ43" s="292"/>
      <c r="GVK43" s="292"/>
      <c r="GVL43" s="292"/>
      <c r="GVM43" s="292"/>
      <c r="GVN43" s="292"/>
      <c r="GVO43" s="292"/>
      <c r="GVP43" s="292"/>
      <c r="GVQ43" s="292"/>
      <c r="GVR43" s="292"/>
      <c r="GVS43" s="292"/>
      <c r="GVT43" s="292"/>
      <c r="GVU43" s="292"/>
      <c r="GVV43" s="292"/>
      <c r="GVW43" s="292"/>
      <c r="GVX43" s="292"/>
      <c r="GVY43" s="292"/>
      <c r="GVZ43" s="292"/>
      <c r="GWA43" s="292"/>
      <c r="GWB43" s="292"/>
      <c r="GWC43" s="292"/>
      <c r="GWD43" s="292"/>
      <c r="GWE43" s="292"/>
      <c r="GWF43" s="292"/>
      <c r="GWG43" s="292"/>
      <c r="GWH43" s="292"/>
      <c r="GWI43" s="292"/>
      <c r="GWJ43" s="292"/>
      <c r="GWK43" s="292"/>
      <c r="GWL43" s="292"/>
      <c r="GWM43" s="292"/>
      <c r="GWN43" s="292"/>
      <c r="GWO43" s="292"/>
      <c r="GWP43" s="292"/>
      <c r="GWQ43" s="292"/>
      <c r="GWR43" s="292"/>
      <c r="GWS43" s="292"/>
      <c r="GWT43" s="292"/>
      <c r="GWU43" s="292"/>
      <c r="GWV43" s="292"/>
      <c r="GWW43" s="292"/>
      <c r="GWX43" s="292"/>
      <c r="GWY43" s="292"/>
      <c r="GWZ43" s="292"/>
      <c r="GXA43" s="292"/>
      <c r="GXB43" s="292"/>
      <c r="GXC43" s="292"/>
      <c r="GXD43" s="292"/>
      <c r="GXE43" s="292"/>
      <c r="GXF43" s="292"/>
      <c r="GXG43" s="292"/>
      <c r="GXH43" s="292"/>
      <c r="GXI43" s="292"/>
      <c r="GXJ43" s="292"/>
      <c r="GXK43" s="292"/>
      <c r="GXL43" s="292"/>
      <c r="GXM43" s="292"/>
      <c r="GXN43" s="292"/>
      <c r="GXO43" s="292"/>
      <c r="GXP43" s="292"/>
      <c r="GXQ43" s="292"/>
      <c r="GXR43" s="292"/>
      <c r="GXS43" s="292"/>
      <c r="GXT43" s="292"/>
      <c r="GXU43" s="292"/>
      <c r="GXV43" s="292"/>
      <c r="GXW43" s="292"/>
      <c r="GXX43" s="292"/>
      <c r="GXY43" s="292"/>
      <c r="GXZ43" s="292"/>
      <c r="GYA43" s="292"/>
      <c r="GYB43" s="292"/>
      <c r="GYC43" s="292"/>
      <c r="GYD43" s="292"/>
      <c r="GYE43" s="292"/>
      <c r="GYF43" s="292"/>
      <c r="GYG43" s="292"/>
      <c r="GYH43" s="292"/>
      <c r="GYI43" s="292"/>
      <c r="GYJ43" s="292"/>
      <c r="GYK43" s="292"/>
      <c r="GYL43" s="292"/>
      <c r="GYM43" s="292"/>
      <c r="GYN43" s="292"/>
      <c r="GYO43" s="292"/>
      <c r="GYP43" s="292"/>
      <c r="GYQ43" s="292"/>
      <c r="GYR43" s="292"/>
      <c r="GYS43" s="292"/>
      <c r="GYT43" s="292"/>
      <c r="GYU43" s="292"/>
      <c r="GYV43" s="292"/>
      <c r="GYW43" s="292"/>
      <c r="GYX43" s="292"/>
      <c r="GYY43" s="292"/>
      <c r="GYZ43" s="292"/>
      <c r="GZA43" s="292"/>
      <c r="GZB43" s="292"/>
      <c r="GZC43" s="292"/>
      <c r="GZD43" s="292"/>
      <c r="GZE43" s="292"/>
      <c r="GZF43" s="292"/>
      <c r="GZG43" s="292"/>
      <c r="GZH43" s="292"/>
      <c r="GZI43" s="292"/>
      <c r="GZJ43" s="292"/>
      <c r="GZK43" s="292"/>
      <c r="GZL43" s="292"/>
      <c r="GZM43" s="292"/>
      <c r="GZN43" s="292"/>
      <c r="GZO43" s="292"/>
      <c r="GZP43" s="292"/>
      <c r="GZQ43" s="292"/>
      <c r="GZR43" s="292"/>
      <c r="GZS43" s="292"/>
      <c r="GZT43" s="292"/>
      <c r="GZU43" s="292"/>
      <c r="GZV43" s="292"/>
      <c r="GZW43" s="292"/>
      <c r="GZX43" s="292"/>
      <c r="GZY43" s="292"/>
      <c r="GZZ43" s="292"/>
      <c r="HAA43" s="292"/>
      <c r="HAB43" s="292"/>
      <c r="HAC43" s="292"/>
      <c r="HAD43" s="292"/>
      <c r="HAE43" s="292"/>
      <c r="HAF43" s="292"/>
      <c r="HAG43" s="292"/>
      <c r="HAH43" s="292"/>
      <c r="HAI43" s="292"/>
      <c r="HAJ43" s="292"/>
      <c r="HAK43" s="292"/>
      <c r="HAL43" s="292"/>
      <c r="HAM43" s="292"/>
      <c r="HAN43" s="292"/>
      <c r="HAO43" s="292"/>
      <c r="HAP43" s="292"/>
      <c r="HAQ43" s="292"/>
      <c r="HAR43" s="292"/>
      <c r="HAS43" s="292"/>
      <c r="HAT43" s="292"/>
      <c r="HAU43" s="292"/>
      <c r="HAV43" s="292"/>
      <c r="HAW43" s="292"/>
      <c r="HAX43" s="292"/>
      <c r="HAY43" s="292"/>
      <c r="HAZ43" s="292"/>
      <c r="HBA43" s="292"/>
      <c r="HBB43" s="292"/>
      <c r="HBC43" s="292"/>
      <c r="HBD43" s="292"/>
      <c r="HBE43" s="292"/>
      <c r="HBF43" s="292"/>
      <c r="HBG43" s="292"/>
      <c r="HBH43" s="292"/>
      <c r="HBI43" s="292"/>
      <c r="HBJ43" s="292"/>
      <c r="HBK43" s="292"/>
      <c r="HBL43" s="292"/>
      <c r="HBM43" s="292"/>
      <c r="HBN43" s="292"/>
      <c r="HBO43" s="292"/>
      <c r="HBP43" s="292"/>
      <c r="HBQ43" s="292"/>
      <c r="HBR43" s="292"/>
      <c r="HBS43" s="292"/>
      <c r="HBT43" s="292"/>
      <c r="HBU43" s="292"/>
      <c r="HBV43" s="292"/>
      <c r="HBW43" s="292"/>
      <c r="HBX43" s="292"/>
      <c r="HBY43" s="292"/>
      <c r="HBZ43" s="292"/>
      <c r="HCA43" s="292"/>
      <c r="HCB43" s="292"/>
      <c r="HCC43" s="292"/>
      <c r="HCD43" s="292"/>
      <c r="HCE43" s="292"/>
      <c r="HCF43" s="292"/>
      <c r="HCG43" s="292"/>
      <c r="HCH43" s="292"/>
      <c r="HCI43" s="292"/>
      <c r="HCJ43" s="292"/>
      <c r="HCK43" s="292"/>
      <c r="HCL43" s="292"/>
      <c r="HCM43" s="292"/>
      <c r="HCN43" s="292"/>
      <c r="HCO43" s="292"/>
      <c r="HCP43" s="292"/>
      <c r="HCQ43" s="292"/>
      <c r="HCR43" s="292"/>
      <c r="HCS43" s="292"/>
      <c r="HCT43" s="292"/>
      <c r="HCU43" s="292"/>
      <c r="HCV43" s="292"/>
      <c r="HCW43" s="292"/>
      <c r="HCX43" s="292"/>
      <c r="HCY43" s="292"/>
      <c r="HCZ43" s="292"/>
      <c r="HDA43" s="292"/>
      <c r="HDB43" s="292"/>
      <c r="HDC43" s="292"/>
      <c r="HDD43" s="292"/>
      <c r="HDE43" s="292"/>
      <c r="HDF43" s="292"/>
      <c r="HDG43" s="292"/>
      <c r="HDH43" s="292"/>
      <c r="HDI43" s="292"/>
      <c r="HDJ43" s="292"/>
      <c r="HDK43" s="292"/>
      <c r="HDL43" s="292"/>
      <c r="HDM43" s="292"/>
      <c r="HDN43" s="292"/>
      <c r="HDO43" s="292"/>
      <c r="HDP43" s="292"/>
      <c r="HDQ43" s="292"/>
      <c r="HDR43" s="292"/>
      <c r="HDS43" s="292"/>
      <c r="HDT43" s="292"/>
      <c r="HDU43" s="292"/>
      <c r="HDV43" s="292"/>
      <c r="HDW43" s="292"/>
      <c r="HDX43" s="292"/>
      <c r="HDY43" s="292"/>
      <c r="HDZ43" s="292"/>
      <c r="HEA43" s="292"/>
      <c r="HEB43" s="292"/>
      <c r="HEC43" s="292"/>
      <c r="HED43" s="292"/>
      <c r="HEE43" s="292"/>
      <c r="HEF43" s="292"/>
      <c r="HEG43" s="292"/>
      <c r="HEH43" s="292"/>
      <c r="HEI43" s="292"/>
      <c r="HEJ43" s="292"/>
      <c r="HEK43" s="292"/>
      <c r="HEL43" s="292"/>
      <c r="HEM43" s="292"/>
      <c r="HEN43" s="292"/>
      <c r="HEO43" s="292"/>
      <c r="HEP43" s="292"/>
      <c r="HEQ43" s="292"/>
      <c r="HER43" s="292"/>
      <c r="HES43" s="292"/>
      <c r="HET43" s="292"/>
      <c r="HEU43" s="292"/>
      <c r="HEV43" s="292"/>
      <c r="HEW43" s="292"/>
      <c r="HEX43" s="292"/>
      <c r="HEY43" s="292"/>
      <c r="HEZ43" s="292"/>
      <c r="HFA43" s="292"/>
      <c r="HFB43" s="292"/>
      <c r="HFC43" s="292"/>
      <c r="HFD43" s="292"/>
      <c r="HFE43" s="292"/>
      <c r="HFF43" s="292"/>
      <c r="HFG43" s="292"/>
      <c r="HFH43" s="292"/>
      <c r="HFI43" s="292"/>
      <c r="HFJ43" s="292"/>
      <c r="HFK43" s="292"/>
      <c r="HFL43" s="292"/>
      <c r="HFM43" s="292"/>
      <c r="HFN43" s="292"/>
      <c r="HFO43" s="292"/>
      <c r="HFP43" s="292"/>
      <c r="HFQ43" s="292"/>
      <c r="HFR43" s="292"/>
      <c r="HFS43" s="292"/>
      <c r="HFT43" s="292"/>
      <c r="HFU43" s="292"/>
      <c r="HFV43" s="292"/>
      <c r="HFW43" s="292"/>
      <c r="HFX43" s="292"/>
      <c r="HFY43" s="292"/>
      <c r="HFZ43" s="292"/>
      <c r="HGA43" s="292"/>
      <c r="HGB43" s="292"/>
      <c r="HGC43" s="292"/>
      <c r="HGD43" s="292"/>
      <c r="HGE43" s="292"/>
      <c r="HGF43" s="292"/>
      <c r="HGG43" s="292"/>
      <c r="HGH43" s="292"/>
      <c r="HGI43" s="292"/>
      <c r="HGJ43" s="292"/>
      <c r="HGK43" s="292"/>
      <c r="HGL43" s="292"/>
      <c r="HGM43" s="292"/>
      <c r="HGN43" s="292"/>
      <c r="HGO43" s="292"/>
      <c r="HGP43" s="292"/>
      <c r="HGQ43" s="292"/>
      <c r="HGR43" s="292"/>
      <c r="HGS43" s="292"/>
      <c r="HGT43" s="292"/>
      <c r="HGU43" s="292"/>
      <c r="HGV43" s="292"/>
      <c r="HGW43" s="292"/>
      <c r="HGX43" s="292"/>
      <c r="HGY43" s="292"/>
      <c r="HGZ43" s="292"/>
      <c r="HHA43" s="292"/>
      <c r="HHB43" s="292"/>
      <c r="HHC43" s="292"/>
      <c r="HHD43" s="292"/>
      <c r="HHE43" s="292"/>
      <c r="HHF43" s="292"/>
      <c r="HHG43" s="292"/>
      <c r="HHH43" s="292"/>
      <c r="HHI43" s="292"/>
      <c r="HHJ43" s="292"/>
      <c r="HHK43" s="292"/>
      <c r="HHL43" s="292"/>
      <c r="HHM43" s="292"/>
      <c r="HHN43" s="292"/>
      <c r="HHO43" s="292"/>
      <c r="HHP43" s="292"/>
      <c r="HHQ43" s="292"/>
      <c r="HHR43" s="292"/>
      <c r="HHS43" s="292"/>
      <c r="HHT43" s="292"/>
      <c r="HHU43" s="292"/>
      <c r="HHV43" s="292"/>
      <c r="HHW43" s="292"/>
      <c r="HHX43" s="292"/>
      <c r="HHY43" s="292"/>
      <c r="HHZ43" s="292"/>
      <c r="HIA43" s="292"/>
      <c r="HIB43" s="292"/>
      <c r="HIC43" s="292"/>
      <c r="HID43" s="292"/>
      <c r="HIE43" s="292"/>
      <c r="HIF43" s="292"/>
      <c r="HIG43" s="292"/>
      <c r="HIH43" s="292"/>
      <c r="HII43" s="292"/>
      <c r="HIJ43" s="292"/>
      <c r="HIK43" s="292"/>
      <c r="HIL43" s="292"/>
      <c r="HIM43" s="292"/>
      <c r="HIN43" s="292"/>
      <c r="HIO43" s="292"/>
      <c r="HIP43" s="292"/>
      <c r="HIQ43" s="292"/>
      <c r="HIR43" s="292"/>
      <c r="HIS43" s="292"/>
      <c r="HIT43" s="292"/>
      <c r="HIU43" s="292"/>
      <c r="HIV43" s="292"/>
      <c r="HIW43" s="292"/>
      <c r="HIX43" s="292"/>
      <c r="HIY43" s="292"/>
      <c r="HIZ43" s="292"/>
      <c r="HJA43" s="292"/>
      <c r="HJB43" s="292"/>
      <c r="HJC43" s="292"/>
      <c r="HJD43" s="292"/>
      <c r="HJE43" s="292"/>
      <c r="HJF43" s="292"/>
      <c r="HJG43" s="292"/>
      <c r="HJH43" s="292"/>
      <c r="HJI43" s="292"/>
      <c r="HJJ43" s="292"/>
      <c r="HJK43" s="292"/>
      <c r="HJL43" s="292"/>
      <c r="HJM43" s="292"/>
      <c r="HJN43" s="292"/>
      <c r="HJO43" s="292"/>
      <c r="HJP43" s="292"/>
      <c r="HJQ43" s="292"/>
      <c r="HJR43" s="292"/>
      <c r="HJS43" s="292"/>
      <c r="HJT43" s="292"/>
      <c r="HJU43" s="292"/>
      <c r="HJV43" s="292"/>
      <c r="HJW43" s="292"/>
      <c r="HJX43" s="292"/>
      <c r="HJY43" s="292"/>
      <c r="HJZ43" s="292"/>
      <c r="HKA43" s="292"/>
      <c r="HKB43" s="292"/>
      <c r="HKC43" s="292"/>
      <c r="HKD43" s="292"/>
      <c r="HKE43" s="292"/>
      <c r="HKF43" s="292"/>
      <c r="HKG43" s="292"/>
      <c r="HKH43" s="292"/>
      <c r="HKI43" s="292"/>
      <c r="HKJ43" s="292"/>
      <c r="HKK43" s="292"/>
      <c r="HKL43" s="292"/>
      <c r="HKM43" s="292"/>
      <c r="HKN43" s="292"/>
      <c r="HKO43" s="292"/>
      <c r="HKP43" s="292"/>
      <c r="HKQ43" s="292"/>
      <c r="HKR43" s="292"/>
      <c r="HKS43" s="292"/>
      <c r="HKT43" s="292"/>
      <c r="HKU43" s="292"/>
      <c r="HKV43" s="292"/>
      <c r="HKW43" s="292"/>
      <c r="HKX43" s="292"/>
      <c r="HKY43" s="292"/>
      <c r="HKZ43" s="292"/>
      <c r="HLA43" s="292"/>
      <c r="HLB43" s="292"/>
      <c r="HLC43" s="292"/>
      <c r="HLD43" s="292"/>
      <c r="HLE43" s="292"/>
      <c r="HLF43" s="292"/>
      <c r="HLG43" s="292"/>
      <c r="HLH43" s="292"/>
      <c r="HLI43" s="292"/>
      <c r="HLJ43" s="292"/>
      <c r="HLK43" s="292"/>
      <c r="HLL43" s="292"/>
      <c r="HLM43" s="292"/>
      <c r="HLN43" s="292"/>
      <c r="HLO43" s="292"/>
      <c r="HLP43" s="292"/>
      <c r="HLQ43" s="292"/>
      <c r="HLR43" s="292"/>
      <c r="HLS43" s="292"/>
      <c r="HLT43" s="292"/>
      <c r="HLU43" s="292"/>
      <c r="HLV43" s="292"/>
      <c r="HLW43" s="292"/>
      <c r="HLX43" s="292"/>
      <c r="HLY43" s="292"/>
      <c r="HLZ43" s="292"/>
      <c r="HMA43" s="292"/>
      <c r="HMB43" s="292"/>
      <c r="HMC43" s="292"/>
      <c r="HMD43" s="292"/>
      <c r="HME43" s="292"/>
      <c r="HMF43" s="292"/>
      <c r="HMG43" s="292"/>
      <c r="HMH43" s="292"/>
      <c r="HMI43" s="292"/>
      <c r="HMJ43" s="292"/>
      <c r="HMK43" s="292"/>
      <c r="HML43" s="292"/>
      <c r="HMM43" s="292"/>
      <c r="HMN43" s="292"/>
      <c r="HMO43" s="292"/>
      <c r="HMP43" s="292"/>
      <c r="HMQ43" s="292"/>
      <c r="HMR43" s="292"/>
      <c r="HMS43" s="292"/>
      <c r="HMT43" s="292"/>
      <c r="HMU43" s="292"/>
      <c r="HMV43" s="292"/>
      <c r="HMW43" s="292"/>
      <c r="HMX43" s="292"/>
      <c r="HMY43" s="292"/>
      <c r="HMZ43" s="292"/>
      <c r="HNA43" s="292"/>
      <c r="HNB43" s="292"/>
      <c r="HNC43" s="292"/>
      <c r="HND43" s="292"/>
      <c r="HNE43" s="292"/>
      <c r="HNF43" s="292"/>
      <c r="HNG43" s="292"/>
      <c r="HNH43" s="292"/>
      <c r="HNI43" s="292"/>
      <c r="HNJ43" s="292"/>
      <c r="HNK43" s="292"/>
      <c r="HNL43" s="292"/>
      <c r="HNM43" s="292"/>
      <c r="HNN43" s="292"/>
      <c r="HNO43" s="292"/>
      <c r="HNP43" s="292"/>
      <c r="HNQ43" s="292"/>
      <c r="HNR43" s="292"/>
      <c r="HNS43" s="292"/>
      <c r="HNT43" s="292"/>
      <c r="HNU43" s="292"/>
      <c r="HNV43" s="292"/>
      <c r="HNW43" s="292"/>
      <c r="HNX43" s="292"/>
      <c r="HNY43" s="292"/>
      <c r="HNZ43" s="292"/>
      <c r="HOA43" s="292"/>
      <c r="HOB43" s="292"/>
      <c r="HOC43" s="292"/>
      <c r="HOD43" s="292"/>
      <c r="HOE43" s="292"/>
      <c r="HOF43" s="292"/>
      <c r="HOG43" s="292"/>
      <c r="HOH43" s="292"/>
      <c r="HOI43" s="292"/>
      <c r="HOJ43" s="292"/>
      <c r="HOK43" s="292"/>
      <c r="HOL43" s="292"/>
      <c r="HOM43" s="292"/>
      <c r="HON43" s="292"/>
      <c r="HOO43" s="292"/>
      <c r="HOP43" s="292"/>
      <c r="HOQ43" s="292"/>
      <c r="HOR43" s="292"/>
      <c r="HOS43" s="292"/>
      <c r="HOT43" s="292"/>
      <c r="HOU43" s="292"/>
      <c r="HOV43" s="292"/>
      <c r="HOW43" s="292"/>
      <c r="HOX43" s="292"/>
      <c r="HOY43" s="292"/>
      <c r="HOZ43" s="292"/>
      <c r="HPA43" s="292"/>
      <c r="HPB43" s="292"/>
      <c r="HPC43" s="292"/>
      <c r="HPD43" s="292"/>
      <c r="HPE43" s="292"/>
      <c r="HPF43" s="292"/>
      <c r="HPG43" s="292"/>
      <c r="HPH43" s="292"/>
      <c r="HPI43" s="292"/>
      <c r="HPJ43" s="292"/>
      <c r="HPK43" s="292"/>
      <c r="HPL43" s="292"/>
      <c r="HPM43" s="292"/>
      <c r="HPN43" s="292"/>
      <c r="HPO43" s="292"/>
      <c r="HPP43" s="292"/>
      <c r="HPQ43" s="292"/>
      <c r="HPR43" s="292"/>
      <c r="HPS43" s="292"/>
      <c r="HPT43" s="292"/>
      <c r="HPU43" s="292"/>
      <c r="HPV43" s="292"/>
      <c r="HPW43" s="292"/>
      <c r="HPX43" s="292"/>
      <c r="HPY43" s="292"/>
      <c r="HPZ43" s="292"/>
      <c r="HQA43" s="292"/>
      <c r="HQB43" s="292"/>
      <c r="HQC43" s="292"/>
      <c r="HQD43" s="292"/>
      <c r="HQE43" s="292"/>
      <c r="HQF43" s="292"/>
      <c r="HQG43" s="292"/>
      <c r="HQH43" s="292"/>
      <c r="HQI43" s="292"/>
      <c r="HQJ43" s="292"/>
      <c r="HQK43" s="292"/>
      <c r="HQL43" s="292"/>
      <c r="HQM43" s="292"/>
      <c r="HQN43" s="292"/>
      <c r="HQO43" s="292"/>
      <c r="HQP43" s="292"/>
      <c r="HQQ43" s="292"/>
      <c r="HQR43" s="292"/>
      <c r="HQS43" s="292"/>
      <c r="HQT43" s="292"/>
      <c r="HQU43" s="292"/>
      <c r="HQV43" s="292"/>
      <c r="HQW43" s="292"/>
      <c r="HQX43" s="292"/>
      <c r="HQY43" s="292"/>
      <c r="HQZ43" s="292"/>
      <c r="HRA43" s="292"/>
      <c r="HRB43" s="292"/>
      <c r="HRC43" s="292"/>
      <c r="HRD43" s="292"/>
      <c r="HRE43" s="292"/>
      <c r="HRF43" s="292"/>
      <c r="HRG43" s="292"/>
      <c r="HRH43" s="292"/>
      <c r="HRI43" s="292"/>
      <c r="HRJ43" s="292"/>
      <c r="HRK43" s="292"/>
      <c r="HRL43" s="292"/>
      <c r="HRM43" s="292"/>
      <c r="HRN43" s="292"/>
      <c r="HRO43" s="292"/>
      <c r="HRP43" s="292"/>
      <c r="HRQ43" s="292"/>
      <c r="HRR43" s="292"/>
      <c r="HRS43" s="292"/>
      <c r="HRT43" s="292"/>
      <c r="HRU43" s="292"/>
      <c r="HRV43" s="292"/>
      <c r="HRW43" s="292"/>
      <c r="HRX43" s="292"/>
      <c r="HRY43" s="292"/>
      <c r="HRZ43" s="292"/>
      <c r="HSA43" s="292"/>
      <c r="HSB43" s="292"/>
      <c r="HSC43" s="292"/>
      <c r="HSD43" s="292"/>
      <c r="HSE43" s="292"/>
      <c r="HSF43" s="292"/>
      <c r="HSG43" s="292"/>
      <c r="HSH43" s="292"/>
      <c r="HSI43" s="292"/>
      <c r="HSJ43" s="292"/>
      <c r="HSK43" s="292"/>
      <c r="HSL43" s="292"/>
      <c r="HSM43" s="292"/>
      <c r="HSN43" s="292"/>
      <c r="HSO43" s="292"/>
      <c r="HSP43" s="292"/>
      <c r="HSQ43" s="292"/>
      <c r="HSR43" s="292"/>
      <c r="HSS43" s="292"/>
      <c r="HST43" s="292"/>
      <c r="HSU43" s="292"/>
      <c r="HSV43" s="292"/>
      <c r="HSW43" s="292"/>
      <c r="HSX43" s="292"/>
      <c r="HSY43" s="292"/>
      <c r="HSZ43" s="292"/>
      <c r="HTA43" s="292"/>
      <c r="HTB43" s="292"/>
      <c r="HTC43" s="292"/>
      <c r="HTD43" s="292"/>
      <c r="HTE43" s="292"/>
      <c r="HTF43" s="292"/>
      <c r="HTG43" s="292"/>
      <c r="HTH43" s="292"/>
      <c r="HTI43" s="292"/>
      <c r="HTJ43" s="292"/>
      <c r="HTK43" s="292"/>
      <c r="HTL43" s="292"/>
      <c r="HTM43" s="292"/>
      <c r="HTN43" s="292"/>
      <c r="HTO43" s="292"/>
      <c r="HTP43" s="292"/>
      <c r="HTQ43" s="292"/>
      <c r="HTR43" s="292"/>
      <c r="HTS43" s="292"/>
      <c r="HTT43" s="292"/>
      <c r="HTU43" s="292"/>
      <c r="HTV43" s="292"/>
      <c r="HTW43" s="292"/>
      <c r="HTX43" s="292"/>
      <c r="HTY43" s="292"/>
      <c r="HTZ43" s="292"/>
      <c r="HUA43" s="292"/>
      <c r="HUB43" s="292"/>
      <c r="HUC43" s="292"/>
      <c r="HUD43" s="292"/>
      <c r="HUE43" s="292"/>
      <c r="HUF43" s="292"/>
      <c r="HUG43" s="292"/>
      <c r="HUH43" s="292"/>
      <c r="HUI43" s="292"/>
      <c r="HUJ43" s="292"/>
      <c r="HUK43" s="292"/>
      <c r="HUL43" s="292"/>
      <c r="HUM43" s="292"/>
      <c r="HUN43" s="292"/>
      <c r="HUO43" s="292"/>
      <c r="HUP43" s="292"/>
      <c r="HUQ43" s="292"/>
      <c r="HUR43" s="292"/>
      <c r="HUS43" s="292"/>
      <c r="HUT43" s="292"/>
      <c r="HUU43" s="292"/>
      <c r="HUV43" s="292"/>
      <c r="HUW43" s="292"/>
      <c r="HUX43" s="292"/>
      <c r="HUY43" s="292"/>
      <c r="HUZ43" s="292"/>
      <c r="HVA43" s="292"/>
      <c r="HVB43" s="292"/>
      <c r="HVC43" s="292"/>
      <c r="HVD43" s="292"/>
      <c r="HVE43" s="292"/>
      <c r="HVF43" s="292"/>
      <c r="HVG43" s="292"/>
      <c r="HVH43" s="292"/>
      <c r="HVI43" s="292"/>
      <c r="HVJ43" s="292"/>
      <c r="HVK43" s="292"/>
      <c r="HVL43" s="292"/>
      <c r="HVM43" s="292"/>
      <c r="HVN43" s="292"/>
      <c r="HVO43" s="292"/>
      <c r="HVP43" s="292"/>
      <c r="HVQ43" s="292"/>
      <c r="HVR43" s="292"/>
      <c r="HVS43" s="292"/>
      <c r="HVT43" s="292"/>
      <c r="HVU43" s="292"/>
      <c r="HVV43" s="292"/>
      <c r="HVW43" s="292"/>
      <c r="HVX43" s="292"/>
      <c r="HVY43" s="292"/>
      <c r="HVZ43" s="292"/>
      <c r="HWA43" s="292"/>
      <c r="HWB43" s="292"/>
      <c r="HWC43" s="292"/>
      <c r="HWD43" s="292"/>
      <c r="HWE43" s="292"/>
      <c r="HWF43" s="292"/>
      <c r="HWG43" s="292"/>
      <c r="HWH43" s="292"/>
      <c r="HWI43" s="292"/>
      <c r="HWJ43" s="292"/>
      <c r="HWK43" s="292"/>
      <c r="HWL43" s="292"/>
      <c r="HWM43" s="292"/>
      <c r="HWN43" s="292"/>
      <c r="HWO43" s="292"/>
      <c r="HWP43" s="292"/>
      <c r="HWQ43" s="292"/>
      <c r="HWR43" s="292"/>
      <c r="HWS43" s="292"/>
      <c r="HWT43" s="292"/>
      <c r="HWU43" s="292"/>
      <c r="HWV43" s="292"/>
      <c r="HWW43" s="292"/>
      <c r="HWX43" s="292"/>
      <c r="HWY43" s="292"/>
      <c r="HWZ43" s="292"/>
      <c r="HXA43" s="292"/>
      <c r="HXB43" s="292"/>
      <c r="HXC43" s="292"/>
      <c r="HXD43" s="292"/>
      <c r="HXE43" s="292"/>
      <c r="HXF43" s="292"/>
      <c r="HXG43" s="292"/>
      <c r="HXH43" s="292"/>
      <c r="HXI43" s="292"/>
      <c r="HXJ43" s="292"/>
      <c r="HXK43" s="292"/>
      <c r="HXL43" s="292"/>
      <c r="HXM43" s="292"/>
      <c r="HXN43" s="292"/>
      <c r="HXO43" s="292"/>
      <c r="HXP43" s="292"/>
      <c r="HXQ43" s="292"/>
      <c r="HXR43" s="292"/>
      <c r="HXS43" s="292"/>
      <c r="HXT43" s="292"/>
      <c r="HXU43" s="292"/>
      <c r="HXV43" s="292"/>
      <c r="HXW43" s="292"/>
      <c r="HXX43" s="292"/>
      <c r="HXY43" s="292"/>
      <c r="HXZ43" s="292"/>
      <c r="HYA43" s="292"/>
      <c r="HYB43" s="292"/>
      <c r="HYC43" s="292"/>
      <c r="HYD43" s="292"/>
      <c r="HYE43" s="292"/>
      <c r="HYF43" s="292"/>
      <c r="HYG43" s="292"/>
      <c r="HYH43" s="292"/>
      <c r="HYI43" s="292"/>
      <c r="HYJ43" s="292"/>
      <c r="HYK43" s="292"/>
      <c r="HYL43" s="292"/>
      <c r="HYM43" s="292"/>
      <c r="HYN43" s="292"/>
      <c r="HYO43" s="292"/>
      <c r="HYP43" s="292"/>
      <c r="HYQ43" s="292"/>
      <c r="HYR43" s="292"/>
      <c r="HYS43" s="292"/>
      <c r="HYT43" s="292"/>
      <c r="HYU43" s="292"/>
      <c r="HYV43" s="292"/>
      <c r="HYW43" s="292"/>
      <c r="HYX43" s="292"/>
      <c r="HYY43" s="292"/>
      <c r="HYZ43" s="292"/>
      <c r="HZA43" s="292"/>
      <c r="HZB43" s="292"/>
      <c r="HZC43" s="292"/>
      <c r="HZD43" s="292"/>
      <c r="HZE43" s="292"/>
      <c r="HZF43" s="292"/>
      <c r="HZG43" s="292"/>
      <c r="HZH43" s="292"/>
      <c r="HZI43" s="292"/>
      <c r="HZJ43" s="292"/>
      <c r="HZK43" s="292"/>
      <c r="HZL43" s="292"/>
      <c r="HZM43" s="292"/>
      <c r="HZN43" s="292"/>
      <c r="HZO43" s="292"/>
      <c r="HZP43" s="292"/>
      <c r="HZQ43" s="292"/>
      <c r="HZR43" s="292"/>
      <c r="HZS43" s="292"/>
      <c r="HZT43" s="292"/>
      <c r="HZU43" s="292"/>
      <c r="HZV43" s="292"/>
      <c r="HZW43" s="292"/>
      <c r="HZX43" s="292"/>
      <c r="HZY43" s="292"/>
      <c r="HZZ43" s="292"/>
      <c r="IAA43" s="292"/>
      <c r="IAB43" s="292"/>
      <c r="IAC43" s="292"/>
      <c r="IAD43" s="292"/>
      <c r="IAE43" s="292"/>
      <c r="IAF43" s="292"/>
      <c r="IAG43" s="292"/>
      <c r="IAH43" s="292"/>
      <c r="IAI43" s="292"/>
      <c r="IAJ43" s="292"/>
      <c r="IAK43" s="292"/>
      <c r="IAL43" s="292"/>
      <c r="IAM43" s="292"/>
      <c r="IAN43" s="292"/>
      <c r="IAO43" s="292"/>
      <c r="IAP43" s="292"/>
      <c r="IAQ43" s="292"/>
      <c r="IAR43" s="292"/>
      <c r="IAS43" s="292"/>
      <c r="IAT43" s="292"/>
      <c r="IAU43" s="292"/>
      <c r="IAV43" s="292"/>
      <c r="IAW43" s="292"/>
      <c r="IAX43" s="292"/>
      <c r="IAY43" s="292"/>
      <c r="IAZ43" s="292"/>
      <c r="IBA43" s="292"/>
      <c r="IBB43" s="292"/>
      <c r="IBC43" s="292"/>
      <c r="IBD43" s="292"/>
      <c r="IBE43" s="292"/>
      <c r="IBF43" s="292"/>
      <c r="IBG43" s="292"/>
      <c r="IBH43" s="292"/>
      <c r="IBI43" s="292"/>
      <c r="IBJ43" s="292"/>
      <c r="IBK43" s="292"/>
      <c r="IBL43" s="292"/>
      <c r="IBM43" s="292"/>
      <c r="IBN43" s="292"/>
      <c r="IBO43" s="292"/>
      <c r="IBP43" s="292"/>
      <c r="IBQ43" s="292"/>
      <c r="IBR43" s="292"/>
      <c r="IBS43" s="292"/>
      <c r="IBT43" s="292"/>
      <c r="IBU43" s="292"/>
      <c r="IBV43" s="292"/>
      <c r="IBW43" s="292"/>
      <c r="IBX43" s="292"/>
      <c r="IBY43" s="292"/>
      <c r="IBZ43" s="292"/>
      <c r="ICA43" s="292"/>
      <c r="ICB43" s="292"/>
      <c r="ICC43" s="292"/>
      <c r="ICD43" s="292"/>
      <c r="ICE43" s="292"/>
      <c r="ICF43" s="292"/>
      <c r="ICG43" s="292"/>
      <c r="ICH43" s="292"/>
      <c r="ICI43" s="292"/>
      <c r="ICJ43" s="292"/>
      <c r="ICK43" s="292"/>
      <c r="ICL43" s="292"/>
      <c r="ICM43" s="292"/>
      <c r="ICN43" s="292"/>
      <c r="ICO43" s="292"/>
      <c r="ICP43" s="292"/>
      <c r="ICQ43" s="292"/>
      <c r="ICR43" s="292"/>
      <c r="ICS43" s="292"/>
      <c r="ICT43" s="292"/>
      <c r="ICU43" s="292"/>
      <c r="ICV43" s="292"/>
      <c r="ICW43" s="292"/>
      <c r="ICX43" s="292"/>
      <c r="ICY43" s="292"/>
      <c r="ICZ43" s="292"/>
      <c r="IDA43" s="292"/>
      <c r="IDB43" s="292"/>
      <c r="IDC43" s="292"/>
      <c r="IDD43" s="292"/>
      <c r="IDE43" s="292"/>
      <c r="IDF43" s="292"/>
      <c r="IDG43" s="292"/>
      <c r="IDH43" s="292"/>
      <c r="IDI43" s="292"/>
      <c r="IDJ43" s="292"/>
      <c r="IDK43" s="292"/>
      <c r="IDL43" s="292"/>
      <c r="IDM43" s="292"/>
      <c r="IDN43" s="292"/>
      <c r="IDO43" s="292"/>
      <c r="IDP43" s="292"/>
      <c r="IDQ43" s="292"/>
      <c r="IDR43" s="292"/>
      <c r="IDS43" s="292"/>
      <c r="IDT43" s="292"/>
      <c r="IDU43" s="292"/>
      <c r="IDV43" s="292"/>
      <c r="IDW43" s="292"/>
      <c r="IDX43" s="292"/>
      <c r="IDY43" s="292"/>
      <c r="IDZ43" s="292"/>
      <c r="IEA43" s="292"/>
      <c r="IEB43" s="292"/>
      <c r="IEC43" s="292"/>
      <c r="IED43" s="292"/>
      <c r="IEE43" s="292"/>
      <c r="IEF43" s="292"/>
      <c r="IEG43" s="292"/>
      <c r="IEH43" s="292"/>
      <c r="IEI43" s="292"/>
      <c r="IEJ43" s="292"/>
      <c r="IEK43" s="292"/>
      <c r="IEL43" s="292"/>
      <c r="IEM43" s="292"/>
      <c r="IEN43" s="292"/>
      <c r="IEO43" s="292"/>
      <c r="IEP43" s="292"/>
      <c r="IEQ43" s="292"/>
      <c r="IER43" s="292"/>
      <c r="IES43" s="292"/>
      <c r="IET43" s="292"/>
      <c r="IEU43" s="292"/>
      <c r="IEV43" s="292"/>
      <c r="IEW43" s="292"/>
      <c r="IEX43" s="292"/>
      <c r="IEY43" s="292"/>
      <c r="IEZ43" s="292"/>
      <c r="IFA43" s="292"/>
      <c r="IFB43" s="292"/>
      <c r="IFC43" s="292"/>
      <c r="IFD43" s="292"/>
      <c r="IFE43" s="292"/>
      <c r="IFF43" s="292"/>
      <c r="IFG43" s="292"/>
      <c r="IFH43" s="292"/>
      <c r="IFI43" s="292"/>
      <c r="IFJ43" s="292"/>
      <c r="IFK43" s="292"/>
      <c r="IFL43" s="292"/>
      <c r="IFM43" s="292"/>
      <c r="IFN43" s="292"/>
      <c r="IFO43" s="292"/>
      <c r="IFP43" s="292"/>
      <c r="IFQ43" s="292"/>
      <c r="IFR43" s="292"/>
      <c r="IFS43" s="292"/>
      <c r="IFT43" s="292"/>
      <c r="IFU43" s="292"/>
      <c r="IFV43" s="292"/>
      <c r="IFW43" s="292"/>
      <c r="IFX43" s="292"/>
      <c r="IFY43" s="292"/>
      <c r="IFZ43" s="292"/>
      <c r="IGA43" s="292"/>
      <c r="IGB43" s="292"/>
      <c r="IGC43" s="292"/>
      <c r="IGD43" s="292"/>
      <c r="IGE43" s="292"/>
      <c r="IGF43" s="292"/>
      <c r="IGG43" s="292"/>
      <c r="IGH43" s="292"/>
      <c r="IGI43" s="292"/>
      <c r="IGJ43" s="292"/>
      <c r="IGK43" s="292"/>
      <c r="IGL43" s="292"/>
      <c r="IGM43" s="292"/>
      <c r="IGN43" s="292"/>
      <c r="IGO43" s="292"/>
      <c r="IGP43" s="292"/>
      <c r="IGQ43" s="292"/>
      <c r="IGR43" s="292"/>
      <c r="IGS43" s="292"/>
      <c r="IGT43" s="292"/>
      <c r="IGU43" s="292"/>
      <c r="IGV43" s="292"/>
      <c r="IGW43" s="292"/>
      <c r="IGX43" s="292"/>
      <c r="IGY43" s="292"/>
      <c r="IGZ43" s="292"/>
      <c r="IHA43" s="292"/>
      <c r="IHB43" s="292"/>
      <c r="IHC43" s="292"/>
      <c r="IHD43" s="292"/>
      <c r="IHE43" s="292"/>
      <c r="IHF43" s="292"/>
      <c r="IHG43" s="292"/>
      <c r="IHH43" s="292"/>
      <c r="IHI43" s="292"/>
      <c r="IHJ43" s="292"/>
      <c r="IHK43" s="292"/>
      <c r="IHL43" s="292"/>
      <c r="IHM43" s="292"/>
      <c r="IHN43" s="292"/>
      <c r="IHO43" s="292"/>
      <c r="IHP43" s="292"/>
      <c r="IHQ43" s="292"/>
      <c r="IHR43" s="292"/>
      <c r="IHS43" s="292"/>
      <c r="IHT43" s="292"/>
      <c r="IHU43" s="292"/>
      <c r="IHV43" s="292"/>
      <c r="IHW43" s="292"/>
      <c r="IHX43" s="292"/>
      <c r="IHY43" s="292"/>
      <c r="IHZ43" s="292"/>
      <c r="IIA43" s="292"/>
      <c r="IIB43" s="292"/>
      <c r="IIC43" s="292"/>
      <c r="IID43" s="292"/>
      <c r="IIE43" s="292"/>
      <c r="IIF43" s="292"/>
      <c r="IIG43" s="292"/>
      <c r="IIH43" s="292"/>
      <c r="III43" s="292"/>
      <c r="IIJ43" s="292"/>
      <c r="IIK43" s="292"/>
      <c r="IIL43" s="292"/>
      <c r="IIM43" s="292"/>
      <c r="IIN43" s="292"/>
      <c r="IIO43" s="292"/>
      <c r="IIP43" s="292"/>
      <c r="IIQ43" s="292"/>
      <c r="IIR43" s="292"/>
      <c r="IIS43" s="292"/>
      <c r="IIT43" s="292"/>
      <c r="IIU43" s="292"/>
      <c r="IIV43" s="292"/>
      <c r="IIW43" s="292"/>
      <c r="IIX43" s="292"/>
      <c r="IIY43" s="292"/>
      <c r="IIZ43" s="292"/>
      <c r="IJA43" s="292"/>
      <c r="IJB43" s="292"/>
      <c r="IJC43" s="292"/>
      <c r="IJD43" s="292"/>
      <c r="IJE43" s="292"/>
      <c r="IJF43" s="292"/>
      <c r="IJG43" s="292"/>
      <c r="IJH43" s="292"/>
      <c r="IJI43" s="292"/>
      <c r="IJJ43" s="292"/>
      <c r="IJK43" s="292"/>
      <c r="IJL43" s="292"/>
      <c r="IJM43" s="292"/>
      <c r="IJN43" s="292"/>
      <c r="IJO43" s="292"/>
      <c r="IJP43" s="292"/>
      <c r="IJQ43" s="292"/>
      <c r="IJR43" s="292"/>
      <c r="IJS43" s="292"/>
      <c r="IJT43" s="292"/>
      <c r="IJU43" s="292"/>
      <c r="IJV43" s="292"/>
      <c r="IJW43" s="292"/>
      <c r="IJX43" s="292"/>
      <c r="IJY43" s="292"/>
      <c r="IJZ43" s="292"/>
      <c r="IKA43" s="292"/>
      <c r="IKB43" s="292"/>
      <c r="IKC43" s="292"/>
      <c r="IKD43" s="292"/>
      <c r="IKE43" s="292"/>
      <c r="IKF43" s="292"/>
      <c r="IKG43" s="292"/>
      <c r="IKH43" s="292"/>
      <c r="IKI43" s="292"/>
      <c r="IKJ43" s="292"/>
      <c r="IKK43" s="292"/>
      <c r="IKL43" s="292"/>
      <c r="IKM43" s="292"/>
      <c r="IKN43" s="292"/>
      <c r="IKO43" s="292"/>
      <c r="IKP43" s="292"/>
      <c r="IKQ43" s="292"/>
      <c r="IKR43" s="292"/>
      <c r="IKS43" s="292"/>
      <c r="IKT43" s="292"/>
      <c r="IKU43" s="292"/>
      <c r="IKV43" s="292"/>
      <c r="IKW43" s="292"/>
      <c r="IKX43" s="292"/>
      <c r="IKY43" s="292"/>
      <c r="IKZ43" s="292"/>
      <c r="ILA43" s="292"/>
      <c r="ILB43" s="292"/>
      <c r="ILC43" s="292"/>
      <c r="ILD43" s="292"/>
      <c r="ILE43" s="292"/>
      <c r="ILF43" s="292"/>
      <c r="ILG43" s="292"/>
      <c r="ILH43" s="292"/>
      <c r="ILI43" s="292"/>
      <c r="ILJ43" s="292"/>
      <c r="ILK43" s="292"/>
      <c r="ILL43" s="292"/>
      <c r="ILM43" s="292"/>
      <c r="ILN43" s="292"/>
      <c r="ILO43" s="292"/>
      <c r="ILP43" s="292"/>
      <c r="ILQ43" s="292"/>
      <c r="ILR43" s="292"/>
      <c r="ILS43" s="292"/>
      <c r="ILT43" s="292"/>
      <c r="ILU43" s="292"/>
      <c r="ILV43" s="292"/>
      <c r="ILW43" s="292"/>
      <c r="ILX43" s="292"/>
      <c r="ILY43" s="292"/>
      <c r="ILZ43" s="292"/>
      <c r="IMA43" s="292"/>
      <c r="IMB43" s="292"/>
      <c r="IMC43" s="292"/>
      <c r="IMD43" s="292"/>
      <c r="IME43" s="292"/>
      <c r="IMF43" s="292"/>
      <c r="IMG43" s="292"/>
      <c r="IMH43" s="292"/>
      <c r="IMI43" s="292"/>
      <c r="IMJ43" s="292"/>
      <c r="IMK43" s="292"/>
      <c r="IML43" s="292"/>
      <c r="IMM43" s="292"/>
      <c r="IMN43" s="292"/>
      <c r="IMO43" s="292"/>
      <c r="IMP43" s="292"/>
      <c r="IMQ43" s="292"/>
      <c r="IMR43" s="292"/>
      <c r="IMS43" s="292"/>
      <c r="IMT43" s="292"/>
      <c r="IMU43" s="292"/>
      <c r="IMV43" s="292"/>
      <c r="IMW43" s="292"/>
      <c r="IMX43" s="292"/>
      <c r="IMY43" s="292"/>
      <c r="IMZ43" s="292"/>
      <c r="INA43" s="292"/>
      <c r="INB43" s="292"/>
      <c r="INC43" s="292"/>
      <c r="IND43" s="292"/>
      <c r="INE43" s="292"/>
      <c r="INF43" s="292"/>
      <c r="ING43" s="292"/>
      <c r="INH43" s="292"/>
      <c r="INI43" s="292"/>
      <c r="INJ43" s="292"/>
      <c r="INK43" s="292"/>
      <c r="INL43" s="292"/>
      <c r="INM43" s="292"/>
      <c r="INN43" s="292"/>
      <c r="INO43" s="292"/>
      <c r="INP43" s="292"/>
      <c r="INQ43" s="292"/>
      <c r="INR43" s="292"/>
      <c r="INS43" s="292"/>
      <c r="INT43" s="292"/>
      <c r="INU43" s="292"/>
      <c r="INV43" s="292"/>
      <c r="INW43" s="292"/>
      <c r="INX43" s="292"/>
      <c r="INY43" s="292"/>
      <c r="INZ43" s="292"/>
      <c r="IOA43" s="292"/>
      <c r="IOB43" s="292"/>
      <c r="IOC43" s="292"/>
      <c r="IOD43" s="292"/>
      <c r="IOE43" s="292"/>
      <c r="IOF43" s="292"/>
      <c r="IOG43" s="292"/>
      <c r="IOH43" s="292"/>
      <c r="IOI43" s="292"/>
      <c r="IOJ43" s="292"/>
      <c r="IOK43" s="292"/>
      <c r="IOL43" s="292"/>
      <c r="IOM43" s="292"/>
      <c r="ION43" s="292"/>
      <c r="IOO43" s="292"/>
      <c r="IOP43" s="292"/>
      <c r="IOQ43" s="292"/>
      <c r="IOR43" s="292"/>
      <c r="IOS43" s="292"/>
      <c r="IOT43" s="292"/>
      <c r="IOU43" s="292"/>
      <c r="IOV43" s="292"/>
      <c r="IOW43" s="292"/>
      <c r="IOX43" s="292"/>
      <c r="IOY43" s="292"/>
      <c r="IOZ43" s="292"/>
      <c r="IPA43" s="292"/>
      <c r="IPB43" s="292"/>
      <c r="IPC43" s="292"/>
      <c r="IPD43" s="292"/>
      <c r="IPE43" s="292"/>
      <c r="IPF43" s="292"/>
      <c r="IPG43" s="292"/>
      <c r="IPH43" s="292"/>
      <c r="IPI43" s="292"/>
      <c r="IPJ43" s="292"/>
      <c r="IPK43" s="292"/>
      <c r="IPL43" s="292"/>
      <c r="IPM43" s="292"/>
      <c r="IPN43" s="292"/>
      <c r="IPO43" s="292"/>
      <c r="IPP43" s="292"/>
      <c r="IPQ43" s="292"/>
      <c r="IPR43" s="292"/>
      <c r="IPS43" s="292"/>
      <c r="IPT43" s="292"/>
      <c r="IPU43" s="292"/>
      <c r="IPV43" s="292"/>
      <c r="IPW43" s="292"/>
      <c r="IPX43" s="292"/>
      <c r="IPY43" s="292"/>
      <c r="IPZ43" s="292"/>
      <c r="IQA43" s="292"/>
      <c r="IQB43" s="292"/>
      <c r="IQC43" s="292"/>
      <c r="IQD43" s="292"/>
      <c r="IQE43" s="292"/>
      <c r="IQF43" s="292"/>
      <c r="IQG43" s="292"/>
      <c r="IQH43" s="292"/>
      <c r="IQI43" s="292"/>
      <c r="IQJ43" s="292"/>
      <c r="IQK43" s="292"/>
      <c r="IQL43" s="292"/>
      <c r="IQM43" s="292"/>
      <c r="IQN43" s="292"/>
      <c r="IQO43" s="292"/>
      <c r="IQP43" s="292"/>
      <c r="IQQ43" s="292"/>
      <c r="IQR43" s="292"/>
      <c r="IQS43" s="292"/>
      <c r="IQT43" s="292"/>
      <c r="IQU43" s="292"/>
      <c r="IQV43" s="292"/>
      <c r="IQW43" s="292"/>
      <c r="IQX43" s="292"/>
      <c r="IQY43" s="292"/>
      <c r="IQZ43" s="292"/>
      <c r="IRA43" s="292"/>
      <c r="IRB43" s="292"/>
      <c r="IRC43" s="292"/>
      <c r="IRD43" s="292"/>
      <c r="IRE43" s="292"/>
      <c r="IRF43" s="292"/>
      <c r="IRG43" s="292"/>
      <c r="IRH43" s="292"/>
      <c r="IRI43" s="292"/>
      <c r="IRJ43" s="292"/>
      <c r="IRK43" s="292"/>
      <c r="IRL43" s="292"/>
      <c r="IRM43" s="292"/>
      <c r="IRN43" s="292"/>
      <c r="IRO43" s="292"/>
      <c r="IRP43" s="292"/>
      <c r="IRQ43" s="292"/>
      <c r="IRR43" s="292"/>
      <c r="IRS43" s="292"/>
      <c r="IRT43" s="292"/>
      <c r="IRU43" s="292"/>
      <c r="IRV43" s="292"/>
      <c r="IRW43" s="292"/>
      <c r="IRX43" s="292"/>
      <c r="IRY43" s="292"/>
      <c r="IRZ43" s="292"/>
      <c r="ISA43" s="292"/>
      <c r="ISB43" s="292"/>
      <c r="ISC43" s="292"/>
      <c r="ISD43" s="292"/>
      <c r="ISE43" s="292"/>
      <c r="ISF43" s="292"/>
      <c r="ISG43" s="292"/>
      <c r="ISH43" s="292"/>
      <c r="ISI43" s="292"/>
      <c r="ISJ43" s="292"/>
      <c r="ISK43" s="292"/>
      <c r="ISL43" s="292"/>
      <c r="ISM43" s="292"/>
      <c r="ISN43" s="292"/>
      <c r="ISO43" s="292"/>
      <c r="ISP43" s="292"/>
      <c r="ISQ43" s="292"/>
      <c r="ISR43" s="292"/>
      <c r="ISS43" s="292"/>
      <c r="IST43" s="292"/>
      <c r="ISU43" s="292"/>
      <c r="ISV43" s="292"/>
      <c r="ISW43" s="292"/>
      <c r="ISX43" s="292"/>
      <c r="ISY43" s="292"/>
      <c r="ISZ43" s="292"/>
      <c r="ITA43" s="292"/>
      <c r="ITB43" s="292"/>
      <c r="ITC43" s="292"/>
      <c r="ITD43" s="292"/>
      <c r="ITE43" s="292"/>
      <c r="ITF43" s="292"/>
      <c r="ITG43" s="292"/>
      <c r="ITH43" s="292"/>
      <c r="ITI43" s="292"/>
      <c r="ITJ43" s="292"/>
      <c r="ITK43" s="292"/>
      <c r="ITL43" s="292"/>
      <c r="ITM43" s="292"/>
      <c r="ITN43" s="292"/>
      <c r="ITO43" s="292"/>
      <c r="ITP43" s="292"/>
      <c r="ITQ43" s="292"/>
      <c r="ITR43" s="292"/>
      <c r="ITS43" s="292"/>
      <c r="ITT43" s="292"/>
      <c r="ITU43" s="292"/>
      <c r="ITV43" s="292"/>
      <c r="ITW43" s="292"/>
      <c r="ITX43" s="292"/>
      <c r="ITY43" s="292"/>
      <c r="ITZ43" s="292"/>
      <c r="IUA43" s="292"/>
      <c r="IUB43" s="292"/>
      <c r="IUC43" s="292"/>
      <c r="IUD43" s="292"/>
      <c r="IUE43" s="292"/>
      <c r="IUF43" s="292"/>
      <c r="IUG43" s="292"/>
      <c r="IUH43" s="292"/>
      <c r="IUI43" s="292"/>
      <c r="IUJ43" s="292"/>
      <c r="IUK43" s="292"/>
      <c r="IUL43" s="292"/>
      <c r="IUM43" s="292"/>
      <c r="IUN43" s="292"/>
      <c r="IUO43" s="292"/>
      <c r="IUP43" s="292"/>
      <c r="IUQ43" s="292"/>
      <c r="IUR43" s="292"/>
      <c r="IUS43" s="292"/>
      <c r="IUT43" s="292"/>
      <c r="IUU43" s="292"/>
      <c r="IUV43" s="292"/>
      <c r="IUW43" s="292"/>
      <c r="IUX43" s="292"/>
      <c r="IUY43" s="292"/>
      <c r="IUZ43" s="292"/>
      <c r="IVA43" s="292"/>
      <c r="IVB43" s="292"/>
      <c r="IVC43" s="292"/>
      <c r="IVD43" s="292"/>
      <c r="IVE43" s="292"/>
      <c r="IVF43" s="292"/>
      <c r="IVG43" s="292"/>
      <c r="IVH43" s="292"/>
      <c r="IVI43" s="292"/>
      <c r="IVJ43" s="292"/>
      <c r="IVK43" s="292"/>
      <c r="IVL43" s="292"/>
      <c r="IVM43" s="292"/>
      <c r="IVN43" s="292"/>
      <c r="IVO43" s="292"/>
      <c r="IVP43" s="292"/>
      <c r="IVQ43" s="292"/>
      <c r="IVR43" s="292"/>
      <c r="IVS43" s="292"/>
      <c r="IVT43" s="292"/>
      <c r="IVU43" s="292"/>
      <c r="IVV43" s="292"/>
      <c r="IVW43" s="292"/>
      <c r="IVX43" s="292"/>
      <c r="IVY43" s="292"/>
      <c r="IVZ43" s="292"/>
      <c r="IWA43" s="292"/>
      <c r="IWB43" s="292"/>
      <c r="IWC43" s="292"/>
      <c r="IWD43" s="292"/>
      <c r="IWE43" s="292"/>
      <c r="IWF43" s="292"/>
      <c r="IWG43" s="292"/>
      <c r="IWH43" s="292"/>
      <c r="IWI43" s="292"/>
      <c r="IWJ43" s="292"/>
      <c r="IWK43" s="292"/>
      <c r="IWL43" s="292"/>
      <c r="IWM43" s="292"/>
      <c r="IWN43" s="292"/>
      <c r="IWO43" s="292"/>
      <c r="IWP43" s="292"/>
      <c r="IWQ43" s="292"/>
      <c r="IWR43" s="292"/>
      <c r="IWS43" s="292"/>
      <c r="IWT43" s="292"/>
      <c r="IWU43" s="292"/>
      <c r="IWV43" s="292"/>
      <c r="IWW43" s="292"/>
      <c r="IWX43" s="292"/>
      <c r="IWY43" s="292"/>
      <c r="IWZ43" s="292"/>
      <c r="IXA43" s="292"/>
      <c r="IXB43" s="292"/>
      <c r="IXC43" s="292"/>
      <c r="IXD43" s="292"/>
      <c r="IXE43" s="292"/>
      <c r="IXF43" s="292"/>
      <c r="IXG43" s="292"/>
      <c r="IXH43" s="292"/>
      <c r="IXI43" s="292"/>
      <c r="IXJ43" s="292"/>
      <c r="IXK43" s="292"/>
      <c r="IXL43" s="292"/>
      <c r="IXM43" s="292"/>
      <c r="IXN43" s="292"/>
      <c r="IXO43" s="292"/>
      <c r="IXP43" s="292"/>
      <c r="IXQ43" s="292"/>
      <c r="IXR43" s="292"/>
      <c r="IXS43" s="292"/>
      <c r="IXT43" s="292"/>
      <c r="IXU43" s="292"/>
      <c r="IXV43" s="292"/>
      <c r="IXW43" s="292"/>
      <c r="IXX43" s="292"/>
      <c r="IXY43" s="292"/>
      <c r="IXZ43" s="292"/>
      <c r="IYA43" s="292"/>
      <c r="IYB43" s="292"/>
      <c r="IYC43" s="292"/>
      <c r="IYD43" s="292"/>
      <c r="IYE43" s="292"/>
      <c r="IYF43" s="292"/>
      <c r="IYG43" s="292"/>
      <c r="IYH43" s="292"/>
      <c r="IYI43" s="292"/>
      <c r="IYJ43" s="292"/>
      <c r="IYK43" s="292"/>
      <c r="IYL43" s="292"/>
      <c r="IYM43" s="292"/>
      <c r="IYN43" s="292"/>
      <c r="IYO43" s="292"/>
      <c r="IYP43" s="292"/>
      <c r="IYQ43" s="292"/>
      <c r="IYR43" s="292"/>
      <c r="IYS43" s="292"/>
      <c r="IYT43" s="292"/>
      <c r="IYU43" s="292"/>
      <c r="IYV43" s="292"/>
      <c r="IYW43" s="292"/>
      <c r="IYX43" s="292"/>
      <c r="IYY43" s="292"/>
      <c r="IYZ43" s="292"/>
      <c r="IZA43" s="292"/>
      <c r="IZB43" s="292"/>
      <c r="IZC43" s="292"/>
      <c r="IZD43" s="292"/>
      <c r="IZE43" s="292"/>
      <c r="IZF43" s="292"/>
      <c r="IZG43" s="292"/>
      <c r="IZH43" s="292"/>
      <c r="IZI43" s="292"/>
      <c r="IZJ43" s="292"/>
      <c r="IZK43" s="292"/>
      <c r="IZL43" s="292"/>
      <c r="IZM43" s="292"/>
      <c r="IZN43" s="292"/>
      <c r="IZO43" s="292"/>
      <c r="IZP43" s="292"/>
      <c r="IZQ43" s="292"/>
      <c r="IZR43" s="292"/>
      <c r="IZS43" s="292"/>
      <c r="IZT43" s="292"/>
      <c r="IZU43" s="292"/>
      <c r="IZV43" s="292"/>
      <c r="IZW43" s="292"/>
      <c r="IZX43" s="292"/>
      <c r="IZY43" s="292"/>
      <c r="IZZ43" s="292"/>
      <c r="JAA43" s="292"/>
      <c r="JAB43" s="292"/>
      <c r="JAC43" s="292"/>
      <c r="JAD43" s="292"/>
      <c r="JAE43" s="292"/>
      <c r="JAF43" s="292"/>
      <c r="JAG43" s="292"/>
      <c r="JAH43" s="292"/>
      <c r="JAI43" s="292"/>
      <c r="JAJ43" s="292"/>
      <c r="JAK43" s="292"/>
      <c r="JAL43" s="292"/>
      <c r="JAM43" s="292"/>
      <c r="JAN43" s="292"/>
      <c r="JAO43" s="292"/>
      <c r="JAP43" s="292"/>
      <c r="JAQ43" s="292"/>
      <c r="JAR43" s="292"/>
      <c r="JAS43" s="292"/>
      <c r="JAT43" s="292"/>
      <c r="JAU43" s="292"/>
      <c r="JAV43" s="292"/>
      <c r="JAW43" s="292"/>
      <c r="JAX43" s="292"/>
      <c r="JAY43" s="292"/>
      <c r="JAZ43" s="292"/>
      <c r="JBA43" s="292"/>
      <c r="JBB43" s="292"/>
      <c r="JBC43" s="292"/>
      <c r="JBD43" s="292"/>
      <c r="JBE43" s="292"/>
      <c r="JBF43" s="292"/>
      <c r="JBG43" s="292"/>
      <c r="JBH43" s="292"/>
      <c r="JBI43" s="292"/>
      <c r="JBJ43" s="292"/>
      <c r="JBK43" s="292"/>
      <c r="JBL43" s="292"/>
      <c r="JBM43" s="292"/>
      <c r="JBN43" s="292"/>
      <c r="JBO43" s="292"/>
      <c r="JBP43" s="292"/>
      <c r="JBQ43" s="292"/>
      <c r="JBR43" s="292"/>
      <c r="JBS43" s="292"/>
      <c r="JBT43" s="292"/>
      <c r="JBU43" s="292"/>
      <c r="JBV43" s="292"/>
      <c r="JBW43" s="292"/>
      <c r="JBX43" s="292"/>
      <c r="JBY43" s="292"/>
      <c r="JBZ43" s="292"/>
      <c r="JCA43" s="292"/>
      <c r="JCB43" s="292"/>
      <c r="JCC43" s="292"/>
      <c r="JCD43" s="292"/>
      <c r="JCE43" s="292"/>
      <c r="JCF43" s="292"/>
      <c r="JCG43" s="292"/>
      <c r="JCH43" s="292"/>
      <c r="JCI43" s="292"/>
      <c r="JCJ43" s="292"/>
      <c r="JCK43" s="292"/>
      <c r="JCL43" s="292"/>
      <c r="JCM43" s="292"/>
      <c r="JCN43" s="292"/>
      <c r="JCO43" s="292"/>
      <c r="JCP43" s="292"/>
      <c r="JCQ43" s="292"/>
      <c r="JCR43" s="292"/>
      <c r="JCS43" s="292"/>
      <c r="JCT43" s="292"/>
      <c r="JCU43" s="292"/>
      <c r="JCV43" s="292"/>
      <c r="JCW43" s="292"/>
      <c r="JCX43" s="292"/>
      <c r="JCY43" s="292"/>
      <c r="JCZ43" s="292"/>
      <c r="JDA43" s="292"/>
      <c r="JDB43" s="292"/>
      <c r="JDC43" s="292"/>
      <c r="JDD43" s="292"/>
      <c r="JDE43" s="292"/>
      <c r="JDF43" s="292"/>
      <c r="JDG43" s="292"/>
      <c r="JDH43" s="292"/>
      <c r="JDI43" s="292"/>
      <c r="JDJ43" s="292"/>
      <c r="JDK43" s="292"/>
      <c r="JDL43" s="292"/>
      <c r="JDM43" s="292"/>
      <c r="JDN43" s="292"/>
      <c r="JDO43" s="292"/>
      <c r="JDP43" s="292"/>
      <c r="JDQ43" s="292"/>
      <c r="JDR43" s="292"/>
      <c r="JDS43" s="292"/>
      <c r="JDT43" s="292"/>
      <c r="JDU43" s="292"/>
      <c r="JDV43" s="292"/>
      <c r="JDW43" s="292"/>
      <c r="JDX43" s="292"/>
      <c r="JDY43" s="292"/>
      <c r="JDZ43" s="292"/>
      <c r="JEA43" s="292"/>
      <c r="JEB43" s="292"/>
      <c r="JEC43" s="292"/>
      <c r="JED43" s="292"/>
      <c r="JEE43" s="292"/>
      <c r="JEF43" s="292"/>
      <c r="JEG43" s="292"/>
      <c r="JEH43" s="292"/>
      <c r="JEI43" s="292"/>
      <c r="JEJ43" s="292"/>
      <c r="JEK43" s="292"/>
      <c r="JEL43" s="292"/>
      <c r="JEM43" s="292"/>
      <c r="JEN43" s="292"/>
      <c r="JEO43" s="292"/>
      <c r="JEP43" s="292"/>
      <c r="JEQ43" s="292"/>
      <c r="JER43" s="292"/>
      <c r="JES43" s="292"/>
      <c r="JET43" s="292"/>
      <c r="JEU43" s="292"/>
      <c r="JEV43" s="292"/>
      <c r="JEW43" s="292"/>
      <c r="JEX43" s="292"/>
      <c r="JEY43" s="292"/>
      <c r="JEZ43" s="292"/>
      <c r="JFA43" s="292"/>
      <c r="JFB43" s="292"/>
      <c r="JFC43" s="292"/>
      <c r="JFD43" s="292"/>
      <c r="JFE43" s="292"/>
      <c r="JFF43" s="292"/>
      <c r="JFG43" s="292"/>
      <c r="JFH43" s="292"/>
      <c r="JFI43" s="292"/>
      <c r="JFJ43" s="292"/>
      <c r="JFK43" s="292"/>
      <c r="JFL43" s="292"/>
      <c r="JFM43" s="292"/>
      <c r="JFN43" s="292"/>
      <c r="JFO43" s="292"/>
      <c r="JFP43" s="292"/>
      <c r="JFQ43" s="292"/>
      <c r="JFR43" s="292"/>
      <c r="JFS43" s="292"/>
      <c r="JFT43" s="292"/>
      <c r="JFU43" s="292"/>
      <c r="JFV43" s="292"/>
      <c r="JFW43" s="292"/>
      <c r="JFX43" s="292"/>
      <c r="JFY43" s="292"/>
      <c r="JFZ43" s="292"/>
      <c r="JGA43" s="292"/>
      <c r="JGB43" s="292"/>
      <c r="JGC43" s="292"/>
      <c r="JGD43" s="292"/>
      <c r="JGE43" s="292"/>
      <c r="JGF43" s="292"/>
      <c r="JGG43" s="292"/>
      <c r="JGH43" s="292"/>
      <c r="JGI43" s="292"/>
      <c r="JGJ43" s="292"/>
      <c r="JGK43" s="292"/>
      <c r="JGL43" s="292"/>
      <c r="JGM43" s="292"/>
      <c r="JGN43" s="292"/>
      <c r="JGO43" s="292"/>
      <c r="JGP43" s="292"/>
      <c r="JGQ43" s="292"/>
      <c r="JGR43" s="292"/>
      <c r="JGS43" s="292"/>
      <c r="JGT43" s="292"/>
      <c r="JGU43" s="292"/>
      <c r="JGV43" s="292"/>
      <c r="JGW43" s="292"/>
      <c r="JGX43" s="292"/>
      <c r="JGY43" s="292"/>
      <c r="JGZ43" s="292"/>
      <c r="JHA43" s="292"/>
      <c r="JHB43" s="292"/>
      <c r="JHC43" s="292"/>
      <c r="JHD43" s="292"/>
      <c r="JHE43" s="292"/>
      <c r="JHF43" s="292"/>
      <c r="JHG43" s="292"/>
      <c r="JHH43" s="292"/>
      <c r="JHI43" s="292"/>
      <c r="JHJ43" s="292"/>
      <c r="JHK43" s="292"/>
      <c r="JHL43" s="292"/>
      <c r="JHM43" s="292"/>
      <c r="JHN43" s="292"/>
      <c r="JHO43" s="292"/>
      <c r="JHP43" s="292"/>
      <c r="JHQ43" s="292"/>
      <c r="JHR43" s="292"/>
      <c r="JHS43" s="292"/>
      <c r="JHT43" s="292"/>
      <c r="JHU43" s="292"/>
      <c r="JHV43" s="292"/>
      <c r="JHW43" s="292"/>
      <c r="JHX43" s="292"/>
      <c r="JHY43" s="292"/>
      <c r="JHZ43" s="292"/>
      <c r="JIA43" s="292"/>
      <c r="JIB43" s="292"/>
      <c r="JIC43" s="292"/>
      <c r="JID43" s="292"/>
      <c r="JIE43" s="292"/>
      <c r="JIF43" s="292"/>
      <c r="JIG43" s="292"/>
      <c r="JIH43" s="292"/>
      <c r="JII43" s="292"/>
      <c r="JIJ43" s="292"/>
      <c r="JIK43" s="292"/>
      <c r="JIL43" s="292"/>
      <c r="JIM43" s="292"/>
      <c r="JIN43" s="292"/>
      <c r="JIO43" s="292"/>
      <c r="JIP43" s="292"/>
      <c r="JIQ43" s="292"/>
      <c r="JIR43" s="292"/>
      <c r="JIS43" s="292"/>
      <c r="JIT43" s="292"/>
      <c r="JIU43" s="292"/>
      <c r="JIV43" s="292"/>
      <c r="JIW43" s="292"/>
      <c r="JIX43" s="292"/>
      <c r="JIY43" s="292"/>
      <c r="JIZ43" s="292"/>
      <c r="JJA43" s="292"/>
      <c r="JJB43" s="292"/>
      <c r="JJC43" s="292"/>
      <c r="JJD43" s="292"/>
      <c r="JJE43" s="292"/>
      <c r="JJF43" s="292"/>
      <c r="JJG43" s="292"/>
      <c r="JJH43" s="292"/>
      <c r="JJI43" s="292"/>
      <c r="JJJ43" s="292"/>
      <c r="JJK43" s="292"/>
      <c r="JJL43" s="292"/>
      <c r="JJM43" s="292"/>
      <c r="JJN43" s="292"/>
      <c r="JJO43" s="292"/>
      <c r="JJP43" s="292"/>
      <c r="JJQ43" s="292"/>
      <c r="JJR43" s="292"/>
      <c r="JJS43" s="292"/>
      <c r="JJT43" s="292"/>
      <c r="JJU43" s="292"/>
      <c r="JJV43" s="292"/>
      <c r="JJW43" s="292"/>
      <c r="JJX43" s="292"/>
      <c r="JJY43" s="292"/>
      <c r="JJZ43" s="292"/>
      <c r="JKA43" s="292"/>
      <c r="JKB43" s="292"/>
      <c r="JKC43" s="292"/>
      <c r="JKD43" s="292"/>
      <c r="JKE43" s="292"/>
      <c r="JKF43" s="292"/>
      <c r="JKG43" s="292"/>
      <c r="JKH43" s="292"/>
      <c r="JKI43" s="292"/>
      <c r="JKJ43" s="292"/>
      <c r="JKK43" s="292"/>
      <c r="JKL43" s="292"/>
      <c r="JKM43" s="292"/>
      <c r="JKN43" s="292"/>
      <c r="JKO43" s="292"/>
      <c r="JKP43" s="292"/>
      <c r="JKQ43" s="292"/>
      <c r="JKR43" s="292"/>
      <c r="JKS43" s="292"/>
      <c r="JKT43" s="292"/>
      <c r="JKU43" s="292"/>
      <c r="JKV43" s="292"/>
      <c r="JKW43" s="292"/>
      <c r="JKX43" s="292"/>
      <c r="JKY43" s="292"/>
      <c r="JKZ43" s="292"/>
      <c r="JLA43" s="292"/>
      <c r="JLB43" s="292"/>
      <c r="JLC43" s="292"/>
      <c r="JLD43" s="292"/>
      <c r="JLE43" s="292"/>
      <c r="JLF43" s="292"/>
      <c r="JLG43" s="292"/>
      <c r="JLH43" s="292"/>
      <c r="JLI43" s="292"/>
      <c r="JLJ43" s="292"/>
      <c r="JLK43" s="292"/>
      <c r="JLL43" s="292"/>
      <c r="JLM43" s="292"/>
      <c r="JLN43" s="292"/>
      <c r="JLO43" s="292"/>
      <c r="JLP43" s="292"/>
      <c r="JLQ43" s="292"/>
      <c r="JLR43" s="292"/>
      <c r="JLS43" s="292"/>
      <c r="JLT43" s="292"/>
      <c r="JLU43" s="292"/>
      <c r="JLV43" s="292"/>
      <c r="JLW43" s="292"/>
      <c r="JLX43" s="292"/>
      <c r="JLY43" s="292"/>
      <c r="JLZ43" s="292"/>
      <c r="JMA43" s="292"/>
      <c r="JMB43" s="292"/>
      <c r="JMC43" s="292"/>
      <c r="JMD43" s="292"/>
      <c r="JME43" s="292"/>
      <c r="JMF43" s="292"/>
      <c r="JMG43" s="292"/>
      <c r="JMH43" s="292"/>
      <c r="JMI43" s="292"/>
      <c r="JMJ43" s="292"/>
      <c r="JMK43" s="292"/>
      <c r="JML43" s="292"/>
      <c r="JMM43" s="292"/>
      <c r="JMN43" s="292"/>
      <c r="JMO43" s="292"/>
      <c r="JMP43" s="292"/>
      <c r="JMQ43" s="292"/>
      <c r="JMR43" s="292"/>
      <c r="JMS43" s="292"/>
      <c r="JMT43" s="292"/>
      <c r="JMU43" s="292"/>
      <c r="JMV43" s="292"/>
      <c r="JMW43" s="292"/>
      <c r="JMX43" s="292"/>
      <c r="JMY43" s="292"/>
      <c r="JMZ43" s="292"/>
      <c r="JNA43" s="292"/>
      <c r="JNB43" s="292"/>
      <c r="JNC43" s="292"/>
      <c r="JND43" s="292"/>
      <c r="JNE43" s="292"/>
      <c r="JNF43" s="292"/>
      <c r="JNG43" s="292"/>
      <c r="JNH43" s="292"/>
      <c r="JNI43" s="292"/>
      <c r="JNJ43" s="292"/>
      <c r="JNK43" s="292"/>
      <c r="JNL43" s="292"/>
      <c r="JNM43" s="292"/>
      <c r="JNN43" s="292"/>
      <c r="JNO43" s="292"/>
      <c r="JNP43" s="292"/>
      <c r="JNQ43" s="292"/>
      <c r="JNR43" s="292"/>
      <c r="JNS43" s="292"/>
      <c r="JNT43" s="292"/>
      <c r="JNU43" s="292"/>
      <c r="JNV43" s="292"/>
      <c r="JNW43" s="292"/>
      <c r="JNX43" s="292"/>
      <c r="JNY43" s="292"/>
      <c r="JNZ43" s="292"/>
      <c r="JOA43" s="292"/>
      <c r="JOB43" s="292"/>
      <c r="JOC43" s="292"/>
      <c r="JOD43" s="292"/>
      <c r="JOE43" s="292"/>
      <c r="JOF43" s="292"/>
      <c r="JOG43" s="292"/>
      <c r="JOH43" s="292"/>
      <c r="JOI43" s="292"/>
      <c r="JOJ43" s="292"/>
      <c r="JOK43" s="292"/>
      <c r="JOL43" s="292"/>
      <c r="JOM43" s="292"/>
      <c r="JON43" s="292"/>
      <c r="JOO43" s="292"/>
      <c r="JOP43" s="292"/>
      <c r="JOQ43" s="292"/>
      <c r="JOR43" s="292"/>
      <c r="JOS43" s="292"/>
      <c r="JOT43" s="292"/>
      <c r="JOU43" s="292"/>
      <c r="JOV43" s="292"/>
      <c r="JOW43" s="292"/>
      <c r="JOX43" s="292"/>
      <c r="JOY43" s="292"/>
      <c r="JOZ43" s="292"/>
      <c r="JPA43" s="292"/>
      <c r="JPB43" s="292"/>
      <c r="JPC43" s="292"/>
      <c r="JPD43" s="292"/>
      <c r="JPE43" s="292"/>
      <c r="JPF43" s="292"/>
      <c r="JPG43" s="292"/>
      <c r="JPH43" s="292"/>
      <c r="JPI43" s="292"/>
      <c r="JPJ43" s="292"/>
      <c r="JPK43" s="292"/>
      <c r="JPL43" s="292"/>
      <c r="JPM43" s="292"/>
      <c r="JPN43" s="292"/>
      <c r="JPO43" s="292"/>
      <c r="JPP43" s="292"/>
      <c r="JPQ43" s="292"/>
      <c r="JPR43" s="292"/>
      <c r="JPS43" s="292"/>
      <c r="JPT43" s="292"/>
      <c r="JPU43" s="292"/>
      <c r="JPV43" s="292"/>
      <c r="JPW43" s="292"/>
      <c r="JPX43" s="292"/>
      <c r="JPY43" s="292"/>
      <c r="JPZ43" s="292"/>
      <c r="JQA43" s="292"/>
      <c r="JQB43" s="292"/>
      <c r="JQC43" s="292"/>
      <c r="JQD43" s="292"/>
      <c r="JQE43" s="292"/>
      <c r="JQF43" s="292"/>
      <c r="JQG43" s="292"/>
      <c r="JQH43" s="292"/>
      <c r="JQI43" s="292"/>
      <c r="JQJ43" s="292"/>
      <c r="JQK43" s="292"/>
      <c r="JQL43" s="292"/>
      <c r="JQM43" s="292"/>
      <c r="JQN43" s="292"/>
      <c r="JQO43" s="292"/>
      <c r="JQP43" s="292"/>
      <c r="JQQ43" s="292"/>
      <c r="JQR43" s="292"/>
      <c r="JQS43" s="292"/>
      <c r="JQT43" s="292"/>
      <c r="JQU43" s="292"/>
      <c r="JQV43" s="292"/>
      <c r="JQW43" s="292"/>
      <c r="JQX43" s="292"/>
      <c r="JQY43" s="292"/>
      <c r="JQZ43" s="292"/>
      <c r="JRA43" s="292"/>
      <c r="JRB43" s="292"/>
      <c r="JRC43" s="292"/>
      <c r="JRD43" s="292"/>
      <c r="JRE43" s="292"/>
      <c r="JRF43" s="292"/>
      <c r="JRG43" s="292"/>
      <c r="JRH43" s="292"/>
      <c r="JRI43" s="292"/>
      <c r="JRJ43" s="292"/>
      <c r="JRK43" s="292"/>
      <c r="JRL43" s="292"/>
      <c r="JRM43" s="292"/>
      <c r="JRN43" s="292"/>
      <c r="JRO43" s="292"/>
      <c r="JRP43" s="292"/>
      <c r="JRQ43" s="292"/>
      <c r="JRR43" s="292"/>
      <c r="JRS43" s="292"/>
      <c r="JRT43" s="292"/>
      <c r="JRU43" s="292"/>
      <c r="JRV43" s="292"/>
      <c r="JRW43" s="292"/>
      <c r="JRX43" s="292"/>
      <c r="JRY43" s="292"/>
      <c r="JRZ43" s="292"/>
      <c r="JSA43" s="292"/>
      <c r="JSB43" s="292"/>
      <c r="JSC43" s="292"/>
      <c r="JSD43" s="292"/>
      <c r="JSE43" s="292"/>
      <c r="JSF43" s="292"/>
      <c r="JSG43" s="292"/>
      <c r="JSH43" s="292"/>
      <c r="JSI43" s="292"/>
      <c r="JSJ43" s="292"/>
      <c r="JSK43" s="292"/>
      <c r="JSL43" s="292"/>
      <c r="JSM43" s="292"/>
      <c r="JSN43" s="292"/>
      <c r="JSO43" s="292"/>
      <c r="JSP43" s="292"/>
      <c r="JSQ43" s="292"/>
      <c r="JSR43" s="292"/>
      <c r="JSS43" s="292"/>
      <c r="JST43" s="292"/>
      <c r="JSU43" s="292"/>
      <c r="JSV43" s="292"/>
      <c r="JSW43" s="292"/>
      <c r="JSX43" s="292"/>
      <c r="JSY43" s="292"/>
      <c r="JSZ43" s="292"/>
      <c r="JTA43" s="292"/>
      <c r="JTB43" s="292"/>
      <c r="JTC43" s="292"/>
      <c r="JTD43" s="292"/>
      <c r="JTE43" s="292"/>
      <c r="JTF43" s="292"/>
      <c r="JTG43" s="292"/>
      <c r="JTH43" s="292"/>
      <c r="JTI43" s="292"/>
      <c r="JTJ43" s="292"/>
      <c r="JTK43" s="292"/>
      <c r="JTL43" s="292"/>
      <c r="JTM43" s="292"/>
      <c r="JTN43" s="292"/>
      <c r="JTO43" s="292"/>
      <c r="JTP43" s="292"/>
      <c r="JTQ43" s="292"/>
      <c r="JTR43" s="292"/>
      <c r="JTS43" s="292"/>
      <c r="JTT43" s="292"/>
      <c r="JTU43" s="292"/>
      <c r="JTV43" s="292"/>
      <c r="JTW43" s="292"/>
      <c r="JTX43" s="292"/>
      <c r="JTY43" s="292"/>
      <c r="JTZ43" s="292"/>
      <c r="JUA43" s="292"/>
      <c r="JUB43" s="292"/>
      <c r="JUC43" s="292"/>
      <c r="JUD43" s="292"/>
      <c r="JUE43" s="292"/>
      <c r="JUF43" s="292"/>
      <c r="JUG43" s="292"/>
      <c r="JUH43" s="292"/>
      <c r="JUI43" s="292"/>
      <c r="JUJ43" s="292"/>
      <c r="JUK43" s="292"/>
      <c r="JUL43" s="292"/>
      <c r="JUM43" s="292"/>
      <c r="JUN43" s="292"/>
      <c r="JUO43" s="292"/>
      <c r="JUP43" s="292"/>
      <c r="JUQ43" s="292"/>
      <c r="JUR43" s="292"/>
      <c r="JUS43" s="292"/>
      <c r="JUT43" s="292"/>
      <c r="JUU43" s="292"/>
      <c r="JUV43" s="292"/>
      <c r="JUW43" s="292"/>
      <c r="JUX43" s="292"/>
      <c r="JUY43" s="292"/>
      <c r="JUZ43" s="292"/>
      <c r="JVA43" s="292"/>
      <c r="JVB43" s="292"/>
      <c r="JVC43" s="292"/>
      <c r="JVD43" s="292"/>
      <c r="JVE43" s="292"/>
      <c r="JVF43" s="292"/>
      <c r="JVG43" s="292"/>
      <c r="JVH43" s="292"/>
      <c r="JVI43" s="292"/>
      <c r="JVJ43" s="292"/>
      <c r="JVK43" s="292"/>
      <c r="JVL43" s="292"/>
      <c r="JVM43" s="292"/>
      <c r="JVN43" s="292"/>
      <c r="JVO43" s="292"/>
      <c r="JVP43" s="292"/>
      <c r="JVQ43" s="292"/>
      <c r="JVR43" s="292"/>
      <c r="JVS43" s="292"/>
      <c r="JVT43" s="292"/>
      <c r="JVU43" s="292"/>
      <c r="JVV43" s="292"/>
      <c r="JVW43" s="292"/>
      <c r="JVX43" s="292"/>
      <c r="JVY43" s="292"/>
      <c r="JVZ43" s="292"/>
      <c r="JWA43" s="292"/>
      <c r="JWB43" s="292"/>
      <c r="JWC43" s="292"/>
      <c r="JWD43" s="292"/>
      <c r="JWE43" s="292"/>
      <c r="JWF43" s="292"/>
      <c r="JWG43" s="292"/>
      <c r="JWH43" s="292"/>
      <c r="JWI43" s="292"/>
      <c r="JWJ43" s="292"/>
      <c r="JWK43" s="292"/>
      <c r="JWL43" s="292"/>
      <c r="JWM43" s="292"/>
      <c r="JWN43" s="292"/>
      <c r="JWO43" s="292"/>
      <c r="JWP43" s="292"/>
      <c r="JWQ43" s="292"/>
      <c r="JWR43" s="292"/>
      <c r="JWS43" s="292"/>
      <c r="JWT43" s="292"/>
      <c r="JWU43" s="292"/>
      <c r="JWV43" s="292"/>
      <c r="JWW43" s="292"/>
      <c r="JWX43" s="292"/>
      <c r="JWY43" s="292"/>
      <c r="JWZ43" s="292"/>
      <c r="JXA43" s="292"/>
      <c r="JXB43" s="292"/>
      <c r="JXC43" s="292"/>
      <c r="JXD43" s="292"/>
      <c r="JXE43" s="292"/>
      <c r="JXF43" s="292"/>
      <c r="JXG43" s="292"/>
      <c r="JXH43" s="292"/>
      <c r="JXI43" s="292"/>
      <c r="JXJ43" s="292"/>
      <c r="JXK43" s="292"/>
      <c r="JXL43" s="292"/>
      <c r="JXM43" s="292"/>
      <c r="JXN43" s="292"/>
      <c r="JXO43" s="292"/>
      <c r="JXP43" s="292"/>
      <c r="JXQ43" s="292"/>
      <c r="JXR43" s="292"/>
      <c r="JXS43" s="292"/>
      <c r="JXT43" s="292"/>
      <c r="JXU43" s="292"/>
      <c r="JXV43" s="292"/>
      <c r="JXW43" s="292"/>
      <c r="JXX43" s="292"/>
      <c r="JXY43" s="292"/>
      <c r="JXZ43" s="292"/>
      <c r="JYA43" s="292"/>
      <c r="JYB43" s="292"/>
      <c r="JYC43" s="292"/>
      <c r="JYD43" s="292"/>
      <c r="JYE43" s="292"/>
      <c r="JYF43" s="292"/>
      <c r="JYG43" s="292"/>
      <c r="JYH43" s="292"/>
      <c r="JYI43" s="292"/>
      <c r="JYJ43" s="292"/>
      <c r="JYK43" s="292"/>
      <c r="JYL43" s="292"/>
      <c r="JYM43" s="292"/>
      <c r="JYN43" s="292"/>
      <c r="JYO43" s="292"/>
      <c r="JYP43" s="292"/>
      <c r="JYQ43" s="292"/>
      <c r="JYR43" s="292"/>
      <c r="JYS43" s="292"/>
      <c r="JYT43" s="292"/>
      <c r="JYU43" s="292"/>
      <c r="JYV43" s="292"/>
      <c r="JYW43" s="292"/>
      <c r="JYX43" s="292"/>
      <c r="JYY43" s="292"/>
      <c r="JYZ43" s="292"/>
      <c r="JZA43" s="292"/>
      <c r="JZB43" s="292"/>
      <c r="JZC43" s="292"/>
      <c r="JZD43" s="292"/>
      <c r="JZE43" s="292"/>
      <c r="JZF43" s="292"/>
      <c r="JZG43" s="292"/>
      <c r="JZH43" s="292"/>
      <c r="JZI43" s="292"/>
      <c r="JZJ43" s="292"/>
      <c r="JZK43" s="292"/>
      <c r="JZL43" s="292"/>
      <c r="JZM43" s="292"/>
      <c r="JZN43" s="292"/>
      <c r="JZO43" s="292"/>
      <c r="JZP43" s="292"/>
      <c r="JZQ43" s="292"/>
      <c r="JZR43" s="292"/>
      <c r="JZS43" s="292"/>
      <c r="JZT43" s="292"/>
      <c r="JZU43" s="292"/>
      <c r="JZV43" s="292"/>
      <c r="JZW43" s="292"/>
      <c r="JZX43" s="292"/>
      <c r="JZY43" s="292"/>
      <c r="JZZ43" s="292"/>
      <c r="KAA43" s="292"/>
      <c r="KAB43" s="292"/>
      <c r="KAC43" s="292"/>
      <c r="KAD43" s="292"/>
      <c r="KAE43" s="292"/>
      <c r="KAF43" s="292"/>
      <c r="KAG43" s="292"/>
      <c r="KAH43" s="292"/>
      <c r="KAI43" s="292"/>
      <c r="KAJ43" s="292"/>
      <c r="KAK43" s="292"/>
      <c r="KAL43" s="292"/>
      <c r="KAM43" s="292"/>
      <c r="KAN43" s="292"/>
      <c r="KAO43" s="292"/>
      <c r="KAP43" s="292"/>
      <c r="KAQ43" s="292"/>
      <c r="KAR43" s="292"/>
      <c r="KAS43" s="292"/>
      <c r="KAT43" s="292"/>
      <c r="KAU43" s="292"/>
      <c r="KAV43" s="292"/>
      <c r="KAW43" s="292"/>
      <c r="KAX43" s="292"/>
      <c r="KAY43" s="292"/>
      <c r="KAZ43" s="292"/>
      <c r="KBA43" s="292"/>
      <c r="KBB43" s="292"/>
      <c r="KBC43" s="292"/>
      <c r="KBD43" s="292"/>
      <c r="KBE43" s="292"/>
      <c r="KBF43" s="292"/>
      <c r="KBG43" s="292"/>
      <c r="KBH43" s="292"/>
      <c r="KBI43" s="292"/>
      <c r="KBJ43" s="292"/>
      <c r="KBK43" s="292"/>
      <c r="KBL43" s="292"/>
      <c r="KBM43" s="292"/>
      <c r="KBN43" s="292"/>
      <c r="KBO43" s="292"/>
      <c r="KBP43" s="292"/>
      <c r="KBQ43" s="292"/>
      <c r="KBR43" s="292"/>
      <c r="KBS43" s="292"/>
      <c r="KBT43" s="292"/>
      <c r="KBU43" s="292"/>
      <c r="KBV43" s="292"/>
      <c r="KBW43" s="292"/>
      <c r="KBX43" s="292"/>
      <c r="KBY43" s="292"/>
      <c r="KBZ43" s="292"/>
      <c r="KCA43" s="292"/>
      <c r="KCB43" s="292"/>
      <c r="KCC43" s="292"/>
      <c r="KCD43" s="292"/>
      <c r="KCE43" s="292"/>
      <c r="KCF43" s="292"/>
      <c r="KCG43" s="292"/>
      <c r="KCH43" s="292"/>
      <c r="KCI43" s="292"/>
      <c r="KCJ43" s="292"/>
      <c r="KCK43" s="292"/>
      <c r="KCL43" s="292"/>
      <c r="KCM43" s="292"/>
      <c r="KCN43" s="292"/>
      <c r="KCO43" s="292"/>
      <c r="KCP43" s="292"/>
      <c r="KCQ43" s="292"/>
      <c r="KCR43" s="292"/>
      <c r="KCS43" s="292"/>
      <c r="KCT43" s="292"/>
      <c r="KCU43" s="292"/>
      <c r="KCV43" s="292"/>
      <c r="KCW43" s="292"/>
      <c r="KCX43" s="292"/>
      <c r="KCY43" s="292"/>
      <c r="KCZ43" s="292"/>
      <c r="KDA43" s="292"/>
      <c r="KDB43" s="292"/>
      <c r="KDC43" s="292"/>
      <c r="KDD43" s="292"/>
      <c r="KDE43" s="292"/>
      <c r="KDF43" s="292"/>
      <c r="KDG43" s="292"/>
      <c r="KDH43" s="292"/>
      <c r="KDI43" s="292"/>
      <c r="KDJ43" s="292"/>
      <c r="KDK43" s="292"/>
      <c r="KDL43" s="292"/>
      <c r="KDM43" s="292"/>
      <c r="KDN43" s="292"/>
      <c r="KDO43" s="292"/>
      <c r="KDP43" s="292"/>
      <c r="KDQ43" s="292"/>
      <c r="KDR43" s="292"/>
      <c r="KDS43" s="292"/>
      <c r="KDT43" s="292"/>
      <c r="KDU43" s="292"/>
      <c r="KDV43" s="292"/>
      <c r="KDW43" s="292"/>
      <c r="KDX43" s="292"/>
      <c r="KDY43" s="292"/>
      <c r="KDZ43" s="292"/>
      <c r="KEA43" s="292"/>
      <c r="KEB43" s="292"/>
      <c r="KEC43" s="292"/>
      <c r="KED43" s="292"/>
      <c r="KEE43" s="292"/>
      <c r="KEF43" s="292"/>
      <c r="KEG43" s="292"/>
      <c r="KEH43" s="292"/>
      <c r="KEI43" s="292"/>
      <c r="KEJ43" s="292"/>
      <c r="KEK43" s="292"/>
      <c r="KEL43" s="292"/>
      <c r="KEM43" s="292"/>
      <c r="KEN43" s="292"/>
      <c r="KEO43" s="292"/>
      <c r="KEP43" s="292"/>
      <c r="KEQ43" s="292"/>
      <c r="KER43" s="292"/>
      <c r="KES43" s="292"/>
      <c r="KET43" s="292"/>
      <c r="KEU43" s="292"/>
      <c r="KEV43" s="292"/>
      <c r="KEW43" s="292"/>
      <c r="KEX43" s="292"/>
      <c r="KEY43" s="292"/>
      <c r="KEZ43" s="292"/>
      <c r="KFA43" s="292"/>
      <c r="KFB43" s="292"/>
      <c r="KFC43" s="292"/>
      <c r="KFD43" s="292"/>
      <c r="KFE43" s="292"/>
      <c r="KFF43" s="292"/>
      <c r="KFG43" s="292"/>
      <c r="KFH43" s="292"/>
      <c r="KFI43" s="292"/>
      <c r="KFJ43" s="292"/>
      <c r="KFK43" s="292"/>
      <c r="KFL43" s="292"/>
      <c r="KFM43" s="292"/>
      <c r="KFN43" s="292"/>
      <c r="KFO43" s="292"/>
      <c r="KFP43" s="292"/>
      <c r="KFQ43" s="292"/>
      <c r="KFR43" s="292"/>
      <c r="KFS43" s="292"/>
      <c r="KFT43" s="292"/>
      <c r="KFU43" s="292"/>
      <c r="KFV43" s="292"/>
      <c r="KFW43" s="292"/>
      <c r="KFX43" s="292"/>
      <c r="KFY43" s="292"/>
      <c r="KFZ43" s="292"/>
      <c r="KGA43" s="292"/>
      <c r="KGB43" s="292"/>
      <c r="KGC43" s="292"/>
      <c r="KGD43" s="292"/>
      <c r="KGE43" s="292"/>
      <c r="KGF43" s="292"/>
      <c r="KGG43" s="292"/>
      <c r="KGH43" s="292"/>
      <c r="KGI43" s="292"/>
      <c r="KGJ43" s="292"/>
      <c r="KGK43" s="292"/>
      <c r="KGL43" s="292"/>
      <c r="KGM43" s="292"/>
      <c r="KGN43" s="292"/>
      <c r="KGO43" s="292"/>
      <c r="KGP43" s="292"/>
      <c r="KGQ43" s="292"/>
      <c r="KGR43" s="292"/>
      <c r="KGS43" s="292"/>
      <c r="KGT43" s="292"/>
      <c r="KGU43" s="292"/>
      <c r="KGV43" s="292"/>
      <c r="KGW43" s="292"/>
      <c r="KGX43" s="292"/>
      <c r="KGY43" s="292"/>
      <c r="KGZ43" s="292"/>
      <c r="KHA43" s="292"/>
      <c r="KHB43" s="292"/>
      <c r="KHC43" s="292"/>
      <c r="KHD43" s="292"/>
      <c r="KHE43" s="292"/>
      <c r="KHF43" s="292"/>
      <c r="KHG43" s="292"/>
      <c r="KHH43" s="292"/>
      <c r="KHI43" s="292"/>
      <c r="KHJ43" s="292"/>
      <c r="KHK43" s="292"/>
      <c r="KHL43" s="292"/>
      <c r="KHM43" s="292"/>
      <c r="KHN43" s="292"/>
      <c r="KHO43" s="292"/>
      <c r="KHP43" s="292"/>
      <c r="KHQ43" s="292"/>
      <c r="KHR43" s="292"/>
      <c r="KHS43" s="292"/>
      <c r="KHT43" s="292"/>
      <c r="KHU43" s="292"/>
      <c r="KHV43" s="292"/>
      <c r="KHW43" s="292"/>
      <c r="KHX43" s="292"/>
      <c r="KHY43" s="292"/>
      <c r="KHZ43" s="292"/>
      <c r="KIA43" s="292"/>
      <c r="KIB43" s="292"/>
      <c r="KIC43" s="292"/>
      <c r="KID43" s="292"/>
      <c r="KIE43" s="292"/>
      <c r="KIF43" s="292"/>
      <c r="KIG43" s="292"/>
      <c r="KIH43" s="292"/>
      <c r="KII43" s="292"/>
      <c r="KIJ43" s="292"/>
      <c r="KIK43" s="292"/>
      <c r="KIL43" s="292"/>
      <c r="KIM43" s="292"/>
      <c r="KIN43" s="292"/>
      <c r="KIO43" s="292"/>
      <c r="KIP43" s="292"/>
      <c r="KIQ43" s="292"/>
      <c r="KIR43" s="292"/>
      <c r="KIS43" s="292"/>
      <c r="KIT43" s="292"/>
      <c r="KIU43" s="292"/>
      <c r="KIV43" s="292"/>
      <c r="KIW43" s="292"/>
      <c r="KIX43" s="292"/>
      <c r="KIY43" s="292"/>
      <c r="KIZ43" s="292"/>
      <c r="KJA43" s="292"/>
      <c r="KJB43" s="292"/>
      <c r="KJC43" s="292"/>
      <c r="KJD43" s="292"/>
      <c r="KJE43" s="292"/>
      <c r="KJF43" s="292"/>
      <c r="KJG43" s="292"/>
      <c r="KJH43" s="292"/>
      <c r="KJI43" s="292"/>
      <c r="KJJ43" s="292"/>
      <c r="KJK43" s="292"/>
      <c r="KJL43" s="292"/>
      <c r="KJM43" s="292"/>
      <c r="KJN43" s="292"/>
      <c r="KJO43" s="292"/>
      <c r="KJP43" s="292"/>
      <c r="KJQ43" s="292"/>
      <c r="KJR43" s="292"/>
      <c r="KJS43" s="292"/>
      <c r="KJT43" s="292"/>
      <c r="KJU43" s="292"/>
      <c r="KJV43" s="292"/>
      <c r="KJW43" s="292"/>
      <c r="KJX43" s="292"/>
      <c r="KJY43" s="292"/>
      <c r="KJZ43" s="292"/>
      <c r="KKA43" s="292"/>
      <c r="KKB43" s="292"/>
      <c r="KKC43" s="292"/>
      <c r="KKD43" s="292"/>
      <c r="KKE43" s="292"/>
      <c r="KKF43" s="292"/>
      <c r="KKG43" s="292"/>
      <c r="KKH43" s="292"/>
      <c r="KKI43" s="292"/>
      <c r="KKJ43" s="292"/>
      <c r="KKK43" s="292"/>
      <c r="KKL43" s="292"/>
      <c r="KKM43" s="292"/>
      <c r="KKN43" s="292"/>
      <c r="KKO43" s="292"/>
      <c r="KKP43" s="292"/>
      <c r="KKQ43" s="292"/>
      <c r="KKR43" s="292"/>
      <c r="KKS43" s="292"/>
      <c r="KKT43" s="292"/>
      <c r="KKU43" s="292"/>
      <c r="KKV43" s="292"/>
      <c r="KKW43" s="292"/>
      <c r="KKX43" s="292"/>
      <c r="KKY43" s="292"/>
      <c r="KKZ43" s="292"/>
      <c r="KLA43" s="292"/>
      <c r="KLB43" s="292"/>
      <c r="KLC43" s="292"/>
      <c r="KLD43" s="292"/>
      <c r="KLE43" s="292"/>
      <c r="KLF43" s="292"/>
      <c r="KLG43" s="292"/>
      <c r="KLH43" s="292"/>
      <c r="KLI43" s="292"/>
      <c r="KLJ43" s="292"/>
      <c r="KLK43" s="292"/>
      <c r="KLL43" s="292"/>
      <c r="KLM43" s="292"/>
      <c r="KLN43" s="292"/>
      <c r="KLO43" s="292"/>
      <c r="KLP43" s="292"/>
      <c r="KLQ43" s="292"/>
      <c r="KLR43" s="292"/>
      <c r="KLS43" s="292"/>
      <c r="KLT43" s="292"/>
      <c r="KLU43" s="292"/>
      <c r="KLV43" s="292"/>
      <c r="KLW43" s="292"/>
      <c r="KLX43" s="292"/>
      <c r="KLY43" s="292"/>
      <c r="KLZ43" s="292"/>
      <c r="KMA43" s="292"/>
      <c r="KMB43" s="292"/>
      <c r="KMC43" s="292"/>
      <c r="KMD43" s="292"/>
      <c r="KME43" s="292"/>
      <c r="KMF43" s="292"/>
      <c r="KMG43" s="292"/>
      <c r="KMH43" s="292"/>
      <c r="KMI43" s="292"/>
      <c r="KMJ43" s="292"/>
      <c r="KMK43" s="292"/>
      <c r="KML43" s="292"/>
      <c r="KMM43" s="292"/>
      <c r="KMN43" s="292"/>
      <c r="KMO43" s="292"/>
      <c r="KMP43" s="292"/>
      <c r="KMQ43" s="292"/>
      <c r="KMR43" s="292"/>
      <c r="KMS43" s="292"/>
      <c r="KMT43" s="292"/>
      <c r="KMU43" s="292"/>
      <c r="KMV43" s="292"/>
      <c r="KMW43" s="292"/>
      <c r="KMX43" s="292"/>
      <c r="KMY43" s="292"/>
      <c r="KMZ43" s="292"/>
      <c r="KNA43" s="292"/>
      <c r="KNB43" s="292"/>
      <c r="KNC43" s="292"/>
      <c r="KND43" s="292"/>
      <c r="KNE43" s="292"/>
      <c r="KNF43" s="292"/>
      <c r="KNG43" s="292"/>
      <c r="KNH43" s="292"/>
      <c r="KNI43" s="292"/>
      <c r="KNJ43" s="292"/>
      <c r="KNK43" s="292"/>
      <c r="KNL43" s="292"/>
      <c r="KNM43" s="292"/>
      <c r="KNN43" s="292"/>
      <c r="KNO43" s="292"/>
      <c r="KNP43" s="292"/>
      <c r="KNQ43" s="292"/>
      <c r="KNR43" s="292"/>
      <c r="KNS43" s="292"/>
      <c r="KNT43" s="292"/>
      <c r="KNU43" s="292"/>
      <c r="KNV43" s="292"/>
      <c r="KNW43" s="292"/>
      <c r="KNX43" s="292"/>
      <c r="KNY43" s="292"/>
      <c r="KNZ43" s="292"/>
      <c r="KOA43" s="292"/>
      <c r="KOB43" s="292"/>
      <c r="KOC43" s="292"/>
      <c r="KOD43" s="292"/>
      <c r="KOE43" s="292"/>
      <c r="KOF43" s="292"/>
      <c r="KOG43" s="292"/>
      <c r="KOH43" s="292"/>
      <c r="KOI43" s="292"/>
      <c r="KOJ43" s="292"/>
      <c r="KOK43" s="292"/>
      <c r="KOL43" s="292"/>
      <c r="KOM43" s="292"/>
      <c r="KON43" s="292"/>
      <c r="KOO43" s="292"/>
      <c r="KOP43" s="292"/>
      <c r="KOQ43" s="292"/>
      <c r="KOR43" s="292"/>
      <c r="KOS43" s="292"/>
      <c r="KOT43" s="292"/>
      <c r="KOU43" s="292"/>
      <c r="KOV43" s="292"/>
      <c r="KOW43" s="292"/>
      <c r="KOX43" s="292"/>
      <c r="KOY43" s="292"/>
      <c r="KOZ43" s="292"/>
      <c r="KPA43" s="292"/>
      <c r="KPB43" s="292"/>
      <c r="KPC43" s="292"/>
      <c r="KPD43" s="292"/>
      <c r="KPE43" s="292"/>
      <c r="KPF43" s="292"/>
      <c r="KPG43" s="292"/>
      <c r="KPH43" s="292"/>
      <c r="KPI43" s="292"/>
      <c r="KPJ43" s="292"/>
      <c r="KPK43" s="292"/>
      <c r="KPL43" s="292"/>
      <c r="KPM43" s="292"/>
      <c r="KPN43" s="292"/>
      <c r="KPO43" s="292"/>
      <c r="KPP43" s="292"/>
      <c r="KPQ43" s="292"/>
      <c r="KPR43" s="292"/>
      <c r="KPS43" s="292"/>
      <c r="KPT43" s="292"/>
      <c r="KPU43" s="292"/>
      <c r="KPV43" s="292"/>
      <c r="KPW43" s="292"/>
      <c r="KPX43" s="292"/>
      <c r="KPY43" s="292"/>
      <c r="KPZ43" s="292"/>
      <c r="KQA43" s="292"/>
      <c r="KQB43" s="292"/>
      <c r="KQC43" s="292"/>
      <c r="KQD43" s="292"/>
      <c r="KQE43" s="292"/>
      <c r="KQF43" s="292"/>
      <c r="KQG43" s="292"/>
      <c r="KQH43" s="292"/>
      <c r="KQI43" s="292"/>
      <c r="KQJ43" s="292"/>
      <c r="KQK43" s="292"/>
      <c r="KQL43" s="292"/>
      <c r="KQM43" s="292"/>
      <c r="KQN43" s="292"/>
      <c r="KQO43" s="292"/>
      <c r="KQP43" s="292"/>
      <c r="KQQ43" s="292"/>
      <c r="KQR43" s="292"/>
      <c r="KQS43" s="292"/>
      <c r="KQT43" s="292"/>
      <c r="KQU43" s="292"/>
      <c r="KQV43" s="292"/>
      <c r="KQW43" s="292"/>
      <c r="KQX43" s="292"/>
      <c r="KQY43" s="292"/>
      <c r="KQZ43" s="292"/>
      <c r="KRA43" s="292"/>
      <c r="KRB43" s="292"/>
      <c r="KRC43" s="292"/>
      <c r="KRD43" s="292"/>
      <c r="KRE43" s="292"/>
      <c r="KRF43" s="292"/>
      <c r="KRG43" s="292"/>
      <c r="KRH43" s="292"/>
      <c r="KRI43" s="292"/>
      <c r="KRJ43" s="292"/>
      <c r="KRK43" s="292"/>
      <c r="KRL43" s="292"/>
      <c r="KRM43" s="292"/>
      <c r="KRN43" s="292"/>
      <c r="KRO43" s="292"/>
      <c r="KRP43" s="292"/>
      <c r="KRQ43" s="292"/>
      <c r="KRR43" s="292"/>
      <c r="KRS43" s="292"/>
      <c r="KRT43" s="292"/>
      <c r="KRU43" s="292"/>
      <c r="KRV43" s="292"/>
      <c r="KRW43" s="292"/>
      <c r="KRX43" s="292"/>
      <c r="KRY43" s="292"/>
      <c r="KRZ43" s="292"/>
      <c r="KSA43" s="292"/>
      <c r="KSB43" s="292"/>
      <c r="KSC43" s="292"/>
      <c r="KSD43" s="292"/>
      <c r="KSE43" s="292"/>
      <c r="KSF43" s="292"/>
      <c r="KSG43" s="292"/>
      <c r="KSH43" s="292"/>
      <c r="KSI43" s="292"/>
      <c r="KSJ43" s="292"/>
      <c r="KSK43" s="292"/>
      <c r="KSL43" s="292"/>
      <c r="KSM43" s="292"/>
      <c r="KSN43" s="292"/>
      <c r="KSO43" s="292"/>
      <c r="KSP43" s="292"/>
      <c r="KSQ43" s="292"/>
      <c r="KSR43" s="292"/>
      <c r="KSS43" s="292"/>
      <c r="KST43" s="292"/>
      <c r="KSU43" s="292"/>
      <c r="KSV43" s="292"/>
      <c r="KSW43" s="292"/>
      <c r="KSX43" s="292"/>
      <c r="KSY43" s="292"/>
      <c r="KSZ43" s="292"/>
      <c r="KTA43" s="292"/>
      <c r="KTB43" s="292"/>
      <c r="KTC43" s="292"/>
      <c r="KTD43" s="292"/>
      <c r="KTE43" s="292"/>
      <c r="KTF43" s="292"/>
      <c r="KTG43" s="292"/>
      <c r="KTH43" s="292"/>
      <c r="KTI43" s="292"/>
      <c r="KTJ43" s="292"/>
      <c r="KTK43" s="292"/>
      <c r="KTL43" s="292"/>
      <c r="KTM43" s="292"/>
      <c r="KTN43" s="292"/>
      <c r="KTO43" s="292"/>
      <c r="KTP43" s="292"/>
      <c r="KTQ43" s="292"/>
      <c r="KTR43" s="292"/>
      <c r="KTS43" s="292"/>
      <c r="KTT43" s="292"/>
      <c r="KTU43" s="292"/>
      <c r="KTV43" s="292"/>
      <c r="KTW43" s="292"/>
      <c r="KTX43" s="292"/>
      <c r="KTY43" s="292"/>
      <c r="KTZ43" s="292"/>
      <c r="KUA43" s="292"/>
      <c r="KUB43" s="292"/>
      <c r="KUC43" s="292"/>
      <c r="KUD43" s="292"/>
      <c r="KUE43" s="292"/>
      <c r="KUF43" s="292"/>
      <c r="KUG43" s="292"/>
      <c r="KUH43" s="292"/>
      <c r="KUI43" s="292"/>
      <c r="KUJ43" s="292"/>
      <c r="KUK43" s="292"/>
      <c r="KUL43" s="292"/>
      <c r="KUM43" s="292"/>
      <c r="KUN43" s="292"/>
      <c r="KUO43" s="292"/>
      <c r="KUP43" s="292"/>
      <c r="KUQ43" s="292"/>
      <c r="KUR43" s="292"/>
      <c r="KUS43" s="292"/>
      <c r="KUT43" s="292"/>
      <c r="KUU43" s="292"/>
      <c r="KUV43" s="292"/>
      <c r="KUW43" s="292"/>
      <c r="KUX43" s="292"/>
      <c r="KUY43" s="292"/>
      <c r="KUZ43" s="292"/>
      <c r="KVA43" s="292"/>
      <c r="KVB43" s="292"/>
      <c r="KVC43" s="292"/>
      <c r="KVD43" s="292"/>
      <c r="KVE43" s="292"/>
      <c r="KVF43" s="292"/>
      <c r="KVG43" s="292"/>
      <c r="KVH43" s="292"/>
      <c r="KVI43" s="292"/>
      <c r="KVJ43" s="292"/>
      <c r="KVK43" s="292"/>
      <c r="KVL43" s="292"/>
      <c r="KVM43" s="292"/>
      <c r="KVN43" s="292"/>
      <c r="KVO43" s="292"/>
      <c r="KVP43" s="292"/>
      <c r="KVQ43" s="292"/>
      <c r="KVR43" s="292"/>
      <c r="KVS43" s="292"/>
      <c r="KVT43" s="292"/>
      <c r="KVU43" s="292"/>
      <c r="KVV43" s="292"/>
      <c r="KVW43" s="292"/>
      <c r="KVX43" s="292"/>
      <c r="KVY43" s="292"/>
      <c r="KVZ43" s="292"/>
      <c r="KWA43" s="292"/>
      <c r="KWB43" s="292"/>
      <c r="KWC43" s="292"/>
      <c r="KWD43" s="292"/>
      <c r="KWE43" s="292"/>
      <c r="KWF43" s="292"/>
      <c r="KWG43" s="292"/>
      <c r="KWH43" s="292"/>
      <c r="KWI43" s="292"/>
      <c r="KWJ43" s="292"/>
      <c r="KWK43" s="292"/>
      <c r="KWL43" s="292"/>
      <c r="KWM43" s="292"/>
      <c r="KWN43" s="292"/>
      <c r="KWO43" s="292"/>
      <c r="KWP43" s="292"/>
      <c r="KWQ43" s="292"/>
      <c r="KWR43" s="292"/>
      <c r="KWS43" s="292"/>
      <c r="KWT43" s="292"/>
      <c r="KWU43" s="292"/>
      <c r="KWV43" s="292"/>
      <c r="KWW43" s="292"/>
      <c r="KWX43" s="292"/>
      <c r="KWY43" s="292"/>
      <c r="KWZ43" s="292"/>
      <c r="KXA43" s="292"/>
      <c r="KXB43" s="292"/>
      <c r="KXC43" s="292"/>
      <c r="KXD43" s="292"/>
      <c r="KXE43" s="292"/>
      <c r="KXF43" s="292"/>
      <c r="KXG43" s="292"/>
      <c r="KXH43" s="292"/>
      <c r="KXI43" s="292"/>
      <c r="KXJ43" s="292"/>
      <c r="KXK43" s="292"/>
      <c r="KXL43" s="292"/>
      <c r="KXM43" s="292"/>
      <c r="KXN43" s="292"/>
      <c r="KXO43" s="292"/>
      <c r="KXP43" s="292"/>
      <c r="KXQ43" s="292"/>
      <c r="KXR43" s="292"/>
      <c r="KXS43" s="292"/>
      <c r="KXT43" s="292"/>
      <c r="KXU43" s="292"/>
      <c r="KXV43" s="292"/>
      <c r="KXW43" s="292"/>
      <c r="KXX43" s="292"/>
      <c r="KXY43" s="292"/>
      <c r="KXZ43" s="292"/>
      <c r="KYA43" s="292"/>
      <c r="KYB43" s="292"/>
      <c r="KYC43" s="292"/>
      <c r="KYD43" s="292"/>
      <c r="KYE43" s="292"/>
      <c r="KYF43" s="292"/>
      <c r="KYG43" s="292"/>
      <c r="KYH43" s="292"/>
      <c r="KYI43" s="292"/>
      <c r="KYJ43" s="292"/>
      <c r="KYK43" s="292"/>
      <c r="KYL43" s="292"/>
      <c r="KYM43" s="292"/>
      <c r="KYN43" s="292"/>
      <c r="KYO43" s="292"/>
      <c r="KYP43" s="292"/>
      <c r="KYQ43" s="292"/>
      <c r="KYR43" s="292"/>
      <c r="KYS43" s="292"/>
      <c r="KYT43" s="292"/>
      <c r="KYU43" s="292"/>
      <c r="KYV43" s="292"/>
      <c r="KYW43" s="292"/>
      <c r="KYX43" s="292"/>
      <c r="KYY43" s="292"/>
      <c r="KYZ43" s="292"/>
      <c r="KZA43" s="292"/>
      <c r="KZB43" s="292"/>
      <c r="KZC43" s="292"/>
      <c r="KZD43" s="292"/>
      <c r="KZE43" s="292"/>
      <c r="KZF43" s="292"/>
      <c r="KZG43" s="292"/>
      <c r="KZH43" s="292"/>
      <c r="KZI43" s="292"/>
      <c r="KZJ43" s="292"/>
      <c r="KZK43" s="292"/>
      <c r="KZL43" s="292"/>
      <c r="KZM43" s="292"/>
      <c r="KZN43" s="292"/>
      <c r="KZO43" s="292"/>
      <c r="KZP43" s="292"/>
      <c r="KZQ43" s="292"/>
      <c r="KZR43" s="292"/>
      <c r="KZS43" s="292"/>
      <c r="KZT43" s="292"/>
      <c r="KZU43" s="292"/>
      <c r="KZV43" s="292"/>
      <c r="KZW43" s="292"/>
      <c r="KZX43" s="292"/>
      <c r="KZY43" s="292"/>
      <c r="KZZ43" s="292"/>
      <c r="LAA43" s="292"/>
      <c r="LAB43" s="292"/>
      <c r="LAC43" s="292"/>
      <c r="LAD43" s="292"/>
      <c r="LAE43" s="292"/>
      <c r="LAF43" s="292"/>
      <c r="LAG43" s="292"/>
      <c r="LAH43" s="292"/>
      <c r="LAI43" s="292"/>
      <c r="LAJ43" s="292"/>
      <c r="LAK43" s="292"/>
      <c r="LAL43" s="292"/>
      <c r="LAM43" s="292"/>
      <c r="LAN43" s="292"/>
      <c r="LAO43" s="292"/>
      <c r="LAP43" s="292"/>
      <c r="LAQ43" s="292"/>
      <c r="LAR43" s="292"/>
      <c r="LAS43" s="292"/>
      <c r="LAT43" s="292"/>
      <c r="LAU43" s="292"/>
      <c r="LAV43" s="292"/>
      <c r="LAW43" s="292"/>
      <c r="LAX43" s="292"/>
      <c r="LAY43" s="292"/>
      <c r="LAZ43" s="292"/>
      <c r="LBA43" s="292"/>
      <c r="LBB43" s="292"/>
      <c r="LBC43" s="292"/>
      <c r="LBD43" s="292"/>
      <c r="LBE43" s="292"/>
      <c r="LBF43" s="292"/>
      <c r="LBG43" s="292"/>
      <c r="LBH43" s="292"/>
      <c r="LBI43" s="292"/>
      <c r="LBJ43" s="292"/>
      <c r="LBK43" s="292"/>
      <c r="LBL43" s="292"/>
      <c r="LBM43" s="292"/>
      <c r="LBN43" s="292"/>
      <c r="LBO43" s="292"/>
      <c r="LBP43" s="292"/>
      <c r="LBQ43" s="292"/>
      <c r="LBR43" s="292"/>
      <c r="LBS43" s="292"/>
      <c r="LBT43" s="292"/>
      <c r="LBU43" s="292"/>
      <c r="LBV43" s="292"/>
      <c r="LBW43" s="292"/>
      <c r="LBX43" s="292"/>
      <c r="LBY43" s="292"/>
      <c r="LBZ43" s="292"/>
      <c r="LCA43" s="292"/>
      <c r="LCB43" s="292"/>
      <c r="LCC43" s="292"/>
      <c r="LCD43" s="292"/>
      <c r="LCE43" s="292"/>
      <c r="LCF43" s="292"/>
      <c r="LCG43" s="292"/>
      <c r="LCH43" s="292"/>
      <c r="LCI43" s="292"/>
      <c r="LCJ43" s="292"/>
      <c r="LCK43" s="292"/>
      <c r="LCL43" s="292"/>
      <c r="LCM43" s="292"/>
      <c r="LCN43" s="292"/>
      <c r="LCO43" s="292"/>
      <c r="LCP43" s="292"/>
      <c r="LCQ43" s="292"/>
      <c r="LCR43" s="292"/>
      <c r="LCS43" s="292"/>
      <c r="LCT43" s="292"/>
      <c r="LCU43" s="292"/>
      <c r="LCV43" s="292"/>
      <c r="LCW43" s="292"/>
      <c r="LCX43" s="292"/>
      <c r="LCY43" s="292"/>
      <c r="LCZ43" s="292"/>
      <c r="LDA43" s="292"/>
      <c r="LDB43" s="292"/>
      <c r="LDC43" s="292"/>
      <c r="LDD43" s="292"/>
      <c r="LDE43" s="292"/>
      <c r="LDF43" s="292"/>
      <c r="LDG43" s="292"/>
      <c r="LDH43" s="292"/>
      <c r="LDI43" s="292"/>
      <c r="LDJ43" s="292"/>
      <c r="LDK43" s="292"/>
      <c r="LDL43" s="292"/>
      <c r="LDM43" s="292"/>
      <c r="LDN43" s="292"/>
      <c r="LDO43" s="292"/>
      <c r="LDP43" s="292"/>
      <c r="LDQ43" s="292"/>
      <c r="LDR43" s="292"/>
      <c r="LDS43" s="292"/>
      <c r="LDT43" s="292"/>
      <c r="LDU43" s="292"/>
      <c r="LDV43" s="292"/>
      <c r="LDW43" s="292"/>
      <c r="LDX43" s="292"/>
      <c r="LDY43" s="292"/>
      <c r="LDZ43" s="292"/>
      <c r="LEA43" s="292"/>
      <c r="LEB43" s="292"/>
      <c r="LEC43" s="292"/>
      <c r="LED43" s="292"/>
      <c r="LEE43" s="292"/>
      <c r="LEF43" s="292"/>
      <c r="LEG43" s="292"/>
      <c r="LEH43" s="292"/>
      <c r="LEI43" s="292"/>
      <c r="LEJ43" s="292"/>
      <c r="LEK43" s="292"/>
      <c r="LEL43" s="292"/>
      <c r="LEM43" s="292"/>
      <c r="LEN43" s="292"/>
      <c r="LEO43" s="292"/>
      <c r="LEP43" s="292"/>
      <c r="LEQ43" s="292"/>
      <c r="LER43" s="292"/>
      <c r="LES43" s="292"/>
      <c r="LET43" s="292"/>
      <c r="LEU43" s="292"/>
      <c r="LEV43" s="292"/>
      <c r="LEW43" s="292"/>
      <c r="LEX43" s="292"/>
      <c r="LEY43" s="292"/>
      <c r="LEZ43" s="292"/>
      <c r="LFA43" s="292"/>
      <c r="LFB43" s="292"/>
      <c r="LFC43" s="292"/>
      <c r="LFD43" s="292"/>
      <c r="LFE43" s="292"/>
      <c r="LFF43" s="292"/>
      <c r="LFG43" s="292"/>
      <c r="LFH43" s="292"/>
      <c r="LFI43" s="292"/>
      <c r="LFJ43" s="292"/>
      <c r="LFK43" s="292"/>
      <c r="LFL43" s="292"/>
      <c r="LFM43" s="292"/>
      <c r="LFN43" s="292"/>
      <c r="LFO43" s="292"/>
      <c r="LFP43" s="292"/>
      <c r="LFQ43" s="292"/>
      <c r="LFR43" s="292"/>
      <c r="LFS43" s="292"/>
      <c r="LFT43" s="292"/>
      <c r="LFU43" s="292"/>
      <c r="LFV43" s="292"/>
      <c r="LFW43" s="292"/>
      <c r="LFX43" s="292"/>
      <c r="LFY43" s="292"/>
      <c r="LFZ43" s="292"/>
      <c r="LGA43" s="292"/>
      <c r="LGB43" s="292"/>
      <c r="LGC43" s="292"/>
      <c r="LGD43" s="292"/>
      <c r="LGE43" s="292"/>
      <c r="LGF43" s="292"/>
      <c r="LGG43" s="292"/>
      <c r="LGH43" s="292"/>
      <c r="LGI43" s="292"/>
      <c r="LGJ43" s="292"/>
      <c r="LGK43" s="292"/>
      <c r="LGL43" s="292"/>
      <c r="LGM43" s="292"/>
      <c r="LGN43" s="292"/>
      <c r="LGO43" s="292"/>
      <c r="LGP43" s="292"/>
      <c r="LGQ43" s="292"/>
      <c r="LGR43" s="292"/>
      <c r="LGS43" s="292"/>
      <c r="LGT43" s="292"/>
      <c r="LGU43" s="292"/>
      <c r="LGV43" s="292"/>
      <c r="LGW43" s="292"/>
      <c r="LGX43" s="292"/>
      <c r="LGY43" s="292"/>
      <c r="LGZ43" s="292"/>
      <c r="LHA43" s="292"/>
      <c r="LHB43" s="292"/>
      <c r="LHC43" s="292"/>
      <c r="LHD43" s="292"/>
      <c r="LHE43" s="292"/>
      <c r="LHF43" s="292"/>
      <c r="LHG43" s="292"/>
      <c r="LHH43" s="292"/>
      <c r="LHI43" s="292"/>
      <c r="LHJ43" s="292"/>
      <c r="LHK43" s="292"/>
      <c r="LHL43" s="292"/>
      <c r="LHM43" s="292"/>
      <c r="LHN43" s="292"/>
      <c r="LHO43" s="292"/>
      <c r="LHP43" s="292"/>
      <c r="LHQ43" s="292"/>
      <c r="LHR43" s="292"/>
      <c r="LHS43" s="292"/>
      <c r="LHT43" s="292"/>
      <c r="LHU43" s="292"/>
      <c r="LHV43" s="292"/>
      <c r="LHW43" s="292"/>
      <c r="LHX43" s="292"/>
      <c r="LHY43" s="292"/>
      <c r="LHZ43" s="292"/>
      <c r="LIA43" s="292"/>
      <c r="LIB43" s="292"/>
      <c r="LIC43" s="292"/>
      <c r="LID43" s="292"/>
      <c r="LIE43" s="292"/>
      <c r="LIF43" s="292"/>
      <c r="LIG43" s="292"/>
      <c r="LIH43" s="292"/>
      <c r="LII43" s="292"/>
      <c r="LIJ43" s="292"/>
      <c r="LIK43" s="292"/>
      <c r="LIL43" s="292"/>
      <c r="LIM43" s="292"/>
      <c r="LIN43" s="292"/>
      <c r="LIO43" s="292"/>
      <c r="LIP43" s="292"/>
      <c r="LIQ43" s="292"/>
      <c r="LIR43" s="292"/>
      <c r="LIS43" s="292"/>
      <c r="LIT43" s="292"/>
      <c r="LIU43" s="292"/>
      <c r="LIV43" s="292"/>
      <c r="LIW43" s="292"/>
      <c r="LIX43" s="292"/>
      <c r="LIY43" s="292"/>
      <c r="LIZ43" s="292"/>
      <c r="LJA43" s="292"/>
      <c r="LJB43" s="292"/>
      <c r="LJC43" s="292"/>
      <c r="LJD43" s="292"/>
      <c r="LJE43" s="292"/>
      <c r="LJF43" s="292"/>
      <c r="LJG43" s="292"/>
      <c r="LJH43" s="292"/>
      <c r="LJI43" s="292"/>
      <c r="LJJ43" s="292"/>
      <c r="LJK43" s="292"/>
      <c r="LJL43" s="292"/>
      <c r="LJM43" s="292"/>
      <c r="LJN43" s="292"/>
      <c r="LJO43" s="292"/>
      <c r="LJP43" s="292"/>
      <c r="LJQ43" s="292"/>
      <c r="LJR43" s="292"/>
      <c r="LJS43" s="292"/>
      <c r="LJT43" s="292"/>
      <c r="LJU43" s="292"/>
      <c r="LJV43" s="292"/>
      <c r="LJW43" s="292"/>
      <c r="LJX43" s="292"/>
      <c r="LJY43" s="292"/>
      <c r="LJZ43" s="292"/>
      <c r="LKA43" s="292"/>
      <c r="LKB43" s="292"/>
      <c r="LKC43" s="292"/>
      <c r="LKD43" s="292"/>
      <c r="LKE43" s="292"/>
      <c r="LKF43" s="292"/>
      <c r="LKG43" s="292"/>
      <c r="LKH43" s="292"/>
      <c r="LKI43" s="292"/>
      <c r="LKJ43" s="292"/>
      <c r="LKK43" s="292"/>
      <c r="LKL43" s="292"/>
      <c r="LKM43" s="292"/>
      <c r="LKN43" s="292"/>
      <c r="LKO43" s="292"/>
      <c r="LKP43" s="292"/>
      <c r="LKQ43" s="292"/>
      <c r="LKR43" s="292"/>
      <c r="LKS43" s="292"/>
      <c r="LKT43" s="292"/>
      <c r="LKU43" s="292"/>
      <c r="LKV43" s="292"/>
      <c r="LKW43" s="292"/>
      <c r="LKX43" s="292"/>
      <c r="LKY43" s="292"/>
      <c r="LKZ43" s="292"/>
      <c r="LLA43" s="292"/>
      <c r="LLB43" s="292"/>
      <c r="LLC43" s="292"/>
      <c r="LLD43" s="292"/>
      <c r="LLE43" s="292"/>
      <c r="LLF43" s="292"/>
      <c r="LLG43" s="292"/>
      <c r="LLH43" s="292"/>
      <c r="LLI43" s="292"/>
      <c r="LLJ43" s="292"/>
      <c r="LLK43" s="292"/>
      <c r="LLL43" s="292"/>
      <c r="LLM43" s="292"/>
      <c r="LLN43" s="292"/>
      <c r="LLO43" s="292"/>
      <c r="LLP43" s="292"/>
      <c r="LLQ43" s="292"/>
      <c r="LLR43" s="292"/>
      <c r="LLS43" s="292"/>
      <c r="LLT43" s="292"/>
      <c r="LLU43" s="292"/>
      <c r="LLV43" s="292"/>
      <c r="LLW43" s="292"/>
      <c r="LLX43" s="292"/>
      <c r="LLY43" s="292"/>
      <c r="LLZ43" s="292"/>
      <c r="LMA43" s="292"/>
      <c r="LMB43" s="292"/>
      <c r="LMC43" s="292"/>
      <c r="LMD43" s="292"/>
      <c r="LME43" s="292"/>
      <c r="LMF43" s="292"/>
      <c r="LMG43" s="292"/>
      <c r="LMH43" s="292"/>
      <c r="LMI43" s="292"/>
      <c r="LMJ43" s="292"/>
      <c r="LMK43" s="292"/>
      <c r="LML43" s="292"/>
      <c r="LMM43" s="292"/>
      <c r="LMN43" s="292"/>
      <c r="LMO43" s="292"/>
      <c r="LMP43" s="292"/>
      <c r="LMQ43" s="292"/>
      <c r="LMR43" s="292"/>
      <c r="LMS43" s="292"/>
      <c r="LMT43" s="292"/>
      <c r="LMU43" s="292"/>
      <c r="LMV43" s="292"/>
      <c r="LMW43" s="292"/>
      <c r="LMX43" s="292"/>
      <c r="LMY43" s="292"/>
      <c r="LMZ43" s="292"/>
      <c r="LNA43" s="292"/>
      <c r="LNB43" s="292"/>
      <c r="LNC43" s="292"/>
      <c r="LND43" s="292"/>
      <c r="LNE43" s="292"/>
      <c r="LNF43" s="292"/>
      <c r="LNG43" s="292"/>
      <c r="LNH43" s="292"/>
      <c r="LNI43" s="292"/>
      <c r="LNJ43" s="292"/>
      <c r="LNK43" s="292"/>
      <c r="LNL43" s="292"/>
      <c r="LNM43" s="292"/>
      <c r="LNN43" s="292"/>
      <c r="LNO43" s="292"/>
      <c r="LNP43" s="292"/>
      <c r="LNQ43" s="292"/>
      <c r="LNR43" s="292"/>
      <c r="LNS43" s="292"/>
      <c r="LNT43" s="292"/>
      <c r="LNU43" s="292"/>
      <c r="LNV43" s="292"/>
      <c r="LNW43" s="292"/>
      <c r="LNX43" s="292"/>
      <c r="LNY43" s="292"/>
      <c r="LNZ43" s="292"/>
      <c r="LOA43" s="292"/>
      <c r="LOB43" s="292"/>
      <c r="LOC43" s="292"/>
      <c r="LOD43" s="292"/>
      <c r="LOE43" s="292"/>
      <c r="LOF43" s="292"/>
      <c r="LOG43" s="292"/>
      <c r="LOH43" s="292"/>
      <c r="LOI43" s="292"/>
      <c r="LOJ43" s="292"/>
      <c r="LOK43" s="292"/>
      <c r="LOL43" s="292"/>
      <c r="LOM43" s="292"/>
      <c r="LON43" s="292"/>
      <c r="LOO43" s="292"/>
      <c r="LOP43" s="292"/>
      <c r="LOQ43" s="292"/>
      <c r="LOR43" s="292"/>
      <c r="LOS43" s="292"/>
      <c r="LOT43" s="292"/>
      <c r="LOU43" s="292"/>
      <c r="LOV43" s="292"/>
      <c r="LOW43" s="292"/>
      <c r="LOX43" s="292"/>
      <c r="LOY43" s="292"/>
      <c r="LOZ43" s="292"/>
      <c r="LPA43" s="292"/>
      <c r="LPB43" s="292"/>
      <c r="LPC43" s="292"/>
      <c r="LPD43" s="292"/>
      <c r="LPE43" s="292"/>
      <c r="LPF43" s="292"/>
      <c r="LPG43" s="292"/>
      <c r="LPH43" s="292"/>
      <c r="LPI43" s="292"/>
      <c r="LPJ43" s="292"/>
      <c r="LPK43" s="292"/>
      <c r="LPL43" s="292"/>
      <c r="LPM43" s="292"/>
      <c r="LPN43" s="292"/>
      <c r="LPO43" s="292"/>
      <c r="LPP43" s="292"/>
      <c r="LPQ43" s="292"/>
      <c r="LPR43" s="292"/>
      <c r="LPS43" s="292"/>
      <c r="LPT43" s="292"/>
      <c r="LPU43" s="292"/>
      <c r="LPV43" s="292"/>
      <c r="LPW43" s="292"/>
      <c r="LPX43" s="292"/>
      <c r="LPY43" s="292"/>
      <c r="LPZ43" s="292"/>
      <c r="LQA43" s="292"/>
      <c r="LQB43" s="292"/>
      <c r="LQC43" s="292"/>
      <c r="LQD43" s="292"/>
      <c r="LQE43" s="292"/>
      <c r="LQF43" s="292"/>
      <c r="LQG43" s="292"/>
      <c r="LQH43" s="292"/>
      <c r="LQI43" s="292"/>
      <c r="LQJ43" s="292"/>
      <c r="LQK43" s="292"/>
      <c r="LQL43" s="292"/>
      <c r="LQM43" s="292"/>
      <c r="LQN43" s="292"/>
      <c r="LQO43" s="292"/>
      <c r="LQP43" s="292"/>
      <c r="LQQ43" s="292"/>
      <c r="LQR43" s="292"/>
      <c r="LQS43" s="292"/>
      <c r="LQT43" s="292"/>
      <c r="LQU43" s="292"/>
      <c r="LQV43" s="292"/>
      <c r="LQW43" s="292"/>
      <c r="LQX43" s="292"/>
      <c r="LQY43" s="292"/>
      <c r="LQZ43" s="292"/>
      <c r="LRA43" s="292"/>
      <c r="LRB43" s="292"/>
      <c r="LRC43" s="292"/>
      <c r="LRD43" s="292"/>
      <c r="LRE43" s="292"/>
      <c r="LRF43" s="292"/>
      <c r="LRG43" s="292"/>
      <c r="LRH43" s="292"/>
      <c r="LRI43" s="292"/>
      <c r="LRJ43" s="292"/>
      <c r="LRK43" s="292"/>
      <c r="LRL43" s="292"/>
      <c r="LRM43" s="292"/>
      <c r="LRN43" s="292"/>
      <c r="LRO43" s="292"/>
      <c r="LRP43" s="292"/>
      <c r="LRQ43" s="292"/>
      <c r="LRR43" s="292"/>
      <c r="LRS43" s="292"/>
      <c r="LRT43" s="292"/>
      <c r="LRU43" s="292"/>
      <c r="LRV43" s="292"/>
      <c r="LRW43" s="292"/>
      <c r="LRX43" s="292"/>
      <c r="LRY43" s="292"/>
      <c r="LRZ43" s="292"/>
      <c r="LSA43" s="292"/>
      <c r="LSB43" s="292"/>
      <c r="LSC43" s="292"/>
      <c r="LSD43" s="292"/>
      <c r="LSE43" s="292"/>
      <c r="LSF43" s="292"/>
      <c r="LSG43" s="292"/>
      <c r="LSH43" s="292"/>
      <c r="LSI43" s="292"/>
      <c r="LSJ43" s="292"/>
      <c r="LSK43" s="292"/>
      <c r="LSL43" s="292"/>
      <c r="LSM43" s="292"/>
      <c r="LSN43" s="292"/>
      <c r="LSO43" s="292"/>
      <c r="LSP43" s="292"/>
      <c r="LSQ43" s="292"/>
      <c r="LSR43" s="292"/>
      <c r="LSS43" s="292"/>
      <c r="LST43" s="292"/>
      <c r="LSU43" s="292"/>
      <c r="LSV43" s="292"/>
      <c r="LSW43" s="292"/>
      <c r="LSX43" s="292"/>
      <c r="LSY43" s="292"/>
      <c r="LSZ43" s="292"/>
      <c r="LTA43" s="292"/>
      <c r="LTB43" s="292"/>
      <c r="LTC43" s="292"/>
      <c r="LTD43" s="292"/>
      <c r="LTE43" s="292"/>
      <c r="LTF43" s="292"/>
      <c r="LTG43" s="292"/>
      <c r="LTH43" s="292"/>
      <c r="LTI43" s="292"/>
      <c r="LTJ43" s="292"/>
      <c r="LTK43" s="292"/>
      <c r="LTL43" s="292"/>
      <c r="LTM43" s="292"/>
      <c r="LTN43" s="292"/>
      <c r="LTO43" s="292"/>
      <c r="LTP43" s="292"/>
      <c r="LTQ43" s="292"/>
      <c r="LTR43" s="292"/>
      <c r="LTS43" s="292"/>
      <c r="LTT43" s="292"/>
      <c r="LTU43" s="292"/>
      <c r="LTV43" s="292"/>
      <c r="LTW43" s="292"/>
      <c r="LTX43" s="292"/>
      <c r="LTY43" s="292"/>
      <c r="LTZ43" s="292"/>
      <c r="LUA43" s="292"/>
      <c r="LUB43" s="292"/>
      <c r="LUC43" s="292"/>
      <c r="LUD43" s="292"/>
      <c r="LUE43" s="292"/>
      <c r="LUF43" s="292"/>
      <c r="LUG43" s="292"/>
      <c r="LUH43" s="292"/>
      <c r="LUI43" s="292"/>
      <c r="LUJ43" s="292"/>
      <c r="LUK43" s="292"/>
      <c r="LUL43" s="292"/>
      <c r="LUM43" s="292"/>
      <c r="LUN43" s="292"/>
      <c r="LUO43" s="292"/>
      <c r="LUP43" s="292"/>
      <c r="LUQ43" s="292"/>
      <c r="LUR43" s="292"/>
      <c r="LUS43" s="292"/>
      <c r="LUT43" s="292"/>
      <c r="LUU43" s="292"/>
      <c r="LUV43" s="292"/>
      <c r="LUW43" s="292"/>
      <c r="LUX43" s="292"/>
      <c r="LUY43" s="292"/>
      <c r="LUZ43" s="292"/>
      <c r="LVA43" s="292"/>
      <c r="LVB43" s="292"/>
      <c r="LVC43" s="292"/>
      <c r="LVD43" s="292"/>
      <c r="LVE43" s="292"/>
      <c r="LVF43" s="292"/>
      <c r="LVG43" s="292"/>
      <c r="LVH43" s="292"/>
      <c r="LVI43" s="292"/>
      <c r="LVJ43" s="292"/>
      <c r="LVK43" s="292"/>
      <c r="LVL43" s="292"/>
      <c r="LVM43" s="292"/>
      <c r="LVN43" s="292"/>
      <c r="LVO43" s="292"/>
      <c r="LVP43" s="292"/>
      <c r="LVQ43" s="292"/>
      <c r="LVR43" s="292"/>
      <c r="LVS43" s="292"/>
      <c r="LVT43" s="292"/>
      <c r="LVU43" s="292"/>
      <c r="LVV43" s="292"/>
      <c r="LVW43" s="292"/>
      <c r="LVX43" s="292"/>
      <c r="LVY43" s="292"/>
      <c r="LVZ43" s="292"/>
      <c r="LWA43" s="292"/>
      <c r="LWB43" s="292"/>
      <c r="LWC43" s="292"/>
      <c r="LWD43" s="292"/>
      <c r="LWE43" s="292"/>
      <c r="LWF43" s="292"/>
      <c r="LWG43" s="292"/>
      <c r="LWH43" s="292"/>
      <c r="LWI43" s="292"/>
      <c r="LWJ43" s="292"/>
      <c r="LWK43" s="292"/>
      <c r="LWL43" s="292"/>
      <c r="LWM43" s="292"/>
      <c r="LWN43" s="292"/>
      <c r="LWO43" s="292"/>
      <c r="LWP43" s="292"/>
      <c r="LWQ43" s="292"/>
      <c r="LWR43" s="292"/>
      <c r="LWS43" s="292"/>
      <c r="LWT43" s="292"/>
      <c r="LWU43" s="292"/>
      <c r="LWV43" s="292"/>
      <c r="LWW43" s="292"/>
      <c r="LWX43" s="292"/>
      <c r="LWY43" s="292"/>
      <c r="LWZ43" s="292"/>
      <c r="LXA43" s="292"/>
      <c r="LXB43" s="292"/>
      <c r="LXC43" s="292"/>
      <c r="LXD43" s="292"/>
      <c r="LXE43" s="292"/>
      <c r="LXF43" s="292"/>
      <c r="LXG43" s="292"/>
      <c r="LXH43" s="292"/>
      <c r="LXI43" s="292"/>
      <c r="LXJ43" s="292"/>
      <c r="LXK43" s="292"/>
      <c r="LXL43" s="292"/>
      <c r="LXM43" s="292"/>
      <c r="LXN43" s="292"/>
      <c r="LXO43" s="292"/>
      <c r="LXP43" s="292"/>
      <c r="LXQ43" s="292"/>
      <c r="LXR43" s="292"/>
      <c r="LXS43" s="292"/>
      <c r="LXT43" s="292"/>
      <c r="LXU43" s="292"/>
      <c r="LXV43" s="292"/>
      <c r="LXW43" s="292"/>
      <c r="LXX43" s="292"/>
      <c r="LXY43" s="292"/>
      <c r="LXZ43" s="292"/>
      <c r="LYA43" s="292"/>
      <c r="LYB43" s="292"/>
      <c r="LYC43" s="292"/>
      <c r="LYD43" s="292"/>
      <c r="LYE43" s="292"/>
      <c r="LYF43" s="292"/>
      <c r="LYG43" s="292"/>
      <c r="LYH43" s="292"/>
      <c r="LYI43" s="292"/>
      <c r="LYJ43" s="292"/>
      <c r="LYK43" s="292"/>
      <c r="LYL43" s="292"/>
      <c r="LYM43" s="292"/>
      <c r="LYN43" s="292"/>
      <c r="LYO43" s="292"/>
      <c r="LYP43" s="292"/>
      <c r="LYQ43" s="292"/>
      <c r="LYR43" s="292"/>
      <c r="LYS43" s="292"/>
      <c r="LYT43" s="292"/>
      <c r="LYU43" s="292"/>
      <c r="LYV43" s="292"/>
      <c r="LYW43" s="292"/>
      <c r="LYX43" s="292"/>
      <c r="LYY43" s="292"/>
      <c r="LYZ43" s="292"/>
      <c r="LZA43" s="292"/>
      <c r="LZB43" s="292"/>
      <c r="LZC43" s="292"/>
      <c r="LZD43" s="292"/>
      <c r="LZE43" s="292"/>
      <c r="LZF43" s="292"/>
      <c r="LZG43" s="292"/>
      <c r="LZH43" s="292"/>
      <c r="LZI43" s="292"/>
      <c r="LZJ43" s="292"/>
      <c r="LZK43" s="292"/>
      <c r="LZL43" s="292"/>
      <c r="LZM43" s="292"/>
      <c r="LZN43" s="292"/>
      <c r="LZO43" s="292"/>
      <c r="LZP43" s="292"/>
      <c r="LZQ43" s="292"/>
      <c r="LZR43" s="292"/>
      <c r="LZS43" s="292"/>
      <c r="LZT43" s="292"/>
      <c r="LZU43" s="292"/>
      <c r="LZV43" s="292"/>
      <c r="LZW43" s="292"/>
      <c r="LZX43" s="292"/>
      <c r="LZY43" s="292"/>
      <c r="LZZ43" s="292"/>
      <c r="MAA43" s="292"/>
      <c r="MAB43" s="292"/>
      <c r="MAC43" s="292"/>
      <c r="MAD43" s="292"/>
      <c r="MAE43" s="292"/>
      <c r="MAF43" s="292"/>
      <c r="MAG43" s="292"/>
      <c r="MAH43" s="292"/>
      <c r="MAI43" s="292"/>
      <c r="MAJ43" s="292"/>
      <c r="MAK43" s="292"/>
      <c r="MAL43" s="292"/>
      <c r="MAM43" s="292"/>
      <c r="MAN43" s="292"/>
      <c r="MAO43" s="292"/>
      <c r="MAP43" s="292"/>
      <c r="MAQ43" s="292"/>
      <c r="MAR43" s="292"/>
      <c r="MAS43" s="292"/>
      <c r="MAT43" s="292"/>
      <c r="MAU43" s="292"/>
      <c r="MAV43" s="292"/>
      <c r="MAW43" s="292"/>
      <c r="MAX43" s="292"/>
      <c r="MAY43" s="292"/>
      <c r="MAZ43" s="292"/>
      <c r="MBA43" s="292"/>
      <c r="MBB43" s="292"/>
      <c r="MBC43" s="292"/>
      <c r="MBD43" s="292"/>
      <c r="MBE43" s="292"/>
      <c r="MBF43" s="292"/>
      <c r="MBG43" s="292"/>
      <c r="MBH43" s="292"/>
      <c r="MBI43" s="292"/>
      <c r="MBJ43" s="292"/>
      <c r="MBK43" s="292"/>
      <c r="MBL43" s="292"/>
      <c r="MBM43" s="292"/>
      <c r="MBN43" s="292"/>
      <c r="MBO43" s="292"/>
      <c r="MBP43" s="292"/>
      <c r="MBQ43" s="292"/>
      <c r="MBR43" s="292"/>
      <c r="MBS43" s="292"/>
      <c r="MBT43" s="292"/>
      <c r="MBU43" s="292"/>
      <c r="MBV43" s="292"/>
      <c r="MBW43" s="292"/>
      <c r="MBX43" s="292"/>
      <c r="MBY43" s="292"/>
      <c r="MBZ43" s="292"/>
      <c r="MCA43" s="292"/>
      <c r="MCB43" s="292"/>
      <c r="MCC43" s="292"/>
      <c r="MCD43" s="292"/>
      <c r="MCE43" s="292"/>
      <c r="MCF43" s="292"/>
      <c r="MCG43" s="292"/>
      <c r="MCH43" s="292"/>
      <c r="MCI43" s="292"/>
      <c r="MCJ43" s="292"/>
      <c r="MCK43" s="292"/>
      <c r="MCL43" s="292"/>
      <c r="MCM43" s="292"/>
      <c r="MCN43" s="292"/>
      <c r="MCO43" s="292"/>
      <c r="MCP43" s="292"/>
      <c r="MCQ43" s="292"/>
      <c r="MCR43" s="292"/>
      <c r="MCS43" s="292"/>
      <c r="MCT43" s="292"/>
      <c r="MCU43" s="292"/>
      <c r="MCV43" s="292"/>
      <c r="MCW43" s="292"/>
      <c r="MCX43" s="292"/>
      <c r="MCY43" s="292"/>
      <c r="MCZ43" s="292"/>
      <c r="MDA43" s="292"/>
      <c r="MDB43" s="292"/>
      <c r="MDC43" s="292"/>
      <c r="MDD43" s="292"/>
      <c r="MDE43" s="292"/>
      <c r="MDF43" s="292"/>
      <c r="MDG43" s="292"/>
      <c r="MDH43" s="292"/>
      <c r="MDI43" s="292"/>
      <c r="MDJ43" s="292"/>
      <c r="MDK43" s="292"/>
      <c r="MDL43" s="292"/>
      <c r="MDM43" s="292"/>
      <c r="MDN43" s="292"/>
      <c r="MDO43" s="292"/>
      <c r="MDP43" s="292"/>
      <c r="MDQ43" s="292"/>
      <c r="MDR43" s="292"/>
      <c r="MDS43" s="292"/>
      <c r="MDT43" s="292"/>
      <c r="MDU43" s="292"/>
      <c r="MDV43" s="292"/>
      <c r="MDW43" s="292"/>
      <c r="MDX43" s="292"/>
      <c r="MDY43" s="292"/>
      <c r="MDZ43" s="292"/>
      <c r="MEA43" s="292"/>
      <c r="MEB43" s="292"/>
      <c r="MEC43" s="292"/>
      <c r="MED43" s="292"/>
      <c r="MEE43" s="292"/>
      <c r="MEF43" s="292"/>
      <c r="MEG43" s="292"/>
      <c r="MEH43" s="292"/>
      <c r="MEI43" s="292"/>
      <c r="MEJ43" s="292"/>
      <c r="MEK43" s="292"/>
      <c r="MEL43" s="292"/>
      <c r="MEM43" s="292"/>
      <c r="MEN43" s="292"/>
      <c r="MEO43" s="292"/>
      <c r="MEP43" s="292"/>
      <c r="MEQ43" s="292"/>
      <c r="MER43" s="292"/>
      <c r="MES43" s="292"/>
      <c r="MET43" s="292"/>
      <c r="MEU43" s="292"/>
      <c r="MEV43" s="292"/>
      <c r="MEW43" s="292"/>
      <c r="MEX43" s="292"/>
      <c r="MEY43" s="292"/>
      <c r="MEZ43" s="292"/>
      <c r="MFA43" s="292"/>
      <c r="MFB43" s="292"/>
      <c r="MFC43" s="292"/>
      <c r="MFD43" s="292"/>
      <c r="MFE43" s="292"/>
      <c r="MFF43" s="292"/>
      <c r="MFG43" s="292"/>
      <c r="MFH43" s="292"/>
      <c r="MFI43" s="292"/>
      <c r="MFJ43" s="292"/>
      <c r="MFK43" s="292"/>
      <c r="MFL43" s="292"/>
      <c r="MFM43" s="292"/>
      <c r="MFN43" s="292"/>
      <c r="MFO43" s="292"/>
      <c r="MFP43" s="292"/>
      <c r="MFQ43" s="292"/>
      <c r="MFR43" s="292"/>
      <c r="MFS43" s="292"/>
      <c r="MFT43" s="292"/>
      <c r="MFU43" s="292"/>
      <c r="MFV43" s="292"/>
      <c r="MFW43" s="292"/>
      <c r="MFX43" s="292"/>
      <c r="MFY43" s="292"/>
      <c r="MFZ43" s="292"/>
      <c r="MGA43" s="292"/>
      <c r="MGB43" s="292"/>
      <c r="MGC43" s="292"/>
      <c r="MGD43" s="292"/>
      <c r="MGE43" s="292"/>
      <c r="MGF43" s="292"/>
      <c r="MGG43" s="292"/>
      <c r="MGH43" s="292"/>
      <c r="MGI43" s="292"/>
      <c r="MGJ43" s="292"/>
      <c r="MGK43" s="292"/>
      <c r="MGL43" s="292"/>
      <c r="MGM43" s="292"/>
      <c r="MGN43" s="292"/>
      <c r="MGO43" s="292"/>
      <c r="MGP43" s="292"/>
      <c r="MGQ43" s="292"/>
      <c r="MGR43" s="292"/>
      <c r="MGS43" s="292"/>
      <c r="MGT43" s="292"/>
      <c r="MGU43" s="292"/>
      <c r="MGV43" s="292"/>
      <c r="MGW43" s="292"/>
      <c r="MGX43" s="292"/>
      <c r="MGY43" s="292"/>
      <c r="MGZ43" s="292"/>
      <c r="MHA43" s="292"/>
      <c r="MHB43" s="292"/>
      <c r="MHC43" s="292"/>
      <c r="MHD43" s="292"/>
      <c r="MHE43" s="292"/>
      <c r="MHF43" s="292"/>
      <c r="MHG43" s="292"/>
      <c r="MHH43" s="292"/>
      <c r="MHI43" s="292"/>
      <c r="MHJ43" s="292"/>
      <c r="MHK43" s="292"/>
      <c r="MHL43" s="292"/>
      <c r="MHM43" s="292"/>
      <c r="MHN43" s="292"/>
      <c r="MHO43" s="292"/>
      <c r="MHP43" s="292"/>
      <c r="MHQ43" s="292"/>
      <c r="MHR43" s="292"/>
      <c r="MHS43" s="292"/>
      <c r="MHT43" s="292"/>
      <c r="MHU43" s="292"/>
      <c r="MHV43" s="292"/>
      <c r="MHW43" s="292"/>
      <c r="MHX43" s="292"/>
      <c r="MHY43" s="292"/>
      <c r="MHZ43" s="292"/>
      <c r="MIA43" s="292"/>
      <c r="MIB43" s="292"/>
      <c r="MIC43" s="292"/>
      <c r="MID43" s="292"/>
      <c r="MIE43" s="292"/>
      <c r="MIF43" s="292"/>
      <c r="MIG43" s="292"/>
      <c r="MIH43" s="292"/>
      <c r="MII43" s="292"/>
      <c r="MIJ43" s="292"/>
      <c r="MIK43" s="292"/>
      <c r="MIL43" s="292"/>
      <c r="MIM43" s="292"/>
      <c r="MIN43" s="292"/>
      <c r="MIO43" s="292"/>
      <c r="MIP43" s="292"/>
      <c r="MIQ43" s="292"/>
      <c r="MIR43" s="292"/>
      <c r="MIS43" s="292"/>
      <c r="MIT43" s="292"/>
      <c r="MIU43" s="292"/>
      <c r="MIV43" s="292"/>
      <c r="MIW43" s="292"/>
      <c r="MIX43" s="292"/>
      <c r="MIY43" s="292"/>
      <c r="MIZ43" s="292"/>
      <c r="MJA43" s="292"/>
      <c r="MJB43" s="292"/>
      <c r="MJC43" s="292"/>
      <c r="MJD43" s="292"/>
      <c r="MJE43" s="292"/>
      <c r="MJF43" s="292"/>
      <c r="MJG43" s="292"/>
      <c r="MJH43" s="292"/>
      <c r="MJI43" s="292"/>
      <c r="MJJ43" s="292"/>
      <c r="MJK43" s="292"/>
      <c r="MJL43" s="292"/>
      <c r="MJM43" s="292"/>
      <c r="MJN43" s="292"/>
      <c r="MJO43" s="292"/>
      <c r="MJP43" s="292"/>
      <c r="MJQ43" s="292"/>
      <c r="MJR43" s="292"/>
      <c r="MJS43" s="292"/>
      <c r="MJT43" s="292"/>
      <c r="MJU43" s="292"/>
      <c r="MJV43" s="292"/>
      <c r="MJW43" s="292"/>
      <c r="MJX43" s="292"/>
      <c r="MJY43" s="292"/>
      <c r="MJZ43" s="292"/>
      <c r="MKA43" s="292"/>
      <c r="MKB43" s="292"/>
      <c r="MKC43" s="292"/>
      <c r="MKD43" s="292"/>
      <c r="MKE43" s="292"/>
      <c r="MKF43" s="292"/>
      <c r="MKG43" s="292"/>
      <c r="MKH43" s="292"/>
      <c r="MKI43" s="292"/>
      <c r="MKJ43" s="292"/>
      <c r="MKK43" s="292"/>
      <c r="MKL43" s="292"/>
      <c r="MKM43" s="292"/>
      <c r="MKN43" s="292"/>
      <c r="MKO43" s="292"/>
      <c r="MKP43" s="292"/>
      <c r="MKQ43" s="292"/>
      <c r="MKR43" s="292"/>
      <c r="MKS43" s="292"/>
      <c r="MKT43" s="292"/>
      <c r="MKU43" s="292"/>
      <c r="MKV43" s="292"/>
      <c r="MKW43" s="292"/>
      <c r="MKX43" s="292"/>
      <c r="MKY43" s="292"/>
      <c r="MKZ43" s="292"/>
      <c r="MLA43" s="292"/>
      <c r="MLB43" s="292"/>
      <c r="MLC43" s="292"/>
      <c r="MLD43" s="292"/>
      <c r="MLE43" s="292"/>
      <c r="MLF43" s="292"/>
      <c r="MLG43" s="292"/>
      <c r="MLH43" s="292"/>
      <c r="MLI43" s="292"/>
      <c r="MLJ43" s="292"/>
      <c r="MLK43" s="292"/>
      <c r="MLL43" s="292"/>
      <c r="MLM43" s="292"/>
      <c r="MLN43" s="292"/>
      <c r="MLO43" s="292"/>
      <c r="MLP43" s="292"/>
      <c r="MLQ43" s="292"/>
      <c r="MLR43" s="292"/>
      <c r="MLS43" s="292"/>
      <c r="MLT43" s="292"/>
      <c r="MLU43" s="292"/>
      <c r="MLV43" s="292"/>
      <c r="MLW43" s="292"/>
      <c r="MLX43" s="292"/>
      <c r="MLY43" s="292"/>
      <c r="MLZ43" s="292"/>
      <c r="MMA43" s="292"/>
      <c r="MMB43" s="292"/>
      <c r="MMC43" s="292"/>
      <c r="MMD43" s="292"/>
      <c r="MME43" s="292"/>
      <c r="MMF43" s="292"/>
      <c r="MMG43" s="292"/>
      <c r="MMH43" s="292"/>
      <c r="MMI43" s="292"/>
      <c r="MMJ43" s="292"/>
      <c r="MMK43" s="292"/>
      <c r="MML43" s="292"/>
      <c r="MMM43" s="292"/>
      <c r="MMN43" s="292"/>
      <c r="MMO43" s="292"/>
      <c r="MMP43" s="292"/>
      <c r="MMQ43" s="292"/>
      <c r="MMR43" s="292"/>
      <c r="MMS43" s="292"/>
      <c r="MMT43" s="292"/>
      <c r="MMU43" s="292"/>
      <c r="MMV43" s="292"/>
      <c r="MMW43" s="292"/>
      <c r="MMX43" s="292"/>
      <c r="MMY43" s="292"/>
      <c r="MMZ43" s="292"/>
      <c r="MNA43" s="292"/>
      <c r="MNB43" s="292"/>
      <c r="MNC43" s="292"/>
      <c r="MND43" s="292"/>
      <c r="MNE43" s="292"/>
      <c r="MNF43" s="292"/>
      <c r="MNG43" s="292"/>
      <c r="MNH43" s="292"/>
      <c r="MNI43" s="292"/>
      <c r="MNJ43" s="292"/>
      <c r="MNK43" s="292"/>
      <c r="MNL43" s="292"/>
      <c r="MNM43" s="292"/>
      <c r="MNN43" s="292"/>
      <c r="MNO43" s="292"/>
      <c r="MNP43" s="292"/>
      <c r="MNQ43" s="292"/>
      <c r="MNR43" s="292"/>
      <c r="MNS43" s="292"/>
      <c r="MNT43" s="292"/>
      <c r="MNU43" s="292"/>
      <c r="MNV43" s="292"/>
      <c r="MNW43" s="292"/>
      <c r="MNX43" s="292"/>
      <c r="MNY43" s="292"/>
      <c r="MNZ43" s="292"/>
      <c r="MOA43" s="292"/>
      <c r="MOB43" s="292"/>
      <c r="MOC43" s="292"/>
      <c r="MOD43" s="292"/>
      <c r="MOE43" s="292"/>
      <c r="MOF43" s="292"/>
      <c r="MOG43" s="292"/>
      <c r="MOH43" s="292"/>
      <c r="MOI43" s="292"/>
      <c r="MOJ43" s="292"/>
      <c r="MOK43" s="292"/>
      <c r="MOL43" s="292"/>
      <c r="MOM43" s="292"/>
      <c r="MON43" s="292"/>
      <c r="MOO43" s="292"/>
      <c r="MOP43" s="292"/>
      <c r="MOQ43" s="292"/>
      <c r="MOR43" s="292"/>
      <c r="MOS43" s="292"/>
      <c r="MOT43" s="292"/>
      <c r="MOU43" s="292"/>
      <c r="MOV43" s="292"/>
      <c r="MOW43" s="292"/>
      <c r="MOX43" s="292"/>
      <c r="MOY43" s="292"/>
      <c r="MOZ43" s="292"/>
      <c r="MPA43" s="292"/>
      <c r="MPB43" s="292"/>
      <c r="MPC43" s="292"/>
      <c r="MPD43" s="292"/>
      <c r="MPE43" s="292"/>
      <c r="MPF43" s="292"/>
      <c r="MPG43" s="292"/>
      <c r="MPH43" s="292"/>
      <c r="MPI43" s="292"/>
      <c r="MPJ43" s="292"/>
      <c r="MPK43" s="292"/>
      <c r="MPL43" s="292"/>
      <c r="MPM43" s="292"/>
      <c r="MPN43" s="292"/>
      <c r="MPO43" s="292"/>
      <c r="MPP43" s="292"/>
      <c r="MPQ43" s="292"/>
      <c r="MPR43" s="292"/>
      <c r="MPS43" s="292"/>
      <c r="MPT43" s="292"/>
      <c r="MPU43" s="292"/>
      <c r="MPV43" s="292"/>
      <c r="MPW43" s="292"/>
      <c r="MPX43" s="292"/>
      <c r="MPY43" s="292"/>
      <c r="MPZ43" s="292"/>
      <c r="MQA43" s="292"/>
      <c r="MQB43" s="292"/>
      <c r="MQC43" s="292"/>
      <c r="MQD43" s="292"/>
      <c r="MQE43" s="292"/>
      <c r="MQF43" s="292"/>
      <c r="MQG43" s="292"/>
      <c r="MQH43" s="292"/>
      <c r="MQI43" s="292"/>
      <c r="MQJ43" s="292"/>
      <c r="MQK43" s="292"/>
      <c r="MQL43" s="292"/>
      <c r="MQM43" s="292"/>
      <c r="MQN43" s="292"/>
      <c r="MQO43" s="292"/>
      <c r="MQP43" s="292"/>
      <c r="MQQ43" s="292"/>
      <c r="MQR43" s="292"/>
      <c r="MQS43" s="292"/>
      <c r="MQT43" s="292"/>
      <c r="MQU43" s="292"/>
      <c r="MQV43" s="292"/>
      <c r="MQW43" s="292"/>
      <c r="MQX43" s="292"/>
      <c r="MQY43" s="292"/>
      <c r="MQZ43" s="292"/>
      <c r="MRA43" s="292"/>
      <c r="MRB43" s="292"/>
      <c r="MRC43" s="292"/>
      <c r="MRD43" s="292"/>
      <c r="MRE43" s="292"/>
      <c r="MRF43" s="292"/>
      <c r="MRG43" s="292"/>
      <c r="MRH43" s="292"/>
      <c r="MRI43" s="292"/>
      <c r="MRJ43" s="292"/>
      <c r="MRK43" s="292"/>
      <c r="MRL43" s="292"/>
      <c r="MRM43" s="292"/>
      <c r="MRN43" s="292"/>
      <c r="MRO43" s="292"/>
      <c r="MRP43" s="292"/>
      <c r="MRQ43" s="292"/>
      <c r="MRR43" s="292"/>
      <c r="MRS43" s="292"/>
      <c r="MRT43" s="292"/>
      <c r="MRU43" s="292"/>
      <c r="MRV43" s="292"/>
      <c r="MRW43" s="292"/>
      <c r="MRX43" s="292"/>
      <c r="MRY43" s="292"/>
      <c r="MRZ43" s="292"/>
      <c r="MSA43" s="292"/>
      <c r="MSB43" s="292"/>
      <c r="MSC43" s="292"/>
      <c r="MSD43" s="292"/>
      <c r="MSE43" s="292"/>
      <c r="MSF43" s="292"/>
      <c r="MSG43" s="292"/>
      <c r="MSH43" s="292"/>
      <c r="MSI43" s="292"/>
      <c r="MSJ43" s="292"/>
      <c r="MSK43" s="292"/>
      <c r="MSL43" s="292"/>
      <c r="MSM43" s="292"/>
      <c r="MSN43" s="292"/>
      <c r="MSO43" s="292"/>
      <c r="MSP43" s="292"/>
      <c r="MSQ43" s="292"/>
      <c r="MSR43" s="292"/>
      <c r="MSS43" s="292"/>
      <c r="MST43" s="292"/>
      <c r="MSU43" s="292"/>
      <c r="MSV43" s="292"/>
      <c r="MSW43" s="292"/>
      <c r="MSX43" s="292"/>
      <c r="MSY43" s="292"/>
      <c r="MSZ43" s="292"/>
      <c r="MTA43" s="292"/>
      <c r="MTB43" s="292"/>
      <c r="MTC43" s="292"/>
      <c r="MTD43" s="292"/>
      <c r="MTE43" s="292"/>
      <c r="MTF43" s="292"/>
      <c r="MTG43" s="292"/>
      <c r="MTH43" s="292"/>
      <c r="MTI43" s="292"/>
      <c r="MTJ43" s="292"/>
      <c r="MTK43" s="292"/>
      <c r="MTL43" s="292"/>
      <c r="MTM43" s="292"/>
      <c r="MTN43" s="292"/>
      <c r="MTO43" s="292"/>
      <c r="MTP43" s="292"/>
      <c r="MTQ43" s="292"/>
      <c r="MTR43" s="292"/>
      <c r="MTS43" s="292"/>
      <c r="MTT43" s="292"/>
      <c r="MTU43" s="292"/>
      <c r="MTV43" s="292"/>
      <c r="MTW43" s="292"/>
      <c r="MTX43" s="292"/>
      <c r="MTY43" s="292"/>
      <c r="MTZ43" s="292"/>
      <c r="MUA43" s="292"/>
      <c r="MUB43" s="292"/>
      <c r="MUC43" s="292"/>
      <c r="MUD43" s="292"/>
      <c r="MUE43" s="292"/>
      <c r="MUF43" s="292"/>
      <c r="MUG43" s="292"/>
      <c r="MUH43" s="292"/>
      <c r="MUI43" s="292"/>
      <c r="MUJ43" s="292"/>
      <c r="MUK43" s="292"/>
      <c r="MUL43" s="292"/>
      <c r="MUM43" s="292"/>
      <c r="MUN43" s="292"/>
      <c r="MUO43" s="292"/>
      <c r="MUP43" s="292"/>
      <c r="MUQ43" s="292"/>
      <c r="MUR43" s="292"/>
      <c r="MUS43" s="292"/>
      <c r="MUT43" s="292"/>
      <c r="MUU43" s="292"/>
      <c r="MUV43" s="292"/>
      <c r="MUW43" s="292"/>
      <c r="MUX43" s="292"/>
      <c r="MUY43" s="292"/>
      <c r="MUZ43" s="292"/>
      <c r="MVA43" s="292"/>
      <c r="MVB43" s="292"/>
      <c r="MVC43" s="292"/>
      <c r="MVD43" s="292"/>
      <c r="MVE43" s="292"/>
      <c r="MVF43" s="292"/>
      <c r="MVG43" s="292"/>
      <c r="MVH43" s="292"/>
      <c r="MVI43" s="292"/>
      <c r="MVJ43" s="292"/>
      <c r="MVK43" s="292"/>
      <c r="MVL43" s="292"/>
      <c r="MVM43" s="292"/>
      <c r="MVN43" s="292"/>
      <c r="MVO43" s="292"/>
      <c r="MVP43" s="292"/>
      <c r="MVQ43" s="292"/>
      <c r="MVR43" s="292"/>
      <c r="MVS43" s="292"/>
      <c r="MVT43" s="292"/>
      <c r="MVU43" s="292"/>
      <c r="MVV43" s="292"/>
      <c r="MVW43" s="292"/>
      <c r="MVX43" s="292"/>
      <c r="MVY43" s="292"/>
      <c r="MVZ43" s="292"/>
      <c r="MWA43" s="292"/>
      <c r="MWB43" s="292"/>
      <c r="MWC43" s="292"/>
      <c r="MWD43" s="292"/>
      <c r="MWE43" s="292"/>
      <c r="MWF43" s="292"/>
      <c r="MWG43" s="292"/>
      <c r="MWH43" s="292"/>
      <c r="MWI43" s="292"/>
      <c r="MWJ43" s="292"/>
      <c r="MWK43" s="292"/>
      <c r="MWL43" s="292"/>
      <c r="MWM43" s="292"/>
      <c r="MWN43" s="292"/>
      <c r="MWO43" s="292"/>
      <c r="MWP43" s="292"/>
      <c r="MWQ43" s="292"/>
      <c r="MWR43" s="292"/>
      <c r="MWS43" s="292"/>
      <c r="MWT43" s="292"/>
      <c r="MWU43" s="292"/>
      <c r="MWV43" s="292"/>
      <c r="MWW43" s="292"/>
      <c r="MWX43" s="292"/>
      <c r="MWY43" s="292"/>
      <c r="MWZ43" s="292"/>
      <c r="MXA43" s="292"/>
      <c r="MXB43" s="292"/>
      <c r="MXC43" s="292"/>
      <c r="MXD43" s="292"/>
      <c r="MXE43" s="292"/>
      <c r="MXF43" s="292"/>
      <c r="MXG43" s="292"/>
      <c r="MXH43" s="292"/>
      <c r="MXI43" s="292"/>
      <c r="MXJ43" s="292"/>
      <c r="MXK43" s="292"/>
      <c r="MXL43" s="292"/>
      <c r="MXM43" s="292"/>
      <c r="MXN43" s="292"/>
      <c r="MXO43" s="292"/>
      <c r="MXP43" s="292"/>
      <c r="MXQ43" s="292"/>
      <c r="MXR43" s="292"/>
      <c r="MXS43" s="292"/>
      <c r="MXT43" s="292"/>
      <c r="MXU43" s="292"/>
      <c r="MXV43" s="292"/>
      <c r="MXW43" s="292"/>
      <c r="MXX43" s="292"/>
      <c r="MXY43" s="292"/>
      <c r="MXZ43" s="292"/>
      <c r="MYA43" s="292"/>
      <c r="MYB43" s="292"/>
      <c r="MYC43" s="292"/>
      <c r="MYD43" s="292"/>
      <c r="MYE43" s="292"/>
      <c r="MYF43" s="292"/>
      <c r="MYG43" s="292"/>
      <c r="MYH43" s="292"/>
      <c r="MYI43" s="292"/>
      <c r="MYJ43" s="292"/>
      <c r="MYK43" s="292"/>
      <c r="MYL43" s="292"/>
      <c r="MYM43" s="292"/>
      <c r="MYN43" s="292"/>
      <c r="MYO43" s="292"/>
      <c r="MYP43" s="292"/>
      <c r="MYQ43" s="292"/>
      <c r="MYR43" s="292"/>
      <c r="MYS43" s="292"/>
      <c r="MYT43" s="292"/>
      <c r="MYU43" s="292"/>
      <c r="MYV43" s="292"/>
      <c r="MYW43" s="292"/>
      <c r="MYX43" s="292"/>
      <c r="MYY43" s="292"/>
      <c r="MYZ43" s="292"/>
      <c r="MZA43" s="292"/>
      <c r="MZB43" s="292"/>
      <c r="MZC43" s="292"/>
      <c r="MZD43" s="292"/>
      <c r="MZE43" s="292"/>
      <c r="MZF43" s="292"/>
      <c r="MZG43" s="292"/>
      <c r="MZH43" s="292"/>
      <c r="MZI43" s="292"/>
      <c r="MZJ43" s="292"/>
      <c r="MZK43" s="292"/>
      <c r="MZL43" s="292"/>
      <c r="MZM43" s="292"/>
      <c r="MZN43" s="292"/>
      <c r="MZO43" s="292"/>
      <c r="MZP43" s="292"/>
      <c r="MZQ43" s="292"/>
      <c r="MZR43" s="292"/>
      <c r="MZS43" s="292"/>
      <c r="MZT43" s="292"/>
      <c r="MZU43" s="292"/>
      <c r="MZV43" s="292"/>
      <c r="MZW43" s="292"/>
      <c r="MZX43" s="292"/>
      <c r="MZY43" s="292"/>
      <c r="MZZ43" s="292"/>
      <c r="NAA43" s="292"/>
      <c r="NAB43" s="292"/>
      <c r="NAC43" s="292"/>
      <c r="NAD43" s="292"/>
      <c r="NAE43" s="292"/>
      <c r="NAF43" s="292"/>
      <c r="NAG43" s="292"/>
      <c r="NAH43" s="292"/>
      <c r="NAI43" s="292"/>
      <c r="NAJ43" s="292"/>
      <c r="NAK43" s="292"/>
      <c r="NAL43" s="292"/>
      <c r="NAM43" s="292"/>
      <c r="NAN43" s="292"/>
      <c r="NAO43" s="292"/>
      <c r="NAP43" s="292"/>
      <c r="NAQ43" s="292"/>
      <c r="NAR43" s="292"/>
      <c r="NAS43" s="292"/>
      <c r="NAT43" s="292"/>
      <c r="NAU43" s="292"/>
      <c r="NAV43" s="292"/>
      <c r="NAW43" s="292"/>
      <c r="NAX43" s="292"/>
      <c r="NAY43" s="292"/>
      <c r="NAZ43" s="292"/>
      <c r="NBA43" s="292"/>
      <c r="NBB43" s="292"/>
      <c r="NBC43" s="292"/>
      <c r="NBD43" s="292"/>
      <c r="NBE43" s="292"/>
      <c r="NBF43" s="292"/>
      <c r="NBG43" s="292"/>
      <c r="NBH43" s="292"/>
      <c r="NBI43" s="292"/>
      <c r="NBJ43" s="292"/>
      <c r="NBK43" s="292"/>
      <c r="NBL43" s="292"/>
      <c r="NBM43" s="292"/>
      <c r="NBN43" s="292"/>
      <c r="NBO43" s="292"/>
      <c r="NBP43" s="292"/>
      <c r="NBQ43" s="292"/>
      <c r="NBR43" s="292"/>
      <c r="NBS43" s="292"/>
      <c r="NBT43" s="292"/>
      <c r="NBU43" s="292"/>
      <c r="NBV43" s="292"/>
      <c r="NBW43" s="292"/>
      <c r="NBX43" s="292"/>
      <c r="NBY43" s="292"/>
      <c r="NBZ43" s="292"/>
      <c r="NCA43" s="292"/>
      <c r="NCB43" s="292"/>
      <c r="NCC43" s="292"/>
      <c r="NCD43" s="292"/>
      <c r="NCE43" s="292"/>
      <c r="NCF43" s="292"/>
      <c r="NCG43" s="292"/>
      <c r="NCH43" s="292"/>
      <c r="NCI43" s="292"/>
      <c r="NCJ43" s="292"/>
      <c r="NCK43" s="292"/>
      <c r="NCL43" s="292"/>
      <c r="NCM43" s="292"/>
      <c r="NCN43" s="292"/>
      <c r="NCO43" s="292"/>
      <c r="NCP43" s="292"/>
      <c r="NCQ43" s="292"/>
      <c r="NCR43" s="292"/>
      <c r="NCS43" s="292"/>
      <c r="NCT43" s="292"/>
      <c r="NCU43" s="292"/>
      <c r="NCV43" s="292"/>
      <c r="NCW43" s="292"/>
      <c r="NCX43" s="292"/>
      <c r="NCY43" s="292"/>
      <c r="NCZ43" s="292"/>
      <c r="NDA43" s="292"/>
      <c r="NDB43" s="292"/>
      <c r="NDC43" s="292"/>
      <c r="NDD43" s="292"/>
      <c r="NDE43" s="292"/>
      <c r="NDF43" s="292"/>
      <c r="NDG43" s="292"/>
      <c r="NDH43" s="292"/>
      <c r="NDI43" s="292"/>
      <c r="NDJ43" s="292"/>
      <c r="NDK43" s="292"/>
      <c r="NDL43" s="292"/>
      <c r="NDM43" s="292"/>
      <c r="NDN43" s="292"/>
      <c r="NDO43" s="292"/>
      <c r="NDP43" s="292"/>
      <c r="NDQ43" s="292"/>
      <c r="NDR43" s="292"/>
      <c r="NDS43" s="292"/>
      <c r="NDT43" s="292"/>
      <c r="NDU43" s="292"/>
      <c r="NDV43" s="292"/>
      <c r="NDW43" s="292"/>
      <c r="NDX43" s="292"/>
      <c r="NDY43" s="292"/>
      <c r="NDZ43" s="292"/>
      <c r="NEA43" s="292"/>
      <c r="NEB43" s="292"/>
      <c r="NEC43" s="292"/>
      <c r="NED43" s="292"/>
      <c r="NEE43" s="292"/>
      <c r="NEF43" s="292"/>
      <c r="NEG43" s="292"/>
      <c r="NEH43" s="292"/>
      <c r="NEI43" s="292"/>
      <c r="NEJ43" s="292"/>
      <c r="NEK43" s="292"/>
      <c r="NEL43" s="292"/>
      <c r="NEM43" s="292"/>
      <c r="NEN43" s="292"/>
      <c r="NEO43" s="292"/>
      <c r="NEP43" s="292"/>
      <c r="NEQ43" s="292"/>
      <c r="NER43" s="292"/>
      <c r="NES43" s="292"/>
      <c r="NET43" s="292"/>
      <c r="NEU43" s="292"/>
      <c r="NEV43" s="292"/>
      <c r="NEW43" s="292"/>
      <c r="NEX43" s="292"/>
      <c r="NEY43" s="292"/>
      <c r="NEZ43" s="292"/>
      <c r="NFA43" s="292"/>
      <c r="NFB43" s="292"/>
      <c r="NFC43" s="292"/>
      <c r="NFD43" s="292"/>
      <c r="NFE43" s="292"/>
      <c r="NFF43" s="292"/>
      <c r="NFG43" s="292"/>
      <c r="NFH43" s="292"/>
      <c r="NFI43" s="292"/>
      <c r="NFJ43" s="292"/>
      <c r="NFK43" s="292"/>
      <c r="NFL43" s="292"/>
      <c r="NFM43" s="292"/>
      <c r="NFN43" s="292"/>
      <c r="NFO43" s="292"/>
      <c r="NFP43" s="292"/>
      <c r="NFQ43" s="292"/>
      <c r="NFR43" s="292"/>
      <c r="NFS43" s="292"/>
      <c r="NFT43" s="292"/>
      <c r="NFU43" s="292"/>
      <c r="NFV43" s="292"/>
      <c r="NFW43" s="292"/>
      <c r="NFX43" s="292"/>
      <c r="NFY43" s="292"/>
      <c r="NFZ43" s="292"/>
      <c r="NGA43" s="292"/>
      <c r="NGB43" s="292"/>
      <c r="NGC43" s="292"/>
      <c r="NGD43" s="292"/>
      <c r="NGE43" s="292"/>
      <c r="NGF43" s="292"/>
      <c r="NGG43" s="292"/>
      <c r="NGH43" s="292"/>
      <c r="NGI43" s="292"/>
      <c r="NGJ43" s="292"/>
      <c r="NGK43" s="292"/>
      <c r="NGL43" s="292"/>
      <c r="NGM43" s="292"/>
      <c r="NGN43" s="292"/>
      <c r="NGO43" s="292"/>
      <c r="NGP43" s="292"/>
      <c r="NGQ43" s="292"/>
      <c r="NGR43" s="292"/>
      <c r="NGS43" s="292"/>
      <c r="NGT43" s="292"/>
      <c r="NGU43" s="292"/>
      <c r="NGV43" s="292"/>
      <c r="NGW43" s="292"/>
      <c r="NGX43" s="292"/>
      <c r="NGY43" s="292"/>
      <c r="NGZ43" s="292"/>
      <c r="NHA43" s="292"/>
      <c r="NHB43" s="292"/>
      <c r="NHC43" s="292"/>
      <c r="NHD43" s="292"/>
      <c r="NHE43" s="292"/>
      <c r="NHF43" s="292"/>
      <c r="NHG43" s="292"/>
      <c r="NHH43" s="292"/>
      <c r="NHI43" s="292"/>
      <c r="NHJ43" s="292"/>
      <c r="NHK43" s="292"/>
      <c r="NHL43" s="292"/>
      <c r="NHM43" s="292"/>
      <c r="NHN43" s="292"/>
      <c r="NHO43" s="292"/>
      <c r="NHP43" s="292"/>
      <c r="NHQ43" s="292"/>
      <c r="NHR43" s="292"/>
      <c r="NHS43" s="292"/>
      <c r="NHT43" s="292"/>
      <c r="NHU43" s="292"/>
      <c r="NHV43" s="292"/>
      <c r="NHW43" s="292"/>
      <c r="NHX43" s="292"/>
      <c r="NHY43" s="292"/>
      <c r="NHZ43" s="292"/>
      <c r="NIA43" s="292"/>
      <c r="NIB43" s="292"/>
      <c r="NIC43" s="292"/>
      <c r="NID43" s="292"/>
      <c r="NIE43" s="292"/>
      <c r="NIF43" s="292"/>
      <c r="NIG43" s="292"/>
      <c r="NIH43" s="292"/>
      <c r="NII43" s="292"/>
      <c r="NIJ43" s="292"/>
      <c r="NIK43" s="292"/>
      <c r="NIL43" s="292"/>
      <c r="NIM43" s="292"/>
      <c r="NIN43" s="292"/>
      <c r="NIO43" s="292"/>
      <c r="NIP43" s="292"/>
      <c r="NIQ43" s="292"/>
      <c r="NIR43" s="292"/>
      <c r="NIS43" s="292"/>
      <c r="NIT43" s="292"/>
      <c r="NIU43" s="292"/>
      <c r="NIV43" s="292"/>
      <c r="NIW43" s="292"/>
      <c r="NIX43" s="292"/>
      <c r="NIY43" s="292"/>
      <c r="NIZ43" s="292"/>
      <c r="NJA43" s="292"/>
      <c r="NJB43" s="292"/>
      <c r="NJC43" s="292"/>
      <c r="NJD43" s="292"/>
      <c r="NJE43" s="292"/>
      <c r="NJF43" s="292"/>
      <c r="NJG43" s="292"/>
      <c r="NJH43" s="292"/>
      <c r="NJI43" s="292"/>
      <c r="NJJ43" s="292"/>
      <c r="NJK43" s="292"/>
      <c r="NJL43" s="292"/>
      <c r="NJM43" s="292"/>
      <c r="NJN43" s="292"/>
      <c r="NJO43" s="292"/>
      <c r="NJP43" s="292"/>
      <c r="NJQ43" s="292"/>
      <c r="NJR43" s="292"/>
      <c r="NJS43" s="292"/>
      <c r="NJT43" s="292"/>
      <c r="NJU43" s="292"/>
      <c r="NJV43" s="292"/>
      <c r="NJW43" s="292"/>
      <c r="NJX43" s="292"/>
      <c r="NJY43" s="292"/>
      <c r="NJZ43" s="292"/>
      <c r="NKA43" s="292"/>
      <c r="NKB43" s="292"/>
      <c r="NKC43" s="292"/>
      <c r="NKD43" s="292"/>
      <c r="NKE43" s="292"/>
      <c r="NKF43" s="292"/>
      <c r="NKG43" s="292"/>
      <c r="NKH43" s="292"/>
      <c r="NKI43" s="292"/>
      <c r="NKJ43" s="292"/>
      <c r="NKK43" s="292"/>
      <c r="NKL43" s="292"/>
      <c r="NKM43" s="292"/>
      <c r="NKN43" s="292"/>
      <c r="NKO43" s="292"/>
      <c r="NKP43" s="292"/>
      <c r="NKQ43" s="292"/>
      <c r="NKR43" s="292"/>
      <c r="NKS43" s="292"/>
      <c r="NKT43" s="292"/>
      <c r="NKU43" s="292"/>
      <c r="NKV43" s="292"/>
      <c r="NKW43" s="292"/>
      <c r="NKX43" s="292"/>
      <c r="NKY43" s="292"/>
      <c r="NKZ43" s="292"/>
      <c r="NLA43" s="292"/>
      <c r="NLB43" s="292"/>
      <c r="NLC43" s="292"/>
      <c r="NLD43" s="292"/>
      <c r="NLE43" s="292"/>
      <c r="NLF43" s="292"/>
      <c r="NLG43" s="292"/>
      <c r="NLH43" s="292"/>
      <c r="NLI43" s="292"/>
      <c r="NLJ43" s="292"/>
      <c r="NLK43" s="292"/>
      <c r="NLL43" s="292"/>
      <c r="NLM43" s="292"/>
      <c r="NLN43" s="292"/>
      <c r="NLO43" s="292"/>
      <c r="NLP43" s="292"/>
      <c r="NLQ43" s="292"/>
      <c r="NLR43" s="292"/>
      <c r="NLS43" s="292"/>
      <c r="NLT43" s="292"/>
      <c r="NLU43" s="292"/>
      <c r="NLV43" s="292"/>
      <c r="NLW43" s="292"/>
      <c r="NLX43" s="292"/>
      <c r="NLY43" s="292"/>
      <c r="NLZ43" s="292"/>
      <c r="NMA43" s="292"/>
      <c r="NMB43" s="292"/>
      <c r="NMC43" s="292"/>
      <c r="NMD43" s="292"/>
      <c r="NME43" s="292"/>
      <c r="NMF43" s="292"/>
      <c r="NMG43" s="292"/>
      <c r="NMH43" s="292"/>
      <c r="NMI43" s="292"/>
      <c r="NMJ43" s="292"/>
      <c r="NMK43" s="292"/>
      <c r="NML43" s="292"/>
      <c r="NMM43" s="292"/>
      <c r="NMN43" s="292"/>
      <c r="NMO43" s="292"/>
      <c r="NMP43" s="292"/>
      <c r="NMQ43" s="292"/>
      <c r="NMR43" s="292"/>
      <c r="NMS43" s="292"/>
      <c r="NMT43" s="292"/>
      <c r="NMU43" s="292"/>
      <c r="NMV43" s="292"/>
      <c r="NMW43" s="292"/>
      <c r="NMX43" s="292"/>
      <c r="NMY43" s="292"/>
      <c r="NMZ43" s="292"/>
      <c r="NNA43" s="292"/>
      <c r="NNB43" s="292"/>
      <c r="NNC43" s="292"/>
      <c r="NND43" s="292"/>
      <c r="NNE43" s="292"/>
      <c r="NNF43" s="292"/>
      <c r="NNG43" s="292"/>
      <c r="NNH43" s="292"/>
      <c r="NNI43" s="292"/>
      <c r="NNJ43" s="292"/>
      <c r="NNK43" s="292"/>
      <c r="NNL43" s="292"/>
      <c r="NNM43" s="292"/>
      <c r="NNN43" s="292"/>
      <c r="NNO43" s="292"/>
      <c r="NNP43" s="292"/>
      <c r="NNQ43" s="292"/>
      <c r="NNR43" s="292"/>
      <c r="NNS43" s="292"/>
      <c r="NNT43" s="292"/>
      <c r="NNU43" s="292"/>
      <c r="NNV43" s="292"/>
      <c r="NNW43" s="292"/>
      <c r="NNX43" s="292"/>
      <c r="NNY43" s="292"/>
      <c r="NNZ43" s="292"/>
      <c r="NOA43" s="292"/>
      <c r="NOB43" s="292"/>
      <c r="NOC43" s="292"/>
      <c r="NOD43" s="292"/>
      <c r="NOE43" s="292"/>
      <c r="NOF43" s="292"/>
      <c r="NOG43" s="292"/>
      <c r="NOH43" s="292"/>
      <c r="NOI43" s="292"/>
      <c r="NOJ43" s="292"/>
      <c r="NOK43" s="292"/>
      <c r="NOL43" s="292"/>
      <c r="NOM43" s="292"/>
      <c r="NON43" s="292"/>
      <c r="NOO43" s="292"/>
      <c r="NOP43" s="292"/>
      <c r="NOQ43" s="292"/>
      <c r="NOR43" s="292"/>
      <c r="NOS43" s="292"/>
      <c r="NOT43" s="292"/>
      <c r="NOU43" s="292"/>
      <c r="NOV43" s="292"/>
      <c r="NOW43" s="292"/>
      <c r="NOX43" s="292"/>
      <c r="NOY43" s="292"/>
      <c r="NOZ43" s="292"/>
      <c r="NPA43" s="292"/>
      <c r="NPB43" s="292"/>
      <c r="NPC43" s="292"/>
      <c r="NPD43" s="292"/>
      <c r="NPE43" s="292"/>
      <c r="NPF43" s="292"/>
      <c r="NPG43" s="292"/>
      <c r="NPH43" s="292"/>
      <c r="NPI43" s="292"/>
      <c r="NPJ43" s="292"/>
      <c r="NPK43" s="292"/>
      <c r="NPL43" s="292"/>
      <c r="NPM43" s="292"/>
      <c r="NPN43" s="292"/>
      <c r="NPO43" s="292"/>
      <c r="NPP43" s="292"/>
      <c r="NPQ43" s="292"/>
      <c r="NPR43" s="292"/>
      <c r="NPS43" s="292"/>
      <c r="NPT43" s="292"/>
      <c r="NPU43" s="292"/>
      <c r="NPV43" s="292"/>
      <c r="NPW43" s="292"/>
      <c r="NPX43" s="292"/>
      <c r="NPY43" s="292"/>
      <c r="NPZ43" s="292"/>
      <c r="NQA43" s="292"/>
      <c r="NQB43" s="292"/>
      <c r="NQC43" s="292"/>
      <c r="NQD43" s="292"/>
      <c r="NQE43" s="292"/>
      <c r="NQF43" s="292"/>
      <c r="NQG43" s="292"/>
      <c r="NQH43" s="292"/>
      <c r="NQI43" s="292"/>
      <c r="NQJ43" s="292"/>
      <c r="NQK43" s="292"/>
      <c r="NQL43" s="292"/>
      <c r="NQM43" s="292"/>
      <c r="NQN43" s="292"/>
      <c r="NQO43" s="292"/>
      <c r="NQP43" s="292"/>
      <c r="NQQ43" s="292"/>
      <c r="NQR43" s="292"/>
      <c r="NQS43" s="292"/>
      <c r="NQT43" s="292"/>
      <c r="NQU43" s="292"/>
      <c r="NQV43" s="292"/>
      <c r="NQW43" s="292"/>
      <c r="NQX43" s="292"/>
      <c r="NQY43" s="292"/>
      <c r="NQZ43" s="292"/>
      <c r="NRA43" s="292"/>
      <c r="NRB43" s="292"/>
      <c r="NRC43" s="292"/>
      <c r="NRD43" s="292"/>
      <c r="NRE43" s="292"/>
      <c r="NRF43" s="292"/>
      <c r="NRG43" s="292"/>
      <c r="NRH43" s="292"/>
      <c r="NRI43" s="292"/>
      <c r="NRJ43" s="292"/>
      <c r="NRK43" s="292"/>
      <c r="NRL43" s="292"/>
      <c r="NRM43" s="292"/>
      <c r="NRN43" s="292"/>
      <c r="NRO43" s="292"/>
      <c r="NRP43" s="292"/>
      <c r="NRQ43" s="292"/>
      <c r="NRR43" s="292"/>
      <c r="NRS43" s="292"/>
      <c r="NRT43" s="292"/>
      <c r="NRU43" s="292"/>
      <c r="NRV43" s="292"/>
      <c r="NRW43" s="292"/>
      <c r="NRX43" s="292"/>
      <c r="NRY43" s="292"/>
      <c r="NRZ43" s="292"/>
      <c r="NSA43" s="292"/>
      <c r="NSB43" s="292"/>
      <c r="NSC43" s="292"/>
      <c r="NSD43" s="292"/>
      <c r="NSE43" s="292"/>
      <c r="NSF43" s="292"/>
      <c r="NSG43" s="292"/>
      <c r="NSH43" s="292"/>
      <c r="NSI43" s="292"/>
      <c r="NSJ43" s="292"/>
      <c r="NSK43" s="292"/>
      <c r="NSL43" s="292"/>
      <c r="NSM43" s="292"/>
      <c r="NSN43" s="292"/>
      <c r="NSO43" s="292"/>
      <c r="NSP43" s="292"/>
      <c r="NSQ43" s="292"/>
      <c r="NSR43" s="292"/>
      <c r="NSS43" s="292"/>
      <c r="NST43" s="292"/>
      <c r="NSU43" s="292"/>
      <c r="NSV43" s="292"/>
      <c r="NSW43" s="292"/>
      <c r="NSX43" s="292"/>
      <c r="NSY43" s="292"/>
      <c r="NSZ43" s="292"/>
      <c r="NTA43" s="292"/>
      <c r="NTB43" s="292"/>
      <c r="NTC43" s="292"/>
      <c r="NTD43" s="292"/>
      <c r="NTE43" s="292"/>
      <c r="NTF43" s="292"/>
      <c r="NTG43" s="292"/>
      <c r="NTH43" s="292"/>
      <c r="NTI43" s="292"/>
      <c r="NTJ43" s="292"/>
      <c r="NTK43" s="292"/>
      <c r="NTL43" s="292"/>
      <c r="NTM43" s="292"/>
      <c r="NTN43" s="292"/>
      <c r="NTO43" s="292"/>
      <c r="NTP43" s="292"/>
      <c r="NTQ43" s="292"/>
      <c r="NTR43" s="292"/>
      <c r="NTS43" s="292"/>
      <c r="NTT43" s="292"/>
      <c r="NTU43" s="292"/>
      <c r="NTV43" s="292"/>
      <c r="NTW43" s="292"/>
      <c r="NTX43" s="292"/>
      <c r="NTY43" s="292"/>
      <c r="NTZ43" s="292"/>
      <c r="NUA43" s="292"/>
      <c r="NUB43" s="292"/>
      <c r="NUC43" s="292"/>
      <c r="NUD43" s="292"/>
      <c r="NUE43" s="292"/>
      <c r="NUF43" s="292"/>
      <c r="NUG43" s="292"/>
      <c r="NUH43" s="292"/>
      <c r="NUI43" s="292"/>
      <c r="NUJ43" s="292"/>
      <c r="NUK43" s="292"/>
      <c r="NUL43" s="292"/>
      <c r="NUM43" s="292"/>
      <c r="NUN43" s="292"/>
      <c r="NUO43" s="292"/>
      <c r="NUP43" s="292"/>
      <c r="NUQ43" s="292"/>
      <c r="NUR43" s="292"/>
      <c r="NUS43" s="292"/>
      <c r="NUT43" s="292"/>
      <c r="NUU43" s="292"/>
      <c r="NUV43" s="292"/>
      <c r="NUW43" s="292"/>
      <c r="NUX43" s="292"/>
      <c r="NUY43" s="292"/>
      <c r="NUZ43" s="292"/>
      <c r="NVA43" s="292"/>
      <c r="NVB43" s="292"/>
      <c r="NVC43" s="292"/>
      <c r="NVD43" s="292"/>
      <c r="NVE43" s="292"/>
      <c r="NVF43" s="292"/>
      <c r="NVG43" s="292"/>
      <c r="NVH43" s="292"/>
      <c r="NVI43" s="292"/>
      <c r="NVJ43" s="292"/>
      <c r="NVK43" s="292"/>
      <c r="NVL43" s="292"/>
      <c r="NVM43" s="292"/>
      <c r="NVN43" s="292"/>
      <c r="NVO43" s="292"/>
      <c r="NVP43" s="292"/>
      <c r="NVQ43" s="292"/>
      <c r="NVR43" s="292"/>
      <c r="NVS43" s="292"/>
      <c r="NVT43" s="292"/>
      <c r="NVU43" s="292"/>
      <c r="NVV43" s="292"/>
      <c r="NVW43" s="292"/>
      <c r="NVX43" s="292"/>
      <c r="NVY43" s="292"/>
      <c r="NVZ43" s="292"/>
      <c r="NWA43" s="292"/>
      <c r="NWB43" s="292"/>
      <c r="NWC43" s="292"/>
      <c r="NWD43" s="292"/>
      <c r="NWE43" s="292"/>
      <c r="NWF43" s="292"/>
      <c r="NWG43" s="292"/>
      <c r="NWH43" s="292"/>
      <c r="NWI43" s="292"/>
      <c r="NWJ43" s="292"/>
      <c r="NWK43" s="292"/>
      <c r="NWL43" s="292"/>
      <c r="NWM43" s="292"/>
      <c r="NWN43" s="292"/>
      <c r="NWO43" s="292"/>
      <c r="NWP43" s="292"/>
      <c r="NWQ43" s="292"/>
      <c r="NWR43" s="292"/>
      <c r="NWS43" s="292"/>
      <c r="NWT43" s="292"/>
      <c r="NWU43" s="292"/>
      <c r="NWV43" s="292"/>
      <c r="NWW43" s="292"/>
      <c r="NWX43" s="292"/>
      <c r="NWY43" s="292"/>
      <c r="NWZ43" s="292"/>
      <c r="NXA43" s="292"/>
      <c r="NXB43" s="292"/>
      <c r="NXC43" s="292"/>
      <c r="NXD43" s="292"/>
      <c r="NXE43" s="292"/>
      <c r="NXF43" s="292"/>
      <c r="NXG43" s="292"/>
      <c r="NXH43" s="292"/>
      <c r="NXI43" s="292"/>
      <c r="NXJ43" s="292"/>
      <c r="NXK43" s="292"/>
      <c r="NXL43" s="292"/>
      <c r="NXM43" s="292"/>
      <c r="NXN43" s="292"/>
      <c r="NXO43" s="292"/>
      <c r="NXP43" s="292"/>
      <c r="NXQ43" s="292"/>
      <c r="NXR43" s="292"/>
      <c r="NXS43" s="292"/>
      <c r="NXT43" s="292"/>
      <c r="NXU43" s="292"/>
      <c r="NXV43" s="292"/>
      <c r="NXW43" s="292"/>
      <c r="NXX43" s="292"/>
      <c r="NXY43" s="292"/>
      <c r="NXZ43" s="292"/>
      <c r="NYA43" s="292"/>
      <c r="NYB43" s="292"/>
      <c r="NYC43" s="292"/>
      <c r="NYD43" s="292"/>
      <c r="NYE43" s="292"/>
      <c r="NYF43" s="292"/>
      <c r="NYG43" s="292"/>
      <c r="NYH43" s="292"/>
      <c r="NYI43" s="292"/>
      <c r="NYJ43" s="292"/>
      <c r="NYK43" s="292"/>
      <c r="NYL43" s="292"/>
      <c r="NYM43" s="292"/>
      <c r="NYN43" s="292"/>
      <c r="NYO43" s="292"/>
      <c r="NYP43" s="292"/>
      <c r="NYQ43" s="292"/>
      <c r="NYR43" s="292"/>
      <c r="NYS43" s="292"/>
      <c r="NYT43" s="292"/>
      <c r="NYU43" s="292"/>
      <c r="NYV43" s="292"/>
      <c r="NYW43" s="292"/>
      <c r="NYX43" s="292"/>
      <c r="NYY43" s="292"/>
      <c r="NYZ43" s="292"/>
      <c r="NZA43" s="292"/>
      <c r="NZB43" s="292"/>
      <c r="NZC43" s="292"/>
      <c r="NZD43" s="292"/>
      <c r="NZE43" s="292"/>
      <c r="NZF43" s="292"/>
      <c r="NZG43" s="292"/>
      <c r="NZH43" s="292"/>
      <c r="NZI43" s="292"/>
      <c r="NZJ43" s="292"/>
      <c r="NZK43" s="292"/>
      <c r="NZL43" s="292"/>
      <c r="NZM43" s="292"/>
      <c r="NZN43" s="292"/>
      <c r="NZO43" s="292"/>
      <c r="NZP43" s="292"/>
      <c r="NZQ43" s="292"/>
      <c r="NZR43" s="292"/>
      <c r="NZS43" s="292"/>
      <c r="NZT43" s="292"/>
      <c r="NZU43" s="292"/>
      <c r="NZV43" s="292"/>
      <c r="NZW43" s="292"/>
      <c r="NZX43" s="292"/>
      <c r="NZY43" s="292"/>
      <c r="NZZ43" s="292"/>
      <c r="OAA43" s="292"/>
      <c r="OAB43" s="292"/>
      <c r="OAC43" s="292"/>
      <c r="OAD43" s="292"/>
      <c r="OAE43" s="292"/>
      <c r="OAF43" s="292"/>
      <c r="OAG43" s="292"/>
      <c r="OAH43" s="292"/>
      <c r="OAI43" s="292"/>
      <c r="OAJ43" s="292"/>
      <c r="OAK43" s="292"/>
      <c r="OAL43" s="292"/>
      <c r="OAM43" s="292"/>
      <c r="OAN43" s="292"/>
      <c r="OAO43" s="292"/>
      <c r="OAP43" s="292"/>
      <c r="OAQ43" s="292"/>
      <c r="OAR43" s="292"/>
      <c r="OAS43" s="292"/>
      <c r="OAT43" s="292"/>
      <c r="OAU43" s="292"/>
      <c r="OAV43" s="292"/>
      <c r="OAW43" s="292"/>
      <c r="OAX43" s="292"/>
      <c r="OAY43" s="292"/>
      <c r="OAZ43" s="292"/>
      <c r="OBA43" s="292"/>
      <c r="OBB43" s="292"/>
      <c r="OBC43" s="292"/>
      <c r="OBD43" s="292"/>
      <c r="OBE43" s="292"/>
      <c r="OBF43" s="292"/>
      <c r="OBG43" s="292"/>
      <c r="OBH43" s="292"/>
      <c r="OBI43" s="292"/>
      <c r="OBJ43" s="292"/>
      <c r="OBK43" s="292"/>
      <c r="OBL43" s="292"/>
      <c r="OBM43" s="292"/>
      <c r="OBN43" s="292"/>
      <c r="OBO43" s="292"/>
      <c r="OBP43" s="292"/>
      <c r="OBQ43" s="292"/>
      <c r="OBR43" s="292"/>
      <c r="OBS43" s="292"/>
      <c r="OBT43" s="292"/>
      <c r="OBU43" s="292"/>
      <c r="OBV43" s="292"/>
      <c r="OBW43" s="292"/>
      <c r="OBX43" s="292"/>
      <c r="OBY43" s="292"/>
      <c r="OBZ43" s="292"/>
      <c r="OCA43" s="292"/>
      <c r="OCB43" s="292"/>
      <c r="OCC43" s="292"/>
      <c r="OCD43" s="292"/>
      <c r="OCE43" s="292"/>
      <c r="OCF43" s="292"/>
      <c r="OCG43" s="292"/>
      <c r="OCH43" s="292"/>
      <c r="OCI43" s="292"/>
      <c r="OCJ43" s="292"/>
      <c r="OCK43" s="292"/>
      <c r="OCL43" s="292"/>
      <c r="OCM43" s="292"/>
      <c r="OCN43" s="292"/>
      <c r="OCO43" s="292"/>
      <c r="OCP43" s="292"/>
      <c r="OCQ43" s="292"/>
      <c r="OCR43" s="292"/>
      <c r="OCS43" s="292"/>
      <c r="OCT43" s="292"/>
      <c r="OCU43" s="292"/>
      <c r="OCV43" s="292"/>
      <c r="OCW43" s="292"/>
      <c r="OCX43" s="292"/>
      <c r="OCY43" s="292"/>
      <c r="OCZ43" s="292"/>
      <c r="ODA43" s="292"/>
      <c r="ODB43" s="292"/>
      <c r="ODC43" s="292"/>
      <c r="ODD43" s="292"/>
      <c r="ODE43" s="292"/>
      <c r="ODF43" s="292"/>
      <c r="ODG43" s="292"/>
      <c r="ODH43" s="292"/>
      <c r="ODI43" s="292"/>
      <c r="ODJ43" s="292"/>
      <c r="ODK43" s="292"/>
      <c r="ODL43" s="292"/>
      <c r="ODM43" s="292"/>
      <c r="ODN43" s="292"/>
      <c r="ODO43" s="292"/>
      <c r="ODP43" s="292"/>
      <c r="ODQ43" s="292"/>
      <c r="ODR43" s="292"/>
      <c r="ODS43" s="292"/>
      <c r="ODT43" s="292"/>
      <c r="ODU43" s="292"/>
      <c r="ODV43" s="292"/>
      <c r="ODW43" s="292"/>
      <c r="ODX43" s="292"/>
      <c r="ODY43" s="292"/>
      <c r="ODZ43" s="292"/>
      <c r="OEA43" s="292"/>
      <c r="OEB43" s="292"/>
      <c r="OEC43" s="292"/>
      <c r="OED43" s="292"/>
      <c r="OEE43" s="292"/>
      <c r="OEF43" s="292"/>
      <c r="OEG43" s="292"/>
      <c r="OEH43" s="292"/>
      <c r="OEI43" s="292"/>
      <c r="OEJ43" s="292"/>
      <c r="OEK43" s="292"/>
      <c r="OEL43" s="292"/>
      <c r="OEM43" s="292"/>
      <c r="OEN43" s="292"/>
      <c r="OEO43" s="292"/>
      <c r="OEP43" s="292"/>
      <c r="OEQ43" s="292"/>
      <c r="OER43" s="292"/>
      <c r="OES43" s="292"/>
      <c r="OET43" s="292"/>
      <c r="OEU43" s="292"/>
      <c r="OEV43" s="292"/>
      <c r="OEW43" s="292"/>
      <c r="OEX43" s="292"/>
      <c r="OEY43" s="292"/>
      <c r="OEZ43" s="292"/>
      <c r="OFA43" s="292"/>
      <c r="OFB43" s="292"/>
      <c r="OFC43" s="292"/>
      <c r="OFD43" s="292"/>
      <c r="OFE43" s="292"/>
      <c r="OFF43" s="292"/>
      <c r="OFG43" s="292"/>
      <c r="OFH43" s="292"/>
      <c r="OFI43" s="292"/>
      <c r="OFJ43" s="292"/>
      <c r="OFK43" s="292"/>
      <c r="OFL43" s="292"/>
      <c r="OFM43" s="292"/>
      <c r="OFN43" s="292"/>
      <c r="OFO43" s="292"/>
      <c r="OFP43" s="292"/>
      <c r="OFQ43" s="292"/>
      <c r="OFR43" s="292"/>
      <c r="OFS43" s="292"/>
      <c r="OFT43" s="292"/>
      <c r="OFU43" s="292"/>
      <c r="OFV43" s="292"/>
      <c r="OFW43" s="292"/>
      <c r="OFX43" s="292"/>
      <c r="OFY43" s="292"/>
      <c r="OFZ43" s="292"/>
      <c r="OGA43" s="292"/>
      <c r="OGB43" s="292"/>
      <c r="OGC43" s="292"/>
      <c r="OGD43" s="292"/>
      <c r="OGE43" s="292"/>
      <c r="OGF43" s="292"/>
      <c r="OGG43" s="292"/>
      <c r="OGH43" s="292"/>
      <c r="OGI43" s="292"/>
      <c r="OGJ43" s="292"/>
      <c r="OGK43" s="292"/>
      <c r="OGL43" s="292"/>
      <c r="OGM43" s="292"/>
      <c r="OGN43" s="292"/>
      <c r="OGO43" s="292"/>
      <c r="OGP43" s="292"/>
      <c r="OGQ43" s="292"/>
      <c r="OGR43" s="292"/>
      <c r="OGS43" s="292"/>
      <c r="OGT43" s="292"/>
      <c r="OGU43" s="292"/>
      <c r="OGV43" s="292"/>
      <c r="OGW43" s="292"/>
      <c r="OGX43" s="292"/>
      <c r="OGY43" s="292"/>
      <c r="OGZ43" s="292"/>
      <c r="OHA43" s="292"/>
      <c r="OHB43" s="292"/>
      <c r="OHC43" s="292"/>
      <c r="OHD43" s="292"/>
      <c r="OHE43" s="292"/>
      <c r="OHF43" s="292"/>
      <c r="OHG43" s="292"/>
      <c r="OHH43" s="292"/>
      <c r="OHI43" s="292"/>
      <c r="OHJ43" s="292"/>
      <c r="OHK43" s="292"/>
      <c r="OHL43" s="292"/>
      <c r="OHM43" s="292"/>
      <c r="OHN43" s="292"/>
      <c r="OHO43" s="292"/>
      <c r="OHP43" s="292"/>
      <c r="OHQ43" s="292"/>
      <c r="OHR43" s="292"/>
      <c r="OHS43" s="292"/>
      <c r="OHT43" s="292"/>
      <c r="OHU43" s="292"/>
      <c r="OHV43" s="292"/>
      <c r="OHW43" s="292"/>
      <c r="OHX43" s="292"/>
      <c r="OHY43" s="292"/>
      <c r="OHZ43" s="292"/>
      <c r="OIA43" s="292"/>
      <c r="OIB43" s="292"/>
      <c r="OIC43" s="292"/>
      <c r="OID43" s="292"/>
      <c r="OIE43" s="292"/>
      <c r="OIF43" s="292"/>
      <c r="OIG43" s="292"/>
      <c r="OIH43" s="292"/>
      <c r="OII43" s="292"/>
      <c r="OIJ43" s="292"/>
      <c r="OIK43" s="292"/>
      <c r="OIL43" s="292"/>
      <c r="OIM43" s="292"/>
      <c r="OIN43" s="292"/>
      <c r="OIO43" s="292"/>
      <c r="OIP43" s="292"/>
      <c r="OIQ43" s="292"/>
      <c r="OIR43" s="292"/>
      <c r="OIS43" s="292"/>
      <c r="OIT43" s="292"/>
      <c r="OIU43" s="292"/>
      <c r="OIV43" s="292"/>
      <c r="OIW43" s="292"/>
      <c r="OIX43" s="292"/>
      <c r="OIY43" s="292"/>
      <c r="OIZ43" s="292"/>
      <c r="OJA43" s="292"/>
      <c r="OJB43" s="292"/>
      <c r="OJC43" s="292"/>
      <c r="OJD43" s="292"/>
      <c r="OJE43" s="292"/>
      <c r="OJF43" s="292"/>
      <c r="OJG43" s="292"/>
      <c r="OJH43" s="292"/>
      <c r="OJI43" s="292"/>
      <c r="OJJ43" s="292"/>
      <c r="OJK43" s="292"/>
      <c r="OJL43" s="292"/>
      <c r="OJM43" s="292"/>
      <c r="OJN43" s="292"/>
      <c r="OJO43" s="292"/>
      <c r="OJP43" s="292"/>
      <c r="OJQ43" s="292"/>
      <c r="OJR43" s="292"/>
      <c r="OJS43" s="292"/>
      <c r="OJT43" s="292"/>
      <c r="OJU43" s="292"/>
      <c r="OJV43" s="292"/>
      <c r="OJW43" s="292"/>
      <c r="OJX43" s="292"/>
      <c r="OJY43" s="292"/>
      <c r="OJZ43" s="292"/>
      <c r="OKA43" s="292"/>
      <c r="OKB43" s="292"/>
      <c r="OKC43" s="292"/>
      <c r="OKD43" s="292"/>
      <c r="OKE43" s="292"/>
      <c r="OKF43" s="292"/>
      <c r="OKG43" s="292"/>
      <c r="OKH43" s="292"/>
      <c r="OKI43" s="292"/>
      <c r="OKJ43" s="292"/>
      <c r="OKK43" s="292"/>
      <c r="OKL43" s="292"/>
      <c r="OKM43" s="292"/>
      <c r="OKN43" s="292"/>
      <c r="OKO43" s="292"/>
      <c r="OKP43" s="292"/>
      <c r="OKQ43" s="292"/>
      <c r="OKR43" s="292"/>
      <c r="OKS43" s="292"/>
      <c r="OKT43" s="292"/>
      <c r="OKU43" s="292"/>
      <c r="OKV43" s="292"/>
      <c r="OKW43" s="292"/>
      <c r="OKX43" s="292"/>
      <c r="OKY43" s="292"/>
      <c r="OKZ43" s="292"/>
      <c r="OLA43" s="292"/>
      <c r="OLB43" s="292"/>
      <c r="OLC43" s="292"/>
      <c r="OLD43" s="292"/>
      <c r="OLE43" s="292"/>
      <c r="OLF43" s="292"/>
      <c r="OLG43" s="292"/>
      <c r="OLH43" s="292"/>
      <c r="OLI43" s="292"/>
      <c r="OLJ43" s="292"/>
      <c r="OLK43" s="292"/>
      <c r="OLL43" s="292"/>
      <c r="OLM43" s="292"/>
      <c r="OLN43" s="292"/>
      <c r="OLO43" s="292"/>
      <c r="OLP43" s="292"/>
      <c r="OLQ43" s="292"/>
      <c r="OLR43" s="292"/>
      <c r="OLS43" s="292"/>
      <c r="OLT43" s="292"/>
      <c r="OLU43" s="292"/>
      <c r="OLV43" s="292"/>
      <c r="OLW43" s="292"/>
      <c r="OLX43" s="292"/>
      <c r="OLY43" s="292"/>
      <c r="OLZ43" s="292"/>
      <c r="OMA43" s="292"/>
      <c r="OMB43" s="292"/>
      <c r="OMC43" s="292"/>
      <c r="OMD43" s="292"/>
      <c r="OME43" s="292"/>
      <c r="OMF43" s="292"/>
      <c r="OMG43" s="292"/>
      <c r="OMH43" s="292"/>
      <c r="OMI43" s="292"/>
      <c r="OMJ43" s="292"/>
      <c r="OMK43" s="292"/>
      <c r="OML43" s="292"/>
      <c r="OMM43" s="292"/>
      <c r="OMN43" s="292"/>
      <c r="OMO43" s="292"/>
      <c r="OMP43" s="292"/>
      <c r="OMQ43" s="292"/>
      <c r="OMR43" s="292"/>
      <c r="OMS43" s="292"/>
      <c r="OMT43" s="292"/>
      <c r="OMU43" s="292"/>
      <c r="OMV43" s="292"/>
      <c r="OMW43" s="292"/>
      <c r="OMX43" s="292"/>
      <c r="OMY43" s="292"/>
      <c r="OMZ43" s="292"/>
      <c r="ONA43" s="292"/>
      <c r="ONB43" s="292"/>
      <c r="ONC43" s="292"/>
      <c r="OND43" s="292"/>
      <c r="ONE43" s="292"/>
      <c r="ONF43" s="292"/>
      <c r="ONG43" s="292"/>
      <c r="ONH43" s="292"/>
      <c r="ONI43" s="292"/>
      <c r="ONJ43" s="292"/>
      <c r="ONK43" s="292"/>
      <c r="ONL43" s="292"/>
      <c r="ONM43" s="292"/>
      <c r="ONN43" s="292"/>
      <c r="ONO43" s="292"/>
      <c r="ONP43" s="292"/>
      <c r="ONQ43" s="292"/>
      <c r="ONR43" s="292"/>
      <c r="ONS43" s="292"/>
      <c r="ONT43" s="292"/>
      <c r="ONU43" s="292"/>
      <c r="ONV43" s="292"/>
      <c r="ONW43" s="292"/>
      <c r="ONX43" s="292"/>
      <c r="ONY43" s="292"/>
      <c r="ONZ43" s="292"/>
      <c r="OOA43" s="292"/>
      <c r="OOB43" s="292"/>
      <c r="OOC43" s="292"/>
      <c r="OOD43" s="292"/>
      <c r="OOE43" s="292"/>
      <c r="OOF43" s="292"/>
      <c r="OOG43" s="292"/>
      <c r="OOH43" s="292"/>
      <c r="OOI43" s="292"/>
      <c r="OOJ43" s="292"/>
      <c r="OOK43" s="292"/>
      <c r="OOL43" s="292"/>
      <c r="OOM43" s="292"/>
      <c r="OON43" s="292"/>
      <c r="OOO43" s="292"/>
      <c r="OOP43" s="292"/>
      <c r="OOQ43" s="292"/>
      <c r="OOR43" s="292"/>
      <c r="OOS43" s="292"/>
      <c r="OOT43" s="292"/>
      <c r="OOU43" s="292"/>
      <c r="OOV43" s="292"/>
      <c r="OOW43" s="292"/>
      <c r="OOX43" s="292"/>
      <c r="OOY43" s="292"/>
      <c r="OOZ43" s="292"/>
      <c r="OPA43" s="292"/>
      <c r="OPB43" s="292"/>
      <c r="OPC43" s="292"/>
      <c r="OPD43" s="292"/>
      <c r="OPE43" s="292"/>
      <c r="OPF43" s="292"/>
      <c r="OPG43" s="292"/>
      <c r="OPH43" s="292"/>
      <c r="OPI43" s="292"/>
      <c r="OPJ43" s="292"/>
      <c r="OPK43" s="292"/>
      <c r="OPL43" s="292"/>
      <c r="OPM43" s="292"/>
      <c r="OPN43" s="292"/>
      <c r="OPO43" s="292"/>
      <c r="OPP43" s="292"/>
      <c r="OPQ43" s="292"/>
      <c r="OPR43" s="292"/>
      <c r="OPS43" s="292"/>
      <c r="OPT43" s="292"/>
      <c r="OPU43" s="292"/>
      <c r="OPV43" s="292"/>
      <c r="OPW43" s="292"/>
      <c r="OPX43" s="292"/>
      <c r="OPY43" s="292"/>
      <c r="OPZ43" s="292"/>
      <c r="OQA43" s="292"/>
      <c r="OQB43" s="292"/>
      <c r="OQC43" s="292"/>
      <c r="OQD43" s="292"/>
      <c r="OQE43" s="292"/>
      <c r="OQF43" s="292"/>
      <c r="OQG43" s="292"/>
      <c r="OQH43" s="292"/>
      <c r="OQI43" s="292"/>
      <c r="OQJ43" s="292"/>
      <c r="OQK43" s="292"/>
      <c r="OQL43" s="292"/>
      <c r="OQM43" s="292"/>
      <c r="OQN43" s="292"/>
      <c r="OQO43" s="292"/>
      <c r="OQP43" s="292"/>
      <c r="OQQ43" s="292"/>
      <c r="OQR43" s="292"/>
      <c r="OQS43" s="292"/>
      <c r="OQT43" s="292"/>
      <c r="OQU43" s="292"/>
      <c r="OQV43" s="292"/>
      <c r="OQW43" s="292"/>
      <c r="OQX43" s="292"/>
      <c r="OQY43" s="292"/>
      <c r="OQZ43" s="292"/>
      <c r="ORA43" s="292"/>
      <c r="ORB43" s="292"/>
      <c r="ORC43" s="292"/>
      <c r="ORD43" s="292"/>
      <c r="ORE43" s="292"/>
      <c r="ORF43" s="292"/>
      <c r="ORG43" s="292"/>
      <c r="ORH43" s="292"/>
      <c r="ORI43" s="292"/>
      <c r="ORJ43" s="292"/>
      <c r="ORK43" s="292"/>
      <c r="ORL43" s="292"/>
      <c r="ORM43" s="292"/>
      <c r="ORN43" s="292"/>
      <c r="ORO43" s="292"/>
      <c r="ORP43" s="292"/>
      <c r="ORQ43" s="292"/>
      <c r="ORR43" s="292"/>
      <c r="ORS43" s="292"/>
      <c r="ORT43" s="292"/>
      <c r="ORU43" s="292"/>
      <c r="ORV43" s="292"/>
      <c r="ORW43" s="292"/>
      <c r="ORX43" s="292"/>
      <c r="ORY43" s="292"/>
      <c r="ORZ43" s="292"/>
      <c r="OSA43" s="292"/>
      <c r="OSB43" s="292"/>
      <c r="OSC43" s="292"/>
      <c r="OSD43" s="292"/>
      <c r="OSE43" s="292"/>
      <c r="OSF43" s="292"/>
      <c r="OSG43" s="292"/>
      <c r="OSH43" s="292"/>
      <c r="OSI43" s="292"/>
      <c r="OSJ43" s="292"/>
      <c r="OSK43" s="292"/>
      <c r="OSL43" s="292"/>
      <c r="OSM43" s="292"/>
      <c r="OSN43" s="292"/>
      <c r="OSO43" s="292"/>
      <c r="OSP43" s="292"/>
      <c r="OSQ43" s="292"/>
      <c r="OSR43" s="292"/>
      <c r="OSS43" s="292"/>
      <c r="OST43" s="292"/>
      <c r="OSU43" s="292"/>
      <c r="OSV43" s="292"/>
      <c r="OSW43" s="292"/>
      <c r="OSX43" s="292"/>
      <c r="OSY43" s="292"/>
      <c r="OSZ43" s="292"/>
      <c r="OTA43" s="292"/>
      <c r="OTB43" s="292"/>
      <c r="OTC43" s="292"/>
      <c r="OTD43" s="292"/>
      <c r="OTE43" s="292"/>
      <c r="OTF43" s="292"/>
      <c r="OTG43" s="292"/>
      <c r="OTH43" s="292"/>
      <c r="OTI43" s="292"/>
      <c r="OTJ43" s="292"/>
      <c r="OTK43" s="292"/>
      <c r="OTL43" s="292"/>
      <c r="OTM43" s="292"/>
      <c r="OTN43" s="292"/>
      <c r="OTO43" s="292"/>
      <c r="OTP43" s="292"/>
      <c r="OTQ43" s="292"/>
      <c r="OTR43" s="292"/>
      <c r="OTS43" s="292"/>
      <c r="OTT43" s="292"/>
      <c r="OTU43" s="292"/>
      <c r="OTV43" s="292"/>
      <c r="OTW43" s="292"/>
      <c r="OTX43" s="292"/>
      <c r="OTY43" s="292"/>
      <c r="OTZ43" s="292"/>
      <c r="OUA43" s="292"/>
      <c r="OUB43" s="292"/>
      <c r="OUC43" s="292"/>
      <c r="OUD43" s="292"/>
      <c r="OUE43" s="292"/>
      <c r="OUF43" s="292"/>
      <c r="OUG43" s="292"/>
      <c r="OUH43" s="292"/>
      <c r="OUI43" s="292"/>
      <c r="OUJ43" s="292"/>
      <c r="OUK43" s="292"/>
      <c r="OUL43" s="292"/>
      <c r="OUM43" s="292"/>
      <c r="OUN43" s="292"/>
      <c r="OUO43" s="292"/>
      <c r="OUP43" s="292"/>
      <c r="OUQ43" s="292"/>
      <c r="OUR43" s="292"/>
      <c r="OUS43" s="292"/>
      <c r="OUT43" s="292"/>
      <c r="OUU43" s="292"/>
      <c r="OUV43" s="292"/>
      <c r="OUW43" s="292"/>
      <c r="OUX43" s="292"/>
      <c r="OUY43" s="292"/>
      <c r="OUZ43" s="292"/>
      <c r="OVA43" s="292"/>
      <c r="OVB43" s="292"/>
      <c r="OVC43" s="292"/>
      <c r="OVD43" s="292"/>
      <c r="OVE43" s="292"/>
      <c r="OVF43" s="292"/>
      <c r="OVG43" s="292"/>
      <c r="OVH43" s="292"/>
      <c r="OVI43" s="292"/>
      <c r="OVJ43" s="292"/>
      <c r="OVK43" s="292"/>
      <c r="OVL43" s="292"/>
      <c r="OVM43" s="292"/>
      <c r="OVN43" s="292"/>
      <c r="OVO43" s="292"/>
      <c r="OVP43" s="292"/>
      <c r="OVQ43" s="292"/>
      <c r="OVR43" s="292"/>
      <c r="OVS43" s="292"/>
      <c r="OVT43" s="292"/>
      <c r="OVU43" s="292"/>
      <c r="OVV43" s="292"/>
      <c r="OVW43" s="292"/>
      <c r="OVX43" s="292"/>
      <c r="OVY43" s="292"/>
      <c r="OVZ43" s="292"/>
      <c r="OWA43" s="292"/>
      <c r="OWB43" s="292"/>
      <c r="OWC43" s="292"/>
      <c r="OWD43" s="292"/>
      <c r="OWE43" s="292"/>
      <c r="OWF43" s="292"/>
      <c r="OWG43" s="292"/>
      <c r="OWH43" s="292"/>
      <c r="OWI43" s="292"/>
      <c r="OWJ43" s="292"/>
      <c r="OWK43" s="292"/>
      <c r="OWL43" s="292"/>
      <c r="OWM43" s="292"/>
      <c r="OWN43" s="292"/>
      <c r="OWO43" s="292"/>
      <c r="OWP43" s="292"/>
      <c r="OWQ43" s="292"/>
      <c r="OWR43" s="292"/>
      <c r="OWS43" s="292"/>
      <c r="OWT43" s="292"/>
      <c r="OWU43" s="292"/>
      <c r="OWV43" s="292"/>
      <c r="OWW43" s="292"/>
      <c r="OWX43" s="292"/>
      <c r="OWY43" s="292"/>
      <c r="OWZ43" s="292"/>
      <c r="OXA43" s="292"/>
      <c r="OXB43" s="292"/>
      <c r="OXC43" s="292"/>
      <c r="OXD43" s="292"/>
      <c r="OXE43" s="292"/>
      <c r="OXF43" s="292"/>
      <c r="OXG43" s="292"/>
      <c r="OXH43" s="292"/>
      <c r="OXI43" s="292"/>
      <c r="OXJ43" s="292"/>
      <c r="OXK43" s="292"/>
      <c r="OXL43" s="292"/>
      <c r="OXM43" s="292"/>
      <c r="OXN43" s="292"/>
      <c r="OXO43" s="292"/>
      <c r="OXP43" s="292"/>
      <c r="OXQ43" s="292"/>
      <c r="OXR43" s="292"/>
      <c r="OXS43" s="292"/>
      <c r="OXT43" s="292"/>
      <c r="OXU43" s="292"/>
      <c r="OXV43" s="292"/>
      <c r="OXW43" s="292"/>
      <c r="OXX43" s="292"/>
      <c r="OXY43" s="292"/>
      <c r="OXZ43" s="292"/>
      <c r="OYA43" s="292"/>
      <c r="OYB43" s="292"/>
      <c r="OYC43" s="292"/>
      <c r="OYD43" s="292"/>
      <c r="OYE43" s="292"/>
      <c r="OYF43" s="292"/>
      <c r="OYG43" s="292"/>
      <c r="OYH43" s="292"/>
      <c r="OYI43" s="292"/>
      <c r="OYJ43" s="292"/>
      <c r="OYK43" s="292"/>
      <c r="OYL43" s="292"/>
      <c r="OYM43" s="292"/>
      <c r="OYN43" s="292"/>
      <c r="OYO43" s="292"/>
      <c r="OYP43" s="292"/>
      <c r="OYQ43" s="292"/>
      <c r="OYR43" s="292"/>
      <c r="OYS43" s="292"/>
      <c r="OYT43" s="292"/>
      <c r="OYU43" s="292"/>
      <c r="OYV43" s="292"/>
      <c r="OYW43" s="292"/>
      <c r="OYX43" s="292"/>
      <c r="OYY43" s="292"/>
      <c r="OYZ43" s="292"/>
      <c r="OZA43" s="292"/>
      <c r="OZB43" s="292"/>
      <c r="OZC43" s="292"/>
      <c r="OZD43" s="292"/>
      <c r="OZE43" s="292"/>
      <c r="OZF43" s="292"/>
      <c r="OZG43" s="292"/>
      <c r="OZH43" s="292"/>
      <c r="OZI43" s="292"/>
      <c r="OZJ43" s="292"/>
      <c r="OZK43" s="292"/>
      <c r="OZL43" s="292"/>
      <c r="OZM43" s="292"/>
      <c r="OZN43" s="292"/>
      <c r="OZO43" s="292"/>
      <c r="OZP43" s="292"/>
      <c r="OZQ43" s="292"/>
      <c r="OZR43" s="292"/>
      <c r="OZS43" s="292"/>
      <c r="OZT43" s="292"/>
      <c r="OZU43" s="292"/>
      <c r="OZV43" s="292"/>
      <c r="OZW43" s="292"/>
      <c r="OZX43" s="292"/>
      <c r="OZY43" s="292"/>
      <c r="OZZ43" s="292"/>
      <c r="PAA43" s="292"/>
      <c r="PAB43" s="292"/>
      <c r="PAC43" s="292"/>
      <c r="PAD43" s="292"/>
      <c r="PAE43" s="292"/>
      <c r="PAF43" s="292"/>
      <c r="PAG43" s="292"/>
      <c r="PAH43" s="292"/>
      <c r="PAI43" s="292"/>
      <c r="PAJ43" s="292"/>
      <c r="PAK43" s="292"/>
      <c r="PAL43" s="292"/>
      <c r="PAM43" s="292"/>
      <c r="PAN43" s="292"/>
      <c r="PAO43" s="292"/>
      <c r="PAP43" s="292"/>
      <c r="PAQ43" s="292"/>
      <c r="PAR43" s="292"/>
      <c r="PAS43" s="292"/>
      <c r="PAT43" s="292"/>
      <c r="PAU43" s="292"/>
      <c r="PAV43" s="292"/>
      <c r="PAW43" s="292"/>
      <c r="PAX43" s="292"/>
      <c r="PAY43" s="292"/>
      <c r="PAZ43" s="292"/>
      <c r="PBA43" s="292"/>
      <c r="PBB43" s="292"/>
      <c r="PBC43" s="292"/>
      <c r="PBD43" s="292"/>
      <c r="PBE43" s="292"/>
      <c r="PBF43" s="292"/>
      <c r="PBG43" s="292"/>
      <c r="PBH43" s="292"/>
      <c r="PBI43" s="292"/>
      <c r="PBJ43" s="292"/>
      <c r="PBK43" s="292"/>
      <c r="PBL43" s="292"/>
      <c r="PBM43" s="292"/>
      <c r="PBN43" s="292"/>
      <c r="PBO43" s="292"/>
      <c r="PBP43" s="292"/>
      <c r="PBQ43" s="292"/>
      <c r="PBR43" s="292"/>
      <c r="PBS43" s="292"/>
      <c r="PBT43" s="292"/>
      <c r="PBU43" s="292"/>
      <c r="PBV43" s="292"/>
      <c r="PBW43" s="292"/>
      <c r="PBX43" s="292"/>
      <c r="PBY43" s="292"/>
      <c r="PBZ43" s="292"/>
      <c r="PCA43" s="292"/>
      <c r="PCB43" s="292"/>
      <c r="PCC43" s="292"/>
      <c r="PCD43" s="292"/>
      <c r="PCE43" s="292"/>
      <c r="PCF43" s="292"/>
      <c r="PCG43" s="292"/>
      <c r="PCH43" s="292"/>
      <c r="PCI43" s="292"/>
      <c r="PCJ43" s="292"/>
      <c r="PCK43" s="292"/>
      <c r="PCL43" s="292"/>
      <c r="PCM43" s="292"/>
      <c r="PCN43" s="292"/>
      <c r="PCO43" s="292"/>
      <c r="PCP43" s="292"/>
      <c r="PCQ43" s="292"/>
      <c r="PCR43" s="292"/>
      <c r="PCS43" s="292"/>
      <c r="PCT43" s="292"/>
      <c r="PCU43" s="292"/>
      <c r="PCV43" s="292"/>
      <c r="PCW43" s="292"/>
      <c r="PCX43" s="292"/>
      <c r="PCY43" s="292"/>
      <c r="PCZ43" s="292"/>
      <c r="PDA43" s="292"/>
      <c r="PDB43" s="292"/>
      <c r="PDC43" s="292"/>
      <c r="PDD43" s="292"/>
      <c r="PDE43" s="292"/>
      <c r="PDF43" s="292"/>
      <c r="PDG43" s="292"/>
      <c r="PDH43" s="292"/>
      <c r="PDI43" s="292"/>
      <c r="PDJ43" s="292"/>
      <c r="PDK43" s="292"/>
      <c r="PDL43" s="292"/>
      <c r="PDM43" s="292"/>
      <c r="PDN43" s="292"/>
      <c r="PDO43" s="292"/>
      <c r="PDP43" s="292"/>
      <c r="PDQ43" s="292"/>
      <c r="PDR43" s="292"/>
      <c r="PDS43" s="292"/>
      <c r="PDT43" s="292"/>
      <c r="PDU43" s="292"/>
      <c r="PDV43" s="292"/>
      <c r="PDW43" s="292"/>
      <c r="PDX43" s="292"/>
      <c r="PDY43" s="292"/>
      <c r="PDZ43" s="292"/>
      <c r="PEA43" s="292"/>
      <c r="PEB43" s="292"/>
      <c r="PEC43" s="292"/>
      <c r="PED43" s="292"/>
      <c r="PEE43" s="292"/>
      <c r="PEF43" s="292"/>
      <c r="PEG43" s="292"/>
      <c r="PEH43" s="292"/>
      <c r="PEI43" s="292"/>
      <c r="PEJ43" s="292"/>
      <c r="PEK43" s="292"/>
      <c r="PEL43" s="292"/>
      <c r="PEM43" s="292"/>
      <c r="PEN43" s="292"/>
      <c r="PEO43" s="292"/>
      <c r="PEP43" s="292"/>
      <c r="PEQ43" s="292"/>
      <c r="PER43" s="292"/>
      <c r="PES43" s="292"/>
      <c r="PET43" s="292"/>
      <c r="PEU43" s="292"/>
      <c r="PEV43" s="292"/>
      <c r="PEW43" s="292"/>
      <c r="PEX43" s="292"/>
      <c r="PEY43" s="292"/>
      <c r="PEZ43" s="292"/>
      <c r="PFA43" s="292"/>
      <c r="PFB43" s="292"/>
      <c r="PFC43" s="292"/>
      <c r="PFD43" s="292"/>
      <c r="PFE43" s="292"/>
      <c r="PFF43" s="292"/>
      <c r="PFG43" s="292"/>
      <c r="PFH43" s="292"/>
      <c r="PFI43" s="292"/>
      <c r="PFJ43" s="292"/>
      <c r="PFK43" s="292"/>
      <c r="PFL43" s="292"/>
      <c r="PFM43" s="292"/>
      <c r="PFN43" s="292"/>
      <c r="PFO43" s="292"/>
      <c r="PFP43" s="292"/>
      <c r="PFQ43" s="292"/>
      <c r="PFR43" s="292"/>
      <c r="PFS43" s="292"/>
      <c r="PFT43" s="292"/>
      <c r="PFU43" s="292"/>
      <c r="PFV43" s="292"/>
      <c r="PFW43" s="292"/>
      <c r="PFX43" s="292"/>
      <c r="PFY43" s="292"/>
      <c r="PFZ43" s="292"/>
      <c r="PGA43" s="292"/>
      <c r="PGB43" s="292"/>
      <c r="PGC43" s="292"/>
      <c r="PGD43" s="292"/>
      <c r="PGE43" s="292"/>
      <c r="PGF43" s="292"/>
      <c r="PGG43" s="292"/>
      <c r="PGH43" s="292"/>
      <c r="PGI43" s="292"/>
      <c r="PGJ43" s="292"/>
      <c r="PGK43" s="292"/>
      <c r="PGL43" s="292"/>
      <c r="PGM43" s="292"/>
      <c r="PGN43" s="292"/>
      <c r="PGO43" s="292"/>
      <c r="PGP43" s="292"/>
      <c r="PGQ43" s="292"/>
      <c r="PGR43" s="292"/>
      <c r="PGS43" s="292"/>
      <c r="PGT43" s="292"/>
      <c r="PGU43" s="292"/>
      <c r="PGV43" s="292"/>
      <c r="PGW43" s="292"/>
      <c r="PGX43" s="292"/>
      <c r="PGY43" s="292"/>
      <c r="PGZ43" s="292"/>
      <c r="PHA43" s="292"/>
      <c r="PHB43" s="292"/>
      <c r="PHC43" s="292"/>
      <c r="PHD43" s="292"/>
      <c r="PHE43" s="292"/>
      <c r="PHF43" s="292"/>
      <c r="PHG43" s="292"/>
      <c r="PHH43" s="292"/>
      <c r="PHI43" s="292"/>
      <c r="PHJ43" s="292"/>
      <c r="PHK43" s="292"/>
      <c r="PHL43" s="292"/>
      <c r="PHM43" s="292"/>
      <c r="PHN43" s="292"/>
      <c r="PHO43" s="292"/>
      <c r="PHP43" s="292"/>
      <c r="PHQ43" s="292"/>
      <c r="PHR43" s="292"/>
      <c r="PHS43" s="292"/>
      <c r="PHT43" s="292"/>
      <c r="PHU43" s="292"/>
      <c r="PHV43" s="292"/>
      <c r="PHW43" s="292"/>
      <c r="PHX43" s="292"/>
      <c r="PHY43" s="292"/>
      <c r="PHZ43" s="292"/>
      <c r="PIA43" s="292"/>
      <c r="PIB43" s="292"/>
      <c r="PIC43" s="292"/>
      <c r="PID43" s="292"/>
      <c r="PIE43" s="292"/>
      <c r="PIF43" s="292"/>
      <c r="PIG43" s="292"/>
      <c r="PIH43" s="292"/>
      <c r="PII43" s="292"/>
      <c r="PIJ43" s="292"/>
      <c r="PIK43" s="292"/>
      <c r="PIL43" s="292"/>
      <c r="PIM43" s="292"/>
      <c r="PIN43" s="292"/>
      <c r="PIO43" s="292"/>
      <c r="PIP43" s="292"/>
      <c r="PIQ43" s="292"/>
      <c r="PIR43" s="292"/>
      <c r="PIS43" s="292"/>
      <c r="PIT43" s="292"/>
      <c r="PIU43" s="292"/>
      <c r="PIV43" s="292"/>
      <c r="PIW43" s="292"/>
      <c r="PIX43" s="292"/>
      <c r="PIY43" s="292"/>
      <c r="PIZ43" s="292"/>
      <c r="PJA43" s="292"/>
      <c r="PJB43" s="292"/>
      <c r="PJC43" s="292"/>
      <c r="PJD43" s="292"/>
      <c r="PJE43" s="292"/>
      <c r="PJF43" s="292"/>
      <c r="PJG43" s="292"/>
      <c r="PJH43" s="292"/>
      <c r="PJI43" s="292"/>
      <c r="PJJ43" s="292"/>
      <c r="PJK43" s="292"/>
      <c r="PJL43" s="292"/>
      <c r="PJM43" s="292"/>
      <c r="PJN43" s="292"/>
      <c r="PJO43" s="292"/>
      <c r="PJP43" s="292"/>
      <c r="PJQ43" s="292"/>
      <c r="PJR43" s="292"/>
      <c r="PJS43" s="292"/>
      <c r="PJT43" s="292"/>
      <c r="PJU43" s="292"/>
      <c r="PJV43" s="292"/>
      <c r="PJW43" s="292"/>
      <c r="PJX43" s="292"/>
      <c r="PJY43" s="292"/>
      <c r="PJZ43" s="292"/>
      <c r="PKA43" s="292"/>
      <c r="PKB43" s="292"/>
      <c r="PKC43" s="292"/>
      <c r="PKD43" s="292"/>
      <c r="PKE43" s="292"/>
      <c r="PKF43" s="292"/>
      <c r="PKG43" s="292"/>
      <c r="PKH43" s="292"/>
      <c r="PKI43" s="292"/>
      <c r="PKJ43" s="292"/>
      <c r="PKK43" s="292"/>
      <c r="PKL43" s="292"/>
      <c r="PKM43" s="292"/>
      <c r="PKN43" s="292"/>
      <c r="PKO43" s="292"/>
      <c r="PKP43" s="292"/>
      <c r="PKQ43" s="292"/>
      <c r="PKR43" s="292"/>
      <c r="PKS43" s="292"/>
      <c r="PKT43" s="292"/>
      <c r="PKU43" s="292"/>
      <c r="PKV43" s="292"/>
      <c r="PKW43" s="292"/>
      <c r="PKX43" s="292"/>
      <c r="PKY43" s="292"/>
      <c r="PKZ43" s="292"/>
      <c r="PLA43" s="292"/>
      <c r="PLB43" s="292"/>
      <c r="PLC43" s="292"/>
      <c r="PLD43" s="292"/>
      <c r="PLE43" s="292"/>
      <c r="PLF43" s="292"/>
      <c r="PLG43" s="292"/>
      <c r="PLH43" s="292"/>
      <c r="PLI43" s="292"/>
      <c r="PLJ43" s="292"/>
      <c r="PLK43" s="292"/>
      <c r="PLL43" s="292"/>
      <c r="PLM43" s="292"/>
      <c r="PLN43" s="292"/>
      <c r="PLO43" s="292"/>
      <c r="PLP43" s="292"/>
      <c r="PLQ43" s="292"/>
      <c r="PLR43" s="292"/>
      <c r="PLS43" s="292"/>
      <c r="PLT43" s="292"/>
      <c r="PLU43" s="292"/>
      <c r="PLV43" s="292"/>
      <c r="PLW43" s="292"/>
      <c r="PLX43" s="292"/>
      <c r="PLY43" s="292"/>
      <c r="PLZ43" s="292"/>
      <c r="PMA43" s="292"/>
      <c r="PMB43" s="292"/>
      <c r="PMC43" s="292"/>
      <c r="PMD43" s="292"/>
      <c r="PME43" s="292"/>
      <c r="PMF43" s="292"/>
      <c r="PMG43" s="292"/>
      <c r="PMH43" s="292"/>
      <c r="PMI43" s="292"/>
      <c r="PMJ43" s="292"/>
      <c r="PMK43" s="292"/>
      <c r="PML43" s="292"/>
      <c r="PMM43" s="292"/>
      <c r="PMN43" s="292"/>
      <c r="PMO43" s="292"/>
      <c r="PMP43" s="292"/>
      <c r="PMQ43" s="292"/>
      <c r="PMR43" s="292"/>
      <c r="PMS43" s="292"/>
      <c r="PMT43" s="292"/>
      <c r="PMU43" s="292"/>
      <c r="PMV43" s="292"/>
      <c r="PMW43" s="292"/>
      <c r="PMX43" s="292"/>
      <c r="PMY43" s="292"/>
      <c r="PMZ43" s="292"/>
      <c r="PNA43" s="292"/>
      <c r="PNB43" s="292"/>
      <c r="PNC43" s="292"/>
      <c r="PND43" s="292"/>
      <c r="PNE43" s="292"/>
      <c r="PNF43" s="292"/>
      <c r="PNG43" s="292"/>
      <c r="PNH43" s="292"/>
      <c r="PNI43" s="292"/>
      <c r="PNJ43" s="292"/>
      <c r="PNK43" s="292"/>
      <c r="PNL43" s="292"/>
      <c r="PNM43" s="292"/>
      <c r="PNN43" s="292"/>
      <c r="PNO43" s="292"/>
      <c r="PNP43" s="292"/>
      <c r="PNQ43" s="292"/>
      <c r="PNR43" s="292"/>
      <c r="PNS43" s="292"/>
      <c r="PNT43" s="292"/>
      <c r="PNU43" s="292"/>
      <c r="PNV43" s="292"/>
      <c r="PNW43" s="292"/>
      <c r="PNX43" s="292"/>
      <c r="PNY43" s="292"/>
      <c r="PNZ43" s="292"/>
      <c r="POA43" s="292"/>
      <c r="POB43" s="292"/>
      <c r="POC43" s="292"/>
      <c r="POD43" s="292"/>
      <c r="POE43" s="292"/>
      <c r="POF43" s="292"/>
      <c r="POG43" s="292"/>
      <c r="POH43" s="292"/>
      <c r="POI43" s="292"/>
      <c r="POJ43" s="292"/>
      <c r="POK43" s="292"/>
      <c r="POL43" s="292"/>
      <c r="POM43" s="292"/>
      <c r="PON43" s="292"/>
      <c r="POO43" s="292"/>
      <c r="POP43" s="292"/>
      <c r="POQ43" s="292"/>
      <c r="POR43" s="292"/>
      <c r="POS43" s="292"/>
      <c r="POT43" s="292"/>
      <c r="POU43" s="292"/>
      <c r="POV43" s="292"/>
      <c r="POW43" s="292"/>
      <c r="POX43" s="292"/>
      <c r="POY43" s="292"/>
      <c r="POZ43" s="292"/>
      <c r="PPA43" s="292"/>
      <c r="PPB43" s="292"/>
      <c r="PPC43" s="292"/>
      <c r="PPD43" s="292"/>
      <c r="PPE43" s="292"/>
      <c r="PPF43" s="292"/>
      <c r="PPG43" s="292"/>
      <c r="PPH43" s="292"/>
      <c r="PPI43" s="292"/>
      <c r="PPJ43" s="292"/>
      <c r="PPK43" s="292"/>
      <c r="PPL43" s="292"/>
      <c r="PPM43" s="292"/>
      <c r="PPN43" s="292"/>
      <c r="PPO43" s="292"/>
      <c r="PPP43" s="292"/>
      <c r="PPQ43" s="292"/>
      <c r="PPR43" s="292"/>
      <c r="PPS43" s="292"/>
      <c r="PPT43" s="292"/>
      <c r="PPU43" s="292"/>
      <c r="PPV43" s="292"/>
      <c r="PPW43" s="292"/>
      <c r="PPX43" s="292"/>
      <c r="PPY43" s="292"/>
      <c r="PPZ43" s="292"/>
      <c r="PQA43" s="292"/>
      <c r="PQB43" s="292"/>
      <c r="PQC43" s="292"/>
      <c r="PQD43" s="292"/>
      <c r="PQE43" s="292"/>
      <c r="PQF43" s="292"/>
      <c r="PQG43" s="292"/>
      <c r="PQH43" s="292"/>
      <c r="PQI43" s="292"/>
      <c r="PQJ43" s="292"/>
      <c r="PQK43" s="292"/>
      <c r="PQL43" s="292"/>
      <c r="PQM43" s="292"/>
      <c r="PQN43" s="292"/>
      <c r="PQO43" s="292"/>
      <c r="PQP43" s="292"/>
      <c r="PQQ43" s="292"/>
      <c r="PQR43" s="292"/>
      <c r="PQS43" s="292"/>
      <c r="PQT43" s="292"/>
      <c r="PQU43" s="292"/>
      <c r="PQV43" s="292"/>
      <c r="PQW43" s="292"/>
      <c r="PQX43" s="292"/>
      <c r="PQY43" s="292"/>
      <c r="PQZ43" s="292"/>
      <c r="PRA43" s="292"/>
      <c r="PRB43" s="292"/>
      <c r="PRC43" s="292"/>
      <c r="PRD43" s="292"/>
      <c r="PRE43" s="292"/>
      <c r="PRF43" s="292"/>
      <c r="PRG43" s="292"/>
      <c r="PRH43" s="292"/>
      <c r="PRI43" s="292"/>
      <c r="PRJ43" s="292"/>
      <c r="PRK43" s="292"/>
      <c r="PRL43" s="292"/>
      <c r="PRM43" s="292"/>
      <c r="PRN43" s="292"/>
      <c r="PRO43" s="292"/>
      <c r="PRP43" s="292"/>
      <c r="PRQ43" s="292"/>
      <c r="PRR43" s="292"/>
      <c r="PRS43" s="292"/>
      <c r="PRT43" s="292"/>
      <c r="PRU43" s="292"/>
      <c r="PRV43" s="292"/>
      <c r="PRW43" s="292"/>
      <c r="PRX43" s="292"/>
      <c r="PRY43" s="292"/>
      <c r="PRZ43" s="292"/>
      <c r="PSA43" s="292"/>
      <c r="PSB43" s="292"/>
      <c r="PSC43" s="292"/>
      <c r="PSD43" s="292"/>
      <c r="PSE43" s="292"/>
      <c r="PSF43" s="292"/>
      <c r="PSG43" s="292"/>
      <c r="PSH43" s="292"/>
      <c r="PSI43" s="292"/>
      <c r="PSJ43" s="292"/>
      <c r="PSK43" s="292"/>
      <c r="PSL43" s="292"/>
      <c r="PSM43" s="292"/>
      <c r="PSN43" s="292"/>
      <c r="PSO43" s="292"/>
      <c r="PSP43" s="292"/>
      <c r="PSQ43" s="292"/>
      <c r="PSR43" s="292"/>
      <c r="PSS43" s="292"/>
      <c r="PST43" s="292"/>
      <c r="PSU43" s="292"/>
      <c r="PSV43" s="292"/>
      <c r="PSW43" s="292"/>
      <c r="PSX43" s="292"/>
      <c r="PSY43" s="292"/>
      <c r="PSZ43" s="292"/>
      <c r="PTA43" s="292"/>
      <c r="PTB43" s="292"/>
      <c r="PTC43" s="292"/>
      <c r="PTD43" s="292"/>
      <c r="PTE43" s="292"/>
      <c r="PTF43" s="292"/>
      <c r="PTG43" s="292"/>
      <c r="PTH43" s="292"/>
      <c r="PTI43" s="292"/>
      <c r="PTJ43" s="292"/>
      <c r="PTK43" s="292"/>
      <c r="PTL43" s="292"/>
      <c r="PTM43" s="292"/>
      <c r="PTN43" s="292"/>
      <c r="PTO43" s="292"/>
      <c r="PTP43" s="292"/>
      <c r="PTQ43" s="292"/>
      <c r="PTR43" s="292"/>
      <c r="PTS43" s="292"/>
      <c r="PTT43" s="292"/>
      <c r="PTU43" s="292"/>
      <c r="PTV43" s="292"/>
      <c r="PTW43" s="292"/>
      <c r="PTX43" s="292"/>
      <c r="PTY43" s="292"/>
      <c r="PTZ43" s="292"/>
      <c r="PUA43" s="292"/>
      <c r="PUB43" s="292"/>
      <c r="PUC43" s="292"/>
      <c r="PUD43" s="292"/>
      <c r="PUE43" s="292"/>
      <c r="PUF43" s="292"/>
      <c r="PUG43" s="292"/>
      <c r="PUH43" s="292"/>
      <c r="PUI43" s="292"/>
      <c r="PUJ43" s="292"/>
      <c r="PUK43" s="292"/>
      <c r="PUL43" s="292"/>
      <c r="PUM43" s="292"/>
      <c r="PUN43" s="292"/>
      <c r="PUO43" s="292"/>
      <c r="PUP43" s="292"/>
      <c r="PUQ43" s="292"/>
      <c r="PUR43" s="292"/>
      <c r="PUS43" s="292"/>
      <c r="PUT43" s="292"/>
      <c r="PUU43" s="292"/>
      <c r="PUV43" s="292"/>
      <c r="PUW43" s="292"/>
      <c r="PUX43" s="292"/>
      <c r="PUY43" s="292"/>
      <c r="PUZ43" s="292"/>
      <c r="PVA43" s="292"/>
      <c r="PVB43" s="292"/>
      <c r="PVC43" s="292"/>
      <c r="PVD43" s="292"/>
      <c r="PVE43" s="292"/>
      <c r="PVF43" s="292"/>
      <c r="PVG43" s="292"/>
      <c r="PVH43" s="292"/>
      <c r="PVI43" s="292"/>
      <c r="PVJ43" s="292"/>
      <c r="PVK43" s="292"/>
      <c r="PVL43" s="292"/>
      <c r="PVM43" s="292"/>
      <c r="PVN43" s="292"/>
      <c r="PVO43" s="292"/>
      <c r="PVP43" s="292"/>
      <c r="PVQ43" s="292"/>
      <c r="PVR43" s="292"/>
      <c r="PVS43" s="292"/>
      <c r="PVT43" s="292"/>
      <c r="PVU43" s="292"/>
      <c r="PVV43" s="292"/>
      <c r="PVW43" s="292"/>
      <c r="PVX43" s="292"/>
      <c r="PVY43" s="292"/>
      <c r="PVZ43" s="292"/>
      <c r="PWA43" s="292"/>
      <c r="PWB43" s="292"/>
      <c r="PWC43" s="292"/>
      <c r="PWD43" s="292"/>
      <c r="PWE43" s="292"/>
      <c r="PWF43" s="292"/>
      <c r="PWG43" s="292"/>
      <c r="PWH43" s="292"/>
      <c r="PWI43" s="292"/>
      <c r="PWJ43" s="292"/>
      <c r="PWK43" s="292"/>
      <c r="PWL43" s="292"/>
      <c r="PWM43" s="292"/>
      <c r="PWN43" s="292"/>
      <c r="PWO43" s="292"/>
      <c r="PWP43" s="292"/>
      <c r="PWQ43" s="292"/>
      <c r="PWR43" s="292"/>
      <c r="PWS43" s="292"/>
      <c r="PWT43" s="292"/>
      <c r="PWU43" s="292"/>
      <c r="PWV43" s="292"/>
      <c r="PWW43" s="292"/>
      <c r="PWX43" s="292"/>
      <c r="PWY43" s="292"/>
      <c r="PWZ43" s="292"/>
      <c r="PXA43" s="292"/>
      <c r="PXB43" s="292"/>
      <c r="PXC43" s="292"/>
      <c r="PXD43" s="292"/>
      <c r="PXE43" s="292"/>
      <c r="PXF43" s="292"/>
      <c r="PXG43" s="292"/>
      <c r="PXH43" s="292"/>
      <c r="PXI43" s="292"/>
      <c r="PXJ43" s="292"/>
      <c r="PXK43" s="292"/>
      <c r="PXL43" s="292"/>
      <c r="PXM43" s="292"/>
      <c r="PXN43" s="292"/>
      <c r="PXO43" s="292"/>
      <c r="PXP43" s="292"/>
      <c r="PXQ43" s="292"/>
      <c r="PXR43" s="292"/>
      <c r="PXS43" s="292"/>
      <c r="PXT43" s="292"/>
      <c r="PXU43" s="292"/>
      <c r="PXV43" s="292"/>
      <c r="PXW43" s="292"/>
      <c r="PXX43" s="292"/>
      <c r="PXY43" s="292"/>
      <c r="PXZ43" s="292"/>
      <c r="PYA43" s="292"/>
      <c r="PYB43" s="292"/>
      <c r="PYC43" s="292"/>
      <c r="PYD43" s="292"/>
      <c r="PYE43" s="292"/>
      <c r="PYF43" s="292"/>
      <c r="PYG43" s="292"/>
      <c r="PYH43" s="292"/>
      <c r="PYI43" s="292"/>
      <c r="PYJ43" s="292"/>
      <c r="PYK43" s="292"/>
      <c r="PYL43" s="292"/>
      <c r="PYM43" s="292"/>
      <c r="PYN43" s="292"/>
      <c r="PYO43" s="292"/>
      <c r="PYP43" s="292"/>
      <c r="PYQ43" s="292"/>
      <c r="PYR43" s="292"/>
      <c r="PYS43" s="292"/>
      <c r="PYT43" s="292"/>
      <c r="PYU43" s="292"/>
      <c r="PYV43" s="292"/>
      <c r="PYW43" s="292"/>
      <c r="PYX43" s="292"/>
      <c r="PYY43" s="292"/>
      <c r="PYZ43" s="292"/>
      <c r="PZA43" s="292"/>
      <c r="PZB43" s="292"/>
      <c r="PZC43" s="292"/>
      <c r="PZD43" s="292"/>
      <c r="PZE43" s="292"/>
      <c r="PZF43" s="292"/>
      <c r="PZG43" s="292"/>
      <c r="PZH43" s="292"/>
      <c r="PZI43" s="292"/>
      <c r="PZJ43" s="292"/>
      <c r="PZK43" s="292"/>
      <c r="PZL43" s="292"/>
      <c r="PZM43" s="292"/>
      <c r="PZN43" s="292"/>
      <c r="PZO43" s="292"/>
      <c r="PZP43" s="292"/>
      <c r="PZQ43" s="292"/>
      <c r="PZR43" s="292"/>
      <c r="PZS43" s="292"/>
      <c r="PZT43" s="292"/>
      <c r="PZU43" s="292"/>
      <c r="PZV43" s="292"/>
      <c r="PZW43" s="292"/>
      <c r="PZX43" s="292"/>
      <c r="PZY43" s="292"/>
      <c r="PZZ43" s="292"/>
      <c r="QAA43" s="292"/>
      <c r="QAB43" s="292"/>
      <c r="QAC43" s="292"/>
      <c r="QAD43" s="292"/>
      <c r="QAE43" s="292"/>
      <c r="QAF43" s="292"/>
      <c r="QAG43" s="292"/>
      <c r="QAH43" s="292"/>
      <c r="QAI43" s="292"/>
      <c r="QAJ43" s="292"/>
      <c r="QAK43" s="292"/>
      <c r="QAL43" s="292"/>
      <c r="QAM43" s="292"/>
      <c r="QAN43" s="292"/>
      <c r="QAO43" s="292"/>
      <c r="QAP43" s="292"/>
      <c r="QAQ43" s="292"/>
      <c r="QAR43" s="292"/>
      <c r="QAS43" s="292"/>
      <c r="QAT43" s="292"/>
      <c r="QAU43" s="292"/>
      <c r="QAV43" s="292"/>
      <c r="QAW43" s="292"/>
      <c r="QAX43" s="292"/>
      <c r="QAY43" s="292"/>
      <c r="QAZ43" s="292"/>
      <c r="QBA43" s="292"/>
      <c r="QBB43" s="292"/>
      <c r="QBC43" s="292"/>
      <c r="QBD43" s="292"/>
      <c r="QBE43" s="292"/>
      <c r="QBF43" s="292"/>
      <c r="QBG43" s="292"/>
      <c r="QBH43" s="292"/>
      <c r="QBI43" s="292"/>
      <c r="QBJ43" s="292"/>
      <c r="QBK43" s="292"/>
      <c r="QBL43" s="292"/>
      <c r="QBM43" s="292"/>
      <c r="QBN43" s="292"/>
      <c r="QBO43" s="292"/>
      <c r="QBP43" s="292"/>
      <c r="QBQ43" s="292"/>
      <c r="QBR43" s="292"/>
      <c r="QBS43" s="292"/>
      <c r="QBT43" s="292"/>
      <c r="QBU43" s="292"/>
      <c r="QBV43" s="292"/>
      <c r="QBW43" s="292"/>
      <c r="QBX43" s="292"/>
      <c r="QBY43" s="292"/>
      <c r="QBZ43" s="292"/>
      <c r="QCA43" s="292"/>
      <c r="QCB43" s="292"/>
      <c r="QCC43" s="292"/>
      <c r="QCD43" s="292"/>
      <c r="QCE43" s="292"/>
      <c r="QCF43" s="292"/>
      <c r="QCG43" s="292"/>
      <c r="QCH43" s="292"/>
      <c r="QCI43" s="292"/>
      <c r="QCJ43" s="292"/>
      <c r="QCK43" s="292"/>
      <c r="QCL43" s="292"/>
      <c r="QCM43" s="292"/>
      <c r="QCN43" s="292"/>
      <c r="QCO43" s="292"/>
      <c r="QCP43" s="292"/>
      <c r="QCQ43" s="292"/>
      <c r="QCR43" s="292"/>
      <c r="QCS43" s="292"/>
      <c r="QCT43" s="292"/>
      <c r="QCU43" s="292"/>
      <c r="QCV43" s="292"/>
      <c r="QCW43" s="292"/>
      <c r="QCX43" s="292"/>
      <c r="QCY43" s="292"/>
      <c r="QCZ43" s="292"/>
      <c r="QDA43" s="292"/>
      <c r="QDB43" s="292"/>
      <c r="QDC43" s="292"/>
      <c r="QDD43" s="292"/>
      <c r="QDE43" s="292"/>
      <c r="QDF43" s="292"/>
      <c r="QDG43" s="292"/>
      <c r="QDH43" s="292"/>
      <c r="QDI43" s="292"/>
      <c r="QDJ43" s="292"/>
      <c r="QDK43" s="292"/>
      <c r="QDL43" s="292"/>
      <c r="QDM43" s="292"/>
      <c r="QDN43" s="292"/>
      <c r="QDO43" s="292"/>
      <c r="QDP43" s="292"/>
      <c r="QDQ43" s="292"/>
      <c r="QDR43" s="292"/>
      <c r="QDS43" s="292"/>
      <c r="QDT43" s="292"/>
      <c r="QDU43" s="292"/>
      <c r="QDV43" s="292"/>
      <c r="QDW43" s="292"/>
      <c r="QDX43" s="292"/>
      <c r="QDY43" s="292"/>
      <c r="QDZ43" s="292"/>
      <c r="QEA43" s="292"/>
      <c r="QEB43" s="292"/>
      <c r="QEC43" s="292"/>
      <c r="QED43" s="292"/>
      <c r="QEE43" s="292"/>
      <c r="QEF43" s="292"/>
      <c r="QEG43" s="292"/>
      <c r="QEH43" s="292"/>
      <c r="QEI43" s="292"/>
      <c r="QEJ43" s="292"/>
      <c r="QEK43" s="292"/>
      <c r="QEL43" s="292"/>
      <c r="QEM43" s="292"/>
      <c r="QEN43" s="292"/>
      <c r="QEO43" s="292"/>
      <c r="QEP43" s="292"/>
      <c r="QEQ43" s="292"/>
      <c r="QER43" s="292"/>
      <c r="QES43" s="292"/>
      <c r="QET43" s="292"/>
      <c r="QEU43" s="292"/>
      <c r="QEV43" s="292"/>
      <c r="QEW43" s="292"/>
      <c r="QEX43" s="292"/>
      <c r="QEY43" s="292"/>
      <c r="QEZ43" s="292"/>
      <c r="QFA43" s="292"/>
      <c r="QFB43" s="292"/>
      <c r="QFC43" s="292"/>
      <c r="QFD43" s="292"/>
      <c r="QFE43" s="292"/>
      <c r="QFF43" s="292"/>
      <c r="QFG43" s="292"/>
      <c r="QFH43" s="292"/>
      <c r="QFI43" s="292"/>
      <c r="QFJ43" s="292"/>
      <c r="QFK43" s="292"/>
      <c r="QFL43" s="292"/>
      <c r="QFM43" s="292"/>
      <c r="QFN43" s="292"/>
      <c r="QFO43" s="292"/>
      <c r="QFP43" s="292"/>
      <c r="QFQ43" s="292"/>
      <c r="QFR43" s="292"/>
      <c r="QFS43" s="292"/>
      <c r="QFT43" s="292"/>
      <c r="QFU43" s="292"/>
      <c r="QFV43" s="292"/>
      <c r="QFW43" s="292"/>
      <c r="QFX43" s="292"/>
      <c r="QFY43" s="292"/>
      <c r="QFZ43" s="292"/>
      <c r="QGA43" s="292"/>
      <c r="QGB43" s="292"/>
      <c r="QGC43" s="292"/>
      <c r="QGD43" s="292"/>
      <c r="QGE43" s="292"/>
      <c r="QGF43" s="292"/>
      <c r="QGG43" s="292"/>
      <c r="QGH43" s="292"/>
      <c r="QGI43" s="292"/>
      <c r="QGJ43" s="292"/>
      <c r="QGK43" s="292"/>
      <c r="QGL43" s="292"/>
      <c r="QGM43" s="292"/>
      <c r="QGN43" s="292"/>
      <c r="QGO43" s="292"/>
      <c r="QGP43" s="292"/>
      <c r="QGQ43" s="292"/>
      <c r="QGR43" s="292"/>
      <c r="QGS43" s="292"/>
      <c r="QGT43" s="292"/>
      <c r="QGU43" s="292"/>
      <c r="QGV43" s="292"/>
      <c r="QGW43" s="292"/>
      <c r="QGX43" s="292"/>
      <c r="QGY43" s="292"/>
      <c r="QGZ43" s="292"/>
      <c r="QHA43" s="292"/>
      <c r="QHB43" s="292"/>
      <c r="QHC43" s="292"/>
      <c r="QHD43" s="292"/>
      <c r="QHE43" s="292"/>
      <c r="QHF43" s="292"/>
      <c r="QHG43" s="292"/>
      <c r="QHH43" s="292"/>
      <c r="QHI43" s="292"/>
      <c r="QHJ43" s="292"/>
      <c r="QHK43" s="292"/>
      <c r="QHL43" s="292"/>
      <c r="QHM43" s="292"/>
      <c r="QHN43" s="292"/>
      <c r="QHO43" s="292"/>
      <c r="QHP43" s="292"/>
      <c r="QHQ43" s="292"/>
      <c r="QHR43" s="292"/>
      <c r="QHS43" s="292"/>
      <c r="QHT43" s="292"/>
      <c r="QHU43" s="292"/>
      <c r="QHV43" s="292"/>
      <c r="QHW43" s="292"/>
      <c r="QHX43" s="292"/>
      <c r="QHY43" s="292"/>
      <c r="QHZ43" s="292"/>
      <c r="QIA43" s="292"/>
      <c r="QIB43" s="292"/>
      <c r="QIC43" s="292"/>
      <c r="QID43" s="292"/>
      <c r="QIE43" s="292"/>
      <c r="QIF43" s="292"/>
      <c r="QIG43" s="292"/>
      <c r="QIH43" s="292"/>
      <c r="QII43" s="292"/>
      <c r="QIJ43" s="292"/>
      <c r="QIK43" s="292"/>
      <c r="QIL43" s="292"/>
      <c r="QIM43" s="292"/>
      <c r="QIN43" s="292"/>
      <c r="QIO43" s="292"/>
      <c r="QIP43" s="292"/>
      <c r="QIQ43" s="292"/>
      <c r="QIR43" s="292"/>
      <c r="QIS43" s="292"/>
      <c r="QIT43" s="292"/>
      <c r="QIU43" s="292"/>
      <c r="QIV43" s="292"/>
      <c r="QIW43" s="292"/>
      <c r="QIX43" s="292"/>
      <c r="QIY43" s="292"/>
      <c r="QIZ43" s="292"/>
      <c r="QJA43" s="292"/>
      <c r="QJB43" s="292"/>
      <c r="QJC43" s="292"/>
      <c r="QJD43" s="292"/>
      <c r="QJE43" s="292"/>
      <c r="QJF43" s="292"/>
      <c r="QJG43" s="292"/>
      <c r="QJH43" s="292"/>
      <c r="QJI43" s="292"/>
      <c r="QJJ43" s="292"/>
      <c r="QJK43" s="292"/>
      <c r="QJL43" s="292"/>
      <c r="QJM43" s="292"/>
      <c r="QJN43" s="292"/>
      <c r="QJO43" s="292"/>
      <c r="QJP43" s="292"/>
      <c r="QJQ43" s="292"/>
      <c r="QJR43" s="292"/>
      <c r="QJS43" s="292"/>
      <c r="QJT43" s="292"/>
      <c r="QJU43" s="292"/>
      <c r="QJV43" s="292"/>
      <c r="QJW43" s="292"/>
      <c r="QJX43" s="292"/>
      <c r="QJY43" s="292"/>
      <c r="QJZ43" s="292"/>
      <c r="QKA43" s="292"/>
      <c r="QKB43" s="292"/>
      <c r="QKC43" s="292"/>
      <c r="QKD43" s="292"/>
      <c r="QKE43" s="292"/>
      <c r="QKF43" s="292"/>
      <c r="QKG43" s="292"/>
      <c r="QKH43" s="292"/>
      <c r="QKI43" s="292"/>
      <c r="QKJ43" s="292"/>
      <c r="QKK43" s="292"/>
      <c r="QKL43" s="292"/>
      <c r="QKM43" s="292"/>
      <c r="QKN43" s="292"/>
      <c r="QKO43" s="292"/>
      <c r="QKP43" s="292"/>
      <c r="QKQ43" s="292"/>
      <c r="QKR43" s="292"/>
      <c r="QKS43" s="292"/>
      <c r="QKT43" s="292"/>
      <c r="QKU43" s="292"/>
      <c r="QKV43" s="292"/>
      <c r="QKW43" s="292"/>
      <c r="QKX43" s="292"/>
      <c r="QKY43" s="292"/>
      <c r="QKZ43" s="292"/>
      <c r="QLA43" s="292"/>
      <c r="QLB43" s="292"/>
      <c r="QLC43" s="292"/>
      <c r="QLD43" s="292"/>
      <c r="QLE43" s="292"/>
      <c r="QLF43" s="292"/>
      <c r="QLG43" s="292"/>
      <c r="QLH43" s="292"/>
      <c r="QLI43" s="292"/>
      <c r="QLJ43" s="292"/>
      <c r="QLK43" s="292"/>
      <c r="QLL43" s="292"/>
      <c r="QLM43" s="292"/>
      <c r="QLN43" s="292"/>
      <c r="QLO43" s="292"/>
      <c r="QLP43" s="292"/>
      <c r="QLQ43" s="292"/>
      <c r="QLR43" s="292"/>
      <c r="QLS43" s="292"/>
      <c r="QLT43" s="292"/>
      <c r="QLU43" s="292"/>
      <c r="QLV43" s="292"/>
      <c r="QLW43" s="292"/>
      <c r="QLX43" s="292"/>
      <c r="QLY43" s="292"/>
      <c r="QLZ43" s="292"/>
      <c r="QMA43" s="292"/>
      <c r="QMB43" s="292"/>
      <c r="QMC43" s="292"/>
      <c r="QMD43" s="292"/>
      <c r="QME43" s="292"/>
      <c r="QMF43" s="292"/>
      <c r="QMG43" s="292"/>
      <c r="QMH43" s="292"/>
      <c r="QMI43" s="292"/>
      <c r="QMJ43" s="292"/>
      <c r="QMK43" s="292"/>
      <c r="QML43" s="292"/>
      <c r="QMM43" s="292"/>
      <c r="QMN43" s="292"/>
      <c r="QMO43" s="292"/>
      <c r="QMP43" s="292"/>
      <c r="QMQ43" s="292"/>
      <c r="QMR43" s="292"/>
      <c r="QMS43" s="292"/>
      <c r="QMT43" s="292"/>
      <c r="QMU43" s="292"/>
      <c r="QMV43" s="292"/>
      <c r="QMW43" s="292"/>
      <c r="QMX43" s="292"/>
      <c r="QMY43" s="292"/>
      <c r="QMZ43" s="292"/>
      <c r="QNA43" s="292"/>
      <c r="QNB43" s="292"/>
      <c r="QNC43" s="292"/>
      <c r="QND43" s="292"/>
      <c r="QNE43" s="292"/>
      <c r="QNF43" s="292"/>
      <c r="QNG43" s="292"/>
      <c r="QNH43" s="292"/>
      <c r="QNI43" s="292"/>
      <c r="QNJ43" s="292"/>
      <c r="QNK43" s="292"/>
      <c r="QNL43" s="292"/>
      <c r="QNM43" s="292"/>
      <c r="QNN43" s="292"/>
      <c r="QNO43" s="292"/>
      <c r="QNP43" s="292"/>
      <c r="QNQ43" s="292"/>
      <c r="QNR43" s="292"/>
      <c r="QNS43" s="292"/>
      <c r="QNT43" s="292"/>
      <c r="QNU43" s="292"/>
      <c r="QNV43" s="292"/>
      <c r="QNW43" s="292"/>
      <c r="QNX43" s="292"/>
      <c r="QNY43" s="292"/>
      <c r="QNZ43" s="292"/>
      <c r="QOA43" s="292"/>
      <c r="QOB43" s="292"/>
      <c r="QOC43" s="292"/>
      <c r="QOD43" s="292"/>
      <c r="QOE43" s="292"/>
      <c r="QOF43" s="292"/>
      <c r="QOG43" s="292"/>
      <c r="QOH43" s="292"/>
      <c r="QOI43" s="292"/>
      <c r="QOJ43" s="292"/>
      <c r="QOK43" s="292"/>
      <c r="QOL43" s="292"/>
      <c r="QOM43" s="292"/>
      <c r="QON43" s="292"/>
      <c r="QOO43" s="292"/>
      <c r="QOP43" s="292"/>
      <c r="QOQ43" s="292"/>
      <c r="QOR43" s="292"/>
      <c r="QOS43" s="292"/>
      <c r="QOT43" s="292"/>
      <c r="QOU43" s="292"/>
      <c r="QOV43" s="292"/>
      <c r="QOW43" s="292"/>
      <c r="QOX43" s="292"/>
      <c r="QOY43" s="292"/>
      <c r="QOZ43" s="292"/>
      <c r="QPA43" s="292"/>
      <c r="QPB43" s="292"/>
      <c r="QPC43" s="292"/>
      <c r="QPD43" s="292"/>
      <c r="QPE43" s="292"/>
      <c r="QPF43" s="292"/>
      <c r="QPG43" s="292"/>
      <c r="QPH43" s="292"/>
      <c r="QPI43" s="292"/>
      <c r="QPJ43" s="292"/>
      <c r="QPK43" s="292"/>
      <c r="QPL43" s="292"/>
      <c r="QPM43" s="292"/>
      <c r="QPN43" s="292"/>
      <c r="QPO43" s="292"/>
      <c r="QPP43" s="292"/>
      <c r="QPQ43" s="292"/>
      <c r="QPR43" s="292"/>
      <c r="QPS43" s="292"/>
      <c r="QPT43" s="292"/>
      <c r="QPU43" s="292"/>
      <c r="QPV43" s="292"/>
      <c r="QPW43" s="292"/>
      <c r="QPX43" s="292"/>
      <c r="QPY43" s="292"/>
      <c r="QPZ43" s="292"/>
      <c r="QQA43" s="292"/>
      <c r="QQB43" s="292"/>
      <c r="QQC43" s="292"/>
      <c r="QQD43" s="292"/>
      <c r="QQE43" s="292"/>
      <c r="QQF43" s="292"/>
      <c r="QQG43" s="292"/>
      <c r="QQH43" s="292"/>
      <c r="QQI43" s="292"/>
      <c r="QQJ43" s="292"/>
      <c r="QQK43" s="292"/>
      <c r="QQL43" s="292"/>
      <c r="QQM43" s="292"/>
      <c r="QQN43" s="292"/>
      <c r="QQO43" s="292"/>
      <c r="QQP43" s="292"/>
      <c r="QQQ43" s="292"/>
      <c r="QQR43" s="292"/>
      <c r="QQS43" s="292"/>
      <c r="QQT43" s="292"/>
      <c r="QQU43" s="292"/>
      <c r="QQV43" s="292"/>
      <c r="QQW43" s="292"/>
      <c r="QQX43" s="292"/>
      <c r="QQY43" s="292"/>
      <c r="QQZ43" s="292"/>
      <c r="QRA43" s="292"/>
      <c r="QRB43" s="292"/>
      <c r="QRC43" s="292"/>
      <c r="QRD43" s="292"/>
      <c r="QRE43" s="292"/>
      <c r="QRF43" s="292"/>
      <c r="QRG43" s="292"/>
      <c r="QRH43" s="292"/>
      <c r="QRI43" s="292"/>
      <c r="QRJ43" s="292"/>
      <c r="QRK43" s="292"/>
      <c r="QRL43" s="292"/>
      <c r="QRM43" s="292"/>
      <c r="QRN43" s="292"/>
      <c r="QRO43" s="292"/>
      <c r="QRP43" s="292"/>
      <c r="QRQ43" s="292"/>
      <c r="QRR43" s="292"/>
      <c r="QRS43" s="292"/>
      <c r="QRT43" s="292"/>
      <c r="QRU43" s="292"/>
      <c r="QRV43" s="292"/>
      <c r="QRW43" s="292"/>
      <c r="QRX43" s="292"/>
      <c r="QRY43" s="292"/>
      <c r="QRZ43" s="292"/>
      <c r="QSA43" s="292"/>
      <c r="QSB43" s="292"/>
      <c r="QSC43" s="292"/>
      <c r="QSD43" s="292"/>
      <c r="QSE43" s="292"/>
      <c r="QSF43" s="292"/>
      <c r="QSG43" s="292"/>
      <c r="QSH43" s="292"/>
      <c r="QSI43" s="292"/>
      <c r="QSJ43" s="292"/>
      <c r="QSK43" s="292"/>
      <c r="QSL43" s="292"/>
      <c r="QSM43" s="292"/>
      <c r="QSN43" s="292"/>
      <c r="QSO43" s="292"/>
      <c r="QSP43" s="292"/>
      <c r="QSQ43" s="292"/>
      <c r="QSR43" s="292"/>
      <c r="QSS43" s="292"/>
      <c r="QST43" s="292"/>
      <c r="QSU43" s="292"/>
      <c r="QSV43" s="292"/>
      <c r="QSW43" s="292"/>
      <c r="QSX43" s="292"/>
      <c r="QSY43" s="292"/>
      <c r="QSZ43" s="292"/>
      <c r="QTA43" s="292"/>
      <c r="QTB43" s="292"/>
      <c r="QTC43" s="292"/>
      <c r="QTD43" s="292"/>
      <c r="QTE43" s="292"/>
      <c r="QTF43" s="292"/>
      <c r="QTG43" s="292"/>
      <c r="QTH43" s="292"/>
      <c r="QTI43" s="292"/>
      <c r="QTJ43" s="292"/>
      <c r="QTK43" s="292"/>
      <c r="QTL43" s="292"/>
      <c r="QTM43" s="292"/>
      <c r="QTN43" s="292"/>
      <c r="QTO43" s="292"/>
      <c r="QTP43" s="292"/>
      <c r="QTQ43" s="292"/>
      <c r="QTR43" s="292"/>
      <c r="QTS43" s="292"/>
      <c r="QTT43" s="292"/>
      <c r="QTU43" s="292"/>
      <c r="QTV43" s="292"/>
      <c r="QTW43" s="292"/>
      <c r="QTX43" s="292"/>
      <c r="QTY43" s="292"/>
      <c r="QTZ43" s="292"/>
      <c r="QUA43" s="292"/>
      <c r="QUB43" s="292"/>
      <c r="QUC43" s="292"/>
      <c r="QUD43" s="292"/>
      <c r="QUE43" s="292"/>
      <c r="QUF43" s="292"/>
      <c r="QUG43" s="292"/>
      <c r="QUH43" s="292"/>
      <c r="QUI43" s="292"/>
      <c r="QUJ43" s="292"/>
      <c r="QUK43" s="292"/>
      <c r="QUL43" s="292"/>
      <c r="QUM43" s="292"/>
      <c r="QUN43" s="292"/>
      <c r="QUO43" s="292"/>
      <c r="QUP43" s="292"/>
      <c r="QUQ43" s="292"/>
      <c r="QUR43" s="292"/>
      <c r="QUS43" s="292"/>
      <c r="QUT43" s="292"/>
      <c r="QUU43" s="292"/>
      <c r="QUV43" s="292"/>
      <c r="QUW43" s="292"/>
      <c r="QUX43" s="292"/>
      <c r="QUY43" s="292"/>
      <c r="QUZ43" s="292"/>
      <c r="QVA43" s="292"/>
      <c r="QVB43" s="292"/>
      <c r="QVC43" s="292"/>
      <c r="QVD43" s="292"/>
      <c r="QVE43" s="292"/>
      <c r="QVF43" s="292"/>
      <c r="QVG43" s="292"/>
      <c r="QVH43" s="292"/>
      <c r="QVI43" s="292"/>
      <c r="QVJ43" s="292"/>
      <c r="QVK43" s="292"/>
      <c r="QVL43" s="292"/>
      <c r="QVM43" s="292"/>
      <c r="QVN43" s="292"/>
      <c r="QVO43" s="292"/>
      <c r="QVP43" s="292"/>
      <c r="QVQ43" s="292"/>
      <c r="QVR43" s="292"/>
      <c r="QVS43" s="292"/>
      <c r="QVT43" s="292"/>
      <c r="QVU43" s="292"/>
      <c r="QVV43" s="292"/>
      <c r="QVW43" s="292"/>
      <c r="QVX43" s="292"/>
      <c r="QVY43" s="292"/>
      <c r="QVZ43" s="292"/>
      <c r="QWA43" s="292"/>
      <c r="QWB43" s="292"/>
      <c r="QWC43" s="292"/>
      <c r="QWD43" s="292"/>
      <c r="QWE43" s="292"/>
      <c r="QWF43" s="292"/>
      <c r="QWG43" s="292"/>
      <c r="QWH43" s="292"/>
      <c r="QWI43" s="292"/>
      <c r="QWJ43" s="292"/>
      <c r="QWK43" s="292"/>
      <c r="QWL43" s="292"/>
      <c r="QWM43" s="292"/>
      <c r="QWN43" s="292"/>
      <c r="QWO43" s="292"/>
      <c r="QWP43" s="292"/>
      <c r="QWQ43" s="292"/>
      <c r="QWR43" s="292"/>
      <c r="QWS43" s="292"/>
      <c r="QWT43" s="292"/>
      <c r="QWU43" s="292"/>
      <c r="QWV43" s="292"/>
      <c r="QWW43" s="292"/>
      <c r="QWX43" s="292"/>
      <c r="QWY43" s="292"/>
      <c r="QWZ43" s="292"/>
      <c r="QXA43" s="292"/>
      <c r="QXB43" s="292"/>
      <c r="QXC43" s="292"/>
      <c r="QXD43" s="292"/>
      <c r="QXE43" s="292"/>
      <c r="QXF43" s="292"/>
      <c r="QXG43" s="292"/>
      <c r="QXH43" s="292"/>
      <c r="QXI43" s="292"/>
      <c r="QXJ43" s="292"/>
      <c r="QXK43" s="292"/>
      <c r="QXL43" s="292"/>
      <c r="QXM43" s="292"/>
      <c r="QXN43" s="292"/>
      <c r="QXO43" s="292"/>
      <c r="QXP43" s="292"/>
      <c r="QXQ43" s="292"/>
      <c r="QXR43" s="292"/>
      <c r="QXS43" s="292"/>
      <c r="QXT43" s="292"/>
      <c r="QXU43" s="292"/>
      <c r="QXV43" s="292"/>
      <c r="QXW43" s="292"/>
      <c r="QXX43" s="292"/>
      <c r="QXY43" s="292"/>
      <c r="QXZ43" s="292"/>
      <c r="QYA43" s="292"/>
      <c r="QYB43" s="292"/>
      <c r="QYC43" s="292"/>
      <c r="QYD43" s="292"/>
      <c r="QYE43" s="292"/>
      <c r="QYF43" s="292"/>
      <c r="QYG43" s="292"/>
      <c r="QYH43" s="292"/>
      <c r="QYI43" s="292"/>
      <c r="QYJ43" s="292"/>
      <c r="QYK43" s="292"/>
      <c r="QYL43" s="292"/>
      <c r="QYM43" s="292"/>
      <c r="QYN43" s="292"/>
      <c r="QYO43" s="292"/>
      <c r="QYP43" s="292"/>
      <c r="QYQ43" s="292"/>
      <c r="QYR43" s="292"/>
      <c r="QYS43" s="292"/>
      <c r="QYT43" s="292"/>
      <c r="QYU43" s="292"/>
      <c r="QYV43" s="292"/>
      <c r="QYW43" s="292"/>
      <c r="QYX43" s="292"/>
      <c r="QYY43" s="292"/>
      <c r="QYZ43" s="292"/>
      <c r="QZA43" s="292"/>
      <c r="QZB43" s="292"/>
      <c r="QZC43" s="292"/>
      <c r="QZD43" s="292"/>
      <c r="QZE43" s="292"/>
      <c r="QZF43" s="292"/>
      <c r="QZG43" s="292"/>
      <c r="QZH43" s="292"/>
      <c r="QZI43" s="292"/>
      <c r="QZJ43" s="292"/>
      <c r="QZK43" s="292"/>
      <c r="QZL43" s="292"/>
      <c r="QZM43" s="292"/>
      <c r="QZN43" s="292"/>
      <c r="QZO43" s="292"/>
      <c r="QZP43" s="292"/>
      <c r="QZQ43" s="292"/>
      <c r="QZR43" s="292"/>
      <c r="QZS43" s="292"/>
      <c r="QZT43" s="292"/>
      <c r="QZU43" s="292"/>
      <c r="QZV43" s="292"/>
      <c r="QZW43" s="292"/>
      <c r="QZX43" s="292"/>
      <c r="QZY43" s="292"/>
      <c r="QZZ43" s="292"/>
      <c r="RAA43" s="292"/>
      <c r="RAB43" s="292"/>
      <c r="RAC43" s="292"/>
      <c r="RAD43" s="292"/>
      <c r="RAE43" s="292"/>
      <c r="RAF43" s="292"/>
      <c r="RAG43" s="292"/>
      <c r="RAH43" s="292"/>
      <c r="RAI43" s="292"/>
      <c r="RAJ43" s="292"/>
      <c r="RAK43" s="292"/>
      <c r="RAL43" s="292"/>
      <c r="RAM43" s="292"/>
      <c r="RAN43" s="292"/>
      <c r="RAO43" s="292"/>
      <c r="RAP43" s="292"/>
      <c r="RAQ43" s="292"/>
      <c r="RAR43" s="292"/>
      <c r="RAS43" s="292"/>
      <c r="RAT43" s="292"/>
      <c r="RAU43" s="292"/>
      <c r="RAV43" s="292"/>
      <c r="RAW43" s="292"/>
      <c r="RAX43" s="292"/>
      <c r="RAY43" s="292"/>
      <c r="RAZ43" s="292"/>
      <c r="RBA43" s="292"/>
      <c r="RBB43" s="292"/>
      <c r="RBC43" s="292"/>
      <c r="RBD43" s="292"/>
      <c r="RBE43" s="292"/>
      <c r="RBF43" s="292"/>
      <c r="RBG43" s="292"/>
      <c r="RBH43" s="292"/>
      <c r="RBI43" s="292"/>
      <c r="RBJ43" s="292"/>
      <c r="RBK43" s="292"/>
      <c r="RBL43" s="292"/>
      <c r="RBM43" s="292"/>
      <c r="RBN43" s="292"/>
      <c r="RBO43" s="292"/>
      <c r="RBP43" s="292"/>
      <c r="RBQ43" s="292"/>
      <c r="RBR43" s="292"/>
      <c r="RBS43" s="292"/>
      <c r="RBT43" s="292"/>
      <c r="RBU43" s="292"/>
      <c r="RBV43" s="292"/>
      <c r="RBW43" s="292"/>
      <c r="RBX43" s="292"/>
      <c r="RBY43" s="292"/>
      <c r="RBZ43" s="292"/>
      <c r="RCA43" s="292"/>
      <c r="RCB43" s="292"/>
      <c r="RCC43" s="292"/>
      <c r="RCD43" s="292"/>
      <c r="RCE43" s="292"/>
      <c r="RCF43" s="292"/>
      <c r="RCG43" s="292"/>
      <c r="RCH43" s="292"/>
      <c r="RCI43" s="292"/>
      <c r="RCJ43" s="292"/>
      <c r="RCK43" s="292"/>
      <c r="RCL43" s="292"/>
      <c r="RCM43" s="292"/>
      <c r="RCN43" s="292"/>
      <c r="RCO43" s="292"/>
      <c r="RCP43" s="292"/>
      <c r="RCQ43" s="292"/>
      <c r="RCR43" s="292"/>
      <c r="RCS43" s="292"/>
      <c r="RCT43" s="292"/>
      <c r="RCU43" s="292"/>
      <c r="RCV43" s="292"/>
      <c r="RCW43" s="292"/>
      <c r="RCX43" s="292"/>
      <c r="RCY43" s="292"/>
      <c r="RCZ43" s="292"/>
      <c r="RDA43" s="292"/>
      <c r="RDB43" s="292"/>
      <c r="RDC43" s="292"/>
      <c r="RDD43" s="292"/>
      <c r="RDE43" s="292"/>
      <c r="RDF43" s="292"/>
      <c r="RDG43" s="292"/>
      <c r="RDH43" s="292"/>
      <c r="RDI43" s="292"/>
      <c r="RDJ43" s="292"/>
      <c r="RDK43" s="292"/>
      <c r="RDL43" s="292"/>
      <c r="RDM43" s="292"/>
      <c r="RDN43" s="292"/>
      <c r="RDO43" s="292"/>
      <c r="RDP43" s="292"/>
      <c r="RDQ43" s="292"/>
      <c r="RDR43" s="292"/>
      <c r="RDS43" s="292"/>
      <c r="RDT43" s="292"/>
      <c r="RDU43" s="292"/>
      <c r="RDV43" s="292"/>
      <c r="RDW43" s="292"/>
      <c r="RDX43" s="292"/>
      <c r="RDY43" s="292"/>
      <c r="RDZ43" s="292"/>
      <c r="REA43" s="292"/>
      <c r="REB43" s="292"/>
      <c r="REC43" s="292"/>
      <c r="RED43" s="292"/>
      <c r="REE43" s="292"/>
      <c r="REF43" s="292"/>
      <c r="REG43" s="292"/>
      <c r="REH43" s="292"/>
      <c r="REI43" s="292"/>
      <c r="REJ43" s="292"/>
      <c r="REK43" s="292"/>
      <c r="REL43" s="292"/>
      <c r="REM43" s="292"/>
      <c r="REN43" s="292"/>
      <c r="REO43" s="292"/>
      <c r="REP43" s="292"/>
      <c r="REQ43" s="292"/>
      <c r="RER43" s="292"/>
      <c r="RES43" s="292"/>
      <c r="RET43" s="292"/>
      <c r="REU43" s="292"/>
      <c r="REV43" s="292"/>
      <c r="REW43" s="292"/>
      <c r="REX43" s="292"/>
      <c r="REY43" s="292"/>
      <c r="REZ43" s="292"/>
      <c r="RFA43" s="292"/>
      <c r="RFB43" s="292"/>
      <c r="RFC43" s="292"/>
      <c r="RFD43" s="292"/>
      <c r="RFE43" s="292"/>
      <c r="RFF43" s="292"/>
      <c r="RFG43" s="292"/>
      <c r="RFH43" s="292"/>
      <c r="RFI43" s="292"/>
      <c r="RFJ43" s="292"/>
      <c r="RFK43" s="292"/>
      <c r="RFL43" s="292"/>
      <c r="RFM43" s="292"/>
      <c r="RFN43" s="292"/>
      <c r="RFO43" s="292"/>
      <c r="RFP43" s="292"/>
      <c r="RFQ43" s="292"/>
      <c r="RFR43" s="292"/>
      <c r="RFS43" s="292"/>
      <c r="RFT43" s="292"/>
      <c r="RFU43" s="292"/>
      <c r="RFV43" s="292"/>
      <c r="RFW43" s="292"/>
      <c r="RFX43" s="292"/>
      <c r="RFY43" s="292"/>
      <c r="RFZ43" s="292"/>
      <c r="RGA43" s="292"/>
      <c r="RGB43" s="292"/>
      <c r="RGC43" s="292"/>
      <c r="RGD43" s="292"/>
      <c r="RGE43" s="292"/>
      <c r="RGF43" s="292"/>
      <c r="RGG43" s="292"/>
      <c r="RGH43" s="292"/>
      <c r="RGI43" s="292"/>
      <c r="RGJ43" s="292"/>
      <c r="RGK43" s="292"/>
      <c r="RGL43" s="292"/>
      <c r="RGM43" s="292"/>
      <c r="RGN43" s="292"/>
      <c r="RGO43" s="292"/>
      <c r="RGP43" s="292"/>
      <c r="RGQ43" s="292"/>
      <c r="RGR43" s="292"/>
      <c r="RGS43" s="292"/>
      <c r="RGT43" s="292"/>
      <c r="RGU43" s="292"/>
      <c r="RGV43" s="292"/>
      <c r="RGW43" s="292"/>
      <c r="RGX43" s="292"/>
      <c r="RGY43" s="292"/>
      <c r="RGZ43" s="292"/>
      <c r="RHA43" s="292"/>
      <c r="RHB43" s="292"/>
      <c r="RHC43" s="292"/>
      <c r="RHD43" s="292"/>
      <c r="RHE43" s="292"/>
      <c r="RHF43" s="292"/>
      <c r="RHG43" s="292"/>
      <c r="RHH43" s="292"/>
      <c r="RHI43" s="292"/>
      <c r="RHJ43" s="292"/>
      <c r="RHK43" s="292"/>
      <c r="RHL43" s="292"/>
      <c r="RHM43" s="292"/>
      <c r="RHN43" s="292"/>
      <c r="RHO43" s="292"/>
      <c r="RHP43" s="292"/>
      <c r="RHQ43" s="292"/>
      <c r="RHR43" s="292"/>
      <c r="RHS43" s="292"/>
      <c r="RHT43" s="292"/>
      <c r="RHU43" s="292"/>
      <c r="RHV43" s="292"/>
      <c r="RHW43" s="292"/>
      <c r="RHX43" s="292"/>
      <c r="RHY43" s="292"/>
      <c r="RHZ43" s="292"/>
      <c r="RIA43" s="292"/>
      <c r="RIB43" s="292"/>
      <c r="RIC43" s="292"/>
      <c r="RID43" s="292"/>
      <c r="RIE43" s="292"/>
      <c r="RIF43" s="292"/>
      <c r="RIG43" s="292"/>
      <c r="RIH43" s="292"/>
      <c r="RII43" s="292"/>
      <c r="RIJ43" s="292"/>
      <c r="RIK43" s="292"/>
      <c r="RIL43" s="292"/>
      <c r="RIM43" s="292"/>
      <c r="RIN43" s="292"/>
      <c r="RIO43" s="292"/>
      <c r="RIP43" s="292"/>
      <c r="RIQ43" s="292"/>
      <c r="RIR43" s="292"/>
      <c r="RIS43" s="292"/>
      <c r="RIT43" s="292"/>
      <c r="RIU43" s="292"/>
      <c r="RIV43" s="292"/>
      <c r="RIW43" s="292"/>
      <c r="RIX43" s="292"/>
      <c r="RIY43" s="292"/>
      <c r="RIZ43" s="292"/>
      <c r="RJA43" s="292"/>
      <c r="RJB43" s="292"/>
      <c r="RJC43" s="292"/>
      <c r="RJD43" s="292"/>
      <c r="RJE43" s="292"/>
      <c r="RJF43" s="292"/>
      <c r="RJG43" s="292"/>
      <c r="RJH43" s="292"/>
      <c r="RJI43" s="292"/>
      <c r="RJJ43" s="292"/>
      <c r="RJK43" s="292"/>
      <c r="RJL43" s="292"/>
      <c r="RJM43" s="292"/>
      <c r="RJN43" s="292"/>
      <c r="RJO43" s="292"/>
      <c r="RJP43" s="292"/>
      <c r="RJQ43" s="292"/>
      <c r="RJR43" s="292"/>
      <c r="RJS43" s="292"/>
      <c r="RJT43" s="292"/>
      <c r="RJU43" s="292"/>
      <c r="RJV43" s="292"/>
      <c r="RJW43" s="292"/>
      <c r="RJX43" s="292"/>
      <c r="RJY43" s="292"/>
      <c r="RJZ43" s="292"/>
      <c r="RKA43" s="292"/>
      <c r="RKB43" s="292"/>
      <c r="RKC43" s="292"/>
      <c r="RKD43" s="292"/>
      <c r="RKE43" s="292"/>
      <c r="RKF43" s="292"/>
      <c r="RKG43" s="292"/>
      <c r="RKH43" s="292"/>
      <c r="RKI43" s="292"/>
      <c r="RKJ43" s="292"/>
      <c r="RKK43" s="292"/>
      <c r="RKL43" s="292"/>
      <c r="RKM43" s="292"/>
      <c r="RKN43" s="292"/>
      <c r="RKO43" s="292"/>
      <c r="RKP43" s="292"/>
      <c r="RKQ43" s="292"/>
      <c r="RKR43" s="292"/>
      <c r="RKS43" s="292"/>
      <c r="RKT43" s="292"/>
      <c r="RKU43" s="292"/>
      <c r="RKV43" s="292"/>
      <c r="RKW43" s="292"/>
      <c r="RKX43" s="292"/>
      <c r="RKY43" s="292"/>
      <c r="RKZ43" s="292"/>
      <c r="RLA43" s="292"/>
      <c r="RLB43" s="292"/>
      <c r="RLC43" s="292"/>
      <c r="RLD43" s="292"/>
      <c r="RLE43" s="292"/>
      <c r="RLF43" s="292"/>
      <c r="RLG43" s="292"/>
      <c r="RLH43" s="292"/>
      <c r="RLI43" s="292"/>
      <c r="RLJ43" s="292"/>
      <c r="RLK43" s="292"/>
      <c r="RLL43" s="292"/>
      <c r="RLM43" s="292"/>
      <c r="RLN43" s="292"/>
      <c r="RLO43" s="292"/>
      <c r="RLP43" s="292"/>
      <c r="RLQ43" s="292"/>
      <c r="RLR43" s="292"/>
      <c r="RLS43" s="292"/>
      <c r="RLT43" s="292"/>
      <c r="RLU43" s="292"/>
      <c r="RLV43" s="292"/>
      <c r="RLW43" s="292"/>
      <c r="RLX43" s="292"/>
      <c r="RLY43" s="292"/>
      <c r="RLZ43" s="292"/>
      <c r="RMA43" s="292"/>
      <c r="RMB43" s="292"/>
      <c r="RMC43" s="292"/>
      <c r="RMD43" s="292"/>
      <c r="RME43" s="292"/>
      <c r="RMF43" s="292"/>
      <c r="RMG43" s="292"/>
      <c r="RMH43" s="292"/>
      <c r="RMI43" s="292"/>
      <c r="RMJ43" s="292"/>
      <c r="RMK43" s="292"/>
      <c r="RML43" s="292"/>
      <c r="RMM43" s="292"/>
      <c r="RMN43" s="292"/>
      <c r="RMO43" s="292"/>
      <c r="RMP43" s="292"/>
      <c r="RMQ43" s="292"/>
      <c r="RMR43" s="292"/>
      <c r="RMS43" s="292"/>
      <c r="RMT43" s="292"/>
      <c r="RMU43" s="292"/>
      <c r="RMV43" s="292"/>
      <c r="RMW43" s="292"/>
      <c r="RMX43" s="292"/>
      <c r="RMY43" s="292"/>
      <c r="RMZ43" s="292"/>
      <c r="RNA43" s="292"/>
      <c r="RNB43" s="292"/>
      <c r="RNC43" s="292"/>
      <c r="RND43" s="292"/>
      <c r="RNE43" s="292"/>
      <c r="RNF43" s="292"/>
      <c r="RNG43" s="292"/>
      <c r="RNH43" s="292"/>
      <c r="RNI43" s="292"/>
      <c r="RNJ43" s="292"/>
      <c r="RNK43" s="292"/>
      <c r="RNL43" s="292"/>
      <c r="RNM43" s="292"/>
      <c r="RNN43" s="292"/>
      <c r="RNO43" s="292"/>
      <c r="RNP43" s="292"/>
      <c r="RNQ43" s="292"/>
      <c r="RNR43" s="292"/>
      <c r="RNS43" s="292"/>
      <c r="RNT43" s="292"/>
      <c r="RNU43" s="292"/>
      <c r="RNV43" s="292"/>
      <c r="RNW43" s="292"/>
      <c r="RNX43" s="292"/>
      <c r="RNY43" s="292"/>
      <c r="RNZ43" s="292"/>
      <c r="ROA43" s="292"/>
      <c r="ROB43" s="292"/>
      <c r="ROC43" s="292"/>
      <c r="ROD43" s="292"/>
      <c r="ROE43" s="292"/>
      <c r="ROF43" s="292"/>
      <c r="ROG43" s="292"/>
      <c r="ROH43" s="292"/>
      <c r="ROI43" s="292"/>
      <c r="ROJ43" s="292"/>
      <c r="ROK43" s="292"/>
      <c r="ROL43" s="292"/>
      <c r="ROM43" s="292"/>
      <c r="RON43" s="292"/>
      <c r="ROO43" s="292"/>
      <c r="ROP43" s="292"/>
      <c r="ROQ43" s="292"/>
      <c r="ROR43" s="292"/>
      <c r="ROS43" s="292"/>
      <c r="ROT43" s="292"/>
      <c r="ROU43" s="292"/>
      <c r="ROV43" s="292"/>
      <c r="ROW43" s="292"/>
      <c r="ROX43" s="292"/>
      <c r="ROY43" s="292"/>
      <c r="ROZ43" s="292"/>
      <c r="RPA43" s="292"/>
      <c r="RPB43" s="292"/>
      <c r="RPC43" s="292"/>
      <c r="RPD43" s="292"/>
      <c r="RPE43" s="292"/>
      <c r="RPF43" s="292"/>
      <c r="RPG43" s="292"/>
      <c r="RPH43" s="292"/>
      <c r="RPI43" s="292"/>
      <c r="RPJ43" s="292"/>
      <c r="RPK43" s="292"/>
      <c r="RPL43" s="292"/>
      <c r="RPM43" s="292"/>
      <c r="RPN43" s="292"/>
      <c r="RPO43" s="292"/>
      <c r="RPP43" s="292"/>
      <c r="RPQ43" s="292"/>
      <c r="RPR43" s="292"/>
      <c r="RPS43" s="292"/>
      <c r="RPT43" s="292"/>
      <c r="RPU43" s="292"/>
      <c r="RPV43" s="292"/>
      <c r="RPW43" s="292"/>
      <c r="RPX43" s="292"/>
      <c r="RPY43" s="292"/>
      <c r="RPZ43" s="292"/>
      <c r="RQA43" s="292"/>
      <c r="RQB43" s="292"/>
      <c r="RQC43" s="292"/>
      <c r="RQD43" s="292"/>
      <c r="RQE43" s="292"/>
      <c r="RQF43" s="292"/>
      <c r="RQG43" s="292"/>
      <c r="RQH43" s="292"/>
      <c r="RQI43" s="292"/>
      <c r="RQJ43" s="292"/>
      <c r="RQK43" s="292"/>
      <c r="RQL43" s="292"/>
      <c r="RQM43" s="292"/>
      <c r="RQN43" s="292"/>
      <c r="RQO43" s="292"/>
      <c r="RQP43" s="292"/>
      <c r="RQQ43" s="292"/>
      <c r="RQR43" s="292"/>
      <c r="RQS43" s="292"/>
      <c r="RQT43" s="292"/>
      <c r="RQU43" s="292"/>
      <c r="RQV43" s="292"/>
      <c r="RQW43" s="292"/>
      <c r="RQX43" s="292"/>
      <c r="RQY43" s="292"/>
      <c r="RQZ43" s="292"/>
      <c r="RRA43" s="292"/>
      <c r="RRB43" s="292"/>
      <c r="RRC43" s="292"/>
      <c r="RRD43" s="292"/>
      <c r="RRE43" s="292"/>
      <c r="RRF43" s="292"/>
      <c r="RRG43" s="292"/>
      <c r="RRH43" s="292"/>
      <c r="RRI43" s="292"/>
      <c r="RRJ43" s="292"/>
      <c r="RRK43" s="292"/>
      <c r="RRL43" s="292"/>
      <c r="RRM43" s="292"/>
      <c r="RRN43" s="292"/>
      <c r="RRO43" s="292"/>
      <c r="RRP43" s="292"/>
      <c r="RRQ43" s="292"/>
      <c r="RRR43" s="292"/>
      <c r="RRS43" s="292"/>
      <c r="RRT43" s="292"/>
      <c r="RRU43" s="292"/>
      <c r="RRV43" s="292"/>
      <c r="RRW43" s="292"/>
      <c r="RRX43" s="292"/>
      <c r="RRY43" s="292"/>
      <c r="RRZ43" s="292"/>
      <c r="RSA43" s="292"/>
      <c r="RSB43" s="292"/>
      <c r="RSC43" s="292"/>
      <c r="RSD43" s="292"/>
      <c r="RSE43" s="292"/>
      <c r="RSF43" s="292"/>
      <c r="RSG43" s="292"/>
      <c r="RSH43" s="292"/>
      <c r="RSI43" s="292"/>
      <c r="RSJ43" s="292"/>
      <c r="RSK43" s="292"/>
      <c r="RSL43" s="292"/>
      <c r="RSM43" s="292"/>
      <c r="RSN43" s="292"/>
      <c r="RSO43" s="292"/>
      <c r="RSP43" s="292"/>
      <c r="RSQ43" s="292"/>
      <c r="RSR43" s="292"/>
      <c r="RSS43" s="292"/>
      <c r="RST43" s="292"/>
      <c r="RSU43" s="292"/>
      <c r="RSV43" s="292"/>
      <c r="RSW43" s="292"/>
      <c r="RSX43" s="292"/>
      <c r="RSY43" s="292"/>
      <c r="RSZ43" s="292"/>
      <c r="RTA43" s="292"/>
      <c r="RTB43" s="292"/>
      <c r="RTC43" s="292"/>
      <c r="RTD43" s="292"/>
      <c r="RTE43" s="292"/>
      <c r="RTF43" s="292"/>
      <c r="RTG43" s="292"/>
      <c r="RTH43" s="292"/>
      <c r="RTI43" s="292"/>
      <c r="RTJ43" s="292"/>
      <c r="RTK43" s="292"/>
      <c r="RTL43" s="292"/>
      <c r="RTM43" s="292"/>
      <c r="RTN43" s="292"/>
      <c r="RTO43" s="292"/>
      <c r="RTP43" s="292"/>
      <c r="RTQ43" s="292"/>
      <c r="RTR43" s="292"/>
      <c r="RTS43" s="292"/>
      <c r="RTT43" s="292"/>
      <c r="RTU43" s="292"/>
      <c r="RTV43" s="292"/>
      <c r="RTW43" s="292"/>
      <c r="RTX43" s="292"/>
      <c r="RTY43" s="292"/>
      <c r="RTZ43" s="292"/>
      <c r="RUA43" s="292"/>
      <c r="RUB43" s="292"/>
      <c r="RUC43" s="292"/>
      <c r="RUD43" s="292"/>
      <c r="RUE43" s="292"/>
      <c r="RUF43" s="292"/>
      <c r="RUG43" s="292"/>
      <c r="RUH43" s="292"/>
      <c r="RUI43" s="292"/>
      <c r="RUJ43" s="292"/>
      <c r="RUK43" s="292"/>
      <c r="RUL43" s="292"/>
      <c r="RUM43" s="292"/>
      <c r="RUN43" s="292"/>
      <c r="RUO43" s="292"/>
      <c r="RUP43" s="292"/>
      <c r="RUQ43" s="292"/>
      <c r="RUR43" s="292"/>
      <c r="RUS43" s="292"/>
      <c r="RUT43" s="292"/>
      <c r="RUU43" s="292"/>
      <c r="RUV43" s="292"/>
      <c r="RUW43" s="292"/>
      <c r="RUX43" s="292"/>
      <c r="RUY43" s="292"/>
      <c r="RUZ43" s="292"/>
      <c r="RVA43" s="292"/>
      <c r="RVB43" s="292"/>
      <c r="RVC43" s="292"/>
      <c r="RVD43" s="292"/>
      <c r="RVE43" s="292"/>
      <c r="RVF43" s="292"/>
      <c r="RVG43" s="292"/>
      <c r="RVH43" s="292"/>
      <c r="RVI43" s="292"/>
      <c r="RVJ43" s="292"/>
      <c r="RVK43" s="292"/>
      <c r="RVL43" s="292"/>
      <c r="RVM43" s="292"/>
      <c r="RVN43" s="292"/>
      <c r="RVO43" s="292"/>
      <c r="RVP43" s="292"/>
      <c r="RVQ43" s="292"/>
      <c r="RVR43" s="292"/>
      <c r="RVS43" s="292"/>
      <c r="RVT43" s="292"/>
      <c r="RVU43" s="292"/>
      <c r="RVV43" s="292"/>
      <c r="RVW43" s="292"/>
      <c r="RVX43" s="292"/>
      <c r="RVY43" s="292"/>
      <c r="RVZ43" s="292"/>
      <c r="RWA43" s="292"/>
      <c r="RWB43" s="292"/>
      <c r="RWC43" s="292"/>
      <c r="RWD43" s="292"/>
      <c r="RWE43" s="292"/>
      <c r="RWF43" s="292"/>
      <c r="RWG43" s="292"/>
      <c r="RWH43" s="292"/>
      <c r="RWI43" s="292"/>
      <c r="RWJ43" s="292"/>
      <c r="RWK43" s="292"/>
      <c r="RWL43" s="292"/>
      <c r="RWM43" s="292"/>
      <c r="RWN43" s="292"/>
      <c r="RWO43" s="292"/>
      <c r="RWP43" s="292"/>
      <c r="RWQ43" s="292"/>
      <c r="RWR43" s="292"/>
      <c r="RWS43" s="292"/>
      <c r="RWT43" s="292"/>
      <c r="RWU43" s="292"/>
      <c r="RWV43" s="292"/>
      <c r="RWW43" s="292"/>
      <c r="RWX43" s="292"/>
      <c r="RWY43" s="292"/>
      <c r="RWZ43" s="292"/>
      <c r="RXA43" s="292"/>
      <c r="RXB43" s="292"/>
      <c r="RXC43" s="292"/>
      <c r="RXD43" s="292"/>
      <c r="RXE43" s="292"/>
      <c r="RXF43" s="292"/>
      <c r="RXG43" s="292"/>
      <c r="RXH43" s="292"/>
      <c r="RXI43" s="292"/>
      <c r="RXJ43" s="292"/>
      <c r="RXK43" s="292"/>
      <c r="RXL43" s="292"/>
      <c r="RXM43" s="292"/>
      <c r="RXN43" s="292"/>
      <c r="RXO43" s="292"/>
      <c r="RXP43" s="292"/>
      <c r="RXQ43" s="292"/>
      <c r="RXR43" s="292"/>
      <c r="RXS43" s="292"/>
      <c r="RXT43" s="292"/>
      <c r="RXU43" s="292"/>
      <c r="RXV43" s="292"/>
      <c r="RXW43" s="292"/>
      <c r="RXX43" s="292"/>
      <c r="RXY43" s="292"/>
      <c r="RXZ43" s="292"/>
      <c r="RYA43" s="292"/>
      <c r="RYB43" s="292"/>
      <c r="RYC43" s="292"/>
      <c r="RYD43" s="292"/>
      <c r="RYE43" s="292"/>
      <c r="RYF43" s="292"/>
      <c r="RYG43" s="292"/>
      <c r="RYH43" s="292"/>
      <c r="RYI43" s="292"/>
      <c r="RYJ43" s="292"/>
      <c r="RYK43" s="292"/>
      <c r="RYL43" s="292"/>
      <c r="RYM43" s="292"/>
      <c r="RYN43" s="292"/>
      <c r="RYO43" s="292"/>
      <c r="RYP43" s="292"/>
      <c r="RYQ43" s="292"/>
      <c r="RYR43" s="292"/>
      <c r="RYS43" s="292"/>
      <c r="RYT43" s="292"/>
      <c r="RYU43" s="292"/>
      <c r="RYV43" s="292"/>
      <c r="RYW43" s="292"/>
      <c r="RYX43" s="292"/>
      <c r="RYY43" s="292"/>
      <c r="RYZ43" s="292"/>
      <c r="RZA43" s="292"/>
      <c r="RZB43" s="292"/>
      <c r="RZC43" s="292"/>
      <c r="RZD43" s="292"/>
      <c r="RZE43" s="292"/>
      <c r="RZF43" s="292"/>
      <c r="RZG43" s="292"/>
      <c r="RZH43" s="292"/>
      <c r="RZI43" s="292"/>
      <c r="RZJ43" s="292"/>
      <c r="RZK43" s="292"/>
      <c r="RZL43" s="292"/>
      <c r="RZM43" s="292"/>
      <c r="RZN43" s="292"/>
      <c r="RZO43" s="292"/>
      <c r="RZP43" s="292"/>
      <c r="RZQ43" s="292"/>
      <c r="RZR43" s="292"/>
      <c r="RZS43" s="292"/>
      <c r="RZT43" s="292"/>
      <c r="RZU43" s="292"/>
      <c r="RZV43" s="292"/>
      <c r="RZW43" s="292"/>
      <c r="RZX43" s="292"/>
      <c r="RZY43" s="292"/>
      <c r="RZZ43" s="292"/>
      <c r="SAA43" s="292"/>
      <c r="SAB43" s="292"/>
      <c r="SAC43" s="292"/>
      <c r="SAD43" s="292"/>
      <c r="SAE43" s="292"/>
      <c r="SAF43" s="292"/>
      <c r="SAG43" s="292"/>
      <c r="SAH43" s="292"/>
      <c r="SAI43" s="292"/>
      <c r="SAJ43" s="292"/>
      <c r="SAK43" s="292"/>
      <c r="SAL43" s="292"/>
      <c r="SAM43" s="292"/>
      <c r="SAN43" s="292"/>
      <c r="SAO43" s="292"/>
      <c r="SAP43" s="292"/>
      <c r="SAQ43" s="292"/>
      <c r="SAR43" s="292"/>
      <c r="SAS43" s="292"/>
      <c r="SAT43" s="292"/>
      <c r="SAU43" s="292"/>
      <c r="SAV43" s="292"/>
      <c r="SAW43" s="292"/>
      <c r="SAX43" s="292"/>
      <c r="SAY43" s="292"/>
      <c r="SAZ43" s="292"/>
      <c r="SBA43" s="292"/>
      <c r="SBB43" s="292"/>
      <c r="SBC43" s="292"/>
      <c r="SBD43" s="292"/>
      <c r="SBE43" s="292"/>
      <c r="SBF43" s="292"/>
      <c r="SBG43" s="292"/>
      <c r="SBH43" s="292"/>
      <c r="SBI43" s="292"/>
      <c r="SBJ43" s="292"/>
      <c r="SBK43" s="292"/>
      <c r="SBL43" s="292"/>
      <c r="SBM43" s="292"/>
      <c r="SBN43" s="292"/>
      <c r="SBO43" s="292"/>
      <c r="SBP43" s="292"/>
      <c r="SBQ43" s="292"/>
      <c r="SBR43" s="292"/>
      <c r="SBS43" s="292"/>
      <c r="SBT43" s="292"/>
      <c r="SBU43" s="292"/>
      <c r="SBV43" s="292"/>
      <c r="SBW43" s="292"/>
      <c r="SBX43" s="292"/>
      <c r="SBY43" s="292"/>
      <c r="SBZ43" s="292"/>
      <c r="SCA43" s="292"/>
      <c r="SCB43" s="292"/>
      <c r="SCC43" s="292"/>
      <c r="SCD43" s="292"/>
      <c r="SCE43" s="292"/>
      <c r="SCF43" s="292"/>
      <c r="SCG43" s="292"/>
      <c r="SCH43" s="292"/>
      <c r="SCI43" s="292"/>
      <c r="SCJ43" s="292"/>
      <c r="SCK43" s="292"/>
      <c r="SCL43" s="292"/>
      <c r="SCM43" s="292"/>
      <c r="SCN43" s="292"/>
      <c r="SCO43" s="292"/>
      <c r="SCP43" s="292"/>
      <c r="SCQ43" s="292"/>
      <c r="SCR43" s="292"/>
      <c r="SCS43" s="292"/>
      <c r="SCT43" s="292"/>
      <c r="SCU43" s="292"/>
      <c r="SCV43" s="292"/>
      <c r="SCW43" s="292"/>
      <c r="SCX43" s="292"/>
      <c r="SCY43" s="292"/>
      <c r="SCZ43" s="292"/>
      <c r="SDA43" s="292"/>
      <c r="SDB43" s="292"/>
      <c r="SDC43" s="292"/>
      <c r="SDD43" s="292"/>
      <c r="SDE43" s="292"/>
      <c r="SDF43" s="292"/>
      <c r="SDG43" s="292"/>
      <c r="SDH43" s="292"/>
      <c r="SDI43" s="292"/>
      <c r="SDJ43" s="292"/>
      <c r="SDK43" s="292"/>
      <c r="SDL43" s="292"/>
      <c r="SDM43" s="292"/>
      <c r="SDN43" s="292"/>
      <c r="SDO43" s="292"/>
      <c r="SDP43" s="292"/>
      <c r="SDQ43" s="292"/>
      <c r="SDR43" s="292"/>
      <c r="SDS43" s="292"/>
      <c r="SDT43" s="292"/>
      <c r="SDU43" s="292"/>
      <c r="SDV43" s="292"/>
      <c r="SDW43" s="292"/>
      <c r="SDX43" s="292"/>
      <c r="SDY43" s="292"/>
      <c r="SDZ43" s="292"/>
      <c r="SEA43" s="292"/>
      <c r="SEB43" s="292"/>
      <c r="SEC43" s="292"/>
      <c r="SED43" s="292"/>
      <c r="SEE43" s="292"/>
      <c r="SEF43" s="292"/>
      <c r="SEG43" s="292"/>
      <c r="SEH43" s="292"/>
      <c r="SEI43" s="292"/>
      <c r="SEJ43" s="292"/>
      <c r="SEK43" s="292"/>
      <c r="SEL43" s="292"/>
      <c r="SEM43" s="292"/>
      <c r="SEN43" s="292"/>
      <c r="SEO43" s="292"/>
      <c r="SEP43" s="292"/>
      <c r="SEQ43" s="292"/>
      <c r="SER43" s="292"/>
      <c r="SES43" s="292"/>
      <c r="SET43" s="292"/>
      <c r="SEU43" s="292"/>
      <c r="SEV43" s="292"/>
      <c r="SEW43" s="292"/>
      <c r="SEX43" s="292"/>
      <c r="SEY43" s="292"/>
      <c r="SEZ43" s="292"/>
      <c r="SFA43" s="292"/>
      <c r="SFB43" s="292"/>
      <c r="SFC43" s="292"/>
      <c r="SFD43" s="292"/>
      <c r="SFE43" s="292"/>
      <c r="SFF43" s="292"/>
      <c r="SFG43" s="292"/>
      <c r="SFH43" s="292"/>
      <c r="SFI43" s="292"/>
      <c r="SFJ43" s="292"/>
      <c r="SFK43" s="292"/>
      <c r="SFL43" s="292"/>
      <c r="SFM43" s="292"/>
      <c r="SFN43" s="292"/>
      <c r="SFO43" s="292"/>
      <c r="SFP43" s="292"/>
      <c r="SFQ43" s="292"/>
      <c r="SFR43" s="292"/>
      <c r="SFS43" s="292"/>
      <c r="SFT43" s="292"/>
      <c r="SFU43" s="292"/>
      <c r="SFV43" s="292"/>
      <c r="SFW43" s="292"/>
      <c r="SFX43" s="292"/>
      <c r="SFY43" s="292"/>
      <c r="SFZ43" s="292"/>
      <c r="SGA43" s="292"/>
      <c r="SGB43" s="292"/>
      <c r="SGC43" s="292"/>
      <c r="SGD43" s="292"/>
      <c r="SGE43" s="292"/>
      <c r="SGF43" s="292"/>
      <c r="SGG43" s="292"/>
      <c r="SGH43" s="292"/>
      <c r="SGI43" s="292"/>
      <c r="SGJ43" s="292"/>
      <c r="SGK43" s="292"/>
      <c r="SGL43" s="292"/>
      <c r="SGM43" s="292"/>
      <c r="SGN43" s="292"/>
      <c r="SGO43" s="292"/>
      <c r="SGP43" s="292"/>
      <c r="SGQ43" s="292"/>
      <c r="SGR43" s="292"/>
      <c r="SGS43" s="292"/>
      <c r="SGT43" s="292"/>
      <c r="SGU43" s="292"/>
      <c r="SGV43" s="292"/>
      <c r="SGW43" s="292"/>
      <c r="SGX43" s="292"/>
      <c r="SGY43" s="292"/>
      <c r="SGZ43" s="292"/>
      <c r="SHA43" s="292"/>
      <c r="SHB43" s="292"/>
      <c r="SHC43" s="292"/>
      <c r="SHD43" s="292"/>
      <c r="SHE43" s="292"/>
      <c r="SHF43" s="292"/>
      <c r="SHG43" s="292"/>
      <c r="SHH43" s="292"/>
      <c r="SHI43" s="292"/>
      <c r="SHJ43" s="292"/>
      <c r="SHK43" s="292"/>
      <c r="SHL43" s="292"/>
      <c r="SHM43" s="292"/>
      <c r="SHN43" s="292"/>
      <c r="SHO43" s="292"/>
      <c r="SHP43" s="292"/>
      <c r="SHQ43" s="292"/>
      <c r="SHR43" s="292"/>
      <c r="SHS43" s="292"/>
      <c r="SHT43" s="292"/>
      <c r="SHU43" s="292"/>
      <c r="SHV43" s="292"/>
      <c r="SHW43" s="292"/>
      <c r="SHX43" s="292"/>
      <c r="SHY43" s="292"/>
      <c r="SHZ43" s="292"/>
      <c r="SIA43" s="292"/>
      <c r="SIB43" s="292"/>
      <c r="SIC43" s="292"/>
      <c r="SID43" s="292"/>
      <c r="SIE43" s="292"/>
      <c r="SIF43" s="292"/>
      <c r="SIG43" s="292"/>
      <c r="SIH43" s="292"/>
      <c r="SII43" s="292"/>
      <c r="SIJ43" s="292"/>
      <c r="SIK43" s="292"/>
      <c r="SIL43" s="292"/>
      <c r="SIM43" s="292"/>
      <c r="SIN43" s="292"/>
      <c r="SIO43" s="292"/>
      <c r="SIP43" s="292"/>
      <c r="SIQ43" s="292"/>
      <c r="SIR43" s="292"/>
      <c r="SIS43" s="292"/>
      <c r="SIT43" s="292"/>
      <c r="SIU43" s="292"/>
      <c r="SIV43" s="292"/>
      <c r="SIW43" s="292"/>
      <c r="SIX43" s="292"/>
      <c r="SIY43" s="292"/>
      <c r="SIZ43" s="292"/>
      <c r="SJA43" s="292"/>
      <c r="SJB43" s="292"/>
      <c r="SJC43" s="292"/>
      <c r="SJD43" s="292"/>
      <c r="SJE43" s="292"/>
      <c r="SJF43" s="292"/>
      <c r="SJG43" s="292"/>
      <c r="SJH43" s="292"/>
      <c r="SJI43" s="292"/>
      <c r="SJJ43" s="292"/>
      <c r="SJK43" s="292"/>
      <c r="SJL43" s="292"/>
      <c r="SJM43" s="292"/>
      <c r="SJN43" s="292"/>
      <c r="SJO43" s="292"/>
      <c r="SJP43" s="292"/>
      <c r="SJQ43" s="292"/>
      <c r="SJR43" s="292"/>
      <c r="SJS43" s="292"/>
      <c r="SJT43" s="292"/>
      <c r="SJU43" s="292"/>
      <c r="SJV43" s="292"/>
      <c r="SJW43" s="292"/>
      <c r="SJX43" s="292"/>
      <c r="SJY43" s="292"/>
      <c r="SJZ43" s="292"/>
      <c r="SKA43" s="292"/>
      <c r="SKB43" s="292"/>
      <c r="SKC43" s="292"/>
      <c r="SKD43" s="292"/>
      <c r="SKE43" s="292"/>
      <c r="SKF43" s="292"/>
      <c r="SKG43" s="292"/>
      <c r="SKH43" s="292"/>
      <c r="SKI43" s="292"/>
      <c r="SKJ43" s="292"/>
      <c r="SKK43" s="292"/>
      <c r="SKL43" s="292"/>
      <c r="SKM43" s="292"/>
      <c r="SKN43" s="292"/>
      <c r="SKO43" s="292"/>
      <c r="SKP43" s="292"/>
      <c r="SKQ43" s="292"/>
      <c r="SKR43" s="292"/>
      <c r="SKS43" s="292"/>
      <c r="SKT43" s="292"/>
      <c r="SKU43" s="292"/>
      <c r="SKV43" s="292"/>
      <c r="SKW43" s="292"/>
      <c r="SKX43" s="292"/>
      <c r="SKY43" s="292"/>
      <c r="SKZ43" s="292"/>
      <c r="SLA43" s="292"/>
      <c r="SLB43" s="292"/>
      <c r="SLC43" s="292"/>
      <c r="SLD43" s="292"/>
      <c r="SLE43" s="292"/>
      <c r="SLF43" s="292"/>
      <c r="SLG43" s="292"/>
      <c r="SLH43" s="292"/>
      <c r="SLI43" s="292"/>
      <c r="SLJ43" s="292"/>
      <c r="SLK43" s="292"/>
      <c r="SLL43" s="292"/>
      <c r="SLM43" s="292"/>
      <c r="SLN43" s="292"/>
      <c r="SLO43" s="292"/>
      <c r="SLP43" s="292"/>
      <c r="SLQ43" s="292"/>
      <c r="SLR43" s="292"/>
      <c r="SLS43" s="292"/>
      <c r="SLT43" s="292"/>
      <c r="SLU43" s="292"/>
      <c r="SLV43" s="292"/>
      <c r="SLW43" s="292"/>
      <c r="SLX43" s="292"/>
      <c r="SLY43" s="292"/>
      <c r="SLZ43" s="292"/>
      <c r="SMA43" s="292"/>
      <c r="SMB43" s="292"/>
      <c r="SMC43" s="292"/>
      <c r="SMD43" s="292"/>
      <c r="SME43" s="292"/>
      <c r="SMF43" s="292"/>
      <c r="SMG43" s="292"/>
      <c r="SMH43" s="292"/>
      <c r="SMI43" s="292"/>
      <c r="SMJ43" s="292"/>
      <c r="SMK43" s="292"/>
      <c r="SML43" s="292"/>
      <c r="SMM43" s="292"/>
      <c r="SMN43" s="292"/>
      <c r="SMO43" s="292"/>
      <c r="SMP43" s="292"/>
      <c r="SMQ43" s="292"/>
      <c r="SMR43" s="292"/>
      <c r="SMS43" s="292"/>
      <c r="SMT43" s="292"/>
      <c r="SMU43" s="292"/>
      <c r="SMV43" s="292"/>
      <c r="SMW43" s="292"/>
      <c r="SMX43" s="292"/>
      <c r="SMY43" s="292"/>
      <c r="SMZ43" s="292"/>
      <c r="SNA43" s="292"/>
      <c r="SNB43" s="292"/>
      <c r="SNC43" s="292"/>
      <c r="SND43" s="292"/>
      <c r="SNE43" s="292"/>
      <c r="SNF43" s="292"/>
      <c r="SNG43" s="292"/>
      <c r="SNH43" s="292"/>
      <c r="SNI43" s="292"/>
      <c r="SNJ43" s="292"/>
      <c r="SNK43" s="292"/>
      <c r="SNL43" s="292"/>
      <c r="SNM43" s="292"/>
      <c r="SNN43" s="292"/>
      <c r="SNO43" s="292"/>
      <c r="SNP43" s="292"/>
      <c r="SNQ43" s="292"/>
      <c r="SNR43" s="292"/>
      <c r="SNS43" s="292"/>
      <c r="SNT43" s="292"/>
      <c r="SNU43" s="292"/>
      <c r="SNV43" s="292"/>
      <c r="SNW43" s="292"/>
      <c r="SNX43" s="292"/>
      <c r="SNY43" s="292"/>
      <c r="SNZ43" s="292"/>
      <c r="SOA43" s="292"/>
      <c r="SOB43" s="292"/>
      <c r="SOC43" s="292"/>
      <c r="SOD43" s="292"/>
      <c r="SOE43" s="292"/>
      <c r="SOF43" s="292"/>
      <c r="SOG43" s="292"/>
      <c r="SOH43" s="292"/>
      <c r="SOI43" s="292"/>
      <c r="SOJ43" s="292"/>
      <c r="SOK43" s="292"/>
      <c r="SOL43" s="292"/>
      <c r="SOM43" s="292"/>
      <c r="SON43" s="292"/>
      <c r="SOO43" s="292"/>
      <c r="SOP43" s="292"/>
      <c r="SOQ43" s="292"/>
      <c r="SOR43" s="292"/>
      <c r="SOS43" s="292"/>
      <c r="SOT43" s="292"/>
      <c r="SOU43" s="292"/>
      <c r="SOV43" s="292"/>
      <c r="SOW43" s="292"/>
      <c r="SOX43" s="292"/>
      <c r="SOY43" s="292"/>
      <c r="SOZ43" s="292"/>
      <c r="SPA43" s="292"/>
      <c r="SPB43" s="292"/>
      <c r="SPC43" s="292"/>
      <c r="SPD43" s="292"/>
      <c r="SPE43" s="292"/>
      <c r="SPF43" s="292"/>
      <c r="SPG43" s="292"/>
      <c r="SPH43" s="292"/>
      <c r="SPI43" s="292"/>
      <c r="SPJ43" s="292"/>
      <c r="SPK43" s="292"/>
      <c r="SPL43" s="292"/>
      <c r="SPM43" s="292"/>
      <c r="SPN43" s="292"/>
      <c r="SPO43" s="292"/>
      <c r="SPP43" s="292"/>
      <c r="SPQ43" s="292"/>
      <c r="SPR43" s="292"/>
      <c r="SPS43" s="292"/>
      <c r="SPT43" s="292"/>
      <c r="SPU43" s="292"/>
      <c r="SPV43" s="292"/>
      <c r="SPW43" s="292"/>
      <c r="SPX43" s="292"/>
      <c r="SPY43" s="292"/>
      <c r="SPZ43" s="292"/>
      <c r="SQA43" s="292"/>
      <c r="SQB43" s="292"/>
      <c r="SQC43" s="292"/>
      <c r="SQD43" s="292"/>
      <c r="SQE43" s="292"/>
      <c r="SQF43" s="292"/>
      <c r="SQG43" s="292"/>
      <c r="SQH43" s="292"/>
      <c r="SQI43" s="292"/>
      <c r="SQJ43" s="292"/>
      <c r="SQK43" s="292"/>
      <c r="SQL43" s="292"/>
      <c r="SQM43" s="292"/>
      <c r="SQN43" s="292"/>
      <c r="SQO43" s="292"/>
      <c r="SQP43" s="292"/>
      <c r="SQQ43" s="292"/>
      <c r="SQR43" s="292"/>
      <c r="SQS43" s="292"/>
      <c r="SQT43" s="292"/>
      <c r="SQU43" s="292"/>
      <c r="SQV43" s="292"/>
      <c r="SQW43" s="292"/>
      <c r="SQX43" s="292"/>
      <c r="SQY43" s="292"/>
      <c r="SQZ43" s="292"/>
      <c r="SRA43" s="292"/>
      <c r="SRB43" s="292"/>
      <c r="SRC43" s="292"/>
      <c r="SRD43" s="292"/>
      <c r="SRE43" s="292"/>
      <c r="SRF43" s="292"/>
      <c r="SRG43" s="292"/>
      <c r="SRH43" s="292"/>
      <c r="SRI43" s="292"/>
      <c r="SRJ43" s="292"/>
      <c r="SRK43" s="292"/>
      <c r="SRL43" s="292"/>
      <c r="SRM43" s="292"/>
      <c r="SRN43" s="292"/>
      <c r="SRO43" s="292"/>
      <c r="SRP43" s="292"/>
      <c r="SRQ43" s="292"/>
      <c r="SRR43" s="292"/>
      <c r="SRS43" s="292"/>
      <c r="SRT43" s="292"/>
      <c r="SRU43" s="292"/>
      <c r="SRV43" s="292"/>
      <c r="SRW43" s="292"/>
      <c r="SRX43" s="292"/>
      <c r="SRY43" s="292"/>
      <c r="SRZ43" s="292"/>
      <c r="SSA43" s="292"/>
      <c r="SSB43" s="292"/>
      <c r="SSC43" s="292"/>
      <c r="SSD43" s="292"/>
      <c r="SSE43" s="292"/>
      <c r="SSF43" s="292"/>
      <c r="SSG43" s="292"/>
      <c r="SSH43" s="292"/>
      <c r="SSI43" s="292"/>
      <c r="SSJ43" s="292"/>
      <c r="SSK43" s="292"/>
      <c r="SSL43" s="292"/>
      <c r="SSM43" s="292"/>
      <c r="SSN43" s="292"/>
      <c r="SSO43" s="292"/>
      <c r="SSP43" s="292"/>
      <c r="SSQ43" s="292"/>
      <c r="SSR43" s="292"/>
      <c r="SSS43" s="292"/>
      <c r="SST43" s="292"/>
      <c r="SSU43" s="292"/>
      <c r="SSV43" s="292"/>
      <c r="SSW43" s="292"/>
      <c r="SSX43" s="292"/>
      <c r="SSY43" s="292"/>
      <c r="SSZ43" s="292"/>
      <c r="STA43" s="292"/>
      <c r="STB43" s="292"/>
      <c r="STC43" s="292"/>
      <c r="STD43" s="292"/>
      <c r="STE43" s="292"/>
      <c r="STF43" s="292"/>
      <c r="STG43" s="292"/>
      <c r="STH43" s="292"/>
      <c r="STI43" s="292"/>
      <c r="STJ43" s="292"/>
      <c r="STK43" s="292"/>
      <c r="STL43" s="292"/>
      <c r="STM43" s="292"/>
      <c r="STN43" s="292"/>
      <c r="STO43" s="292"/>
      <c r="STP43" s="292"/>
      <c r="STQ43" s="292"/>
      <c r="STR43" s="292"/>
      <c r="STS43" s="292"/>
      <c r="STT43" s="292"/>
      <c r="STU43" s="292"/>
      <c r="STV43" s="292"/>
      <c r="STW43" s="292"/>
      <c r="STX43" s="292"/>
      <c r="STY43" s="292"/>
      <c r="STZ43" s="292"/>
      <c r="SUA43" s="292"/>
      <c r="SUB43" s="292"/>
      <c r="SUC43" s="292"/>
      <c r="SUD43" s="292"/>
      <c r="SUE43" s="292"/>
      <c r="SUF43" s="292"/>
      <c r="SUG43" s="292"/>
      <c r="SUH43" s="292"/>
      <c r="SUI43" s="292"/>
      <c r="SUJ43" s="292"/>
      <c r="SUK43" s="292"/>
      <c r="SUL43" s="292"/>
      <c r="SUM43" s="292"/>
      <c r="SUN43" s="292"/>
      <c r="SUO43" s="292"/>
      <c r="SUP43" s="292"/>
      <c r="SUQ43" s="292"/>
      <c r="SUR43" s="292"/>
      <c r="SUS43" s="292"/>
      <c r="SUT43" s="292"/>
      <c r="SUU43" s="292"/>
      <c r="SUV43" s="292"/>
      <c r="SUW43" s="292"/>
      <c r="SUX43" s="292"/>
      <c r="SUY43" s="292"/>
      <c r="SUZ43" s="292"/>
      <c r="SVA43" s="292"/>
      <c r="SVB43" s="292"/>
      <c r="SVC43" s="292"/>
      <c r="SVD43" s="292"/>
      <c r="SVE43" s="292"/>
      <c r="SVF43" s="292"/>
      <c r="SVG43" s="292"/>
      <c r="SVH43" s="292"/>
      <c r="SVI43" s="292"/>
      <c r="SVJ43" s="292"/>
      <c r="SVK43" s="292"/>
      <c r="SVL43" s="292"/>
      <c r="SVM43" s="292"/>
      <c r="SVN43" s="292"/>
      <c r="SVO43" s="292"/>
      <c r="SVP43" s="292"/>
      <c r="SVQ43" s="292"/>
      <c r="SVR43" s="292"/>
      <c r="SVS43" s="292"/>
      <c r="SVT43" s="292"/>
      <c r="SVU43" s="292"/>
      <c r="SVV43" s="292"/>
      <c r="SVW43" s="292"/>
      <c r="SVX43" s="292"/>
      <c r="SVY43" s="292"/>
      <c r="SVZ43" s="292"/>
      <c r="SWA43" s="292"/>
      <c r="SWB43" s="292"/>
      <c r="SWC43" s="292"/>
      <c r="SWD43" s="292"/>
      <c r="SWE43" s="292"/>
      <c r="SWF43" s="292"/>
      <c r="SWG43" s="292"/>
      <c r="SWH43" s="292"/>
      <c r="SWI43" s="292"/>
      <c r="SWJ43" s="292"/>
      <c r="SWK43" s="292"/>
      <c r="SWL43" s="292"/>
      <c r="SWM43" s="292"/>
      <c r="SWN43" s="292"/>
      <c r="SWO43" s="292"/>
      <c r="SWP43" s="292"/>
      <c r="SWQ43" s="292"/>
      <c r="SWR43" s="292"/>
      <c r="SWS43" s="292"/>
      <c r="SWT43" s="292"/>
      <c r="SWU43" s="292"/>
      <c r="SWV43" s="292"/>
      <c r="SWW43" s="292"/>
      <c r="SWX43" s="292"/>
      <c r="SWY43" s="292"/>
      <c r="SWZ43" s="292"/>
      <c r="SXA43" s="292"/>
      <c r="SXB43" s="292"/>
      <c r="SXC43" s="292"/>
      <c r="SXD43" s="292"/>
      <c r="SXE43" s="292"/>
      <c r="SXF43" s="292"/>
      <c r="SXG43" s="292"/>
      <c r="SXH43" s="292"/>
      <c r="SXI43" s="292"/>
      <c r="SXJ43" s="292"/>
      <c r="SXK43" s="292"/>
      <c r="SXL43" s="292"/>
      <c r="SXM43" s="292"/>
      <c r="SXN43" s="292"/>
      <c r="SXO43" s="292"/>
      <c r="SXP43" s="292"/>
      <c r="SXQ43" s="292"/>
      <c r="SXR43" s="292"/>
      <c r="SXS43" s="292"/>
      <c r="SXT43" s="292"/>
      <c r="SXU43" s="292"/>
      <c r="SXV43" s="292"/>
      <c r="SXW43" s="292"/>
      <c r="SXX43" s="292"/>
      <c r="SXY43" s="292"/>
      <c r="SXZ43" s="292"/>
      <c r="SYA43" s="292"/>
      <c r="SYB43" s="292"/>
      <c r="SYC43" s="292"/>
      <c r="SYD43" s="292"/>
      <c r="SYE43" s="292"/>
      <c r="SYF43" s="292"/>
      <c r="SYG43" s="292"/>
      <c r="SYH43" s="292"/>
      <c r="SYI43" s="292"/>
      <c r="SYJ43" s="292"/>
      <c r="SYK43" s="292"/>
      <c r="SYL43" s="292"/>
      <c r="SYM43" s="292"/>
      <c r="SYN43" s="292"/>
      <c r="SYO43" s="292"/>
      <c r="SYP43" s="292"/>
      <c r="SYQ43" s="292"/>
      <c r="SYR43" s="292"/>
      <c r="SYS43" s="292"/>
      <c r="SYT43" s="292"/>
      <c r="SYU43" s="292"/>
      <c r="SYV43" s="292"/>
      <c r="SYW43" s="292"/>
      <c r="SYX43" s="292"/>
      <c r="SYY43" s="292"/>
      <c r="SYZ43" s="292"/>
      <c r="SZA43" s="292"/>
      <c r="SZB43" s="292"/>
      <c r="SZC43" s="292"/>
      <c r="SZD43" s="292"/>
      <c r="SZE43" s="292"/>
      <c r="SZF43" s="292"/>
      <c r="SZG43" s="292"/>
      <c r="SZH43" s="292"/>
      <c r="SZI43" s="292"/>
      <c r="SZJ43" s="292"/>
      <c r="SZK43" s="292"/>
      <c r="SZL43" s="292"/>
      <c r="SZM43" s="292"/>
      <c r="SZN43" s="292"/>
      <c r="SZO43" s="292"/>
      <c r="SZP43" s="292"/>
      <c r="SZQ43" s="292"/>
      <c r="SZR43" s="292"/>
      <c r="SZS43" s="292"/>
      <c r="SZT43" s="292"/>
      <c r="SZU43" s="292"/>
      <c r="SZV43" s="292"/>
      <c r="SZW43" s="292"/>
      <c r="SZX43" s="292"/>
      <c r="SZY43" s="292"/>
      <c r="SZZ43" s="292"/>
      <c r="TAA43" s="292"/>
      <c r="TAB43" s="292"/>
      <c r="TAC43" s="292"/>
      <c r="TAD43" s="292"/>
      <c r="TAE43" s="292"/>
      <c r="TAF43" s="292"/>
      <c r="TAG43" s="292"/>
      <c r="TAH43" s="292"/>
      <c r="TAI43" s="292"/>
      <c r="TAJ43" s="292"/>
      <c r="TAK43" s="292"/>
      <c r="TAL43" s="292"/>
      <c r="TAM43" s="292"/>
      <c r="TAN43" s="292"/>
      <c r="TAO43" s="292"/>
      <c r="TAP43" s="292"/>
      <c r="TAQ43" s="292"/>
      <c r="TAR43" s="292"/>
      <c r="TAS43" s="292"/>
      <c r="TAT43" s="292"/>
      <c r="TAU43" s="292"/>
      <c r="TAV43" s="292"/>
      <c r="TAW43" s="292"/>
      <c r="TAX43" s="292"/>
      <c r="TAY43" s="292"/>
      <c r="TAZ43" s="292"/>
      <c r="TBA43" s="292"/>
      <c r="TBB43" s="292"/>
      <c r="TBC43" s="292"/>
      <c r="TBD43" s="292"/>
      <c r="TBE43" s="292"/>
      <c r="TBF43" s="292"/>
      <c r="TBG43" s="292"/>
      <c r="TBH43" s="292"/>
      <c r="TBI43" s="292"/>
      <c r="TBJ43" s="292"/>
      <c r="TBK43" s="292"/>
      <c r="TBL43" s="292"/>
      <c r="TBM43" s="292"/>
      <c r="TBN43" s="292"/>
      <c r="TBO43" s="292"/>
      <c r="TBP43" s="292"/>
      <c r="TBQ43" s="292"/>
      <c r="TBR43" s="292"/>
      <c r="TBS43" s="292"/>
      <c r="TBT43" s="292"/>
      <c r="TBU43" s="292"/>
      <c r="TBV43" s="292"/>
      <c r="TBW43" s="292"/>
      <c r="TBX43" s="292"/>
      <c r="TBY43" s="292"/>
      <c r="TBZ43" s="292"/>
      <c r="TCA43" s="292"/>
      <c r="TCB43" s="292"/>
      <c r="TCC43" s="292"/>
      <c r="TCD43" s="292"/>
      <c r="TCE43" s="292"/>
      <c r="TCF43" s="292"/>
      <c r="TCG43" s="292"/>
      <c r="TCH43" s="292"/>
      <c r="TCI43" s="292"/>
      <c r="TCJ43" s="292"/>
      <c r="TCK43" s="292"/>
      <c r="TCL43" s="292"/>
      <c r="TCM43" s="292"/>
      <c r="TCN43" s="292"/>
      <c r="TCO43" s="292"/>
      <c r="TCP43" s="292"/>
      <c r="TCQ43" s="292"/>
      <c r="TCR43" s="292"/>
      <c r="TCS43" s="292"/>
      <c r="TCT43" s="292"/>
      <c r="TCU43" s="292"/>
      <c r="TCV43" s="292"/>
      <c r="TCW43" s="292"/>
      <c r="TCX43" s="292"/>
      <c r="TCY43" s="292"/>
      <c r="TCZ43" s="292"/>
      <c r="TDA43" s="292"/>
      <c r="TDB43" s="292"/>
      <c r="TDC43" s="292"/>
      <c r="TDD43" s="292"/>
      <c r="TDE43" s="292"/>
      <c r="TDF43" s="292"/>
      <c r="TDG43" s="292"/>
      <c r="TDH43" s="292"/>
      <c r="TDI43" s="292"/>
      <c r="TDJ43" s="292"/>
      <c r="TDK43" s="292"/>
      <c r="TDL43" s="292"/>
      <c r="TDM43" s="292"/>
      <c r="TDN43" s="292"/>
      <c r="TDO43" s="292"/>
      <c r="TDP43" s="292"/>
      <c r="TDQ43" s="292"/>
      <c r="TDR43" s="292"/>
      <c r="TDS43" s="292"/>
      <c r="TDT43" s="292"/>
      <c r="TDU43" s="292"/>
      <c r="TDV43" s="292"/>
      <c r="TDW43" s="292"/>
      <c r="TDX43" s="292"/>
      <c r="TDY43" s="292"/>
      <c r="TDZ43" s="292"/>
      <c r="TEA43" s="292"/>
      <c r="TEB43" s="292"/>
      <c r="TEC43" s="292"/>
      <c r="TED43" s="292"/>
      <c r="TEE43" s="292"/>
      <c r="TEF43" s="292"/>
      <c r="TEG43" s="292"/>
      <c r="TEH43" s="292"/>
      <c r="TEI43" s="292"/>
      <c r="TEJ43" s="292"/>
      <c r="TEK43" s="292"/>
      <c r="TEL43" s="292"/>
      <c r="TEM43" s="292"/>
      <c r="TEN43" s="292"/>
      <c r="TEO43" s="292"/>
      <c r="TEP43" s="292"/>
      <c r="TEQ43" s="292"/>
      <c r="TER43" s="292"/>
      <c r="TES43" s="292"/>
      <c r="TET43" s="292"/>
      <c r="TEU43" s="292"/>
      <c r="TEV43" s="292"/>
      <c r="TEW43" s="292"/>
      <c r="TEX43" s="292"/>
      <c r="TEY43" s="292"/>
      <c r="TEZ43" s="292"/>
      <c r="TFA43" s="292"/>
      <c r="TFB43" s="292"/>
      <c r="TFC43" s="292"/>
      <c r="TFD43" s="292"/>
      <c r="TFE43" s="292"/>
      <c r="TFF43" s="292"/>
      <c r="TFG43" s="292"/>
      <c r="TFH43" s="292"/>
      <c r="TFI43" s="292"/>
      <c r="TFJ43" s="292"/>
      <c r="TFK43" s="292"/>
      <c r="TFL43" s="292"/>
      <c r="TFM43" s="292"/>
      <c r="TFN43" s="292"/>
      <c r="TFO43" s="292"/>
      <c r="TFP43" s="292"/>
      <c r="TFQ43" s="292"/>
      <c r="TFR43" s="292"/>
      <c r="TFS43" s="292"/>
      <c r="TFT43" s="292"/>
      <c r="TFU43" s="292"/>
      <c r="TFV43" s="292"/>
      <c r="TFW43" s="292"/>
      <c r="TFX43" s="292"/>
      <c r="TFY43" s="292"/>
      <c r="TFZ43" s="292"/>
      <c r="TGA43" s="292"/>
      <c r="TGB43" s="292"/>
      <c r="TGC43" s="292"/>
      <c r="TGD43" s="292"/>
      <c r="TGE43" s="292"/>
      <c r="TGF43" s="292"/>
      <c r="TGG43" s="292"/>
      <c r="TGH43" s="292"/>
      <c r="TGI43" s="292"/>
      <c r="TGJ43" s="292"/>
      <c r="TGK43" s="292"/>
      <c r="TGL43" s="292"/>
      <c r="TGM43" s="292"/>
      <c r="TGN43" s="292"/>
      <c r="TGO43" s="292"/>
      <c r="TGP43" s="292"/>
      <c r="TGQ43" s="292"/>
      <c r="TGR43" s="292"/>
      <c r="TGS43" s="292"/>
      <c r="TGT43" s="292"/>
      <c r="TGU43" s="292"/>
      <c r="TGV43" s="292"/>
      <c r="TGW43" s="292"/>
      <c r="TGX43" s="292"/>
      <c r="TGY43" s="292"/>
      <c r="TGZ43" s="292"/>
      <c r="THA43" s="292"/>
      <c r="THB43" s="292"/>
      <c r="THC43" s="292"/>
      <c r="THD43" s="292"/>
      <c r="THE43" s="292"/>
      <c r="THF43" s="292"/>
      <c r="THG43" s="292"/>
      <c r="THH43" s="292"/>
      <c r="THI43" s="292"/>
      <c r="THJ43" s="292"/>
      <c r="THK43" s="292"/>
      <c r="THL43" s="292"/>
      <c r="THM43" s="292"/>
      <c r="THN43" s="292"/>
      <c r="THO43" s="292"/>
      <c r="THP43" s="292"/>
      <c r="THQ43" s="292"/>
      <c r="THR43" s="292"/>
      <c r="THS43" s="292"/>
      <c r="THT43" s="292"/>
      <c r="THU43" s="292"/>
      <c r="THV43" s="292"/>
      <c r="THW43" s="292"/>
      <c r="THX43" s="292"/>
      <c r="THY43" s="292"/>
      <c r="THZ43" s="292"/>
      <c r="TIA43" s="292"/>
      <c r="TIB43" s="292"/>
      <c r="TIC43" s="292"/>
      <c r="TID43" s="292"/>
      <c r="TIE43" s="292"/>
      <c r="TIF43" s="292"/>
      <c r="TIG43" s="292"/>
      <c r="TIH43" s="292"/>
      <c r="TII43" s="292"/>
      <c r="TIJ43" s="292"/>
      <c r="TIK43" s="292"/>
      <c r="TIL43" s="292"/>
      <c r="TIM43" s="292"/>
      <c r="TIN43" s="292"/>
      <c r="TIO43" s="292"/>
      <c r="TIP43" s="292"/>
      <c r="TIQ43" s="292"/>
      <c r="TIR43" s="292"/>
      <c r="TIS43" s="292"/>
      <c r="TIT43" s="292"/>
      <c r="TIU43" s="292"/>
      <c r="TIV43" s="292"/>
      <c r="TIW43" s="292"/>
      <c r="TIX43" s="292"/>
      <c r="TIY43" s="292"/>
      <c r="TIZ43" s="292"/>
      <c r="TJA43" s="292"/>
      <c r="TJB43" s="292"/>
      <c r="TJC43" s="292"/>
      <c r="TJD43" s="292"/>
      <c r="TJE43" s="292"/>
      <c r="TJF43" s="292"/>
      <c r="TJG43" s="292"/>
      <c r="TJH43" s="292"/>
      <c r="TJI43" s="292"/>
      <c r="TJJ43" s="292"/>
      <c r="TJK43" s="292"/>
      <c r="TJL43" s="292"/>
      <c r="TJM43" s="292"/>
      <c r="TJN43" s="292"/>
      <c r="TJO43" s="292"/>
      <c r="TJP43" s="292"/>
      <c r="TJQ43" s="292"/>
      <c r="TJR43" s="292"/>
      <c r="TJS43" s="292"/>
      <c r="TJT43" s="292"/>
      <c r="TJU43" s="292"/>
      <c r="TJV43" s="292"/>
      <c r="TJW43" s="292"/>
      <c r="TJX43" s="292"/>
      <c r="TJY43" s="292"/>
      <c r="TJZ43" s="292"/>
      <c r="TKA43" s="292"/>
      <c r="TKB43" s="292"/>
      <c r="TKC43" s="292"/>
      <c r="TKD43" s="292"/>
      <c r="TKE43" s="292"/>
      <c r="TKF43" s="292"/>
      <c r="TKG43" s="292"/>
      <c r="TKH43" s="292"/>
      <c r="TKI43" s="292"/>
      <c r="TKJ43" s="292"/>
      <c r="TKK43" s="292"/>
      <c r="TKL43" s="292"/>
      <c r="TKM43" s="292"/>
      <c r="TKN43" s="292"/>
      <c r="TKO43" s="292"/>
      <c r="TKP43" s="292"/>
      <c r="TKQ43" s="292"/>
      <c r="TKR43" s="292"/>
      <c r="TKS43" s="292"/>
      <c r="TKT43" s="292"/>
      <c r="TKU43" s="292"/>
      <c r="TKV43" s="292"/>
      <c r="TKW43" s="292"/>
      <c r="TKX43" s="292"/>
      <c r="TKY43" s="292"/>
      <c r="TKZ43" s="292"/>
      <c r="TLA43" s="292"/>
      <c r="TLB43" s="292"/>
      <c r="TLC43" s="292"/>
      <c r="TLD43" s="292"/>
      <c r="TLE43" s="292"/>
      <c r="TLF43" s="292"/>
      <c r="TLG43" s="292"/>
      <c r="TLH43" s="292"/>
      <c r="TLI43" s="292"/>
      <c r="TLJ43" s="292"/>
      <c r="TLK43" s="292"/>
      <c r="TLL43" s="292"/>
      <c r="TLM43" s="292"/>
      <c r="TLN43" s="292"/>
      <c r="TLO43" s="292"/>
      <c r="TLP43" s="292"/>
      <c r="TLQ43" s="292"/>
      <c r="TLR43" s="292"/>
      <c r="TLS43" s="292"/>
      <c r="TLT43" s="292"/>
      <c r="TLU43" s="292"/>
      <c r="TLV43" s="292"/>
      <c r="TLW43" s="292"/>
      <c r="TLX43" s="292"/>
      <c r="TLY43" s="292"/>
      <c r="TLZ43" s="292"/>
      <c r="TMA43" s="292"/>
      <c r="TMB43" s="292"/>
      <c r="TMC43" s="292"/>
      <c r="TMD43" s="292"/>
      <c r="TME43" s="292"/>
      <c r="TMF43" s="292"/>
      <c r="TMG43" s="292"/>
      <c r="TMH43" s="292"/>
      <c r="TMI43" s="292"/>
      <c r="TMJ43" s="292"/>
      <c r="TMK43" s="292"/>
      <c r="TML43" s="292"/>
      <c r="TMM43" s="292"/>
      <c r="TMN43" s="292"/>
      <c r="TMO43" s="292"/>
      <c r="TMP43" s="292"/>
      <c r="TMQ43" s="292"/>
      <c r="TMR43" s="292"/>
      <c r="TMS43" s="292"/>
      <c r="TMT43" s="292"/>
      <c r="TMU43" s="292"/>
      <c r="TMV43" s="292"/>
      <c r="TMW43" s="292"/>
      <c r="TMX43" s="292"/>
      <c r="TMY43" s="292"/>
      <c r="TMZ43" s="292"/>
      <c r="TNA43" s="292"/>
      <c r="TNB43" s="292"/>
      <c r="TNC43" s="292"/>
      <c r="TND43" s="292"/>
      <c r="TNE43" s="292"/>
      <c r="TNF43" s="292"/>
      <c r="TNG43" s="292"/>
      <c r="TNH43" s="292"/>
      <c r="TNI43" s="292"/>
      <c r="TNJ43" s="292"/>
      <c r="TNK43" s="292"/>
      <c r="TNL43" s="292"/>
      <c r="TNM43" s="292"/>
      <c r="TNN43" s="292"/>
      <c r="TNO43" s="292"/>
      <c r="TNP43" s="292"/>
      <c r="TNQ43" s="292"/>
      <c r="TNR43" s="292"/>
      <c r="TNS43" s="292"/>
      <c r="TNT43" s="292"/>
      <c r="TNU43" s="292"/>
      <c r="TNV43" s="292"/>
      <c r="TNW43" s="292"/>
      <c r="TNX43" s="292"/>
      <c r="TNY43" s="292"/>
      <c r="TNZ43" s="292"/>
      <c r="TOA43" s="292"/>
      <c r="TOB43" s="292"/>
      <c r="TOC43" s="292"/>
      <c r="TOD43" s="292"/>
      <c r="TOE43" s="292"/>
      <c r="TOF43" s="292"/>
      <c r="TOG43" s="292"/>
      <c r="TOH43" s="292"/>
      <c r="TOI43" s="292"/>
      <c r="TOJ43" s="292"/>
      <c r="TOK43" s="292"/>
      <c r="TOL43" s="292"/>
      <c r="TOM43" s="292"/>
      <c r="TON43" s="292"/>
      <c r="TOO43" s="292"/>
      <c r="TOP43" s="292"/>
      <c r="TOQ43" s="292"/>
      <c r="TOR43" s="292"/>
      <c r="TOS43" s="292"/>
      <c r="TOT43" s="292"/>
      <c r="TOU43" s="292"/>
      <c r="TOV43" s="292"/>
      <c r="TOW43" s="292"/>
      <c r="TOX43" s="292"/>
      <c r="TOY43" s="292"/>
      <c r="TOZ43" s="292"/>
      <c r="TPA43" s="292"/>
      <c r="TPB43" s="292"/>
      <c r="TPC43" s="292"/>
      <c r="TPD43" s="292"/>
      <c r="TPE43" s="292"/>
      <c r="TPF43" s="292"/>
      <c r="TPG43" s="292"/>
      <c r="TPH43" s="292"/>
      <c r="TPI43" s="292"/>
      <c r="TPJ43" s="292"/>
      <c r="TPK43" s="292"/>
      <c r="TPL43" s="292"/>
      <c r="TPM43" s="292"/>
      <c r="TPN43" s="292"/>
      <c r="TPO43" s="292"/>
      <c r="TPP43" s="292"/>
      <c r="TPQ43" s="292"/>
      <c r="TPR43" s="292"/>
      <c r="TPS43" s="292"/>
      <c r="TPT43" s="292"/>
      <c r="TPU43" s="292"/>
      <c r="TPV43" s="292"/>
      <c r="TPW43" s="292"/>
      <c r="TPX43" s="292"/>
      <c r="TPY43" s="292"/>
      <c r="TPZ43" s="292"/>
      <c r="TQA43" s="292"/>
      <c r="TQB43" s="292"/>
      <c r="TQC43" s="292"/>
      <c r="TQD43" s="292"/>
      <c r="TQE43" s="292"/>
      <c r="TQF43" s="292"/>
      <c r="TQG43" s="292"/>
      <c r="TQH43" s="292"/>
      <c r="TQI43" s="292"/>
      <c r="TQJ43" s="292"/>
      <c r="TQK43" s="292"/>
      <c r="TQL43" s="292"/>
      <c r="TQM43" s="292"/>
      <c r="TQN43" s="292"/>
      <c r="TQO43" s="292"/>
      <c r="TQP43" s="292"/>
      <c r="TQQ43" s="292"/>
      <c r="TQR43" s="292"/>
      <c r="TQS43" s="292"/>
      <c r="TQT43" s="292"/>
      <c r="TQU43" s="292"/>
      <c r="TQV43" s="292"/>
      <c r="TQW43" s="292"/>
      <c r="TQX43" s="292"/>
      <c r="TQY43" s="292"/>
      <c r="TQZ43" s="292"/>
      <c r="TRA43" s="292"/>
      <c r="TRB43" s="292"/>
      <c r="TRC43" s="292"/>
      <c r="TRD43" s="292"/>
      <c r="TRE43" s="292"/>
      <c r="TRF43" s="292"/>
      <c r="TRG43" s="292"/>
      <c r="TRH43" s="292"/>
      <c r="TRI43" s="292"/>
      <c r="TRJ43" s="292"/>
      <c r="TRK43" s="292"/>
      <c r="TRL43" s="292"/>
      <c r="TRM43" s="292"/>
      <c r="TRN43" s="292"/>
      <c r="TRO43" s="292"/>
      <c r="TRP43" s="292"/>
      <c r="TRQ43" s="292"/>
      <c r="TRR43" s="292"/>
      <c r="TRS43" s="292"/>
      <c r="TRT43" s="292"/>
      <c r="TRU43" s="292"/>
      <c r="TRV43" s="292"/>
      <c r="TRW43" s="292"/>
      <c r="TRX43" s="292"/>
      <c r="TRY43" s="292"/>
      <c r="TRZ43" s="292"/>
      <c r="TSA43" s="292"/>
      <c r="TSB43" s="292"/>
      <c r="TSC43" s="292"/>
      <c r="TSD43" s="292"/>
      <c r="TSE43" s="292"/>
      <c r="TSF43" s="292"/>
      <c r="TSG43" s="292"/>
      <c r="TSH43" s="292"/>
      <c r="TSI43" s="292"/>
      <c r="TSJ43" s="292"/>
      <c r="TSK43" s="292"/>
      <c r="TSL43" s="292"/>
      <c r="TSM43" s="292"/>
      <c r="TSN43" s="292"/>
      <c r="TSO43" s="292"/>
      <c r="TSP43" s="292"/>
      <c r="TSQ43" s="292"/>
      <c r="TSR43" s="292"/>
      <c r="TSS43" s="292"/>
      <c r="TST43" s="292"/>
      <c r="TSU43" s="292"/>
      <c r="TSV43" s="292"/>
      <c r="TSW43" s="292"/>
      <c r="TSX43" s="292"/>
      <c r="TSY43" s="292"/>
      <c r="TSZ43" s="292"/>
      <c r="TTA43" s="292"/>
      <c r="TTB43" s="292"/>
      <c r="TTC43" s="292"/>
      <c r="TTD43" s="292"/>
      <c r="TTE43" s="292"/>
      <c r="TTF43" s="292"/>
      <c r="TTG43" s="292"/>
      <c r="TTH43" s="292"/>
      <c r="TTI43" s="292"/>
      <c r="TTJ43" s="292"/>
      <c r="TTK43" s="292"/>
      <c r="TTL43" s="292"/>
      <c r="TTM43" s="292"/>
      <c r="TTN43" s="292"/>
      <c r="TTO43" s="292"/>
      <c r="TTP43" s="292"/>
      <c r="TTQ43" s="292"/>
      <c r="TTR43" s="292"/>
      <c r="TTS43" s="292"/>
      <c r="TTT43" s="292"/>
      <c r="TTU43" s="292"/>
      <c r="TTV43" s="292"/>
      <c r="TTW43" s="292"/>
      <c r="TTX43" s="292"/>
      <c r="TTY43" s="292"/>
      <c r="TTZ43" s="292"/>
      <c r="TUA43" s="292"/>
      <c r="TUB43" s="292"/>
      <c r="TUC43" s="292"/>
      <c r="TUD43" s="292"/>
      <c r="TUE43" s="292"/>
      <c r="TUF43" s="292"/>
      <c r="TUG43" s="292"/>
      <c r="TUH43" s="292"/>
      <c r="TUI43" s="292"/>
      <c r="TUJ43" s="292"/>
      <c r="TUK43" s="292"/>
      <c r="TUL43" s="292"/>
      <c r="TUM43" s="292"/>
      <c r="TUN43" s="292"/>
      <c r="TUO43" s="292"/>
      <c r="TUP43" s="292"/>
      <c r="TUQ43" s="292"/>
      <c r="TUR43" s="292"/>
      <c r="TUS43" s="292"/>
      <c r="TUT43" s="292"/>
      <c r="TUU43" s="292"/>
      <c r="TUV43" s="292"/>
      <c r="TUW43" s="292"/>
      <c r="TUX43" s="292"/>
      <c r="TUY43" s="292"/>
      <c r="TUZ43" s="292"/>
      <c r="TVA43" s="292"/>
      <c r="TVB43" s="292"/>
      <c r="TVC43" s="292"/>
      <c r="TVD43" s="292"/>
      <c r="TVE43" s="292"/>
      <c r="TVF43" s="292"/>
      <c r="TVG43" s="292"/>
      <c r="TVH43" s="292"/>
      <c r="TVI43" s="292"/>
      <c r="TVJ43" s="292"/>
      <c r="TVK43" s="292"/>
      <c r="TVL43" s="292"/>
      <c r="TVM43" s="292"/>
      <c r="TVN43" s="292"/>
      <c r="TVO43" s="292"/>
      <c r="TVP43" s="292"/>
      <c r="TVQ43" s="292"/>
      <c r="TVR43" s="292"/>
      <c r="TVS43" s="292"/>
      <c r="TVT43" s="292"/>
      <c r="TVU43" s="292"/>
      <c r="TVV43" s="292"/>
      <c r="TVW43" s="292"/>
      <c r="TVX43" s="292"/>
      <c r="TVY43" s="292"/>
      <c r="TVZ43" s="292"/>
      <c r="TWA43" s="292"/>
      <c r="TWB43" s="292"/>
      <c r="TWC43" s="292"/>
      <c r="TWD43" s="292"/>
      <c r="TWE43" s="292"/>
      <c r="TWF43" s="292"/>
      <c r="TWG43" s="292"/>
      <c r="TWH43" s="292"/>
      <c r="TWI43" s="292"/>
      <c r="TWJ43" s="292"/>
      <c r="TWK43" s="292"/>
      <c r="TWL43" s="292"/>
      <c r="TWM43" s="292"/>
      <c r="TWN43" s="292"/>
      <c r="TWO43" s="292"/>
      <c r="TWP43" s="292"/>
      <c r="TWQ43" s="292"/>
      <c r="TWR43" s="292"/>
      <c r="TWS43" s="292"/>
      <c r="TWT43" s="292"/>
      <c r="TWU43" s="292"/>
      <c r="TWV43" s="292"/>
      <c r="TWW43" s="292"/>
      <c r="TWX43" s="292"/>
      <c r="TWY43" s="292"/>
      <c r="TWZ43" s="292"/>
      <c r="TXA43" s="292"/>
      <c r="TXB43" s="292"/>
      <c r="TXC43" s="292"/>
      <c r="TXD43" s="292"/>
      <c r="TXE43" s="292"/>
      <c r="TXF43" s="292"/>
      <c r="TXG43" s="292"/>
      <c r="TXH43" s="292"/>
      <c r="TXI43" s="292"/>
      <c r="TXJ43" s="292"/>
      <c r="TXK43" s="292"/>
      <c r="TXL43" s="292"/>
      <c r="TXM43" s="292"/>
      <c r="TXN43" s="292"/>
      <c r="TXO43" s="292"/>
      <c r="TXP43" s="292"/>
      <c r="TXQ43" s="292"/>
      <c r="TXR43" s="292"/>
      <c r="TXS43" s="292"/>
      <c r="TXT43" s="292"/>
      <c r="TXU43" s="292"/>
      <c r="TXV43" s="292"/>
      <c r="TXW43" s="292"/>
      <c r="TXX43" s="292"/>
      <c r="TXY43" s="292"/>
      <c r="TXZ43" s="292"/>
      <c r="TYA43" s="292"/>
      <c r="TYB43" s="292"/>
      <c r="TYC43" s="292"/>
      <c r="TYD43" s="292"/>
      <c r="TYE43" s="292"/>
      <c r="TYF43" s="292"/>
      <c r="TYG43" s="292"/>
      <c r="TYH43" s="292"/>
      <c r="TYI43" s="292"/>
      <c r="TYJ43" s="292"/>
      <c r="TYK43" s="292"/>
      <c r="TYL43" s="292"/>
      <c r="TYM43" s="292"/>
      <c r="TYN43" s="292"/>
      <c r="TYO43" s="292"/>
      <c r="TYP43" s="292"/>
      <c r="TYQ43" s="292"/>
      <c r="TYR43" s="292"/>
      <c r="TYS43" s="292"/>
      <c r="TYT43" s="292"/>
      <c r="TYU43" s="292"/>
      <c r="TYV43" s="292"/>
      <c r="TYW43" s="292"/>
      <c r="TYX43" s="292"/>
      <c r="TYY43" s="292"/>
      <c r="TYZ43" s="292"/>
      <c r="TZA43" s="292"/>
      <c r="TZB43" s="292"/>
      <c r="TZC43" s="292"/>
      <c r="TZD43" s="292"/>
      <c r="TZE43" s="292"/>
      <c r="TZF43" s="292"/>
      <c r="TZG43" s="292"/>
      <c r="TZH43" s="292"/>
      <c r="TZI43" s="292"/>
      <c r="TZJ43" s="292"/>
      <c r="TZK43" s="292"/>
      <c r="TZL43" s="292"/>
      <c r="TZM43" s="292"/>
      <c r="TZN43" s="292"/>
      <c r="TZO43" s="292"/>
      <c r="TZP43" s="292"/>
      <c r="TZQ43" s="292"/>
      <c r="TZR43" s="292"/>
      <c r="TZS43" s="292"/>
      <c r="TZT43" s="292"/>
      <c r="TZU43" s="292"/>
      <c r="TZV43" s="292"/>
      <c r="TZW43" s="292"/>
      <c r="TZX43" s="292"/>
      <c r="TZY43" s="292"/>
      <c r="TZZ43" s="292"/>
      <c r="UAA43" s="292"/>
      <c r="UAB43" s="292"/>
      <c r="UAC43" s="292"/>
      <c r="UAD43" s="292"/>
      <c r="UAE43" s="292"/>
      <c r="UAF43" s="292"/>
      <c r="UAG43" s="292"/>
      <c r="UAH43" s="292"/>
      <c r="UAI43" s="292"/>
      <c r="UAJ43" s="292"/>
      <c r="UAK43" s="292"/>
      <c r="UAL43" s="292"/>
      <c r="UAM43" s="292"/>
      <c r="UAN43" s="292"/>
      <c r="UAO43" s="292"/>
      <c r="UAP43" s="292"/>
      <c r="UAQ43" s="292"/>
      <c r="UAR43" s="292"/>
      <c r="UAS43" s="292"/>
      <c r="UAT43" s="292"/>
      <c r="UAU43" s="292"/>
      <c r="UAV43" s="292"/>
      <c r="UAW43" s="292"/>
      <c r="UAX43" s="292"/>
      <c r="UAY43" s="292"/>
      <c r="UAZ43" s="292"/>
      <c r="UBA43" s="292"/>
      <c r="UBB43" s="292"/>
      <c r="UBC43" s="292"/>
      <c r="UBD43" s="292"/>
      <c r="UBE43" s="292"/>
      <c r="UBF43" s="292"/>
      <c r="UBG43" s="292"/>
      <c r="UBH43" s="292"/>
      <c r="UBI43" s="292"/>
      <c r="UBJ43" s="292"/>
      <c r="UBK43" s="292"/>
      <c r="UBL43" s="292"/>
      <c r="UBM43" s="292"/>
      <c r="UBN43" s="292"/>
      <c r="UBO43" s="292"/>
      <c r="UBP43" s="292"/>
      <c r="UBQ43" s="292"/>
      <c r="UBR43" s="292"/>
      <c r="UBS43" s="292"/>
      <c r="UBT43" s="292"/>
      <c r="UBU43" s="292"/>
      <c r="UBV43" s="292"/>
      <c r="UBW43" s="292"/>
      <c r="UBX43" s="292"/>
      <c r="UBY43" s="292"/>
      <c r="UBZ43" s="292"/>
      <c r="UCA43" s="292"/>
      <c r="UCB43" s="292"/>
      <c r="UCC43" s="292"/>
      <c r="UCD43" s="292"/>
      <c r="UCE43" s="292"/>
      <c r="UCF43" s="292"/>
      <c r="UCG43" s="292"/>
      <c r="UCH43" s="292"/>
      <c r="UCI43" s="292"/>
      <c r="UCJ43" s="292"/>
      <c r="UCK43" s="292"/>
      <c r="UCL43" s="292"/>
      <c r="UCM43" s="292"/>
      <c r="UCN43" s="292"/>
      <c r="UCO43" s="292"/>
      <c r="UCP43" s="292"/>
      <c r="UCQ43" s="292"/>
      <c r="UCR43" s="292"/>
      <c r="UCS43" s="292"/>
      <c r="UCT43" s="292"/>
      <c r="UCU43" s="292"/>
      <c r="UCV43" s="292"/>
      <c r="UCW43" s="292"/>
      <c r="UCX43" s="292"/>
      <c r="UCY43" s="292"/>
      <c r="UCZ43" s="292"/>
      <c r="UDA43" s="292"/>
      <c r="UDB43" s="292"/>
      <c r="UDC43" s="292"/>
      <c r="UDD43" s="292"/>
      <c r="UDE43" s="292"/>
      <c r="UDF43" s="292"/>
      <c r="UDG43" s="292"/>
      <c r="UDH43" s="292"/>
      <c r="UDI43" s="292"/>
      <c r="UDJ43" s="292"/>
      <c r="UDK43" s="292"/>
      <c r="UDL43" s="292"/>
      <c r="UDM43" s="292"/>
      <c r="UDN43" s="292"/>
      <c r="UDO43" s="292"/>
      <c r="UDP43" s="292"/>
      <c r="UDQ43" s="292"/>
      <c r="UDR43" s="292"/>
      <c r="UDS43" s="292"/>
      <c r="UDT43" s="292"/>
      <c r="UDU43" s="292"/>
      <c r="UDV43" s="292"/>
      <c r="UDW43" s="292"/>
      <c r="UDX43" s="292"/>
      <c r="UDY43" s="292"/>
      <c r="UDZ43" s="292"/>
      <c r="UEA43" s="292"/>
      <c r="UEB43" s="292"/>
      <c r="UEC43" s="292"/>
      <c r="UED43" s="292"/>
      <c r="UEE43" s="292"/>
      <c r="UEF43" s="292"/>
      <c r="UEG43" s="292"/>
      <c r="UEH43" s="292"/>
      <c r="UEI43" s="292"/>
      <c r="UEJ43" s="292"/>
      <c r="UEK43" s="292"/>
      <c r="UEL43" s="292"/>
      <c r="UEM43" s="292"/>
      <c r="UEN43" s="292"/>
      <c r="UEO43" s="292"/>
      <c r="UEP43" s="292"/>
      <c r="UEQ43" s="292"/>
      <c r="UER43" s="292"/>
      <c r="UES43" s="292"/>
      <c r="UET43" s="292"/>
      <c r="UEU43" s="292"/>
      <c r="UEV43" s="292"/>
      <c r="UEW43" s="292"/>
      <c r="UEX43" s="292"/>
      <c r="UEY43" s="292"/>
      <c r="UEZ43" s="292"/>
      <c r="UFA43" s="292"/>
      <c r="UFB43" s="292"/>
      <c r="UFC43" s="292"/>
      <c r="UFD43" s="292"/>
      <c r="UFE43" s="292"/>
      <c r="UFF43" s="292"/>
      <c r="UFG43" s="292"/>
      <c r="UFH43" s="292"/>
      <c r="UFI43" s="292"/>
      <c r="UFJ43" s="292"/>
      <c r="UFK43" s="292"/>
      <c r="UFL43" s="292"/>
      <c r="UFM43" s="292"/>
      <c r="UFN43" s="292"/>
      <c r="UFO43" s="292"/>
      <c r="UFP43" s="292"/>
      <c r="UFQ43" s="292"/>
      <c r="UFR43" s="292"/>
      <c r="UFS43" s="292"/>
      <c r="UFT43" s="292"/>
      <c r="UFU43" s="292"/>
      <c r="UFV43" s="292"/>
      <c r="UFW43" s="292"/>
      <c r="UFX43" s="292"/>
      <c r="UFY43" s="292"/>
      <c r="UFZ43" s="292"/>
      <c r="UGA43" s="292"/>
      <c r="UGB43" s="292"/>
      <c r="UGC43" s="292"/>
      <c r="UGD43" s="292"/>
      <c r="UGE43" s="292"/>
      <c r="UGF43" s="292"/>
      <c r="UGG43" s="292"/>
      <c r="UGH43" s="292"/>
      <c r="UGI43" s="292"/>
      <c r="UGJ43" s="292"/>
      <c r="UGK43" s="292"/>
      <c r="UGL43" s="292"/>
      <c r="UGM43" s="292"/>
      <c r="UGN43" s="292"/>
      <c r="UGO43" s="292"/>
      <c r="UGP43" s="292"/>
      <c r="UGQ43" s="292"/>
      <c r="UGR43" s="292"/>
      <c r="UGS43" s="292"/>
      <c r="UGT43" s="292"/>
      <c r="UGU43" s="292"/>
      <c r="UGV43" s="292"/>
      <c r="UGW43" s="292"/>
      <c r="UGX43" s="292"/>
      <c r="UGY43" s="292"/>
      <c r="UGZ43" s="292"/>
      <c r="UHA43" s="292"/>
      <c r="UHB43" s="292"/>
      <c r="UHC43" s="292"/>
      <c r="UHD43" s="292"/>
      <c r="UHE43" s="292"/>
      <c r="UHF43" s="292"/>
      <c r="UHG43" s="292"/>
      <c r="UHH43" s="292"/>
      <c r="UHI43" s="292"/>
      <c r="UHJ43" s="292"/>
      <c r="UHK43" s="292"/>
      <c r="UHL43" s="292"/>
      <c r="UHM43" s="292"/>
      <c r="UHN43" s="292"/>
      <c r="UHO43" s="292"/>
      <c r="UHP43" s="292"/>
      <c r="UHQ43" s="292"/>
      <c r="UHR43" s="292"/>
      <c r="UHS43" s="292"/>
      <c r="UHT43" s="292"/>
      <c r="UHU43" s="292"/>
      <c r="UHV43" s="292"/>
      <c r="UHW43" s="292"/>
      <c r="UHX43" s="292"/>
      <c r="UHY43" s="292"/>
      <c r="UHZ43" s="292"/>
      <c r="UIA43" s="292"/>
      <c r="UIB43" s="292"/>
      <c r="UIC43" s="292"/>
      <c r="UID43" s="292"/>
      <c r="UIE43" s="292"/>
      <c r="UIF43" s="292"/>
      <c r="UIG43" s="292"/>
      <c r="UIH43" s="292"/>
      <c r="UII43" s="292"/>
      <c r="UIJ43" s="292"/>
      <c r="UIK43" s="292"/>
      <c r="UIL43" s="292"/>
      <c r="UIM43" s="292"/>
      <c r="UIN43" s="292"/>
      <c r="UIO43" s="292"/>
      <c r="UIP43" s="292"/>
      <c r="UIQ43" s="292"/>
      <c r="UIR43" s="292"/>
      <c r="UIS43" s="292"/>
      <c r="UIT43" s="292"/>
      <c r="UIU43" s="292"/>
      <c r="UIV43" s="292"/>
      <c r="UIW43" s="292"/>
      <c r="UIX43" s="292"/>
      <c r="UIY43" s="292"/>
      <c r="UIZ43" s="292"/>
      <c r="UJA43" s="292"/>
      <c r="UJB43" s="292"/>
      <c r="UJC43" s="292"/>
      <c r="UJD43" s="292"/>
      <c r="UJE43" s="292"/>
      <c r="UJF43" s="292"/>
      <c r="UJG43" s="292"/>
      <c r="UJH43" s="292"/>
      <c r="UJI43" s="292"/>
      <c r="UJJ43" s="292"/>
      <c r="UJK43" s="292"/>
      <c r="UJL43" s="292"/>
      <c r="UJM43" s="292"/>
      <c r="UJN43" s="292"/>
      <c r="UJO43" s="292"/>
      <c r="UJP43" s="292"/>
      <c r="UJQ43" s="292"/>
      <c r="UJR43" s="292"/>
      <c r="UJS43" s="292"/>
      <c r="UJT43" s="292"/>
      <c r="UJU43" s="292"/>
      <c r="UJV43" s="292"/>
      <c r="UJW43" s="292"/>
      <c r="UJX43" s="292"/>
      <c r="UJY43" s="292"/>
      <c r="UJZ43" s="292"/>
      <c r="UKA43" s="292"/>
      <c r="UKB43" s="292"/>
      <c r="UKC43" s="292"/>
      <c r="UKD43" s="292"/>
      <c r="UKE43" s="292"/>
      <c r="UKF43" s="292"/>
      <c r="UKG43" s="292"/>
      <c r="UKH43" s="292"/>
      <c r="UKI43" s="292"/>
      <c r="UKJ43" s="292"/>
      <c r="UKK43" s="292"/>
      <c r="UKL43" s="292"/>
      <c r="UKM43" s="292"/>
      <c r="UKN43" s="292"/>
      <c r="UKO43" s="292"/>
      <c r="UKP43" s="292"/>
      <c r="UKQ43" s="292"/>
      <c r="UKR43" s="292"/>
      <c r="UKS43" s="292"/>
      <c r="UKT43" s="292"/>
      <c r="UKU43" s="292"/>
      <c r="UKV43" s="292"/>
      <c r="UKW43" s="292"/>
      <c r="UKX43" s="292"/>
      <c r="UKY43" s="292"/>
      <c r="UKZ43" s="292"/>
      <c r="ULA43" s="292"/>
      <c r="ULB43" s="292"/>
      <c r="ULC43" s="292"/>
      <c r="ULD43" s="292"/>
      <c r="ULE43" s="292"/>
      <c r="ULF43" s="292"/>
      <c r="ULG43" s="292"/>
      <c r="ULH43" s="292"/>
      <c r="ULI43" s="292"/>
      <c r="ULJ43" s="292"/>
      <c r="ULK43" s="292"/>
      <c r="ULL43" s="292"/>
      <c r="ULM43" s="292"/>
      <c r="ULN43" s="292"/>
      <c r="ULO43" s="292"/>
      <c r="ULP43" s="292"/>
      <c r="ULQ43" s="292"/>
      <c r="ULR43" s="292"/>
      <c r="ULS43" s="292"/>
      <c r="ULT43" s="292"/>
      <c r="ULU43" s="292"/>
      <c r="ULV43" s="292"/>
      <c r="ULW43" s="292"/>
      <c r="ULX43" s="292"/>
      <c r="ULY43" s="292"/>
      <c r="ULZ43" s="292"/>
      <c r="UMA43" s="292"/>
      <c r="UMB43" s="292"/>
      <c r="UMC43" s="292"/>
      <c r="UMD43" s="292"/>
      <c r="UME43" s="292"/>
      <c r="UMF43" s="292"/>
      <c r="UMG43" s="292"/>
      <c r="UMH43" s="292"/>
      <c r="UMI43" s="292"/>
      <c r="UMJ43" s="292"/>
      <c r="UMK43" s="292"/>
      <c r="UML43" s="292"/>
      <c r="UMM43" s="292"/>
      <c r="UMN43" s="292"/>
      <c r="UMO43" s="292"/>
      <c r="UMP43" s="292"/>
      <c r="UMQ43" s="292"/>
      <c r="UMR43" s="292"/>
      <c r="UMS43" s="292"/>
      <c r="UMT43" s="292"/>
      <c r="UMU43" s="292"/>
      <c r="UMV43" s="292"/>
      <c r="UMW43" s="292"/>
      <c r="UMX43" s="292"/>
      <c r="UMY43" s="292"/>
      <c r="UMZ43" s="292"/>
      <c r="UNA43" s="292"/>
      <c r="UNB43" s="292"/>
      <c r="UNC43" s="292"/>
      <c r="UND43" s="292"/>
      <c r="UNE43" s="292"/>
      <c r="UNF43" s="292"/>
      <c r="UNG43" s="292"/>
      <c r="UNH43" s="292"/>
      <c r="UNI43" s="292"/>
      <c r="UNJ43" s="292"/>
      <c r="UNK43" s="292"/>
      <c r="UNL43" s="292"/>
      <c r="UNM43" s="292"/>
      <c r="UNN43" s="292"/>
      <c r="UNO43" s="292"/>
      <c r="UNP43" s="292"/>
      <c r="UNQ43" s="292"/>
      <c r="UNR43" s="292"/>
      <c r="UNS43" s="292"/>
      <c r="UNT43" s="292"/>
      <c r="UNU43" s="292"/>
      <c r="UNV43" s="292"/>
      <c r="UNW43" s="292"/>
      <c r="UNX43" s="292"/>
      <c r="UNY43" s="292"/>
      <c r="UNZ43" s="292"/>
      <c r="UOA43" s="292"/>
      <c r="UOB43" s="292"/>
      <c r="UOC43" s="292"/>
      <c r="UOD43" s="292"/>
      <c r="UOE43" s="292"/>
      <c r="UOF43" s="292"/>
      <c r="UOG43" s="292"/>
      <c r="UOH43" s="292"/>
      <c r="UOI43" s="292"/>
      <c r="UOJ43" s="292"/>
      <c r="UOK43" s="292"/>
      <c r="UOL43" s="292"/>
      <c r="UOM43" s="292"/>
      <c r="UON43" s="292"/>
      <c r="UOO43" s="292"/>
      <c r="UOP43" s="292"/>
      <c r="UOQ43" s="292"/>
      <c r="UOR43" s="292"/>
      <c r="UOS43" s="292"/>
      <c r="UOT43" s="292"/>
      <c r="UOU43" s="292"/>
      <c r="UOV43" s="292"/>
      <c r="UOW43" s="292"/>
      <c r="UOX43" s="292"/>
      <c r="UOY43" s="292"/>
      <c r="UOZ43" s="292"/>
      <c r="UPA43" s="292"/>
      <c r="UPB43" s="292"/>
      <c r="UPC43" s="292"/>
      <c r="UPD43" s="292"/>
      <c r="UPE43" s="292"/>
      <c r="UPF43" s="292"/>
      <c r="UPG43" s="292"/>
      <c r="UPH43" s="292"/>
      <c r="UPI43" s="292"/>
      <c r="UPJ43" s="292"/>
      <c r="UPK43" s="292"/>
      <c r="UPL43" s="292"/>
      <c r="UPM43" s="292"/>
      <c r="UPN43" s="292"/>
      <c r="UPO43" s="292"/>
      <c r="UPP43" s="292"/>
      <c r="UPQ43" s="292"/>
      <c r="UPR43" s="292"/>
      <c r="UPS43" s="292"/>
      <c r="UPT43" s="292"/>
      <c r="UPU43" s="292"/>
      <c r="UPV43" s="292"/>
      <c r="UPW43" s="292"/>
      <c r="UPX43" s="292"/>
      <c r="UPY43" s="292"/>
      <c r="UPZ43" s="292"/>
      <c r="UQA43" s="292"/>
      <c r="UQB43" s="292"/>
      <c r="UQC43" s="292"/>
      <c r="UQD43" s="292"/>
      <c r="UQE43" s="292"/>
      <c r="UQF43" s="292"/>
      <c r="UQG43" s="292"/>
      <c r="UQH43" s="292"/>
      <c r="UQI43" s="292"/>
      <c r="UQJ43" s="292"/>
      <c r="UQK43" s="292"/>
      <c r="UQL43" s="292"/>
      <c r="UQM43" s="292"/>
      <c r="UQN43" s="292"/>
      <c r="UQO43" s="292"/>
      <c r="UQP43" s="292"/>
      <c r="UQQ43" s="292"/>
      <c r="UQR43" s="292"/>
      <c r="UQS43" s="292"/>
      <c r="UQT43" s="292"/>
      <c r="UQU43" s="292"/>
      <c r="UQV43" s="292"/>
      <c r="UQW43" s="292"/>
      <c r="UQX43" s="292"/>
      <c r="UQY43" s="292"/>
      <c r="UQZ43" s="292"/>
      <c r="URA43" s="292"/>
      <c r="URB43" s="292"/>
      <c r="URC43" s="292"/>
      <c r="URD43" s="292"/>
      <c r="URE43" s="292"/>
      <c r="URF43" s="292"/>
      <c r="URG43" s="292"/>
      <c r="URH43" s="292"/>
      <c r="URI43" s="292"/>
      <c r="URJ43" s="292"/>
      <c r="URK43" s="292"/>
      <c r="URL43" s="292"/>
      <c r="URM43" s="292"/>
      <c r="URN43" s="292"/>
      <c r="URO43" s="292"/>
      <c r="URP43" s="292"/>
      <c r="URQ43" s="292"/>
      <c r="URR43" s="292"/>
      <c r="URS43" s="292"/>
      <c r="URT43" s="292"/>
      <c r="URU43" s="292"/>
      <c r="URV43" s="292"/>
      <c r="URW43" s="292"/>
      <c r="URX43" s="292"/>
      <c r="URY43" s="292"/>
      <c r="URZ43" s="292"/>
      <c r="USA43" s="292"/>
      <c r="USB43" s="292"/>
      <c r="USC43" s="292"/>
      <c r="USD43" s="292"/>
      <c r="USE43" s="292"/>
      <c r="USF43" s="292"/>
      <c r="USG43" s="292"/>
      <c r="USH43" s="292"/>
      <c r="USI43" s="292"/>
      <c r="USJ43" s="292"/>
      <c r="USK43" s="292"/>
      <c r="USL43" s="292"/>
      <c r="USM43" s="292"/>
      <c r="USN43" s="292"/>
      <c r="USO43" s="292"/>
      <c r="USP43" s="292"/>
      <c r="USQ43" s="292"/>
      <c r="USR43" s="292"/>
      <c r="USS43" s="292"/>
      <c r="UST43" s="292"/>
      <c r="USU43" s="292"/>
      <c r="USV43" s="292"/>
      <c r="USW43" s="292"/>
      <c r="USX43" s="292"/>
      <c r="USY43" s="292"/>
      <c r="USZ43" s="292"/>
      <c r="UTA43" s="292"/>
      <c r="UTB43" s="292"/>
      <c r="UTC43" s="292"/>
      <c r="UTD43" s="292"/>
      <c r="UTE43" s="292"/>
      <c r="UTF43" s="292"/>
      <c r="UTG43" s="292"/>
      <c r="UTH43" s="292"/>
      <c r="UTI43" s="292"/>
      <c r="UTJ43" s="292"/>
      <c r="UTK43" s="292"/>
      <c r="UTL43" s="292"/>
      <c r="UTM43" s="292"/>
      <c r="UTN43" s="292"/>
      <c r="UTO43" s="292"/>
      <c r="UTP43" s="292"/>
      <c r="UTQ43" s="292"/>
      <c r="UTR43" s="292"/>
      <c r="UTS43" s="292"/>
      <c r="UTT43" s="292"/>
      <c r="UTU43" s="292"/>
      <c r="UTV43" s="292"/>
      <c r="UTW43" s="292"/>
      <c r="UTX43" s="292"/>
      <c r="UTY43" s="292"/>
      <c r="UTZ43" s="292"/>
      <c r="UUA43" s="292"/>
      <c r="UUB43" s="292"/>
      <c r="UUC43" s="292"/>
      <c r="UUD43" s="292"/>
      <c r="UUE43" s="292"/>
      <c r="UUF43" s="292"/>
      <c r="UUG43" s="292"/>
      <c r="UUH43" s="292"/>
      <c r="UUI43" s="292"/>
      <c r="UUJ43" s="292"/>
      <c r="UUK43" s="292"/>
      <c r="UUL43" s="292"/>
      <c r="UUM43" s="292"/>
      <c r="UUN43" s="292"/>
      <c r="UUO43" s="292"/>
      <c r="UUP43" s="292"/>
      <c r="UUQ43" s="292"/>
      <c r="UUR43" s="292"/>
      <c r="UUS43" s="292"/>
      <c r="UUT43" s="292"/>
      <c r="UUU43" s="292"/>
      <c r="UUV43" s="292"/>
      <c r="UUW43" s="292"/>
      <c r="UUX43" s="292"/>
      <c r="UUY43" s="292"/>
      <c r="UUZ43" s="292"/>
      <c r="UVA43" s="292"/>
      <c r="UVB43" s="292"/>
      <c r="UVC43" s="292"/>
      <c r="UVD43" s="292"/>
      <c r="UVE43" s="292"/>
      <c r="UVF43" s="292"/>
      <c r="UVG43" s="292"/>
      <c r="UVH43" s="292"/>
      <c r="UVI43" s="292"/>
      <c r="UVJ43" s="292"/>
      <c r="UVK43" s="292"/>
      <c r="UVL43" s="292"/>
      <c r="UVM43" s="292"/>
      <c r="UVN43" s="292"/>
      <c r="UVO43" s="292"/>
      <c r="UVP43" s="292"/>
      <c r="UVQ43" s="292"/>
      <c r="UVR43" s="292"/>
      <c r="UVS43" s="292"/>
      <c r="UVT43" s="292"/>
      <c r="UVU43" s="292"/>
      <c r="UVV43" s="292"/>
      <c r="UVW43" s="292"/>
      <c r="UVX43" s="292"/>
      <c r="UVY43" s="292"/>
      <c r="UVZ43" s="292"/>
      <c r="UWA43" s="292"/>
      <c r="UWB43" s="292"/>
      <c r="UWC43" s="292"/>
      <c r="UWD43" s="292"/>
      <c r="UWE43" s="292"/>
      <c r="UWF43" s="292"/>
      <c r="UWG43" s="292"/>
      <c r="UWH43" s="292"/>
      <c r="UWI43" s="292"/>
      <c r="UWJ43" s="292"/>
      <c r="UWK43" s="292"/>
      <c r="UWL43" s="292"/>
      <c r="UWM43" s="292"/>
      <c r="UWN43" s="292"/>
      <c r="UWO43" s="292"/>
      <c r="UWP43" s="292"/>
      <c r="UWQ43" s="292"/>
      <c r="UWR43" s="292"/>
      <c r="UWS43" s="292"/>
      <c r="UWT43" s="292"/>
      <c r="UWU43" s="292"/>
      <c r="UWV43" s="292"/>
      <c r="UWW43" s="292"/>
      <c r="UWX43" s="292"/>
      <c r="UWY43" s="292"/>
      <c r="UWZ43" s="292"/>
      <c r="UXA43" s="292"/>
      <c r="UXB43" s="292"/>
      <c r="UXC43" s="292"/>
      <c r="UXD43" s="292"/>
      <c r="UXE43" s="292"/>
      <c r="UXF43" s="292"/>
      <c r="UXG43" s="292"/>
      <c r="UXH43" s="292"/>
      <c r="UXI43" s="292"/>
      <c r="UXJ43" s="292"/>
      <c r="UXK43" s="292"/>
      <c r="UXL43" s="292"/>
      <c r="UXM43" s="292"/>
      <c r="UXN43" s="292"/>
      <c r="UXO43" s="292"/>
      <c r="UXP43" s="292"/>
      <c r="UXQ43" s="292"/>
      <c r="UXR43" s="292"/>
      <c r="UXS43" s="292"/>
      <c r="UXT43" s="292"/>
      <c r="UXU43" s="292"/>
      <c r="UXV43" s="292"/>
      <c r="UXW43" s="292"/>
      <c r="UXX43" s="292"/>
      <c r="UXY43" s="292"/>
      <c r="UXZ43" s="292"/>
      <c r="UYA43" s="292"/>
      <c r="UYB43" s="292"/>
      <c r="UYC43" s="292"/>
      <c r="UYD43" s="292"/>
      <c r="UYE43" s="292"/>
      <c r="UYF43" s="292"/>
      <c r="UYG43" s="292"/>
      <c r="UYH43" s="292"/>
      <c r="UYI43" s="292"/>
      <c r="UYJ43" s="292"/>
      <c r="UYK43" s="292"/>
      <c r="UYL43" s="292"/>
      <c r="UYM43" s="292"/>
      <c r="UYN43" s="292"/>
      <c r="UYO43" s="292"/>
      <c r="UYP43" s="292"/>
      <c r="UYQ43" s="292"/>
      <c r="UYR43" s="292"/>
      <c r="UYS43" s="292"/>
      <c r="UYT43" s="292"/>
      <c r="UYU43" s="292"/>
      <c r="UYV43" s="292"/>
      <c r="UYW43" s="292"/>
      <c r="UYX43" s="292"/>
      <c r="UYY43" s="292"/>
      <c r="UYZ43" s="292"/>
      <c r="UZA43" s="292"/>
      <c r="UZB43" s="292"/>
      <c r="UZC43" s="292"/>
      <c r="UZD43" s="292"/>
      <c r="UZE43" s="292"/>
      <c r="UZF43" s="292"/>
      <c r="UZG43" s="292"/>
      <c r="UZH43" s="292"/>
      <c r="UZI43" s="292"/>
      <c r="UZJ43" s="292"/>
      <c r="UZK43" s="292"/>
      <c r="UZL43" s="292"/>
      <c r="UZM43" s="292"/>
      <c r="UZN43" s="292"/>
      <c r="UZO43" s="292"/>
      <c r="UZP43" s="292"/>
      <c r="UZQ43" s="292"/>
      <c r="UZR43" s="292"/>
      <c r="UZS43" s="292"/>
      <c r="UZT43" s="292"/>
      <c r="UZU43" s="292"/>
      <c r="UZV43" s="292"/>
      <c r="UZW43" s="292"/>
      <c r="UZX43" s="292"/>
      <c r="UZY43" s="292"/>
      <c r="UZZ43" s="292"/>
      <c r="VAA43" s="292"/>
      <c r="VAB43" s="292"/>
      <c r="VAC43" s="292"/>
      <c r="VAD43" s="292"/>
      <c r="VAE43" s="292"/>
      <c r="VAF43" s="292"/>
      <c r="VAG43" s="292"/>
      <c r="VAH43" s="292"/>
      <c r="VAI43" s="292"/>
      <c r="VAJ43" s="292"/>
      <c r="VAK43" s="292"/>
      <c r="VAL43" s="292"/>
      <c r="VAM43" s="292"/>
      <c r="VAN43" s="292"/>
      <c r="VAO43" s="292"/>
      <c r="VAP43" s="292"/>
      <c r="VAQ43" s="292"/>
      <c r="VAR43" s="292"/>
      <c r="VAS43" s="292"/>
      <c r="VAT43" s="292"/>
      <c r="VAU43" s="292"/>
      <c r="VAV43" s="292"/>
      <c r="VAW43" s="292"/>
      <c r="VAX43" s="292"/>
      <c r="VAY43" s="292"/>
      <c r="VAZ43" s="292"/>
      <c r="VBA43" s="292"/>
      <c r="VBB43" s="292"/>
      <c r="VBC43" s="292"/>
      <c r="VBD43" s="292"/>
      <c r="VBE43" s="292"/>
      <c r="VBF43" s="292"/>
      <c r="VBG43" s="292"/>
      <c r="VBH43" s="292"/>
      <c r="VBI43" s="292"/>
      <c r="VBJ43" s="292"/>
      <c r="VBK43" s="292"/>
      <c r="VBL43" s="292"/>
      <c r="VBM43" s="292"/>
      <c r="VBN43" s="292"/>
      <c r="VBO43" s="292"/>
      <c r="VBP43" s="292"/>
      <c r="VBQ43" s="292"/>
      <c r="VBR43" s="292"/>
      <c r="VBS43" s="292"/>
      <c r="VBT43" s="292"/>
      <c r="VBU43" s="292"/>
      <c r="VBV43" s="292"/>
      <c r="VBW43" s="292"/>
      <c r="VBX43" s="292"/>
      <c r="VBY43" s="292"/>
      <c r="VBZ43" s="292"/>
      <c r="VCA43" s="292"/>
      <c r="VCB43" s="292"/>
      <c r="VCC43" s="292"/>
      <c r="VCD43" s="292"/>
      <c r="VCE43" s="292"/>
      <c r="VCF43" s="292"/>
      <c r="VCG43" s="292"/>
      <c r="VCH43" s="292"/>
      <c r="VCI43" s="292"/>
      <c r="VCJ43" s="292"/>
      <c r="VCK43" s="292"/>
      <c r="VCL43" s="292"/>
      <c r="VCM43" s="292"/>
      <c r="VCN43" s="292"/>
      <c r="VCO43" s="292"/>
      <c r="VCP43" s="292"/>
      <c r="VCQ43" s="292"/>
      <c r="VCR43" s="292"/>
      <c r="VCS43" s="292"/>
      <c r="VCT43" s="292"/>
      <c r="VCU43" s="292"/>
      <c r="VCV43" s="292"/>
      <c r="VCW43" s="292"/>
      <c r="VCX43" s="292"/>
      <c r="VCY43" s="292"/>
      <c r="VCZ43" s="292"/>
      <c r="VDA43" s="292"/>
      <c r="VDB43" s="292"/>
      <c r="VDC43" s="292"/>
      <c r="VDD43" s="292"/>
      <c r="VDE43" s="292"/>
      <c r="VDF43" s="292"/>
      <c r="VDG43" s="292"/>
      <c r="VDH43" s="292"/>
      <c r="VDI43" s="292"/>
      <c r="VDJ43" s="292"/>
      <c r="VDK43" s="292"/>
      <c r="VDL43" s="292"/>
      <c r="VDM43" s="292"/>
      <c r="VDN43" s="292"/>
      <c r="VDO43" s="292"/>
      <c r="VDP43" s="292"/>
      <c r="VDQ43" s="292"/>
      <c r="VDR43" s="292"/>
      <c r="VDS43" s="292"/>
      <c r="VDT43" s="292"/>
      <c r="VDU43" s="292"/>
      <c r="VDV43" s="292"/>
      <c r="VDW43" s="292"/>
      <c r="VDX43" s="292"/>
      <c r="VDY43" s="292"/>
      <c r="VDZ43" s="292"/>
      <c r="VEA43" s="292"/>
      <c r="VEB43" s="292"/>
      <c r="VEC43" s="292"/>
      <c r="VED43" s="292"/>
      <c r="VEE43" s="292"/>
      <c r="VEF43" s="292"/>
      <c r="VEG43" s="292"/>
      <c r="VEH43" s="292"/>
      <c r="VEI43" s="292"/>
      <c r="VEJ43" s="292"/>
      <c r="VEK43" s="292"/>
      <c r="VEL43" s="292"/>
      <c r="VEM43" s="292"/>
      <c r="VEN43" s="292"/>
      <c r="VEO43" s="292"/>
      <c r="VEP43" s="292"/>
      <c r="VEQ43" s="292"/>
      <c r="VER43" s="292"/>
      <c r="VES43" s="292"/>
      <c r="VET43" s="292"/>
      <c r="VEU43" s="292"/>
      <c r="VEV43" s="292"/>
      <c r="VEW43" s="292"/>
      <c r="VEX43" s="292"/>
      <c r="VEY43" s="292"/>
      <c r="VEZ43" s="292"/>
      <c r="VFA43" s="292"/>
      <c r="VFB43" s="292"/>
      <c r="VFC43" s="292"/>
      <c r="VFD43" s="292"/>
      <c r="VFE43" s="292"/>
      <c r="VFF43" s="292"/>
      <c r="VFG43" s="292"/>
      <c r="VFH43" s="292"/>
      <c r="VFI43" s="292"/>
      <c r="VFJ43" s="292"/>
      <c r="VFK43" s="292"/>
      <c r="VFL43" s="292"/>
      <c r="VFM43" s="292"/>
      <c r="VFN43" s="292"/>
      <c r="VFO43" s="292"/>
      <c r="VFP43" s="292"/>
      <c r="VFQ43" s="292"/>
      <c r="VFR43" s="292"/>
      <c r="VFS43" s="292"/>
      <c r="VFT43" s="292"/>
      <c r="VFU43" s="292"/>
      <c r="VFV43" s="292"/>
      <c r="VFW43" s="292"/>
      <c r="VFX43" s="292"/>
      <c r="VFY43" s="292"/>
      <c r="VFZ43" s="292"/>
      <c r="VGA43" s="292"/>
      <c r="VGB43" s="292"/>
      <c r="VGC43" s="292"/>
      <c r="VGD43" s="292"/>
      <c r="VGE43" s="292"/>
      <c r="VGF43" s="292"/>
      <c r="VGG43" s="292"/>
      <c r="VGH43" s="292"/>
      <c r="VGI43" s="292"/>
      <c r="VGJ43" s="292"/>
      <c r="VGK43" s="292"/>
      <c r="VGL43" s="292"/>
      <c r="VGM43" s="292"/>
      <c r="VGN43" s="292"/>
      <c r="VGO43" s="292"/>
      <c r="VGP43" s="292"/>
      <c r="VGQ43" s="292"/>
      <c r="VGR43" s="292"/>
      <c r="VGS43" s="292"/>
      <c r="VGT43" s="292"/>
      <c r="VGU43" s="292"/>
      <c r="VGV43" s="292"/>
      <c r="VGW43" s="292"/>
      <c r="VGX43" s="292"/>
      <c r="VGY43" s="292"/>
      <c r="VGZ43" s="292"/>
      <c r="VHA43" s="292"/>
      <c r="VHB43" s="292"/>
      <c r="VHC43" s="292"/>
      <c r="VHD43" s="292"/>
      <c r="VHE43" s="292"/>
      <c r="VHF43" s="292"/>
      <c r="VHG43" s="292"/>
      <c r="VHH43" s="292"/>
      <c r="VHI43" s="292"/>
      <c r="VHJ43" s="292"/>
      <c r="VHK43" s="292"/>
      <c r="VHL43" s="292"/>
      <c r="VHM43" s="292"/>
      <c r="VHN43" s="292"/>
      <c r="VHO43" s="292"/>
      <c r="VHP43" s="292"/>
      <c r="VHQ43" s="292"/>
      <c r="VHR43" s="292"/>
      <c r="VHS43" s="292"/>
      <c r="VHT43" s="292"/>
      <c r="VHU43" s="292"/>
      <c r="VHV43" s="292"/>
      <c r="VHW43" s="292"/>
      <c r="VHX43" s="292"/>
      <c r="VHY43" s="292"/>
      <c r="VHZ43" s="292"/>
      <c r="VIA43" s="292"/>
      <c r="VIB43" s="292"/>
      <c r="VIC43" s="292"/>
      <c r="VID43" s="292"/>
      <c r="VIE43" s="292"/>
      <c r="VIF43" s="292"/>
      <c r="VIG43" s="292"/>
      <c r="VIH43" s="292"/>
      <c r="VII43" s="292"/>
      <c r="VIJ43" s="292"/>
      <c r="VIK43" s="292"/>
      <c r="VIL43" s="292"/>
      <c r="VIM43" s="292"/>
      <c r="VIN43" s="292"/>
      <c r="VIO43" s="292"/>
      <c r="VIP43" s="292"/>
      <c r="VIQ43" s="292"/>
      <c r="VIR43" s="292"/>
      <c r="VIS43" s="292"/>
      <c r="VIT43" s="292"/>
      <c r="VIU43" s="292"/>
      <c r="VIV43" s="292"/>
      <c r="VIW43" s="292"/>
      <c r="VIX43" s="292"/>
      <c r="VIY43" s="292"/>
      <c r="VIZ43" s="292"/>
      <c r="VJA43" s="292"/>
      <c r="VJB43" s="292"/>
      <c r="VJC43" s="292"/>
      <c r="VJD43" s="292"/>
      <c r="VJE43" s="292"/>
      <c r="VJF43" s="292"/>
      <c r="VJG43" s="292"/>
      <c r="VJH43" s="292"/>
      <c r="VJI43" s="292"/>
      <c r="VJJ43" s="292"/>
      <c r="VJK43" s="292"/>
      <c r="VJL43" s="292"/>
      <c r="VJM43" s="292"/>
      <c r="VJN43" s="292"/>
      <c r="VJO43" s="292"/>
      <c r="VJP43" s="292"/>
      <c r="VJQ43" s="292"/>
      <c r="VJR43" s="292"/>
      <c r="VJS43" s="292"/>
      <c r="VJT43" s="292"/>
      <c r="VJU43" s="292"/>
      <c r="VJV43" s="292"/>
      <c r="VJW43" s="292"/>
      <c r="VJX43" s="292"/>
      <c r="VJY43" s="292"/>
      <c r="VJZ43" s="292"/>
      <c r="VKA43" s="292"/>
      <c r="VKB43" s="292"/>
      <c r="VKC43" s="292"/>
      <c r="VKD43" s="292"/>
      <c r="VKE43" s="292"/>
      <c r="VKF43" s="292"/>
      <c r="VKG43" s="292"/>
      <c r="VKH43" s="292"/>
      <c r="VKI43" s="292"/>
      <c r="VKJ43" s="292"/>
      <c r="VKK43" s="292"/>
      <c r="VKL43" s="292"/>
      <c r="VKM43" s="292"/>
      <c r="VKN43" s="292"/>
      <c r="VKO43" s="292"/>
      <c r="VKP43" s="292"/>
      <c r="VKQ43" s="292"/>
      <c r="VKR43" s="292"/>
      <c r="VKS43" s="292"/>
      <c r="VKT43" s="292"/>
      <c r="VKU43" s="292"/>
      <c r="VKV43" s="292"/>
      <c r="VKW43" s="292"/>
      <c r="VKX43" s="292"/>
      <c r="VKY43" s="292"/>
      <c r="VKZ43" s="292"/>
      <c r="VLA43" s="292"/>
      <c r="VLB43" s="292"/>
      <c r="VLC43" s="292"/>
      <c r="VLD43" s="292"/>
      <c r="VLE43" s="292"/>
      <c r="VLF43" s="292"/>
      <c r="VLG43" s="292"/>
      <c r="VLH43" s="292"/>
      <c r="VLI43" s="292"/>
      <c r="VLJ43" s="292"/>
      <c r="VLK43" s="292"/>
      <c r="VLL43" s="292"/>
      <c r="VLM43" s="292"/>
      <c r="VLN43" s="292"/>
      <c r="VLO43" s="292"/>
      <c r="VLP43" s="292"/>
      <c r="VLQ43" s="292"/>
      <c r="VLR43" s="292"/>
      <c r="VLS43" s="292"/>
      <c r="VLT43" s="292"/>
      <c r="VLU43" s="292"/>
      <c r="VLV43" s="292"/>
      <c r="VLW43" s="292"/>
      <c r="VLX43" s="292"/>
      <c r="VLY43" s="292"/>
      <c r="VLZ43" s="292"/>
      <c r="VMA43" s="292"/>
      <c r="VMB43" s="292"/>
      <c r="VMC43" s="292"/>
      <c r="VMD43" s="292"/>
      <c r="VME43" s="292"/>
      <c r="VMF43" s="292"/>
      <c r="VMG43" s="292"/>
      <c r="VMH43" s="292"/>
      <c r="VMI43" s="292"/>
      <c r="VMJ43" s="292"/>
      <c r="VMK43" s="292"/>
      <c r="VML43" s="292"/>
      <c r="VMM43" s="292"/>
      <c r="VMN43" s="292"/>
      <c r="VMO43" s="292"/>
      <c r="VMP43" s="292"/>
      <c r="VMQ43" s="292"/>
      <c r="VMR43" s="292"/>
      <c r="VMS43" s="292"/>
      <c r="VMT43" s="292"/>
      <c r="VMU43" s="292"/>
      <c r="VMV43" s="292"/>
      <c r="VMW43" s="292"/>
      <c r="VMX43" s="292"/>
      <c r="VMY43" s="292"/>
      <c r="VMZ43" s="292"/>
      <c r="VNA43" s="292"/>
      <c r="VNB43" s="292"/>
      <c r="VNC43" s="292"/>
      <c r="VND43" s="292"/>
      <c r="VNE43" s="292"/>
      <c r="VNF43" s="292"/>
      <c r="VNG43" s="292"/>
      <c r="VNH43" s="292"/>
      <c r="VNI43" s="292"/>
      <c r="VNJ43" s="292"/>
      <c r="VNK43" s="292"/>
      <c r="VNL43" s="292"/>
      <c r="VNM43" s="292"/>
      <c r="VNN43" s="292"/>
      <c r="VNO43" s="292"/>
      <c r="VNP43" s="292"/>
      <c r="VNQ43" s="292"/>
      <c r="VNR43" s="292"/>
      <c r="VNS43" s="292"/>
      <c r="VNT43" s="292"/>
      <c r="VNU43" s="292"/>
      <c r="VNV43" s="292"/>
      <c r="VNW43" s="292"/>
      <c r="VNX43" s="292"/>
      <c r="VNY43" s="292"/>
      <c r="VNZ43" s="292"/>
      <c r="VOA43" s="292"/>
      <c r="VOB43" s="292"/>
      <c r="VOC43" s="292"/>
      <c r="VOD43" s="292"/>
      <c r="VOE43" s="292"/>
      <c r="VOF43" s="292"/>
      <c r="VOG43" s="292"/>
      <c r="VOH43" s="292"/>
      <c r="VOI43" s="292"/>
      <c r="VOJ43" s="292"/>
      <c r="VOK43" s="292"/>
      <c r="VOL43" s="292"/>
      <c r="VOM43" s="292"/>
      <c r="VON43" s="292"/>
      <c r="VOO43" s="292"/>
      <c r="VOP43" s="292"/>
      <c r="VOQ43" s="292"/>
      <c r="VOR43" s="292"/>
      <c r="VOS43" s="292"/>
      <c r="VOT43" s="292"/>
      <c r="VOU43" s="292"/>
      <c r="VOV43" s="292"/>
      <c r="VOW43" s="292"/>
      <c r="VOX43" s="292"/>
      <c r="VOY43" s="292"/>
      <c r="VOZ43" s="292"/>
      <c r="VPA43" s="292"/>
      <c r="VPB43" s="292"/>
      <c r="VPC43" s="292"/>
      <c r="VPD43" s="292"/>
      <c r="VPE43" s="292"/>
      <c r="VPF43" s="292"/>
      <c r="VPG43" s="292"/>
      <c r="VPH43" s="292"/>
      <c r="VPI43" s="292"/>
      <c r="VPJ43" s="292"/>
      <c r="VPK43" s="292"/>
      <c r="VPL43" s="292"/>
      <c r="VPM43" s="292"/>
      <c r="VPN43" s="292"/>
      <c r="VPO43" s="292"/>
      <c r="VPP43" s="292"/>
      <c r="VPQ43" s="292"/>
      <c r="VPR43" s="292"/>
      <c r="VPS43" s="292"/>
      <c r="VPT43" s="292"/>
      <c r="VPU43" s="292"/>
      <c r="VPV43" s="292"/>
      <c r="VPW43" s="292"/>
      <c r="VPX43" s="292"/>
      <c r="VPY43" s="292"/>
      <c r="VPZ43" s="292"/>
      <c r="VQA43" s="292"/>
      <c r="VQB43" s="292"/>
      <c r="VQC43" s="292"/>
      <c r="VQD43" s="292"/>
      <c r="VQE43" s="292"/>
      <c r="VQF43" s="292"/>
      <c r="VQG43" s="292"/>
      <c r="VQH43" s="292"/>
      <c r="VQI43" s="292"/>
      <c r="VQJ43" s="292"/>
      <c r="VQK43" s="292"/>
      <c r="VQL43" s="292"/>
      <c r="VQM43" s="292"/>
      <c r="VQN43" s="292"/>
      <c r="VQO43" s="292"/>
      <c r="VQP43" s="292"/>
      <c r="VQQ43" s="292"/>
      <c r="VQR43" s="292"/>
      <c r="VQS43" s="292"/>
      <c r="VQT43" s="292"/>
      <c r="VQU43" s="292"/>
      <c r="VQV43" s="292"/>
      <c r="VQW43" s="292"/>
      <c r="VQX43" s="292"/>
      <c r="VQY43" s="292"/>
      <c r="VQZ43" s="292"/>
      <c r="VRA43" s="292"/>
      <c r="VRB43" s="292"/>
      <c r="VRC43" s="292"/>
      <c r="VRD43" s="292"/>
      <c r="VRE43" s="292"/>
      <c r="VRF43" s="292"/>
      <c r="VRG43" s="292"/>
      <c r="VRH43" s="292"/>
      <c r="VRI43" s="292"/>
      <c r="VRJ43" s="292"/>
      <c r="VRK43" s="292"/>
      <c r="VRL43" s="292"/>
      <c r="VRM43" s="292"/>
      <c r="VRN43" s="292"/>
      <c r="VRO43" s="292"/>
      <c r="VRP43" s="292"/>
      <c r="VRQ43" s="292"/>
      <c r="VRR43" s="292"/>
      <c r="VRS43" s="292"/>
      <c r="VRT43" s="292"/>
      <c r="VRU43" s="292"/>
      <c r="VRV43" s="292"/>
      <c r="VRW43" s="292"/>
      <c r="VRX43" s="292"/>
      <c r="VRY43" s="292"/>
      <c r="VRZ43" s="292"/>
      <c r="VSA43" s="292"/>
      <c r="VSB43" s="292"/>
      <c r="VSC43" s="292"/>
      <c r="VSD43" s="292"/>
      <c r="VSE43" s="292"/>
      <c r="VSF43" s="292"/>
      <c r="VSG43" s="292"/>
      <c r="VSH43" s="292"/>
      <c r="VSI43" s="292"/>
      <c r="VSJ43" s="292"/>
      <c r="VSK43" s="292"/>
      <c r="VSL43" s="292"/>
      <c r="VSM43" s="292"/>
      <c r="VSN43" s="292"/>
      <c r="VSO43" s="292"/>
      <c r="VSP43" s="292"/>
      <c r="VSQ43" s="292"/>
      <c r="VSR43" s="292"/>
      <c r="VSS43" s="292"/>
      <c r="VST43" s="292"/>
      <c r="VSU43" s="292"/>
      <c r="VSV43" s="292"/>
      <c r="VSW43" s="292"/>
      <c r="VSX43" s="292"/>
      <c r="VSY43" s="292"/>
      <c r="VSZ43" s="292"/>
      <c r="VTA43" s="292"/>
      <c r="VTB43" s="292"/>
      <c r="VTC43" s="292"/>
      <c r="VTD43" s="292"/>
      <c r="VTE43" s="292"/>
      <c r="VTF43" s="292"/>
      <c r="VTG43" s="292"/>
      <c r="VTH43" s="292"/>
      <c r="VTI43" s="292"/>
      <c r="VTJ43" s="292"/>
      <c r="VTK43" s="292"/>
      <c r="VTL43" s="292"/>
      <c r="VTM43" s="292"/>
      <c r="VTN43" s="292"/>
      <c r="VTO43" s="292"/>
      <c r="VTP43" s="292"/>
      <c r="VTQ43" s="292"/>
      <c r="VTR43" s="292"/>
      <c r="VTS43" s="292"/>
      <c r="VTT43" s="292"/>
      <c r="VTU43" s="292"/>
      <c r="VTV43" s="292"/>
      <c r="VTW43" s="292"/>
      <c r="VTX43" s="292"/>
      <c r="VTY43" s="292"/>
      <c r="VTZ43" s="292"/>
      <c r="VUA43" s="292"/>
      <c r="VUB43" s="292"/>
      <c r="VUC43" s="292"/>
      <c r="VUD43" s="292"/>
      <c r="VUE43" s="292"/>
      <c r="VUF43" s="292"/>
      <c r="VUG43" s="292"/>
      <c r="VUH43" s="292"/>
      <c r="VUI43" s="292"/>
      <c r="VUJ43" s="292"/>
      <c r="VUK43" s="292"/>
      <c r="VUL43" s="292"/>
      <c r="VUM43" s="292"/>
      <c r="VUN43" s="292"/>
      <c r="VUO43" s="292"/>
      <c r="VUP43" s="292"/>
      <c r="VUQ43" s="292"/>
      <c r="VUR43" s="292"/>
      <c r="VUS43" s="292"/>
      <c r="VUT43" s="292"/>
      <c r="VUU43" s="292"/>
      <c r="VUV43" s="292"/>
      <c r="VUW43" s="292"/>
      <c r="VUX43" s="292"/>
      <c r="VUY43" s="292"/>
      <c r="VUZ43" s="292"/>
      <c r="VVA43" s="292"/>
      <c r="VVB43" s="292"/>
      <c r="VVC43" s="292"/>
      <c r="VVD43" s="292"/>
      <c r="VVE43" s="292"/>
      <c r="VVF43" s="292"/>
      <c r="VVG43" s="292"/>
      <c r="VVH43" s="292"/>
      <c r="VVI43" s="292"/>
      <c r="VVJ43" s="292"/>
      <c r="VVK43" s="292"/>
      <c r="VVL43" s="292"/>
      <c r="VVM43" s="292"/>
      <c r="VVN43" s="292"/>
      <c r="VVO43" s="292"/>
      <c r="VVP43" s="292"/>
      <c r="VVQ43" s="292"/>
      <c r="VVR43" s="292"/>
      <c r="VVS43" s="292"/>
      <c r="VVT43" s="292"/>
      <c r="VVU43" s="292"/>
      <c r="VVV43" s="292"/>
      <c r="VVW43" s="292"/>
      <c r="VVX43" s="292"/>
      <c r="VVY43" s="292"/>
      <c r="VVZ43" s="292"/>
      <c r="VWA43" s="292"/>
      <c r="VWB43" s="292"/>
      <c r="VWC43" s="292"/>
      <c r="VWD43" s="292"/>
      <c r="VWE43" s="292"/>
      <c r="VWF43" s="292"/>
      <c r="VWG43" s="292"/>
      <c r="VWH43" s="292"/>
      <c r="VWI43" s="292"/>
      <c r="VWJ43" s="292"/>
      <c r="VWK43" s="292"/>
      <c r="VWL43" s="292"/>
      <c r="VWM43" s="292"/>
      <c r="VWN43" s="292"/>
      <c r="VWO43" s="292"/>
      <c r="VWP43" s="292"/>
      <c r="VWQ43" s="292"/>
      <c r="VWR43" s="292"/>
      <c r="VWS43" s="292"/>
      <c r="VWT43" s="292"/>
      <c r="VWU43" s="292"/>
      <c r="VWV43" s="292"/>
      <c r="VWW43" s="292"/>
      <c r="VWX43" s="292"/>
      <c r="VWY43" s="292"/>
      <c r="VWZ43" s="292"/>
      <c r="VXA43" s="292"/>
      <c r="VXB43" s="292"/>
      <c r="VXC43" s="292"/>
      <c r="VXD43" s="292"/>
      <c r="VXE43" s="292"/>
      <c r="VXF43" s="292"/>
      <c r="VXG43" s="292"/>
      <c r="VXH43" s="292"/>
      <c r="VXI43" s="292"/>
      <c r="VXJ43" s="292"/>
      <c r="VXK43" s="292"/>
      <c r="VXL43" s="292"/>
      <c r="VXM43" s="292"/>
      <c r="VXN43" s="292"/>
      <c r="VXO43" s="292"/>
      <c r="VXP43" s="292"/>
      <c r="VXQ43" s="292"/>
      <c r="VXR43" s="292"/>
      <c r="VXS43" s="292"/>
      <c r="VXT43" s="292"/>
      <c r="VXU43" s="292"/>
      <c r="VXV43" s="292"/>
      <c r="VXW43" s="292"/>
      <c r="VXX43" s="292"/>
      <c r="VXY43" s="292"/>
      <c r="VXZ43" s="292"/>
      <c r="VYA43" s="292"/>
      <c r="VYB43" s="292"/>
      <c r="VYC43" s="292"/>
      <c r="VYD43" s="292"/>
      <c r="VYE43" s="292"/>
      <c r="VYF43" s="292"/>
      <c r="VYG43" s="292"/>
      <c r="VYH43" s="292"/>
      <c r="VYI43" s="292"/>
      <c r="VYJ43" s="292"/>
      <c r="VYK43" s="292"/>
      <c r="VYL43" s="292"/>
      <c r="VYM43" s="292"/>
      <c r="VYN43" s="292"/>
      <c r="VYO43" s="292"/>
      <c r="VYP43" s="292"/>
      <c r="VYQ43" s="292"/>
      <c r="VYR43" s="292"/>
      <c r="VYS43" s="292"/>
      <c r="VYT43" s="292"/>
      <c r="VYU43" s="292"/>
      <c r="VYV43" s="292"/>
      <c r="VYW43" s="292"/>
      <c r="VYX43" s="292"/>
      <c r="VYY43" s="292"/>
      <c r="VYZ43" s="292"/>
      <c r="VZA43" s="292"/>
      <c r="VZB43" s="292"/>
      <c r="VZC43" s="292"/>
      <c r="VZD43" s="292"/>
      <c r="VZE43" s="292"/>
      <c r="VZF43" s="292"/>
      <c r="VZG43" s="292"/>
      <c r="VZH43" s="292"/>
      <c r="VZI43" s="292"/>
      <c r="VZJ43" s="292"/>
      <c r="VZK43" s="292"/>
      <c r="VZL43" s="292"/>
      <c r="VZM43" s="292"/>
      <c r="VZN43" s="292"/>
      <c r="VZO43" s="292"/>
      <c r="VZP43" s="292"/>
      <c r="VZQ43" s="292"/>
      <c r="VZR43" s="292"/>
      <c r="VZS43" s="292"/>
      <c r="VZT43" s="292"/>
      <c r="VZU43" s="292"/>
      <c r="VZV43" s="292"/>
      <c r="VZW43" s="292"/>
      <c r="VZX43" s="292"/>
      <c r="VZY43" s="292"/>
      <c r="VZZ43" s="292"/>
      <c r="WAA43" s="292"/>
      <c r="WAB43" s="292"/>
      <c r="WAC43" s="292"/>
      <c r="WAD43" s="292"/>
      <c r="WAE43" s="292"/>
      <c r="WAF43" s="292"/>
      <c r="WAG43" s="292"/>
      <c r="WAH43" s="292"/>
      <c r="WAI43" s="292"/>
      <c r="WAJ43" s="292"/>
      <c r="WAK43" s="292"/>
      <c r="WAL43" s="292"/>
      <c r="WAM43" s="292"/>
      <c r="WAN43" s="292"/>
      <c r="WAO43" s="292"/>
      <c r="WAP43" s="292"/>
      <c r="WAQ43" s="292"/>
      <c r="WAR43" s="292"/>
      <c r="WAS43" s="292"/>
      <c r="WAT43" s="292"/>
      <c r="WAU43" s="292"/>
      <c r="WAV43" s="292"/>
      <c r="WAW43" s="292"/>
      <c r="WAX43" s="292"/>
      <c r="WAY43" s="292"/>
      <c r="WAZ43" s="292"/>
      <c r="WBA43" s="292"/>
      <c r="WBB43" s="292"/>
      <c r="WBC43" s="292"/>
      <c r="WBD43" s="292"/>
      <c r="WBE43" s="292"/>
      <c r="WBF43" s="292"/>
      <c r="WBG43" s="292"/>
      <c r="WBH43" s="292"/>
      <c r="WBI43" s="292"/>
      <c r="WBJ43" s="292"/>
      <c r="WBK43" s="292"/>
      <c r="WBL43" s="292"/>
      <c r="WBM43" s="292"/>
      <c r="WBN43" s="292"/>
      <c r="WBO43" s="292"/>
      <c r="WBP43" s="292"/>
      <c r="WBQ43" s="292"/>
      <c r="WBR43" s="292"/>
      <c r="WBS43" s="292"/>
      <c r="WBT43" s="292"/>
      <c r="WBU43" s="292"/>
      <c r="WBV43" s="292"/>
      <c r="WBW43" s="292"/>
      <c r="WBX43" s="292"/>
      <c r="WBY43" s="292"/>
      <c r="WBZ43" s="292"/>
      <c r="WCA43" s="292"/>
      <c r="WCB43" s="292"/>
      <c r="WCC43" s="292"/>
      <c r="WCD43" s="292"/>
      <c r="WCE43" s="292"/>
      <c r="WCF43" s="292"/>
      <c r="WCG43" s="292"/>
      <c r="WCH43" s="292"/>
      <c r="WCI43" s="292"/>
      <c r="WCJ43" s="292"/>
      <c r="WCK43" s="292"/>
      <c r="WCL43" s="292"/>
      <c r="WCM43" s="292"/>
      <c r="WCN43" s="292"/>
      <c r="WCO43" s="292"/>
      <c r="WCP43" s="292"/>
      <c r="WCQ43" s="292"/>
      <c r="WCR43" s="292"/>
      <c r="WCS43" s="292"/>
      <c r="WCT43" s="292"/>
      <c r="WCU43" s="292"/>
      <c r="WCV43" s="292"/>
      <c r="WCW43" s="292"/>
      <c r="WCX43" s="292"/>
      <c r="WCY43" s="292"/>
      <c r="WCZ43" s="292"/>
      <c r="WDA43" s="292"/>
      <c r="WDB43" s="292"/>
      <c r="WDC43" s="292"/>
      <c r="WDD43" s="292"/>
      <c r="WDE43" s="292"/>
      <c r="WDF43" s="292"/>
      <c r="WDG43" s="292"/>
      <c r="WDH43" s="292"/>
      <c r="WDI43" s="292"/>
      <c r="WDJ43" s="292"/>
      <c r="WDK43" s="292"/>
      <c r="WDL43" s="292"/>
      <c r="WDM43" s="292"/>
      <c r="WDN43" s="292"/>
      <c r="WDO43" s="292"/>
      <c r="WDP43" s="292"/>
      <c r="WDQ43" s="292"/>
      <c r="WDR43" s="292"/>
      <c r="WDS43" s="292"/>
      <c r="WDT43" s="292"/>
      <c r="WDU43" s="292"/>
      <c r="WDV43" s="292"/>
      <c r="WDW43" s="292"/>
      <c r="WDX43" s="292"/>
      <c r="WDY43" s="292"/>
      <c r="WDZ43" s="292"/>
      <c r="WEA43" s="292"/>
      <c r="WEB43" s="292"/>
      <c r="WEC43" s="292"/>
      <c r="WED43" s="292"/>
      <c r="WEE43" s="292"/>
      <c r="WEF43" s="292"/>
      <c r="WEG43" s="292"/>
      <c r="WEH43" s="292"/>
      <c r="WEI43" s="292"/>
      <c r="WEJ43" s="292"/>
      <c r="WEK43" s="292"/>
      <c r="WEL43" s="292"/>
      <c r="WEM43" s="292"/>
      <c r="WEN43" s="292"/>
      <c r="WEO43" s="292"/>
      <c r="WEP43" s="292"/>
      <c r="WEQ43" s="292"/>
      <c r="WER43" s="292"/>
      <c r="WES43" s="292"/>
      <c r="WET43" s="292"/>
      <c r="WEU43" s="292"/>
      <c r="WEV43" s="292"/>
      <c r="WEW43" s="292"/>
      <c r="WEX43" s="292"/>
      <c r="WEY43" s="292"/>
      <c r="WEZ43" s="292"/>
      <c r="WFA43" s="292"/>
      <c r="WFB43" s="292"/>
      <c r="WFC43" s="292"/>
      <c r="WFD43" s="292"/>
      <c r="WFE43" s="292"/>
      <c r="WFF43" s="292"/>
      <c r="WFG43" s="292"/>
      <c r="WFH43" s="292"/>
      <c r="WFI43" s="292"/>
      <c r="WFJ43" s="292"/>
      <c r="WFK43" s="292"/>
      <c r="WFL43" s="292"/>
      <c r="WFM43" s="292"/>
      <c r="WFN43" s="292"/>
      <c r="WFO43" s="292"/>
      <c r="WFP43" s="292"/>
      <c r="WFQ43" s="292"/>
      <c r="WFR43" s="292"/>
      <c r="WFS43" s="292"/>
      <c r="WFT43" s="292"/>
      <c r="WFU43" s="292"/>
      <c r="WFV43" s="292"/>
      <c r="WFW43" s="292"/>
      <c r="WFX43" s="292"/>
      <c r="WFY43" s="292"/>
      <c r="WFZ43" s="292"/>
      <c r="WGA43" s="292"/>
      <c r="WGB43" s="292"/>
      <c r="WGC43" s="292"/>
      <c r="WGD43" s="292"/>
      <c r="WGE43" s="292"/>
      <c r="WGF43" s="292"/>
      <c r="WGG43" s="292"/>
      <c r="WGH43" s="292"/>
      <c r="WGI43" s="292"/>
      <c r="WGJ43" s="292"/>
      <c r="WGK43" s="292"/>
      <c r="WGL43" s="292"/>
      <c r="WGM43" s="292"/>
      <c r="WGN43" s="292"/>
      <c r="WGO43" s="292"/>
      <c r="WGP43" s="292"/>
      <c r="WGQ43" s="292"/>
      <c r="WGR43" s="292"/>
      <c r="WGS43" s="292"/>
      <c r="WGT43" s="292"/>
      <c r="WGU43" s="292"/>
      <c r="WGV43" s="292"/>
      <c r="WGW43" s="292"/>
      <c r="WGX43" s="292"/>
      <c r="WGY43" s="292"/>
      <c r="WGZ43" s="292"/>
      <c r="WHA43" s="292"/>
      <c r="WHB43" s="292"/>
      <c r="WHC43" s="292"/>
      <c r="WHD43" s="292"/>
      <c r="WHE43" s="292"/>
      <c r="WHF43" s="292"/>
      <c r="WHG43" s="292"/>
      <c r="WHH43" s="292"/>
      <c r="WHI43" s="292"/>
      <c r="WHJ43" s="292"/>
      <c r="WHK43" s="292"/>
      <c r="WHL43" s="292"/>
      <c r="WHM43" s="292"/>
      <c r="WHN43" s="292"/>
      <c r="WHO43" s="292"/>
      <c r="WHP43" s="292"/>
      <c r="WHQ43" s="292"/>
      <c r="WHR43" s="292"/>
      <c r="WHS43" s="292"/>
      <c r="WHT43" s="292"/>
      <c r="WHU43" s="292"/>
      <c r="WHV43" s="292"/>
      <c r="WHW43" s="292"/>
      <c r="WHX43" s="292"/>
      <c r="WHY43" s="292"/>
      <c r="WHZ43" s="292"/>
      <c r="WIA43" s="292"/>
      <c r="WIB43" s="292"/>
      <c r="WIC43" s="292"/>
      <c r="WID43" s="292"/>
      <c r="WIE43" s="292"/>
      <c r="WIF43" s="292"/>
      <c r="WIG43" s="292"/>
      <c r="WIH43" s="292"/>
      <c r="WII43" s="292"/>
      <c r="WIJ43" s="292"/>
      <c r="WIK43" s="292"/>
      <c r="WIL43" s="292"/>
      <c r="WIM43" s="292"/>
      <c r="WIN43" s="292"/>
      <c r="WIO43" s="292"/>
      <c r="WIP43" s="292"/>
      <c r="WIQ43" s="292"/>
      <c r="WIR43" s="292"/>
      <c r="WIS43" s="292"/>
      <c r="WIT43" s="292"/>
      <c r="WIU43" s="292"/>
      <c r="WIV43" s="292"/>
      <c r="WIW43" s="292"/>
      <c r="WIX43" s="292"/>
      <c r="WIY43" s="292"/>
      <c r="WIZ43" s="292"/>
      <c r="WJA43" s="292"/>
      <c r="WJB43" s="292"/>
      <c r="WJC43" s="292"/>
      <c r="WJD43" s="292"/>
      <c r="WJE43" s="292"/>
      <c r="WJF43" s="292"/>
      <c r="WJG43" s="292"/>
      <c r="WJH43" s="292"/>
      <c r="WJI43" s="292"/>
      <c r="WJJ43" s="292"/>
      <c r="WJK43" s="292"/>
      <c r="WJL43" s="292"/>
      <c r="WJM43" s="292"/>
      <c r="WJN43" s="292"/>
      <c r="WJO43" s="292"/>
      <c r="WJP43" s="292"/>
      <c r="WJQ43" s="292"/>
      <c r="WJR43" s="292"/>
      <c r="WJS43" s="292"/>
      <c r="WJT43" s="292"/>
      <c r="WJU43" s="292"/>
      <c r="WJV43" s="292"/>
      <c r="WJW43" s="292"/>
      <c r="WJX43" s="292"/>
      <c r="WJY43" s="292"/>
      <c r="WJZ43" s="292"/>
      <c r="WKA43" s="292"/>
      <c r="WKB43" s="292"/>
      <c r="WKC43" s="292"/>
      <c r="WKD43" s="292"/>
      <c r="WKE43" s="292"/>
      <c r="WKF43" s="292"/>
      <c r="WKG43" s="292"/>
      <c r="WKH43" s="292"/>
      <c r="WKI43" s="292"/>
      <c r="WKJ43" s="292"/>
      <c r="WKK43" s="292"/>
      <c r="WKL43" s="292"/>
      <c r="WKM43" s="292"/>
      <c r="WKN43" s="292"/>
      <c r="WKO43" s="292"/>
      <c r="WKP43" s="292"/>
      <c r="WKQ43" s="292"/>
      <c r="WKR43" s="292"/>
      <c r="WKS43" s="292"/>
      <c r="WKT43" s="292"/>
      <c r="WKU43" s="292"/>
      <c r="WKV43" s="292"/>
      <c r="WKW43" s="292"/>
      <c r="WKX43" s="292"/>
      <c r="WKY43" s="292"/>
      <c r="WKZ43" s="292"/>
      <c r="WLA43" s="292"/>
      <c r="WLB43" s="292"/>
      <c r="WLC43" s="292"/>
      <c r="WLD43" s="292"/>
      <c r="WLE43" s="292"/>
      <c r="WLF43" s="292"/>
      <c r="WLG43" s="292"/>
      <c r="WLH43" s="292"/>
      <c r="WLI43" s="292"/>
      <c r="WLJ43" s="292"/>
      <c r="WLK43" s="292"/>
      <c r="WLL43" s="292"/>
      <c r="WLM43" s="292"/>
      <c r="WLN43" s="292"/>
      <c r="WLO43" s="292"/>
      <c r="WLP43" s="292"/>
      <c r="WLQ43" s="292"/>
      <c r="WLR43" s="292"/>
      <c r="WLS43" s="292"/>
      <c r="WLT43" s="292"/>
      <c r="WLU43" s="292"/>
      <c r="WLV43" s="292"/>
      <c r="WLW43" s="292"/>
      <c r="WLX43" s="292"/>
      <c r="WLY43" s="292"/>
      <c r="WLZ43" s="292"/>
      <c r="WMA43" s="292"/>
      <c r="WMB43" s="292"/>
      <c r="WMC43" s="292"/>
      <c r="WMD43" s="292"/>
      <c r="WME43" s="292"/>
      <c r="WMF43" s="292"/>
      <c r="WMG43" s="292"/>
      <c r="WMH43" s="292"/>
      <c r="WMI43" s="292"/>
      <c r="WMJ43" s="292"/>
      <c r="WMK43" s="292"/>
      <c r="WML43" s="292"/>
      <c r="WMM43" s="292"/>
      <c r="WMN43" s="292"/>
      <c r="WMO43" s="292"/>
      <c r="WMP43" s="292"/>
      <c r="WMQ43" s="292"/>
      <c r="WMR43" s="292"/>
      <c r="WMS43" s="292"/>
      <c r="WMT43" s="292"/>
      <c r="WMU43" s="292"/>
      <c r="WMV43" s="292"/>
      <c r="WMW43" s="292"/>
      <c r="WMX43" s="292"/>
      <c r="WMY43" s="292"/>
      <c r="WMZ43" s="292"/>
      <c r="WNA43" s="292"/>
      <c r="WNB43" s="292"/>
      <c r="WNC43" s="292"/>
      <c r="WND43" s="292"/>
      <c r="WNE43" s="292"/>
      <c r="WNF43" s="292"/>
      <c r="WNG43" s="292"/>
      <c r="WNH43" s="292"/>
      <c r="WNI43" s="292"/>
      <c r="WNJ43" s="292"/>
      <c r="WNK43" s="292"/>
      <c r="WNL43" s="292"/>
      <c r="WNM43" s="292"/>
      <c r="WNN43" s="292"/>
      <c r="WNO43" s="292"/>
      <c r="WNP43" s="292"/>
      <c r="WNQ43" s="292"/>
      <c r="WNR43" s="292"/>
      <c r="WNS43" s="292"/>
      <c r="WNT43" s="292"/>
      <c r="WNU43" s="292"/>
      <c r="WNV43" s="292"/>
      <c r="WNW43" s="292"/>
      <c r="WNX43" s="292"/>
      <c r="WNY43" s="292"/>
      <c r="WNZ43" s="292"/>
      <c r="WOA43" s="292"/>
      <c r="WOB43" s="292"/>
      <c r="WOC43" s="292"/>
      <c r="WOD43" s="292"/>
      <c r="WOE43" s="292"/>
      <c r="WOF43" s="292"/>
      <c r="WOG43" s="292"/>
      <c r="WOH43" s="292"/>
      <c r="WOI43" s="292"/>
      <c r="WOJ43" s="292"/>
      <c r="WOK43" s="292"/>
      <c r="WOL43" s="292"/>
      <c r="WOM43" s="292"/>
      <c r="WON43" s="292"/>
      <c r="WOO43" s="292"/>
      <c r="WOP43" s="292"/>
      <c r="WOQ43" s="292"/>
      <c r="WOR43" s="292"/>
      <c r="WOS43" s="292"/>
      <c r="WOT43" s="292"/>
      <c r="WOU43" s="292"/>
      <c r="WOV43" s="292"/>
      <c r="WOW43" s="292"/>
      <c r="WOX43" s="292"/>
      <c r="WOY43" s="292"/>
      <c r="WOZ43" s="292"/>
      <c r="WPA43" s="292"/>
      <c r="WPB43" s="292"/>
      <c r="WPC43" s="292"/>
      <c r="WPD43" s="292"/>
      <c r="WPE43" s="292"/>
      <c r="WPF43" s="292"/>
      <c r="WPG43" s="292"/>
      <c r="WPH43" s="292"/>
      <c r="WPI43" s="292"/>
      <c r="WPJ43" s="292"/>
      <c r="WPK43" s="292"/>
      <c r="WPL43" s="292"/>
      <c r="WPM43" s="292"/>
      <c r="WPN43" s="292"/>
      <c r="WPO43" s="292"/>
      <c r="WPP43" s="292"/>
      <c r="WPQ43" s="292"/>
      <c r="WPR43" s="292"/>
      <c r="WPS43" s="292"/>
      <c r="WPT43" s="292"/>
      <c r="WPU43" s="292"/>
      <c r="WPV43" s="292"/>
      <c r="WPW43" s="292"/>
      <c r="WPX43" s="292"/>
      <c r="WPY43" s="292"/>
      <c r="WPZ43" s="292"/>
      <c r="WQA43" s="292"/>
      <c r="WQB43" s="292"/>
      <c r="WQC43" s="292"/>
      <c r="WQD43" s="292"/>
      <c r="WQE43" s="292"/>
      <c r="WQF43" s="292"/>
      <c r="WQG43" s="292"/>
      <c r="WQH43" s="292"/>
      <c r="WQI43" s="292"/>
      <c r="WQJ43" s="292"/>
      <c r="WQK43" s="292"/>
      <c r="WQL43" s="292"/>
      <c r="WQM43" s="292"/>
      <c r="WQN43" s="292"/>
      <c r="WQO43" s="292"/>
      <c r="WQP43" s="292"/>
      <c r="WQQ43" s="292"/>
      <c r="WQR43" s="292"/>
      <c r="WQS43" s="292"/>
      <c r="WQT43" s="292"/>
      <c r="WQU43" s="292"/>
      <c r="WQV43" s="292"/>
      <c r="WQW43" s="292"/>
      <c r="WQX43" s="292"/>
      <c r="WQY43" s="292"/>
      <c r="WQZ43" s="292"/>
      <c r="WRA43" s="292"/>
      <c r="WRB43" s="292"/>
      <c r="WRC43" s="292"/>
      <c r="WRD43" s="292"/>
      <c r="WRE43" s="292"/>
      <c r="WRF43" s="292"/>
      <c r="WRG43" s="292"/>
      <c r="WRH43" s="292"/>
      <c r="WRI43" s="292"/>
      <c r="WRJ43" s="292"/>
      <c r="WRK43" s="292"/>
      <c r="WRL43" s="292"/>
      <c r="WRM43" s="292"/>
      <c r="WRN43" s="292"/>
      <c r="WRO43" s="292"/>
      <c r="WRP43" s="292"/>
      <c r="WRQ43" s="292"/>
      <c r="WRR43" s="292"/>
      <c r="WRS43" s="292"/>
      <c r="WRT43" s="292"/>
      <c r="WRU43" s="292"/>
      <c r="WRV43" s="292"/>
      <c r="WRW43" s="292"/>
      <c r="WRX43" s="292"/>
      <c r="WRY43" s="292"/>
      <c r="WRZ43" s="292"/>
      <c r="WSA43" s="292"/>
      <c r="WSB43" s="292"/>
      <c r="WSC43" s="292"/>
      <c r="WSD43" s="292"/>
      <c r="WSE43" s="292"/>
      <c r="WSF43" s="292"/>
      <c r="WSG43" s="292"/>
      <c r="WSH43" s="292"/>
      <c r="WSI43" s="292"/>
      <c r="WSJ43" s="292"/>
      <c r="WSK43" s="292"/>
      <c r="WSL43" s="292"/>
      <c r="WSM43" s="292"/>
      <c r="WSN43" s="292"/>
      <c r="WSO43" s="292"/>
      <c r="WSP43" s="292"/>
      <c r="WSQ43" s="292"/>
      <c r="WSR43" s="292"/>
      <c r="WSS43" s="292"/>
      <c r="WST43" s="292"/>
      <c r="WSU43" s="292"/>
      <c r="WSV43" s="292"/>
      <c r="WSW43" s="292"/>
      <c r="WSX43" s="292"/>
      <c r="WSY43" s="292"/>
      <c r="WSZ43" s="292"/>
      <c r="WTA43" s="292"/>
      <c r="WTB43" s="292"/>
      <c r="WTC43" s="292"/>
      <c r="WTD43" s="292"/>
      <c r="WTE43" s="292"/>
      <c r="WTF43" s="292"/>
      <c r="WTG43" s="292"/>
      <c r="WTH43" s="292"/>
      <c r="WTI43" s="292"/>
      <c r="WTJ43" s="292"/>
      <c r="WTK43" s="292"/>
      <c r="WTL43" s="292"/>
      <c r="WTM43" s="292"/>
      <c r="WTN43" s="292"/>
      <c r="WTO43" s="292"/>
      <c r="WTP43" s="292"/>
      <c r="WTQ43" s="292"/>
      <c r="WTR43" s="292"/>
      <c r="WTS43" s="292"/>
      <c r="WTT43" s="292"/>
      <c r="WTU43" s="292"/>
      <c r="WTV43" s="292"/>
      <c r="WTW43" s="292"/>
      <c r="WTX43" s="292"/>
      <c r="WTY43" s="292"/>
      <c r="WTZ43" s="292"/>
      <c r="WUA43" s="292"/>
      <c r="WUB43" s="292"/>
      <c r="WUC43" s="292"/>
      <c r="WUD43" s="292"/>
      <c r="WUE43" s="292"/>
      <c r="WUF43" s="292"/>
      <c r="WUG43" s="292"/>
      <c r="WUH43" s="292"/>
      <c r="WUI43" s="292"/>
      <c r="WUJ43" s="292"/>
      <c r="WUK43" s="292"/>
      <c r="WUL43" s="292"/>
      <c r="WUM43" s="292"/>
      <c r="WUN43" s="292"/>
      <c r="WUO43" s="292"/>
      <c r="WUP43" s="292"/>
      <c r="WUQ43" s="292"/>
      <c r="WUR43" s="292"/>
      <c r="WUS43" s="292"/>
      <c r="WUT43" s="292"/>
      <c r="WUU43" s="292"/>
      <c r="WUV43" s="292"/>
      <c r="WUW43" s="292"/>
      <c r="WUX43" s="292"/>
      <c r="WUY43" s="292"/>
      <c r="WUZ43" s="292"/>
      <c r="WVA43" s="292"/>
      <c r="WVB43" s="292"/>
      <c r="WVC43" s="292"/>
      <c r="WVD43" s="292"/>
      <c r="WVE43" s="292"/>
      <c r="WVF43" s="292"/>
      <c r="WVG43" s="292"/>
      <c r="WVH43" s="292"/>
      <c r="WVI43" s="292"/>
      <c r="WVJ43" s="292"/>
      <c r="WVK43" s="292"/>
      <c r="WVL43" s="292"/>
      <c r="WVM43" s="292"/>
      <c r="WVN43" s="292"/>
      <c r="WVO43" s="292"/>
      <c r="WVP43" s="292"/>
      <c r="WVQ43" s="292"/>
      <c r="WVR43" s="292"/>
      <c r="WVS43" s="292"/>
      <c r="WVT43" s="292"/>
      <c r="WVU43" s="292"/>
      <c r="WVV43" s="292"/>
      <c r="WVW43" s="292"/>
      <c r="WVX43" s="292"/>
      <c r="WVY43" s="292"/>
      <c r="WVZ43" s="292"/>
      <c r="WWA43" s="292"/>
      <c r="WWB43" s="292"/>
      <c r="WWC43" s="292"/>
      <c r="WWD43" s="292"/>
      <c r="WWE43" s="292"/>
      <c r="WWF43" s="292"/>
      <c r="WWG43" s="292"/>
      <c r="WWH43" s="292"/>
      <c r="WWI43" s="292"/>
      <c r="WWJ43" s="292"/>
      <c r="WWK43" s="292"/>
      <c r="WWL43" s="292"/>
      <c r="WWM43" s="292"/>
      <c r="WWN43" s="292"/>
      <c r="WWO43" s="292"/>
      <c r="WWP43" s="292"/>
      <c r="WWQ43" s="292"/>
      <c r="WWR43" s="292"/>
      <c r="WWS43" s="292"/>
      <c r="WWT43" s="292"/>
      <c r="WWU43" s="292"/>
      <c r="WWV43" s="292"/>
      <c r="WWW43" s="292"/>
      <c r="WWX43" s="292"/>
      <c r="WWY43" s="292"/>
      <c r="WWZ43" s="292"/>
      <c r="WXA43" s="292"/>
      <c r="WXB43" s="292"/>
      <c r="WXC43" s="292"/>
      <c r="WXD43" s="292"/>
      <c r="WXE43" s="292"/>
      <c r="WXF43" s="292"/>
      <c r="WXG43" s="292"/>
      <c r="WXH43" s="292"/>
      <c r="WXI43" s="292"/>
      <c r="WXJ43" s="292"/>
      <c r="WXK43" s="292"/>
      <c r="WXL43" s="292"/>
      <c r="WXM43" s="292"/>
      <c r="WXN43" s="292"/>
      <c r="WXO43" s="292"/>
      <c r="WXP43" s="292"/>
      <c r="WXQ43" s="292"/>
      <c r="WXR43" s="292"/>
      <c r="WXS43" s="292"/>
      <c r="WXT43" s="292"/>
      <c r="WXU43" s="292"/>
      <c r="WXV43" s="292"/>
      <c r="WXW43" s="292"/>
      <c r="WXX43" s="292"/>
      <c r="WXY43" s="292"/>
      <c r="WXZ43" s="292"/>
      <c r="WYA43" s="292"/>
      <c r="WYB43" s="292"/>
      <c r="WYC43" s="292"/>
      <c r="WYD43" s="292"/>
      <c r="WYE43" s="292"/>
      <c r="WYF43" s="292"/>
      <c r="WYG43" s="292"/>
      <c r="WYH43" s="292"/>
      <c r="WYI43" s="292"/>
      <c r="WYJ43" s="292"/>
      <c r="WYK43" s="292"/>
      <c r="WYL43" s="292"/>
      <c r="WYM43" s="292"/>
      <c r="WYN43" s="292"/>
      <c r="WYO43" s="292"/>
      <c r="WYP43" s="292"/>
      <c r="WYQ43" s="292"/>
      <c r="WYR43" s="292"/>
      <c r="WYS43" s="292"/>
      <c r="WYT43" s="292"/>
      <c r="WYU43" s="292"/>
      <c r="WYV43" s="292"/>
      <c r="WYW43" s="292"/>
      <c r="WYX43" s="292"/>
      <c r="WYY43" s="292"/>
      <c r="WYZ43" s="292"/>
      <c r="WZA43" s="292"/>
      <c r="WZB43" s="292"/>
      <c r="WZC43" s="292"/>
      <c r="WZD43" s="292"/>
      <c r="WZE43" s="292"/>
      <c r="WZF43" s="292"/>
      <c r="WZG43" s="292"/>
      <c r="WZH43" s="292"/>
      <c r="WZI43" s="292"/>
      <c r="WZJ43" s="292"/>
      <c r="WZK43" s="292"/>
      <c r="WZL43" s="292"/>
      <c r="WZM43" s="292"/>
      <c r="WZN43" s="292"/>
      <c r="WZO43" s="292"/>
      <c r="WZP43" s="292"/>
      <c r="WZQ43" s="292"/>
      <c r="WZR43" s="292"/>
      <c r="WZS43" s="292"/>
      <c r="WZT43" s="292"/>
      <c r="WZU43" s="292"/>
      <c r="WZV43" s="292"/>
      <c r="WZW43" s="292"/>
      <c r="WZX43" s="292"/>
      <c r="WZY43" s="292"/>
      <c r="WZZ43" s="292"/>
      <c r="XAA43" s="292"/>
      <c r="XAB43" s="292"/>
      <c r="XAC43" s="292"/>
      <c r="XAD43" s="292"/>
      <c r="XAE43" s="292"/>
      <c r="XAF43" s="292"/>
      <c r="XAG43" s="292"/>
      <c r="XAH43" s="292"/>
      <c r="XAI43" s="292"/>
      <c r="XAJ43" s="292"/>
      <c r="XAK43" s="292"/>
      <c r="XAL43" s="292"/>
      <c r="XAM43" s="292"/>
      <c r="XAN43" s="292"/>
      <c r="XAO43" s="292"/>
      <c r="XAP43" s="292"/>
      <c r="XAQ43" s="292"/>
      <c r="XAR43" s="292"/>
      <c r="XAS43" s="292"/>
      <c r="XAT43" s="292"/>
      <c r="XAU43" s="292"/>
      <c r="XAV43" s="292"/>
      <c r="XAW43" s="292"/>
      <c r="XAX43" s="292"/>
      <c r="XAY43" s="292"/>
      <c r="XAZ43" s="292"/>
      <c r="XBA43" s="292"/>
      <c r="XBB43" s="292"/>
      <c r="XBC43" s="292"/>
      <c r="XBD43" s="292"/>
      <c r="XBE43" s="292"/>
      <c r="XBF43" s="292"/>
      <c r="XBG43" s="292"/>
      <c r="XBH43" s="292"/>
      <c r="XBI43" s="292"/>
      <c r="XBJ43" s="292"/>
      <c r="XBK43" s="292"/>
      <c r="XBL43" s="292"/>
      <c r="XBM43" s="292"/>
      <c r="XBN43" s="292"/>
      <c r="XBO43" s="292"/>
      <c r="XBP43" s="292"/>
      <c r="XBQ43" s="292"/>
      <c r="XBR43" s="292"/>
      <c r="XBS43" s="292"/>
      <c r="XBT43" s="292"/>
      <c r="XBU43" s="292"/>
      <c r="XBV43" s="292"/>
      <c r="XBW43" s="292"/>
      <c r="XBX43" s="292"/>
      <c r="XBY43" s="292"/>
      <c r="XBZ43" s="292"/>
      <c r="XCA43" s="292"/>
      <c r="XCB43" s="292"/>
      <c r="XCC43" s="292"/>
      <c r="XCD43" s="292"/>
      <c r="XCE43" s="292"/>
      <c r="XCF43" s="292"/>
      <c r="XCG43" s="292"/>
      <c r="XCH43" s="292"/>
      <c r="XCI43" s="292"/>
      <c r="XCJ43" s="292"/>
      <c r="XCK43" s="292"/>
      <c r="XCL43" s="292"/>
      <c r="XCM43" s="292"/>
      <c r="XCN43" s="292"/>
      <c r="XCO43" s="292"/>
      <c r="XCP43" s="292"/>
      <c r="XCQ43" s="292"/>
      <c r="XCR43" s="292"/>
      <c r="XCS43" s="292"/>
      <c r="XCT43" s="292"/>
      <c r="XCU43" s="292"/>
      <c r="XCV43" s="292"/>
      <c r="XCW43" s="292"/>
      <c r="XCX43" s="292"/>
      <c r="XCY43" s="292"/>
      <c r="XCZ43" s="292"/>
      <c r="XDA43" s="292"/>
      <c r="XDB43" s="292"/>
      <c r="XDC43" s="292"/>
      <c r="XDD43" s="292"/>
      <c r="XDE43" s="292"/>
      <c r="XDF43" s="292"/>
      <c r="XDG43" s="292"/>
      <c r="XDH43" s="292"/>
      <c r="XDI43" s="292"/>
      <c r="XDJ43" s="292"/>
      <c r="XDK43" s="292"/>
      <c r="XDL43" s="292"/>
      <c r="XDM43" s="292"/>
      <c r="XDN43" s="292"/>
      <c r="XDO43" s="292"/>
      <c r="XDP43" s="292"/>
      <c r="XDQ43" s="292"/>
      <c r="XDR43" s="292"/>
      <c r="XDS43" s="292"/>
      <c r="XDT43" s="292"/>
      <c r="XDU43" s="292"/>
      <c r="XDV43" s="292"/>
      <c r="XDW43" s="292"/>
      <c r="XDX43" s="292"/>
      <c r="XDY43" s="292"/>
      <c r="XDZ43" s="292"/>
      <c r="XEA43" s="292"/>
      <c r="XEB43" s="292"/>
      <c r="XEC43" s="292"/>
      <c r="XED43" s="292"/>
      <c r="XEE43" s="292"/>
      <c r="XEF43" s="292"/>
      <c r="XEG43" s="292"/>
      <c r="XEH43" s="292"/>
      <c r="XEI43" s="292"/>
      <c r="XEJ43" s="292"/>
      <c r="XEK43" s="292"/>
      <c r="XEL43" s="292"/>
      <c r="XEM43" s="292"/>
      <c r="XEN43" s="292"/>
      <c r="XEO43" s="292"/>
      <c r="XEP43" s="292"/>
      <c r="XEQ43" s="292"/>
      <c r="XER43" s="292"/>
      <c r="XES43" s="292"/>
      <c r="XET43" s="292"/>
      <c r="XEU43" s="292"/>
      <c r="XEV43" s="292"/>
      <c r="XEW43" s="292"/>
      <c r="XEX43" s="292"/>
      <c r="XEY43" s="292"/>
      <c r="XEZ43" s="292"/>
      <c r="XFA43" s="292"/>
      <c r="XFB43" s="292"/>
      <c r="XFC43" s="292"/>
      <c r="XFD43" s="292"/>
    </row>
    <row r="44" ht="15.75" customHeight="1">
      <c r="A44" s="292"/>
      <c r="B44" s="292"/>
      <c r="C44" s="292"/>
      <c r="D44" s="292"/>
      <c r="E44" s="292"/>
      <c r="F44" s="292"/>
      <c r="G44" s="292"/>
      <c r="H44" s="292"/>
      <c r="I44" s="292"/>
      <c r="J44" s="292"/>
      <c r="K44" s="292"/>
      <c r="L44" s="292"/>
      <c r="M44" s="292"/>
      <c r="N44" s="292"/>
      <c r="O44" s="292"/>
      <c r="P44" s="292"/>
      <c r="Q44" s="292"/>
      <c r="R44" s="292"/>
      <c r="S44" s="292"/>
      <c r="T44" s="292"/>
      <c r="U44" s="292"/>
      <c r="V44" s="292"/>
      <c r="W44" s="292"/>
      <c r="X44" s="292"/>
      <c r="Y44" s="292"/>
      <c r="Z44" s="292"/>
      <c r="AA44" s="292"/>
      <c r="AB44" s="292"/>
      <c r="AC44" s="292"/>
      <c r="AD44" s="292"/>
      <c r="AE44" s="292"/>
      <c r="AF44" s="292"/>
      <c r="AG44" s="292"/>
      <c r="AH44" s="292"/>
      <c r="AI44" s="292"/>
      <c r="AJ44" s="292"/>
      <c r="AK44" s="292"/>
      <c r="AL44" s="292"/>
      <c r="AM44" s="292"/>
      <c r="AN44" s="292"/>
      <c r="AO44" s="292"/>
      <c r="AP44" s="292"/>
      <c r="AQ44" s="292"/>
      <c r="AR44" s="292"/>
      <c r="AS44" s="292"/>
      <c r="AT44" s="292"/>
      <c r="AU44" s="292"/>
      <c r="AV44" s="292"/>
      <c r="AW44" s="292"/>
      <c r="AX44" s="292"/>
      <c r="AY44" s="292"/>
      <c r="AZ44" s="292"/>
      <c r="BA44" s="292"/>
      <c r="BB44" s="292"/>
      <c r="BC44" s="292"/>
      <c r="BD44" s="292"/>
      <c r="BE44" s="292"/>
      <c r="BF44" s="292"/>
      <c r="BG44" s="292"/>
      <c r="BH44" s="292"/>
      <c r="BI44" s="292"/>
      <c r="BJ44" s="292"/>
      <c r="BK44" s="292"/>
      <c r="BL44" s="292"/>
      <c r="BM44" s="292"/>
      <c r="BN44" s="292"/>
      <c r="BO44" s="292"/>
      <c r="BP44" s="292"/>
      <c r="BQ44" s="292"/>
      <c r="BR44" s="292"/>
      <c r="BS44" s="292"/>
      <c r="BT44" s="292"/>
      <c r="BU44" s="292"/>
      <c r="BV44" s="292"/>
      <c r="BW44" s="292"/>
      <c r="BX44" s="292"/>
      <c r="BY44" s="292"/>
      <c r="BZ44" s="292"/>
      <c r="CA44" s="292"/>
      <c r="CB44" s="292"/>
      <c r="CC44" s="292"/>
      <c r="CD44" s="292"/>
      <c r="CE44" s="292"/>
      <c r="CF44" s="292"/>
      <c r="CG44" s="292"/>
      <c r="CH44" s="292"/>
      <c r="CI44" s="292"/>
      <c r="CJ44" s="292"/>
      <c r="CK44" s="292"/>
      <c r="CL44" s="292"/>
      <c r="CM44" s="292"/>
      <c r="CN44" s="292"/>
      <c r="CO44" s="292"/>
      <c r="CP44" s="292"/>
      <c r="CQ44" s="292"/>
      <c r="CR44" s="292"/>
      <c r="CS44" s="292"/>
      <c r="CT44" s="292"/>
      <c r="CU44" s="292"/>
      <c r="CV44" s="292"/>
      <c r="CW44" s="292"/>
      <c r="CX44" s="292"/>
      <c r="CY44" s="292"/>
      <c r="CZ44" s="292"/>
      <c r="DA44" s="292"/>
      <c r="DB44" s="292"/>
      <c r="DC44" s="292"/>
      <c r="DD44" s="292"/>
      <c r="DE44" s="292"/>
      <c r="DF44" s="292"/>
      <c r="DG44" s="292"/>
      <c r="DH44" s="292"/>
      <c r="DI44" s="292"/>
      <c r="DJ44" s="292"/>
      <c r="DK44" s="292"/>
      <c r="DL44" s="292"/>
      <c r="DM44" s="292"/>
      <c r="DN44" s="292"/>
      <c r="DO44" s="292"/>
      <c r="DP44" s="292"/>
      <c r="DQ44" s="292"/>
      <c r="DR44" s="292"/>
      <c r="DS44" s="292"/>
      <c r="DT44" s="292"/>
      <c r="DU44" s="292"/>
      <c r="DV44" s="292"/>
      <c r="DW44" s="292"/>
      <c r="DX44" s="292"/>
      <c r="DY44" s="292"/>
      <c r="DZ44" s="292"/>
      <c r="EA44" s="292"/>
      <c r="EB44" s="292"/>
      <c r="EC44" s="292"/>
      <c r="ED44" s="292"/>
      <c r="EE44" s="292"/>
      <c r="EF44" s="292"/>
      <c r="EG44" s="292"/>
      <c r="EH44" s="292"/>
      <c r="EI44" s="292"/>
      <c r="EJ44" s="292"/>
      <c r="EK44" s="292"/>
      <c r="EL44" s="292"/>
      <c r="EM44" s="292"/>
      <c r="EN44" s="292"/>
      <c r="EO44" s="292"/>
      <c r="EP44" s="292"/>
      <c r="EQ44" s="292"/>
      <c r="ER44" s="292"/>
      <c r="ES44" s="292"/>
      <c r="ET44" s="292"/>
      <c r="EU44" s="292"/>
      <c r="EV44" s="292"/>
      <c r="EW44" s="292"/>
      <c r="EX44" s="292"/>
      <c r="EY44" s="292"/>
      <c r="EZ44" s="292"/>
      <c r="FA44" s="292"/>
      <c r="FB44" s="292"/>
      <c r="FC44" s="292"/>
      <c r="FD44" s="292"/>
      <c r="FE44" s="292"/>
      <c r="FF44" s="292"/>
      <c r="FG44" s="292"/>
      <c r="FH44" s="292"/>
      <c r="FI44" s="292"/>
      <c r="FJ44" s="292"/>
      <c r="FK44" s="292"/>
      <c r="FL44" s="292"/>
      <c r="FM44" s="292"/>
      <c r="FN44" s="292"/>
      <c r="FO44" s="292"/>
      <c r="FP44" s="292"/>
      <c r="FQ44" s="292"/>
      <c r="FR44" s="292"/>
      <c r="FS44" s="292"/>
      <c r="FT44" s="292"/>
      <c r="FU44" s="292"/>
      <c r="FV44" s="292"/>
      <c r="FW44" s="292"/>
      <c r="FX44" s="292"/>
      <c r="FY44" s="292"/>
      <c r="FZ44" s="292"/>
      <c r="GA44" s="292"/>
      <c r="GB44" s="292"/>
      <c r="GC44" s="292"/>
      <c r="GD44" s="292"/>
      <c r="GE44" s="292"/>
      <c r="GF44" s="292"/>
      <c r="GG44" s="292"/>
      <c r="GH44" s="292"/>
      <c r="GI44" s="292"/>
      <c r="GJ44" s="292"/>
      <c r="GK44" s="292"/>
      <c r="GL44" s="292"/>
      <c r="GM44" s="292"/>
      <c r="GN44" s="292"/>
      <c r="GO44" s="292"/>
      <c r="GP44" s="292"/>
      <c r="GQ44" s="292"/>
      <c r="GR44" s="292"/>
      <c r="GS44" s="292"/>
      <c r="GT44" s="292"/>
      <c r="GU44" s="292"/>
      <c r="GV44" s="292"/>
      <c r="GW44" s="292"/>
      <c r="GX44" s="292"/>
      <c r="GY44" s="292"/>
      <c r="GZ44" s="292"/>
      <c r="HA44" s="292"/>
      <c r="HB44" s="292"/>
      <c r="HC44" s="292"/>
      <c r="HD44" s="292"/>
      <c r="HE44" s="292"/>
      <c r="HF44" s="292"/>
      <c r="HG44" s="292"/>
      <c r="HH44" s="292"/>
      <c r="HI44" s="292"/>
      <c r="HJ44" s="292"/>
      <c r="HK44" s="292"/>
      <c r="HL44" s="292"/>
      <c r="HM44" s="292"/>
      <c r="HN44" s="292"/>
      <c r="HO44" s="292"/>
      <c r="HP44" s="292"/>
      <c r="HQ44" s="292"/>
      <c r="HR44" s="292"/>
      <c r="HS44" s="292"/>
      <c r="HT44" s="292"/>
      <c r="HU44" s="292"/>
      <c r="HV44" s="292"/>
      <c r="HW44" s="292"/>
      <c r="HX44" s="292"/>
      <c r="HY44" s="292"/>
      <c r="HZ44" s="292"/>
      <c r="IA44" s="292"/>
      <c r="IB44" s="292"/>
      <c r="IC44" s="292"/>
      <c r="ID44" s="292"/>
      <c r="IE44" s="292"/>
      <c r="IF44" s="292"/>
      <c r="IG44" s="292"/>
      <c r="IH44" s="292"/>
      <c r="II44" s="292"/>
      <c r="IJ44" s="292"/>
      <c r="IK44" s="292"/>
      <c r="IL44" s="292"/>
      <c r="IM44" s="292"/>
      <c r="IN44" s="292"/>
      <c r="IO44" s="292"/>
      <c r="IP44" s="292"/>
      <c r="IQ44" s="292"/>
      <c r="IR44" s="292"/>
      <c r="IS44" s="292"/>
      <c r="IT44" s="292"/>
      <c r="IU44" s="292"/>
      <c r="IV44" s="292"/>
      <c r="IW44" s="292"/>
      <c r="IX44" s="292"/>
      <c r="IY44" s="292"/>
      <c r="IZ44" s="292"/>
      <c r="JA44" s="292"/>
      <c r="JB44" s="292"/>
      <c r="JC44" s="292"/>
      <c r="JD44" s="292"/>
      <c r="JE44" s="292"/>
      <c r="JF44" s="292"/>
      <c r="JG44" s="292"/>
      <c r="JH44" s="292"/>
      <c r="JI44" s="292"/>
      <c r="JJ44" s="292"/>
      <c r="JK44" s="292"/>
      <c r="JL44" s="292"/>
      <c r="JM44" s="292"/>
      <c r="JN44" s="292"/>
      <c r="JO44" s="292"/>
      <c r="JP44" s="292"/>
      <c r="JQ44" s="292"/>
      <c r="JR44" s="292"/>
      <c r="JS44" s="292"/>
      <c r="JT44" s="292"/>
      <c r="JU44" s="292"/>
      <c r="JV44" s="292"/>
      <c r="JW44" s="292"/>
      <c r="JX44" s="292"/>
      <c r="JY44" s="292"/>
      <c r="JZ44" s="292"/>
      <c r="KA44" s="292"/>
      <c r="KB44" s="292"/>
      <c r="KC44" s="292"/>
      <c r="KD44" s="292"/>
      <c r="KE44" s="292"/>
      <c r="KF44" s="292"/>
      <c r="KG44" s="292"/>
      <c r="KH44" s="292"/>
      <c r="KI44" s="292"/>
      <c r="KJ44" s="292"/>
      <c r="KK44" s="292"/>
      <c r="KL44" s="292"/>
      <c r="KM44" s="292"/>
      <c r="KN44" s="292"/>
      <c r="KO44" s="292"/>
      <c r="KP44" s="292"/>
      <c r="KQ44" s="292"/>
      <c r="KR44" s="292"/>
      <c r="KS44" s="292"/>
      <c r="KT44" s="292"/>
      <c r="KU44" s="292"/>
      <c r="KV44" s="292"/>
      <c r="KW44" s="292"/>
      <c r="KX44" s="292"/>
      <c r="KY44" s="292"/>
      <c r="KZ44" s="292"/>
      <c r="LA44" s="292"/>
      <c r="LB44" s="292"/>
      <c r="LC44" s="292"/>
      <c r="LD44" s="292"/>
      <c r="LE44" s="292"/>
      <c r="LF44" s="292"/>
      <c r="LG44" s="292"/>
      <c r="LH44" s="292"/>
      <c r="LI44" s="292"/>
      <c r="LJ44" s="292"/>
      <c r="LK44" s="292"/>
      <c r="LL44" s="292"/>
      <c r="LM44" s="292"/>
      <c r="LN44" s="292"/>
      <c r="LO44" s="292"/>
      <c r="LP44" s="292"/>
      <c r="LQ44" s="292"/>
      <c r="LR44" s="292"/>
      <c r="LS44" s="292"/>
      <c r="LT44" s="292"/>
      <c r="LU44" s="292"/>
      <c r="LV44" s="292"/>
      <c r="LW44" s="292"/>
      <c r="LX44" s="292"/>
      <c r="LY44" s="292"/>
      <c r="LZ44" s="292"/>
      <c r="MA44" s="292"/>
      <c r="MB44" s="292"/>
      <c r="MC44" s="292"/>
      <c r="MD44" s="292"/>
      <c r="ME44" s="292"/>
      <c r="MF44" s="292"/>
      <c r="MG44" s="292"/>
      <c r="MH44" s="292"/>
      <c r="MI44" s="292"/>
      <c r="MJ44" s="292"/>
      <c r="MK44" s="292"/>
      <c r="ML44" s="292"/>
      <c r="MM44" s="292"/>
      <c r="MN44" s="292"/>
      <c r="MO44" s="292"/>
      <c r="MP44" s="292"/>
      <c r="MQ44" s="292"/>
      <c r="MR44" s="292"/>
      <c r="MS44" s="292"/>
      <c r="MT44" s="292"/>
      <c r="MU44" s="292"/>
      <c r="MV44" s="292"/>
      <c r="MW44" s="292"/>
      <c r="MX44" s="292"/>
      <c r="MY44" s="292"/>
      <c r="MZ44" s="292"/>
      <c r="NA44" s="292"/>
      <c r="NB44" s="292"/>
      <c r="NC44" s="292"/>
      <c r="ND44" s="292"/>
      <c r="NE44" s="292"/>
      <c r="NF44" s="292"/>
      <c r="NG44" s="292"/>
      <c r="NH44" s="292"/>
      <c r="NI44" s="292"/>
      <c r="NJ44" s="292"/>
      <c r="NK44" s="292"/>
      <c r="NL44" s="292"/>
      <c r="NM44" s="292"/>
      <c r="NN44" s="292"/>
      <c r="NO44" s="292"/>
      <c r="NP44" s="292"/>
      <c r="NQ44" s="292"/>
      <c r="NR44" s="292"/>
      <c r="NS44" s="292"/>
      <c r="NT44" s="292"/>
      <c r="NU44" s="292"/>
      <c r="NV44" s="292"/>
      <c r="NW44" s="292"/>
      <c r="NX44" s="292"/>
      <c r="NY44" s="292"/>
      <c r="NZ44" s="292"/>
      <c r="OA44" s="292"/>
      <c r="OB44" s="292"/>
      <c r="OC44" s="292"/>
      <c r="OD44" s="292"/>
      <c r="OE44" s="292"/>
      <c r="OF44" s="292"/>
      <c r="OG44" s="292"/>
      <c r="OH44" s="292"/>
      <c r="OI44" s="292"/>
      <c r="OJ44" s="292"/>
      <c r="OK44" s="292"/>
      <c r="OL44" s="292"/>
      <c r="OM44" s="292"/>
      <c r="ON44" s="292"/>
      <c r="OO44" s="292"/>
      <c r="OP44" s="292"/>
      <c r="OQ44" s="292"/>
      <c r="OR44" s="292"/>
      <c r="OS44" s="292"/>
      <c r="OT44" s="292"/>
      <c r="OU44" s="292"/>
      <c r="OV44" s="292"/>
      <c r="OW44" s="292"/>
      <c r="OX44" s="292"/>
      <c r="OY44" s="292"/>
      <c r="OZ44" s="292"/>
      <c r="PA44" s="292"/>
      <c r="PB44" s="292"/>
      <c r="PC44" s="292"/>
      <c r="PD44" s="292"/>
      <c r="PE44" s="292"/>
      <c r="PF44" s="292"/>
      <c r="PG44" s="292"/>
      <c r="PH44" s="292"/>
      <c r="PI44" s="292"/>
      <c r="PJ44" s="292"/>
      <c r="PK44" s="292"/>
      <c r="PL44" s="292"/>
      <c r="PM44" s="292"/>
      <c r="PN44" s="292"/>
      <c r="PO44" s="292"/>
      <c r="PP44" s="292"/>
      <c r="PQ44" s="292"/>
      <c r="PR44" s="292"/>
      <c r="PS44" s="292"/>
      <c r="PT44" s="292"/>
      <c r="PU44" s="292"/>
      <c r="PV44" s="292"/>
      <c r="PW44" s="292"/>
      <c r="PX44" s="292"/>
      <c r="PY44" s="292"/>
      <c r="PZ44" s="292"/>
      <c r="QA44" s="292"/>
      <c r="QB44" s="292"/>
      <c r="QC44" s="292"/>
      <c r="QD44" s="292"/>
      <c r="QE44" s="292"/>
      <c r="QF44" s="292"/>
      <c r="QG44" s="292"/>
      <c r="QH44" s="292"/>
      <c r="QI44" s="292"/>
      <c r="QJ44" s="292"/>
      <c r="QK44" s="292"/>
      <c r="QL44" s="292"/>
      <c r="QM44" s="292"/>
      <c r="QN44" s="292"/>
      <c r="QO44" s="292"/>
      <c r="QP44" s="292"/>
      <c r="QQ44" s="292"/>
      <c r="QR44" s="292"/>
      <c r="QS44" s="292"/>
      <c r="QT44" s="292"/>
      <c r="QU44" s="292"/>
      <c r="QV44" s="292"/>
      <c r="QW44" s="292"/>
      <c r="QX44" s="292"/>
      <c r="QY44" s="292"/>
      <c r="QZ44" s="292"/>
      <c r="RA44" s="292"/>
      <c r="RB44" s="292"/>
      <c r="RC44" s="292"/>
      <c r="RD44" s="292"/>
      <c r="RE44" s="292"/>
      <c r="RF44" s="292"/>
      <c r="RG44" s="292"/>
      <c r="RH44" s="292"/>
      <c r="RI44" s="292"/>
      <c r="RJ44" s="292"/>
      <c r="RK44" s="292"/>
      <c r="RL44" s="292"/>
      <c r="RM44" s="292"/>
      <c r="RN44" s="292"/>
      <c r="RO44" s="292"/>
      <c r="RP44" s="292"/>
      <c r="RQ44" s="292"/>
      <c r="RR44" s="292"/>
      <c r="RS44" s="292"/>
      <c r="RT44" s="292"/>
      <c r="RU44" s="292"/>
      <c r="RV44" s="292"/>
      <c r="RW44" s="292"/>
      <c r="RX44" s="292"/>
      <c r="RY44" s="292"/>
      <c r="RZ44" s="292"/>
      <c r="SA44" s="292"/>
      <c r="SB44" s="292"/>
      <c r="SC44" s="292"/>
      <c r="SD44" s="292"/>
      <c r="SE44" s="292"/>
      <c r="SF44" s="292"/>
      <c r="SG44" s="292"/>
      <c r="SH44" s="292"/>
      <c r="SI44" s="292"/>
      <c r="SJ44" s="292"/>
      <c r="SK44" s="292"/>
      <c r="SL44" s="292"/>
      <c r="SM44" s="292"/>
      <c r="SN44" s="292"/>
      <c r="SO44" s="292"/>
      <c r="SP44" s="292"/>
      <c r="SQ44" s="292"/>
      <c r="SR44" s="292"/>
      <c r="SS44" s="292"/>
      <c r="ST44" s="292"/>
      <c r="SU44" s="292"/>
      <c r="SV44" s="292"/>
      <c r="SW44" s="292"/>
      <c r="SX44" s="292"/>
      <c r="SY44" s="292"/>
      <c r="SZ44" s="292"/>
      <c r="TA44" s="292"/>
      <c r="TB44" s="292"/>
      <c r="TC44" s="292"/>
      <c r="TD44" s="292"/>
      <c r="TE44" s="292"/>
      <c r="TF44" s="292"/>
      <c r="TG44" s="292"/>
      <c r="TH44" s="292"/>
      <c r="TI44" s="292"/>
      <c r="TJ44" s="292"/>
      <c r="TK44" s="292"/>
      <c r="TL44" s="292"/>
      <c r="TM44" s="292"/>
      <c r="TN44" s="292"/>
      <c r="TO44" s="292"/>
      <c r="TP44" s="292"/>
      <c r="TQ44" s="292"/>
      <c r="TR44" s="292"/>
      <c r="TS44" s="292"/>
      <c r="TT44" s="292"/>
      <c r="TU44" s="292"/>
      <c r="TV44" s="292"/>
      <c r="TW44" s="292"/>
      <c r="TX44" s="292"/>
      <c r="TY44" s="292"/>
      <c r="TZ44" s="292"/>
      <c r="UA44" s="292"/>
      <c r="UB44" s="292"/>
      <c r="UC44" s="292"/>
      <c r="UD44" s="292"/>
      <c r="UE44" s="292"/>
      <c r="UF44" s="292"/>
      <c r="UG44" s="292"/>
      <c r="UH44" s="292"/>
      <c r="UI44" s="292"/>
      <c r="UJ44" s="292"/>
      <c r="UK44" s="292"/>
      <c r="UL44" s="292"/>
      <c r="UM44" s="292"/>
      <c r="UN44" s="292"/>
      <c r="UO44" s="292"/>
      <c r="UP44" s="292"/>
      <c r="UQ44" s="292"/>
      <c r="UR44" s="292"/>
      <c r="US44" s="292"/>
      <c r="UT44" s="292"/>
      <c r="UU44" s="292"/>
      <c r="UV44" s="292"/>
      <c r="UW44" s="292"/>
      <c r="UX44" s="292"/>
      <c r="UY44" s="292"/>
      <c r="UZ44" s="292"/>
      <c r="VA44" s="292"/>
      <c r="VB44" s="292"/>
      <c r="VC44" s="292"/>
      <c r="VD44" s="292"/>
      <c r="VE44" s="292"/>
      <c r="VF44" s="292"/>
      <c r="VG44" s="292"/>
      <c r="VH44" s="292"/>
      <c r="VI44" s="292"/>
      <c r="VJ44" s="292"/>
      <c r="VK44" s="292"/>
      <c r="VL44" s="292"/>
      <c r="VM44" s="292"/>
      <c r="VN44" s="292"/>
      <c r="VO44" s="292"/>
      <c r="VP44" s="292"/>
      <c r="VQ44" s="292"/>
      <c r="VR44" s="292"/>
      <c r="VS44" s="292"/>
      <c r="VT44" s="292"/>
      <c r="VU44" s="292"/>
      <c r="VV44" s="292"/>
      <c r="VW44" s="292"/>
      <c r="VX44" s="292"/>
      <c r="VY44" s="292"/>
      <c r="VZ44" s="292"/>
      <c r="WA44" s="292"/>
      <c r="WB44" s="292"/>
      <c r="WC44" s="292"/>
      <c r="WD44" s="292"/>
      <c r="WE44" s="292"/>
      <c r="WF44" s="292"/>
      <c r="WG44" s="292"/>
      <c r="WH44" s="292"/>
      <c r="WI44" s="292"/>
      <c r="WJ44" s="292"/>
      <c r="WK44" s="292"/>
      <c r="WL44" s="292"/>
      <c r="WM44" s="292"/>
      <c r="WN44" s="292"/>
      <c r="WO44" s="292"/>
      <c r="WP44" s="292"/>
      <c r="WQ44" s="292"/>
      <c r="WR44" s="292"/>
      <c r="WS44" s="292"/>
      <c r="WT44" s="292"/>
      <c r="WU44" s="292"/>
      <c r="WV44" s="292"/>
      <c r="WW44" s="292"/>
      <c r="WX44" s="292"/>
      <c r="WY44" s="292"/>
      <c r="WZ44" s="292"/>
      <c r="XA44" s="292"/>
      <c r="XB44" s="292"/>
      <c r="XC44" s="292"/>
      <c r="XD44" s="292"/>
      <c r="XE44" s="292"/>
      <c r="XF44" s="292"/>
      <c r="XG44" s="292"/>
      <c r="XH44" s="292"/>
      <c r="XI44" s="292"/>
      <c r="XJ44" s="292"/>
      <c r="XK44" s="292"/>
      <c r="XL44" s="292"/>
      <c r="XM44" s="292"/>
      <c r="XN44" s="292"/>
      <c r="XO44" s="292"/>
      <c r="XP44" s="292"/>
      <c r="XQ44" s="292"/>
      <c r="XR44" s="292"/>
      <c r="XS44" s="292"/>
      <c r="XT44" s="292"/>
      <c r="XU44" s="292"/>
      <c r="XV44" s="292"/>
      <c r="XW44" s="292"/>
      <c r="XX44" s="292"/>
      <c r="XY44" s="292"/>
      <c r="XZ44" s="292"/>
      <c r="YA44" s="292"/>
      <c r="YB44" s="292"/>
      <c r="YC44" s="292"/>
      <c r="YD44" s="292"/>
      <c r="YE44" s="292"/>
      <c r="YF44" s="292"/>
      <c r="YG44" s="292"/>
      <c r="YH44" s="292"/>
      <c r="YI44" s="292"/>
      <c r="YJ44" s="292"/>
      <c r="YK44" s="292"/>
      <c r="YL44" s="292"/>
      <c r="YM44" s="292"/>
      <c r="YN44" s="292"/>
      <c r="YO44" s="292"/>
      <c r="YP44" s="292"/>
      <c r="YQ44" s="292"/>
      <c r="YR44" s="292"/>
      <c r="YS44" s="292"/>
      <c r="YT44" s="292"/>
      <c r="YU44" s="292"/>
      <c r="YV44" s="292"/>
      <c r="YW44" s="292"/>
      <c r="YX44" s="292"/>
      <c r="YY44" s="292"/>
      <c r="YZ44" s="292"/>
      <c r="ZA44" s="292"/>
      <c r="ZB44" s="292"/>
      <c r="ZC44" s="292"/>
      <c r="ZD44" s="292"/>
      <c r="ZE44" s="292"/>
      <c r="ZF44" s="292"/>
      <c r="ZG44" s="292"/>
      <c r="ZH44" s="292"/>
      <c r="ZI44" s="292"/>
      <c r="ZJ44" s="292"/>
      <c r="ZK44" s="292"/>
      <c r="ZL44" s="292"/>
      <c r="ZM44" s="292"/>
      <c r="ZN44" s="292"/>
      <c r="ZO44" s="292"/>
      <c r="ZP44" s="292"/>
      <c r="ZQ44" s="292"/>
      <c r="ZR44" s="292"/>
      <c r="ZS44" s="292"/>
      <c r="ZT44" s="292"/>
      <c r="ZU44" s="292"/>
      <c r="ZV44" s="292"/>
      <c r="ZW44" s="292"/>
      <c r="ZX44" s="292"/>
      <c r="ZY44" s="292"/>
      <c r="ZZ44" s="292"/>
      <c r="AAA44" s="292"/>
      <c r="AAB44" s="292"/>
      <c r="AAC44" s="292"/>
      <c r="AAD44" s="292"/>
      <c r="AAE44" s="292"/>
      <c r="AAF44" s="292"/>
      <c r="AAG44" s="292"/>
      <c r="AAH44" s="292"/>
      <c r="AAI44" s="292"/>
      <c r="AAJ44" s="292"/>
      <c r="AAK44" s="292"/>
      <c r="AAL44" s="292"/>
      <c r="AAM44" s="292"/>
      <c r="AAN44" s="292"/>
      <c r="AAO44" s="292"/>
      <c r="AAP44" s="292"/>
      <c r="AAQ44" s="292"/>
      <c r="AAR44" s="292"/>
      <c r="AAS44" s="292"/>
      <c r="AAT44" s="292"/>
      <c r="AAU44" s="292"/>
      <c r="AAV44" s="292"/>
      <c r="AAW44" s="292"/>
      <c r="AAX44" s="292"/>
      <c r="AAY44" s="292"/>
      <c r="AAZ44" s="292"/>
      <c r="ABA44" s="292"/>
      <c r="ABB44" s="292"/>
      <c r="ABC44" s="292"/>
      <c r="ABD44" s="292"/>
      <c r="ABE44" s="292"/>
      <c r="ABF44" s="292"/>
      <c r="ABG44" s="292"/>
      <c r="ABH44" s="292"/>
      <c r="ABI44" s="292"/>
      <c r="ABJ44" s="292"/>
      <c r="ABK44" s="292"/>
      <c r="ABL44" s="292"/>
      <c r="ABM44" s="292"/>
      <c r="ABN44" s="292"/>
      <c r="ABO44" s="292"/>
      <c r="ABP44" s="292"/>
      <c r="ABQ44" s="292"/>
      <c r="ABR44" s="292"/>
      <c r="ABS44" s="292"/>
      <c r="ABT44" s="292"/>
      <c r="ABU44" s="292"/>
      <c r="ABV44" s="292"/>
      <c r="ABW44" s="292"/>
      <c r="ABX44" s="292"/>
      <c r="ABY44" s="292"/>
      <c r="ABZ44" s="292"/>
      <c r="ACA44" s="292"/>
      <c r="ACB44" s="292"/>
      <c r="ACC44" s="292"/>
      <c r="ACD44" s="292"/>
      <c r="ACE44" s="292"/>
      <c r="ACF44" s="292"/>
      <c r="ACG44" s="292"/>
      <c r="ACH44" s="292"/>
      <c r="ACI44" s="292"/>
      <c r="ACJ44" s="292"/>
      <c r="ACK44" s="292"/>
      <c r="ACL44" s="292"/>
      <c r="ACM44" s="292"/>
      <c r="ACN44" s="292"/>
      <c r="ACO44" s="292"/>
      <c r="ACP44" s="292"/>
      <c r="ACQ44" s="292"/>
      <c r="ACR44" s="292"/>
      <c r="ACS44" s="292"/>
      <c r="ACT44" s="292"/>
      <c r="ACU44" s="292"/>
      <c r="ACV44" s="292"/>
      <c r="ACW44" s="292"/>
      <c r="ACX44" s="292"/>
      <c r="ACY44" s="292"/>
      <c r="ACZ44" s="292"/>
      <c r="ADA44" s="292"/>
      <c r="ADB44" s="292"/>
      <c r="ADC44" s="292"/>
      <c r="ADD44" s="292"/>
      <c r="ADE44" s="292"/>
      <c r="ADF44" s="292"/>
      <c r="ADG44" s="292"/>
      <c r="ADH44" s="292"/>
      <c r="ADI44" s="292"/>
      <c r="ADJ44" s="292"/>
      <c r="ADK44" s="292"/>
      <c r="ADL44" s="292"/>
      <c r="ADM44" s="292"/>
      <c r="ADN44" s="292"/>
      <c r="ADO44" s="292"/>
      <c r="ADP44" s="292"/>
      <c r="ADQ44" s="292"/>
      <c r="ADR44" s="292"/>
      <c r="ADS44" s="292"/>
      <c r="ADT44" s="292"/>
      <c r="ADU44" s="292"/>
      <c r="ADV44" s="292"/>
      <c r="ADW44" s="292"/>
      <c r="ADX44" s="292"/>
      <c r="ADY44" s="292"/>
      <c r="ADZ44" s="292"/>
      <c r="AEA44" s="292"/>
      <c r="AEB44" s="292"/>
      <c r="AEC44" s="292"/>
      <c r="AED44" s="292"/>
      <c r="AEE44" s="292"/>
      <c r="AEF44" s="292"/>
      <c r="AEG44" s="292"/>
      <c r="AEH44" s="292"/>
      <c r="AEI44" s="292"/>
      <c r="AEJ44" s="292"/>
      <c r="AEK44" s="292"/>
      <c r="AEL44" s="292"/>
      <c r="AEM44" s="292"/>
      <c r="AEN44" s="292"/>
      <c r="AEO44" s="292"/>
      <c r="AEP44" s="292"/>
      <c r="AEQ44" s="292"/>
      <c r="AER44" s="292"/>
      <c r="AES44" s="292"/>
      <c r="AET44" s="292"/>
      <c r="AEU44" s="292"/>
      <c r="AEV44" s="292"/>
      <c r="AEW44" s="292"/>
      <c r="AEX44" s="292"/>
      <c r="AEY44" s="292"/>
      <c r="AEZ44" s="292"/>
      <c r="AFA44" s="292"/>
      <c r="AFB44" s="292"/>
      <c r="AFC44" s="292"/>
      <c r="AFD44" s="292"/>
      <c r="AFE44" s="292"/>
      <c r="AFF44" s="292"/>
      <c r="AFG44" s="292"/>
      <c r="AFH44" s="292"/>
      <c r="AFI44" s="292"/>
      <c r="AFJ44" s="292"/>
      <c r="AFK44" s="292"/>
      <c r="AFL44" s="292"/>
      <c r="AFM44" s="292"/>
      <c r="AFN44" s="292"/>
      <c r="AFO44" s="292"/>
      <c r="AFP44" s="292"/>
      <c r="AFQ44" s="292"/>
      <c r="AFR44" s="292"/>
      <c r="AFS44" s="292"/>
      <c r="AFT44" s="292"/>
      <c r="AFU44" s="292"/>
      <c r="AFV44" s="292"/>
      <c r="AFW44" s="292"/>
      <c r="AFX44" s="292"/>
      <c r="AFY44" s="292"/>
      <c r="AFZ44" s="292"/>
      <c r="AGA44" s="292"/>
      <c r="AGB44" s="292"/>
      <c r="AGC44" s="292"/>
      <c r="AGD44" s="292"/>
      <c r="AGE44" s="292"/>
      <c r="AGF44" s="292"/>
      <c r="AGG44" s="292"/>
      <c r="AGH44" s="292"/>
      <c r="AGI44" s="292"/>
      <c r="AGJ44" s="292"/>
      <c r="AGK44" s="292"/>
      <c r="AGL44" s="292"/>
      <c r="AGM44" s="292"/>
      <c r="AGN44" s="292"/>
      <c r="AGO44" s="292"/>
      <c r="AGP44" s="292"/>
      <c r="AGQ44" s="292"/>
      <c r="AGR44" s="292"/>
      <c r="AGS44" s="292"/>
      <c r="AGT44" s="292"/>
      <c r="AGU44" s="292"/>
      <c r="AGV44" s="292"/>
      <c r="AGW44" s="292"/>
      <c r="AGX44" s="292"/>
      <c r="AGY44" s="292"/>
      <c r="AGZ44" s="292"/>
      <c r="AHA44" s="292"/>
      <c r="AHB44" s="292"/>
      <c r="AHC44" s="292"/>
      <c r="AHD44" s="292"/>
      <c r="AHE44" s="292"/>
      <c r="AHF44" s="292"/>
      <c r="AHG44" s="292"/>
      <c r="AHH44" s="292"/>
      <c r="AHI44" s="292"/>
      <c r="AHJ44" s="292"/>
      <c r="AHK44" s="292"/>
      <c r="AHL44" s="292"/>
      <c r="AHM44" s="292"/>
      <c r="AHN44" s="292"/>
      <c r="AHO44" s="292"/>
      <c r="AHP44" s="292"/>
      <c r="AHQ44" s="292"/>
      <c r="AHR44" s="292"/>
      <c r="AHS44" s="292"/>
      <c r="AHT44" s="292"/>
      <c r="AHU44" s="292"/>
      <c r="AHV44" s="292"/>
      <c r="AHW44" s="292"/>
      <c r="AHX44" s="292"/>
      <c r="AHY44" s="292"/>
      <c r="AHZ44" s="292"/>
      <c r="AIA44" s="292"/>
      <c r="AIB44" s="292"/>
      <c r="AIC44" s="292"/>
      <c r="AID44" s="292"/>
      <c r="AIE44" s="292"/>
      <c r="AIF44" s="292"/>
      <c r="AIG44" s="292"/>
      <c r="AIH44" s="292"/>
      <c r="AII44" s="292"/>
      <c r="AIJ44" s="292"/>
      <c r="AIK44" s="292"/>
      <c r="AIL44" s="292"/>
      <c r="AIM44" s="292"/>
      <c r="AIN44" s="292"/>
      <c r="AIO44" s="292"/>
      <c r="AIP44" s="292"/>
      <c r="AIQ44" s="292"/>
      <c r="AIR44" s="292"/>
      <c r="AIS44" s="292"/>
      <c r="AIT44" s="292"/>
      <c r="AIU44" s="292"/>
      <c r="AIV44" s="292"/>
      <c r="AIW44" s="292"/>
      <c r="AIX44" s="292"/>
      <c r="AIY44" s="292"/>
      <c r="AIZ44" s="292"/>
      <c r="AJA44" s="292"/>
      <c r="AJB44" s="292"/>
      <c r="AJC44" s="292"/>
      <c r="AJD44" s="292"/>
      <c r="AJE44" s="292"/>
      <c r="AJF44" s="292"/>
      <c r="AJG44" s="292"/>
      <c r="AJH44" s="292"/>
      <c r="AJI44" s="292"/>
      <c r="AJJ44" s="292"/>
      <c r="AJK44" s="292"/>
      <c r="AJL44" s="292"/>
      <c r="AJM44" s="292"/>
      <c r="AJN44" s="292"/>
      <c r="AJO44" s="292"/>
      <c r="AJP44" s="292"/>
      <c r="AJQ44" s="292"/>
      <c r="AJR44" s="292"/>
      <c r="AJS44" s="292"/>
      <c r="AJT44" s="292"/>
      <c r="AJU44" s="292"/>
      <c r="AJV44" s="292"/>
      <c r="AJW44" s="292"/>
      <c r="AJX44" s="292"/>
      <c r="AJY44" s="292"/>
      <c r="AJZ44" s="292"/>
      <c r="AKA44" s="292"/>
      <c r="AKB44" s="292"/>
      <c r="AKC44" s="292"/>
      <c r="AKD44" s="292"/>
      <c r="AKE44" s="292"/>
      <c r="AKF44" s="292"/>
      <c r="AKG44" s="292"/>
      <c r="AKH44" s="292"/>
      <c r="AKI44" s="292"/>
      <c r="AKJ44" s="292"/>
      <c r="AKK44" s="292"/>
      <c r="AKL44" s="292"/>
      <c r="AKM44" s="292"/>
      <c r="AKN44" s="292"/>
      <c r="AKO44" s="292"/>
      <c r="AKP44" s="292"/>
      <c r="AKQ44" s="292"/>
      <c r="AKR44" s="292"/>
      <c r="AKS44" s="292"/>
      <c r="AKT44" s="292"/>
      <c r="AKU44" s="292"/>
      <c r="AKV44" s="292"/>
      <c r="AKW44" s="292"/>
      <c r="AKX44" s="292"/>
      <c r="AKY44" s="292"/>
      <c r="AKZ44" s="292"/>
      <c r="ALA44" s="292"/>
      <c r="ALB44" s="292"/>
      <c r="ALC44" s="292"/>
      <c r="ALD44" s="292"/>
      <c r="ALE44" s="292"/>
      <c r="ALF44" s="292"/>
      <c r="ALG44" s="292"/>
      <c r="ALH44" s="292"/>
      <c r="ALI44" s="292"/>
      <c r="ALJ44" s="292"/>
      <c r="ALK44" s="292"/>
      <c r="ALL44" s="292"/>
      <c r="ALM44" s="292"/>
      <c r="ALN44" s="292"/>
      <c r="ALO44" s="292"/>
      <c r="ALP44" s="292"/>
      <c r="ALQ44" s="292"/>
      <c r="ALR44" s="292"/>
      <c r="ALS44" s="292"/>
      <c r="ALT44" s="292"/>
      <c r="ALU44" s="292"/>
      <c r="ALV44" s="292"/>
      <c r="ALW44" s="292"/>
      <c r="ALX44" s="292"/>
      <c r="ALY44" s="292"/>
      <c r="ALZ44" s="292"/>
      <c r="AMA44" s="292"/>
      <c r="AMB44" s="292"/>
      <c r="AMC44" s="292"/>
      <c r="AMD44" s="292"/>
      <c r="AME44" s="292"/>
      <c r="AMF44" s="292"/>
      <c r="AMG44" s="292"/>
      <c r="AMH44" s="292"/>
      <c r="AMI44" s="292"/>
      <c r="AMJ44" s="292"/>
      <c r="AMK44" s="292"/>
      <c r="AML44" s="292"/>
      <c r="AMM44" s="292"/>
      <c r="AMN44" s="292"/>
      <c r="AMO44" s="292"/>
      <c r="AMP44" s="292"/>
      <c r="AMQ44" s="292"/>
      <c r="AMR44" s="292"/>
      <c r="AMS44" s="292"/>
      <c r="AMT44" s="292"/>
      <c r="AMU44" s="292"/>
      <c r="AMV44" s="292"/>
      <c r="AMW44" s="292"/>
      <c r="AMX44" s="292"/>
      <c r="AMY44" s="292"/>
      <c r="AMZ44" s="292"/>
      <c r="ANA44" s="292"/>
      <c r="ANB44" s="292"/>
      <c r="ANC44" s="292"/>
      <c r="AND44" s="292"/>
      <c r="ANE44" s="292"/>
      <c r="ANF44" s="292"/>
      <c r="ANG44" s="292"/>
      <c r="ANH44" s="292"/>
      <c r="ANI44" s="292"/>
      <c r="ANJ44" s="292"/>
      <c r="ANK44" s="292"/>
      <c r="ANL44" s="292"/>
      <c r="ANM44" s="292"/>
      <c r="ANN44" s="292"/>
      <c r="ANO44" s="292"/>
      <c r="ANP44" s="292"/>
      <c r="ANQ44" s="292"/>
      <c r="ANR44" s="292"/>
      <c r="ANS44" s="292"/>
      <c r="ANT44" s="292"/>
      <c r="ANU44" s="292"/>
      <c r="ANV44" s="292"/>
      <c r="ANW44" s="292"/>
      <c r="ANX44" s="292"/>
      <c r="ANY44" s="292"/>
      <c r="ANZ44" s="292"/>
      <c r="AOA44" s="292"/>
      <c r="AOB44" s="292"/>
      <c r="AOC44" s="292"/>
      <c r="AOD44" s="292"/>
      <c r="AOE44" s="292"/>
      <c r="AOF44" s="292"/>
      <c r="AOG44" s="292"/>
      <c r="AOH44" s="292"/>
      <c r="AOI44" s="292"/>
      <c r="AOJ44" s="292"/>
      <c r="AOK44" s="292"/>
      <c r="AOL44" s="292"/>
      <c r="AOM44" s="292"/>
      <c r="AON44" s="292"/>
      <c r="AOO44" s="292"/>
      <c r="AOP44" s="292"/>
      <c r="AOQ44" s="292"/>
      <c r="AOR44" s="292"/>
      <c r="AOS44" s="292"/>
      <c r="AOT44" s="292"/>
      <c r="AOU44" s="292"/>
      <c r="AOV44" s="292"/>
      <c r="AOW44" s="292"/>
      <c r="AOX44" s="292"/>
      <c r="AOY44" s="292"/>
      <c r="AOZ44" s="292"/>
      <c r="APA44" s="292"/>
      <c r="APB44" s="292"/>
      <c r="APC44" s="292"/>
      <c r="APD44" s="292"/>
      <c r="APE44" s="292"/>
      <c r="APF44" s="292"/>
      <c r="APG44" s="292"/>
      <c r="APH44" s="292"/>
      <c r="API44" s="292"/>
      <c r="APJ44" s="292"/>
      <c r="APK44" s="292"/>
      <c r="APL44" s="292"/>
      <c r="APM44" s="292"/>
      <c r="APN44" s="292"/>
      <c r="APO44" s="292"/>
      <c r="APP44" s="292"/>
      <c r="APQ44" s="292"/>
      <c r="APR44" s="292"/>
      <c r="APS44" s="292"/>
      <c r="APT44" s="292"/>
      <c r="APU44" s="292"/>
      <c r="APV44" s="292"/>
      <c r="APW44" s="292"/>
      <c r="APX44" s="292"/>
      <c r="APY44" s="292"/>
      <c r="APZ44" s="292"/>
      <c r="AQA44" s="292"/>
      <c r="AQB44" s="292"/>
      <c r="AQC44" s="292"/>
      <c r="AQD44" s="292"/>
      <c r="AQE44" s="292"/>
      <c r="AQF44" s="292"/>
      <c r="AQG44" s="292"/>
      <c r="AQH44" s="292"/>
      <c r="AQI44" s="292"/>
      <c r="AQJ44" s="292"/>
      <c r="AQK44" s="292"/>
      <c r="AQL44" s="292"/>
      <c r="AQM44" s="292"/>
      <c r="AQN44" s="292"/>
      <c r="AQO44" s="292"/>
      <c r="AQP44" s="292"/>
      <c r="AQQ44" s="292"/>
      <c r="AQR44" s="292"/>
      <c r="AQS44" s="292"/>
      <c r="AQT44" s="292"/>
      <c r="AQU44" s="292"/>
      <c r="AQV44" s="292"/>
      <c r="AQW44" s="292"/>
      <c r="AQX44" s="292"/>
      <c r="AQY44" s="292"/>
      <c r="AQZ44" s="292"/>
      <c r="ARA44" s="292"/>
      <c r="ARB44" s="292"/>
      <c r="ARC44" s="292"/>
      <c r="ARD44" s="292"/>
      <c r="ARE44" s="292"/>
      <c r="ARF44" s="292"/>
      <c r="ARG44" s="292"/>
      <c r="ARH44" s="292"/>
      <c r="ARI44" s="292"/>
      <c r="ARJ44" s="292"/>
      <c r="ARK44" s="292"/>
      <c r="ARL44" s="292"/>
      <c r="ARM44" s="292"/>
      <c r="ARN44" s="292"/>
      <c r="ARO44" s="292"/>
      <c r="ARP44" s="292"/>
      <c r="ARQ44" s="292"/>
      <c r="ARR44" s="292"/>
      <c r="ARS44" s="292"/>
      <c r="ART44" s="292"/>
      <c r="ARU44" s="292"/>
      <c r="ARV44" s="292"/>
      <c r="ARW44" s="292"/>
      <c r="ARX44" s="292"/>
      <c r="ARY44" s="292"/>
      <c r="ARZ44" s="292"/>
      <c r="ASA44" s="292"/>
      <c r="ASB44" s="292"/>
      <c r="ASC44" s="292"/>
      <c r="ASD44" s="292"/>
      <c r="ASE44" s="292"/>
      <c r="ASF44" s="292"/>
      <c r="ASG44" s="292"/>
      <c r="ASH44" s="292"/>
      <c r="ASI44" s="292"/>
      <c r="ASJ44" s="292"/>
      <c r="ASK44" s="292"/>
      <c r="ASL44" s="292"/>
      <c r="ASM44" s="292"/>
      <c r="ASN44" s="292"/>
      <c r="ASO44" s="292"/>
      <c r="ASP44" s="292"/>
      <c r="ASQ44" s="292"/>
      <c r="ASR44" s="292"/>
      <c r="ASS44" s="292"/>
      <c r="AST44" s="292"/>
      <c r="ASU44" s="292"/>
      <c r="ASV44" s="292"/>
      <c r="ASW44" s="292"/>
      <c r="ASX44" s="292"/>
      <c r="ASY44" s="292"/>
      <c r="ASZ44" s="292"/>
      <c r="ATA44" s="292"/>
      <c r="ATB44" s="292"/>
      <c r="ATC44" s="292"/>
      <c r="ATD44" s="292"/>
      <c r="ATE44" s="292"/>
      <c r="ATF44" s="292"/>
      <c r="ATG44" s="292"/>
      <c r="ATH44" s="292"/>
      <c r="ATI44" s="292"/>
      <c r="ATJ44" s="292"/>
      <c r="ATK44" s="292"/>
      <c r="ATL44" s="292"/>
      <c r="ATM44" s="292"/>
      <c r="ATN44" s="292"/>
      <c r="ATO44" s="292"/>
      <c r="ATP44" s="292"/>
      <c r="ATQ44" s="292"/>
      <c r="ATR44" s="292"/>
      <c r="ATS44" s="292"/>
      <c r="ATT44" s="292"/>
      <c r="ATU44" s="292"/>
      <c r="ATV44" s="292"/>
      <c r="ATW44" s="292"/>
      <c r="ATX44" s="292"/>
      <c r="ATY44" s="292"/>
      <c r="ATZ44" s="292"/>
      <c r="AUA44" s="292"/>
      <c r="AUB44" s="292"/>
      <c r="AUC44" s="292"/>
      <c r="AUD44" s="292"/>
      <c r="AUE44" s="292"/>
      <c r="AUF44" s="292"/>
      <c r="AUG44" s="292"/>
      <c r="AUH44" s="292"/>
      <c r="AUI44" s="292"/>
      <c r="AUJ44" s="292"/>
      <c r="AUK44" s="292"/>
      <c r="AUL44" s="292"/>
      <c r="AUM44" s="292"/>
      <c r="AUN44" s="292"/>
      <c r="AUO44" s="292"/>
      <c r="AUP44" s="292"/>
      <c r="AUQ44" s="292"/>
      <c r="AUR44" s="292"/>
      <c r="AUS44" s="292"/>
      <c r="AUT44" s="292"/>
      <c r="AUU44" s="292"/>
      <c r="AUV44" s="292"/>
      <c r="AUW44" s="292"/>
      <c r="AUX44" s="292"/>
      <c r="AUY44" s="292"/>
      <c r="AUZ44" s="292"/>
      <c r="AVA44" s="292"/>
      <c r="AVB44" s="292"/>
      <c r="AVC44" s="292"/>
      <c r="AVD44" s="292"/>
      <c r="AVE44" s="292"/>
      <c r="AVF44" s="292"/>
      <c r="AVG44" s="292"/>
      <c r="AVH44" s="292"/>
      <c r="AVI44" s="292"/>
      <c r="AVJ44" s="292"/>
      <c r="AVK44" s="292"/>
      <c r="AVL44" s="292"/>
      <c r="AVM44" s="292"/>
      <c r="AVN44" s="292"/>
      <c r="AVO44" s="292"/>
      <c r="AVP44" s="292"/>
      <c r="AVQ44" s="292"/>
      <c r="AVR44" s="292"/>
      <c r="AVS44" s="292"/>
      <c r="AVT44" s="292"/>
      <c r="AVU44" s="292"/>
      <c r="AVV44" s="292"/>
      <c r="AVW44" s="292"/>
      <c r="AVX44" s="292"/>
      <c r="AVY44" s="292"/>
      <c r="AVZ44" s="292"/>
      <c r="AWA44" s="292"/>
      <c r="AWB44" s="292"/>
      <c r="AWC44" s="292"/>
      <c r="AWD44" s="292"/>
      <c r="AWE44" s="292"/>
      <c r="AWF44" s="292"/>
      <c r="AWG44" s="292"/>
      <c r="AWH44" s="292"/>
      <c r="AWI44" s="292"/>
      <c r="AWJ44" s="292"/>
      <c r="AWK44" s="292"/>
      <c r="AWL44" s="292"/>
      <c r="AWM44" s="292"/>
      <c r="AWN44" s="292"/>
      <c r="AWO44" s="292"/>
      <c r="AWP44" s="292"/>
      <c r="AWQ44" s="292"/>
      <c r="AWR44" s="292"/>
      <c r="AWS44" s="292"/>
      <c r="AWT44" s="292"/>
      <c r="AWU44" s="292"/>
      <c r="AWV44" s="292"/>
      <c r="AWW44" s="292"/>
      <c r="AWX44" s="292"/>
      <c r="AWY44" s="292"/>
      <c r="AWZ44" s="292"/>
      <c r="AXA44" s="292"/>
      <c r="AXB44" s="292"/>
      <c r="AXC44" s="292"/>
      <c r="AXD44" s="292"/>
      <c r="AXE44" s="292"/>
      <c r="AXF44" s="292"/>
      <c r="AXG44" s="292"/>
      <c r="AXH44" s="292"/>
      <c r="AXI44" s="292"/>
      <c r="AXJ44" s="292"/>
      <c r="AXK44" s="292"/>
      <c r="AXL44" s="292"/>
      <c r="AXM44" s="292"/>
      <c r="AXN44" s="292"/>
      <c r="AXO44" s="292"/>
      <c r="AXP44" s="292"/>
      <c r="AXQ44" s="292"/>
      <c r="AXR44" s="292"/>
      <c r="AXS44" s="292"/>
      <c r="AXT44" s="292"/>
      <c r="AXU44" s="292"/>
      <c r="AXV44" s="292"/>
      <c r="AXW44" s="292"/>
      <c r="AXX44" s="292"/>
      <c r="AXY44" s="292"/>
      <c r="AXZ44" s="292"/>
      <c r="AYA44" s="292"/>
      <c r="AYB44" s="292"/>
      <c r="AYC44" s="292"/>
      <c r="AYD44" s="292"/>
      <c r="AYE44" s="292"/>
      <c r="AYF44" s="292"/>
      <c r="AYG44" s="292"/>
      <c r="AYH44" s="292"/>
      <c r="AYI44" s="292"/>
      <c r="AYJ44" s="292"/>
      <c r="AYK44" s="292"/>
      <c r="AYL44" s="292"/>
      <c r="AYM44" s="292"/>
      <c r="AYN44" s="292"/>
      <c r="AYO44" s="292"/>
      <c r="AYP44" s="292"/>
      <c r="AYQ44" s="292"/>
      <c r="AYR44" s="292"/>
      <c r="AYS44" s="292"/>
      <c r="AYT44" s="292"/>
      <c r="AYU44" s="292"/>
      <c r="AYV44" s="292"/>
      <c r="AYW44" s="292"/>
      <c r="AYX44" s="292"/>
      <c r="AYY44" s="292"/>
      <c r="AYZ44" s="292"/>
      <c r="AZA44" s="292"/>
      <c r="AZB44" s="292"/>
      <c r="AZC44" s="292"/>
      <c r="AZD44" s="292"/>
      <c r="AZE44" s="292"/>
      <c r="AZF44" s="292"/>
      <c r="AZG44" s="292"/>
      <c r="AZH44" s="292"/>
      <c r="AZI44" s="292"/>
      <c r="AZJ44" s="292"/>
      <c r="AZK44" s="292"/>
      <c r="AZL44" s="292"/>
      <c r="AZM44" s="292"/>
      <c r="AZN44" s="292"/>
      <c r="AZO44" s="292"/>
      <c r="AZP44" s="292"/>
      <c r="AZQ44" s="292"/>
      <c r="AZR44" s="292"/>
      <c r="AZS44" s="292"/>
      <c r="AZT44" s="292"/>
      <c r="AZU44" s="292"/>
      <c r="AZV44" s="292"/>
      <c r="AZW44" s="292"/>
      <c r="AZX44" s="292"/>
      <c r="AZY44" s="292"/>
      <c r="AZZ44" s="292"/>
      <c r="BAA44" s="292"/>
      <c r="BAB44" s="292"/>
      <c r="BAC44" s="292"/>
      <c r="BAD44" s="292"/>
      <c r="BAE44" s="292"/>
      <c r="BAF44" s="292"/>
      <c r="BAG44" s="292"/>
      <c r="BAH44" s="292"/>
      <c r="BAI44" s="292"/>
      <c r="BAJ44" s="292"/>
      <c r="BAK44" s="292"/>
      <c r="BAL44" s="292"/>
      <c r="BAM44" s="292"/>
      <c r="BAN44" s="292"/>
      <c r="BAO44" s="292"/>
      <c r="BAP44" s="292"/>
      <c r="BAQ44" s="292"/>
      <c r="BAR44" s="292"/>
      <c r="BAS44" s="292"/>
      <c r="BAT44" s="292"/>
      <c r="BAU44" s="292"/>
      <c r="BAV44" s="292"/>
      <c r="BAW44" s="292"/>
      <c r="BAX44" s="292"/>
      <c r="BAY44" s="292"/>
      <c r="BAZ44" s="292"/>
      <c r="BBA44" s="292"/>
      <c r="BBB44" s="292"/>
      <c r="BBC44" s="292"/>
      <c r="BBD44" s="292"/>
      <c r="BBE44" s="292"/>
      <c r="BBF44" s="292"/>
      <c r="BBG44" s="292"/>
      <c r="BBH44" s="292"/>
      <c r="BBI44" s="292"/>
      <c r="BBJ44" s="292"/>
      <c r="BBK44" s="292"/>
      <c r="BBL44" s="292"/>
      <c r="BBM44" s="292"/>
      <c r="BBN44" s="292"/>
      <c r="BBO44" s="292"/>
      <c r="BBP44" s="292"/>
      <c r="BBQ44" s="292"/>
      <c r="BBR44" s="292"/>
      <c r="BBS44" s="292"/>
      <c r="BBT44" s="292"/>
      <c r="BBU44" s="292"/>
      <c r="BBV44" s="292"/>
      <c r="BBW44" s="292"/>
      <c r="BBX44" s="292"/>
      <c r="BBY44" s="292"/>
      <c r="BBZ44" s="292"/>
      <c r="BCA44" s="292"/>
      <c r="BCB44" s="292"/>
      <c r="BCC44" s="292"/>
      <c r="BCD44" s="292"/>
      <c r="BCE44" s="292"/>
      <c r="BCF44" s="292"/>
      <c r="BCG44" s="292"/>
      <c r="BCH44" s="292"/>
      <c r="BCI44" s="292"/>
      <c r="BCJ44" s="292"/>
      <c r="BCK44" s="292"/>
      <c r="BCL44" s="292"/>
      <c r="BCM44" s="292"/>
      <c r="BCN44" s="292"/>
      <c r="BCO44" s="292"/>
      <c r="BCP44" s="292"/>
      <c r="BCQ44" s="292"/>
      <c r="BCR44" s="292"/>
      <c r="BCS44" s="292"/>
      <c r="BCT44" s="292"/>
      <c r="BCU44" s="292"/>
      <c r="BCV44" s="292"/>
      <c r="BCW44" s="292"/>
      <c r="BCX44" s="292"/>
      <c r="BCY44" s="292"/>
      <c r="BCZ44" s="292"/>
      <c r="BDA44" s="292"/>
      <c r="BDB44" s="292"/>
      <c r="BDC44" s="292"/>
      <c r="BDD44" s="292"/>
      <c r="BDE44" s="292"/>
      <c r="BDF44" s="292"/>
      <c r="BDG44" s="292"/>
      <c r="BDH44" s="292"/>
      <c r="BDI44" s="292"/>
      <c r="BDJ44" s="292"/>
      <c r="BDK44" s="292"/>
      <c r="BDL44" s="292"/>
      <c r="BDM44" s="292"/>
      <c r="BDN44" s="292"/>
      <c r="BDO44" s="292"/>
      <c r="BDP44" s="292"/>
      <c r="BDQ44" s="292"/>
      <c r="BDR44" s="292"/>
      <c r="BDS44" s="292"/>
      <c r="BDT44" s="292"/>
      <c r="BDU44" s="292"/>
      <c r="BDV44" s="292"/>
      <c r="BDW44" s="292"/>
      <c r="BDX44" s="292"/>
      <c r="BDY44" s="292"/>
      <c r="BDZ44" s="292"/>
      <c r="BEA44" s="292"/>
      <c r="BEB44" s="292"/>
      <c r="BEC44" s="292"/>
      <c r="BED44" s="292"/>
      <c r="BEE44" s="292"/>
      <c r="BEF44" s="292"/>
      <c r="BEG44" s="292"/>
      <c r="BEH44" s="292"/>
      <c r="BEI44" s="292"/>
      <c r="BEJ44" s="292"/>
      <c r="BEK44" s="292"/>
      <c r="BEL44" s="292"/>
      <c r="BEM44" s="292"/>
      <c r="BEN44" s="292"/>
      <c r="BEO44" s="292"/>
      <c r="BEP44" s="292"/>
      <c r="BEQ44" s="292"/>
      <c r="BER44" s="292"/>
      <c r="BES44" s="292"/>
      <c r="BET44" s="292"/>
      <c r="BEU44" s="292"/>
      <c r="BEV44" s="292"/>
      <c r="BEW44" s="292"/>
      <c r="BEX44" s="292"/>
      <c r="BEY44" s="292"/>
      <c r="BEZ44" s="292"/>
      <c r="BFA44" s="292"/>
      <c r="BFB44" s="292"/>
      <c r="BFC44" s="292"/>
      <c r="BFD44" s="292"/>
      <c r="BFE44" s="292"/>
      <c r="BFF44" s="292"/>
      <c r="BFG44" s="292"/>
      <c r="BFH44" s="292"/>
      <c r="BFI44" s="292"/>
      <c r="BFJ44" s="292"/>
      <c r="BFK44" s="292"/>
      <c r="BFL44" s="292"/>
      <c r="BFM44" s="292"/>
      <c r="BFN44" s="292"/>
      <c r="BFO44" s="292"/>
      <c r="BFP44" s="292"/>
      <c r="BFQ44" s="292"/>
      <c r="BFR44" s="292"/>
      <c r="BFS44" s="292"/>
      <c r="BFT44" s="292"/>
      <c r="BFU44" s="292"/>
      <c r="BFV44" s="292"/>
      <c r="BFW44" s="292"/>
      <c r="BFX44" s="292"/>
      <c r="BFY44" s="292"/>
      <c r="BFZ44" s="292"/>
      <c r="BGA44" s="292"/>
      <c r="BGB44" s="292"/>
      <c r="BGC44" s="292"/>
      <c r="BGD44" s="292"/>
      <c r="BGE44" s="292"/>
      <c r="BGF44" s="292"/>
      <c r="BGG44" s="292"/>
      <c r="BGH44" s="292"/>
      <c r="BGI44" s="292"/>
      <c r="BGJ44" s="292"/>
      <c r="BGK44" s="292"/>
      <c r="BGL44" s="292"/>
      <c r="BGM44" s="292"/>
      <c r="BGN44" s="292"/>
      <c r="BGO44" s="292"/>
      <c r="BGP44" s="292"/>
      <c r="BGQ44" s="292"/>
      <c r="BGR44" s="292"/>
      <c r="BGS44" s="292"/>
      <c r="BGT44" s="292"/>
      <c r="BGU44" s="292"/>
      <c r="BGV44" s="292"/>
      <c r="BGW44" s="292"/>
      <c r="BGX44" s="292"/>
      <c r="BGY44" s="292"/>
      <c r="BGZ44" s="292"/>
      <c r="BHA44" s="292"/>
      <c r="BHB44" s="292"/>
      <c r="BHC44" s="292"/>
      <c r="BHD44" s="292"/>
      <c r="BHE44" s="292"/>
      <c r="BHF44" s="292"/>
      <c r="BHG44" s="292"/>
      <c r="BHH44" s="292"/>
      <c r="BHI44" s="292"/>
      <c r="BHJ44" s="292"/>
      <c r="BHK44" s="292"/>
      <c r="BHL44" s="292"/>
      <c r="BHM44" s="292"/>
      <c r="BHN44" s="292"/>
      <c r="BHO44" s="292"/>
      <c r="BHP44" s="292"/>
      <c r="BHQ44" s="292"/>
      <c r="BHR44" s="292"/>
      <c r="BHS44" s="292"/>
      <c r="BHT44" s="292"/>
      <c r="BHU44" s="292"/>
      <c r="BHV44" s="292"/>
      <c r="BHW44" s="292"/>
      <c r="BHX44" s="292"/>
      <c r="BHY44" s="292"/>
      <c r="BHZ44" s="292"/>
      <c r="BIA44" s="292"/>
      <c r="BIB44" s="292"/>
      <c r="BIC44" s="292"/>
      <c r="BID44" s="292"/>
      <c r="BIE44" s="292"/>
      <c r="BIF44" s="292"/>
      <c r="BIG44" s="292"/>
      <c r="BIH44" s="292"/>
      <c r="BII44" s="292"/>
      <c r="BIJ44" s="292"/>
      <c r="BIK44" s="292"/>
      <c r="BIL44" s="292"/>
      <c r="BIM44" s="292"/>
      <c r="BIN44" s="292"/>
      <c r="BIO44" s="292"/>
      <c r="BIP44" s="292"/>
      <c r="BIQ44" s="292"/>
      <c r="BIR44" s="292"/>
      <c r="BIS44" s="292"/>
      <c r="BIT44" s="292"/>
      <c r="BIU44" s="292"/>
      <c r="BIV44" s="292"/>
      <c r="BIW44" s="292"/>
      <c r="BIX44" s="292"/>
      <c r="BIY44" s="292"/>
      <c r="BIZ44" s="292"/>
      <c r="BJA44" s="292"/>
      <c r="BJB44" s="292"/>
      <c r="BJC44" s="292"/>
      <c r="BJD44" s="292"/>
      <c r="BJE44" s="292"/>
      <c r="BJF44" s="292"/>
      <c r="BJG44" s="292"/>
      <c r="BJH44" s="292"/>
      <c r="BJI44" s="292"/>
      <c r="BJJ44" s="292"/>
      <c r="BJK44" s="292"/>
      <c r="BJL44" s="292"/>
      <c r="BJM44" s="292"/>
      <c r="BJN44" s="292"/>
      <c r="BJO44" s="292"/>
      <c r="BJP44" s="292"/>
      <c r="BJQ44" s="292"/>
      <c r="BJR44" s="292"/>
      <c r="BJS44" s="292"/>
      <c r="BJT44" s="292"/>
      <c r="BJU44" s="292"/>
      <c r="BJV44" s="292"/>
      <c r="BJW44" s="292"/>
      <c r="BJX44" s="292"/>
      <c r="BJY44" s="292"/>
      <c r="BJZ44" s="292"/>
      <c r="BKA44" s="292"/>
      <c r="BKB44" s="292"/>
      <c r="BKC44" s="292"/>
      <c r="BKD44" s="292"/>
      <c r="BKE44" s="292"/>
      <c r="BKF44" s="292"/>
      <c r="BKG44" s="292"/>
      <c r="BKH44" s="292"/>
      <c r="BKI44" s="292"/>
      <c r="BKJ44" s="292"/>
      <c r="BKK44" s="292"/>
      <c r="BKL44" s="292"/>
      <c r="BKM44" s="292"/>
      <c r="BKN44" s="292"/>
      <c r="BKO44" s="292"/>
      <c r="BKP44" s="292"/>
      <c r="BKQ44" s="292"/>
      <c r="BKR44" s="292"/>
      <c r="BKS44" s="292"/>
      <c r="BKT44" s="292"/>
      <c r="BKU44" s="292"/>
      <c r="BKV44" s="292"/>
      <c r="BKW44" s="292"/>
      <c r="BKX44" s="292"/>
      <c r="BKY44" s="292"/>
      <c r="BKZ44" s="292"/>
      <c r="BLA44" s="292"/>
      <c r="BLB44" s="292"/>
      <c r="BLC44" s="292"/>
      <c r="BLD44" s="292"/>
      <c r="BLE44" s="292"/>
      <c r="BLF44" s="292"/>
      <c r="BLG44" s="292"/>
      <c r="BLH44" s="292"/>
      <c r="BLI44" s="292"/>
      <c r="BLJ44" s="292"/>
      <c r="BLK44" s="292"/>
      <c r="BLL44" s="292"/>
      <c r="BLM44" s="292"/>
      <c r="BLN44" s="292"/>
      <c r="BLO44" s="292"/>
      <c r="BLP44" s="292"/>
      <c r="BLQ44" s="292"/>
      <c r="BLR44" s="292"/>
      <c r="BLS44" s="292"/>
      <c r="BLT44" s="292"/>
      <c r="BLU44" s="292"/>
      <c r="BLV44" s="292"/>
      <c r="BLW44" s="292"/>
      <c r="BLX44" s="292"/>
      <c r="BLY44" s="292"/>
      <c r="BLZ44" s="292"/>
      <c r="BMA44" s="292"/>
      <c r="BMB44" s="292"/>
      <c r="BMC44" s="292"/>
      <c r="BMD44" s="292"/>
      <c r="BME44" s="292"/>
      <c r="BMF44" s="292"/>
      <c r="BMG44" s="292"/>
      <c r="BMH44" s="292"/>
      <c r="BMI44" s="292"/>
      <c r="BMJ44" s="292"/>
      <c r="BMK44" s="292"/>
      <c r="BML44" s="292"/>
      <c r="BMM44" s="292"/>
      <c r="BMN44" s="292"/>
      <c r="BMO44" s="292"/>
      <c r="BMP44" s="292"/>
      <c r="BMQ44" s="292"/>
      <c r="BMR44" s="292"/>
      <c r="BMS44" s="292"/>
      <c r="BMT44" s="292"/>
      <c r="BMU44" s="292"/>
      <c r="BMV44" s="292"/>
      <c r="BMW44" s="292"/>
      <c r="BMX44" s="292"/>
      <c r="BMY44" s="292"/>
      <c r="BMZ44" s="292"/>
      <c r="BNA44" s="292"/>
      <c r="BNB44" s="292"/>
      <c r="BNC44" s="292"/>
      <c r="BND44" s="292"/>
      <c r="BNE44" s="292"/>
      <c r="BNF44" s="292"/>
      <c r="BNG44" s="292"/>
      <c r="BNH44" s="292"/>
      <c r="BNI44" s="292"/>
      <c r="BNJ44" s="292"/>
      <c r="BNK44" s="292"/>
      <c r="BNL44" s="292"/>
      <c r="BNM44" s="292"/>
      <c r="BNN44" s="292"/>
      <c r="BNO44" s="292"/>
      <c r="BNP44" s="292"/>
      <c r="BNQ44" s="292"/>
      <c r="BNR44" s="292"/>
      <c r="BNS44" s="292"/>
      <c r="BNT44" s="292"/>
      <c r="BNU44" s="292"/>
      <c r="BNV44" s="292"/>
      <c r="BNW44" s="292"/>
      <c r="BNX44" s="292"/>
      <c r="BNY44" s="292"/>
      <c r="BNZ44" s="292"/>
      <c r="BOA44" s="292"/>
      <c r="BOB44" s="292"/>
      <c r="BOC44" s="292"/>
      <c r="BOD44" s="292"/>
      <c r="BOE44" s="292"/>
      <c r="BOF44" s="292"/>
      <c r="BOG44" s="292"/>
      <c r="BOH44" s="292"/>
      <c r="BOI44" s="292"/>
      <c r="BOJ44" s="292"/>
      <c r="BOK44" s="292"/>
      <c r="BOL44" s="292"/>
      <c r="BOM44" s="292"/>
      <c r="BON44" s="292"/>
      <c r="BOO44" s="292"/>
      <c r="BOP44" s="292"/>
      <c r="BOQ44" s="292"/>
      <c r="BOR44" s="292"/>
      <c r="BOS44" s="292"/>
      <c r="BOT44" s="292"/>
      <c r="BOU44" s="292"/>
      <c r="BOV44" s="292"/>
      <c r="BOW44" s="292"/>
      <c r="BOX44" s="292"/>
      <c r="BOY44" s="292"/>
      <c r="BOZ44" s="292"/>
      <c r="BPA44" s="292"/>
      <c r="BPB44" s="292"/>
      <c r="BPC44" s="292"/>
      <c r="BPD44" s="292"/>
      <c r="BPE44" s="292"/>
      <c r="BPF44" s="292"/>
      <c r="BPG44" s="292"/>
      <c r="BPH44" s="292"/>
      <c r="BPI44" s="292"/>
      <c r="BPJ44" s="292"/>
      <c r="BPK44" s="292"/>
      <c r="BPL44" s="292"/>
      <c r="BPM44" s="292"/>
      <c r="BPN44" s="292"/>
      <c r="BPO44" s="292"/>
      <c r="BPP44" s="292"/>
      <c r="BPQ44" s="292"/>
      <c r="BPR44" s="292"/>
      <c r="BPS44" s="292"/>
      <c r="BPT44" s="292"/>
      <c r="BPU44" s="292"/>
      <c r="BPV44" s="292"/>
      <c r="BPW44" s="292"/>
      <c r="BPX44" s="292"/>
      <c r="BPY44" s="292"/>
      <c r="BPZ44" s="292"/>
      <c r="BQA44" s="292"/>
      <c r="BQB44" s="292"/>
      <c r="BQC44" s="292"/>
      <c r="BQD44" s="292"/>
      <c r="BQE44" s="292"/>
      <c r="BQF44" s="292"/>
      <c r="BQG44" s="292"/>
      <c r="BQH44" s="292"/>
      <c r="BQI44" s="292"/>
      <c r="BQJ44" s="292"/>
      <c r="BQK44" s="292"/>
      <c r="BQL44" s="292"/>
      <c r="BQM44" s="292"/>
      <c r="BQN44" s="292"/>
      <c r="BQO44" s="292"/>
      <c r="BQP44" s="292"/>
      <c r="BQQ44" s="292"/>
      <c r="BQR44" s="292"/>
      <c r="BQS44" s="292"/>
      <c r="BQT44" s="292"/>
      <c r="BQU44" s="292"/>
      <c r="BQV44" s="292"/>
      <c r="BQW44" s="292"/>
      <c r="BQX44" s="292"/>
      <c r="BQY44" s="292"/>
      <c r="BQZ44" s="292"/>
      <c r="BRA44" s="292"/>
      <c r="BRB44" s="292"/>
      <c r="BRC44" s="292"/>
      <c r="BRD44" s="292"/>
      <c r="BRE44" s="292"/>
      <c r="BRF44" s="292"/>
      <c r="BRG44" s="292"/>
      <c r="BRH44" s="292"/>
      <c r="BRI44" s="292"/>
      <c r="BRJ44" s="292"/>
      <c r="BRK44" s="292"/>
      <c r="BRL44" s="292"/>
      <c r="BRM44" s="292"/>
      <c r="BRN44" s="292"/>
      <c r="BRO44" s="292"/>
      <c r="BRP44" s="292"/>
      <c r="BRQ44" s="292"/>
      <c r="BRR44" s="292"/>
      <c r="BRS44" s="292"/>
      <c r="BRT44" s="292"/>
      <c r="BRU44" s="292"/>
      <c r="BRV44" s="292"/>
      <c r="BRW44" s="292"/>
      <c r="BRX44" s="292"/>
      <c r="BRY44" s="292"/>
      <c r="BRZ44" s="292"/>
      <c r="BSA44" s="292"/>
      <c r="BSB44" s="292"/>
      <c r="BSC44" s="292"/>
      <c r="BSD44" s="292"/>
      <c r="BSE44" s="292"/>
      <c r="BSF44" s="292"/>
      <c r="BSG44" s="292"/>
      <c r="BSH44" s="292"/>
      <c r="BSI44" s="292"/>
      <c r="BSJ44" s="292"/>
      <c r="BSK44" s="292"/>
      <c r="BSL44" s="292"/>
      <c r="BSM44" s="292"/>
      <c r="BSN44" s="292"/>
      <c r="BSO44" s="292"/>
      <c r="BSP44" s="292"/>
      <c r="BSQ44" s="292"/>
      <c r="BSR44" s="292"/>
      <c r="BSS44" s="292"/>
      <c r="BST44" s="292"/>
      <c r="BSU44" s="292"/>
      <c r="BSV44" s="292"/>
      <c r="BSW44" s="292"/>
      <c r="BSX44" s="292"/>
      <c r="BSY44" s="292"/>
      <c r="BSZ44" s="292"/>
      <c r="BTA44" s="292"/>
      <c r="BTB44" s="292"/>
      <c r="BTC44" s="292"/>
      <c r="BTD44" s="292"/>
      <c r="BTE44" s="292"/>
      <c r="BTF44" s="292"/>
      <c r="BTG44" s="292"/>
      <c r="BTH44" s="292"/>
      <c r="BTI44" s="292"/>
      <c r="BTJ44" s="292"/>
      <c r="BTK44" s="292"/>
      <c r="BTL44" s="292"/>
      <c r="BTM44" s="292"/>
      <c r="BTN44" s="292"/>
      <c r="BTO44" s="292"/>
      <c r="BTP44" s="292"/>
      <c r="BTQ44" s="292"/>
      <c r="BTR44" s="292"/>
      <c r="BTS44" s="292"/>
      <c r="BTT44" s="292"/>
      <c r="BTU44" s="292"/>
      <c r="BTV44" s="292"/>
      <c r="BTW44" s="292"/>
      <c r="BTX44" s="292"/>
      <c r="BTY44" s="292"/>
      <c r="BTZ44" s="292"/>
      <c r="BUA44" s="292"/>
      <c r="BUB44" s="292"/>
      <c r="BUC44" s="292"/>
      <c r="BUD44" s="292"/>
      <c r="BUE44" s="292"/>
      <c r="BUF44" s="292"/>
      <c r="BUG44" s="292"/>
      <c r="BUH44" s="292"/>
      <c r="BUI44" s="292"/>
      <c r="BUJ44" s="292"/>
      <c r="BUK44" s="292"/>
      <c r="BUL44" s="292"/>
      <c r="BUM44" s="292"/>
      <c r="BUN44" s="292"/>
      <c r="BUO44" s="292"/>
      <c r="BUP44" s="292"/>
      <c r="BUQ44" s="292"/>
      <c r="BUR44" s="292"/>
      <c r="BUS44" s="292"/>
      <c r="BUT44" s="292"/>
      <c r="BUU44" s="292"/>
      <c r="BUV44" s="292"/>
      <c r="BUW44" s="292"/>
      <c r="BUX44" s="292"/>
      <c r="BUY44" s="292"/>
      <c r="BUZ44" s="292"/>
      <c r="BVA44" s="292"/>
      <c r="BVB44" s="292"/>
      <c r="BVC44" s="292"/>
      <c r="BVD44" s="292"/>
      <c r="BVE44" s="292"/>
      <c r="BVF44" s="292"/>
      <c r="BVG44" s="292"/>
      <c r="BVH44" s="292"/>
      <c r="BVI44" s="292"/>
      <c r="BVJ44" s="292"/>
      <c r="BVK44" s="292"/>
      <c r="BVL44" s="292"/>
      <c r="BVM44" s="292"/>
      <c r="BVN44" s="292"/>
      <c r="BVO44" s="292"/>
      <c r="BVP44" s="292"/>
      <c r="BVQ44" s="292"/>
      <c r="BVR44" s="292"/>
      <c r="BVS44" s="292"/>
      <c r="BVT44" s="292"/>
      <c r="BVU44" s="292"/>
      <c r="BVV44" s="292"/>
      <c r="BVW44" s="292"/>
      <c r="BVX44" s="292"/>
      <c r="BVY44" s="292"/>
      <c r="BVZ44" s="292"/>
      <c r="BWA44" s="292"/>
      <c r="BWB44" s="292"/>
      <c r="BWC44" s="292"/>
      <c r="BWD44" s="292"/>
      <c r="BWE44" s="292"/>
      <c r="BWF44" s="292"/>
      <c r="BWG44" s="292"/>
      <c r="BWH44" s="292"/>
      <c r="BWI44" s="292"/>
      <c r="BWJ44" s="292"/>
      <c r="BWK44" s="292"/>
      <c r="BWL44" s="292"/>
      <c r="BWM44" s="292"/>
      <c r="BWN44" s="292"/>
      <c r="BWO44" s="292"/>
      <c r="BWP44" s="292"/>
      <c r="BWQ44" s="292"/>
      <c r="BWR44" s="292"/>
      <c r="BWS44" s="292"/>
      <c r="BWT44" s="292"/>
      <c r="BWU44" s="292"/>
      <c r="BWV44" s="292"/>
      <c r="BWW44" s="292"/>
      <c r="BWX44" s="292"/>
      <c r="BWY44" s="292"/>
      <c r="BWZ44" s="292"/>
      <c r="BXA44" s="292"/>
      <c r="BXB44" s="292"/>
      <c r="BXC44" s="292"/>
      <c r="BXD44" s="292"/>
      <c r="BXE44" s="292"/>
      <c r="BXF44" s="292"/>
      <c r="BXG44" s="292"/>
      <c r="BXH44" s="292"/>
      <c r="BXI44" s="292"/>
      <c r="BXJ44" s="292"/>
      <c r="BXK44" s="292"/>
      <c r="BXL44" s="292"/>
      <c r="BXM44" s="292"/>
      <c r="BXN44" s="292"/>
      <c r="BXO44" s="292"/>
      <c r="BXP44" s="292"/>
      <c r="BXQ44" s="292"/>
      <c r="BXR44" s="292"/>
      <c r="BXS44" s="292"/>
      <c r="BXT44" s="292"/>
      <c r="BXU44" s="292"/>
      <c r="BXV44" s="292"/>
      <c r="BXW44" s="292"/>
      <c r="BXX44" s="292"/>
      <c r="BXY44" s="292"/>
      <c r="BXZ44" s="292"/>
      <c r="BYA44" s="292"/>
      <c r="BYB44" s="292"/>
      <c r="BYC44" s="292"/>
      <c r="BYD44" s="292"/>
      <c r="BYE44" s="292"/>
      <c r="BYF44" s="292"/>
      <c r="BYG44" s="292"/>
      <c r="BYH44" s="292"/>
      <c r="BYI44" s="292"/>
      <c r="BYJ44" s="292"/>
      <c r="BYK44" s="292"/>
      <c r="BYL44" s="292"/>
      <c r="BYM44" s="292"/>
      <c r="BYN44" s="292"/>
      <c r="BYO44" s="292"/>
      <c r="BYP44" s="292"/>
      <c r="BYQ44" s="292"/>
      <c r="BYR44" s="292"/>
      <c r="BYS44" s="292"/>
      <c r="BYT44" s="292"/>
      <c r="BYU44" s="292"/>
      <c r="BYV44" s="292"/>
      <c r="BYW44" s="292"/>
      <c r="BYX44" s="292"/>
      <c r="BYY44" s="292"/>
      <c r="BYZ44" s="292"/>
      <c r="BZA44" s="292"/>
      <c r="BZB44" s="292"/>
      <c r="BZC44" s="292"/>
      <c r="BZD44" s="292"/>
      <c r="BZE44" s="292"/>
      <c r="BZF44" s="292"/>
      <c r="BZG44" s="292"/>
      <c r="BZH44" s="292"/>
      <c r="BZI44" s="292"/>
      <c r="BZJ44" s="292"/>
      <c r="BZK44" s="292"/>
      <c r="BZL44" s="292"/>
      <c r="BZM44" s="292"/>
      <c r="BZN44" s="292"/>
      <c r="BZO44" s="292"/>
      <c r="BZP44" s="292"/>
      <c r="BZQ44" s="292"/>
      <c r="BZR44" s="292"/>
      <c r="BZS44" s="292"/>
      <c r="BZT44" s="292"/>
      <c r="BZU44" s="292"/>
      <c r="BZV44" s="292"/>
      <c r="BZW44" s="292"/>
      <c r="BZX44" s="292"/>
      <c r="BZY44" s="292"/>
      <c r="BZZ44" s="292"/>
      <c r="CAA44" s="292"/>
      <c r="CAB44" s="292"/>
      <c r="CAC44" s="292"/>
      <c r="CAD44" s="292"/>
      <c r="CAE44" s="292"/>
      <c r="CAF44" s="292"/>
      <c r="CAG44" s="292"/>
      <c r="CAH44" s="292"/>
      <c r="CAI44" s="292"/>
      <c r="CAJ44" s="292"/>
      <c r="CAK44" s="292"/>
      <c r="CAL44" s="292"/>
      <c r="CAM44" s="292"/>
      <c r="CAN44" s="292"/>
      <c r="CAO44" s="292"/>
      <c r="CAP44" s="292"/>
      <c r="CAQ44" s="292"/>
      <c r="CAR44" s="292"/>
      <c r="CAS44" s="292"/>
      <c r="CAT44" s="292"/>
      <c r="CAU44" s="292"/>
      <c r="CAV44" s="292"/>
      <c r="CAW44" s="292"/>
      <c r="CAX44" s="292"/>
      <c r="CAY44" s="292"/>
      <c r="CAZ44" s="292"/>
      <c r="CBA44" s="292"/>
      <c r="CBB44" s="292"/>
      <c r="CBC44" s="292"/>
      <c r="CBD44" s="292"/>
      <c r="CBE44" s="292"/>
      <c r="CBF44" s="292"/>
      <c r="CBG44" s="292"/>
      <c r="CBH44" s="292"/>
      <c r="CBI44" s="292"/>
      <c r="CBJ44" s="292"/>
      <c r="CBK44" s="292"/>
      <c r="CBL44" s="292"/>
      <c r="CBM44" s="292"/>
      <c r="CBN44" s="292"/>
      <c r="CBO44" s="292"/>
      <c r="CBP44" s="292"/>
      <c r="CBQ44" s="292"/>
      <c r="CBR44" s="292"/>
      <c r="CBS44" s="292"/>
      <c r="CBT44" s="292"/>
      <c r="CBU44" s="292"/>
      <c r="CBV44" s="292"/>
      <c r="CBW44" s="292"/>
      <c r="CBX44" s="292"/>
      <c r="CBY44" s="292"/>
      <c r="CBZ44" s="292"/>
      <c r="CCA44" s="292"/>
      <c r="CCB44" s="292"/>
      <c r="CCC44" s="292"/>
      <c r="CCD44" s="292"/>
      <c r="CCE44" s="292"/>
      <c r="CCF44" s="292"/>
      <c r="CCG44" s="292"/>
      <c r="CCH44" s="292"/>
      <c r="CCI44" s="292"/>
      <c r="CCJ44" s="292"/>
      <c r="CCK44" s="292"/>
      <c r="CCL44" s="292"/>
      <c r="CCM44" s="292"/>
      <c r="CCN44" s="292"/>
      <c r="CCO44" s="292"/>
      <c r="CCP44" s="292"/>
      <c r="CCQ44" s="292"/>
      <c r="CCR44" s="292"/>
      <c r="CCS44" s="292"/>
      <c r="CCT44" s="292"/>
      <c r="CCU44" s="292"/>
      <c r="CCV44" s="292"/>
      <c r="CCW44" s="292"/>
      <c r="CCX44" s="292"/>
      <c r="CCY44" s="292"/>
      <c r="CCZ44" s="292"/>
      <c r="CDA44" s="292"/>
      <c r="CDB44" s="292"/>
      <c r="CDC44" s="292"/>
      <c r="CDD44" s="292"/>
      <c r="CDE44" s="292"/>
      <c r="CDF44" s="292"/>
      <c r="CDG44" s="292"/>
      <c r="CDH44" s="292"/>
      <c r="CDI44" s="292"/>
      <c r="CDJ44" s="292"/>
      <c r="CDK44" s="292"/>
      <c r="CDL44" s="292"/>
      <c r="CDM44" s="292"/>
      <c r="CDN44" s="292"/>
      <c r="CDO44" s="292"/>
      <c r="CDP44" s="292"/>
      <c r="CDQ44" s="292"/>
      <c r="CDR44" s="292"/>
      <c r="CDS44" s="292"/>
      <c r="CDT44" s="292"/>
      <c r="CDU44" s="292"/>
      <c r="CDV44" s="292"/>
      <c r="CDW44" s="292"/>
      <c r="CDX44" s="292"/>
      <c r="CDY44" s="292"/>
      <c r="CDZ44" s="292"/>
      <c r="CEA44" s="292"/>
      <c r="CEB44" s="292"/>
      <c r="CEC44" s="292"/>
      <c r="CED44" s="292"/>
      <c r="CEE44" s="292"/>
      <c r="CEF44" s="292"/>
      <c r="CEG44" s="292"/>
      <c r="CEH44" s="292"/>
      <c r="CEI44" s="292"/>
      <c r="CEJ44" s="292"/>
      <c r="CEK44" s="292"/>
      <c r="CEL44" s="292"/>
      <c r="CEM44" s="292"/>
      <c r="CEN44" s="292"/>
      <c r="CEO44" s="292"/>
      <c r="CEP44" s="292"/>
      <c r="CEQ44" s="292"/>
      <c r="CER44" s="292"/>
      <c r="CES44" s="292"/>
      <c r="CET44" s="292"/>
      <c r="CEU44" s="292"/>
      <c r="CEV44" s="292"/>
      <c r="CEW44" s="292"/>
      <c r="CEX44" s="292"/>
      <c r="CEY44" s="292"/>
      <c r="CEZ44" s="292"/>
      <c r="CFA44" s="292"/>
      <c r="CFB44" s="292"/>
      <c r="CFC44" s="292"/>
      <c r="CFD44" s="292"/>
      <c r="CFE44" s="292"/>
      <c r="CFF44" s="292"/>
      <c r="CFG44" s="292"/>
      <c r="CFH44" s="292"/>
      <c r="CFI44" s="292"/>
      <c r="CFJ44" s="292"/>
      <c r="CFK44" s="292"/>
      <c r="CFL44" s="292"/>
      <c r="CFM44" s="292"/>
      <c r="CFN44" s="292"/>
      <c r="CFO44" s="292"/>
      <c r="CFP44" s="292"/>
      <c r="CFQ44" s="292"/>
      <c r="CFR44" s="292"/>
      <c r="CFS44" s="292"/>
      <c r="CFT44" s="292"/>
      <c r="CFU44" s="292"/>
      <c r="CFV44" s="292"/>
      <c r="CFW44" s="292"/>
      <c r="CFX44" s="292"/>
      <c r="CFY44" s="292"/>
      <c r="CFZ44" s="292"/>
      <c r="CGA44" s="292"/>
      <c r="CGB44" s="292"/>
      <c r="CGC44" s="292"/>
      <c r="CGD44" s="292"/>
      <c r="CGE44" s="292"/>
      <c r="CGF44" s="292"/>
      <c r="CGG44" s="292"/>
      <c r="CGH44" s="292"/>
      <c r="CGI44" s="292"/>
      <c r="CGJ44" s="292"/>
      <c r="CGK44" s="292"/>
      <c r="CGL44" s="292"/>
      <c r="CGM44" s="292"/>
      <c r="CGN44" s="292"/>
      <c r="CGO44" s="292"/>
      <c r="CGP44" s="292"/>
      <c r="CGQ44" s="292"/>
      <c r="CGR44" s="292"/>
      <c r="CGS44" s="292"/>
      <c r="CGT44" s="292"/>
      <c r="CGU44" s="292"/>
      <c r="CGV44" s="292"/>
      <c r="CGW44" s="292"/>
      <c r="CGX44" s="292"/>
      <c r="CGY44" s="292"/>
      <c r="CGZ44" s="292"/>
      <c r="CHA44" s="292"/>
      <c r="CHB44" s="292"/>
      <c r="CHC44" s="292"/>
      <c r="CHD44" s="292"/>
      <c r="CHE44" s="292"/>
      <c r="CHF44" s="292"/>
      <c r="CHG44" s="292"/>
      <c r="CHH44" s="292"/>
      <c r="CHI44" s="292"/>
      <c r="CHJ44" s="292"/>
      <c r="CHK44" s="292"/>
      <c r="CHL44" s="292"/>
      <c r="CHM44" s="292"/>
      <c r="CHN44" s="292"/>
      <c r="CHO44" s="292"/>
      <c r="CHP44" s="292"/>
      <c r="CHQ44" s="292"/>
      <c r="CHR44" s="292"/>
      <c r="CHS44" s="292"/>
      <c r="CHT44" s="292"/>
      <c r="CHU44" s="292"/>
      <c r="CHV44" s="292"/>
      <c r="CHW44" s="292"/>
      <c r="CHX44" s="292"/>
      <c r="CHY44" s="292"/>
      <c r="CHZ44" s="292"/>
      <c r="CIA44" s="292"/>
      <c r="CIB44" s="292"/>
      <c r="CIC44" s="292"/>
      <c r="CID44" s="292"/>
      <c r="CIE44" s="292"/>
      <c r="CIF44" s="292"/>
      <c r="CIG44" s="292"/>
      <c r="CIH44" s="292"/>
      <c r="CII44" s="292"/>
      <c r="CIJ44" s="292"/>
      <c r="CIK44" s="292"/>
      <c r="CIL44" s="292"/>
      <c r="CIM44" s="292"/>
      <c r="CIN44" s="292"/>
      <c r="CIO44" s="292"/>
      <c r="CIP44" s="292"/>
      <c r="CIQ44" s="292"/>
      <c r="CIR44" s="292"/>
      <c r="CIS44" s="292"/>
      <c r="CIT44" s="292"/>
      <c r="CIU44" s="292"/>
      <c r="CIV44" s="292"/>
      <c r="CIW44" s="292"/>
      <c r="CIX44" s="292"/>
      <c r="CIY44" s="292"/>
      <c r="CIZ44" s="292"/>
      <c r="CJA44" s="292"/>
      <c r="CJB44" s="292"/>
      <c r="CJC44" s="292"/>
      <c r="CJD44" s="292"/>
      <c r="CJE44" s="292"/>
      <c r="CJF44" s="292"/>
      <c r="CJG44" s="292"/>
      <c r="CJH44" s="292"/>
      <c r="CJI44" s="292"/>
      <c r="CJJ44" s="292"/>
      <c r="CJK44" s="292"/>
      <c r="CJL44" s="292"/>
      <c r="CJM44" s="292"/>
      <c r="CJN44" s="292"/>
      <c r="CJO44" s="292"/>
      <c r="CJP44" s="292"/>
      <c r="CJQ44" s="292"/>
      <c r="CJR44" s="292"/>
      <c r="CJS44" s="292"/>
      <c r="CJT44" s="292"/>
      <c r="CJU44" s="292"/>
      <c r="CJV44" s="292"/>
      <c r="CJW44" s="292"/>
      <c r="CJX44" s="292"/>
      <c r="CJY44" s="292"/>
      <c r="CJZ44" s="292"/>
      <c r="CKA44" s="292"/>
      <c r="CKB44" s="292"/>
      <c r="CKC44" s="292"/>
      <c r="CKD44" s="292"/>
      <c r="CKE44" s="292"/>
      <c r="CKF44" s="292"/>
      <c r="CKG44" s="292"/>
      <c r="CKH44" s="292"/>
      <c r="CKI44" s="292"/>
      <c r="CKJ44" s="292"/>
      <c r="CKK44" s="292"/>
      <c r="CKL44" s="292"/>
      <c r="CKM44" s="292"/>
      <c r="CKN44" s="292"/>
      <c r="CKO44" s="292"/>
      <c r="CKP44" s="292"/>
      <c r="CKQ44" s="292"/>
      <c r="CKR44" s="292"/>
      <c r="CKS44" s="292"/>
      <c r="CKT44" s="292"/>
      <c r="CKU44" s="292"/>
      <c r="CKV44" s="292"/>
      <c r="CKW44" s="292"/>
      <c r="CKX44" s="292"/>
      <c r="CKY44" s="292"/>
      <c r="CKZ44" s="292"/>
      <c r="CLA44" s="292"/>
      <c r="CLB44" s="292"/>
      <c r="CLC44" s="292"/>
      <c r="CLD44" s="292"/>
      <c r="CLE44" s="292"/>
      <c r="CLF44" s="292"/>
      <c r="CLG44" s="292"/>
      <c r="CLH44" s="292"/>
      <c r="CLI44" s="292"/>
      <c r="CLJ44" s="292"/>
      <c r="CLK44" s="292"/>
      <c r="CLL44" s="292"/>
      <c r="CLM44" s="292"/>
      <c r="CLN44" s="292"/>
      <c r="CLO44" s="292"/>
      <c r="CLP44" s="292"/>
      <c r="CLQ44" s="292"/>
      <c r="CLR44" s="292"/>
      <c r="CLS44" s="292"/>
      <c r="CLT44" s="292"/>
      <c r="CLU44" s="292"/>
      <c r="CLV44" s="292"/>
      <c r="CLW44" s="292"/>
      <c r="CLX44" s="292"/>
      <c r="CLY44" s="292"/>
      <c r="CLZ44" s="292"/>
      <c r="CMA44" s="292"/>
      <c r="CMB44" s="292"/>
      <c r="CMC44" s="292"/>
      <c r="CMD44" s="292"/>
      <c r="CME44" s="292"/>
      <c r="CMF44" s="292"/>
      <c r="CMG44" s="292"/>
      <c r="CMH44" s="292"/>
      <c r="CMI44" s="292"/>
      <c r="CMJ44" s="292"/>
      <c r="CMK44" s="292"/>
      <c r="CML44" s="292"/>
      <c r="CMM44" s="292"/>
      <c r="CMN44" s="292"/>
      <c r="CMO44" s="292"/>
      <c r="CMP44" s="292"/>
      <c r="CMQ44" s="292"/>
      <c r="CMR44" s="292"/>
      <c r="CMS44" s="292"/>
      <c r="CMT44" s="292"/>
      <c r="CMU44" s="292"/>
      <c r="CMV44" s="292"/>
      <c r="CMW44" s="292"/>
      <c r="CMX44" s="292"/>
      <c r="CMY44" s="292"/>
      <c r="CMZ44" s="292"/>
      <c r="CNA44" s="292"/>
      <c r="CNB44" s="292"/>
      <c r="CNC44" s="292"/>
      <c r="CND44" s="292"/>
      <c r="CNE44" s="292"/>
      <c r="CNF44" s="292"/>
      <c r="CNG44" s="292"/>
      <c r="CNH44" s="292"/>
      <c r="CNI44" s="292"/>
      <c r="CNJ44" s="292"/>
      <c r="CNK44" s="292"/>
      <c r="CNL44" s="292"/>
      <c r="CNM44" s="292"/>
      <c r="CNN44" s="292"/>
      <c r="CNO44" s="292"/>
      <c r="CNP44" s="292"/>
      <c r="CNQ44" s="292"/>
      <c r="CNR44" s="292"/>
      <c r="CNS44" s="292"/>
      <c r="CNT44" s="292"/>
      <c r="CNU44" s="292"/>
      <c r="CNV44" s="292"/>
      <c r="CNW44" s="292"/>
      <c r="CNX44" s="292"/>
      <c r="CNY44" s="292"/>
      <c r="CNZ44" s="292"/>
      <c r="COA44" s="292"/>
      <c r="COB44" s="292"/>
      <c r="COC44" s="292"/>
      <c r="COD44" s="292"/>
      <c r="COE44" s="292"/>
      <c r="COF44" s="292"/>
      <c r="COG44" s="292"/>
      <c r="COH44" s="292"/>
      <c r="COI44" s="292"/>
      <c r="COJ44" s="292"/>
      <c r="COK44" s="292"/>
      <c r="COL44" s="292"/>
      <c r="COM44" s="292"/>
      <c r="CON44" s="292"/>
      <c r="COO44" s="292"/>
      <c r="COP44" s="292"/>
      <c r="COQ44" s="292"/>
      <c r="COR44" s="292"/>
      <c r="COS44" s="292"/>
      <c r="COT44" s="292"/>
      <c r="COU44" s="292"/>
      <c r="COV44" s="292"/>
      <c r="COW44" s="292"/>
      <c r="COX44" s="292"/>
      <c r="COY44" s="292"/>
      <c r="COZ44" s="292"/>
      <c r="CPA44" s="292"/>
      <c r="CPB44" s="292"/>
      <c r="CPC44" s="292"/>
      <c r="CPD44" s="292"/>
      <c r="CPE44" s="292"/>
      <c r="CPF44" s="292"/>
      <c r="CPG44" s="292"/>
      <c r="CPH44" s="292"/>
      <c r="CPI44" s="292"/>
      <c r="CPJ44" s="292"/>
      <c r="CPK44" s="292"/>
      <c r="CPL44" s="292"/>
      <c r="CPM44" s="292"/>
      <c r="CPN44" s="292"/>
      <c r="CPO44" s="292"/>
      <c r="CPP44" s="292"/>
      <c r="CPQ44" s="292"/>
      <c r="CPR44" s="292"/>
      <c r="CPS44" s="292"/>
      <c r="CPT44" s="292"/>
      <c r="CPU44" s="292"/>
      <c r="CPV44" s="292"/>
      <c r="CPW44" s="292"/>
      <c r="CPX44" s="292"/>
      <c r="CPY44" s="292"/>
      <c r="CPZ44" s="292"/>
      <c r="CQA44" s="292"/>
      <c r="CQB44" s="292"/>
      <c r="CQC44" s="292"/>
      <c r="CQD44" s="292"/>
      <c r="CQE44" s="292"/>
      <c r="CQF44" s="292"/>
      <c r="CQG44" s="292"/>
      <c r="CQH44" s="292"/>
      <c r="CQI44" s="292"/>
      <c r="CQJ44" s="292"/>
      <c r="CQK44" s="292"/>
      <c r="CQL44" s="292"/>
      <c r="CQM44" s="292"/>
      <c r="CQN44" s="292"/>
      <c r="CQO44" s="292"/>
      <c r="CQP44" s="292"/>
      <c r="CQQ44" s="292"/>
      <c r="CQR44" s="292"/>
      <c r="CQS44" s="292"/>
      <c r="CQT44" s="292"/>
      <c r="CQU44" s="292"/>
      <c r="CQV44" s="292"/>
      <c r="CQW44" s="292"/>
      <c r="CQX44" s="292"/>
      <c r="CQY44" s="292"/>
      <c r="CQZ44" s="292"/>
      <c r="CRA44" s="292"/>
      <c r="CRB44" s="292"/>
      <c r="CRC44" s="292"/>
      <c r="CRD44" s="292"/>
      <c r="CRE44" s="292"/>
      <c r="CRF44" s="292"/>
      <c r="CRG44" s="292"/>
      <c r="CRH44" s="292"/>
      <c r="CRI44" s="292"/>
      <c r="CRJ44" s="292"/>
      <c r="CRK44" s="292"/>
      <c r="CRL44" s="292"/>
      <c r="CRM44" s="292"/>
      <c r="CRN44" s="292"/>
      <c r="CRO44" s="292"/>
      <c r="CRP44" s="292"/>
      <c r="CRQ44" s="292"/>
      <c r="CRR44" s="292"/>
      <c r="CRS44" s="292"/>
      <c r="CRT44" s="292"/>
      <c r="CRU44" s="292"/>
      <c r="CRV44" s="292"/>
      <c r="CRW44" s="292"/>
      <c r="CRX44" s="292"/>
      <c r="CRY44" s="292"/>
      <c r="CRZ44" s="292"/>
      <c r="CSA44" s="292"/>
      <c r="CSB44" s="292"/>
      <c r="CSC44" s="292"/>
      <c r="CSD44" s="292"/>
      <c r="CSE44" s="292"/>
      <c r="CSF44" s="292"/>
      <c r="CSG44" s="292"/>
      <c r="CSH44" s="292"/>
      <c r="CSI44" s="292"/>
      <c r="CSJ44" s="292"/>
      <c r="CSK44" s="292"/>
      <c r="CSL44" s="292"/>
      <c r="CSM44" s="292"/>
      <c r="CSN44" s="292"/>
      <c r="CSO44" s="292"/>
      <c r="CSP44" s="292"/>
      <c r="CSQ44" s="292"/>
      <c r="CSR44" s="292"/>
      <c r="CSS44" s="292"/>
      <c r="CST44" s="292"/>
      <c r="CSU44" s="292"/>
      <c r="CSV44" s="292"/>
      <c r="CSW44" s="292"/>
      <c r="CSX44" s="292"/>
      <c r="CSY44" s="292"/>
      <c r="CSZ44" s="292"/>
      <c r="CTA44" s="292"/>
      <c r="CTB44" s="292"/>
      <c r="CTC44" s="292"/>
      <c r="CTD44" s="292"/>
      <c r="CTE44" s="292"/>
      <c r="CTF44" s="292"/>
      <c r="CTG44" s="292"/>
      <c r="CTH44" s="292"/>
      <c r="CTI44" s="292"/>
      <c r="CTJ44" s="292"/>
      <c r="CTK44" s="292"/>
      <c r="CTL44" s="292"/>
      <c r="CTM44" s="292"/>
      <c r="CTN44" s="292"/>
      <c r="CTO44" s="292"/>
      <c r="CTP44" s="292"/>
      <c r="CTQ44" s="292"/>
      <c r="CTR44" s="292"/>
      <c r="CTS44" s="292"/>
      <c r="CTT44" s="292"/>
      <c r="CTU44" s="292"/>
      <c r="CTV44" s="292"/>
      <c r="CTW44" s="292"/>
      <c r="CTX44" s="292"/>
      <c r="CTY44" s="292"/>
      <c r="CTZ44" s="292"/>
      <c r="CUA44" s="292"/>
      <c r="CUB44" s="292"/>
      <c r="CUC44" s="292"/>
      <c r="CUD44" s="292"/>
      <c r="CUE44" s="292"/>
      <c r="CUF44" s="292"/>
      <c r="CUG44" s="292"/>
      <c r="CUH44" s="292"/>
      <c r="CUI44" s="292"/>
      <c r="CUJ44" s="292"/>
      <c r="CUK44" s="292"/>
      <c r="CUL44" s="292"/>
      <c r="CUM44" s="292"/>
      <c r="CUN44" s="292"/>
      <c r="CUO44" s="292"/>
      <c r="CUP44" s="292"/>
      <c r="CUQ44" s="292"/>
      <c r="CUR44" s="292"/>
      <c r="CUS44" s="292"/>
      <c r="CUT44" s="292"/>
      <c r="CUU44" s="292"/>
      <c r="CUV44" s="292"/>
      <c r="CUW44" s="292"/>
      <c r="CUX44" s="292"/>
      <c r="CUY44" s="292"/>
      <c r="CUZ44" s="292"/>
      <c r="CVA44" s="292"/>
      <c r="CVB44" s="292"/>
      <c r="CVC44" s="292"/>
      <c r="CVD44" s="292"/>
      <c r="CVE44" s="292"/>
      <c r="CVF44" s="292"/>
      <c r="CVG44" s="292"/>
      <c r="CVH44" s="292"/>
      <c r="CVI44" s="292"/>
      <c r="CVJ44" s="292"/>
      <c r="CVK44" s="292"/>
      <c r="CVL44" s="292"/>
      <c r="CVM44" s="292"/>
      <c r="CVN44" s="292"/>
      <c r="CVO44" s="292"/>
      <c r="CVP44" s="292"/>
      <c r="CVQ44" s="292"/>
      <c r="CVR44" s="292"/>
      <c r="CVS44" s="292"/>
      <c r="CVT44" s="292"/>
      <c r="CVU44" s="292"/>
      <c r="CVV44" s="292"/>
      <c r="CVW44" s="292"/>
      <c r="CVX44" s="292"/>
      <c r="CVY44" s="292"/>
      <c r="CVZ44" s="292"/>
      <c r="CWA44" s="292"/>
      <c r="CWB44" s="292"/>
      <c r="CWC44" s="292"/>
      <c r="CWD44" s="292"/>
      <c r="CWE44" s="292"/>
      <c r="CWF44" s="292"/>
      <c r="CWG44" s="292"/>
      <c r="CWH44" s="292"/>
      <c r="CWI44" s="292"/>
      <c r="CWJ44" s="292"/>
      <c r="CWK44" s="292"/>
      <c r="CWL44" s="292"/>
      <c r="CWM44" s="292"/>
      <c r="CWN44" s="292"/>
      <c r="CWO44" s="292"/>
      <c r="CWP44" s="292"/>
      <c r="CWQ44" s="292"/>
      <c r="CWR44" s="292"/>
      <c r="CWS44" s="292"/>
      <c r="CWT44" s="292"/>
      <c r="CWU44" s="292"/>
      <c r="CWV44" s="292"/>
      <c r="CWW44" s="292"/>
      <c r="CWX44" s="292"/>
      <c r="CWY44" s="292"/>
      <c r="CWZ44" s="292"/>
      <c r="CXA44" s="292"/>
      <c r="CXB44" s="292"/>
      <c r="CXC44" s="292"/>
      <c r="CXD44" s="292"/>
      <c r="CXE44" s="292"/>
      <c r="CXF44" s="292"/>
      <c r="CXG44" s="292"/>
      <c r="CXH44" s="292"/>
      <c r="CXI44" s="292"/>
      <c r="CXJ44" s="292"/>
      <c r="CXK44" s="292"/>
      <c r="CXL44" s="292"/>
      <c r="CXM44" s="292"/>
      <c r="CXN44" s="292"/>
      <c r="CXO44" s="292"/>
      <c r="CXP44" s="292"/>
      <c r="CXQ44" s="292"/>
      <c r="CXR44" s="292"/>
      <c r="CXS44" s="292"/>
      <c r="CXT44" s="292"/>
      <c r="CXU44" s="292"/>
      <c r="CXV44" s="292"/>
      <c r="CXW44" s="292"/>
      <c r="CXX44" s="292"/>
      <c r="CXY44" s="292"/>
      <c r="CXZ44" s="292"/>
      <c r="CYA44" s="292"/>
      <c r="CYB44" s="292"/>
      <c r="CYC44" s="292"/>
      <c r="CYD44" s="292"/>
      <c r="CYE44" s="292"/>
      <c r="CYF44" s="292"/>
      <c r="CYG44" s="292"/>
      <c r="CYH44" s="292"/>
      <c r="CYI44" s="292"/>
      <c r="CYJ44" s="292"/>
      <c r="CYK44" s="292"/>
      <c r="CYL44" s="292"/>
      <c r="CYM44" s="292"/>
      <c r="CYN44" s="292"/>
      <c r="CYO44" s="292"/>
      <c r="CYP44" s="292"/>
      <c r="CYQ44" s="292"/>
      <c r="CYR44" s="292"/>
      <c r="CYS44" s="292"/>
      <c r="CYT44" s="292"/>
      <c r="CYU44" s="292"/>
      <c r="CYV44" s="292"/>
      <c r="CYW44" s="292"/>
      <c r="CYX44" s="292"/>
      <c r="CYY44" s="292"/>
      <c r="CYZ44" s="292"/>
      <c r="CZA44" s="292"/>
      <c r="CZB44" s="292"/>
      <c r="CZC44" s="292"/>
      <c r="CZD44" s="292"/>
      <c r="CZE44" s="292"/>
      <c r="CZF44" s="292"/>
      <c r="CZG44" s="292"/>
      <c r="CZH44" s="292"/>
      <c r="CZI44" s="292"/>
      <c r="CZJ44" s="292"/>
      <c r="CZK44" s="292"/>
      <c r="CZL44" s="292"/>
      <c r="CZM44" s="292"/>
      <c r="CZN44" s="292"/>
      <c r="CZO44" s="292"/>
      <c r="CZP44" s="292"/>
      <c r="CZQ44" s="292"/>
      <c r="CZR44" s="292"/>
      <c r="CZS44" s="292"/>
      <c r="CZT44" s="292"/>
      <c r="CZU44" s="292"/>
      <c r="CZV44" s="292"/>
      <c r="CZW44" s="292"/>
      <c r="CZX44" s="292"/>
      <c r="CZY44" s="292"/>
      <c r="CZZ44" s="292"/>
      <c r="DAA44" s="292"/>
      <c r="DAB44" s="292"/>
      <c r="DAC44" s="292"/>
      <c r="DAD44" s="292"/>
      <c r="DAE44" s="292"/>
      <c r="DAF44" s="292"/>
      <c r="DAG44" s="292"/>
      <c r="DAH44" s="292"/>
      <c r="DAI44" s="292"/>
      <c r="DAJ44" s="292"/>
      <c r="DAK44" s="292"/>
      <c r="DAL44" s="292"/>
      <c r="DAM44" s="292"/>
      <c r="DAN44" s="292"/>
      <c r="DAO44" s="292"/>
      <c r="DAP44" s="292"/>
      <c r="DAQ44" s="292"/>
      <c r="DAR44" s="292"/>
      <c r="DAS44" s="292"/>
      <c r="DAT44" s="292"/>
      <c r="DAU44" s="292"/>
      <c r="DAV44" s="292"/>
      <c r="DAW44" s="292"/>
      <c r="DAX44" s="292"/>
      <c r="DAY44" s="292"/>
      <c r="DAZ44" s="292"/>
      <c r="DBA44" s="292"/>
      <c r="DBB44" s="292"/>
      <c r="DBC44" s="292"/>
      <c r="DBD44" s="292"/>
      <c r="DBE44" s="292"/>
      <c r="DBF44" s="292"/>
      <c r="DBG44" s="292"/>
      <c r="DBH44" s="292"/>
      <c r="DBI44" s="292"/>
      <c r="DBJ44" s="292"/>
      <c r="DBK44" s="292"/>
      <c r="DBL44" s="292"/>
      <c r="DBM44" s="292"/>
      <c r="DBN44" s="292"/>
      <c r="DBO44" s="292"/>
      <c r="DBP44" s="292"/>
      <c r="DBQ44" s="292"/>
      <c r="DBR44" s="292"/>
      <c r="DBS44" s="292"/>
      <c r="DBT44" s="292"/>
      <c r="DBU44" s="292"/>
      <c r="DBV44" s="292"/>
      <c r="DBW44" s="292"/>
      <c r="DBX44" s="292"/>
      <c r="DBY44" s="292"/>
      <c r="DBZ44" s="292"/>
      <c r="DCA44" s="292"/>
      <c r="DCB44" s="292"/>
      <c r="DCC44" s="292"/>
      <c r="DCD44" s="292"/>
      <c r="DCE44" s="292"/>
      <c r="DCF44" s="292"/>
      <c r="DCG44" s="292"/>
      <c r="DCH44" s="292"/>
      <c r="DCI44" s="292"/>
      <c r="DCJ44" s="292"/>
      <c r="DCK44" s="292"/>
      <c r="DCL44" s="292"/>
      <c r="DCM44" s="292"/>
      <c r="DCN44" s="292"/>
      <c r="DCO44" s="292"/>
      <c r="DCP44" s="292"/>
      <c r="DCQ44" s="292"/>
      <c r="DCR44" s="292"/>
      <c r="DCS44" s="292"/>
      <c r="DCT44" s="292"/>
      <c r="DCU44" s="292"/>
      <c r="DCV44" s="292"/>
      <c r="DCW44" s="292"/>
      <c r="DCX44" s="292"/>
      <c r="DCY44" s="292"/>
      <c r="DCZ44" s="292"/>
      <c r="DDA44" s="292"/>
      <c r="DDB44" s="292"/>
      <c r="DDC44" s="292"/>
      <c r="DDD44" s="292"/>
      <c r="DDE44" s="292"/>
      <c r="DDF44" s="292"/>
      <c r="DDG44" s="292"/>
      <c r="DDH44" s="292"/>
      <c r="DDI44" s="292"/>
      <c r="DDJ44" s="292"/>
      <c r="DDK44" s="292"/>
      <c r="DDL44" s="292"/>
      <c r="DDM44" s="292"/>
      <c r="DDN44" s="292"/>
      <c r="DDO44" s="292"/>
      <c r="DDP44" s="292"/>
      <c r="DDQ44" s="292"/>
      <c r="DDR44" s="292"/>
      <c r="DDS44" s="292"/>
      <c r="DDT44" s="292"/>
      <c r="DDU44" s="292"/>
      <c r="DDV44" s="292"/>
      <c r="DDW44" s="292"/>
      <c r="DDX44" s="292"/>
      <c r="DDY44" s="292"/>
      <c r="DDZ44" s="292"/>
      <c r="DEA44" s="292"/>
      <c r="DEB44" s="292"/>
      <c r="DEC44" s="292"/>
      <c r="DED44" s="292"/>
      <c r="DEE44" s="292"/>
      <c r="DEF44" s="292"/>
      <c r="DEG44" s="292"/>
      <c r="DEH44" s="292"/>
      <c r="DEI44" s="292"/>
      <c r="DEJ44" s="292"/>
      <c r="DEK44" s="292"/>
      <c r="DEL44" s="292"/>
      <c r="DEM44" s="292"/>
      <c r="DEN44" s="292"/>
      <c r="DEO44" s="292"/>
      <c r="DEP44" s="292"/>
      <c r="DEQ44" s="292"/>
      <c r="DER44" s="292"/>
      <c r="DES44" s="292"/>
      <c r="DET44" s="292"/>
      <c r="DEU44" s="292"/>
      <c r="DEV44" s="292"/>
      <c r="DEW44" s="292"/>
      <c r="DEX44" s="292"/>
      <c r="DEY44" s="292"/>
      <c r="DEZ44" s="292"/>
      <c r="DFA44" s="292"/>
      <c r="DFB44" s="292"/>
      <c r="DFC44" s="292"/>
      <c r="DFD44" s="292"/>
      <c r="DFE44" s="292"/>
      <c r="DFF44" s="292"/>
      <c r="DFG44" s="292"/>
      <c r="DFH44" s="292"/>
      <c r="DFI44" s="292"/>
      <c r="DFJ44" s="292"/>
      <c r="DFK44" s="292"/>
      <c r="DFL44" s="292"/>
      <c r="DFM44" s="292"/>
      <c r="DFN44" s="292"/>
      <c r="DFO44" s="292"/>
      <c r="DFP44" s="292"/>
      <c r="DFQ44" s="292"/>
      <c r="DFR44" s="292"/>
      <c r="DFS44" s="292"/>
      <c r="DFT44" s="292"/>
      <c r="DFU44" s="292"/>
      <c r="DFV44" s="292"/>
      <c r="DFW44" s="292"/>
      <c r="DFX44" s="292"/>
      <c r="DFY44" s="292"/>
      <c r="DFZ44" s="292"/>
      <c r="DGA44" s="292"/>
      <c r="DGB44" s="292"/>
      <c r="DGC44" s="292"/>
      <c r="DGD44" s="292"/>
      <c r="DGE44" s="292"/>
      <c r="DGF44" s="292"/>
      <c r="DGG44" s="292"/>
      <c r="DGH44" s="292"/>
      <c r="DGI44" s="292"/>
      <c r="DGJ44" s="292"/>
      <c r="DGK44" s="292"/>
      <c r="DGL44" s="292"/>
      <c r="DGM44" s="292"/>
      <c r="DGN44" s="292"/>
      <c r="DGO44" s="292"/>
      <c r="DGP44" s="292"/>
      <c r="DGQ44" s="292"/>
      <c r="DGR44" s="292"/>
      <c r="DGS44" s="292"/>
      <c r="DGT44" s="292"/>
      <c r="DGU44" s="292"/>
      <c r="DGV44" s="292"/>
      <c r="DGW44" s="292"/>
      <c r="DGX44" s="292"/>
      <c r="DGY44" s="292"/>
      <c r="DGZ44" s="292"/>
      <c r="DHA44" s="292"/>
      <c r="DHB44" s="292"/>
      <c r="DHC44" s="292"/>
      <c r="DHD44" s="292"/>
      <c r="DHE44" s="292"/>
      <c r="DHF44" s="292"/>
      <c r="DHG44" s="292"/>
      <c r="DHH44" s="292"/>
      <c r="DHI44" s="292"/>
      <c r="DHJ44" s="292"/>
      <c r="DHK44" s="292"/>
      <c r="DHL44" s="292"/>
      <c r="DHM44" s="292"/>
      <c r="DHN44" s="292"/>
      <c r="DHO44" s="292"/>
      <c r="DHP44" s="292"/>
      <c r="DHQ44" s="292"/>
      <c r="DHR44" s="292"/>
      <c r="DHS44" s="292"/>
      <c r="DHT44" s="292"/>
      <c r="DHU44" s="292"/>
      <c r="DHV44" s="292"/>
      <c r="DHW44" s="292"/>
      <c r="DHX44" s="292"/>
      <c r="DHY44" s="292"/>
      <c r="DHZ44" s="292"/>
      <c r="DIA44" s="292"/>
      <c r="DIB44" s="292"/>
      <c r="DIC44" s="292"/>
      <c r="DID44" s="292"/>
      <c r="DIE44" s="292"/>
      <c r="DIF44" s="292"/>
      <c r="DIG44" s="292"/>
      <c r="DIH44" s="292"/>
      <c r="DII44" s="292"/>
      <c r="DIJ44" s="292"/>
      <c r="DIK44" s="292"/>
      <c r="DIL44" s="292"/>
      <c r="DIM44" s="292"/>
      <c r="DIN44" s="292"/>
      <c r="DIO44" s="292"/>
      <c r="DIP44" s="292"/>
      <c r="DIQ44" s="292"/>
      <c r="DIR44" s="292"/>
      <c r="DIS44" s="292"/>
      <c r="DIT44" s="292"/>
      <c r="DIU44" s="292"/>
      <c r="DIV44" s="292"/>
      <c r="DIW44" s="292"/>
      <c r="DIX44" s="292"/>
      <c r="DIY44" s="292"/>
      <c r="DIZ44" s="292"/>
      <c r="DJA44" s="292"/>
      <c r="DJB44" s="292"/>
      <c r="DJC44" s="292"/>
      <c r="DJD44" s="292"/>
      <c r="DJE44" s="292"/>
      <c r="DJF44" s="292"/>
      <c r="DJG44" s="292"/>
      <c r="DJH44" s="292"/>
      <c r="DJI44" s="292"/>
      <c r="DJJ44" s="292"/>
      <c r="DJK44" s="292"/>
      <c r="DJL44" s="292"/>
      <c r="DJM44" s="292"/>
      <c r="DJN44" s="292"/>
      <c r="DJO44" s="292"/>
      <c r="DJP44" s="292"/>
      <c r="DJQ44" s="292"/>
      <c r="DJR44" s="292"/>
      <c r="DJS44" s="292"/>
      <c r="DJT44" s="292"/>
      <c r="DJU44" s="292"/>
      <c r="DJV44" s="292"/>
      <c r="DJW44" s="292"/>
      <c r="DJX44" s="292"/>
      <c r="DJY44" s="292"/>
      <c r="DJZ44" s="292"/>
      <c r="DKA44" s="292"/>
      <c r="DKB44" s="292"/>
      <c r="DKC44" s="292"/>
      <c r="DKD44" s="292"/>
      <c r="DKE44" s="292"/>
      <c r="DKF44" s="292"/>
      <c r="DKG44" s="292"/>
      <c r="DKH44" s="292"/>
      <c r="DKI44" s="292"/>
      <c r="DKJ44" s="292"/>
      <c r="DKK44" s="292"/>
      <c r="DKL44" s="292"/>
      <c r="DKM44" s="292"/>
      <c r="DKN44" s="292"/>
      <c r="DKO44" s="292"/>
      <c r="DKP44" s="292"/>
      <c r="DKQ44" s="292"/>
      <c r="DKR44" s="292"/>
      <c r="DKS44" s="292"/>
      <c r="DKT44" s="292"/>
      <c r="DKU44" s="292"/>
      <c r="DKV44" s="292"/>
      <c r="DKW44" s="292"/>
      <c r="DKX44" s="292"/>
      <c r="DKY44" s="292"/>
      <c r="DKZ44" s="292"/>
      <c r="DLA44" s="292"/>
      <c r="DLB44" s="292"/>
      <c r="DLC44" s="292"/>
      <c r="DLD44" s="292"/>
      <c r="DLE44" s="292"/>
      <c r="DLF44" s="292"/>
      <c r="DLG44" s="292"/>
      <c r="DLH44" s="292"/>
      <c r="DLI44" s="292"/>
      <c r="DLJ44" s="292"/>
      <c r="DLK44" s="292"/>
      <c r="DLL44" s="292"/>
      <c r="DLM44" s="292"/>
      <c r="DLN44" s="292"/>
      <c r="DLO44" s="292"/>
      <c r="DLP44" s="292"/>
      <c r="DLQ44" s="292"/>
      <c r="DLR44" s="292"/>
      <c r="DLS44" s="292"/>
      <c r="DLT44" s="292"/>
      <c r="DLU44" s="292"/>
      <c r="DLV44" s="292"/>
      <c r="DLW44" s="292"/>
      <c r="DLX44" s="292"/>
      <c r="DLY44" s="292"/>
      <c r="DLZ44" s="292"/>
      <c r="DMA44" s="292"/>
      <c r="DMB44" s="292"/>
      <c r="DMC44" s="292"/>
      <c r="DMD44" s="292"/>
      <c r="DME44" s="292"/>
      <c r="DMF44" s="292"/>
      <c r="DMG44" s="292"/>
      <c r="DMH44" s="292"/>
      <c r="DMI44" s="292"/>
      <c r="DMJ44" s="292"/>
      <c r="DMK44" s="292"/>
      <c r="DML44" s="292"/>
      <c r="DMM44" s="292"/>
      <c r="DMN44" s="292"/>
      <c r="DMO44" s="292"/>
      <c r="DMP44" s="292"/>
      <c r="DMQ44" s="292"/>
      <c r="DMR44" s="292"/>
      <c r="DMS44" s="292"/>
      <c r="DMT44" s="292"/>
      <c r="DMU44" s="292"/>
      <c r="DMV44" s="292"/>
      <c r="DMW44" s="292"/>
      <c r="DMX44" s="292"/>
      <c r="DMY44" s="292"/>
      <c r="DMZ44" s="292"/>
      <c r="DNA44" s="292"/>
      <c r="DNB44" s="292"/>
      <c r="DNC44" s="292"/>
      <c r="DND44" s="292"/>
      <c r="DNE44" s="292"/>
      <c r="DNF44" s="292"/>
      <c r="DNG44" s="292"/>
      <c r="DNH44" s="292"/>
      <c r="DNI44" s="292"/>
      <c r="DNJ44" s="292"/>
      <c r="DNK44" s="292"/>
      <c r="DNL44" s="292"/>
      <c r="DNM44" s="292"/>
      <c r="DNN44" s="292"/>
      <c r="DNO44" s="292"/>
      <c r="DNP44" s="292"/>
      <c r="DNQ44" s="292"/>
      <c r="DNR44" s="292"/>
      <c r="DNS44" s="292"/>
      <c r="DNT44" s="292"/>
      <c r="DNU44" s="292"/>
      <c r="DNV44" s="292"/>
      <c r="DNW44" s="292"/>
      <c r="DNX44" s="292"/>
      <c r="DNY44" s="292"/>
      <c r="DNZ44" s="292"/>
      <c r="DOA44" s="292"/>
      <c r="DOB44" s="292"/>
      <c r="DOC44" s="292"/>
      <c r="DOD44" s="292"/>
      <c r="DOE44" s="292"/>
      <c r="DOF44" s="292"/>
      <c r="DOG44" s="292"/>
      <c r="DOH44" s="292"/>
      <c r="DOI44" s="292"/>
      <c r="DOJ44" s="292"/>
      <c r="DOK44" s="292"/>
      <c r="DOL44" s="292"/>
      <c r="DOM44" s="292"/>
      <c r="DON44" s="292"/>
      <c r="DOO44" s="292"/>
      <c r="DOP44" s="292"/>
      <c r="DOQ44" s="292"/>
      <c r="DOR44" s="292"/>
      <c r="DOS44" s="292"/>
      <c r="DOT44" s="292"/>
      <c r="DOU44" s="292"/>
      <c r="DOV44" s="292"/>
      <c r="DOW44" s="292"/>
      <c r="DOX44" s="292"/>
      <c r="DOY44" s="292"/>
      <c r="DOZ44" s="292"/>
      <c r="DPA44" s="292"/>
      <c r="DPB44" s="292"/>
      <c r="DPC44" s="292"/>
      <c r="DPD44" s="292"/>
      <c r="DPE44" s="292"/>
      <c r="DPF44" s="292"/>
      <c r="DPG44" s="292"/>
      <c r="DPH44" s="292"/>
      <c r="DPI44" s="292"/>
      <c r="DPJ44" s="292"/>
      <c r="DPK44" s="292"/>
      <c r="DPL44" s="292"/>
      <c r="DPM44" s="292"/>
      <c r="DPN44" s="292"/>
      <c r="DPO44" s="292"/>
      <c r="DPP44" s="292"/>
      <c r="DPQ44" s="292"/>
      <c r="DPR44" s="292"/>
      <c r="DPS44" s="292"/>
      <c r="DPT44" s="292"/>
      <c r="DPU44" s="292"/>
      <c r="DPV44" s="292"/>
      <c r="DPW44" s="292"/>
      <c r="DPX44" s="292"/>
      <c r="DPY44" s="292"/>
      <c r="DPZ44" s="292"/>
      <c r="DQA44" s="292"/>
      <c r="DQB44" s="292"/>
      <c r="DQC44" s="292"/>
      <c r="DQD44" s="292"/>
      <c r="DQE44" s="292"/>
      <c r="DQF44" s="292"/>
      <c r="DQG44" s="292"/>
      <c r="DQH44" s="292"/>
      <c r="DQI44" s="292"/>
      <c r="DQJ44" s="292"/>
      <c r="DQK44" s="292"/>
      <c r="DQL44" s="292"/>
      <c r="DQM44" s="292"/>
      <c r="DQN44" s="292"/>
      <c r="DQO44" s="292"/>
      <c r="DQP44" s="292"/>
      <c r="DQQ44" s="292"/>
      <c r="DQR44" s="292"/>
      <c r="DQS44" s="292"/>
      <c r="DQT44" s="292"/>
      <c r="DQU44" s="292"/>
      <c r="DQV44" s="292"/>
      <c r="DQW44" s="292"/>
      <c r="DQX44" s="292"/>
      <c r="DQY44" s="292"/>
      <c r="DQZ44" s="292"/>
      <c r="DRA44" s="292"/>
      <c r="DRB44" s="292"/>
      <c r="DRC44" s="292"/>
      <c r="DRD44" s="292"/>
      <c r="DRE44" s="292"/>
      <c r="DRF44" s="292"/>
      <c r="DRG44" s="292"/>
      <c r="DRH44" s="292"/>
      <c r="DRI44" s="292"/>
      <c r="DRJ44" s="292"/>
      <c r="DRK44" s="292"/>
      <c r="DRL44" s="292"/>
      <c r="DRM44" s="292"/>
      <c r="DRN44" s="292"/>
      <c r="DRO44" s="292"/>
      <c r="DRP44" s="292"/>
      <c r="DRQ44" s="292"/>
      <c r="DRR44" s="292"/>
      <c r="DRS44" s="292"/>
      <c r="DRT44" s="292"/>
      <c r="DRU44" s="292"/>
      <c r="DRV44" s="292"/>
      <c r="DRW44" s="292"/>
      <c r="DRX44" s="292"/>
      <c r="DRY44" s="292"/>
      <c r="DRZ44" s="292"/>
      <c r="DSA44" s="292"/>
      <c r="DSB44" s="292"/>
      <c r="DSC44" s="292"/>
      <c r="DSD44" s="292"/>
      <c r="DSE44" s="292"/>
      <c r="DSF44" s="292"/>
      <c r="DSG44" s="292"/>
      <c r="DSH44" s="292"/>
      <c r="DSI44" s="292"/>
      <c r="DSJ44" s="292"/>
      <c r="DSK44" s="292"/>
      <c r="DSL44" s="292"/>
      <c r="DSM44" s="292"/>
      <c r="DSN44" s="292"/>
      <c r="DSO44" s="292"/>
      <c r="DSP44" s="292"/>
      <c r="DSQ44" s="292"/>
      <c r="DSR44" s="292"/>
      <c r="DSS44" s="292"/>
      <c r="DST44" s="292"/>
      <c r="DSU44" s="292"/>
      <c r="DSV44" s="292"/>
      <c r="DSW44" s="292"/>
      <c r="DSX44" s="292"/>
      <c r="DSY44" s="292"/>
      <c r="DSZ44" s="292"/>
      <c r="DTA44" s="292"/>
      <c r="DTB44" s="292"/>
      <c r="DTC44" s="292"/>
      <c r="DTD44" s="292"/>
      <c r="DTE44" s="292"/>
      <c r="DTF44" s="292"/>
      <c r="DTG44" s="292"/>
      <c r="DTH44" s="292"/>
      <c r="DTI44" s="292"/>
      <c r="DTJ44" s="292"/>
      <c r="DTK44" s="292"/>
      <c r="DTL44" s="292"/>
      <c r="DTM44" s="292"/>
      <c r="DTN44" s="292"/>
      <c r="DTO44" s="292"/>
      <c r="DTP44" s="292"/>
      <c r="DTQ44" s="292"/>
      <c r="DTR44" s="292"/>
      <c r="DTS44" s="292"/>
      <c r="DTT44" s="292"/>
      <c r="DTU44" s="292"/>
      <c r="DTV44" s="292"/>
      <c r="DTW44" s="292"/>
      <c r="DTX44" s="292"/>
      <c r="DTY44" s="292"/>
      <c r="DTZ44" s="292"/>
      <c r="DUA44" s="292"/>
      <c r="DUB44" s="292"/>
      <c r="DUC44" s="292"/>
      <c r="DUD44" s="292"/>
      <c r="DUE44" s="292"/>
      <c r="DUF44" s="292"/>
      <c r="DUG44" s="292"/>
      <c r="DUH44" s="292"/>
      <c r="DUI44" s="292"/>
      <c r="DUJ44" s="292"/>
      <c r="DUK44" s="292"/>
      <c r="DUL44" s="292"/>
      <c r="DUM44" s="292"/>
      <c r="DUN44" s="292"/>
      <c r="DUO44" s="292"/>
      <c r="DUP44" s="292"/>
      <c r="DUQ44" s="292"/>
      <c r="DUR44" s="292"/>
      <c r="DUS44" s="292"/>
      <c r="DUT44" s="292"/>
      <c r="DUU44" s="292"/>
      <c r="DUV44" s="292"/>
      <c r="DUW44" s="292"/>
      <c r="DUX44" s="292"/>
      <c r="DUY44" s="292"/>
      <c r="DUZ44" s="292"/>
      <c r="DVA44" s="292"/>
      <c r="DVB44" s="292"/>
      <c r="DVC44" s="292"/>
      <c r="DVD44" s="292"/>
      <c r="DVE44" s="292"/>
      <c r="DVF44" s="292"/>
      <c r="DVG44" s="292"/>
      <c r="DVH44" s="292"/>
      <c r="DVI44" s="292"/>
      <c r="DVJ44" s="292"/>
      <c r="DVK44" s="292"/>
      <c r="DVL44" s="292"/>
      <c r="DVM44" s="292"/>
      <c r="DVN44" s="292"/>
      <c r="DVO44" s="292"/>
      <c r="DVP44" s="292"/>
      <c r="DVQ44" s="292"/>
      <c r="DVR44" s="292"/>
      <c r="DVS44" s="292"/>
      <c r="DVT44" s="292"/>
      <c r="DVU44" s="292"/>
      <c r="DVV44" s="292"/>
      <c r="DVW44" s="292"/>
      <c r="DVX44" s="292"/>
      <c r="DVY44" s="292"/>
      <c r="DVZ44" s="292"/>
      <c r="DWA44" s="292"/>
      <c r="DWB44" s="292"/>
      <c r="DWC44" s="292"/>
      <c r="DWD44" s="292"/>
      <c r="DWE44" s="292"/>
      <c r="DWF44" s="292"/>
      <c r="DWG44" s="292"/>
      <c r="DWH44" s="292"/>
      <c r="DWI44" s="292"/>
      <c r="DWJ44" s="292"/>
      <c r="DWK44" s="292"/>
      <c r="DWL44" s="292"/>
      <c r="DWM44" s="292"/>
      <c r="DWN44" s="292"/>
      <c r="DWO44" s="292"/>
      <c r="DWP44" s="292"/>
      <c r="DWQ44" s="292"/>
      <c r="DWR44" s="292"/>
      <c r="DWS44" s="292"/>
      <c r="DWT44" s="292"/>
      <c r="DWU44" s="292"/>
      <c r="DWV44" s="292"/>
      <c r="DWW44" s="292"/>
      <c r="DWX44" s="292"/>
      <c r="DWY44" s="292"/>
      <c r="DWZ44" s="292"/>
      <c r="DXA44" s="292"/>
      <c r="DXB44" s="292"/>
      <c r="DXC44" s="292"/>
      <c r="DXD44" s="292"/>
      <c r="DXE44" s="292"/>
      <c r="DXF44" s="292"/>
      <c r="DXG44" s="292"/>
      <c r="DXH44" s="292"/>
      <c r="DXI44" s="292"/>
      <c r="DXJ44" s="292"/>
      <c r="DXK44" s="292"/>
      <c r="DXL44" s="292"/>
      <c r="DXM44" s="292"/>
      <c r="DXN44" s="292"/>
      <c r="DXO44" s="292"/>
      <c r="DXP44" s="292"/>
      <c r="DXQ44" s="292"/>
      <c r="DXR44" s="292"/>
      <c r="DXS44" s="292"/>
      <c r="DXT44" s="292"/>
      <c r="DXU44" s="292"/>
      <c r="DXV44" s="292"/>
      <c r="DXW44" s="292"/>
      <c r="DXX44" s="292"/>
      <c r="DXY44" s="292"/>
      <c r="DXZ44" s="292"/>
      <c r="DYA44" s="292"/>
      <c r="DYB44" s="292"/>
      <c r="DYC44" s="292"/>
      <c r="DYD44" s="292"/>
      <c r="DYE44" s="292"/>
      <c r="DYF44" s="292"/>
      <c r="DYG44" s="292"/>
      <c r="DYH44" s="292"/>
      <c r="DYI44" s="292"/>
      <c r="DYJ44" s="292"/>
      <c r="DYK44" s="292"/>
      <c r="DYL44" s="292"/>
      <c r="DYM44" s="292"/>
      <c r="DYN44" s="292"/>
      <c r="DYO44" s="292"/>
      <c r="DYP44" s="292"/>
      <c r="DYQ44" s="292"/>
      <c r="DYR44" s="292"/>
      <c r="DYS44" s="292"/>
      <c r="DYT44" s="292"/>
      <c r="DYU44" s="292"/>
      <c r="DYV44" s="292"/>
      <c r="DYW44" s="292"/>
      <c r="DYX44" s="292"/>
      <c r="DYY44" s="292"/>
      <c r="DYZ44" s="292"/>
      <c r="DZA44" s="292"/>
      <c r="DZB44" s="292"/>
      <c r="DZC44" s="292"/>
      <c r="DZD44" s="292"/>
      <c r="DZE44" s="292"/>
      <c r="DZF44" s="292"/>
      <c r="DZG44" s="292"/>
      <c r="DZH44" s="292"/>
      <c r="DZI44" s="292"/>
      <c r="DZJ44" s="292"/>
      <c r="DZK44" s="292"/>
      <c r="DZL44" s="292"/>
      <c r="DZM44" s="292"/>
      <c r="DZN44" s="292"/>
      <c r="DZO44" s="292"/>
      <c r="DZP44" s="292"/>
      <c r="DZQ44" s="292"/>
      <c r="DZR44" s="292"/>
      <c r="DZS44" s="292"/>
      <c r="DZT44" s="292"/>
      <c r="DZU44" s="292"/>
      <c r="DZV44" s="292"/>
      <c r="DZW44" s="292"/>
      <c r="DZX44" s="292"/>
      <c r="DZY44" s="292"/>
      <c r="DZZ44" s="292"/>
      <c r="EAA44" s="292"/>
      <c r="EAB44" s="292"/>
      <c r="EAC44" s="292"/>
      <c r="EAD44" s="292"/>
      <c r="EAE44" s="292"/>
      <c r="EAF44" s="292"/>
      <c r="EAG44" s="292"/>
      <c r="EAH44" s="292"/>
      <c r="EAI44" s="292"/>
      <c r="EAJ44" s="292"/>
      <c r="EAK44" s="292"/>
      <c r="EAL44" s="292"/>
      <c r="EAM44" s="292"/>
      <c r="EAN44" s="292"/>
      <c r="EAO44" s="292"/>
      <c r="EAP44" s="292"/>
      <c r="EAQ44" s="292"/>
      <c r="EAR44" s="292"/>
      <c r="EAS44" s="292"/>
      <c r="EAT44" s="292"/>
      <c r="EAU44" s="292"/>
      <c r="EAV44" s="292"/>
      <c r="EAW44" s="292"/>
      <c r="EAX44" s="292"/>
      <c r="EAY44" s="292"/>
      <c r="EAZ44" s="292"/>
      <c r="EBA44" s="292"/>
      <c r="EBB44" s="292"/>
      <c r="EBC44" s="292"/>
      <c r="EBD44" s="292"/>
      <c r="EBE44" s="292"/>
      <c r="EBF44" s="292"/>
      <c r="EBG44" s="292"/>
      <c r="EBH44" s="292"/>
      <c r="EBI44" s="292"/>
      <c r="EBJ44" s="292"/>
      <c r="EBK44" s="292"/>
      <c r="EBL44" s="292"/>
      <c r="EBM44" s="292"/>
      <c r="EBN44" s="292"/>
      <c r="EBO44" s="292"/>
      <c r="EBP44" s="292"/>
      <c r="EBQ44" s="292"/>
      <c r="EBR44" s="292"/>
      <c r="EBS44" s="292"/>
      <c r="EBT44" s="292"/>
      <c r="EBU44" s="292"/>
      <c r="EBV44" s="292"/>
      <c r="EBW44" s="292"/>
      <c r="EBX44" s="292"/>
      <c r="EBY44" s="292"/>
      <c r="EBZ44" s="292"/>
      <c r="ECA44" s="292"/>
      <c r="ECB44" s="292"/>
      <c r="ECC44" s="292"/>
      <c r="ECD44" s="292"/>
      <c r="ECE44" s="292"/>
      <c r="ECF44" s="292"/>
      <c r="ECG44" s="292"/>
      <c r="ECH44" s="292"/>
      <c r="ECI44" s="292"/>
      <c r="ECJ44" s="292"/>
      <c r="ECK44" s="292"/>
      <c r="ECL44" s="292"/>
      <c r="ECM44" s="292"/>
      <c r="ECN44" s="292"/>
      <c r="ECO44" s="292"/>
      <c r="ECP44" s="292"/>
      <c r="ECQ44" s="292"/>
      <c r="ECR44" s="292"/>
      <c r="ECS44" s="292"/>
      <c r="ECT44" s="292"/>
      <c r="ECU44" s="292"/>
      <c r="ECV44" s="292"/>
      <c r="ECW44" s="292"/>
      <c r="ECX44" s="292"/>
      <c r="ECY44" s="292"/>
      <c r="ECZ44" s="292"/>
      <c r="EDA44" s="292"/>
      <c r="EDB44" s="292"/>
      <c r="EDC44" s="292"/>
      <c r="EDD44" s="292"/>
      <c r="EDE44" s="292"/>
      <c r="EDF44" s="292"/>
      <c r="EDG44" s="292"/>
      <c r="EDH44" s="292"/>
      <c r="EDI44" s="292"/>
      <c r="EDJ44" s="292"/>
      <c r="EDK44" s="292"/>
      <c r="EDL44" s="292"/>
      <c r="EDM44" s="292"/>
      <c r="EDN44" s="292"/>
      <c r="EDO44" s="292"/>
      <c r="EDP44" s="292"/>
      <c r="EDQ44" s="292"/>
      <c r="EDR44" s="292"/>
      <c r="EDS44" s="292"/>
      <c r="EDT44" s="292"/>
      <c r="EDU44" s="292"/>
      <c r="EDV44" s="292"/>
      <c r="EDW44" s="292"/>
      <c r="EDX44" s="292"/>
      <c r="EDY44" s="292"/>
      <c r="EDZ44" s="292"/>
      <c r="EEA44" s="292"/>
      <c r="EEB44" s="292"/>
      <c r="EEC44" s="292"/>
      <c r="EED44" s="292"/>
      <c r="EEE44" s="292"/>
      <c r="EEF44" s="292"/>
      <c r="EEG44" s="292"/>
      <c r="EEH44" s="292"/>
      <c r="EEI44" s="292"/>
      <c r="EEJ44" s="292"/>
      <c r="EEK44" s="292"/>
      <c r="EEL44" s="292"/>
      <c r="EEM44" s="292"/>
      <c r="EEN44" s="292"/>
      <c r="EEO44" s="292"/>
      <c r="EEP44" s="292"/>
      <c r="EEQ44" s="292"/>
      <c r="EER44" s="292"/>
      <c r="EES44" s="292"/>
      <c r="EET44" s="292"/>
      <c r="EEU44" s="292"/>
      <c r="EEV44" s="292"/>
      <c r="EEW44" s="292"/>
      <c r="EEX44" s="292"/>
      <c r="EEY44" s="292"/>
      <c r="EEZ44" s="292"/>
      <c r="EFA44" s="292"/>
      <c r="EFB44" s="292"/>
      <c r="EFC44" s="292"/>
      <c r="EFD44" s="292"/>
      <c r="EFE44" s="292"/>
      <c r="EFF44" s="292"/>
      <c r="EFG44" s="292"/>
      <c r="EFH44" s="292"/>
      <c r="EFI44" s="292"/>
      <c r="EFJ44" s="292"/>
      <c r="EFK44" s="292"/>
      <c r="EFL44" s="292"/>
      <c r="EFM44" s="292"/>
      <c r="EFN44" s="292"/>
      <c r="EFO44" s="292"/>
      <c r="EFP44" s="292"/>
      <c r="EFQ44" s="292"/>
      <c r="EFR44" s="292"/>
      <c r="EFS44" s="292"/>
      <c r="EFT44" s="292"/>
      <c r="EFU44" s="292"/>
      <c r="EFV44" s="292"/>
      <c r="EFW44" s="292"/>
      <c r="EFX44" s="292"/>
      <c r="EFY44" s="292"/>
      <c r="EFZ44" s="292"/>
      <c r="EGA44" s="292"/>
      <c r="EGB44" s="292"/>
      <c r="EGC44" s="292"/>
      <c r="EGD44" s="292"/>
      <c r="EGE44" s="292"/>
      <c r="EGF44" s="292"/>
      <c r="EGG44" s="292"/>
      <c r="EGH44" s="292"/>
      <c r="EGI44" s="292"/>
      <c r="EGJ44" s="292"/>
      <c r="EGK44" s="292"/>
      <c r="EGL44" s="292"/>
      <c r="EGM44" s="292"/>
      <c r="EGN44" s="292"/>
      <c r="EGO44" s="292"/>
      <c r="EGP44" s="292"/>
      <c r="EGQ44" s="292"/>
      <c r="EGR44" s="292"/>
      <c r="EGS44" s="292"/>
      <c r="EGT44" s="292"/>
      <c r="EGU44" s="292"/>
      <c r="EGV44" s="292"/>
      <c r="EGW44" s="292"/>
      <c r="EGX44" s="292"/>
      <c r="EGY44" s="292"/>
      <c r="EGZ44" s="292"/>
      <c r="EHA44" s="292"/>
      <c r="EHB44" s="292"/>
      <c r="EHC44" s="292"/>
      <c r="EHD44" s="292"/>
      <c r="EHE44" s="292"/>
      <c r="EHF44" s="292"/>
      <c r="EHG44" s="292"/>
      <c r="EHH44" s="292"/>
      <c r="EHI44" s="292"/>
      <c r="EHJ44" s="292"/>
      <c r="EHK44" s="292"/>
      <c r="EHL44" s="292"/>
      <c r="EHM44" s="292"/>
      <c r="EHN44" s="292"/>
      <c r="EHO44" s="292"/>
      <c r="EHP44" s="292"/>
      <c r="EHQ44" s="292"/>
      <c r="EHR44" s="292"/>
      <c r="EHS44" s="292"/>
      <c r="EHT44" s="292"/>
      <c r="EHU44" s="292"/>
      <c r="EHV44" s="292"/>
      <c r="EHW44" s="292"/>
      <c r="EHX44" s="292"/>
      <c r="EHY44" s="292"/>
      <c r="EHZ44" s="292"/>
      <c r="EIA44" s="292"/>
      <c r="EIB44" s="292"/>
      <c r="EIC44" s="292"/>
      <c r="EID44" s="292"/>
      <c r="EIE44" s="292"/>
      <c r="EIF44" s="292"/>
      <c r="EIG44" s="292"/>
      <c r="EIH44" s="292"/>
      <c r="EII44" s="292"/>
      <c r="EIJ44" s="292"/>
      <c r="EIK44" s="292"/>
      <c r="EIL44" s="292"/>
      <c r="EIM44" s="292"/>
      <c r="EIN44" s="292"/>
      <c r="EIO44" s="292"/>
      <c r="EIP44" s="292"/>
      <c r="EIQ44" s="292"/>
      <c r="EIR44" s="292"/>
      <c r="EIS44" s="292"/>
      <c r="EIT44" s="292"/>
      <c r="EIU44" s="292"/>
      <c r="EIV44" s="292"/>
      <c r="EIW44" s="292"/>
      <c r="EIX44" s="292"/>
      <c r="EIY44" s="292"/>
      <c r="EIZ44" s="292"/>
      <c r="EJA44" s="292"/>
      <c r="EJB44" s="292"/>
      <c r="EJC44" s="292"/>
      <c r="EJD44" s="292"/>
      <c r="EJE44" s="292"/>
      <c r="EJF44" s="292"/>
      <c r="EJG44" s="292"/>
      <c r="EJH44" s="292"/>
      <c r="EJI44" s="292"/>
      <c r="EJJ44" s="292"/>
      <c r="EJK44" s="292"/>
      <c r="EJL44" s="292"/>
      <c r="EJM44" s="292"/>
      <c r="EJN44" s="292"/>
      <c r="EJO44" s="292"/>
      <c r="EJP44" s="292"/>
      <c r="EJQ44" s="292"/>
      <c r="EJR44" s="292"/>
      <c r="EJS44" s="292"/>
      <c r="EJT44" s="292"/>
      <c r="EJU44" s="292"/>
      <c r="EJV44" s="292"/>
      <c r="EJW44" s="292"/>
      <c r="EJX44" s="292"/>
      <c r="EJY44" s="292"/>
      <c r="EJZ44" s="292"/>
      <c r="EKA44" s="292"/>
      <c r="EKB44" s="292"/>
      <c r="EKC44" s="292"/>
      <c r="EKD44" s="292"/>
      <c r="EKE44" s="292"/>
      <c r="EKF44" s="292"/>
      <c r="EKG44" s="292"/>
      <c r="EKH44" s="292"/>
      <c r="EKI44" s="292"/>
      <c r="EKJ44" s="292"/>
      <c r="EKK44" s="292"/>
      <c r="EKL44" s="292"/>
      <c r="EKM44" s="292"/>
      <c r="EKN44" s="292"/>
      <c r="EKO44" s="292"/>
      <c r="EKP44" s="292"/>
      <c r="EKQ44" s="292"/>
      <c r="EKR44" s="292"/>
      <c r="EKS44" s="292"/>
      <c r="EKT44" s="292"/>
      <c r="EKU44" s="292"/>
      <c r="EKV44" s="292"/>
      <c r="EKW44" s="292"/>
      <c r="EKX44" s="292"/>
      <c r="EKY44" s="292"/>
      <c r="EKZ44" s="292"/>
      <c r="ELA44" s="292"/>
      <c r="ELB44" s="292"/>
      <c r="ELC44" s="292"/>
      <c r="ELD44" s="292"/>
      <c r="ELE44" s="292"/>
      <c r="ELF44" s="292"/>
      <c r="ELG44" s="292"/>
      <c r="ELH44" s="292"/>
      <c r="ELI44" s="292"/>
      <c r="ELJ44" s="292"/>
      <c r="ELK44" s="292"/>
      <c r="ELL44" s="292"/>
      <c r="ELM44" s="292"/>
      <c r="ELN44" s="292"/>
      <c r="ELO44" s="292"/>
      <c r="ELP44" s="292"/>
      <c r="ELQ44" s="292"/>
      <c r="ELR44" s="292"/>
      <c r="ELS44" s="292"/>
      <c r="ELT44" s="292"/>
      <c r="ELU44" s="292"/>
      <c r="ELV44" s="292"/>
      <c r="ELW44" s="292"/>
      <c r="ELX44" s="292"/>
      <c r="ELY44" s="292"/>
      <c r="ELZ44" s="292"/>
      <c r="EMA44" s="292"/>
      <c r="EMB44" s="292"/>
      <c r="EMC44" s="292"/>
      <c r="EMD44" s="292"/>
      <c r="EME44" s="292"/>
      <c r="EMF44" s="292"/>
      <c r="EMG44" s="292"/>
      <c r="EMH44" s="292"/>
      <c r="EMI44" s="292"/>
      <c r="EMJ44" s="292"/>
      <c r="EMK44" s="292"/>
      <c r="EML44" s="292"/>
      <c r="EMM44" s="292"/>
      <c r="EMN44" s="292"/>
      <c r="EMO44" s="292"/>
      <c r="EMP44" s="292"/>
      <c r="EMQ44" s="292"/>
      <c r="EMR44" s="292"/>
      <c r="EMS44" s="292"/>
      <c r="EMT44" s="292"/>
      <c r="EMU44" s="292"/>
      <c r="EMV44" s="292"/>
      <c r="EMW44" s="292"/>
      <c r="EMX44" s="292"/>
      <c r="EMY44" s="292"/>
      <c r="EMZ44" s="292"/>
      <c r="ENA44" s="292"/>
      <c r="ENB44" s="292"/>
      <c r="ENC44" s="292"/>
      <c r="END44" s="292"/>
      <c r="ENE44" s="292"/>
      <c r="ENF44" s="292"/>
      <c r="ENG44" s="292"/>
      <c r="ENH44" s="292"/>
      <c r="ENI44" s="292"/>
      <c r="ENJ44" s="292"/>
      <c r="ENK44" s="292"/>
      <c r="ENL44" s="292"/>
      <c r="ENM44" s="292"/>
      <c r="ENN44" s="292"/>
      <c r="ENO44" s="292"/>
      <c r="ENP44" s="292"/>
      <c r="ENQ44" s="292"/>
      <c r="ENR44" s="292"/>
      <c r="ENS44" s="292"/>
      <c r="ENT44" s="292"/>
      <c r="ENU44" s="292"/>
      <c r="ENV44" s="292"/>
      <c r="ENW44" s="292"/>
      <c r="ENX44" s="292"/>
      <c r="ENY44" s="292"/>
      <c r="ENZ44" s="292"/>
      <c r="EOA44" s="292"/>
      <c r="EOB44" s="292"/>
      <c r="EOC44" s="292"/>
      <c r="EOD44" s="292"/>
      <c r="EOE44" s="292"/>
      <c r="EOF44" s="292"/>
      <c r="EOG44" s="292"/>
      <c r="EOH44" s="292"/>
      <c r="EOI44" s="292"/>
      <c r="EOJ44" s="292"/>
      <c r="EOK44" s="292"/>
      <c r="EOL44" s="292"/>
      <c r="EOM44" s="292"/>
      <c r="EON44" s="292"/>
      <c r="EOO44" s="292"/>
      <c r="EOP44" s="292"/>
      <c r="EOQ44" s="292"/>
      <c r="EOR44" s="292"/>
      <c r="EOS44" s="292"/>
      <c r="EOT44" s="292"/>
      <c r="EOU44" s="292"/>
      <c r="EOV44" s="292"/>
      <c r="EOW44" s="292"/>
      <c r="EOX44" s="292"/>
      <c r="EOY44" s="292"/>
      <c r="EOZ44" s="292"/>
      <c r="EPA44" s="292"/>
      <c r="EPB44" s="292"/>
      <c r="EPC44" s="292"/>
      <c r="EPD44" s="292"/>
      <c r="EPE44" s="292"/>
      <c r="EPF44" s="292"/>
      <c r="EPG44" s="292"/>
      <c r="EPH44" s="292"/>
      <c r="EPI44" s="292"/>
      <c r="EPJ44" s="292"/>
      <c r="EPK44" s="292"/>
      <c r="EPL44" s="292"/>
      <c r="EPM44" s="292"/>
      <c r="EPN44" s="292"/>
      <c r="EPO44" s="292"/>
      <c r="EPP44" s="292"/>
      <c r="EPQ44" s="292"/>
      <c r="EPR44" s="292"/>
      <c r="EPS44" s="292"/>
      <c r="EPT44" s="292"/>
      <c r="EPU44" s="292"/>
      <c r="EPV44" s="292"/>
      <c r="EPW44" s="292"/>
      <c r="EPX44" s="292"/>
      <c r="EPY44" s="292"/>
      <c r="EPZ44" s="292"/>
      <c r="EQA44" s="292"/>
      <c r="EQB44" s="292"/>
      <c r="EQC44" s="292"/>
      <c r="EQD44" s="292"/>
      <c r="EQE44" s="292"/>
      <c r="EQF44" s="292"/>
      <c r="EQG44" s="292"/>
      <c r="EQH44" s="292"/>
      <c r="EQI44" s="292"/>
      <c r="EQJ44" s="292"/>
      <c r="EQK44" s="292"/>
      <c r="EQL44" s="292"/>
      <c r="EQM44" s="292"/>
      <c r="EQN44" s="292"/>
      <c r="EQO44" s="292"/>
      <c r="EQP44" s="292"/>
      <c r="EQQ44" s="292"/>
      <c r="EQR44" s="292"/>
      <c r="EQS44" s="292"/>
      <c r="EQT44" s="292"/>
      <c r="EQU44" s="292"/>
      <c r="EQV44" s="292"/>
      <c r="EQW44" s="292"/>
      <c r="EQX44" s="292"/>
      <c r="EQY44" s="292"/>
      <c r="EQZ44" s="292"/>
      <c r="ERA44" s="292"/>
      <c r="ERB44" s="292"/>
      <c r="ERC44" s="292"/>
      <c r="ERD44" s="292"/>
      <c r="ERE44" s="292"/>
      <c r="ERF44" s="292"/>
      <c r="ERG44" s="292"/>
      <c r="ERH44" s="292"/>
      <c r="ERI44" s="292"/>
      <c r="ERJ44" s="292"/>
      <c r="ERK44" s="292"/>
      <c r="ERL44" s="292"/>
      <c r="ERM44" s="292"/>
      <c r="ERN44" s="292"/>
      <c r="ERO44" s="292"/>
      <c r="ERP44" s="292"/>
      <c r="ERQ44" s="292"/>
      <c r="ERR44" s="292"/>
      <c r="ERS44" s="292"/>
      <c r="ERT44" s="292"/>
      <c r="ERU44" s="292"/>
      <c r="ERV44" s="292"/>
      <c r="ERW44" s="292"/>
      <c r="ERX44" s="292"/>
      <c r="ERY44" s="292"/>
      <c r="ERZ44" s="292"/>
      <c r="ESA44" s="292"/>
      <c r="ESB44" s="292"/>
      <c r="ESC44" s="292"/>
      <c r="ESD44" s="292"/>
      <c r="ESE44" s="292"/>
      <c r="ESF44" s="292"/>
      <c r="ESG44" s="292"/>
      <c r="ESH44" s="292"/>
      <c r="ESI44" s="292"/>
      <c r="ESJ44" s="292"/>
      <c r="ESK44" s="292"/>
      <c r="ESL44" s="292"/>
      <c r="ESM44" s="292"/>
      <c r="ESN44" s="292"/>
      <c r="ESO44" s="292"/>
      <c r="ESP44" s="292"/>
      <c r="ESQ44" s="292"/>
      <c r="ESR44" s="292"/>
      <c r="ESS44" s="292"/>
      <c r="EST44" s="292"/>
      <c r="ESU44" s="292"/>
      <c r="ESV44" s="292"/>
      <c r="ESW44" s="292"/>
      <c r="ESX44" s="292"/>
      <c r="ESY44" s="292"/>
      <c r="ESZ44" s="292"/>
      <c r="ETA44" s="292"/>
      <c r="ETB44" s="292"/>
      <c r="ETC44" s="292"/>
      <c r="ETD44" s="292"/>
      <c r="ETE44" s="292"/>
      <c r="ETF44" s="292"/>
      <c r="ETG44" s="292"/>
      <c r="ETH44" s="292"/>
      <c r="ETI44" s="292"/>
      <c r="ETJ44" s="292"/>
      <c r="ETK44" s="292"/>
      <c r="ETL44" s="292"/>
      <c r="ETM44" s="292"/>
      <c r="ETN44" s="292"/>
      <c r="ETO44" s="292"/>
      <c r="ETP44" s="292"/>
      <c r="ETQ44" s="292"/>
      <c r="ETR44" s="292"/>
      <c r="ETS44" s="292"/>
      <c r="ETT44" s="292"/>
      <c r="ETU44" s="292"/>
      <c r="ETV44" s="292"/>
      <c r="ETW44" s="292"/>
      <c r="ETX44" s="292"/>
      <c r="ETY44" s="292"/>
      <c r="ETZ44" s="292"/>
      <c r="EUA44" s="292"/>
      <c r="EUB44" s="292"/>
      <c r="EUC44" s="292"/>
      <c r="EUD44" s="292"/>
      <c r="EUE44" s="292"/>
      <c r="EUF44" s="292"/>
      <c r="EUG44" s="292"/>
      <c r="EUH44" s="292"/>
      <c r="EUI44" s="292"/>
      <c r="EUJ44" s="292"/>
      <c r="EUK44" s="292"/>
      <c r="EUL44" s="292"/>
      <c r="EUM44" s="292"/>
      <c r="EUN44" s="292"/>
      <c r="EUO44" s="292"/>
      <c r="EUP44" s="292"/>
      <c r="EUQ44" s="292"/>
      <c r="EUR44" s="292"/>
      <c r="EUS44" s="292"/>
      <c r="EUT44" s="292"/>
      <c r="EUU44" s="292"/>
      <c r="EUV44" s="292"/>
      <c r="EUW44" s="292"/>
      <c r="EUX44" s="292"/>
      <c r="EUY44" s="292"/>
      <c r="EUZ44" s="292"/>
      <c r="EVA44" s="292"/>
      <c r="EVB44" s="292"/>
      <c r="EVC44" s="292"/>
      <c r="EVD44" s="292"/>
      <c r="EVE44" s="292"/>
      <c r="EVF44" s="292"/>
      <c r="EVG44" s="292"/>
      <c r="EVH44" s="292"/>
      <c r="EVI44" s="292"/>
      <c r="EVJ44" s="292"/>
      <c r="EVK44" s="292"/>
      <c r="EVL44" s="292"/>
      <c r="EVM44" s="292"/>
      <c r="EVN44" s="292"/>
      <c r="EVO44" s="292"/>
      <c r="EVP44" s="292"/>
      <c r="EVQ44" s="292"/>
      <c r="EVR44" s="292"/>
      <c r="EVS44" s="292"/>
      <c r="EVT44" s="292"/>
      <c r="EVU44" s="292"/>
      <c r="EVV44" s="292"/>
      <c r="EVW44" s="292"/>
      <c r="EVX44" s="292"/>
      <c r="EVY44" s="292"/>
      <c r="EVZ44" s="292"/>
      <c r="EWA44" s="292"/>
      <c r="EWB44" s="292"/>
      <c r="EWC44" s="292"/>
      <c r="EWD44" s="292"/>
      <c r="EWE44" s="292"/>
      <c r="EWF44" s="292"/>
      <c r="EWG44" s="292"/>
      <c r="EWH44" s="292"/>
      <c r="EWI44" s="292"/>
      <c r="EWJ44" s="292"/>
      <c r="EWK44" s="292"/>
      <c r="EWL44" s="292"/>
      <c r="EWM44" s="292"/>
      <c r="EWN44" s="292"/>
      <c r="EWO44" s="292"/>
      <c r="EWP44" s="292"/>
      <c r="EWQ44" s="292"/>
      <c r="EWR44" s="292"/>
      <c r="EWS44" s="292"/>
      <c r="EWT44" s="292"/>
      <c r="EWU44" s="292"/>
      <c r="EWV44" s="292"/>
      <c r="EWW44" s="292"/>
      <c r="EWX44" s="292"/>
      <c r="EWY44" s="292"/>
      <c r="EWZ44" s="292"/>
      <c r="EXA44" s="292"/>
      <c r="EXB44" s="292"/>
      <c r="EXC44" s="292"/>
      <c r="EXD44" s="292"/>
      <c r="EXE44" s="292"/>
      <c r="EXF44" s="292"/>
      <c r="EXG44" s="292"/>
      <c r="EXH44" s="292"/>
      <c r="EXI44" s="292"/>
      <c r="EXJ44" s="292"/>
      <c r="EXK44" s="292"/>
      <c r="EXL44" s="292"/>
      <c r="EXM44" s="292"/>
      <c r="EXN44" s="292"/>
      <c r="EXO44" s="292"/>
      <c r="EXP44" s="292"/>
      <c r="EXQ44" s="292"/>
      <c r="EXR44" s="292"/>
      <c r="EXS44" s="292"/>
      <c r="EXT44" s="292"/>
      <c r="EXU44" s="292"/>
      <c r="EXV44" s="292"/>
      <c r="EXW44" s="292"/>
      <c r="EXX44" s="292"/>
      <c r="EXY44" s="292"/>
      <c r="EXZ44" s="292"/>
      <c r="EYA44" s="292"/>
      <c r="EYB44" s="292"/>
      <c r="EYC44" s="292"/>
      <c r="EYD44" s="292"/>
      <c r="EYE44" s="292"/>
      <c r="EYF44" s="292"/>
      <c r="EYG44" s="292"/>
      <c r="EYH44" s="292"/>
      <c r="EYI44" s="292"/>
      <c r="EYJ44" s="292"/>
      <c r="EYK44" s="292"/>
      <c r="EYL44" s="292"/>
      <c r="EYM44" s="292"/>
      <c r="EYN44" s="292"/>
      <c r="EYO44" s="292"/>
      <c r="EYP44" s="292"/>
      <c r="EYQ44" s="292"/>
      <c r="EYR44" s="292"/>
      <c r="EYS44" s="292"/>
      <c r="EYT44" s="292"/>
      <c r="EYU44" s="292"/>
      <c r="EYV44" s="292"/>
      <c r="EYW44" s="292"/>
      <c r="EYX44" s="292"/>
      <c r="EYY44" s="292"/>
      <c r="EYZ44" s="292"/>
      <c r="EZA44" s="292"/>
      <c r="EZB44" s="292"/>
      <c r="EZC44" s="292"/>
      <c r="EZD44" s="292"/>
      <c r="EZE44" s="292"/>
      <c r="EZF44" s="292"/>
      <c r="EZG44" s="292"/>
      <c r="EZH44" s="292"/>
      <c r="EZI44" s="292"/>
      <c r="EZJ44" s="292"/>
      <c r="EZK44" s="292"/>
      <c r="EZL44" s="292"/>
      <c r="EZM44" s="292"/>
      <c r="EZN44" s="292"/>
      <c r="EZO44" s="292"/>
      <c r="EZP44" s="292"/>
      <c r="EZQ44" s="292"/>
      <c r="EZR44" s="292"/>
      <c r="EZS44" s="292"/>
      <c r="EZT44" s="292"/>
      <c r="EZU44" s="292"/>
      <c r="EZV44" s="292"/>
      <c r="EZW44" s="292"/>
      <c r="EZX44" s="292"/>
      <c r="EZY44" s="292"/>
      <c r="EZZ44" s="292"/>
      <c r="FAA44" s="292"/>
      <c r="FAB44" s="292"/>
      <c r="FAC44" s="292"/>
      <c r="FAD44" s="292"/>
      <c r="FAE44" s="292"/>
      <c r="FAF44" s="292"/>
      <c r="FAG44" s="292"/>
      <c r="FAH44" s="292"/>
      <c r="FAI44" s="292"/>
      <c r="FAJ44" s="292"/>
      <c r="FAK44" s="292"/>
      <c r="FAL44" s="292"/>
      <c r="FAM44" s="292"/>
      <c r="FAN44" s="292"/>
      <c r="FAO44" s="292"/>
      <c r="FAP44" s="292"/>
      <c r="FAQ44" s="292"/>
      <c r="FAR44" s="292"/>
      <c r="FAS44" s="292"/>
      <c r="FAT44" s="292"/>
      <c r="FAU44" s="292"/>
      <c r="FAV44" s="292"/>
      <c r="FAW44" s="292"/>
      <c r="FAX44" s="292"/>
      <c r="FAY44" s="292"/>
      <c r="FAZ44" s="292"/>
      <c r="FBA44" s="292"/>
      <c r="FBB44" s="292"/>
      <c r="FBC44" s="292"/>
      <c r="FBD44" s="292"/>
      <c r="FBE44" s="292"/>
      <c r="FBF44" s="292"/>
      <c r="FBG44" s="292"/>
      <c r="FBH44" s="292"/>
      <c r="FBI44" s="292"/>
      <c r="FBJ44" s="292"/>
      <c r="FBK44" s="292"/>
      <c r="FBL44" s="292"/>
      <c r="FBM44" s="292"/>
      <c r="FBN44" s="292"/>
      <c r="FBO44" s="292"/>
      <c r="FBP44" s="292"/>
      <c r="FBQ44" s="292"/>
      <c r="FBR44" s="292"/>
      <c r="FBS44" s="292"/>
      <c r="FBT44" s="292"/>
      <c r="FBU44" s="292"/>
      <c r="FBV44" s="292"/>
      <c r="FBW44" s="292"/>
      <c r="FBX44" s="292"/>
      <c r="FBY44" s="292"/>
      <c r="FBZ44" s="292"/>
      <c r="FCA44" s="292"/>
      <c r="FCB44" s="292"/>
      <c r="FCC44" s="292"/>
      <c r="FCD44" s="292"/>
      <c r="FCE44" s="292"/>
      <c r="FCF44" s="292"/>
      <c r="FCG44" s="292"/>
      <c r="FCH44" s="292"/>
      <c r="FCI44" s="292"/>
      <c r="FCJ44" s="292"/>
      <c r="FCK44" s="292"/>
      <c r="FCL44" s="292"/>
      <c r="FCM44" s="292"/>
      <c r="FCN44" s="292"/>
      <c r="FCO44" s="292"/>
      <c r="FCP44" s="292"/>
      <c r="FCQ44" s="292"/>
      <c r="FCR44" s="292"/>
      <c r="FCS44" s="292"/>
      <c r="FCT44" s="292"/>
      <c r="FCU44" s="292"/>
      <c r="FCV44" s="292"/>
      <c r="FCW44" s="292"/>
      <c r="FCX44" s="292"/>
      <c r="FCY44" s="292"/>
      <c r="FCZ44" s="292"/>
      <c r="FDA44" s="292"/>
      <c r="FDB44" s="292"/>
      <c r="FDC44" s="292"/>
      <c r="FDD44" s="292"/>
      <c r="FDE44" s="292"/>
      <c r="FDF44" s="292"/>
      <c r="FDG44" s="292"/>
      <c r="FDH44" s="292"/>
      <c r="FDI44" s="292"/>
      <c r="FDJ44" s="292"/>
      <c r="FDK44" s="292"/>
      <c r="FDL44" s="292"/>
      <c r="FDM44" s="292"/>
      <c r="FDN44" s="292"/>
      <c r="FDO44" s="292"/>
      <c r="FDP44" s="292"/>
      <c r="FDQ44" s="292"/>
      <c r="FDR44" s="292"/>
      <c r="FDS44" s="292"/>
      <c r="FDT44" s="292"/>
      <c r="FDU44" s="292"/>
      <c r="FDV44" s="292"/>
      <c r="FDW44" s="292"/>
      <c r="FDX44" s="292"/>
      <c r="FDY44" s="292"/>
      <c r="FDZ44" s="292"/>
      <c r="FEA44" s="292"/>
      <c r="FEB44" s="292"/>
      <c r="FEC44" s="292"/>
      <c r="FED44" s="292"/>
      <c r="FEE44" s="292"/>
      <c r="FEF44" s="292"/>
      <c r="FEG44" s="292"/>
      <c r="FEH44" s="292"/>
      <c r="FEI44" s="292"/>
      <c r="FEJ44" s="292"/>
      <c r="FEK44" s="292"/>
      <c r="FEL44" s="292"/>
      <c r="FEM44" s="292"/>
      <c r="FEN44" s="292"/>
      <c r="FEO44" s="292"/>
      <c r="FEP44" s="292"/>
      <c r="FEQ44" s="292"/>
      <c r="FER44" s="292"/>
      <c r="FES44" s="292"/>
      <c r="FET44" s="292"/>
      <c r="FEU44" s="292"/>
      <c r="FEV44" s="292"/>
      <c r="FEW44" s="292"/>
      <c r="FEX44" s="292"/>
      <c r="FEY44" s="292"/>
      <c r="FEZ44" s="292"/>
      <c r="FFA44" s="292"/>
      <c r="FFB44" s="292"/>
      <c r="FFC44" s="292"/>
      <c r="FFD44" s="292"/>
      <c r="FFE44" s="292"/>
      <c r="FFF44" s="292"/>
      <c r="FFG44" s="292"/>
      <c r="FFH44" s="292"/>
      <c r="FFI44" s="292"/>
      <c r="FFJ44" s="292"/>
      <c r="FFK44" s="292"/>
      <c r="FFL44" s="292"/>
      <c r="FFM44" s="292"/>
      <c r="FFN44" s="292"/>
      <c r="FFO44" s="292"/>
      <c r="FFP44" s="292"/>
      <c r="FFQ44" s="292"/>
      <c r="FFR44" s="292"/>
      <c r="FFS44" s="292"/>
      <c r="FFT44" s="292"/>
      <c r="FFU44" s="292"/>
      <c r="FFV44" s="292"/>
      <c r="FFW44" s="292"/>
      <c r="FFX44" s="292"/>
      <c r="FFY44" s="292"/>
      <c r="FFZ44" s="292"/>
      <c r="FGA44" s="292"/>
      <c r="FGB44" s="292"/>
      <c r="FGC44" s="292"/>
      <c r="FGD44" s="292"/>
      <c r="FGE44" s="292"/>
      <c r="FGF44" s="292"/>
      <c r="FGG44" s="292"/>
      <c r="FGH44" s="292"/>
      <c r="FGI44" s="292"/>
      <c r="FGJ44" s="292"/>
      <c r="FGK44" s="292"/>
      <c r="FGL44" s="292"/>
      <c r="FGM44" s="292"/>
      <c r="FGN44" s="292"/>
      <c r="FGO44" s="292"/>
      <c r="FGP44" s="292"/>
      <c r="FGQ44" s="292"/>
      <c r="FGR44" s="292"/>
      <c r="FGS44" s="292"/>
      <c r="FGT44" s="292"/>
      <c r="FGU44" s="292"/>
      <c r="FGV44" s="292"/>
      <c r="FGW44" s="292"/>
      <c r="FGX44" s="292"/>
      <c r="FGY44" s="292"/>
      <c r="FGZ44" s="292"/>
      <c r="FHA44" s="292"/>
      <c r="FHB44" s="292"/>
      <c r="FHC44" s="292"/>
      <c r="FHD44" s="292"/>
      <c r="FHE44" s="292"/>
      <c r="FHF44" s="292"/>
      <c r="FHG44" s="292"/>
      <c r="FHH44" s="292"/>
      <c r="FHI44" s="292"/>
      <c r="FHJ44" s="292"/>
      <c r="FHK44" s="292"/>
      <c r="FHL44" s="292"/>
      <c r="FHM44" s="292"/>
      <c r="FHN44" s="292"/>
      <c r="FHO44" s="292"/>
      <c r="FHP44" s="292"/>
      <c r="FHQ44" s="292"/>
      <c r="FHR44" s="292"/>
      <c r="FHS44" s="292"/>
      <c r="FHT44" s="292"/>
      <c r="FHU44" s="292"/>
      <c r="FHV44" s="292"/>
      <c r="FHW44" s="292"/>
      <c r="FHX44" s="292"/>
      <c r="FHY44" s="292"/>
      <c r="FHZ44" s="292"/>
      <c r="FIA44" s="292"/>
      <c r="FIB44" s="292"/>
      <c r="FIC44" s="292"/>
      <c r="FID44" s="292"/>
      <c r="FIE44" s="292"/>
      <c r="FIF44" s="292"/>
      <c r="FIG44" s="292"/>
      <c r="FIH44" s="292"/>
      <c r="FII44" s="292"/>
      <c r="FIJ44" s="292"/>
      <c r="FIK44" s="292"/>
      <c r="FIL44" s="292"/>
      <c r="FIM44" s="292"/>
      <c r="FIN44" s="292"/>
      <c r="FIO44" s="292"/>
      <c r="FIP44" s="292"/>
      <c r="FIQ44" s="292"/>
      <c r="FIR44" s="292"/>
      <c r="FIS44" s="292"/>
      <c r="FIT44" s="292"/>
      <c r="FIU44" s="292"/>
      <c r="FIV44" s="292"/>
      <c r="FIW44" s="292"/>
      <c r="FIX44" s="292"/>
      <c r="FIY44" s="292"/>
      <c r="FIZ44" s="292"/>
      <c r="FJA44" s="292"/>
      <c r="FJB44" s="292"/>
      <c r="FJC44" s="292"/>
      <c r="FJD44" s="292"/>
      <c r="FJE44" s="292"/>
      <c r="FJF44" s="292"/>
      <c r="FJG44" s="292"/>
      <c r="FJH44" s="292"/>
      <c r="FJI44" s="292"/>
      <c r="FJJ44" s="292"/>
      <c r="FJK44" s="292"/>
      <c r="FJL44" s="292"/>
      <c r="FJM44" s="292"/>
      <c r="FJN44" s="292"/>
      <c r="FJO44" s="292"/>
      <c r="FJP44" s="292"/>
      <c r="FJQ44" s="292"/>
      <c r="FJR44" s="292"/>
      <c r="FJS44" s="292"/>
      <c r="FJT44" s="292"/>
      <c r="FJU44" s="292"/>
      <c r="FJV44" s="292"/>
      <c r="FJW44" s="292"/>
      <c r="FJX44" s="292"/>
      <c r="FJY44" s="292"/>
      <c r="FJZ44" s="292"/>
      <c r="FKA44" s="292"/>
      <c r="FKB44" s="292"/>
      <c r="FKC44" s="292"/>
      <c r="FKD44" s="292"/>
      <c r="FKE44" s="292"/>
      <c r="FKF44" s="292"/>
      <c r="FKG44" s="292"/>
      <c r="FKH44" s="292"/>
      <c r="FKI44" s="292"/>
      <c r="FKJ44" s="292"/>
      <c r="FKK44" s="292"/>
      <c r="FKL44" s="292"/>
      <c r="FKM44" s="292"/>
      <c r="FKN44" s="292"/>
      <c r="FKO44" s="292"/>
      <c r="FKP44" s="292"/>
      <c r="FKQ44" s="292"/>
      <c r="FKR44" s="292"/>
      <c r="FKS44" s="292"/>
      <c r="FKT44" s="292"/>
      <c r="FKU44" s="292"/>
      <c r="FKV44" s="292"/>
      <c r="FKW44" s="292"/>
      <c r="FKX44" s="292"/>
      <c r="FKY44" s="292"/>
      <c r="FKZ44" s="292"/>
      <c r="FLA44" s="292"/>
      <c r="FLB44" s="292"/>
      <c r="FLC44" s="292"/>
      <c r="FLD44" s="292"/>
      <c r="FLE44" s="292"/>
      <c r="FLF44" s="292"/>
      <c r="FLG44" s="292"/>
      <c r="FLH44" s="292"/>
      <c r="FLI44" s="292"/>
      <c r="FLJ44" s="292"/>
      <c r="FLK44" s="292"/>
      <c r="FLL44" s="292"/>
      <c r="FLM44" s="292"/>
      <c r="FLN44" s="292"/>
      <c r="FLO44" s="292"/>
      <c r="FLP44" s="292"/>
      <c r="FLQ44" s="292"/>
      <c r="FLR44" s="292"/>
      <c r="FLS44" s="292"/>
      <c r="FLT44" s="292"/>
      <c r="FLU44" s="292"/>
      <c r="FLV44" s="292"/>
      <c r="FLW44" s="292"/>
      <c r="FLX44" s="292"/>
      <c r="FLY44" s="292"/>
      <c r="FLZ44" s="292"/>
      <c r="FMA44" s="292"/>
      <c r="FMB44" s="292"/>
      <c r="FMC44" s="292"/>
      <c r="FMD44" s="292"/>
      <c r="FME44" s="292"/>
      <c r="FMF44" s="292"/>
      <c r="FMG44" s="292"/>
      <c r="FMH44" s="292"/>
      <c r="FMI44" s="292"/>
      <c r="FMJ44" s="292"/>
      <c r="FMK44" s="292"/>
      <c r="FML44" s="292"/>
      <c r="FMM44" s="292"/>
      <c r="FMN44" s="292"/>
      <c r="FMO44" s="292"/>
      <c r="FMP44" s="292"/>
      <c r="FMQ44" s="292"/>
      <c r="FMR44" s="292"/>
      <c r="FMS44" s="292"/>
      <c r="FMT44" s="292"/>
      <c r="FMU44" s="292"/>
      <c r="FMV44" s="292"/>
      <c r="FMW44" s="292"/>
      <c r="FMX44" s="292"/>
      <c r="FMY44" s="292"/>
      <c r="FMZ44" s="292"/>
      <c r="FNA44" s="292"/>
      <c r="FNB44" s="292"/>
      <c r="FNC44" s="292"/>
      <c r="FND44" s="292"/>
      <c r="FNE44" s="292"/>
      <c r="FNF44" s="292"/>
      <c r="FNG44" s="292"/>
      <c r="FNH44" s="292"/>
      <c r="FNI44" s="292"/>
      <c r="FNJ44" s="292"/>
      <c r="FNK44" s="292"/>
      <c r="FNL44" s="292"/>
      <c r="FNM44" s="292"/>
      <c r="FNN44" s="292"/>
      <c r="FNO44" s="292"/>
      <c r="FNP44" s="292"/>
      <c r="FNQ44" s="292"/>
      <c r="FNR44" s="292"/>
      <c r="FNS44" s="292"/>
      <c r="FNT44" s="292"/>
      <c r="FNU44" s="292"/>
      <c r="FNV44" s="292"/>
      <c r="FNW44" s="292"/>
      <c r="FNX44" s="292"/>
      <c r="FNY44" s="292"/>
      <c r="FNZ44" s="292"/>
      <c r="FOA44" s="292"/>
      <c r="FOB44" s="292"/>
      <c r="FOC44" s="292"/>
      <c r="FOD44" s="292"/>
      <c r="FOE44" s="292"/>
      <c r="FOF44" s="292"/>
      <c r="FOG44" s="292"/>
      <c r="FOH44" s="292"/>
      <c r="FOI44" s="292"/>
      <c r="FOJ44" s="292"/>
      <c r="FOK44" s="292"/>
      <c r="FOL44" s="292"/>
      <c r="FOM44" s="292"/>
      <c r="FON44" s="292"/>
      <c r="FOO44" s="292"/>
      <c r="FOP44" s="292"/>
      <c r="FOQ44" s="292"/>
      <c r="FOR44" s="292"/>
      <c r="FOS44" s="292"/>
      <c r="FOT44" s="292"/>
      <c r="FOU44" s="292"/>
      <c r="FOV44" s="292"/>
      <c r="FOW44" s="292"/>
      <c r="FOX44" s="292"/>
      <c r="FOY44" s="292"/>
      <c r="FOZ44" s="292"/>
      <c r="FPA44" s="292"/>
      <c r="FPB44" s="292"/>
      <c r="FPC44" s="292"/>
      <c r="FPD44" s="292"/>
      <c r="FPE44" s="292"/>
      <c r="FPF44" s="292"/>
      <c r="FPG44" s="292"/>
      <c r="FPH44" s="292"/>
      <c r="FPI44" s="292"/>
      <c r="FPJ44" s="292"/>
      <c r="FPK44" s="292"/>
      <c r="FPL44" s="292"/>
      <c r="FPM44" s="292"/>
      <c r="FPN44" s="292"/>
      <c r="FPO44" s="292"/>
      <c r="FPP44" s="292"/>
      <c r="FPQ44" s="292"/>
      <c r="FPR44" s="292"/>
      <c r="FPS44" s="292"/>
      <c r="FPT44" s="292"/>
      <c r="FPU44" s="292"/>
      <c r="FPV44" s="292"/>
      <c r="FPW44" s="292"/>
      <c r="FPX44" s="292"/>
      <c r="FPY44" s="292"/>
      <c r="FPZ44" s="292"/>
      <c r="FQA44" s="292"/>
      <c r="FQB44" s="292"/>
      <c r="FQC44" s="292"/>
      <c r="FQD44" s="292"/>
      <c r="FQE44" s="292"/>
      <c r="FQF44" s="292"/>
      <c r="FQG44" s="292"/>
      <c r="FQH44" s="292"/>
      <c r="FQI44" s="292"/>
      <c r="FQJ44" s="292"/>
      <c r="FQK44" s="292"/>
      <c r="FQL44" s="292"/>
      <c r="FQM44" s="292"/>
      <c r="FQN44" s="292"/>
      <c r="FQO44" s="292"/>
      <c r="FQP44" s="292"/>
      <c r="FQQ44" s="292"/>
      <c r="FQR44" s="292"/>
      <c r="FQS44" s="292"/>
      <c r="FQT44" s="292"/>
      <c r="FQU44" s="292"/>
      <c r="FQV44" s="292"/>
      <c r="FQW44" s="292"/>
      <c r="FQX44" s="292"/>
      <c r="FQY44" s="292"/>
      <c r="FQZ44" s="292"/>
      <c r="FRA44" s="292"/>
      <c r="FRB44" s="292"/>
      <c r="FRC44" s="292"/>
      <c r="FRD44" s="292"/>
      <c r="FRE44" s="292"/>
      <c r="FRF44" s="292"/>
      <c r="FRG44" s="292"/>
      <c r="FRH44" s="292"/>
      <c r="FRI44" s="292"/>
      <c r="FRJ44" s="292"/>
      <c r="FRK44" s="292"/>
      <c r="FRL44" s="292"/>
      <c r="FRM44" s="292"/>
      <c r="FRN44" s="292"/>
      <c r="FRO44" s="292"/>
      <c r="FRP44" s="292"/>
      <c r="FRQ44" s="292"/>
      <c r="FRR44" s="292"/>
      <c r="FRS44" s="292"/>
      <c r="FRT44" s="292"/>
      <c r="FRU44" s="292"/>
      <c r="FRV44" s="292"/>
      <c r="FRW44" s="292"/>
      <c r="FRX44" s="292"/>
      <c r="FRY44" s="292"/>
      <c r="FRZ44" s="292"/>
      <c r="FSA44" s="292"/>
      <c r="FSB44" s="292"/>
      <c r="FSC44" s="292"/>
      <c r="FSD44" s="292"/>
      <c r="FSE44" s="292"/>
      <c r="FSF44" s="292"/>
      <c r="FSG44" s="292"/>
      <c r="FSH44" s="292"/>
      <c r="FSI44" s="292"/>
      <c r="FSJ44" s="292"/>
      <c r="FSK44" s="292"/>
      <c r="FSL44" s="292"/>
      <c r="FSM44" s="292"/>
      <c r="FSN44" s="292"/>
      <c r="FSO44" s="292"/>
      <c r="FSP44" s="292"/>
      <c r="FSQ44" s="292"/>
      <c r="FSR44" s="292"/>
      <c r="FSS44" s="292"/>
      <c r="FST44" s="292"/>
      <c r="FSU44" s="292"/>
      <c r="FSV44" s="292"/>
      <c r="FSW44" s="292"/>
      <c r="FSX44" s="292"/>
      <c r="FSY44" s="292"/>
      <c r="FSZ44" s="292"/>
      <c r="FTA44" s="292"/>
      <c r="FTB44" s="292"/>
      <c r="FTC44" s="292"/>
      <c r="FTD44" s="292"/>
      <c r="FTE44" s="292"/>
      <c r="FTF44" s="292"/>
      <c r="FTG44" s="292"/>
      <c r="FTH44" s="292"/>
      <c r="FTI44" s="292"/>
      <c r="FTJ44" s="292"/>
      <c r="FTK44" s="292"/>
      <c r="FTL44" s="292"/>
      <c r="FTM44" s="292"/>
      <c r="FTN44" s="292"/>
      <c r="FTO44" s="292"/>
      <c r="FTP44" s="292"/>
      <c r="FTQ44" s="292"/>
      <c r="FTR44" s="292"/>
      <c r="FTS44" s="292"/>
      <c r="FTT44" s="292"/>
      <c r="FTU44" s="292"/>
      <c r="FTV44" s="292"/>
      <c r="FTW44" s="292"/>
      <c r="FTX44" s="292"/>
      <c r="FTY44" s="292"/>
      <c r="FTZ44" s="292"/>
      <c r="FUA44" s="292"/>
      <c r="FUB44" s="292"/>
      <c r="FUC44" s="292"/>
      <c r="FUD44" s="292"/>
      <c r="FUE44" s="292"/>
      <c r="FUF44" s="292"/>
      <c r="FUG44" s="292"/>
      <c r="FUH44" s="292"/>
      <c r="FUI44" s="292"/>
      <c r="FUJ44" s="292"/>
      <c r="FUK44" s="292"/>
      <c r="FUL44" s="292"/>
      <c r="FUM44" s="292"/>
      <c r="FUN44" s="292"/>
      <c r="FUO44" s="292"/>
      <c r="FUP44" s="292"/>
      <c r="FUQ44" s="292"/>
      <c r="FUR44" s="292"/>
      <c r="FUS44" s="292"/>
      <c r="FUT44" s="292"/>
      <c r="FUU44" s="292"/>
      <c r="FUV44" s="292"/>
      <c r="FUW44" s="292"/>
      <c r="FUX44" s="292"/>
      <c r="FUY44" s="292"/>
      <c r="FUZ44" s="292"/>
      <c r="FVA44" s="292"/>
      <c r="FVB44" s="292"/>
      <c r="FVC44" s="292"/>
      <c r="FVD44" s="292"/>
      <c r="FVE44" s="292"/>
      <c r="FVF44" s="292"/>
      <c r="FVG44" s="292"/>
      <c r="FVH44" s="292"/>
      <c r="FVI44" s="292"/>
      <c r="FVJ44" s="292"/>
      <c r="FVK44" s="292"/>
      <c r="FVL44" s="292"/>
      <c r="FVM44" s="292"/>
      <c r="FVN44" s="292"/>
      <c r="FVO44" s="292"/>
      <c r="FVP44" s="292"/>
      <c r="FVQ44" s="292"/>
      <c r="FVR44" s="292"/>
      <c r="FVS44" s="292"/>
      <c r="FVT44" s="292"/>
      <c r="FVU44" s="292"/>
      <c r="FVV44" s="292"/>
      <c r="FVW44" s="292"/>
      <c r="FVX44" s="292"/>
      <c r="FVY44" s="292"/>
      <c r="FVZ44" s="292"/>
      <c r="FWA44" s="292"/>
      <c r="FWB44" s="292"/>
      <c r="FWC44" s="292"/>
      <c r="FWD44" s="292"/>
      <c r="FWE44" s="292"/>
      <c r="FWF44" s="292"/>
      <c r="FWG44" s="292"/>
      <c r="FWH44" s="292"/>
      <c r="FWI44" s="292"/>
      <c r="FWJ44" s="292"/>
      <c r="FWK44" s="292"/>
      <c r="FWL44" s="292"/>
      <c r="FWM44" s="292"/>
      <c r="FWN44" s="292"/>
      <c r="FWO44" s="292"/>
      <c r="FWP44" s="292"/>
      <c r="FWQ44" s="292"/>
      <c r="FWR44" s="292"/>
      <c r="FWS44" s="292"/>
      <c r="FWT44" s="292"/>
      <c r="FWU44" s="292"/>
      <c r="FWV44" s="292"/>
      <c r="FWW44" s="292"/>
      <c r="FWX44" s="292"/>
      <c r="FWY44" s="292"/>
      <c r="FWZ44" s="292"/>
      <c r="FXA44" s="292"/>
      <c r="FXB44" s="292"/>
      <c r="FXC44" s="292"/>
      <c r="FXD44" s="292"/>
      <c r="FXE44" s="292"/>
      <c r="FXF44" s="292"/>
      <c r="FXG44" s="292"/>
      <c r="FXH44" s="292"/>
      <c r="FXI44" s="292"/>
      <c r="FXJ44" s="292"/>
      <c r="FXK44" s="292"/>
      <c r="FXL44" s="292"/>
      <c r="FXM44" s="292"/>
      <c r="FXN44" s="292"/>
      <c r="FXO44" s="292"/>
      <c r="FXP44" s="292"/>
      <c r="FXQ44" s="292"/>
      <c r="FXR44" s="292"/>
      <c r="FXS44" s="292"/>
      <c r="FXT44" s="292"/>
      <c r="FXU44" s="292"/>
      <c r="FXV44" s="292"/>
      <c r="FXW44" s="292"/>
      <c r="FXX44" s="292"/>
      <c r="FXY44" s="292"/>
      <c r="FXZ44" s="292"/>
      <c r="FYA44" s="292"/>
      <c r="FYB44" s="292"/>
      <c r="FYC44" s="292"/>
      <c r="FYD44" s="292"/>
      <c r="FYE44" s="292"/>
      <c r="FYF44" s="292"/>
      <c r="FYG44" s="292"/>
      <c r="FYH44" s="292"/>
      <c r="FYI44" s="292"/>
      <c r="FYJ44" s="292"/>
      <c r="FYK44" s="292"/>
      <c r="FYL44" s="292"/>
      <c r="FYM44" s="292"/>
      <c r="FYN44" s="292"/>
      <c r="FYO44" s="292"/>
      <c r="FYP44" s="292"/>
      <c r="FYQ44" s="292"/>
      <c r="FYR44" s="292"/>
      <c r="FYS44" s="292"/>
      <c r="FYT44" s="292"/>
      <c r="FYU44" s="292"/>
      <c r="FYV44" s="292"/>
      <c r="FYW44" s="292"/>
      <c r="FYX44" s="292"/>
      <c r="FYY44" s="292"/>
      <c r="FYZ44" s="292"/>
      <c r="FZA44" s="292"/>
      <c r="FZB44" s="292"/>
      <c r="FZC44" s="292"/>
      <c r="FZD44" s="292"/>
      <c r="FZE44" s="292"/>
      <c r="FZF44" s="292"/>
      <c r="FZG44" s="292"/>
      <c r="FZH44" s="292"/>
      <c r="FZI44" s="292"/>
      <c r="FZJ44" s="292"/>
      <c r="FZK44" s="292"/>
      <c r="FZL44" s="292"/>
      <c r="FZM44" s="292"/>
      <c r="FZN44" s="292"/>
      <c r="FZO44" s="292"/>
      <c r="FZP44" s="292"/>
      <c r="FZQ44" s="292"/>
      <c r="FZR44" s="292"/>
      <c r="FZS44" s="292"/>
      <c r="FZT44" s="292"/>
      <c r="FZU44" s="292"/>
      <c r="FZV44" s="292"/>
      <c r="FZW44" s="292"/>
      <c r="FZX44" s="292"/>
      <c r="FZY44" s="292"/>
      <c r="FZZ44" s="292"/>
      <c r="GAA44" s="292"/>
      <c r="GAB44" s="292"/>
      <c r="GAC44" s="292"/>
      <c r="GAD44" s="292"/>
      <c r="GAE44" s="292"/>
      <c r="GAF44" s="292"/>
      <c r="GAG44" s="292"/>
      <c r="GAH44" s="292"/>
      <c r="GAI44" s="292"/>
      <c r="GAJ44" s="292"/>
      <c r="GAK44" s="292"/>
      <c r="GAL44" s="292"/>
      <c r="GAM44" s="292"/>
      <c r="GAN44" s="292"/>
      <c r="GAO44" s="292"/>
      <c r="GAP44" s="292"/>
      <c r="GAQ44" s="292"/>
      <c r="GAR44" s="292"/>
      <c r="GAS44" s="292"/>
      <c r="GAT44" s="292"/>
      <c r="GAU44" s="292"/>
      <c r="GAV44" s="292"/>
      <c r="GAW44" s="292"/>
      <c r="GAX44" s="292"/>
      <c r="GAY44" s="292"/>
      <c r="GAZ44" s="292"/>
      <c r="GBA44" s="292"/>
      <c r="GBB44" s="292"/>
      <c r="GBC44" s="292"/>
      <c r="GBD44" s="292"/>
      <c r="GBE44" s="292"/>
      <c r="GBF44" s="292"/>
      <c r="GBG44" s="292"/>
      <c r="GBH44" s="292"/>
      <c r="GBI44" s="292"/>
      <c r="GBJ44" s="292"/>
      <c r="GBK44" s="292"/>
      <c r="GBL44" s="292"/>
      <c r="GBM44" s="292"/>
      <c r="GBN44" s="292"/>
      <c r="GBO44" s="292"/>
      <c r="GBP44" s="292"/>
      <c r="GBQ44" s="292"/>
      <c r="GBR44" s="292"/>
      <c r="GBS44" s="292"/>
      <c r="GBT44" s="292"/>
      <c r="GBU44" s="292"/>
      <c r="GBV44" s="292"/>
      <c r="GBW44" s="292"/>
      <c r="GBX44" s="292"/>
      <c r="GBY44" s="292"/>
      <c r="GBZ44" s="292"/>
      <c r="GCA44" s="292"/>
      <c r="GCB44" s="292"/>
      <c r="GCC44" s="292"/>
      <c r="GCD44" s="292"/>
      <c r="GCE44" s="292"/>
      <c r="GCF44" s="292"/>
      <c r="GCG44" s="292"/>
      <c r="GCH44" s="292"/>
      <c r="GCI44" s="292"/>
      <c r="GCJ44" s="292"/>
      <c r="GCK44" s="292"/>
      <c r="GCL44" s="292"/>
      <c r="GCM44" s="292"/>
      <c r="GCN44" s="292"/>
      <c r="GCO44" s="292"/>
      <c r="GCP44" s="292"/>
      <c r="GCQ44" s="292"/>
      <c r="GCR44" s="292"/>
      <c r="GCS44" s="292"/>
      <c r="GCT44" s="292"/>
      <c r="GCU44" s="292"/>
      <c r="GCV44" s="292"/>
      <c r="GCW44" s="292"/>
      <c r="GCX44" s="292"/>
      <c r="GCY44" s="292"/>
      <c r="GCZ44" s="292"/>
      <c r="GDA44" s="292"/>
      <c r="GDB44" s="292"/>
      <c r="GDC44" s="292"/>
      <c r="GDD44" s="292"/>
      <c r="GDE44" s="292"/>
      <c r="GDF44" s="292"/>
      <c r="GDG44" s="292"/>
      <c r="GDH44" s="292"/>
      <c r="GDI44" s="292"/>
      <c r="GDJ44" s="292"/>
      <c r="GDK44" s="292"/>
      <c r="GDL44" s="292"/>
      <c r="GDM44" s="292"/>
      <c r="GDN44" s="292"/>
      <c r="GDO44" s="292"/>
      <c r="GDP44" s="292"/>
      <c r="GDQ44" s="292"/>
      <c r="GDR44" s="292"/>
      <c r="GDS44" s="292"/>
      <c r="GDT44" s="292"/>
      <c r="GDU44" s="292"/>
      <c r="GDV44" s="292"/>
      <c r="GDW44" s="292"/>
      <c r="GDX44" s="292"/>
      <c r="GDY44" s="292"/>
      <c r="GDZ44" s="292"/>
      <c r="GEA44" s="292"/>
      <c r="GEB44" s="292"/>
      <c r="GEC44" s="292"/>
      <c r="GED44" s="292"/>
      <c r="GEE44" s="292"/>
      <c r="GEF44" s="292"/>
      <c r="GEG44" s="292"/>
      <c r="GEH44" s="292"/>
      <c r="GEI44" s="292"/>
      <c r="GEJ44" s="292"/>
      <c r="GEK44" s="292"/>
      <c r="GEL44" s="292"/>
      <c r="GEM44" s="292"/>
      <c r="GEN44" s="292"/>
      <c r="GEO44" s="292"/>
      <c r="GEP44" s="292"/>
      <c r="GEQ44" s="292"/>
      <c r="GER44" s="292"/>
      <c r="GES44" s="292"/>
      <c r="GET44" s="292"/>
      <c r="GEU44" s="292"/>
      <c r="GEV44" s="292"/>
      <c r="GEW44" s="292"/>
      <c r="GEX44" s="292"/>
      <c r="GEY44" s="292"/>
      <c r="GEZ44" s="292"/>
      <c r="GFA44" s="292"/>
      <c r="GFB44" s="292"/>
      <c r="GFC44" s="292"/>
      <c r="GFD44" s="292"/>
      <c r="GFE44" s="292"/>
      <c r="GFF44" s="292"/>
      <c r="GFG44" s="292"/>
      <c r="GFH44" s="292"/>
      <c r="GFI44" s="292"/>
      <c r="GFJ44" s="292"/>
      <c r="GFK44" s="292"/>
      <c r="GFL44" s="292"/>
      <c r="GFM44" s="292"/>
      <c r="GFN44" s="292"/>
      <c r="GFO44" s="292"/>
      <c r="GFP44" s="292"/>
      <c r="GFQ44" s="292"/>
      <c r="GFR44" s="292"/>
      <c r="GFS44" s="292"/>
      <c r="GFT44" s="292"/>
      <c r="GFU44" s="292"/>
      <c r="GFV44" s="292"/>
      <c r="GFW44" s="292"/>
      <c r="GFX44" s="292"/>
      <c r="GFY44" s="292"/>
      <c r="GFZ44" s="292"/>
      <c r="GGA44" s="292"/>
      <c r="GGB44" s="292"/>
      <c r="GGC44" s="292"/>
      <c r="GGD44" s="292"/>
      <c r="GGE44" s="292"/>
      <c r="GGF44" s="292"/>
      <c r="GGG44" s="292"/>
      <c r="GGH44" s="292"/>
      <c r="GGI44" s="292"/>
      <c r="GGJ44" s="292"/>
      <c r="GGK44" s="292"/>
      <c r="GGL44" s="292"/>
      <c r="GGM44" s="292"/>
      <c r="GGN44" s="292"/>
      <c r="GGO44" s="292"/>
      <c r="GGP44" s="292"/>
      <c r="GGQ44" s="292"/>
      <c r="GGR44" s="292"/>
      <c r="GGS44" s="292"/>
      <c r="GGT44" s="292"/>
      <c r="GGU44" s="292"/>
      <c r="GGV44" s="292"/>
      <c r="GGW44" s="292"/>
      <c r="GGX44" s="292"/>
      <c r="GGY44" s="292"/>
      <c r="GGZ44" s="292"/>
      <c r="GHA44" s="292"/>
      <c r="GHB44" s="292"/>
      <c r="GHC44" s="292"/>
      <c r="GHD44" s="292"/>
      <c r="GHE44" s="292"/>
      <c r="GHF44" s="292"/>
      <c r="GHG44" s="292"/>
      <c r="GHH44" s="292"/>
      <c r="GHI44" s="292"/>
      <c r="GHJ44" s="292"/>
      <c r="GHK44" s="292"/>
      <c r="GHL44" s="292"/>
      <c r="GHM44" s="292"/>
      <c r="GHN44" s="292"/>
      <c r="GHO44" s="292"/>
      <c r="GHP44" s="292"/>
      <c r="GHQ44" s="292"/>
      <c r="GHR44" s="292"/>
      <c r="GHS44" s="292"/>
      <c r="GHT44" s="292"/>
      <c r="GHU44" s="292"/>
      <c r="GHV44" s="292"/>
      <c r="GHW44" s="292"/>
      <c r="GHX44" s="292"/>
      <c r="GHY44" s="292"/>
      <c r="GHZ44" s="292"/>
      <c r="GIA44" s="292"/>
      <c r="GIB44" s="292"/>
      <c r="GIC44" s="292"/>
      <c r="GID44" s="292"/>
      <c r="GIE44" s="292"/>
      <c r="GIF44" s="292"/>
      <c r="GIG44" s="292"/>
      <c r="GIH44" s="292"/>
      <c r="GII44" s="292"/>
      <c r="GIJ44" s="292"/>
      <c r="GIK44" s="292"/>
      <c r="GIL44" s="292"/>
      <c r="GIM44" s="292"/>
      <c r="GIN44" s="292"/>
      <c r="GIO44" s="292"/>
      <c r="GIP44" s="292"/>
      <c r="GIQ44" s="292"/>
      <c r="GIR44" s="292"/>
      <c r="GIS44" s="292"/>
      <c r="GIT44" s="292"/>
      <c r="GIU44" s="292"/>
      <c r="GIV44" s="292"/>
      <c r="GIW44" s="292"/>
      <c r="GIX44" s="292"/>
      <c r="GIY44" s="292"/>
      <c r="GIZ44" s="292"/>
      <c r="GJA44" s="292"/>
      <c r="GJB44" s="292"/>
      <c r="GJC44" s="292"/>
      <c r="GJD44" s="292"/>
      <c r="GJE44" s="292"/>
      <c r="GJF44" s="292"/>
      <c r="GJG44" s="292"/>
      <c r="GJH44" s="292"/>
      <c r="GJI44" s="292"/>
      <c r="GJJ44" s="292"/>
      <c r="GJK44" s="292"/>
      <c r="GJL44" s="292"/>
      <c r="GJM44" s="292"/>
      <c r="GJN44" s="292"/>
      <c r="GJO44" s="292"/>
      <c r="GJP44" s="292"/>
      <c r="GJQ44" s="292"/>
      <c r="GJR44" s="292"/>
      <c r="GJS44" s="292"/>
      <c r="GJT44" s="292"/>
      <c r="GJU44" s="292"/>
      <c r="GJV44" s="292"/>
      <c r="GJW44" s="292"/>
      <c r="GJX44" s="292"/>
      <c r="GJY44" s="292"/>
      <c r="GJZ44" s="292"/>
      <c r="GKA44" s="292"/>
      <c r="GKB44" s="292"/>
      <c r="GKC44" s="292"/>
      <c r="GKD44" s="292"/>
      <c r="GKE44" s="292"/>
      <c r="GKF44" s="292"/>
      <c r="GKG44" s="292"/>
      <c r="GKH44" s="292"/>
      <c r="GKI44" s="292"/>
      <c r="GKJ44" s="292"/>
      <c r="GKK44" s="292"/>
      <c r="GKL44" s="292"/>
      <c r="GKM44" s="292"/>
      <c r="GKN44" s="292"/>
      <c r="GKO44" s="292"/>
      <c r="GKP44" s="292"/>
      <c r="GKQ44" s="292"/>
      <c r="GKR44" s="292"/>
      <c r="GKS44" s="292"/>
      <c r="GKT44" s="292"/>
      <c r="GKU44" s="292"/>
      <c r="GKV44" s="292"/>
      <c r="GKW44" s="292"/>
      <c r="GKX44" s="292"/>
      <c r="GKY44" s="292"/>
      <c r="GKZ44" s="292"/>
      <c r="GLA44" s="292"/>
      <c r="GLB44" s="292"/>
      <c r="GLC44" s="292"/>
      <c r="GLD44" s="292"/>
      <c r="GLE44" s="292"/>
      <c r="GLF44" s="292"/>
      <c r="GLG44" s="292"/>
      <c r="GLH44" s="292"/>
      <c r="GLI44" s="292"/>
      <c r="GLJ44" s="292"/>
      <c r="GLK44" s="292"/>
      <c r="GLL44" s="292"/>
      <c r="GLM44" s="292"/>
      <c r="GLN44" s="292"/>
      <c r="GLO44" s="292"/>
      <c r="GLP44" s="292"/>
      <c r="GLQ44" s="292"/>
      <c r="GLR44" s="292"/>
      <c r="GLS44" s="292"/>
      <c r="GLT44" s="292"/>
      <c r="GLU44" s="292"/>
      <c r="GLV44" s="292"/>
      <c r="GLW44" s="292"/>
      <c r="GLX44" s="292"/>
      <c r="GLY44" s="292"/>
      <c r="GLZ44" s="292"/>
      <c r="GMA44" s="292"/>
      <c r="GMB44" s="292"/>
      <c r="GMC44" s="292"/>
      <c r="GMD44" s="292"/>
      <c r="GME44" s="292"/>
      <c r="GMF44" s="292"/>
      <c r="GMG44" s="292"/>
      <c r="GMH44" s="292"/>
      <c r="GMI44" s="292"/>
      <c r="GMJ44" s="292"/>
      <c r="GMK44" s="292"/>
      <c r="GML44" s="292"/>
      <c r="GMM44" s="292"/>
      <c r="GMN44" s="292"/>
      <c r="GMO44" s="292"/>
      <c r="GMP44" s="292"/>
      <c r="GMQ44" s="292"/>
      <c r="GMR44" s="292"/>
      <c r="GMS44" s="292"/>
      <c r="GMT44" s="292"/>
      <c r="GMU44" s="292"/>
      <c r="GMV44" s="292"/>
      <c r="GMW44" s="292"/>
      <c r="GMX44" s="292"/>
      <c r="GMY44" s="292"/>
      <c r="GMZ44" s="292"/>
      <c r="GNA44" s="292"/>
      <c r="GNB44" s="292"/>
      <c r="GNC44" s="292"/>
      <c r="GND44" s="292"/>
      <c r="GNE44" s="292"/>
      <c r="GNF44" s="292"/>
      <c r="GNG44" s="292"/>
      <c r="GNH44" s="292"/>
      <c r="GNI44" s="292"/>
      <c r="GNJ44" s="292"/>
      <c r="GNK44" s="292"/>
      <c r="GNL44" s="292"/>
      <c r="GNM44" s="292"/>
      <c r="GNN44" s="292"/>
      <c r="GNO44" s="292"/>
      <c r="GNP44" s="292"/>
      <c r="GNQ44" s="292"/>
      <c r="GNR44" s="292"/>
      <c r="GNS44" s="292"/>
      <c r="GNT44" s="292"/>
      <c r="GNU44" s="292"/>
      <c r="GNV44" s="292"/>
      <c r="GNW44" s="292"/>
      <c r="GNX44" s="292"/>
      <c r="GNY44" s="292"/>
      <c r="GNZ44" s="292"/>
      <c r="GOA44" s="292"/>
      <c r="GOB44" s="292"/>
      <c r="GOC44" s="292"/>
      <c r="GOD44" s="292"/>
      <c r="GOE44" s="292"/>
      <c r="GOF44" s="292"/>
      <c r="GOG44" s="292"/>
      <c r="GOH44" s="292"/>
      <c r="GOI44" s="292"/>
      <c r="GOJ44" s="292"/>
      <c r="GOK44" s="292"/>
      <c r="GOL44" s="292"/>
      <c r="GOM44" s="292"/>
      <c r="GON44" s="292"/>
      <c r="GOO44" s="292"/>
      <c r="GOP44" s="292"/>
      <c r="GOQ44" s="292"/>
      <c r="GOR44" s="292"/>
      <c r="GOS44" s="292"/>
      <c r="GOT44" s="292"/>
      <c r="GOU44" s="292"/>
      <c r="GOV44" s="292"/>
      <c r="GOW44" s="292"/>
      <c r="GOX44" s="292"/>
      <c r="GOY44" s="292"/>
      <c r="GOZ44" s="292"/>
      <c r="GPA44" s="292"/>
      <c r="GPB44" s="292"/>
      <c r="GPC44" s="292"/>
      <c r="GPD44" s="292"/>
      <c r="GPE44" s="292"/>
      <c r="GPF44" s="292"/>
      <c r="GPG44" s="292"/>
      <c r="GPH44" s="292"/>
      <c r="GPI44" s="292"/>
      <c r="GPJ44" s="292"/>
      <c r="GPK44" s="292"/>
      <c r="GPL44" s="292"/>
      <c r="GPM44" s="292"/>
      <c r="GPN44" s="292"/>
      <c r="GPO44" s="292"/>
      <c r="GPP44" s="292"/>
      <c r="GPQ44" s="292"/>
      <c r="GPR44" s="292"/>
      <c r="GPS44" s="292"/>
      <c r="GPT44" s="292"/>
      <c r="GPU44" s="292"/>
      <c r="GPV44" s="292"/>
      <c r="GPW44" s="292"/>
      <c r="GPX44" s="292"/>
      <c r="GPY44" s="292"/>
      <c r="GPZ44" s="292"/>
      <c r="GQA44" s="292"/>
      <c r="GQB44" s="292"/>
      <c r="GQC44" s="292"/>
      <c r="GQD44" s="292"/>
      <c r="GQE44" s="292"/>
      <c r="GQF44" s="292"/>
      <c r="GQG44" s="292"/>
      <c r="GQH44" s="292"/>
      <c r="GQI44" s="292"/>
      <c r="GQJ44" s="292"/>
      <c r="GQK44" s="292"/>
      <c r="GQL44" s="292"/>
      <c r="GQM44" s="292"/>
      <c r="GQN44" s="292"/>
      <c r="GQO44" s="292"/>
      <c r="GQP44" s="292"/>
      <c r="GQQ44" s="292"/>
      <c r="GQR44" s="292"/>
      <c r="GQS44" s="292"/>
      <c r="GQT44" s="292"/>
      <c r="GQU44" s="292"/>
      <c r="GQV44" s="292"/>
      <c r="GQW44" s="292"/>
      <c r="GQX44" s="292"/>
      <c r="GQY44" s="292"/>
      <c r="GQZ44" s="292"/>
      <c r="GRA44" s="292"/>
      <c r="GRB44" s="292"/>
      <c r="GRC44" s="292"/>
      <c r="GRD44" s="292"/>
      <c r="GRE44" s="292"/>
      <c r="GRF44" s="292"/>
      <c r="GRG44" s="292"/>
      <c r="GRH44" s="292"/>
      <c r="GRI44" s="292"/>
      <c r="GRJ44" s="292"/>
      <c r="GRK44" s="292"/>
      <c r="GRL44" s="292"/>
      <c r="GRM44" s="292"/>
      <c r="GRN44" s="292"/>
      <c r="GRO44" s="292"/>
      <c r="GRP44" s="292"/>
      <c r="GRQ44" s="292"/>
      <c r="GRR44" s="292"/>
      <c r="GRS44" s="292"/>
      <c r="GRT44" s="292"/>
      <c r="GRU44" s="292"/>
      <c r="GRV44" s="292"/>
      <c r="GRW44" s="292"/>
      <c r="GRX44" s="292"/>
      <c r="GRY44" s="292"/>
      <c r="GRZ44" s="292"/>
      <c r="GSA44" s="292"/>
      <c r="GSB44" s="292"/>
      <c r="GSC44" s="292"/>
      <c r="GSD44" s="292"/>
      <c r="GSE44" s="292"/>
      <c r="GSF44" s="292"/>
      <c r="GSG44" s="292"/>
      <c r="GSH44" s="292"/>
      <c r="GSI44" s="292"/>
      <c r="GSJ44" s="292"/>
      <c r="GSK44" s="292"/>
      <c r="GSL44" s="292"/>
      <c r="GSM44" s="292"/>
      <c r="GSN44" s="292"/>
      <c r="GSO44" s="292"/>
      <c r="GSP44" s="292"/>
      <c r="GSQ44" s="292"/>
      <c r="GSR44" s="292"/>
      <c r="GSS44" s="292"/>
      <c r="GST44" s="292"/>
      <c r="GSU44" s="292"/>
      <c r="GSV44" s="292"/>
      <c r="GSW44" s="292"/>
      <c r="GSX44" s="292"/>
      <c r="GSY44" s="292"/>
      <c r="GSZ44" s="292"/>
      <c r="GTA44" s="292"/>
      <c r="GTB44" s="292"/>
      <c r="GTC44" s="292"/>
      <c r="GTD44" s="292"/>
      <c r="GTE44" s="292"/>
      <c r="GTF44" s="292"/>
      <c r="GTG44" s="292"/>
      <c r="GTH44" s="292"/>
      <c r="GTI44" s="292"/>
      <c r="GTJ44" s="292"/>
      <c r="GTK44" s="292"/>
      <c r="GTL44" s="292"/>
      <c r="GTM44" s="292"/>
      <c r="GTN44" s="292"/>
      <c r="GTO44" s="292"/>
      <c r="GTP44" s="292"/>
      <c r="GTQ44" s="292"/>
      <c r="GTR44" s="292"/>
      <c r="GTS44" s="292"/>
      <c r="GTT44" s="292"/>
      <c r="GTU44" s="292"/>
      <c r="GTV44" s="292"/>
      <c r="GTW44" s="292"/>
      <c r="GTX44" s="292"/>
      <c r="GTY44" s="292"/>
      <c r="GTZ44" s="292"/>
      <c r="GUA44" s="292"/>
      <c r="GUB44" s="292"/>
      <c r="GUC44" s="292"/>
      <c r="GUD44" s="292"/>
      <c r="GUE44" s="292"/>
      <c r="GUF44" s="292"/>
      <c r="GUG44" s="292"/>
      <c r="GUH44" s="292"/>
      <c r="GUI44" s="292"/>
      <c r="GUJ44" s="292"/>
      <c r="GUK44" s="292"/>
      <c r="GUL44" s="292"/>
      <c r="GUM44" s="292"/>
      <c r="GUN44" s="292"/>
      <c r="GUO44" s="292"/>
      <c r="GUP44" s="292"/>
      <c r="GUQ44" s="292"/>
      <c r="GUR44" s="292"/>
      <c r="GUS44" s="292"/>
      <c r="GUT44" s="292"/>
      <c r="GUU44" s="292"/>
      <c r="GUV44" s="292"/>
      <c r="GUW44" s="292"/>
      <c r="GUX44" s="292"/>
      <c r="GUY44" s="292"/>
      <c r="GUZ44" s="292"/>
      <c r="GVA44" s="292"/>
      <c r="GVB44" s="292"/>
      <c r="GVC44" s="292"/>
      <c r="GVD44" s="292"/>
      <c r="GVE44" s="292"/>
      <c r="GVF44" s="292"/>
      <c r="GVG44" s="292"/>
      <c r="GVH44" s="292"/>
      <c r="GVI44" s="292"/>
      <c r="GVJ44" s="292"/>
      <c r="GVK44" s="292"/>
      <c r="GVL44" s="292"/>
      <c r="GVM44" s="292"/>
      <c r="GVN44" s="292"/>
      <c r="GVO44" s="292"/>
      <c r="GVP44" s="292"/>
      <c r="GVQ44" s="292"/>
      <c r="GVR44" s="292"/>
      <c r="GVS44" s="292"/>
      <c r="GVT44" s="292"/>
      <c r="GVU44" s="292"/>
      <c r="GVV44" s="292"/>
      <c r="GVW44" s="292"/>
      <c r="GVX44" s="292"/>
      <c r="GVY44" s="292"/>
      <c r="GVZ44" s="292"/>
      <c r="GWA44" s="292"/>
      <c r="GWB44" s="292"/>
      <c r="GWC44" s="292"/>
      <c r="GWD44" s="292"/>
      <c r="GWE44" s="292"/>
      <c r="GWF44" s="292"/>
      <c r="GWG44" s="292"/>
      <c r="GWH44" s="292"/>
      <c r="GWI44" s="292"/>
      <c r="GWJ44" s="292"/>
      <c r="GWK44" s="292"/>
      <c r="GWL44" s="292"/>
      <c r="GWM44" s="292"/>
      <c r="GWN44" s="292"/>
      <c r="GWO44" s="292"/>
      <c r="GWP44" s="292"/>
      <c r="GWQ44" s="292"/>
      <c r="GWR44" s="292"/>
      <c r="GWS44" s="292"/>
      <c r="GWT44" s="292"/>
      <c r="GWU44" s="292"/>
      <c r="GWV44" s="292"/>
      <c r="GWW44" s="292"/>
      <c r="GWX44" s="292"/>
      <c r="GWY44" s="292"/>
      <c r="GWZ44" s="292"/>
      <c r="GXA44" s="292"/>
      <c r="GXB44" s="292"/>
      <c r="GXC44" s="292"/>
      <c r="GXD44" s="292"/>
      <c r="GXE44" s="292"/>
      <c r="GXF44" s="292"/>
      <c r="GXG44" s="292"/>
      <c r="GXH44" s="292"/>
      <c r="GXI44" s="292"/>
      <c r="GXJ44" s="292"/>
      <c r="GXK44" s="292"/>
      <c r="GXL44" s="292"/>
      <c r="GXM44" s="292"/>
      <c r="GXN44" s="292"/>
      <c r="GXO44" s="292"/>
      <c r="GXP44" s="292"/>
      <c r="GXQ44" s="292"/>
      <c r="GXR44" s="292"/>
      <c r="GXS44" s="292"/>
      <c r="GXT44" s="292"/>
      <c r="GXU44" s="292"/>
      <c r="GXV44" s="292"/>
      <c r="GXW44" s="292"/>
      <c r="GXX44" s="292"/>
      <c r="GXY44" s="292"/>
      <c r="GXZ44" s="292"/>
      <c r="GYA44" s="292"/>
      <c r="GYB44" s="292"/>
      <c r="GYC44" s="292"/>
      <c r="GYD44" s="292"/>
      <c r="GYE44" s="292"/>
      <c r="GYF44" s="292"/>
      <c r="GYG44" s="292"/>
      <c r="GYH44" s="292"/>
      <c r="GYI44" s="292"/>
      <c r="GYJ44" s="292"/>
      <c r="GYK44" s="292"/>
      <c r="GYL44" s="292"/>
      <c r="GYM44" s="292"/>
      <c r="GYN44" s="292"/>
      <c r="GYO44" s="292"/>
      <c r="GYP44" s="292"/>
      <c r="GYQ44" s="292"/>
      <c r="GYR44" s="292"/>
      <c r="GYS44" s="292"/>
      <c r="GYT44" s="292"/>
      <c r="GYU44" s="292"/>
      <c r="GYV44" s="292"/>
      <c r="GYW44" s="292"/>
      <c r="GYX44" s="292"/>
      <c r="GYY44" s="292"/>
      <c r="GYZ44" s="292"/>
      <c r="GZA44" s="292"/>
      <c r="GZB44" s="292"/>
      <c r="GZC44" s="292"/>
      <c r="GZD44" s="292"/>
      <c r="GZE44" s="292"/>
      <c r="GZF44" s="292"/>
      <c r="GZG44" s="292"/>
      <c r="GZH44" s="292"/>
      <c r="GZI44" s="292"/>
      <c r="GZJ44" s="292"/>
      <c r="GZK44" s="292"/>
      <c r="GZL44" s="292"/>
      <c r="GZM44" s="292"/>
      <c r="GZN44" s="292"/>
      <c r="GZO44" s="292"/>
      <c r="GZP44" s="292"/>
      <c r="GZQ44" s="292"/>
      <c r="GZR44" s="292"/>
      <c r="GZS44" s="292"/>
      <c r="GZT44" s="292"/>
      <c r="GZU44" s="292"/>
      <c r="GZV44" s="292"/>
      <c r="GZW44" s="292"/>
      <c r="GZX44" s="292"/>
      <c r="GZY44" s="292"/>
      <c r="GZZ44" s="292"/>
      <c r="HAA44" s="292"/>
      <c r="HAB44" s="292"/>
      <c r="HAC44" s="292"/>
      <c r="HAD44" s="292"/>
      <c r="HAE44" s="292"/>
      <c r="HAF44" s="292"/>
      <c r="HAG44" s="292"/>
      <c r="HAH44" s="292"/>
      <c r="HAI44" s="292"/>
      <c r="HAJ44" s="292"/>
      <c r="HAK44" s="292"/>
      <c r="HAL44" s="292"/>
      <c r="HAM44" s="292"/>
      <c r="HAN44" s="292"/>
      <c r="HAO44" s="292"/>
      <c r="HAP44" s="292"/>
      <c r="HAQ44" s="292"/>
      <c r="HAR44" s="292"/>
      <c r="HAS44" s="292"/>
      <c r="HAT44" s="292"/>
      <c r="HAU44" s="292"/>
      <c r="HAV44" s="292"/>
      <c r="HAW44" s="292"/>
      <c r="HAX44" s="292"/>
      <c r="HAY44" s="292"/>
      <c r="HAZ44" s="292"/>
      <c r="HBA44" s="292"/>
      <c r="HBB44" s="292"/>
      <c r="HBC44" s="292"/>
      <c r="HBD44" s="292"/>
      <c r="HBE44" s="292"/>
      <c r="HBF44" s="292"/>
      <c r="HBG44" s="292"/>
      <c r="HBH44" s="292"/>
      <c r="HBI44" s="292"/>
      <c r="HBJ44" s="292"/>
      <c r="HBK44" s="292"/>
      <c r="HBL44" s="292"/>
      <c r="HBM44" s="292"/>
      <c r="HBN44" s="292"/>
      <c r="HBO44" s="292"/>
      <c r="HBP44" s="292"/>
      <c r="HBQ44" s="292"/>
      <c r="HBR44" s="292"/>
      <c r="HBS44" s="292"/>
      <c r="HBT44" s="292"/>
      <c r="HBU44" s="292"/>
      <c r="HBV44" s="292"/>
      <c r="HBW44" s="292"/>
      <c r="HBX44" s="292"/>
      <c r="HBY44" s="292"/>
      <c r="HBZ44" s="292"/>
      <c r="HCA44" s="292"/>
      <c r="HCB44" s="292"/>
      <c r="HCC44" s="292"/>
      <c r="HCD44" s="292"/>
      <c r="HCE44" s="292"/>
      <c r="HCF44" s="292"/>
      <c r="HCG44" s="292"/>
      <c r="HCH44" s="292"/>
      <c r="HCI44" s="292"/>
      <c r="HCJ44" s="292"/>
      <c r="HCK44" s="292"/>
      <c r="HCL44" s="292"/>
      <c r="HCM44" s="292"/>
      <c r="HCN44" s="292"/>
      <c r="HCO44" s="292"/>
      <c r="HCP44" s="292"/>
      <c r="HCQ44" s="292"/>
      <c r="HCR44" s="292"/>
      <c r="HCS44" s="292"/>
      <c r="HCT44" s="292"/>
      <c r="HCU44" s="292"/>
      <c r="HCV44" s="292"/>
      <c r="HCW44" s="292"/>
      <c r="HCX44" s="292"/>
      <c r="HCY44" s="292"/>
      <c r="HCZ44" s="292"/>
      <c r="HDA44" s="292"/>
      <c r="HDB44" s="292"/>
      <c r="HDC44" s="292"/>
      <c r="HDD44" s="292"/>
      <c r="HDE44" s="292"/>
      <c r="HDF44" s="292"/>
      <c r="HDG44" s="292"/>
      <c r="HDH44" s="292"/>
      <c r="HDI44" s="292"/>
      <c r="HDJ44" s="292"/>
      <c r="HDK44" s="292"/>
      <c r="HDL44" s="292"/>
      <c r="HDM44" s="292"/>
      <c r="HDN44" s="292"/>
      <c r="HDO44" s="292"/>
      <c r="HDP44" s="292"/>
      <c r="HDQ44" s="292"/>
      <c r="HDR44" s="292"/>
      <c r="HDS44" s="292"/>
      <c r="HDT44" s="292"/>
      <c r="HDU44" s="292"/>
      <c r="HDV44" s="292"/>
      <c r="HDW44" s="292"/>
      <c r="HDX44" s="292"/>
      <c r="HDY44" s="292"/>
      <c r="HDZ44" s="292"/>
      <c r="HEA44" s="292"/>
      <c r="HEB44" s="292"/>
      <c r="HEC44" s="292"/>
      <c r="HED44" s="292"/>
      <c r="HEE44" s="292"/>
      <c r="HEF44" s="292"/>
      <c r="HEG44" s="292"/>
      <c r="HEH44" s="292"/>
      <c r="HEI44" s="292"/>
      <c r="HEJ44" s="292"/>
      <c r="HEK44" s="292"/>
      <c r="HEL44" s="292"/>
      <c r="HEM44" s="292"/>
      <c r="HEN44" s="292"/>
      <c r="HEO44" s="292"/>
      <c r="HEP44" s="292"/>
      <c r="HEQ44" s="292"/>
      <c r="HER44" s="292"/>
      <c r="HES44" s="292"/>
      <c r="HET44" s="292"/>
      <c r="HEU44" s="292"/>
      <c r="HEV44" s="292"/>
      <c r="HEW44" s="292"/>
      <c r="HEX44" s="292"/>
      <c r="HEY44" s="292"/>
      <c r="HEZ44" s="292"/>
      <c r="HFA44" s="292"/>
      <c r="HFB44" s="292"/>
      <c r="HFC44" s="292"/>
      <c r="HFD44" s="292"/>
      <c r="HFE44" s="292"/>
      <c r="HFF44" s="292"/>
      <c r="HFG44" s="292"/>
      <c r="HFH44" s="292"/>
      <c r="HFI44" s="292"/>
      <c r="HFJ44" s="292"/>
      <c r="HFK44" s="292"/>
      <c r="HFL44" s="292"/>
      <c r="HFM44" s="292"/>
      <c r="HFN44" s="292"/>
      <c r="HFO44" s="292"/>
      <c r="HFP44" s="292"/>
      <c r="HFQ44" s="292"/>
      <c r="HFR44" s="292"/>
      <c r="HFS44" s="292"/>
      <c r="HFT44" s="292"/>
      <c r="HFU44" s="292"/>
      <c r="HFV44" s="292"/>
      <c r="HFW44" s="292"/>
      <c r="HFX44" s="292"/>
      <c r="HFY44" s="292"/>
      <c r="HFZ44" s="292"/>
      <c r="HGA44" s="292"/>
      <c r="HGB44" s="292"/>
      <c r="HGC44" s="292"/>
      <c r="HGD44" s="292"/>
      <c r="HGE44" s="292"/>
      <c r="HGF44" s="292"/>
      <c r="HGG44" s="292"/>
      <c r="HGH44" s="292"/>
      <c r="HGI44" s="292"/>
      <c r="HGJ44" s="292"/>
      <c r="HGK44" s="292"/>
      <c r="HGL44" s="292"/>
      <c r="HGM44" s="292"/>
      <c r="HGN44" s="292"/>
      <c r="HGO44" s="292"/>
      <c r="HGP44" s="292"/>
      <c r="HGQ44" s="292"/>
      <c r="HGR44" s="292"/>
      <c r="HGS44" s="292"/>
      <c r="HGT44" s="292"/>
      <c r="HGU44" s="292"/>
      <c r="HGV44" s="292"/>
      <c r="HGW44" s="292"/>
      <c r="HGX44" s="292"/>
      <c r="HGY44" s="292"/>
      <c r="HGZ44" s="292"/>
      <c r="HHA44" s="292"/>
      <c r="HHB44" s="292"/>
      <c r="HHC44" s="292"/>
      <c r="HHD44" s="292"/>
      <c r="HHE44" s="292"/>
      <c r="HHF44" s="292"/>
      <c r="HHG44" s="292"/>
      <c r="HHH44" s="292"/>
      <c r="HHI44" s="292"/>
      <c r="HHJ44" s="292"/>
      <c r="HHK44" s="292"/>
      <c r="HHL44" s="292"/>
      <c r="HHM44" s="292"/>
      <c r="HHN44" s="292"/>
      <c r="HHO44" s="292"/>
      <c r="HHP44" s="292"/>
      <c r="HHQ44" s="292"/>
      <c r="HHR44" s="292"/>
      <c r="HHS44" s="292"/>
      <c r="HHT44" s="292"/>
      <c r="HHU44" s="292"/>
      <c r="HHV44" s="292"/>
      <c r="HHW44" s="292"/>
      <c r="HHX44" s="292"/>
      <c r="HHY44" s="292"/>
      <c r="HHZ44" s="292"/>
      <c r="HIA44" s="292"/>
      <c r="HIB44" s="292"/>
      <c r="HIC44" s="292"/>
      <c r="HID44" s="292"/>
      <c r="HIE44" s="292"/>
      <c r="HIF44" s="292"/>
      <c r="HIG44" s="292"/>
      <c r="HIH44" s="292"/>
      <c r="HII44" s="292"/>
      <c r="HIJ44" s="292"/>
      <c r="HIK44" s="292"/>
      <c r="HIL44" s="292"/>
      <c r="HIM44" s="292"/>
      <c r="HIN44" s="292"/>
      <c r="HIO44" s="292"/>
      <c r="HIP44" s="292"/>
      <c r="HIQ44" s="292"/>
      <c r="HIR44" s="292"/>
      <c r="HIS44" s="292"/>
      <c r="HIT44" s="292"/>
      <c r="HIU44" s="292"/>
      <c r="HIV44" s="292"/>
      <c r="HIW44" s="292"/>
      <c r="HIX44" s="292"/>
      <c r="HIY44" s="292"/>
      <c r="HIZ44" s="292"/>
      <c r="HJA44" s="292"/>
      <c r="HJB44" s="292"/>
      <c r="HJC44" s="292"/>
      <c r="HJD44" s="292"/>
      <c r="HJE44" s="292"/>
      <c r="HJF44" s="292"/>
      <c r="HJG44" s="292"/>
      <c r="HJH44" s="292"/>
      <c r="HJI44" s="292"/>
      <c r="HJJ44" s="292"/>
      <c r="HJK44" s="292"/>
      <c r="HJL44" s="292"/>
      <c r="HJM44" s="292"/>
      <c r="HJN44" s="292"/>
      <c r="HJO44" s="292"/>
      <c r="HJP44" s="292"/>
      <c r="HJQ44" s="292"/>
      <c r="HJR44" s="292"/>
      <c r="HJS44" s="292"/>
      <c r="HJT44" s="292"/>
      <c r="HJU44" s="292"/>
      <c r="HJV44" s="292"/>
      <c r="HJW44" s="292"/>
      <c r="HJX44" s="292"/>
      <c r="HJY44" s="292"/>
      <c r="HJZ44" s="292"/>
      <c r="HKA44" s="292"/>
      <c r="HKB44" s="292"/>
      <c r="HKC44" s="292"/>
      <c r="HKD44" s="292"/>
      <c r="HKE44" s="292"/>
      <c r="HKF44" s="292"/>
      <c r="HKG44" s="292"/>
      <c r="HKH44" s="292"/>
      <c r="HKI44" s="292"/>
      <c r="HKJ44" s="292"/>
      <c r="HKK44" s="292"/>
      <c r="HKL44" s="292"/>
      <c r="HKM44" s="292"/>
      <c r="HKN44" s="292"/>
      <c r="HKO44" s="292"/>
      <c r="HKP44" s="292"/>
      <c r="HKQ44" s="292"/>
      <c r="HKR44" s="292"/>
      <c r="HKS44" s="292"/>
      <c r="HKT44" s="292"/>
      <c r="HKU44" s="292"/>
      <c r="HKV44" s="292"/>
      <c r="HKW44" s="292"/>
      <c r="HKX44" s="292"/>
      <c r="HKY44" s="292"/>
      <c r="HKZ44" s="292"/>
      <c r="HLA44" s="292"/>
      <c r="HLB44" s="292"/>
      <c r="HLC44" s="292"/>
      <c r="HLD44" s="292"/>
      <c r="HLE44" s="292"/>
      <c r="HLF44" s="292"/>
      <c r="HLG44" s="292"/>
      <c r="HLH44" s="292"/>
      <c r="HLI44" s="292"/>
      <c r="HLJ44" s="292"/>
      <c r="HLK44" s="292"/>
      <c r="HLL44" s="292"/>
      <c r="HLM44" s="292"/>
      <c r="HLN44" s="292"/>
      <c r="HLO44" s="292"/>
      <c r="HLP44" s="292"/>
      <c r="HLQ44" s="292"/>
      <c r="HLR44" s="292"/>
      <c r="HLS44" s="292"/>
      <c r="HLT44" s="292"/>
      <c r="HLU44" s="292"/>
      <c r="HLV44" s="292"/>
      <c r="HLW44" s="292"/>
      <c r="HLX44" s="292"/>
      <c r="HLY44" s="292"/>
      <c r="HLZ44" s="292"/>
      <c r="HMA44" s="292"/>
      <c r="HMB44" s="292"/>
      <c r="HMC44" s="292"/>
      <c r="HMD44" s="292"/>
      <c r="HME44" s="292"/>
      <c r="HMF44" s="292"/>
      <c r="HMG44" s="292"/>
      <c r="HMH44" s="292"/>
      <c r="HMI44" s="292"/>
      <c r="HMJ44" s="292"/>
      <c r="HMK44" s="292"/>
      <c r="HML44" s="292"/>
      <c r="HMM44" s="292"/>
      <c r="HMN44" s="292"/>
      <c r="HMO44" s="292"/>
      <c r="HMP44" s="292"/>
      <c r="HMQ44" s="292"/>
      <c r="HMR44" s="292"/>
      <c r="HMS44" s="292"/>
      <c r="HMT44" s="292"/>
      <c r="HMU44" s="292"/>
      <c r="HMV44" s="292"/>
      <c r="HMW44" s="292"/>
      <c r="HMX44" s="292"/>
      <c r="HMY44" s="292"/>
      <c r="HMZ44" s="292"/>
      <c r="HNA44" s="292"/>
      <c r="HNB44" s="292"/>
      <c r="HNC44" s="292"/>
      <c r="HND44" s="292"/>
      <c r="HNE44" s="292"/>
      <c r="HNF44" s="292"/>
      <c r="HNG44" s="292"/>
      <c r="HNH44" s="292"/>
      <c r="HNI44" s="292"/>
      <c r="HNJ44" s="292"/>
      <c r="HNK44" s="292"/>
      <c r="HNL44" s="292"/>
      <c r="HNM44" s="292"/>
      <c r="HNN44" s="292"/>
      <c r="HNO44" s="292"/>
      <c r="HNP44" s="292"/>
      <c r="HNQ44" s="292"/>
      <c r="HNR44" s="292"/>
      <c r="HNS44" s="292"/>
      <c r="HNT44" s="292"/>
      <c r="HNU44" s="292"/>
      <c r="HNV44" s="292"/>
      <c r="HNW44" s="292"/>
      <c r="HNX44" s="292"/>
      <c r="HNY44" s="292"/>
      <c r="HNZ44" s="292"/>
      <c r="HOA44" s="292"/>
      <c r="HOB44" s="292"/>
      <c r="HOC44" s="292"/>
      <c r="HOD44" s="292"/>
      <c r="HOE44" s="292"/>
      <c r="HOF44" s="292"/>
      <c r="HOG44" s="292"/>
      <c r="HOH44" s="292"/>
      <c r="HOI44" s="292"/>
      <c r="HOJ44" s="292"/>
      <c r="HOK44" s="292"/>
      <c r="HOL44" s="292"/>
      <c r="HOM44" s="292"/>
      <c r="HON44" s="292"/>
      <c r="HOO44" s="292"/>
      <c r="HOP44" s="292"/>
      <c r="HOQ44" s="292"/>
      <c r="HOR44" s="292"/>
      <c r="HOS44" s="292"/>
      <c r="HOT44" s="292"/>
      <c r="HOU44" s="292"/>
      <c r="HOV44" s="292"/>
      <c r="HOW44" s="292"/>
      <c r="HOX44" s="292"/>
      <c r="HOY44" s="292"/>
      <c r="HOZ44" s="292"/>
      <c r="HPA44" s="292"/>
      <c r="HPB44" s="292"/>
      <c r="HPC44" s="292"/>
      <c r="HPD44" s="292"/>
      <c r="HPE44" s="292"/>
      <c r="HPF44" s="292"/>
      <c r="HPG44" s="292"/>
      <c r="HPH44" s="292"/>
      <c r="HPI44" s="292"/>
      <c r="HPJ44" s="292"/>
      <c r="HPK44" s="292"/>
      <c r="HPL44" s="292"/>
      <c r="HPM44" s="292"/>
      <c r="HPN44" s="292"/>
      <c r="HPO44" s="292"/>
      <c r="HPP44" s="292"/>
      <c r="HPQ44" s="292"/>
      <c r="HPR44" s="292"/>
      <c r="HPS44" s="292"/>
      <c r="HPT44" s="292"/>
      <c r="HPU44" s="292"/>
      <c r="HPV44" s="292"/>
      <c r="HPW44" s="292"/>
      <c r="HPX44" s="292"/>
      <c r="HPY44" s="292"/>
      <c r="HPZ44" s="292"/>
      <c r="HQA44" s="292"/>
      <c r="HQB44" s="292"/>
      <c r="HQC44" s="292"/>
      <c r="HQD44" s="292"/>
      <c r="HQE44" s="292"/>
      <c r="HQF44" s="292"/>
      <c r="HQG44" s="292"/>
      <c r="HQH44" s="292"/>
      <c r="HQI44" s="292"/>
      <c r="HQJ44" s="292"/>
      <c r="HQK44" s="292"/>
      <c r="HQL44" s="292"/>
      <c r="HQM44" s="292"/>
      <c r="HQN44" s="292"/>
      <c r="HQO44" s="292"/>
      <c r="HQP44" s="292"/>
      <c r="HQQ44" s="292"/>
      <c r="HQR44" s="292"/>
      <c r="HQS44" s="292"/>
      <c r="HQT44" s="292"/>
      <c r="HQU44" s="292"/>
      <c r="HQV44" s="292"/>
      <c r="HQW44" s="292"/>
      <c r="HQX44" s="292"/>
      <c r="HQY44" s="292"/>
      <c r="HQZ44" s="292"/>
      <c r="HRA44" s="292"/>
      <c r="HRB44" s="292"/>
      <c r="HRC44" s="292"/>
      <c r="HRD44" s="292"/>
      <c r="HRE44" s="292"/>
      <c r="HRF44" s="292"/>
      <c r="HRG44" s="292"/>
      <c r="HRH44" s="292"/>
      <c r="HRI44" s="292"/>
      <c r="HRJ44" s="292"/>
      <c r="HRK44" s="292"/>
      <c r="HRL44" s="292"/>
      <c r="HRM44" s="292"/>
      <c r="HRN44" s="292"/>
      <c r="HRO44" s="292"/>
      <c r="HRP44" s="292"/>
      <c r="HRQ44" s="292"/>
      <c r="HRR44" s="292"/>
      <c r="HRS44" s="292"/>
      <c r="HRT44" s="292"/>
      <c r="HRU44" s="292"/>
      <c r="HRV44" s="292"/>
      <c r="HRW44" s="292"/>
      <c r="HRX44" s="292"/>
      <c r="HRY44" s="292"/>
      <c r="HRZ44" s="292"/>
      <c r="HSA44" s="292"/>
      <c r="HSB44" s="292"/>
      <c r="HSC44" s="292"/>
      <c r="HSD44" s="292"/>
      <c r="HSE44" s="292"/>
      <c r="HSF44" s="292"/>
      <c r="HSG44" s="292"/>
      <c r="HSH44" s="292"/>
      <c r="HSI44" s="292"/>
      <c r="HSJ44" s="292"/>
      <c r="HSK44" s="292"/>
      <c r="HSL44" s="292"/>
      <c r="HSM44" s="292"/>
      <c r="HSN44" s="292"/>
      <c r="HSO44" s="292"/>
      <c r="HSP44" s="292"/>
      <c r="HSQ44" s="292"/>
      <c r="HSR44" s="292"/>
      <c r="HSS44" s="292"/>
      <c r="HST44" s="292"/>
      <c r="HSU44" s="292"/>
      <c r="HSV44" s="292"/>
      <c r="HSW44" s="292"/>
      <c r="HSX44" s="292"/>
      <c r="HSY44" s="292"/>
      <c r="HSZ44" s="292"/>
      <c r="HTA44" s="292"/>
      <c r="HTB44" s="292"/>
      <c r="HTC44" s="292"/>
      <c r="HTD44" s="292"/>
      <c r="HTE44" s="292"/>
      <c r="HTF44" s="292"/>
      <c r="HTG44" s="292"/>
      <c r="HTH44" s="292"/>
      <c r="HTI44" s="292"/>
      <c r="HTJ44" s="292"/>
      <c r="HTK44" s="292"/>
      <c r="HTL44" s="292"/>
      <c r="HTM44" s="292"/>
      <c r="HTN44" s="292"/>
      <c r="HTO44" s="292"/>
      <c r="HTP44" s="292"/>
      <c r="HTQ44" s="292"/>
      <c r="HTR44" s="292"/>
      <c r="HTS44" s="292"/>
      <c r="HTT44" s="292"/>
      <c r="HTU44" s="292"/>
      <c r="HTV44" s="292"/>
      <c r="HTW44" s="292"/>
      <c r="HTX44" s="292"/>
      <c r="HTY44" s="292"/>
      <c r="HTZ44" s="292"/>
      <c r="HUA44" s="292"/>
      <c r="HUB44" s="292"/>
      <c r="HUC44" s="292"/>
      <c r="HUD44" s="292"/>
      <c r="HUE44" s="292"/>
      <c r="HUF44" s="292"/>
      <c r="HUG44" s="292"/>
      <c r="HUH44" s="292"/>
      <c r="HUI44" s="292"/>
      <c r="HUJ44" s="292"/>
      <c r="HUK44" s="292"/>
      <c r="HUL44" s="292"/>
      <c r="HUM44" s="292"/>
      <c r="HUN44" s="292"/>
      <c r="HUO44" s="292"/>
      <c r="HUP44" s="292"/>
      <c r="HUQ44" s="292"/>
      <c r="HUR44" s="292"/>
      <c r="HUS44" s="292"/>
      <c r="HUT44" s="292"/>
      <c r="HUU44" s="292"/>
      <c r="HUV44" s="292"/>
      <c r="HUW44" s="292"/>
      <c r="HUX44" s="292"/>
      <c r="HUY44" s="292"/>
      <c r="HUZ44" s="292"/>
      <c r="HVA44" s="292"/>
      <c r="HVB44" s="292"/>
      <c r="HVC44" s="292"/>
      <c r="HVD44" s="292"/>
      <c r="HVE44" s="292"/>
      <c r="HVF44" s="292"/>
      <c r="HVG44" s="292"/>
      <c r="HVH44" s="292"/>
      <c r="HVI44" s="292"/>
      <c r="HVJ44" s="292"/>
      <c r="HVK44" s="292"/>
      <c r="HVL44" s="292"/>
      <c r="HVM44" s="292"/>
      <c r="HVN44" s="292"/>
      <c r="HVO44" s="292"/>
      <c r="HVP44" s="292"/>
      <c r="HVQ44" s="292"/>
      <c r="HVR44" s="292"/>
      <c r="HVS44" s="292"/>
      <c r="HVT44" s="292"/>
      <c r="HVU44" s="292"/>
      <c r="HVV44" s="292"/>
      <c r="HVW44" s="292"/>
      <c r="HVX44" s="292"/>
      <c r="HVY44" s="292"/>
      <c r="HVZ44" s="292"/>
      <c r="HWA44" s="292"/>
      <c r="HWB44" s="292"/>
      <c r="HWC44" s="292"/>
      <c r="HWD44" s="292"/>
      <c r="HWE44" s="292"/>
      <c r="HWF44" s="292"/>
      <c r="HWG44" s="292"/>
      <c r="HWH44" s="292"/>
      <c r="HWI44" s="292"/>
      <c r="HWJ44" s="292"/>
      <c r="HWK44" s="292"/>
      <c r="HWL44" s="292"/>
      <c r="HWM44" s="292"/>
      <c r="HWN44" s="292"/>
      <c r="HWO44" s="292"/>
      <c r="HWP44" s="292"/>
      <c r="HWQ44" s="292"/>
      <c r="HWR44" s="292"/>
      <c r="HWS44" s="292"/>
      <c r="HWT44" s="292"/>
      <c r="HWU44" s="292"/>
      <c r="HWV44" s="292"/>
      <c r="HWW44" s="292"/>
      <c r="HWX44" s="292"/>
      <c r="HWY44" s="292"/>
      <c r="HWZ44" s="292"/>
      <c r="HXA44" s="292"/>
      <c r="HXB44" s="292"/>
      <c r="HXC44" s="292"/>
      <c r="HXD44" s="292"/>
      <c r="HXE44" s="292"/>
      <c r="HXF44" s="292"/>
      <c r="HXG44" s="292"/>
      <c r="HXH44" s="292"/>
      <c r="HXI44" s="292"/>
      <c r="HXJ44" s="292"/>
      <c r="HXK44" s="292"/>
      <c r="HXL44" s="292"/>
      <c r="HXM44" s="292"/>
      <c r="HXN44" s="292"/>
      <c r="HXO44" s="292"/>
      <c r="HXP44" s="292"/>
      <c r="HXQ44" s="292"/>
      <c r="HXR44" s="292"/>
      <c r="HXS44" s="292"/>
      <c r="HXT44" s="292"/>
      <c r="HXU44" s="292"/>
      <c r="HXV44" s="292"/>
      <c r="HXW44" s="292"/>
      <c r="HXX44" s="292"/>
      <c r="HXY44" s="292"/>
      <c r="HXZ44" s="292"/>
      <c r="HYA44" s="292"/>
      <c r="HYB44" s="292"/>
      <c r="HYC44" s="292"/>
      <c r="HYD44" s="292"/>
      <c r="HYE44" s="292"/>
      <c r="HYF44" s="292"/>
      <c r="HYG44" s="292"/>
      <c r="HYH44" s="292"/>
      <c r="HYI44" s="292"/>
      <c r="HYJ44" s="292"/>
      <c r="HYK44" s="292"/>
      <c r="HYL44" s="292"/>
      <c r="HYM44" s="292"/>
      <c r="HYN44" s="292"/>
      <c r="HYO44" s="292"/>
      <c r="HYP44" s="292"/>
      <c r="HYQ44" s="292"/>
      <c r="HYR44" s="292"/>
      <c r="HYS44" s="292"/>
      <c r="HYT44" s="292"/>
      <c r="HYU44" s="292"/>
      <c r="HYV44" s="292"/>
      <c r="HYW44" s="292"/>
      <c r="HYX44" s="292"/>
      <c r="HYY44" s="292"/>
      <c r="HYZ44" s="292"/>
      <c r="HZA44" s="292"/>
      <c r="HZB44" s="292"/>
      <c r="HZC44" s="292"/>
      <c r="HZD44" s="292"/>
      <c r="HZE44" s="292"/>
      <c r="HZF44" s="292"/>
      <c r="HZG44" s="292"/>
      <c r="HZH44" s="292"/>
      <c r="HZI44" s="292"/>
      <c r="HZJ44" s="292"/>
      <c r="HZK44" s="292"/>
      <c r="HZL44" s="292"/>
      <c r="HZM44" s="292"/>
      <c r="HZN44" s="292"/>
      <c r="HZO44" s="292"/>
      <c r="HZP44" s="292"/>
      <c r="HZQ44" s="292"/>
      <c r="HZR44" s="292"/>
      <c r="HZS44" s="292"/>
      <c r="HZT44" s="292"/>
      <c r="HZU44" s="292"/>
      <c r="HZV44" s="292"/>
      <c r="HZW44" s="292"/>
      <c r="HZX44" s="292"/>
      <c r="HZY44" s="292"/>
      <c r="HZZ44" s="292"/>
      <c r="IAA44" s="292"/>
      <c r="IAB44" s="292"/>
      <c r="IAC44" s="292"/>
      <c r="IAD44" s="292"/>
      <c r="IAE44" s="292"/>
      <c r="IAF44" s="292"/>
      <c r="IAG44" s="292"/>
      <c r="IAH44" s="292"/>
      <c r="IAI44" s="292"/>
      <c r="IAJ44" s="292"/>
      <c r="IAK44" s="292"/>
      <c r="IAL44" s="292"/>
      <c r="IAM44" s="292"/>
      <c r="IAN44" s="292"/>
      <c r="IAO44" s="292"/>
      <c r="IAP44" s="292"/>
      <c r="IAQ44" s="292"/>
      <c r="IAR44" s="292"/>
      <c r="IAS44" s="292"/>
      <c r="IAT44" s="292"/>
      <c r="IAU44" s="292"/>
      <c r="IAV44" s="292"/>
      <c r="IAW44" s="292"/>
      <c r="IAX44" s="292"/>
      <c r="IAY44" s="292"/>
      <c r="IAZ44" s="292"/>
      <c r="IBA44" s="292"/>
      <c r="IBB44" s="292"/>
      <c r="IBC44" s="292"/>
      <c r="IBD44" s="292"/>
      <c r="IBE44" s="292"/>
      <c r="IBF44" s="292"/>
      <c r="IBG44" s="292"/>
      <c r="IBH44" s="292"/>
      <c r="IBI44" s="292"/>
      <c r="IBJ44" s="292"/>
      <c r="IBK44" s="292"/>
      <c r="IBL44" s="292"/>
      <c r="IBM44" s="292"/>
      <c r="IBN44" s="292"/>
      <c r="IBO44" s="292"/>
      <c r="IBP44" s="292"/>
      <c r="IBQ44" s="292"/>
      <c r="IBR44" s="292"/>
      <c r="IBS44" s="292"/>
      <c r="IBT44" s="292"/>
      <c r="IBU44" s="292"/>
      <c r="IBV44" s="292"/>
      <c r="IBW44" s="292"/>
      <c r="IBX44" s="292"/>
      <c r="IBY44" s="292"/>
      <c r="IBZ44" s="292"/>
      <c r="ICA44" s="292"/>
      <c r="ICB44" s="292"/>
      <c r="ICC44" s="292"/>
      <c r="ICD44" s="292"/>
      <c r="ICE44" s="292"/>
      <c r="ICF44" s="292"/>
      <c r="ICG44" s="292"/>
      <c r="ICH44" s="292"/>
      <c r="ICI44" s="292"/>
      <c r="ICJ44" s="292"/>
      <c r="ICK44" s="292"/>
      <c r="ICL44" s="292"/>
      <c r="ICM44" s="292"/>
      <c r="ICN44" s="292"/>
      <c r="ICO44" s="292"/>
      <c r="ICP44" s="292"/>
      <c r="ICQ44" s="292"/>
      <c r="ICR44" s="292"/>
      <c r="ICS44" s="292"/>
      <c r="ICT44" s="292"/>
      <c r="ICU44" s="292"/>
      <c r="ICV44" s="292"/>
      <c r="ICW44" s="292"/>
      <c r="ICX44" s="292"/>
      <c r="ICY44" s="292"/>
      <c r="ICZ44" s="292"/>
      <c r="IDA44" s="292"/>
      <c r="IDB44" s="292"/>
      <c r="IDC44" s="292"/>
      <c r="IDD44" s="292"/>
      <c r="IDE44" s="292"/>
      <c r="IDF44" s="292"/>
      <c r="IDG44" s="292"/>
      <c r="IDH44" s="292"/>
      <c r="IDI44" s="292"/>
      <c r="IDJ44" s="292"/>
      <c r="IDK44" s="292"/>
      <c r="IDL44" s="292"/>
      <c r="IDM44" s="292"/>
      <c r="IDN44" s="292"/>
      <c r="IDO44" s="292"/>
      <c r="IDP44" s="292"/>
      <c r="IDQ44" s="292"/>
      <c r="IDR44" s="292"/>
      <c r="IDS44" s="292"/>
      <c r="IDT44" s="292"/>
      <c r="IDU44" s="292"/>
      <c r="IDV44" s="292"/>
      <c r="IDW44" s="292"/>
      <c r="IDX44" s="292"/>
      <c r="IDY44" s="292"/>
      <c r="IDZ44" s="292"/>
      <c r="IEA44" s="292"/>
      <c r="IEB44" s="292"/>
      <c r="IEC44" s="292"/>
      <c r="IED44" s="292"/>
      <c r="IEE44" s="292"/>
      <c r="IEF44" s="292"/>
      <c r="IEG44" s="292"/>
      <c r="IEH44" s="292"/>
      <c r="IEI44" s="292"/>
      <c r="IEJ44" s="292"/>
      <c r="IEK44" s="292"/>
      <c r="IEL44" s="292"/>
      <c r="IEM44" s="292"/>
      <c r="IEN44" s="292"/>
      <c r="IEO44" s="292"/>
      <c r="IEP44" s="292"/>
      <c r="IEQ44" s="292"/>
      <c r="IER44" s="292"/>
      <c r="IES44" s="292"/>
      <c r="IET44" s="292"/>
      <c r="IEU44" s="292"/>
      <c r="IEV44" s="292"/>
      <c r="IEW44" s="292"/>
      <c r="IEX44" s="292"/>
      <c r="IEY44" s="292"/>
      <c r="IEZ44" s="292"/>
      <c r="IFA44" s="292"/>
      <c r="IFB44" s="292"/>
      <c r="IFC44" s="292"/>
      <c r="IFD44" s="292"/>
      <c r="IFE44" s="292"/>
      <c r="IFF44" s="292"/>
      <c r="IFG44" s="292"/>
      <c r="IFH44" s="292"/>
      <c r="IFI44" s="292"/>
      <c r="IFJ44" s="292"/>
      <c r="IFK44" s="292"/>
      <c r="IFL44" s="292"/>
      <c r="IFM44" s="292"/>
      <c r="IFN44" s="292"/>
      <c r="IFO44" s="292"/>
      <c r="IFP44" s="292"/>
      <c r="IFQ44" s="292"/>
      <c r="IFR44" s="292"/>
      <c r="IFS44" s="292"/>
      <c r="IFT44" s="292"/>
      <c r="IFU44" s="292"/>
      <c r="IFV44" s="292"/>
      <c r="IFW44" s="292"/>
      <c r="IFX44" s="292"/>
      <c r="IFY44" s="292"/>
      <c r="IFZ44" s="292"/>
      <c r="IGA44" s="292"/>
      <c r="IGB44" s="292"/>
      <c r="IGC44" s="292"/>
      <c r="IGD44" s="292"/>
      <c r="IGE44" s="292"/>
      <c r="IGF44" s="292"/>
      <c r="IGG44" s="292"/>
      <c r="IGH44" s="292"/>
      <c r="IGI44" s="292"/>
      <c r="IGJ44" s="292"/>
      <c r="IGK44" s="292"/>
      <c r="IGL44" s="292"/>
      <c r="IGM44" s="292"/>
      <c r="IGN44" s="292"/>
      <c r="IGO44" s="292"/>
      <c r="IGP44" s="292"/>
      <c r="IGQ44" s="292"/>
      <c r="IGR44" s="292"/>
      <c r="IGS44" s="292"/>
      <c r="IGT44" s="292"/>
      <c r="IGU44" s="292"/>
      <c r="IGV44" s="292"/>
      <c r="IGW44" s="292"/>
      <c r="IGX44" s="292"/>
      <c r="IGY44" s="292"/>
      <c r="IGZ44" s="292"/>
      <c r="IHA44" s="292"/>
      <c r="IHB44" s="292"/>
      <c r="IHC44" s="292"/>
      <c r="IHD44" s="292"/>
      <c r="IHE44" s="292"/>
      <c r="IHF44" s="292"/>
      <c r="IHG44" s="292"/>
      <c r="IHH44" s="292"/>
      <c r="IHI44" s="292"/>
      <c r="IHJ44" s="292"/>
      <c r="IHK44" s="292"/>
      <c r="IHL44" s="292"/>
      <c r="IHM44" s="292"/>
      <c r="IHN44" s="292"/>
      <c r="IHO44" s="292"/>
      <c r="IHP44" s="292"/>
      <c r="IHQ44" s="292"/>
      <c r="IHR44" s="292"/>
      <c r="IHS44" s="292"/>
      <c r="IHT44" s="292"/>
      <c r="IHU44" s="292"/>
      <c r="IHV44" s="292"/>
      <c r="IHW44" s="292"/>
      <c r="IHX44" s="292"/>
      <c r="IHY44" s="292"/>
      <c r="IHZ44" s="292"/>
      <c r="IIA44" s="292"/>
      <c r="IIB44" s="292"/>
      <c r="IIC44" s="292"/>
      <c r="IID44" s="292"/>
      <c r="IIE44" s="292"/>
      <c r="IIF44" s="292"/>
      <c r="IIG44" s="292"/>
      <c r="IIH44" s="292"/>
      <c r="III44" s="292"/>
      <c r="IIJ44" s="292"/>
      <c r="IIK44" s="292"/>
      <c r="IIL44" s="292"/>
      <c r="IIM44" s="292"/>
      <c r="IIN44" s="292"/>
      <c r="IIO44" s="292"/>
      <c r="IIP44" s="292"/>
      <c r="IIQ44" s="292"/>
      <c r="IIR44" s="292"/>
      <c r="IIS44" s="292"/>
      <c r="IIT44" s="292"/>
      <c r="IIU44" s="292"/>
      <c r="IIV44" s="292"/>
      <c r="IIW44" s="292"/>
      <c r="IIX44" s="292"/>
      <c r="IIY44" s="292"/>
      <c r="IIZ44" s="292"/>
      <c r="IJA44" s="292"/>
      <c r="IJB44" s="292"/>
      <c r="IJC44" s="292"/>
      <c r="IJD44" s="292"/>
      <c r="IJE44" s="292"/>
      <c r="IJF44" s="292"/>
      <c r="IJG44" s="292"/>
      <c r="IJH44" s="292"/>
      <c r="IJI44" s="292"/>
      <c r="IJJ44" s="292"/>
      <c r="IJK44" s="292"/>
      <c r="IJL44" s="292"/>
      <c r="IJM44" s="292"/>
      <c r="IJN44" s="292"/>
      <c r="IJO44" s="292"/>
      <c r="IJP44" s="292"/>
      <c r="IJQ44" s="292"/>
      <c r="IJR44" s="292"/>
      <c r="IJS44" s="292"/>
      <c r="IJT44" s="292"/>
      <c r="IJU44" s="292"/>
      <c r="IJV44" s="292"/>
      <c r="IJW44" s="292"/>
      <c r="IJX44" s="292"/>
      <c r="IJY44" s="292"/>
      <c r="IJZ44" s="292"/>
      <c r="IKA44" s="292"/>
      <c r="IKB44" s="292"/>
      <c r="IKC44" s="292"/>
      <c r="IKD44" s="292"/>
      <c r="IKE44" s="292"/>
      <c r="IKF44" s="292"/>
      <c r="IKG44" s="292"/>
      <c r="IKH44" s="292"/>
      <c r="IKI44" s="292"/>
      <c r="IKJ44" s="292"/>
      <c r="IKK44" s="292"/>
      <c r="IKL44" s="292"/>
      <c r="IKM44" s="292"/>
      <c r="IKN44" s="292"/>
      <c r="IKO44" s="292"/>
      <c r="IKP44" s="292"/>
      <c r="IKQ44" s="292"/>
      <c r="IKR44" s="292"/>
      <c r="IKS44" s="292"/>
      <c r="IKT44" s="292"/>
      <c r="IKU44" s="292"/>
      <c r="IKV44" s="292"/>
      <c r="IKW44" s="292"/>
      <c r="IKX44" s="292"/>
      <c r="IKY44" s="292"/>
      <c r="IKZ44" s="292"/>
      <c r="ILA44" s="292"/>
      <c r="ILB44" s="292"/>
      <c r="ILC44" s="292"/>
      <c r="ILD44" s="292"/>
      <c r="ILE44" s="292"/>
      <c r="ILF44" s="292"/>
      <c r="ILG44" s="292"/>
      <c r="ILH44" s="292"/>
      <c r="ILI44" s="292"/>
      <c r="ILJ44" s="292"/>
      <c r="ILK44" s="292"/>
      <c r="ILL44" s="292"/>
      <c r="ILM44" s="292"/>
      <c r="ILN44" s="292"/>
      <c r="ILO44" s="292"/>
      <c r="ILP44" s="292"/>
      <c r="ILQ44" s="292"/>
      <c r="ILR44" s="292"/>
      <c r="ILS44" s="292"/>
      <c r="ILT44" s="292"/>
      <c r="ILU44" s="292"/>
      <c r="ILV44" s="292"/>
      <c r="ILW44" s="292"/>
      <c r="ILX44" s="292"/>
      <c r="ILY44" s="292"/>
      <c r="ILZ44" s="292"/>
      <c r="IMA44" s="292"/>
      <c r="IMB44" s="292"/>
      <c r="IMC44" s="292"/>
      <c r="IMD44" s="292"/>
      <c r="IME44" s="292"/>
      <c r="IMF44" s="292"/>
      <c r="IMG44" s="292"/>
      <c r="IMH44" s="292"/>
      <c r="IMI44" s="292"/>
      <c r="IMJ44" s="292"/>
      <c r="IMK44" s="292"/>
      <c r="IML44" s="292"/>
      <c r="IMM44" s="292"/>
      <c r="IMN44" s="292"/>
      <c r="IMO44" s="292"/>
      <c r="IMP44" s="292"/>
      <c r="IMQ44" s="292"/>
      <c r="IMR44" s="292"/>
      <c r="IMS44" s="292"/>
      <c r="IMT44" s="292"/>
      <c r="IMU44" s="292"/>
      <c r="IMV44" s="292"/>
      <c r="IMW44" s="292"/>
      <c r="IMX44" s="292"/>
      <c r="IMY44" s="292"/>
      <c r="IMZ44" s="292"/>
      <c r="INA44" s="292"/>
      <c r="INB44" s="292"/>
      <c r="INC44" s="292"/>
      <c r="IND44" s="292"/>
      <c r="INE44" s="292"/>
      <c r="INF44" s="292"/>
      <c r="ING44" s="292"/>
      <c r="INH44" s="292"/>
      <c r="INI44" s="292"/>
      <c r="INJ44" s="292"/>
      <c r="INK44" s="292"/>
      <c r="INL44" s="292"/>
      <c r="INM44" s="292"/>
      <c r="INN44" s="292"/>
      <c r="INO44" s="292"/>
      <c r="INP44" s="292"/>
      <c r="INQ44" s="292"/>
      <c r="INR44" s="292"/>
      <c r="INS44" s="292"/>
      <c r="INT44" s="292"/>
      <c r="INU44" s="292"/>
      <c r="INV44" s="292"/>
      <c r="INW44" s="292"/>
      <c r="INX44" s="292"/>
      <c r="INY44" s="292"/>
      <c r="INZ44" s="292"/>
      <c r="IOA44" s="292"/>
      <c r="IOB44" s="292"/>
      <c r="IOC44" s="292"/>
      <c r="IOD44" s="292"/>
      <c r="IOE44" s="292"/>
      <c r="IOF44" s="292"/>
      <c r="IOG44" s="292"/>
      <c r="IOH44" s="292"/>
      <c r="IOI44" s="292"/>
      <c r="IOJ44" s="292"/>
      <c r="IOK44" s="292"/>
      <c r="IOL44" s="292"/>
      <c r="IOM44" s="292"/>
      <c r="ION44" s="292"/>
      <c r="IOO44" s="292"/>
      <c r="IOP44" s="292"/>
      <c r="IOQ44" s="292"/>
      <c r="IOR44" s="292"/>
      <c r="IOS44" s="292"/>
      <c r="IOT44" s="292"/>
      <c r="IOU44" s="292"/>
      <c r="IOV44" s="292"/>
      <c r="IOW44" s="292"/>
      <c r="IOX44" s="292"/>
      <c r="IOY44" s="292"/>
      <c r="IOZ44" s="292"/>
      <c r="IPA44" s="292"/>
      <c r="IPB44" s="292"/>
      <c r="IPC44" s="292"/>
      <c r="IPD44" s="292"/>
      <c r="IPE44" s="292"/>
      <c r="IPF44" s="292"/>
      <c r="IPG44" s="292"/>
      <c r="IPH44" s="292"/>
      <c r="IPI44" s="292"/>
      <c r="IPJ44" s="292"/>
      <c r="IPK44" s="292"/>
      <c r="IPL44" s="292"/>
      <c r="IPM44" s="292"/>
      <c r="IPN44" s="292"/>
      <c r="IPO44" s="292"/>
      <c r="IPP44" s="292"/>
      <c r="IPQ44" s="292"/>
      <c r="IPR44" s="292"/>
      <c r="IPS44" s="292"/>
      <c r="IPT44" s="292"/>
      <c r="IPU44" s="292"/>
      <c r="IPV44" s="292"/>
      <c r="IPW44" s="292"/>
      <c r="IPX44" s="292"/>
      <c r="IPY44" s="292"/>
      <c r="IPZ44" s="292"/>
      <c r="IQA44" s="292"/>
      <c r="IQB44" s="292"/>
      <c r="IQC44" s="292"/>
      <c r="IQD44" s="292"/>
      <c r="IQE44" s="292"/>
      <c r="IQF44" s="292"/>
      <c r="IQG44" s="292"/>
      <c r="IQH44" s="292"/>
      <c r="IQI44" s="292"/>
      <c r="IQJ44" s="292"/>
      <c r="IQK44" s="292"/>
      <c r="IQL44" s="292"/>
      <c r="IQM44" s="292"/>
      <c r="IQN44" s="292"/>
      <c r="IQO44" s="292"/>
      <c r="IQP44" s="292"/>
      <c r="IQQ44" s="292"/>
      <c r="IQR44" s="292"/>
      <c r="IQS44" s="292"/>
      <c r="IQT44" s="292"/>
      <c r="IQU44" s="292"/>
      <c r="IQV44" s="292"/>
      <c r="IQW44" s="292"/>
      <c r="IQX44" s="292"/>
      <c r="IQY44" s="292"/>
      <c r="IQZ44" s="292"/>
      <c r="IRA44" s="292"/>
      <c r="IRB44" s="292"/>
      <c r="IRC44" s="292"/>
      <c r="IRD44" s="292"/>
      <c r="IRE44" s="292"/>
      <c r="IRF44" s="292"/>
      <c r="IRG44" s="292"/>
      <c r="IRH44" s="292"/>
      <c r="IRI44" s="292"/>
      <c r="IRJ44" s="292"/>
      <c r="IRK44" s="292"/>
      <c r="IRL44" s="292"/>
      <c r="IRM44" s="292"/>
      <c r="IRN44" s="292"/>
      <c r="IRO44" s="292"/>
      <c r="IRP44" s="292"/>
      <c r="IRQ44" s="292"/>
      <c r="IRR44" s="292"/>
      <c r="IRS44" s="292"/>
      <c r="IRT44" s="292"/>
      <c r="IRU44" s="292"/>
      <c r="IRV44" s="292"/>
      <c r="IRW44" s="292"/>
      <c r="IRX44" s="292"/>
      <c r="IRY44" s="292"/>
      <c r="IRZ44" s="292"/>
      <c r="ISA44" s="292"/>
      <c r="ISB44" s="292"/>
      <c r="ISC44" s="292"/>
      <c r="ISD44" s="292"/>
      <c r="ISE44" s="292"/>
      <c r="ISF44" s="292"/>
      <c r="ISG44" s="292"/>
      <c r="ISH44" s="292"/>
      <c r="ISI44" s="292"/>
      <c r="ISJ44" s="292"/>
      <c r="ISK44" s="292"/>
      <c r="ISL44" s="292"/>
      <c r="ISM44" s="292"/>
      <c r="ISN44" s="292"/>
      <c r="ISO44" s="292"/>
      <c r="ISP44" s="292"/>
      <c r="ISQ44" s="292"/>
      <c r="ISR44" s="292"/>
      <c r="ISS44" s="292"/>
      <c r="IST44" s="292"/>
      <c r="ISU44" s="292"/>
      <c r="ISV44" s="292"/>
      <c r="ISW44" s="292"/>
      <c r="ISX44" s="292"/>
      <c r="ISY44" s="292"/>
      <c r="ISZ44" s="292"/>
      <c r="ITA44" s="292"/>
      <c r="ITB44" s="292"/>
      <c r="ITC44" s="292"/>
      <c r="ITD44" s="292"/>
      <c r="ITE44" s="292"/>
      <c r="ITF44" s="292"/>
      <c r="ITG44" s="292"/>
      <c r="ITH44" s="292"/>
      <c r="ITI44" s="292"/>
      <c r="ITJ44" s="292"/>
      <c r="ITK44" s="292"/>
      <c r="ITL44" s="292"/>
      <c r="ITM44" s="292"/>
      <c r="ITN44" s="292"/>
      <c r="ITO44" s="292"/>
      <c r="ITP44" s="292"/>
      <c r="ITQ44" s="292"/>
      <c r="ITR44" s="292"/>
      <c r="ITS44" s="292"/>
      <c r="ITT44" s="292"/>
      <c r="ITU44" s="292"/>
      <c r="ITV44" s="292"/>
      <c r="ITW44" s="292"/>
      <c r="ITX44" s="292"/>
      <c r="ITY44" s="292"/>
      <c r="ITZ44" s="292"/>
      <c r="IUA44" s="292"/>
      <c r="IUB44" s="292"/>
      <c r="IUC44" s="292"/>
      <c r="IUD44" s="292"/>
      <c r="IUE44" s="292"/>
      <c r="IUF44" s="292"/>
      <c r="IUG44" s="292"/>
      <c r="IUH44" s="292"/>
      <c r="IUI44" s="292"/>
      <c r="IUJ44" s="292"/>
      <c r="IUK44" s="292"/>
      <c r="IUL44" s="292"/>
      <c r="IUM44" s="292"/>
      <c r="IUN44" s="292"/>
      <c r="IUO44" s="292"/>
      <c r="IUP44" s="292"/>
      <c r="IUQ44" s="292"/>
      <c r="IUR44" s="292"/>
      <c r="IUS44" s="292"/>
      <c r="IUT44" s="292"/>
      <c r="IUU44" s="292"/>
      <c r="IUV44" s="292"/>
      <c r="IUW44" s="292"/>
      <c r="IUX44" s="292"/>
      <c r="IUY44" s="292"/>
      <c r="IUZ44" s="292"/>
      <c r="IVA44" s="292"/>
      <c r="IVB44" s="292"/>
      <c r="IVC44" s="292"/>
      <c r="IVD44" s="292"/>
      <c r="IVE44" s="292"/>
      <c r="IVF44" s="292"/>
      <c r="IVG44" s="292"/>
      <c r="IVH44" s="292"/>
      <c r="IVI44" s="292"/>
      <c r="IVJ44" s="292"/>
      <c r="IVK44" s="292"/>
      <c r="IVL44" s="292"/>
      <c r="IVM44" s="292"/>
      <c r="IVN44" s="292"/>
      <c r="IVO44" s="292"/>
      <c r="IVP44" s="292"/>
      <c r="IVQ44" s="292"/>
      <c r="IVR44" s="292"/>
      <c r="IVS44" s="292"/>
      <c r="IVT44" s="292"/>
      <c r="IVU44" s="292"/>
      <c r="IVV44" s="292"/>
      <c r="IVW44" s="292"/>
      <c r="IVX44" s="292"/>
      <c r="IVY44" s="292"/>
      <c r="IVZ44" s="292"/>
      <c r="IWA44" s="292"/>
      <c r="IWB44" s="292"/>
      <c r="IWC44" s="292"/>
      <c r="IWD44" s="292"/>
      <c r="IWE44" s="292"/>
      <c r="IWF44" s="292"/>
      <c r="IWG44" s="292"/>
      <c r="IWH44" s="292"/>
      <c r="IWI44" s="292"/>
      <c r="IWJ44" s="292"/>
      <c r="IWK44" s="292"/>
      <c r="IWL44" s="292"/>
      <c r="IWM44" s="292"/>
      <c r="IWN44" s="292"/>
      <c r="IWO44" s="292"/>
      <c r="IWP44" s="292"/>
      <c r="IWQ44" s="292"/>
      <c r="IWR44" s="292"/>
      <c r="IWS44" s="292"/>
      <c r="IWT44" s="292"/>
      <c r="IWU44" s="292"/>
      <c r="IWV44" s="292"/>
      <c r="IWW44" s="292"/>
      <c r="IWX44" s="292"/>
      <c r="IWY44" s="292"/>
      <c r="IWZ44" s="292"/>
      <c r="IXA44" s="292"/>
      <c r="IXB44" s="292"/>
      <c r="IXC44" s="292"/>
      <c r="IXD44" s="292"/>
      <c r="IXE44" s="292"/>
      <c r="IXF44" s="292"/>
      <c r="IXG44" s="292"/>
      <c r="IXH44" s="292"/>
      <c r="IXI44" s="292"/>
      <c r="IXJ44" s="292"/>
      <c r="IXK44" s="292"/>
      <c r="IXL44" s="292"/>
      <c r="IXM44" s="292"/>
      <c r="IXN44" s="292"/>
      <c r="IXO44" s="292"/>
      <c r="IXP44" s="292"/>
      <c r="IXQ44" s="292"/>
      <c r="IXR44" s="292"/>
      <c r="IXS44" s="292"/>
      <c r="IXT44" s="292"/>
      <c r="IXU44" s="292"/>
      <c r="IXV44" s="292"/>
      <c r="IXW44" s="292"/>
      <c r="IXX44" s="292"/>
      <c r="IXY44" s="292"/>
      <c r="IXZ44" s="292"/>
      <c r="IYA44" s="292"/>
      <c r="IYB44" s="292"/>
      <c r="IYC44" s="292"/>
      <c r="IYD44" s="292"/>
      <c r="IYE44" s="292"/>
      <c r="IYF44" s="292"/>
      <c r="IYG44" s="292"/>
      <c r="IYH44" s="292"/>
      <c r="IYI44" s="292"/>
      <c r="IYJ44" s="292"/>
      <c r="IYK44" s="292"/>
      <c r="IYL44" s="292"/>
      <c r="IYM44" s="292"/>
      <c r="IYN44" s="292"/>
      <c r="IYO44" s="292"/>
      <c r="IYP44" s="292"/>
      <c r="IYQ44" s="292"/>
      <c r="IYR44" s="292"/>
      <c r="IYS44" s="292"/>
      <c r="IYT44" s="292"/>
      <c r="IYU44" s="292"/>
      <c r="IYV44" s="292"/>
      <c r="IYW44" s="292"/>
      <c r="IYX44" s="292"/>
      <c r="IYY44" s="292"/>
      <c r="IYZ44" s="292"/>
      <c r="IZA44" s="292"/>
      <c r="IZB44" s="292"/>
      <c r="IZC44" s="292"/>
      <c r="IZD44" s="292"/>
      <c r="IZE44" s="292"/>
      <c r="IZF44" s="292"/>
      <c r="IZG44" s="292"/>
      <c r="IZH44" s="292"/>
      <c r="IZI44" s="292"/>
      <c r="IZJ44" s="292"/>
      <c r="IZK44" s="292"/>
      <c r="IZL44" s="292"/>
      <c r="IZM44" s="292"/>
      <c r="IZN44" s="292"/>
      <c r="IZO44" s="292"/>
      <c r="IZP44" s="292"/>
      <c r="IZQ44" s="292"/>
      <c r="IZR44" s="292"/>
      <c r="IZS44" s="292"/>
      <c r="IZT44" s="292"/>
      <c r="IZU44" s="292"/>
      <c r="IZV44" s="292"/>
      <c r="IZW44" s="292"/>
      <c r="IZX44" s="292"/>
      <c r="IZY44" s="292"/>
      <c r="IZZ44" s="292"/>
      <c r="JAA44" s="292"/>
      <c r="JAB44" s="292"/>
      <c r="JAC44" s="292"/>
      <c r="JAD44" s="292"/>
      <c r="JAE44" s="292"/>
      <c r="JAF44" s="292"/>
      <c r="JAG44" s="292"/>
      <c r="JAH44" s="292"/>
      <c r="JAI44" s="292"/>
      <c r="JAJ44" s="292"/>
      <c r="JAK44" s="292"/>
      <c r="JAL44" s="292"/>
      <c r="JAM44" s="292"/>
      <c r="JAN44" s="292"/>
      <c r="JAO44" s="292"/>
      <c r="JAP44" s="292"/>
      <c r="JAQ44" s="292"/>
      <c r="JAR44" s="292"/>
      <c r="JAS44" s="292"/>
      <c r="JAT44" s="292"/>
      <c r="JAU44" s="292"/>
      <c r="JAV44" s="292"/>
      <c r="JAW44" s="292"/>
      <c r="JAX44" s="292"/>
      <c r="JAY44" s="292"/>
      <c r="JAZ44" s="292"/>
      <c r="JBA44" s="292"/>
      <c r="JBB44" s="292"/>
      <c r="JBC44" s="292"/>
      <c r="JBD44" s="292"/>
      <c r="JBE44" s="292"/>
      <c r="JBF44" s="292"/>
      <c r="JBG44" s="292"/>
      <c r="JBH44" s="292"/>
      <c r="JBI44" s="292"/>
      <c r="JBJ44" s="292"/>
      <c r="JBK44" s="292"/>
      <c r="JBL44" s="292"/>
      <c r="JBM44" s="292"/>
      <c r="JBN44" s="292"/>
      <c r="JBO44" s="292"/>
      <c r="JBP44" s="292"/>
      <c r="JBQ44" s="292"/>
      <c r="JBR44" s="292"/>
      <c r="JBS44" s="292"/>
      <c r="JBT44" s="292"/>
      <c r="JBU44" s="292"/>
      <c r="JBV44" s="292"/>
      <c r="JBW44" s="292"/>
      <c r="JBX44" s="292"/>
      <c r="JBY44" s="292"/>
      <c r="JBZ44" s="292"/>
      <c r="JCA44" s="292"/>
      <c r="JCB44" s="292"/>
      <c r="JCC44" s="292"/>
      <c r="JCD44" s="292"/>
      <c r="JCE44" s="292"/>
      <c r="JCF44" s="292"/>
      <c r="JCG44" s="292"/>
      <c r="JCH44" s="292"/>
      <c r="JCI44" s="292"/>
      <c r="JCJ44" s="292"/>
      <c r="JCK44" s="292"/>
      <c r="JCL44" s="292"/>
      <c r="JCM44" s="292"/>
      <c r="JCN44" s="292"/>
      <c r="JCO44" s="292"/>
      <c r="JCP44" s="292"/>
      <c r="JCQ44" s="292"/>
      <c r="JCR44" s="292"/>
      <c r="JCS44" s="292"/>
      <c r="JCT44" s="292"/>
      <c r="JCU44" s="292"/>
      <c r="JCV44" s="292"/>
      <c r="JCW44" s="292"/>
      <c r="JCX44" s="292"/>
      <c r="JCY44" s="292"/>
      <c r="JCZ44" s="292"/>
      <c r="JDA44" s="292"/>
      <c r="JDB44" s="292"/>
      <c r="JDC44" s="292"/>
      <c r="JDD44" s="292"/>
      <c r="JDE44" s="292"/>
      <c r="JDF44" s="292"/>
      <c r="JDG44" s="292"/>
      <c r="JDH44" s="292"/>
      <c r="JDI44" s="292"/>
      <c r="JDJ44" s="292"/>
      <c r="JDK44" s="292"/>
      <c r="JDL44" s="292"/>
      <c r="JDM44" s="292"/>
      <c r="JDN44" s="292"/>
      <c r="JDO44" s="292"/>
      <c r="JDP44" s="292"/>
      <c r="JDQ44" s="292"/>
      <c r="JDR44" s="292"/>
      <c r="JDS44" s="292"/>
      <c r="JDT44" s="292"/>
      <c r="JDU44" s="292"/>
      <c r="JDV44" s="292"/>
      <c r="JDW44" s="292"/>
      <c r="JDX44" s="292"/>
      <c r="JDY44" s="292"/>
      <c r="JDZ44" s="292"/>
      <c r="JEA44" s="292"/>
      <c r="JEB44" s="292"/>
      <c r="JEC44" s="292"/>
      <c r="JED44" s="292"/>
      <c r="JEE44" s="292"/>
      <c r="JEF44" s="292"/>
      <c r="JEG44" s="292"/>
      <c r="JEH44" s="292"/>
      <c r="JEI44" s="292"/>
      <c r="JEJ44" s="292"/>
      <c r="JEK44" s="292"/>
      <c r="JEL44" s="292"/>
      <c r="JEM44" s="292"/>
      <c r="JEN44" s="292"/>
      <c r="JEO44" s="292"/>
      <c r="JEP44" s="292"/>
      <c r="JEQ44" s="292"/>
      <c r="JER44" s="292"/>
      <c r="JES44" s="292"/>
      <c r="JET44" s="292"/>
      <c r="JEU44" s="292"/>
      <c r="JEV44" s="292"/>
      <c r="JEW44" s="292"/>
      <c r="JEX44" s="292"/>
      <c r="JEY44" s="292"/>
      <c r="JEZ44" s="292"/>
      <c r="JFA44" s="292"/>
      <c r="JFB44" s="292"/>
      <c r="JFC44" s="292"/>
      <c r="JFD44" s="292"/>
      <c r="JFE44" s="292"/>
      <c r="JFF44" s="292"/>
      <c r="JFG44" s="292"/>
      <c r="JFH44" s="292"/>
      <c r="JFI44" s="292"/>
      <c r="JFJ44" s="292"/>
      <c r="JFK44" s="292"/>
      <c r="JFL44" s="292"/>
      <c r="JFM44" s="292"/>
      <c r="JFN44" s="292"/>
      <c r="JFO44" s="292"/>
      <c r="JFP44" s="292"/>
      <c r="JFQ44" s="292"/>
      <c r="JFR44" s="292"/>
      <c r="JFS44" s="292"/>
      <c r="JFT44" s="292"/>
      <c r="JFU44" s="292"/>
      <c r="JFV44" s="292"/>
      <c r="JFW44" s="292"/>
      <c r="JFX44" s="292"/>
      <c r="JFY44" s="292"/>
      <c r="JFZ44" s="292"/>
      <c r="JGA44" s="292"/>
      <c r="JGB44" s="292"/>
      <c r="JGC44" s="292"/>
      <c r="JGD44" s="292"/>
      <c r="JGE44" s="292"/>
      <c r="JGF44" s="292"/>
      <c r="JGG44" s="292"/>
      <c r="JGH44" s="292"/>
      <c r="JGI44" s="292"/>
      <c r="JGJ44" s="292"/>
      <c r="JGK44" s="292"/>
      <c r="JGL44" s="292"/>
      <c r="JGM44" s="292"/>
      <c r="JGN44" s="292"/>
      <c r="JGO44" s="292"/>
      <c r="JGP44" s="292"/>
      <c r="JGQ44" s="292"/>
      <c r="JGR44" s="292"/>
      <c r="JGS44" s="292"/>
      <c r="JGT44" s="292"/>
      <c r="JGU44" s="292"/>
      <c r="JGV44" s="292"/>
      <c r="JGW44" s="292"/>
      <c r="JGX44" s="292"/>
      <c r="JGY44" s="292"/>
      <c r="JGZ44" s="292"/>
      <c r="JHA44" s="292"/>
      <c r="JHB44" s="292"/>
      <c r="JHC44" s="292"/>
      <c r="JHD44" s="292"/>
      <c r="JHE44" s="292"/>
      <c r="JHF44" s="292"/>
      <c r="JHG44" s="292"/>
      <c r="JHH44" s="292"/>
      <c r="JHI44" s="292"/>
      <c r="JHJ44" s="292"/>
      <c r="JHK44" s="292"/>
      <c r="JHL44" s="292"/>
      <c r="JHM44" s="292"/>
      <c r="JHN44" s="292"/>
      <c r="JHO44" s="292"/>
      <c r="JHP44" s="292"/>
      <c r="JHQ44" s="292"/>
      <c r="JHR44" s="292"/>
      <c r="JHS44" s="292"/>
      <c r="JHT44" s="292"/>
      <c r="JHU44" s="292"/>
      <c r="JHV44" s="292"/>
      <c r="JHW44" s="292"/>
      <c r="JHX44" s="292"/>
      <c r="JHY44" s="292"/>
      <c r="JHZ44" s="292"/>
      <c r="JIA44" s="292"/>
      <c r="JIB44" s="292"/>
      <c r="JIC44" s="292"/>
      <c r="JID44" s="292"/>
      <c r="JIE44" s="292"/>
      <c r="JIF44" s="292"/>
      <c r="JIG44" s="292"/>
      <c r="JIH44" s="292"/>
      <c r="JII44" s="292"/>
      <c r="JIJ44" s="292"/>
      <c r="JIK44" s="292"/>
      <c r="JIL44" s="292"/>
      <c r="JIM44" s="292"/>
      <c r="JIN44" s="292"/>
      <c r="JIO44" s="292"/>
      <c r="JIP44" s="292"/>
      <c r="JIQ44" s="292"/>
      <c r="JIR44" s="292"/>
      <c r="JIS44" s="292"/>
      <c r="JIT44" s="292"/>
      <c r="JIU44" s="292"/>
      <c r="JIV44" s="292"/>
      <c r="JIW44" s="292"/>
      <c r="JIX44" s="292"/>
      <c r="JIY44" s="292"/>
      <c r="JIZ44" s="292"/>
      <c r="JJA44" s="292"/>
      <c r="JJB44" s="292"/>
      <c r="JJC44" s="292"/>
      <c r="JJD44" s="292"/>
      <c r="JJE44" s="292"/>
      <c r="JJF44" s="292"/>
      <c r="JJG44" s="292"/>
      <c r="JJH44" s="292"/>
      <c r="JJI44" s="292"/>
      <c r="JJJ44" s="292"/>
      <c r="JJK44" s="292"/>
      <c r="JJL44" s="292"/>
      <c r="JJM44" s="292"/>
      <c r="JJN44" s="292"/>
      <c r="JJO44" s="292"/>
      <c r="JJP44" s="292"/>
      <c r="JJQ44" s="292"/>
      <c r="JJR44" s="292"/>
      <c r="JJS44" s="292"/>
      <c r="JJT44" s="292"/>
      <c r="JJU44" s="292"/>
      <c r="JJV44" s="292"/>
      <c r="JJW44" s="292"/>
      <c r="JJX44" s="292"/>
      <c r="JJY44" s="292"/>
      <c r="JJZ44" s="292"/>
      <c r="JKA44" s="292"/>
      <c r="JKB44" s="292"/>
      <c r="JKC44" s="292"/>
      <c r="JKD44" s="292"/>
      <c r="JKE44" s="292"/>
      <c r="JKF44" s="292"/>
      <c r="JKG44" s="292"/>
      <c r="JKH44" s="292"/>
      <c r="JKI44" s="292"/>
      <c r="JKJ44" s="292"/>
      <c r="JKK44" s="292"/>
      <c r="JKL44" s="292"/>
      <c r="JKM44" s="292"/>
      <c r="JKN44" s="292"/>
      <c r="JKO44" s="292"/>
      <c r="JKP44" s="292"/>
      <c r="JKQ44" s="292"/>
      <c r="JKR44" s="292"/>
      <c r="JKS44" s="292"/>
      <c r="JKT44" s="292"/>
      <c r="JKU44" s="292"/>
      <c r="JKV44" s="292"/>
      <c r="JKW44" s="292"/>
      <c r="JKX44" s="292"/>
      <c r="JKY44" s="292"/>
      <c r="JKZ44" s="292"/>
      <c r="JLA44" s="292"/>
      <c r="JLB44" s="292"/>
      <c r="JLC44" s="292"/>
      <c r="JLD44" s="292"/>
      <c r="JLE44" s="292"/>
      <c r="JLF44" s="292"/>
      <c r="JLG44" s="292"/>
      <c r="JLH44" s="292"/>
      <c r="JLI44" s="292"/>
      <c r="JLJ44" s="292"/>
      <c r="JLK44" s="292"/>
      <c r="JLL44" s="292"/>
      <c r="JLM44" s="292"/>
      <c r="JLN44" s="292"/>
      <c r="JLO44" s="292"/>
      <c r="JLP44" s="292"/>
      <c r="JLQ44" s="292"/>
      <c r="JLR44" s="292"/>
      <c r="JLS44" s="292"/>
      <c r="JLT44" s="292"/>
      <c r="JLU44" s="292"/>
      <c r="JLV44" s="292"/>
      <c r="JLW44" s="292"/>
      <c r="JLX44" s="292"/>
      <c r="JLY44" s="292"/>
      <c r="JLZ44" s="292"/>
      <c r="JMA44" s="292"/>
      <c r="JMB44" s="292"/>
      <c r="JMC44" s="292"/>
      <c r="JMD44" s="292"/>
      <c r="JME44" s="292"/>
      <c r="JMF44" s="292"/>
      <c r="JMG44" s="292"/>
      <c r="JMH44" s="292"/>
      <c r="JMI44" s="292"/>
      <c r="JMJ44" s="292"/>
      <c r="JMK44" s="292"/>
      <c r="JML44" s="292"/>
      <c r="JMM44" s="292"/>
      <c r="JMN44" s="292"/>
      <c r="JMO44" s="292"/>
      <c r="JMP44" s="292"/>
      <c r="JMQ44" s="292"/>
      <c r="JMR44" s="292"/>
      <c r="JMS44" s="292"/>
      <c r="JMT44" s="292"/>
      <c r="JMU44" s="292"/>
      <c r="JMV44" s="292"/>
      <c r="JMW44" s="292"/>
      <c r="JMX44" s="292"/>
      <c r="JMY44" s="292"/>
      <c r="JMZ44" s="292"/>
      <c r="JNA44" s="292"/>
      <c r="JNB44" s="292"/>
      <c r="JNC44" s="292"/>
      <c r="JND44" s="292"/>
      <c r="JNE44" s="292"/>
      <c r="JNF44" s="292"/>
      <c r="JNG44" s="292"/>
      <c r="JNH44" s="292"/>
      <c r="JNI44" s="292"/>
      <c r="JNJ44" s="292"/>
      <c r="JNK44" s="292"/>
      <c r="JNL44" s="292"/>
      <c r="JNM44" s="292"/>
      <c r="JNN44" s="292"/>
      <c r="JNO44" s="292"/>
      <c r="JNP44" s="292"/>
      <c r="JNQ44" s="292"/>
      <c r="JNR44" s="292"/>
      <c r="JNS44" s="292"/>
      <c r="JNT44" s="292"/>
      <c r="JNU44" s="292"/>
      <c r="JNV44" s="292"/>
      <c r="JNW44" s="292"/>
      <c r="JNX44" s="292"/>
      <c r="JNY44" s="292"/>
      <c r="JNZ44" s="292"/>
      <c r="JOA44" s="292"/>
      <c r="JOB44" s="292"/>
      <c r="JOC44" s="292"/>
      <c r="JOD44" s="292"/>
      <c r="JOE44" s="292"/>
      <c r="JOF44" s="292"/>
      <c r="JOG44" s="292"/>
      <c r="JOH44" s="292"/>
      <c r="JOI44" s="292"/>
      <c r="JOJ44" s="292"/>
      <c r="JOK44" s="292"/>
      <c r="JOL44" s="292"/>
      <c r="JOM44" s="292"/>
      <c r="JON44" s="292"/>
      <c r="JOO44" s="292"/>
      <c r="JOP44" s="292"/>
      <c r="JOQ44" s="292"/>
      <c r="JOR44" s="292"/>
      <c r="JOS44" s="292"/>
      <c r="JOT44" s="292"/>
      <c r="JOU44" s="292"/>
      <c r="JOV44" s="292"/>
      <c r="JOW44" s="292"/>
      <c r="JOX44" s="292"/>
      <c r="JOY44" s="292"/>
      <c r="JOZ44" s="292"/>
      <c r="JPA44" s="292"/>
      <c r="JPB44" s="292"/>
      <c r="JPC44" s="292"/>
      <c r="JPD44" s="292"/>
      <c r="JPE44" s="292"/>
      <c r="JPF44" s="292"/>
      <c r="JPG44" s="292"/>
      <c r="JPH44" s="292"/>
      <c r="JPI44" s="292"/>
      <c r="JPJ44" s="292"/>
      <c r="JPK44" s="292"/>
      <c r="JPL44" s="292"/>
      <c r="JPM44" s="292"/>
      <c r="JPN44" s="292"/>
      <c r="JPO44" s="292"/>
      <c r="JPP44" s="292"/>
      <c r="JPQ44" s="292"/>
      <c r="JPR44" s="292"/>
      <c r="JPS44" s="292"/>
      <c r="JPT44" s="292"/>
      <c r="JPU44" s="292"/>
      <c r="JPV44" s="292"/>
      <c r="JPW44" s="292"/>
      <c r="JPX44" s="292"/>
      <c r="JPY44" s="292"/>
      <c r="JPZ44" s="292"/>
      <c r="JQA44" s="292"/>
      <c r="JQB44" s="292"/>
      <c r="JQC44" s="292"/>
      <c r="JQD44" s="292"/>
      <c r="JQE44" s="292"/>
      <c r="JQF44" s="292"/>
      <c r="JQG44" s="292"/>
      <c r="JQH44" s="292"/>
      <c r="JQI44" s="292"/>
      <c r="JQJ44" s="292"/>
      <c r="JQK44" s="292"/>
      <c r="JQL44" s="292"/>
      <c r="JQM44" s="292"/>
      <c r="JQN44" s="292"/>
      <c r="JQO44" s="292"/>
      <c r="JQP44" s="292"/>
      <c r="JQQ44" s="292"/>
      <c r="JQR44" s="292"/>
      <c r="JQS44" s="292"/>
      <c r="JQT44" s="292"/>
      <c r="JQU44" s="292"/>
      <c r="JQV44" s="292"/>
      <c r="JQW44" s="292"/>
      <c r="JQX44" s="292"/>
      <c r="JQY44" s="292"/>
      <c r="JQZ44" s="292"/>
      <c r="JRA44" s="292"/>
      <c r="JRB44" s="292"/>
      <c r="JRC44" s="292"/>
      <c r="JRD44" s="292"/>
      <c r="JRE44" s="292"/>
      <c r="JRF44" s="292"/>
      <c r="JRG44" s="292"/>
      <c r="JRH44" s="292"/>
      <c r="JRI44" s="292"/>
      <c r="JRJ44" s="292"/>
      <c r="JRK44" s="292"/>
      <c r="JRL44" s="292"/>
      <c r="JRM44" s="292"/>
      <c r="JRN44" s="292"/>
      <c r="JRO44" s="292"/>
      <c r="JRP44" s="292"/>
      <c r="JRQ44" s="292"/>
      <c r="JRR44" s="292"/>
      <c r="JRS44" s="292"/>
      <c r="JRT44" s="292"/>
      <c r="JRU44" s="292"/>
      <c r="JRV44" s="292"/>
      <c r="JRW44" s="292"/>
      <c r="JRX44" s="292"/>
      <c r="JRY44" s="292"/>
      <c r="JRZ44" s="292"/>
      <c r="JSA44" s="292"/>
      <c r="JSB44" s="292"/>
      <c r="JSC44" s="292"/>
      <c r="JSD44" s="292"/>
      <c r="JSE44" s="292"/>
      <c r="JSF44" s="292"/>
      <c r="JSG44" s="292"/>
      <c r="JSH44" s="292"/>
      <c r="JSI44" s="292"/>
      <c r="JSJ44" s="292"/>
      <c r="JSK44" s="292"/>
      <c r="JSL44" s="292"/>
      <c r="JSM44" s="292"/>
      <c r="JSN44" s="292"/>
      <c r="JSO44" s="292"/>
      <c r="JSP44" s="292"/>
      <c r="JSQ44" s="292"/>
      <c r="JSR44" s="292"/>
      <c r="JSS44" s="292"/>
      <c r="JST44" s="292"/>
      <c r="JSU44" s="292"/>
      <c r="JSV44" s="292"/>
      <c r="JSW44" s="292"/>
      <c r="JSX44" s="292"/>
      <c r="JSY44" s="292"/>
      <c r="JSZ44" s="292"/>
      <c r="JTA44" s="292"/>
      <c r="JTB44" s="292"/>
      <c r="JTC44" s="292"/>
      <c r="JTD44" s="292"/>
      <c r="JTE44" s="292"/>
      <c r="JTF44" s="292"/>
      <c r="JTG44" s="292"/>
      <c r="JTH44" s="292"/>
      <c r="JTI44" s="292"/>
      <c r="JTJ44" s="292"/>
      <c r="JTK44" s="292"/>
      <c r="JTL44" s="292"/>
      <c r="JTM44" s="292"/>
      <c r="JTN44" s="292"/>
      <c r="JTO44" s="292"/>
      <c r="JTP44" s="292"/>
      <c r="JTQ44" s="292"/>
      <c r="JTR44" s="292"/>
      <c r="JTS44" s="292"/>
      <c r="JTT44" s="292"/>
      <c r="JTU44" s="292"/>
      <c r="JTV44" s="292"/>
      <c r="JTW44" s="292"/>
      <c r="JTX44" s="292"/>
      <c r="JTY44" s="292"/>
      <c r="JTZ44" s="292"/>
      <c r="JUA44" s="292"/>
      <c r="JUB44" s="292"/>
      <c r="JUC44" s="292"/>
      <c r="JUD44" s="292"/>
      <c r="JUE44" s="292"/>
      <c r="JUF44" s="292"/>
      <c r="JUG44" s="292"/>
      <c r="JUH44" s="292"/>
      <c r="JUI44" s="292"/>
      <c r="JUJ44" s="292"/>
      <c r="JUK44" s="292"/>
      <c r="JUL44" s="292"/>
      <c r="JUM44" s="292"/>
      <c r="JUN44" s="292"/>
      <c r="JUO44" s="292"/>
      <c r="JUP44" s="292"/>
      <c r="JUQ44" s="292"/>
      <c r="JUR44" s="292"/>
      <c r="JUS44" s="292"/>
      <c r="JUT44" s="292"/>
      <c r="JUU44" s="292"/>
      <c r="JUV44" s="292"/>
      <c r="JUW44" s="292"/>
      <c r="JUX44" s="292"/>
      <c r="JUY44" s="292"/>
      <c r="JUZ44" s="292"/>
      <c r="JVA44" s="292"/>
      <c r="JVB44" s="292"/>
      <c r="JVC44" s="292"/>
      <c r="JVD44" s="292"/>
      <c r="JVE44" s="292"/>
      <c r="JVF44" s="292"/>
      <c r="JVG44" s="292"/>
      <c r="JVH44" s="292"/>
      <c r="JVI44" s="292"/>
      <c r="JVJ44" s="292"/>
      <c r="JVK44" s="292"/>
      <c r="JVL44" s="292"/>
      <c r="JVM44" s="292"/>
      <c r="JVN44" s="292"/>
      <c r="JVO44" s="292"/>
      <c r="JVP44" s="292"/>
      <c r="JVQ44" s="292"/>
      <c r="JVR44" s="292"/>
      <c r="JVS44" s="292"/>
      <c r="JVT44" s="292"/>
      <c r="JVU44" s="292"/>
      <c r="JVV44" s="292"/>
      <c r="JVW44" s="292"/>
      <c r="JVX44" s="292"/>
      <c r="JVY44" s="292"/>
      <c r="JVZ44" s="292"/>
      <c r="JWA44" s="292"/>
      <c r="JWB44" s="292"/>
      <c r="JWC44" s="292"/>
      <c r="JWD44" s="292"/>
      <c r="JWE44" s="292"/>
      <c r="JWF44" s="292"/>
      <c r="JWG44" s="292"/>
      <c r="JWH44" s="292"/>
      <c r="JWI44" s="292"/>
      <c r="JWJ44" s="292"/>
      <c r="JWK44" s="292"/>
      <c r="JWL44" s="292"/>
      <c r="JWM44" s="292"/>
      <c r="JWN44" s="292"/>
      <c r="JWO44" s="292"/>
      <c r="JWP44" s="292"/>
      <c r="JWQ44" s="292"/>
      <c r="JWR44" s="292"/>
      <c r="JWS44" s="292"/>
      <c r="JWT44" s="292"/>
      <c r="JWU44" s="292"/>
      <c r="JWV44" s="292"/>
      <c r="JWW44" s="292"/>
      <c r="JWX44" s="292"/>
      <c r="JWY44" s="292"/>
      <c r="JWZ44" s="292"/>
      <c r="JXA44" s="292"/>
      <c r="JXB44" s="292"/>
      <c r="JXC44" s="292"/>
      <c r="JXD44" s="292"/>
      <c r="JXE44" s="292"/>
      <c r="JXF44" s="292"/>
      <c r="JXG44" s="292"/>
      <c r="JXH44" s="292"/>
      <c r="JXI44" s="292"/>
      <c r="JXJ44" s="292"/>
      <c r="JXK44" s="292"/>
      <c r="JXL44" s="292"/>
      <c r="JXM44" s="292"/>
      <c r="JXN44" s="292"/>
      <c r="JXO44" s="292"/>
      <c r="JXP44" s="292"/>
      <c r="JXQ44" s="292"/>
      <c r="JXR44" s="292"/>
      <c r="JXS44" s="292"/>
      <c r="JXT44" s="292"/>
      <c r="JXU44" s="292"/>
      <c r="JXV44" s="292"/>
      <c r="JXW44" s="292"/>
      <c r="JXX44" s="292"/>
      <c r="JXY44" s="292"/>
      <c r="JXZ44" s="292"/>
      <c r="JYA44" s="292"/>
      <c r="JYB44" s="292"/>
      <c r="JYC44" s="292"/>
      <c r="JYD44" s="292"/>
      <c r="JYE44" s="292"/>
      <c r="JYF44" s="292"/>
      <c r="JYG44" s="292"/>
      <c r="JYH44" s="292"/>
      <c r="JYI44" s="292"/>
      <c r="JYJ44" s="292"/>
      <c r="JYK44" s="292"/>
      <c r="JYL44" s="292"/>
      <c r="JYM44" s="292"/>
      <c r="JYN44" s="292"/>
      <c r="JYO44" s="292"/>
      <c r="JYP44" s="292"/>
      <c r="JYQ44" s="292"/>
      <c r="JYR44" s="292"/>
      <c r="JYS44" s="292"/>
      <c r="JYT44" s="292"/>
      <c r="JYU44" s="292"/>
      <c r="JYV44" s="292"/>
      <c r="JYW44" s="292"/>
      <c r="JYX44" s="292"/>
      <c r="JYY44" s="292"/>
      <c r="JYZ44" s="292"/>
      <c r="JZA44" s="292"/>
      <c r="JZB44" s="292"/>
      <c r="JZC44" s="292"/>
      <c r="JZD44" s="292"/>
      <c r="JZE44" s="292"/>
      <c r="JZF44" s="292"/>
      <c r="JZG44" s="292"/>
      <c r="JZH44" s="292"/>
      <c r="JZI44" s="292"/>
      <c r="JZJ44" s="292"/>
      <c r="JZK44" s="292"/>
      <c r="JZL44" s="292"/>
      <c r="JZM44" s="292"/>
      <c r="JZN44" s="292"/>
      <c r="JZO44" s="292"/>
      <c r="JZP44" s="292"/>
      <c r="JZQ44" s="292"/>
      <c r="JZR44" s="292"/>
      <c r="JZS44" s="292"/>
      <c r="JZT44" s="292"/>
      <c r="JZU44" s="292"/>
      <c r="JZV44" s="292"/>
      <c r="JZW44" s="292"/>
      <c r="JZX44" s="292"/>
      <c r="JZY44" s="292"/>
      <c r="JZZ44" s="292"/>
      <c r="KAA44" s="292"/>
      <c r="KAB44" s="292"/>
      <c r="KAC44" s="292"/>
      <c r="KAD44" s="292"/>
      <c r="KAE44" s="292"/>
      <c r="KAF44" s="292"/>
      <c r="KAG44" s="292"/>
      <c r="KAH44" s="292"/>
      <c r="KAI44" s="292"/>
      <c r="KAJ44" s="292"/>
      <c r="KAK44" s="292"/>
      <c r="KAL44" s="292"/>
      <c r="KAM44" s="292"/>
      <c r="KAN44" s="292"/>
      <c r="KAO44" s="292"/>
      <c r="KAP44" s="292"/>
      <c r="KAQ44" s="292"/>
      <c r="KAR44" s="292"/>
      <c r="KAS44" s="292"/>
      <c r="KAT44" s="292"/>
      <c r="KAU44" s="292"/>
      <c r="KAV44" s="292"/>
      <c r="KAW44" s="292"/>
      <c r="KAX44" s="292"/>
      <c r="KAY44" s="292"/>
      <c r="KAZ44" s="292"/>
      <c r="KBA44" s="292"/>
      <c r="KBB44" s="292"/>
      <c r="KBC44" s="292"/>
      <c r="KBD44" s="292"/>
      <c r="KBE44" s="292"/>
      <c r="KBF44" s="292"/>
      <c r="KBG44" s="292"/>
      <c r="KBH44" s="292"/>
      <c r="KBI44" s="292"/>
      <c r="KBJ44" s="292"/>
      <c r="KBK44" s="292"/>
      <c r="KBL44" s="292"/>
      <c r="KBM44" s="292"/>
      <c r="KBN44" s="292"/>
      <c r="KBO44" s="292"/>
      <c r="KBP44" s="292"/>
      <c r="KBQ44" s="292"/>
      <c r="KBR44" s="292"/>
      <c r="KBS44" s="292"/>
      <c r="KBT44" s="292"/>
      <c r="KBU44" s="292"/>
      <c r="KBV44" s="292"/>
      <c r="KBW44" s="292"/>
      <c r="KBX44" s="292"/>
      <c r="KBY44" s="292"/>
      <c r="KBZ44" s="292"/>
      <c r="KCA44" s="292"/>
      <c r="KCB44" s="292"/>
      <c r="KCC44" s="292"/>
      <c r="KCD44" s="292"/>
      <c r="KCE44" s="292"/>
      <c r="KCF44" s="292"/>
      <c r="KCG44" s="292"/>
      <c r="KCH44" s="292"/>
      <c r="KCI44" s="292"/>
      <c r="KCJ44" s="292"/>
      <c r="KCK44" s="292"/>
      <c r="KCL44" s="292"/>
      <c r="KCM44" s="292"/>
      <c r="KCN44" s="292"/>
      <c r="KCO44" s="292"/>
      <c r="KCP44" s="292"/>
      <c r="KCQ44" s="292"/>
      <c r="KCR44" s="292"/>
      <c r="KCS44" s="292"/>
      <c r="KCT44" s="292"/>
      <c r="KCU44" s="292"/>
      <c r="KCV44" s="292"/>
      <c r="KCW44" s="292"/>
      <c r="KCX44" s="292"/>
      <c r="KCY44" s="292"/>
      <c r="KCZ44" s="292"/>
      <c r="KDA44" s="292"/>
      <c r="KDB44" s="292"/>
      <c r="KDC44" s="292"/>
      <c r="KDD44" s="292"/>
      <c r="KDE44" s="292"/>
      <c r="KDF44" s="292"/>
      <c r="KDG44" s="292"/>
      <c r="KDH44" s="292"/>
      <c r="KDI44" s="292"/>
      <c r="KDJ44" s="292"/>
      <c r="KDK44" s="292"/>
      <c r="KDL44" s="292"/>
      <c r="KDM44" s="292"/>
      <c r="KDN44" s="292"/>
      <c r="KDO44" s="292"/>
      <c r="KDP44" s="292"/>
      <c r="KDQ44" s="292"/>
      <c r="KDR44" s="292"/>
      <c r="KDS44" s="292"/>
      <c r="KDT44" s="292"/>
      <c r="KDU44" s="292"/>
      <c r="KDV44" s="292"/>
      <c r="KDW44" s="292"/>
      <c r="KDX44" s="292"/>
      <c r="KDY44" s="292"/>
      <c r="KDZ44" s="292"/>
      <c r="KEA44" s="292"/>
      <c r="KEB44" s="292"/>
      <c r="KEC44" s="292"/>
      <c r="KED44" s="292"/>
      <c r="KEE44" s="292"/>
      <c r="KEF44" s="292"/>
      <c r="KEG44" s="292"/>
      <c r="KEH44" s="292"/>
      <c r="KEI44" s="292"/>
      <c r="KEJ44" s="292"/>
      <c r="KEK44" s="292"/>
      <c r="KEL44" s="292"/>
      <c r="KEM44" s="292"/>
      <c r="KEN44" s="292"/>
      <c r="KEO44" s="292"/>
      <c r="KEP44" s="292"/>
      <c r="KEQ44" s="292"/>
      <c r="KER44" s="292"/>
      <c r="KES44" s="292"/>
      <c r="KET44" s="292"/>
      <c r="KEU44" s="292"/>
      <c r="KEV44" s="292"/>
      <c r="KEW44" s="292"/>
      <c r="KEX44" s="292"/>
      <c r="KEY44" s="292"/>
      <c r="KEZ44" s="292"/>
      <c r="KFA44" s="292"/>
      <c r="KFB44" s="292"/>
      <c r="KFC44" s="292"/>
      <c r="KFD44" s="292"/>
      <c r="KFE44" s="292"/>
      <c r="KFF44" s="292"/>
      <c r="KFG44" s="292"/>
      <c r="KFH44" s="292"/>
      <c r="KFI44" s="292"/>
      <c r="KFJ44" s="292"/>
      <c r="KFK44" s="292"/>
      <c r="KFL44" s="292"/>
      <c r="KFM44" s="292"/>
      <c r="KFN44" s="292"/>
      <c r="KFO44" s="292"/>
      <c r="KFP44" s="292"/>
      <c r="KFQ44" s="292"/>
      <c r="KFR44" s="292"/>
      <c r="KFS44" s="292"/>
      <c r="KFT44" s="292"/>
      <c r="KFU44" s="292"/>
      <c r="KFV44" s="292"/>
      <c r="KFW44" s="292"/>
      <c r="KFX44" s="292"/>
      <c r="KFY44" s="292"/>
      <c r="KFZ44" s="292"/>
      <c r="KGA44" s="292"/>
      <c r="KGB44" s="292"/>
      <c r="KGC44" s="292"/>
      <c r="KGD44" s="292"/>
      <c r="KGE44" s="292"/>
      <c r="KGF44" s="292"/>
      <c r="KGG44" s="292"/>
      <c r="KGH44" s="292"/>
      <c r="KGI44" s="292"/>
      <c r="KGJ44" s="292"/>
      <c r="KGK44" s="292"/>
      <c r="KGL44" s="292"/>
      <c r="KGM44" s="292"/>
      <c r="KGN44" s="292"/>
      <c r="KGO44" s="292"/>
      <c r="KGP44" s="292"/>
      <c r="KGQ44" s="292"/>
      <c r="KGR44" s="292"/>
      <c r="KGS44" s="292"/>
      <c r="KGT44" s="292"/>
      <c r="KGU44" s="292"/>
      <c r="KGV44" s="292"/>
      <c r="KGW44" s="292"/>
      <c r="KGX44" s="292"/>
      <c r="KGY44" s="292"/>
      <c r="KGZ44" s="292"/>
      <c r="KHA44" s="292"/>
      <c r="KHB44" s="292"/>
      <c r="KHC44" s="292"/>
      <c r="KHD44" s="292"/>
      <c r="KHE44" s="292"/>
      <c r="KHF44" s="292"/>
      <c r="KHG44" s="292"/>
      <c r="KHH44" s="292"/>
      <c r="KHI44" s="292"/>
      <c r="KHJ44" s="292"/>
      <c r="KHK44" s="292"/>
      <c r="KHL44" s="292"/>
      <c r="KHM44" s="292"/>
      <c r="KHN44" s="292"/>
      <c r="KHO44" s="292"/>
      <c r="KHP44" s="292"/>
      <c r="KHQ44" s="292"/>
      <c r="KHR44" s="292"/>
      <c r="KHS44" s="292"/>
      <c r="KHT44" s="292"/>
      <c r="KHU44" s="292"/>
      <c r="KHV44" s="292"/>
      <c r="KHW44" s="292"/>
      <c r="KHX44" s="292"/>
      <c r="KHY44" s="292"/>
      <c r="KHZ44" s="292"/>
      <c r="KIA44" s="292"/>
      <c r="KIB44" s="292"/>
      <c r="KIC44" s="292"/>
      <c r="KID44" s="292"/>
      <c r="KIE44" s="292"/>
      <c r="KIF44" s="292"/>
      <c r="KIG44" s="292"/>
      <c r="KIH44" s="292"/>
      <c r="KII44" s="292"/>
      <c r="KIJ44" s="292"/>
      <c r="KIK44" s="292"/>
      <c r="KIL44" s="292"/>
      <c r="KIM44" s="292"/>
      <c r="KIN44" s="292"/>
      <c r="KIO44" s="292"/>
      <c r="KIP44" s="292"/>
      <c r="KIQ44" s="292"/>
      <c r="KIR44" s="292"/>
      <c r="KIS44" s="292"/>
      <c r="KIT44" s="292"/>
      <c r="KIU44" s="292"/>
      <c r="KIV44" s="292"/>
      <c r="KIW44" s="292"/>
      <c r="KIX44" s="292"/>
      <c r="KIY44" s="292"/>
      <c r="KIZ44" s="292"/>
      <c r="KJA44" s="292"/>
      <c r="KJB44" s="292"/>
      <c r="KJC44" s="292"/>
      <c r="KJD44" s="292"/>
      <c r="KJE44" s="292"/>
      <c r="KJF44" s="292"/>
      <c r="KJG44" s="292"/>
      <c r="KJH44" s="292"/>
      <c r="KJI44" s="292"/>
      <c r="KJJ44" s="292"/>
      <c r="KJK44" s="292"/>
      <c r="KJL44" s="292"/>
      <c r="KJM44" s="292"/>
      <c r="KJN44" s="292"/>
      <c r="KJO44" s="292"/>
      <c r="KJP44" s="292"/>
      <c r="KJQ44" s="292"/>
      <c r="KJR44" s="292"/>
      <c r="KJS44" s="292"/>
      <c r="KJT44" s="292"/>
      <c r="KJU44" s="292"/>
      <c r="KJV44" s="292"/>
      <c r="KJW44" s="292"/>
      <c r="KJX44" s="292"/>
      <c r="KJY44" s="292"/>
      <c r="KJZ44" s="292"/>
      <c r="KKA44" s="292"/>
      <c r="KKB44" s="292"/>
      <c r="KKC44" s="292"/>
      <c r="KKD44" s="292"/>
      <c r="KKE44" s="292"/>
      <c r="KKF44" s="292"/>
      <c r="KKG44" s="292"/>
      <c r="KKH44" s="292"/>
      <c r="KKI44" s="292"/>
      <c r="KKJ44" s="292"/>
      <c r="KKK44" s="292"/>
      <c r="KKL44" s="292"/>
      <c r="KKM44" s="292"/>
      <c r="KKN44" s="292"/>
      <c r="KKO44" s="292"/>
      <c r="KKP44" s="292"/>
      <c r="KKQ44" s="292"/>
      <c r="KKR44" s="292"/>
      <c r="KKS44" s="292"/>
      <c r="KKT44" s="292"/>
      <c r="KKU44" s="292"/>
      <c r="KKV44" s="292"/>
      <c r="KKW44" s="292"/>
      <c r="KKX44" s="292"/>
      <c r="KKY44" s="292"/>
      <c r="KKZ44" s="292"/>
      <c r="KLA44" s="292"/>
      <c r="KLB44" s="292"/>
      <c r="KLC44" s="292"/>
      <c r="KLD44" s="292"/>
      <c r="KLE44" s="292"/>
      <c r="KLF44" s="292"/>
      <c r="KLG44" s="292"/>
      <c r="KLH44" s="292"/>
      <c r="KLI44" s="292"/>
      <c r="KLJ44" s="292"/>
      <c r="KLK44" s="292"/>
      <c r="KLL44" s="292"/>
      <c r="KLM44" s="292"/>
      <c r="KLN44" s="292"/>
      <c r="KLO44" s="292"/>
      <c r="KLP44" s="292"/>
      <c r="KLQ44" s="292"/>
      <c r="KLR44" s="292"/>
      <c r="KLS44" s="292"/>
      <c r="KLT44" s="292"/>
      <c r="KLU44" s="292"/>
      <c r="KLV44" s="292"/>
      <c r="KLW44" s="292"/>
      <c r="KLX44" s="292"/>
      <c r="KLY44" s="292"/>
      <c r="KLZ44" s="292"/>
      <c r="KMA44" s="292"/>
      <c r="KMB44" s="292"/>
      <c r="KMC44" s="292"/>
      <c r="KMD44" s="292"/>
      <c r="KME44" s="292"/>
      <c r="KMF44" s="292"/>
      <c r="KMG44" s="292"/>
      <c r="KMH44" s="292"/>
      <c r="KMI44" s="292"/>
      <c r="KMJ44" s="292"/>
      <c r="KMK44" s="292"/>
      <c r="KML44" s="292"/>
      <c r="KMM44" s="292"/>
      <c r="KMN44" s="292"/>
      <c r="KMO44" s="292"/>
      <c r="KMP44" s="292"/>
      <c r="KMQ44" s="292"/>
      <c r="KMR44" s="292"/>
      <c r="KMS44" s="292"/>
      <c r="KMT44" s="292"/>
      <c r="KMU44" s="292"/>
      <c r="KMV44" s="292"/>
      <c r="KMW44" s="292"/>
      <c r="KMX44" s="292"/>
      <c r="KMY44" s="292"/>
      <c r="KMZ44" s="292"/>
      <c r="KNA44" s="292"/>
      <c r="KNB44" s="292"/>
      <c r="KNC44" s="292"/>
      <c r="KND44" s="292"/>
      <c r="KNE44" s="292"/>
      <c r="KNF44" s="292"/>
      <c r="KNG44" s="292"/>
      <c r="KNH44" s="292"/>
      <c r="KNI44" s="292"/>
      <c r="KNJ44" s="292"/>
      <c r="KNK44" s="292"/>
      <c r="KNL44" s="292"/>
      <c r="KNM44" s="292"/>
      <c r="KNN44" s="292"/>
      <c r="KNO44" s="292"/>
      <c r="KNP44" s="292"/>
      <c r="KNQ44" s="292"/>
      <c r="KNR44" s="292"/>
      <c r="KNS44" s="292"/>
      <c r="KNT44" s="292"/>
      <c r="KNU44" s="292"/>
      <c r="KNV44" s="292"/>
      <c r="KNW44" s="292"/>
      <c r="KNX44" s="292"/>
      <c r="KNY44" s="292"/>
      <c r="KNZ44" s="292"/>
      <c r="KOA44" s="292"/>
      <c r="KOB44" s="292"/>
      <c r="KOC44" s="292"/>
      <c r="KOD44" s="292"/>
      <c r="KOE44" s="292"/>
      <c r="KOF44" s="292"/>
      <c r="KOG44" s="292"/>
      <c r="KOH44" s="292"/>
      <c r="KOI44" s="292"/>
      <c r="KOJ44" s="292"/>
      <c r="KOK44" s="292"/>
      <c r="KOL44" s="292"/>
      <c r="KOM44" s="292"/>
      <c r="KON44" s="292"/>
      <c r="KOO44" s="292"/>
      <c r="KOP44" s="292"/>
      <c r="KOQ44" s="292"/>
      <c r="KOR44" s="292"/>
      <c r="KOS44" s="292"/>
      <c r="KOT44" s="292"/>
      <c r="KOU44" s="292"/>
      <c r="KOV44" s="292"/>
      <c r="KOW44" s="292"/>
      <c r="KOX44" s="292"/>
      <c r="KOY44" s="292"/>
      <c r="KOZ44" s="292"/>
      <c r="KPA44" s="292"/>
      <c r="KPB44" s="292"/>
      <c r="KPC44" s="292"/>
      <c r="KPD44" s="292"/>
      <c r="KPE44" s="292"/>
      <c r="KPF44" s="292"/>
      <c r="KPG44" s="292"/>
      <c r="KPH44" s="292"/>
      <c r="KPI44" s="292"/>
      <c r="KPJ44" s="292"/>
      <c r="KPK44" s="292"/>
      <c r="KPL44" s="292"/>
      <c r="KPM44" s="292"/>
      <c r="KPN44" s="292"/>
      <c r="KPO44" s="292"/>
      <c r="KPP44" s="292"/>
      <c r="KPQ44" s="292"/>
      <c r="KPR44" s="292"/>
      <c r="KPS44" s="292"/>
      <c r="KPT44" s="292"/>
      <c r="KPU44" s="292"/>
      <c r="KPV44" s="292"/>
      <c r="KPW44" s="292"/>
      <c r="KPX44" s="292"/>
      <c r="KPY44" s="292"/>
      <c r="KPZ44" s="292"/>
      <c r="KQA44" s="292"/>
      <c r="KQB44" s="292"/>
      <c r="KQC44" s="292"/>
      <c r="KQD44" s="292"/>
      <c r="KQE44" s="292"/>
      <c r="KQF44" s="292"/>
      <c r="KQG44" s="292"/>
      <c r="KQH44" s="292"/>
      <c r="KQI44" s="292"/>
      <c r="KQJ44" s="292"/>
      <c r="KQK44" s="292"/>
      <c r="KQL44" s="292"/>
      <c r="KQM44" s="292"/>
      <c r="KQN44" s="292"/>
      <c r="KQO44" s="292"/>
      <c r="KQP44" s="292"/>
      <c r="KQQ44" s="292"/>
      <c r="KQR44" s="292"/>
      <c r="KQS44" s="292"/>
      <c r="KQT44" s="292"/>
      <c r="KQU44" s="292"/>
      <c r="KQV44" s="292"/>
      <c r="KQW44" s="292"/>
      <c r="KQX44" s="292"/>
      <c r="KQY44" s="292"/>
      <c r="KQZ44" s="292"/>
      <c r="KRA44" s="292"/>
      <c r="KRB44" s="292"/>
      <c r="KRC44" s="292"/>
      <c r="KRD44" s="292"/>
      <c r="KRE44" s="292"/>
      <c r="KRF44" s="292"/>
      <c r="KRG44" s="292"/>
      <c r="KRH44" s="292"/>
      <c r="KRI44" s="292"/>
      <c r="KRJ44" s="292"/>
      <c r="KRK44" s="292"/>
      <c r="KRL44" s="292"/>
      <c r="KRM44" s="292"/>
      <c r="KRN44" s="292"/>
      <c r="KRO44" s="292"/>
      <c r="KRP44" s="292"/>
      <c r="KRQ44" s="292"/>
      <c r="KRR44" s="292"/>
      <c r="KRS44" s="292"/>
      <c r="KRT44" s="292"/>
      <c r="KRU44" s="292"/>
      <c r="KRV44" s="292"/>
      <c r="KRW44" s="292"/>
      <c r="KRX44" s="292"/>
      <c r="KRY44" s="292"/>
      <c r="KRZ44" s="292"/>
      <c r="KSA44" s="292"/>
      <c r="KSB44" s="292"/>
      <c r="KSC44" s="292"/>
      <c r="KSD44" s="292"/>
      <c r="KSE44" s="292"/>
      <c r="KSF44" s="292"/>
      <c r="KSG44" s="292"/>
      <c r="KSH44" s="292"/>
      <c r="KSI44" s="292"/>
      <c r="KSJ44" s="292"/>
      <c r="KSK44" s="292"/>
      <c r="KSL44" s="292"/>
      <c r="KSM44" s="292"/>
      <c r="KSN44" s="292"/>
      <c r="KSO44" s="292"/>
      <c r="KSP44" s="292"/>
      <c r="KSQ44" s="292"/>
      <c r="KSR44" s="292"/>
      <c r="KSS44" s="292"/>
      <c r="KST44" s="292"/>
      <c r="KSU44" s="292"/>
      <c r="KSV44" s="292"/>
      <c r="KSW44" s="292"/>
      <c r="KSX44" s="292"/>
      <c r="KSY44" s="292"/>
      <c r="KSZ44" s="292"/>
      <c r="KTA44" s="292"/>
      <c r="KTB44" s="292"/>
      <c r="KTC44" s="292"/>
      <c r="KTD44" s="292"/>
      <c r="KTE44" s="292"/>
      <c r="KTF44" s="292"/>
      <c r="KTG44" s="292"/>
      <c r="KTH44" s="292"/>
      <c r="KTI44" s="292"/>
      <c r="KTJ44" s="292"/>
      <c r="KTK44" s="292"/>
      <c r="KTL44" s="292"/>
      <c r="KTM44" s="292"/>
      <c r="KTN44" s="292"/>
      <c r="KTO44" s="292"/>
      <c r="KTP44" s="292"/>
      <c r="KTQ44" s="292"/>
      <c r="KTR44" s="292"/>
      <c r="KTS44" s="292"/>
      <c r="KTT44" s="292"/>
      <c r="KTU44" s="292"/>
      <c r="KTV44" s="292"/>
      <c r="KTW44" s="292"/>
      <c r="KTX44" s="292"/>
      <c r="KTY44" s="292"/>
      <c r="KTZ44" s="292"/>
      <c r="KUA44" s="292"/>
      <c r="KUB44" s="292"/>
      <c r="KUC44" s="292"/>
      <c r="KUD44" s="292"/>
      <c r="KUE44" s="292"/>
      <c r="KUF44" s="292"/>
      <c r="KUG44" s="292"/>
      <c r="KUH44" s="292"/>
      <c r="KUI44" s="292"/>
      <c r="KUJ44" s="292"/>
      <c r="KUK44" s="292"/>
      <c r="KUL44" s="292"/>
      <c r="KUM44" s="292"/>
      <c r="KUN44" s="292"/>
      <c r="KUO44" s="292"/>
      <c r="KUP44" s="292"/>
      <c r="KUQ44" s="292"/>
      <c r="KUR44" s="292"/>
      <c r="KUS44" s="292"/>
      <c r="KUT44" s="292"/>
      <c r="KUU44" s="292"/>
      <c r="KUV44" s="292"/>
      <c r="KUW44" s="292"/>
      <c r="KUX44" s="292"/>
      <c r="KUY44" s="292"/>
      <c r="KUZ44" s="292"/>
      <c r="KVA44" s="292"/>
      <c r="KVB44" s="292"/>
      <c r="KVC44" s="292"/>
      <c r="KVD44" s="292"/>
      <c r="KVE44" s="292"/>
      <c r="KVF44" s="292"/>
      <c r="KVG44" s="292"/>
      <c r="KVH44" s="292"/>
      <c r="KVI44" s="292"/>
      <c r="KVJ44" s="292"/>
      <c r="KVK44" s="292"/>
      <c r="KVL44" s="292"/>
      <c r="KVM44" s="292"/>
      <c r="KVN44" s="292"/>
      <c r="KVO44" s="292"/>
      <c r="KVP44" s="292"/>
      <c r="KVQ44" s="292"/>
      <c r="KVR44" s="292"/>
      <c r="KVS44" s="292"/>
      <c r="KVT44" s="292"/>
      <c r="KVU44" s="292"/>
      <c r="KVV44" s="292"/>
      <c r="KVW44" s="292"/>
      <c r="KVX44" s="292"/>
      <c r="KVY44" s="292"/>
      <c r="KVZ44" s="292"/>
      <c r="KWA44" s="292"/>
      <c r="KWB44" s="292"/>
      <c r="KWC44" s="292"/>
      <c r="KWD44" s="292"/>
      <c r="KWE44" s="292"/>
      <c r="KWF44" s="292"/>
      <c r="KWG44" s="292"/>
      <c r="KWH44" s="292"/>
      <c r="KWI44" s="292"/>
      <c r="KWJ44" s="292"/>
      <c r="KWK44" s="292"/>
      <c r="KWL44" s="292"/>
      <c r="KWM44" s="292"/>
      <c r="KWN44" s="292"/>
      <c r="KWO44" s="292"/>
      <c r="KWP44" s="292"/>
      <c r="KWQ44" s="292"/>
      <c r="KWR44" s="292"/>
      <c r="KWS44" s="292"/>
      <c r="KWT44" s="292"/>
      <c r="KWU44" s="292"/>
      <c r="KWV44" s="292"/>
      <c r="KWW44" s="292"/>
      <c r="KWX44" s="292"/>
      <c r="KWY44" s="292"/>
      <c r="KWZ44" s="292"/>
      <c r="KXA44" s="292"/>
      <c r="KXB44" s="292"/>
      <c r="KXC44" s="292"/>
      <c r="KXD44" s="292"/>
      <c r="KXE44" s="292"/>
      <c r="KXF44" s="292"/>
      <c r="KXG44" s="292"/>
      <c r="KXH44" s="292"/>
      <c r="KXI44" s="292"/>
      <c r="KXJ44" s="292"/>
      <c r="KXK44" s="292"/>
      <c r="KXL44" s="292"/>
      <c r="KXM44" s="292"/>
      <c r="KXN44" s="292"/>
      <c r="KXO44" s="292"/>
      <c r="KXP44" s="292"/>
      <c r="KXQ44" s="292"/>
      <c r="KXR44" s="292"/>
      <c r="KXS44" s="292"/>
      <c r="KXT44" s="292"/>
      <c r="KXU44" s="292"/>
      <c r="KXV44" s="292"/>
      <c r="KXW44" s="292"/>
      <c r="KXX44" s="292"/>
      <c r="KXY44" s="292"/>
      <c r="KXZ44" s="292"/>
      <c r="KYA44" s="292"/>
      <c r="KYB44" s="292"/>
      <c r="KYC44" s="292"/>
      <c r="KYD44" s="292"/>
      <c r="KYE44" s="292"/>
      <c r="KYF44" s="292"/>
      <c r="KYG44" s="292"/>
      <c r="KYH44" s="292"/>
      <c r="KYI44" s="292"/>
      <c r="KYJ44" s="292"/>
      <c r="KYK44" s="292"/>
      <c r="KYL44" s="292"/>
      <c r="KYM44" s="292"/>
      <c r="KYN44" s="292"/>
      <c r="KYO44" s="292"/>
      <c r="KYP44" s="292"/>
      <c r="KYQ44" s="292"/>
      <c r="KYR44" s="292"/>
      <c r="KYS44" s="292"/>
      <c r="KYT44" s="292"/>
      <c r="KYU44" s="292"/>
      <c r="KYV44" s="292"/>
      <c r="KYW44" s="292"/>
      <c r="KYX44" s="292"/>
      <c r="KYY44" s="292"/>
      <c r="KYZ44" s="292"/>
      <c r="KZA44" s="292"/>
      <c r="KZB44" s="292"/>
      <c r="KZC44" s="292"/>
      <c r="KZD44" s="292"/>
      <c r="KZE44" s="292"/>
      <c r="KZF44" s="292"/>
      <c r="KZG44" s="292"/>
      <c r="KZH44" s="292"/>
      <c r="KZI44" s="292"/>
      <c r="KZJ44" s="292"/>
      <c r="KZK44" s="292"/>
      <c r="KZL44" s="292"/>
      <c r="KZM44" s="292"/>
      <c r="KZN44" s="292"/>
      <c r="KZO44" s="292"/>
      <c r="KZP44" s="292"/>
      <c r="KZQ44" s="292"/>
      <c r="KZR44" s="292"/>
      <c r="KZS44" s="292"/>
      <c r="KZT44" s="292"/>
      <c r="KZU44" s="292"/>
      <c r="KZV44" s="292"/>
      <c r="KZW44" s="292"/>
      <c r="KZX44" s="292"/>
      <c r="KZY44" s="292"/>
      <c r="KZZ44" s="292"/>
      <c r="LAA44" s="292"/>
      <c r="LAB44" s="292"/>
      <c r="LAC44" s="292"/>
      <c r="LAD44" s="292"/>
      <c r="LAE44" s="292"/>
      <c r="LAF44" s="292"/>
      <c r="LAG44" s="292"/>
      <c r="LAH44" s="292"/>
      <c r="LAI44" s="292"/>
      <c r="LAJ44" s="292"/>
      <c r="LAK44" s="292"/>
      <c r="LAL44" s="292"/>
      <c r="LAM44" s="292"/>
      <c r="LAN44" s="292"/>
      <c r="LAO44" s="292"/>
      <c r="LAP44" s="292"/>
      <c r="LAQ44" s="292"/>
      <c r="LAR44" s="292"/>
      <c r="LAS44" s="292"/>
      <c r="LAT44" s="292"/>
      <c r="LAU44" s="292"/>
      <c r="LAV44" s="292"/>
      <c r="LAW44" s="292"/>
      <c r="LAX44" s="292"/>
      <c r="LAY44" s="292"/>
      <c r="LAZ44" s="292"/>
      <c r="LBA44" s="292"/>
      <c r="LBB44" s="292"/>
      <c r="LBC44" s="292"/>
      <c r="LBD44" s="292"/>
      <c r="LBE44" s="292"/>
      <c r="LBF44" s="292"/>
      <c r="LBG44" s="292"/>
      <c r="LBH44" s="292"/>
      <c r="LBI44" s="292"/>
      <c r="LBJ44" s="292"/>
      <c r="LBK44" s="292"/>
      <c r="LBL44" s="292"/>
      <c r="LBM44" s="292"/>
      <c r="LBN44" s="292"/>
      <c r="LBO44" s="292"/>
      <c r="LBP44" s="292"/>
      <c r="LBQ44" s="292"/>
      <c r="LBR44" s="292"/>
      <c r="LBS44" s="292"/>
      <c r="LBT44" s="292"/>
      <c r="LBU44" s="292"/>
      <c r="LBV44" s="292"/>
      <c r="LBW44" s="292"/>
      <c r="LBX44" s="292"/>
      <c r="LBY44" s="292"/>
      <c r="LBZ44" s="292"/>
      <c r="LCA44" s="292"/>
      <c r="LCB44" s="292"/>
      <c r="LCC44" s="292"/>
      <c r="LCD44" s="292"/>
      <c r="LCE44" s="292"/>
      <c r="LCF44" s="292"/>
      <c r="LCG44" s="292"/>
      <c r="LCH44" s="292"/>
      <c r="LCI44" s="292"/>
      <c r="LCJ44" s="292"/>
      <c r="LCK44" s="292"/>
      <c r="LCL44" s="292"/>
      <c r="LCM44" s="292"/>
      <c r="LCN44" s="292"/>
      <c r="LCO44" s="292"/>
      <c r="LCP44" s="292"/>
      <c r="LCQ44" s="292"/>
      <c r="LCR44" s="292"/>
      <c r="LCS44" s="292"/>
      <c r="LCT44" s="292"/>
      <c r="LCU44" s="292"/>
      <c r="LCV44" s="292"/>
      <c r="LCW44" s="292"/>
      <c r="LCX44" s="292"/>
      <c r="LCY44" s="292"/>
      <c r="LCZ44" s="292"/>
      <c r="LDA44" s="292"/>
      <c r="LDB44" s="292"/>
      <c r="LDC44" s="292"/>
      <c r="LDD44" s="292"/>
      <c r="LDE44" s="292"/>
      <c r="LDF44" s="292"/>
      <c r="LDG44" s="292"/>
      <c r="LDH44" s="292"/>
      <c r="LDI44" s="292"/>
      <c r="LDJ44" s="292"/>
      <c r="LDK44" s="292"/>
      <c r="LDL44" s="292"/>
      <c r="LDM44" s="292"/>
      <c r="LDN44" s="292"/>
      <c r="LDO44" s="292"/>
      <c r="LDP44" s="292"/>
      <c r="LDQ44" s="292"/>
      <c r="LDR44" s="292"/>
      <c r="LDS44" s="292"/>
      <c r="LDT44" s="292"/>
      <c r="LDU44" s="292"/>
      <c r="LDV44" s="292"/>
      <c r="LDW44" s="292"/>
      <c r="LDX44" s="292"/>
      <c r="LDY44" s="292"/>
      <c r="LDZ44" s="292"/>
      <c r="LEA44" s="292"/>
      <c r="LEB44" s="292"/>
      <c r="LEC44" s="292"/>
      <c r="LED44" s="292"/>
      <c r="LEE44" s="292"/>
      <c r="LEF44" s="292"/>
      <c r="LEG44" s="292"/>
      <c r="LEH44" s="292"/>
      <c r="LEI44" s="292"/>
      <c r="LEJ44" s="292"/>
      <c r="LEK44" s="292"/>
      <c r="LEL44" s="292"/>
      <c r="LEM44" s="292"/>
      <c r="LEN44" s="292"/>
      <c r="LEO44" s="292"/>
      <c r="LEP44" s="292"/>
      <c r="LEQ44" s="292"/>
      <c r="LER44" s="292"/>
      <c r="LES44" s="292"/>
      <c r="LET44" s="292"/>
      <c r="LEU44" s="292"/>
      <c r="LEV44" s="292"/>
      <c r="LEW44" s="292"/>
      <c r="LEX44" s="292"/>
      <c r="LEY44" s="292"/>
      <c r="LEZ44" s="292"/>
      <c r="LFA44" s="292"/>
      <c r="LFB44" s="292"/>
      <c r="LFC44" s="292"/>
      <c r="LFD44" s="292"/>
      <c r="LFE44" s="292"/>
      <c r="LFF44" s="292"/>
      <c r="LFG44" s="292"/>
      <c r="LFH44" s="292"/>
      <c r="LFI44" s="292"/>
      <c r="LFJ44" s="292"/>
      <c r="LFK44" s="292"/>
      <c r="LFL44" s="292"/>
      <c r="LFM44" s="292"/>
      <c r="LFN44" s="292"/>
      <c r="LFO44" s="292"/>
      <c r="LFP44" s="292"/>
      <c r="LFQ44" s="292"/>
      <c r="LFR44" s="292"/>
      <c r="LFS44" s="292"/>
      <c r="LFT44" s="292"/>
      <c r="LFU44" s="292"/>
      <c r="LFV44" s="292"/>
      <c r="LFW44" s="292"/>
      <c r="LFX44" s="292"/>
      <c r="LFY44" s="292"/>
      <c r="LFZ44" s="292"/>
      <c r="LGA44" s="292"/>
      <c r="LGB44" s="292"/>
      <c r="LGC44" s="292"/>
      <c r="LGD44" s="292"/>
      <c r="LGE44" s="292"/>
      <c r="LGF44" s="292"/>
      <c r="LGG44" s="292"/>
      <c r="LGH44" s="292"/>
      <c r="LGI44" s="292"/>
      <c r="LGJ44" s="292"/>
      <c r="LGK44" s="292"/>
      <c r="LGL44" s="292"/>
      <c r="LGM44" s="292"/>
      <c r="LGN44" s="292"/>
      <c r="LGO44" s="292"/>
      <c r="LGP44" s="292"/>
      <c r="LGQ44" s="292"/>
      <c r="LGR44" s="292"/>
      <c r="LGS44" s="292"/>
      <c r="LGT44" s="292"/>
      <c r="LGU44" s="292"/>
      <c r="LGV44" s="292"/>
      <c r="LGW44" s="292"/>
      <c r="LGX44" s="292"/>
      <c r="LGY44" s="292"/>
      <c r="LGZ44" s="292"/>
      <c r="LHA44" s="292"/>
      <c r="LHB44" s="292"/>
      <c r="LHC44" s="292"/>
      <c r="LHD44" s="292"/>
      <c r="LHE44" s="292"/>
      <c r="LHF44" s="292"/>
      <c r="LHG44" s="292"/>
      <c r="LHH44" s="292"/>
      <c r="LHI44" s="292"/>
      <c r="LHJ44" s="292"/>
      <c r="LHK44" s="292"/>
      <c r="LHL44" s="292"/>
      <c r="LHM44" s="292"/>
      <c r="LHN44" s="292"/>
      <c r="LHO44" s="292"/>
      <c r="LHP44" s="292"/>
      <c r="LHQ44" s="292"/>
      <c r="LHR44" s="292"/>
      <c r="LHS44" s="292"/>
      <c r="LHT44" s="292"/>
      <c r="LHU44" s="292"/>
      <c r="LHV44" s="292"/>
      <c r="LHW44" s="292"/>
      <c r="LHX44" s="292"/>
      <c r="LHY44" s="292"/>
      <c r="LHZ44" s="292"/>
      <c r="LIA44" s="292"/>
      <c r="LIB44" s="292"/>
      <c r="LIC44" s="292"/>
      <c r="LID44" s="292"/>
      <c r="LIE44" s="292"/>
      <c r="LIF44" s="292"/>
      <c r="LIG44" s="292"/>
      <c r="LIH44" s="292"/>
      <c r="LII44" s="292"/>
      <c r="LIJ44" s="292"/>
      <c r="LIK44" s="292"/>
      <c r="LIL44" s="292"/>
      <c r="LIM44" s="292"/>
      <c r="LIN44" s="292"/>
      <c r="LIO44" s="292"/>
      <c r="LIP44" s="292"/>
      <c r="LIQ44" s="292"/>
      <c r="LIR44" s="292"/>
      <c r="LIS44" s="292"/>
      <c r="LIT44" s="292"/>
      <c r="LIU44" s="292"/>
      <c r="LIV44" s="292"/>
      <c r="LIW44" s="292"/>
      <c r="LIX44" s="292"/>
      <c r="LIY44" s="292"/>
      <c r="LIZ44" s="292"/>
      <c r="LJA44" s="292"/>
      <c r="LJB44" s="292"/>
      <c r="LJC44" s="292"/>
      <c r="LJD44" s="292"/>
      <c r="LJE44" s="292"/>
      <c r="LJF44" s="292"/>
      <c r="LJG44" s="292"/>
      <c r="LJH44" s="292"/>
      <c r="LJI44" s="292"/>
      <c r="LJJ44" s="292"/>
      <c r="LJK44" s="292"/>
      <c r="LJL44" s="292"/>
      <c r="LJM44" s="292"/>
      <c r="LJN44" s="292"/>
      <c r="LJO44" s="292"/>
      <c r="LJP44" s="292"/>
      <c r="LJQ44" s="292"/>
      <c r="LJR44" s="292"/>
      <c r="LJS44" s="292"/>
      <c r="LJT44" s="292"/>
      <c r="LJU44" s="292"/>
      <c r="LJV44" s="292"/>
      <c r="LJW44" s="292"/>
      <c r="LJX44" s="292"/>
      <c r="LJY44" s="292"/>
      <c r="LJZ44" s="292"/>
      <c r="LKA44" s="292"/>
      <c r="LKB44" s="292"/>
      <c r="LKC44" s="292"/>
      <c r="LKD44" s="292"/>
      <c r="LKE44" s="292"/>
      <c r="LKF44" s="292"/>
      <c r="LKG44" s="292"/>
      <c r="LKH44" s="292"/>
      <c r="LKI44" s="292"/>
      <c r="LKJ44" s="292"/>
      <c r="LKK44" s="292"/>
      <c r="LKL44" s="292"/>
      <c r="LKM44" s="292"/>
      <c r="LKN44" s="292"/>
      <c r="LKO44" s="292"/>
      <c r="LKP44" s="292"/>
      <c r="LKQ44" s="292"/>
      <c r="LKR44" s="292"/>
      <c r="LKS44" s="292"/>
      <c r="LKT44" s="292"/>
      <c r="LKU44" s="292"/>
      <c r="LKV44" s="292"/>
      <c r="LKW44" s="292"/>
      <c r="LKX44" s="292"/>
      <c r="LKY44" s="292"/>
      <c r="LKZ44" s="292"/>
      <c r="LLA44" s="292"/>
      <c r="LLB44" s="292"/>
      <c r="LLC44" s="292"/>
      <c r="LLD44" s="292"/>
      <c r="LLE44" s="292"/>
      <c r="LLF44" s="292"/>
      <c r="LLG44" s="292"/>
      <c r="LLH44" s="292"/>
      <c r="LLI44" s="292"/>
      <c r="LLJ44" s="292"/>
      <c r="LLK44" s="292"/>
      <c r="LLL44" s="292"/>
      <c r="LLM44" s="292"/>
      <c r="LLN44" s="292"/>
      <c r="LLO44" s="292"/>
      <c r="LLP44" s="292"/>
      <c r="LLQ44" s="292"/>
      <c r="LLR44" s="292"/>
      <c r="LLS44" s="292"/>
      <c r="LLT44" s="292"/>
      <c r="LLU44" s="292"/>
      <c r="LLV44" s="292"/>
      <c r="LLW44" s="292"/>
      <c r="LLX44" s="292"/>
      <c r="LLY44" s="292"/>
      <c r="LLZ44" s="292"/>
      <c r="LMA44" s="292"/>
      <c r="LMB44" s="292"/>
      <c r="LMC44" s="292"/>
      <c r="LMD44" s="292"/>
      <c r="LME44" s="292"/>
      <c r="LMF44" s="292"/>
      <c r="LMG44" s="292"/>
      <c r="LMH44" s="292"/>
      <c r="LMI44" s="292"/>
      <c r="LMJ44" s="292"/>
      <c r="LMK44" s="292"/>
      <c r="LML44" s="292"/>
      <c r="LMM44" s="292"/>
      <c r="LMN44" s="292"/>
      <c r="LMO44" s="292"/>
      <c r="LMP44" s="292"/>
      <c r="LMQ44" s="292"/>
      <c r="LMR44" s="292"/>
      <c r="LMS44" s="292"/>
      <c r="LMT44" s="292"/>
      <c r="LMU44" s="292"/>
      <c r="LMV44" s="292"/>
      <c r="LMW44" s="292"/>
      <c r="LMX44" s="292"/>
      <c r="LMY44" s="292"/>
      <c r="LMZ44" s="292"/>
      <c r="LNA44" s="292"/>
      <c r="LNB44" s="292"/>
      <c r="LNC44" s="292"/>
      <c r="LND44" s="292"/>
      <c r="LNE44" s="292"/>
      <c r="LNF44" s="292"/>
      <c r="LNG44" s="292"/>
      <c r="LNH44" s="292"/>
      <c r="LNI44" s="292"/>
      <c r="LNJ44" s="292"/>
      <c r="LNK44" s="292"/>
      <c r="LNL44" s="292"/>
      <c r="LNM44" s="292"/>
      <c r="LNN44" s="292"/>
      <c r="LNO44" s="292"/>
      <c r="LNP44" s="292"/>
      <c r="LNQ44" s="292"/>
      <c r="LNR44" s="292"/>
      <c r="LNS44" s="292"/>
      <c r="LNT44" s="292"/>
      <c r="LNU44" s="292"/>
      <c r="LNV44" s="292"/>
      <c r="LNW44" s="292"/>
      <c r="LNX44" s="292"/>
      <c r="LNY44" s="292"/>
      <c r="LNZ44" s="292"/>
      <c r="LOA44" s="292"/>
      <c r="LOB44" s="292"/>
      <c r="LOC44" s="292"/>
      <c r="LOD44" s="292"/>
      <c r="LOE44" s="292"/>
      <c r="LOF44" s="292"/>
      <c r="LOG44" s="292"/>
      <c r="LOH44" s="292"/>
      <c r="LOI44" s="292"/>
      <c r="LOJ44" s="292"/>
      <c r="LOK44" s="292"/>
      <c r="LOL44" s="292"/>
      <c r="LOM44" s="292"/>
      <c r="LON44" s="292"/>
      <c r="LOO44" s="292"/>
      <c r="LOP44" s="292"/>
      <c r="LOQ44" s="292"/>
      <c r="LOR44" s="292"/>
      <c r="LOS44" s="292"/>
      <c r="LOT44" s="292"/>
      <c r="LOU44" s="292"/>
      <c r="LOV44" s="292"/>
      <c r="LOW44" s="292"/>
      <c r="LOX44" s="292"/>
      <c r="LOY44" s="292"/>
      <c r="LOZ44" s="292"/>
      <c r="LPA44" s="292"/>
      <c r="LPB44" s="292"/>
      <c r="LPC44" s="292"/>
      <c r="LPD44" s="292"/>
      <c r="LPE44" s="292"/>
      <c r="LPF44" s="292"/>
      <c r="LPG44" s="292"/>
      <c r="LPH44" s="292"/>
      <c r="LPI44" s="292"/>
      <c r="LPJ44" s="292"/>
      <c r="LPK44" s="292"/>
      <c r="LPL44" s="292"/>
      <c r="LPM44" s="292"/>
      <c r="LPN44" s="292"/>
      <c r="LPO44" s="292"/>
      <c r="LPP44" s="292"/>
      <c r="LPQ44" s="292"/>
      <c r="LPR44" s="292"/>
      <c r="LPS44" s="292"/>
      <c r="LPT44" s="292"/>
      <c r="LPU44" s="292"/>
      <c r="LPV44" s="292"/>
      <c r="LPW44" s="292"/>
      <c r="LPX44" s="292"/>
      <c r="LPY44" s="292"/>
      <c r="LPZ44" s="292"/>
      <c r="LQA44" s="292"/>
      <c r="LQB44" s="292"/>
      <c r="LQC44" s="292"/>
      <c r="LQD44" s="292"/>
      <c r="LQE44" s="292"/>
      <c r="LQF44" s="292"/>
      <c r="LQG44" s="292"/>
      <c r="LQH44" s="292"/>
      <c r="LQI44" s="292"/>
      <c r="LQJ44" s="292"/>
      <c r="LQK44" s="292"/>
      <c r="LQL44" s="292"/>
      <c r="LQM44" s="292"/>
      <c r="LQN44" s="292"/>
      <c r="LQO44" s="292"/>
      <c r="LQP44" s="292"/>
      <c r="LQQ44" s="292"/>
      <c r="LQR44" s="292"/>
      <c r="LQS44" s="292"/>
      <c r="LQT44" s="292"/>
      <c r="LQU44" s="292"/>
      <c r="LQV44" s="292"/>
      <c r="LQW44" s="292"/>
      <c r="LQX44" s="292"/>
      <c r="LQY44" s="292"/>
      <c r="LQZ44" s="292"/>
      <c r="LRA44" s="292"/>
      <c r="LRB44" s="292"/>
      <c r="LRC44" s="292"/>
      <c r="LRD44" s="292"/>
      <c r="LRE44" s="292"/>
      <c r="LRF44" s="292"/>
      <c r="LRG44" s="292"/>
      <c r="LRH44" s="292"/>
      <c r="LRI44" s="292"/>
      <c r="LRJ44" s="292"/>
      <c r="LRK44" s="292"/>
      <c r="LRL44" s="292"/>
      <c r="LRM44" s="292"/>
      <c r="LRN44" s="292"/>
      <c r="LRO44" s="292"/>
      <c r="LRP44" s="292"/>
      <c r="LRQ44" s="292"/>
      <c r="LRR44" s="292"/>
      <c r="LRS44" s="292"/>
      <c r="LRT44" s="292"/>
      <c r="LRU44" s="292"/>
      <c r="LRV44" s="292"/>
      <c r="LRW44" s="292"/>
      <c r="LRX44" s="292"/>
      <c r="LRY44" s="292"/>
      <c r="LRZ44" s="292"/>
      <c r="LSA44" s="292"/>
      <c r="LSB44" s="292"/>
      <c r="LSC44" s="292"/>
      <c r="LSD44" s="292"/>
      <c r="LSE44" s="292"/>
      <c r="LSF44" s="292"/>
      <c r="LSG44" s="292"/>
      <c r="LSH44" s="292"/>
      <c r="LSI44" s="292"/>
      <c r="LSJ44" s="292"/>
      <c r="LSK44" s="292"/>
      <c r="LSL44" s="292"/>
      <c r="LSM44" s="292"/>
      <c r="LSN44" s="292"/>
      <c r="LSO44" s="292"/>
      <c r="LSP44" s="292"/>
      <c r="LSQ44" s="292"/>
      <c r="LSR44" s="292"/>
      <c r="LSS44" s="292"/>
      <c r="LST44" s="292"/>
      <c r="LSU44" s="292"/>
      <c r="LSV44" s="292"/>
      <c r="LSW44" s="292"/>
      <c r="LSX44" s="292"/>
      <c r="LSY44" s="292"/>
      <c r="LSZ44" s="292"/>
      <c r="LTA44" s="292"/>
      <c r="LTB44" s="292"/>
      <c r="LTC44" s="292"/>
      <c r="LTD44" s="292"/>
      <c r="LTE44" s="292"/>
      <c r="LTF44" s="292"/>
      <c r="LTG44" s="292"/>
      <c r="LTH44" s="292"/>
      <c r="LTI44" s="292"/>
      <c r="LTJ44" s="292"/>
      <c r="LTK44" s="292"/>
      <c r="LTL44" s="292"/>
      <c r="LTM44" s="292"/>
      <c r="LTN44" s="292"/>
      <c r="LTO44" s="292"/>
      <c r="LTP44" s="292"/>
      <c r="LTQ44" s="292"/>
      <c r="LTR44" s="292"/>
      <c r="LTS44" s="292"/>
      <c r="LTT44" s="292"/>
      <c r="LTU44" s="292"/>
      <c r="LTV44" s="292"/>
      <c r="LTW44" s="292"/>
      <c r="LTX44" s="292"/>
      <c r="LTY44" s="292"/>
      <c r="LTZ44" s="292"/>
      <c r="LUA44" s="292"/>
      <c r="LUB44" s="292"/>
      <c r="LUC44" s="292"/>
      <c r="LUD44" s="292"/>
      <c r="LUE44" s="292"/>
      <c r="LUF44" s="292"/>
      <c r="LUG44" s="292"/>
      <c r="LUH44" s="292"/>
      <c r="LUI44" s="292"/>
      <c r="LUJ44" s="292"/>
      <c r="LUK44" s="292"/>
      <c r="LUL44" s="292"/>
      <c r="LUM44" s="292"/>
      <c r="LUN44" s="292"/>
      <c r="LUO44" s="292"/>
      <c r="LUP44" s="292"/>
      <c r="LUQ44" s="292"/>
      <c r="LUR44" s="292"/>
      <c r="LUS44" s="292"/>
      <c r="LUT44" s="292"/>
      <c r="LUU44" s="292"/>
      <c r="LUV44" s="292"/>
      <c r="LUW44" s="292"/>
      <c r="LUX44" s="292"/>
      <c r="LUY44" s="292"/>
      <c r="LUZ44" s="292"/>
      <c r="LVA44" s="292"/>
      <c r="LVB44" s="292"/>
      <c r="LVC44" s="292"/>
      <c r="LVD44" s="292"/>
      <c r="LVE44" s="292"/>
      <c r="LVF44" s="292"/>
      <c r="LVG44" s="292"/>
      <c r="LVH44" s="292"/>
      <c r="LVI44" s="292"/>
      <c r="LVJ44" s="292"/>
      <c r="LVK44" s="292"/>
      <c r="LVL44" s="292"/>
      <c r="LVM44" s="292"/>
      <c r="LVN44" s="292"/>
      <c r="LVO44" s="292"/>
      <c r="LVP44" s="292"/>
      <c r="LVQ44" s="292"/>
      <c r="LVR44" s="292"/>
      <c r="LVS44" s="292"/>
      <c r="LVT44" s="292"/>
      <c r="LVU44" s="292"/>
      <c r="LVV44" s="292"/>
      <c r="LVW44" s="292"/>
      <c r="LVX44" s="292"/>
      <c r="LVY44" s="292"/>
      <c r="LVZ44" s="292"/>
      <c r="LWA44" s="292"/>
      <c r="LWB44" s="292"/>
      <c r="LWC44" s="292"/>
      <c r="LWD44" s="292"/>
      <c r="LWE44" s="292"/>
      <c r="LWF44" s="292"/>
      <c r="LWG44" s="292"/>
      <c r="LWH44" s="292"/>
      <c r="LWI44" s="292"/>
      <c r="LWJ44" s="292"/>
      <c r="LWK44" s="292"/>
      <c r="LWL44" s="292"/>
      <c r="LWM44" s="292"/>
      <c r="LWN44" s="292"/>
      <c r="LWO44" s="292"/>
      <c r="LWP44" s="292"/>
      <c r="LWQ44" s="292"/>
      <c r="LWR44" s="292"/>
      <c r="LWS44" s="292"/>
      <c r="LWT44" s="292"/>
      <c r="LWU44" s="292"/>
      <c r="LWV44" s="292"/>
      <c r="LWW44" s="292"/>
      <c r="LWX44" s="292"/>
      <c r="LWY44" s="292"/>
      <c r="LWZ44" s="292"/>
      <c r="LXA44" s="292"/>
      <c r="LXB44" s="292"/>
      <c r="LXC44" s="292"/>
      <c r="LXD44" s="292"/>
      <c r="LXE44" s="292"/>
      <c r="LXF44" s="292"/>
      <c r="LXG44" s="292"/>
      <c r="LXH44" s="292"/>
      <c r="LXI44" s="292"/>
      <c r="LXJ44" s="292"/>
      <c r="LXK44" s="292"/>
      <c r="LXL44" s="292"/>
      <c r="LXM44" s="292"/>
      <c r="LXN44" s="292"/>
      <c r="LXO44" s="292"/>
      <c r="LXP44" s="292"/>
      <c r="LXQ44" s="292"/>
      <c r="LXR44" s="292"/>
      <c r="LXS44" s="292"/>
      <c r="LXT44" s="292"/>
      <c r="LXU44" s="292"/>
      <c r="LXV44" s="292"/>
      <c r="LXW44" s="292"/>
      <c r="LXX44" s="292"/>
      <c r="LXY44" s="292"/>
      <c r="LXZ44" s="292"/>
      <c r="LYA44" s="292"/>
      <c r="LYB44" s="292"/>
      <c r="LYC44" s="292"/>
      <c r="LYD44" s="292"/>
      <c r="LYE44" s="292"/>
      <c r="LYF44" s="292"/>
      <c r="LYG44" s="292"/>
      <c r="LYH44" s="292"/>
      <c r="LYI44" s="292"/>
      <c r="LYJ44" s="292"/>
      <c r="LYK44" s="292"/>
      <c r="LYL44" s="292"/>
      <c r="LYM44" s="292"/>
      <c r="LYN44" s="292"/>
      <c r="LYO44" s="292"/>
      <c r="LYP44" s="292"/>
      <c r="LYQ44" s="292"/>
      <c r="LYR44" s="292"/>
      <c r="LYS44" s="292"/>
      <c r="LYT44" s="292"/>
      <c r="LYU44" s="292"/>
      <c r="LYV44" s="292"/>
      <c r="LYW44" s="292"/>
      <c r="LYX44" s="292"/>
      <c r="LYY44" s="292"/>
      <c r="LYZ44" s="292"/>
      <c r="LZA44" s="292"/>
      <c r="LZB44" s="292"/>
      <c r="LZC44" s="292"/>
      <c r="LZD44" s="292"/>
      <c r="LZE44" s="292"/>
      <c r="LZF44" s="292"/>
      <c r="LZG44" s="292"/>
      <c r="LZH44" s="292"/>
      <c r="LZI44" s="292"/>
      <c r="LZJ44" s="292"/>
      <c r="LZK44" s="292"/>
      <c r="LZL44" s="292"/>
      <c r="LZM44" s="292"/>
      <c r="LZN44" s="292"/>
      <c r="LZO44" s="292"/>
      <c r="LZP44" s="292"/>
      <c r="LZQ44" s="292"/>
      <c r="LZR44" s="292"/>
      <c r="LZS44" s="292"/>
      <c r="LZT44" s="292"/>
      <c r="LZU44" s="292"/>
      <c r="LZV44" s="292"/>
      <c r="LZW44" s="292"/>
      <c r="LZX44" s="292"/>
      <c r="LZY44" s="292"/>
      <c r="LZZ44" s="292"/>
      <c r="MAA44" s="292"/>
      <c r="MAB44" s="292"/>
      <c r="MAC44" s="292"/>
      <c r="MAD44" s="292"/>
      <c r="MAE44" s="292"/>
      <c r="MAF44" s="292"/>
      <c r="MAG44" s="292"/>
      <c r="MAH44" s="292"/>
      <c r="MAI44" s="292"/>
      <c r="MAJ44" s="292"/>
      <c r="MAK44" s="292"/>
      <c r="MAL44" s="292"/>
      <c r="MAM44" s="292"/>
      <c r="MAN44" s="292"/>
      <c r="MAO44" s="292"/>
      <c r="MAP44" s="292"/>
      <c r="MAQ44" s="292"/>
      <c r="MAR44" s="292"/>
      <c r="MAS44" s="292"/>
      <c r="MAT44" s="292"/>
      <c r="MAU44" s="292"/>
      <c r="MAV44" s="292"/>
      <c r="MAW44" s="292"/>
      <c r="MAX44" s="292"/>
      <c r="MAY44" s="292"/>
      <c r="MAZ44" s="292"/>
      <c r="MBA44" s="292"/>
      <c r="MBB44" s="292"/>
      <c r="MBC44" s="292"/>
      <c r="MBD44" s="292"/>
      <c r="MBE44" s="292"/>
      <c r="MBF44" s="292"/>
      <c r="MBG44" s="292"/>
      <c r="MBH44" s="292"/>
      <c r="MBI44" s="292"/>
      <c r="MBJ44" s="292"/>
      <c r="MBK44" s="292"/>
      <c r="MBL44" s="292"/>
      <c r="MBM44" s="292"/>
      <c r="MBN44" s="292"/>
      <c r="MBO44" s="292"/>
      <c r="MBP44" s="292"/>
      <c r="MBQ44" s="292"/>
      <c r="MBR44" s="292"/>
      <c r="MBS44" s="292"/>
      <c r="MBT44" s="292"/>
      <c r="MBU44" s="292"/>
      <c r="MBV44" s="292"/>
      <c r="MBW44" s="292"/>
      <c r="MBX44" s="292"/>
      <c r="MBY44" s="292"/>
      <c r="MBZ44" s="292"/>
      <c r="MCA44" s="292"/>
      <c r="MCB44" s="292"/>
      <c r="MCC44" s="292"/>
      <c r="MCD44" s="292"/>
      <c r="MCE44" s="292"/>
      <c r="MCF44" s="292"/>
      <c r="MCG44" s="292"/>
      <c r="MCH44" s="292"/>
      <c r="MCI44" s="292"/>
      <c r="MCJ44" s="292"/>
      <c r="MCK44" s="292"/>
      <c r="MCL44" s="292"/>
      <c r="MCM44" s="292"/>
      <c r="MCN44" s="292"/>
      <c r="MCO44" s="292"/>
      <c r="MCP44" s="292"/>
      <c r="MCQ44" s="292"/>
      <c r="MCR44" s="292"/>
      <c r="MCS44" s="292"/>
      <c r="MCT44" s="292"/>
      <c r="MCU44" s="292"/>
      <c r="MCV44" s="292"/>
      <c r="MCW44" s="292"/>
      <c r="MCX44" s="292"/>
      <c r="MCY44" s="292"/>
      <c r="MCZ44" s="292"/>
      <c r="MDA44" s="292"/>
      <c r="MDB44" s="292"/>
      <c r="MDC44" s="292"/>
      <c r="MDD44" s="292"/>
      <c r="MDE44" s="292"/>
      <c r="MDF44" s="292"/>
      <c r="MDG44" s="292"/>
      <c r="MDH44" s="292"/>
      <c r="MDI44" s="292"/>
      <c r="MDJ44" s="292"/>
      <c r="MDK44" s="292"/>
      <c r="MDL44" s="292"/>
      <c r="MDM44" s="292"/>
      <c r="MDN44" s="292"/>
      <c r="MDO44" s="292"/>
      <c r="MDP44" s="292"/>
      <c r="MDQ44" s="292"/>
      <c r="MDR44" s="292"/>
      <c r="MDS44" s="292"/>
      <c r="MDT44" s="292"/>
      <c r="MDU44" s="292"/>
      <c r="MDV44" s="292"/>
      <c r="MDW44" s="292"/>
      <c r="MDX44" s="292"/>
      <c r="MDY44" s="292"/>
      <c r="MDZ44" s="292"/>
      <c r="MEA44" s="292"/>
      <c r="MEB44" s="292"/>
      <c r="MEC44" s="292"/>
      <c r="MED44" s="292"/>
      <c r="MEE44" s="292"/>
      <c r="MEF44" s="292"/>
      <c r="MEG44" s="292"/>
      <c r="MEH44" s="292"/>
      <c r="MEI44" s="292"/>
      <c r="MEJ44" s="292"/>
      <c r="MEK44" s="292"/>
      <c r="MEL44" s="292"/>
      <c r="MEM44" s="292"/>
      <c r="MEN44" s="292"/>
      <c r="MEO44" s="292"/>
      <c r="MEP44" s="292"/>
      <c r="MEQ44" s="292"/>
      <c r="MER44" s="292"/>
      <c r="MES44" s="292"/>
      <c r="MET44" s="292"/>
      <c r="MEU44" s="292"/>
      <c r="MEV44" s="292"/>
      <c r="MEW44" s="292"/>
      <c r="MEX44" s="292"/>
      <c r="MEY44" s="292"/>
      <c r="MEZ44" s="292"/>
      <c r="MFA44" s="292"/>
      <c r="MFB44" s="292"/>
      <c r="MFC44" s="292"/>
      <c r="MFD44" s="292"/>
      <c r="MFE44" s="292"/>
      <c r="MFF44" s="292"/>
      <c r="MFG44" s="292"/>
      <c r="MFH44" s="292"/>
      <c r="MFI44" s="292"/>
      <c r="MFJ44" s="292"/>
      <c r="MFK44" s="292"/>
      <c r="MFL44" s="292"/>
      <c r="MFM44" s="292"/>
      <c r="MFN44" s="292"/>
      <c r="MFO44" s="292"/>
      <c r="MFP44" s="292"/>
      <c r="MFQ44" s="292"/>
      <c r="MFR44" s="292"/>
      <c r="MFS44" s="292"/>
      <c r="MFT44" s="292"/>
      <c r="MFU44" s="292"/>
      <c r="MFV44" s="292"/>
      <c r="MFW44" s="292"/>
      <c r="MFX44" s="292"/>
      <c r="MFY44" s="292"/>
      <c r="MFZ44" s="292"/>
      <c r="MGA44" s="292"/>
      <c r="MGB44" s="292"/>
      <c r="MGC44" s="292"/>
      <c r="MGD44" s="292"/>
      <c r="MGE44" s="292"/>
      <c r="MGF44" s="292"/>
      <c r="MGG44" s="292"/>
      <c r="MGH44" s="292"/>
      <c r="MGI44" s="292"/>
      <c r="MGJ44" s="292"/>
      <c r="MGK44" s="292"/>
      <c r="MGL44" s="292"/>
      <c r="MGM44" s="292"/>
      <c r="MGN44" s="292"/>
      <c r="MGO44" s="292"/>
      <c r="MGP44" s="292"/>
      <c r="MGQ44" s="292"/>
      <c r="MGR44" s="292"/>
      <c r="MGS44" s="292"/>
      <c r="MGT44" s="292"/>
      <c r="MGU44" s="292"/>
      <c r="MGV44" s="292"/>
      <c r="MGW44" s="292"/>
      <c r="MGX44" s="292"/>
      <c r="MGY44" s="292"/>
      <c r="MGZ44" s="292"/>
      <c r="MHA44" s="292"/>
      <c r="MHB44" s="292"/>
      <c r="MHC44" s="292"/>
      <c r="MHD44" s="292"/>
      <c r="MHE44" s="292"/>
      <c r="MHF44" s="292"/>
      <c r="MHG44" s="292"/>
      <c r="MHH44" s="292"/>
      <c r="MHI44" s="292"/>
      <c r="MHJ44" s="292"/>
      <c r="MHK44" s="292"/>
      <c r="MHL44" s="292"/>
      <c r="MHM44" s="292"/>
      <c r="MHN44" s="292"/>
      <c r="MHO44" s="292"/>
      <c r="MHP44" s="292"/>
      <c r="MHQ44" s="292"/>
      <c r="MHR44" s="292"/>
      <c r="MHS44" s="292"/>
      <c r="MHT44" s="292"/>
      <c r="MHU44" s="292"/>
      <c r="MHV44" s="292"/>
      <c r="MHW44" s="292"/>
      <c r="MHX44" s="292"/>
      <c r="MHY44" s="292"/>
      <c r="MHZ44" s="292"/>
      <c r="MIA44" s="292"/>
      <c r="MIB44" s="292"/>
      <c r="MIC44" s="292"/>
      <c r="MID44" s="292"/>
      <c r="MIE44" s="292"/>
      <c r="MIF44" s="292"/>
      <c r="MIG44" s="292"/>
      <c r="MIH44" s="292"/>
      <c r="MII44" s="292"/>
      <c r="MIJ44" s="292"/>
      <c r="MIK44" s="292"/>
      <c r="MIL44" s="292"/>
      <c r="MIM44" s="292"/>
      <c r="MIN44" s="292"/>
      <c r="MIO44" s="292"/>
      <c r="MIP44" s="292"/>
      <c r="MIQ44" s="292"/>
      <c r="MIR44" s="292"/>
      <c r="MIS44" s="292"/>
      <c r="MIT44" s="292"/>
      <c r="MIU44" s="292"/>
      <c r="MIV44" s="292"/>
      <c r="MIW44" s="292"/>
      <c r="MIX44" s="292"/>
      <c r="MIY44" s="292"/>
      <c r="MIZ44" s="292"/>
      <c r="MJA44" s="292"/>
      <c r="MJB44" s="292"/>
      <c r="MJC44" s="292"/>
      <c r="MJD44" s="292"/>
      <c r="MJE44" s="292"/>
      <c r="MJF44" s="292"/>
      <c r="MJG44" s="292"/>
      <c r="MJH44" s="292"/>
      <c r="MJI44" s="292"/>
      <c r="MJJ44" s="292"/>
      <c r="MJK44" s="292"/>
      <c r="MJL44" s="292"/>
      <c r="MJM44" s="292"/>
      <c r="MJN44" s="292"/>
      <c r="MJO44" s="292"/>
      <c r="MJP44" s="292"/>
      <c r="MJQ44" s="292"/>
      <c r="MJR44" s="292"/>
      <c r="MJS44" s="292"/>
      <c r="MJT44" s="292"/>
      <c r="MJU44" s="292"/>
      <c r="MJV44" s="292"/>
      <c r="MJW44" s="292"/>
      <c r="MJX44" s="292"/>
      <c r="MJY44" s="292"/>
      <c r="MJZ44" s="292"/>
      <c r="MKA44" s="292"/>
      <c r="MKB44" s="292"/>
      <c r="MKC44" s="292"/>
      <c r="MKD44" s="292"/>
      <c r="MKE44" s="292"/>
      <c r="MKF44" s="292"/>
      <c r="MKG44" s="292"/>
      <c r="MKH44" s="292"/>
      <c r="MKI44" s="292"/>
      <c r="MKJ44" s="292"/>
      <c r="MKK44" s="292"/>
      <c r="MKL44" s="292"/>
      <c r="MKM44" s="292"/>
      <c r="MKN44" s="292"/>
      <c r="MKO44" s="292"/>
      <c r="MKP44" s="292"/>
      <c r="MKQ44" s="292"/>
      <c r="MKR44" s="292"/>
      <c r="MKS44" s="292"/>
      <c r="MKT44" s="292"/>
      <c r="MKU44" s="292"/>
      <c r="MKV44" s="292"/>
      <c r="MKW44" s="292"/>
      <c r="MKX44" s="292"/>
      <c r="MKY44" s="292"/>
      <c r="MKZ44" s="292"/>
      <c r="MLA44" s="292"/>
      <c r="MLB44" s="292"/>
      <c r="MLC44" s="292"/>
      <c r="MLD44" s="292"/>
      <c r="MLE44" s="292"/>
      <c r="MLF44" s="292"/>
      <c r="MLG44" s="292"/>
      <c r="MLH44" s="292"/>
      <c r="MLI44" s="292"/>
      <c r="MLJ44" s="292"/>
      <c r="MLK44" s="292"/>
      <c r="MLL44" s="292"/>
      <c r="MLM44" s="292"/>
      <c r="MLN44" s="292"/>
      <c r="MLO44" s="292"/>
      <c r="MLP44" s="292"/>
      <c r="MLQ44" s="292"/>
      <c r="MLR44" s="292"/>
      <c r="MLS44" s="292"/>
      <c r="MLT44" s="292"/>
      <c r="MLU44" s="292"/>
      <c r="MLV44" s="292"/>
      <c r="MLW44" s="292"/>
      <c r="MLX44" s="292"/>
      <c r="MLY44" s="292"/>
      <c r="MLZ44" s="292"/>
      <c r="MMA44" s="292"/>
      <c r="MMB44" s="292"/>
      <c r="MMC44" s="292"/>
      <c r="MMD44" s="292"/>
      <c r="MME44" s="292"/>
      <c r="MMF44" s="292"/>
      <c r="MMG44" s="292"/>
      <c r="MMH44" s="292"/>
      <c r="MMI44" s="292"/>
      <c r="MMJ44" s="292"/>
      <c r="MMK44" s="292"/>
      <c r="MML44" s="292"/>
      <c r="MMM44" s="292"/>
      <c r="MMN44" s="292"/>
      <c r="MMO44" s="292"/>
      <c r="MMP44" s="292"/>
      <c r="MMQ44" s="292"/>
      <c r="MMR44" s="292"/>
      <c r="MMS44" s="292"/>
      <c r="MMT44" s="292"/>
      <c r="MMU44" s="292"/>
      <c r="MMV44" s="292"/>
      <c r="MMW44" s="292"/>
      <c r="MMX44" s="292"/>
      <c r="MMY44" s="292"/>
      <c r="MMZ44" s="292"/>
      <c r="MNA44" s="292"/>
      <c r="MNB44" s="292"/>
      <c r="MNC44" s="292"/>
      <c r="MND44" s="292"/>
      <c r="MNE44" s="292"/>
      <c r="MNF44" s="292"/>
      <c r="MNG44" s="292"/>
      <c r="MNH44" s="292"/>
      <c r="MNI44" s="292"/>
      <c r="MNJ44" s="292"/>
      <c r="MNK44" s="292"/>
      <c r="MNL44" s="292"/>
      <c r="MNM44" s="292"/>
      <c r="MNN44" s="292"/>
      <c r="MNO44" s="292"/>
      <c r="MNP44" s="292"/>
      <c r="MNQ44" s="292"/>
      <c r="MNR44" s="292"/>
      <c r="MNS44" s="292"/>
      <c r="MNT44" s="292"/>
      <c r="MNU44" s="292"/>
      <c r="MNV44" s="292"/>
      <c r="MNW44" s="292"/>
      <c r="MNX44" s="292"/>
      <c r="MNY44" s="292"/>
      <c r="MNZ44" s="292"/>
      <c r="MOA44" s="292"/>
      <c r="MOB44" s="292"/>
      <c r="MOC44" s="292"/>
      <c r="MOD44" s="292"/>
      <c r="MOE44" s="292"/>
      <c r="MOF44" s="292"/>
      <c r="MOG44" s="292"/>
      <c r="MOH44" s="292"/>
      <c r="MOI44" s="292"/>
      <c r="MOJ44" s="292"/>
      <c r="MOK44" s="292"/>
      <c r="MOL44" s="292"/>
      <c r="MOM44" s="292"/>
      <c r="MON44" s="292"/>
      <c r="MOO44" s="292"/>
      <c r="MOP44" s="292"/>
      <c r="MOQ44" s="292"/>
      <c r="MOR44" s="292"/>
      <c r="MOS44" s="292"/>
      <c r="MOT44" s="292"/>
      <c r="MOU44" s="292"/>
      <c r="MOV44" s="292"/>
      <c r="MOW44" s="292"/>
      <c r="MOX44" s="292"/>
      <c r="MOY44" s="292"/>
      <c r="MOZ44" s="292"/>
      <c r="MPA44" s="292"/>
      <c r="MPB44" s="292"/>
      <c r="MPC44" s="292"/>
      <c r="MPD44" s="292"/>
      <c r="MPE44" s="292"/>
      <c r="MPF44" s="292"/>
      <c r="MPG44" s="292"/>
      <c r="MPH44" s="292"/>
      <c r="MPI44" s="292"/>
      <c r="MPJ44" s="292"/>
      <c r="MPK44" s="292"/>
      <c r="MPL44" s="292"/>
      <c r="MPM44" s="292"/>
      <c r="MPN44" s="292"/>
      <c r="MPO44" s="292"/>
      <c r="MPP44" s="292"/>
      <c r="MPQ44" s="292"/>
      <c r="MPR44" s="292"/>
      <c r="MPS44" s="292"/>
      <c r="MPT44" s="292"/>
      <c r="MPU44" s="292"/>
      <c r="MPV44" s="292"/>
      <c r="MPW44" s="292"/>
      <c r="MPX44" s="292"/>
      <c r="MPY44" s="292"/>
      <c r="MPZ44" s="292"/>
      <c r="MQA44" s="292"/>
      <c r="MQB44" s="292"/>
      <c r="MQC44" s="292"/>
      <c r="MQD44" s="292"/>
      <c r="MQE44" s="292"/>
      <c r="MQF44" s="292"/>
      <c r="MQG44" s="292"/>
      <c r="MQH44" s="292"/>
      <c r="MQI44" s="292"/>
      <c r="MQJ44" s="292"/>
      <c r="MQK44" s="292"/>
      <c r="MQL44" s="292"/>
      <c r="MQM44" s="292"/>
      <c r="MQN44" s="292"/>
      <c r="MQO44" s="292"/>
      <c r="MQP44" s="292"/>
      <c r="MQQ44" s="292"/>
      <c r="MQR44" s="292"/>
      <c r="MQS44" s="292"/>
      <c r="MQT44" s="292"/>
      <c r="MQU44" s="292"/>
      <c r="MQV44" s="292"/>
      <c r="MQW44" s="292"/>
      <c r="MQX44" s="292"/>
      <c r="MQY44" s="292"/>
      <c r="MQZ44" s="292"/>
      <c r="MRA44" s="292"/>
      <c r="MRB44" s="292"/>
      <c r="MRC44" s="292"/>
      <c r="MRD44" s="292"/>
      <c r="MRE44" s="292"/>
      <c r="MRF44" s="292"/>
      <c r="MRG44" s="292"/>
      <c r="MRH44" s="292"/>
      <c r="MRI44" s="292"/>
      <c r="MRJ44" s="292"/>
      <c r="MRK44" s="292"/>
      <c r="MRL44" s="292"/>
      <c r="MRM44" s="292"/>
      <c r="MRN44" s="292"/>
      <c r="MRO44" s="292"/>
      <c r="MRP44" s="292"/>
      <c r="MRQ44" s="292"/>
      <c r="MRR44" s="292"/>
      <c r="MRS44" s="292"/>
      <c r="MRT44" s="292"/>
      <c r="MRU44" s="292"/>
      <c r="MRV44" s="292"/>
      <c r="MRW44" s="292"/>
      <c r="MRX44" s="292"/>
      <c r="MRY44" s="292"/>
      <c r="MRZ44" s="292"/>
      <c r="MSA44" s="292"/>
      <c r="MSB44" s="292"/>
      <c r="MSC44" s="292"/>
      <c r="MSD44" s="292"/>
      <c r="MSE44" s="292"/>
      <c r="MSF44" s="292"/>
      <c r="MSG44" s="292"/>
      <c r="MSH44" s="292"/>
      <c r="MSI44" s="292"/>
      <c r="MSJ44" s="292"/>
      <c r="MSK44" s="292"/>
      <c r="MSL44" s="292"/>
      <c r="MSM44" s="292"/>
      <c r="MSN44" s="292"/>
      <c r="MSO44" s="292"/>
      <c r="MSP44" s="292"/>
      <c r="MSQ44" s="292"/>
      <c r="MSR44" s="292"/>
      <c r="MSS44" s="292"/>
      <c r="MST44" s="292"/>
      <c r="MSU44" s="292"/>
      <c r="MSV44" s="292"/>
      <c r="MSW44" s="292"/>
      <c r="MSX44" s="292"/>
      <c r="MSY44" s="292"/>
      <c r="MSZ44" s="292"/>
      <c r="MTA44" s="292"/>
      <c r="MTB44" s="292"/>
      <c r="MTC44" s="292"/>
      <c r="MTD44" s="292"/>
      <c r="MTE44" s="292"/>
      <c r="MTF44" s="292"/>
      <c r="MTG44" s="292"/>
      <c r="MTH44" s="292"/>
      <c r="MTI44" s="292"/>
      <c r="MTJ44" s="292"/>
      <c r="MTK44" s="292"/>
      <c r="MTL44" s="292"/>
      <c r="MTM44" s="292"/>
      <c r="MTN44" s="292"/>
      <c r="MTO44" s="292"/>
      <c r="MTP44" s="292"/>
      <c r="MTQ44" s="292"/>
      <c r="MTR44" s="292"/>
      <c r="MTS44" s="292"/>
      <c r="MTT44" s="292"/>
      <c r="MTU44" s="292"/>
      <c r="MTV44" s="292"/>
      <c r="MTW44" s="292"/>
      <c r="MTX44" s="292"/>
      <c r="MTY44" s="292"/>
      <c r="MTZ44" s="292"/>
      <c r="MUA44" s="292"/>
      <c r="MUB44" s="292"/>
      <c r="MUC44" s="292"/>
      <c r="MUD44" s="292"/>
      <c r="MUE44" s="292"/>
      <c r="MUF44" s="292"/>
      <c r="MUG44" s="292"/>
      <c r="MUH44" s="292"/>
      <c r="MUI44" s="292"/>
      <c r="MUJ44" s="292"/>
      <c r="MUK44" s="292"/>
      <c r="MUL44" s="292"/>
      <c r="MUM44" s="292"/>
      <c r="MUN44" s="292"/>
      <c r="MUO44" s="292"/>
      <c r="MUP44" s="292"/>
      <c r="MUQ44" s="292"/>
      <c r="MUR44" s="292"/>
      <c r="MUS44" s="292"/>
      <c r="MUT44" s="292"/>
      <c r="MUU44" s="292"/>
      <c r="MUV44" s="292"/>
      <c r="MUW44" s="292"/>
      <c r="MUX44" s="292"/>
      <c r="MUY44" s="292"/>
      <c r="MUZ44" s="292"/>
      <c r="MVA44" s="292"/>
      <c r="MVB44" s="292"/>
      <c r="MVC44" s="292"/>
      <c r="MVD44" s="292"/>
      <c r="MVE44" s="292"/>
      <c r="MVF44" s="292"/>
      <c r="MVG44" s="292"/>
      <c r="MVH44" s="292"/>
      <c r="MVI44" s="292"/>
      <c r="MVJ44" s="292"/>
      <c r="MVK44" s="292"/>
      <c r="MVL44" s="292"/>
      <c r="MVM44" s="292"/>
      <c r="MVN44" s="292"/>
      <c r="MVO44" s="292"/>
      <c r="MVP44" s="292"/>
      <c r="MVQ44" s="292"/>
      <c r="MVR44" s="292"/>
      <c r="MVS44" s="292"/>
      <c r="MVT44" s="292"/>
      <c r="MVU44" s="292"/>
      <c r="MVV44" s="292"/>
      <c r="MVW44" s="292"/>
      <c r="MVX44" s="292"/>
      <c r="MVY44" s="292"/>
      <c r="MVZ44" s="292"/>
      <c r="MWA44" s="292"/>
      <c r="MWB44" s="292"/>
      <c r="MWC44" s="292"/>
      <c r="MWD44" s="292"/>
      <c r="MWE44" s="292"/>
      <c r="MWF44" s="292"/>
      <c r="MWG44" s="292"/>
      <c r="MWH44" s="292"/>
      <c r="MWI44" s="292"/>
      <c r="MWJ44" s="292"/>
      <c r="MWK44" s="292"/>
      <c r="MWL44" s="292"/>
      <c r="MWM44" s="292"/>
      <c r="MWN44" s="292"/>
      <c r="MWO44" s="292"/>
      <c r="MWP44" s="292"/>
      <c r="MWQ44" s="292"/>
      <c r="MWR44" s="292"/>
      <c r="MWS44" s="292"/>
      <c r="MWT44" s="292"/>
      <c r="MWU44" s="292"/>
      <c r="MWV44" s="292"/>
      <c r="MWW44" s="292"/>
      <c r="MWX44" s="292"/>
      <c r="MWY44" s="292"/>
      <c r="MWZ44" s="292"/>
      <c r="MXA44" s="292"/>
      <c r="MXB44" s="292"/>
      <c r="MXC44" s="292"/>
      <c r="MXD44" s="292"/>
      <c r="MXE44" s="292"/>
      <c r="MXF44" s="292"/>
      <c r="MXG44" s="292"/>
      <c r="MXH44" s="292"/>
      <c r="MXI44" s="292"/>
      <c r="MXJ44" s="292"/>
      <c r="MXK44" s="292"/>
      <c r="MXL44" s="292"/>
      <c r="MXM44" s="292"/>
      <c r="MXN44" s="292"/>
      <c r="MXO44" s="292"/>
      <c r="MXP44" s="292"/>
      <c r="MXQ44" s="292"/>
      <c r="MXR44" s="292"/>
      <c r="MXS44" s="292"/>
      <c r="MXT44" s="292"/>
      <c r="MXU44" s="292"/>
      <c r="MXV44" s="292"/>
      <c r="MXW44" s="292"/>
      <c r="MXX44" s="292"/>
      <c r="MXY44" s="292"/>
      <c r="MXZ44" s="292"/>
      <c r="MYA44" s="292"/>
      <c r="MYB44" s="292"/>
      <c r="MYC44" s="292"/>
      <c r="MYD44" s="292"/>
      <c r="MYE44" s="292"/>
      <c r="MYF44" s="292"/>
      <c r="MYG44" s="292"/>
      <c r="MYH44" s="292"/>
      <c r="MYI44" s="292"/>
      <c r="MYJ44" s="292"/>
      <c r="MYK44" s="292"/>
      <c r="MYL44" s="292"/>
      <c r="MYM44" s="292"/>
      <c r="MYN44" s="292"/>
      <c r="MYO44" s="292"/>
      <c r="MYP44" s="292"/>
      <c r="MYQ44" s="292"/>
      <c r="MYR44" s="292"/>
      <c r="MYS44" s="292"/>
      <c r="MYT44" s="292"/>
      <c r="MYU44" s="292"/>
      <c r="MYV44" s="292"/>
      <c r="MYW44" s="292"/>
      <c r="MYX44" s="292"/>
      <c r="MYY44" s="292"/>
      <c r="MYZ44" s="292"/>
      <c r="MZA44" s="292"/>
      <c r="MZB44" s="292"/>
      <c r="MZC44" s="292"/>
      <c r="MZD44" s="292"/>
      <c r="MZE44" s="292"/>
      <c r="MZF44" s="292"/>
      <c r="MZG44" s="292"/>
      <c r="MZH44" s="292"/>
      <c r="MZI44" s="292"/>
      <c r="MZJ44" s="292"/>
      <c r="MZK44" s="292"/>
      <c r="MZL44" s="292"/>
      <c r="MZM44" s="292"/>
      <c r="MZN44" s="292"/>
      <c r="MZO44" s="292"/>
      <c r="MZP44" s="292"/>
      <c r="MZQ44" s="292"/>
      <c r="MZR44" s="292"/>
      <c r="MZS44" s="292"/>
      <c r="MZT44" s="292"/>
      <c r="MZU44" s="292"/>
      <c r="MZV44" s="292"/>
      <c r="MZW44" s="292"/>
      <c r="MZX44" s="292"/>
      <c r="MZY44" s="292"/>
      <c r="MZZ44" s="292"/>
      <c r="NAA44" s="292"/>
      <c r="NAB44" s="292"/>
      <c r="NAC44" s="292"/>
      <c r="NAD44" s="292"/>
      <c r="NAE44" s="292"/>
      <c r="NAF44" s="292"/>
      <c r="NAG44" s="292"/>
      <c r="NAH44" s="292"/>
      <c r="NAI44" s="292"/>
      <c r="NAJ44" s="292"/>
      <c r="NAK44" s="292"/>
      <c r="NAL44" s="292"/>
      <c r="NAM44" s="292"/>
      <c r="NAN44" s="292"/>
      <c r="NAO44" s="292"/>
      <c r="NAP44" s="292"/>
      <c r="NAQ44" s="292"/>
      <c r="NAR44" s="292"/>
      <c r="NAS44" s="292"/>
      <c r="NAT44" s="292"/>
      <c r="NAU44" s="292"/>
      <c r="NAV44" s="292"/>
      <c r="NAW44" s="292"/>
      <c r="NAX44" s="292"/>
      <c r="NAY44" s="292"/>
      <c r="NAZ44" s="292"/>
      <c r="NBA44" s="292"/>
      <c r="NBB44" s="292"/>
      <c r="NBC44" s="292"/>
      <c r="NBD44" s="292"/>
      <c r="NBE44" s="292"/>
      <c r="NBF44" s="292"/>
      <c r="NBG44" s="292"/>
      <c r="NBH44" s="292"/>
      <c r="NBI44" s="292"/>
      <c r="NBJ44" s="292"/>
      <c r="NBK44" s="292"/>
      <c r="NBL44" s="292"/>
      <c r="NBM44" s="292"/>
      <c r="NBN44" s="292"/>
      <c r="NBO44" s="292"/>
      <c r="NBP44" s="292"/>
      <c r="NBQ44" s="292"/>
      <c r="NBR44" s="292"/>
      <c r="NBS44" s="292"/>
      <c r="NBT44" s="292"/>
      <c r="NBU44" s="292"/>
      <c r="NBV44" s="292"/>
      <c r="NBW44" s="292"/>
      <c r="NBX44" s="292"/>
      <c r="NBY44" s="292"/>
      <c r="NBZ44" s="292"/>
      <c r="NCA44" s="292"/>
      <c r="NCB44" s="292"/>
      <c r="NCC44" s="292"/>
      <c r="NCD44" s="292"/>
      <c r="NCE44" s="292"/>
      <c r="NCF44" s="292"/>
      <c r="NCG44" s="292"/>
      <c r="NCH44" s="292"/>
      <c r="NCI44" s="292"/>
      <c r="NCJ44" s="292"/>
      <c r="NCK44" s="292"/>
      <c r="NCL44" s="292"/>
      <c r="NCM44" s="292"/>
      <c r="NCN44" s="292"/>
      <c r="NCO44" s="292"/>
      <c r="NCP44" s="292"/>
      <c r="NCQ44" s="292"/>
      <c r="NCR44" s="292"/>
      <c r="NCS44" s="292"/>
      <c r="NCT44" s="292"/>
      <c r="NCU44" s="292"/>
      <c r="NCV44" s="292"/>
      <c r="NCW44" s="292"/>
      <c r="NCX44" s="292"/>
      <c r="NCY44" s="292"/>
      <c r="NCZ44" s="292"/>
      <c r="NDA44" s="292"/>
      <c r="NDB44" s="292"/>
      <c r="NDC44" s="292"/>
      <c r="NDD44" s="292"/>
      <c r="NDE44" s="292"/>
      <c r="NDF44" s="292"/>
      <c r="NDG44" s="292"/>
      <c r="NDH44" s="292"/>
      <c r="NDI44" s="292"/>
      <c r="NDJ44" s="292"/>
      <c r="NDK44" s="292"/>
      <c r="NDL44" s="292"/>
      <c r="NDM44" s="292"/>
      <c r="NDN44" s="292"/>
      <c r="NDO44" s="292"/>
      <c r="NDP44" s="292"/>
      <c r="NDQ44" s="292"/>
      <c r="NDR44" s="292"/>
      <c r="NDS44" s="292"/>
      <c r="NDT44" s="292"/>
      <c r="NDU44" s="292"/>
      <c r="NDV44" s="292"/>
      <c r="NDW44" s="292"/>
      <c r="NDX44" s="292"/>
      <c r="NDY44" s="292"/>
      <c r="NDZ44" s="292"/>
      <c r="NEA44" s="292"/>
      <c r="NEB44" s="292"/>
      <c r="NEC44" s="292"/>
      <c r="NED44" s="292"/>
      <c r="NEE44" s="292"/>
      <c r="NEF44" s="292"/>
      <c r="NEG44" s="292"/>
      <c r="NEH44" s="292"/>
      <c r="NEI44" s="292"/>
      <c r="NEJ44" s="292"/>
      <c r="NEK44" s="292"/>
      <c r="NEL44" s="292"/>
      <c r="NEM44" s="292"/>
      <c r="NEN44" s="292"/>
      <c r="NEO44" s="292"/>
      <c r="NEP44" s="292"/>
      <c r="NEQ44" s="292"/>
      <c r="NER44" s="292"/>
      <c r="NES44" s="292"/>
      <c r="NET44" s="292"/>
      <c r="NEU44" s="292"/>
      <c r="NEV44" s="292"/>
      <c r="NEW44" s="292"/>
      <c r="NEX44" s="292"/>
      <c r="NEY44" s="292"/>
      <c r="NEZ44" s="292"/>
      <c r="NFA44" s="292"/>
      <c r="NFB44" s="292"/>
      <c r="NFC44" s="292"/>
      <c r="NFD44" s="292"/>
      <c r="NFE44" s="292"/>
      <c r="NFF44" s="292"/>
      <c r="NFG44" s="292"/>
      <c r="NFH44" s="292"/>
      <c r="NFI44" s="292"/>
      <c r="NFJ44" s="292"/>
      <c r="NFK44" s="292"/>
      <c r="NFL44" s="292"/>
      <c r="NFM44" s="292"/>
      <c r="NFN44" s="292"/>
      <c r="NFO44" s="292"/>
      <c r="NFP44" s="292"/>
      <c r="NFQ44" s="292"/>
      <c r="NFR44" s="292"/>
      <c r="NFS44" s="292"/>
      <c r="NFT44" s="292"/>
      <c r="NFU44" s="292"/>
      <c r="NFV44" s="292"/>
      <c r="NFW44" s="292"/>
      <c r="NFX44" s="292"/>
      <c r="NFY44" s="292"/>
      <c r="NFZ44" s="292"/>
      <c r="NGA44" s="292"/>
      <c r="NGB44" s="292"/>
      <c r="NGC44" s="292"/>
      <c r="NGD44" s="292"/>
      <c r="NGE44" s="292"/>
      <c r="NGF44" s="292"/>
      <c r="NGG44" s="292"/>
      <c r="NGH44" s="292"/>
      <c r="NGI44" s="292"/>
      <c r="NGJ44" s="292"/>
      <c r="NGK44" s="292"/>
      <c r="NGL44" s="292"/>
      <c r="NGM44" s="292"/>
      <c r="NGN44" s="292"/>
      <c r="NGO44" s="292"/>
      <c r="NGP44" s="292"/>
      <c r="NGQ44" s="292"/>
      <c r="NGR44" s="292"/>
      <c r="NGS44" s="292"/>
      <c r="NGT44" s="292"/>
      <c r="NGU44" s="292"/>
      <c r="NGV44" s="292"/>
      <c r="NGW44" s="292"/>
      <c r="NGX44" s="292"/>
      <c r="NGY44" s="292"/>
      <c r="NGZ44" s="292"/>
      <c r="NHA44" s="292"/>
      <c r="NHB44" s="292"/>
      <c r="NHC44" s="292"/>
      <c r="NHD44" s="292"/>
      <c r="NHE44" s="292"/>
      <c r="NHF44" s="292"/>
      <c r="NHG44" s="292"/>
      <c r="NHH44" s="292"/>
      <c r="NHI44" s="292"/>
      <c r="NHJ44" s="292"/>
      <c r="NHK44" s="292"/>
      <c r="NHL44" s="292"/>
      <c r="NHM44" s="292"/>
      <c r="NHN44" s="292"/>
      <c r="NHO44" s="292"/>
      <c r="NHP44" s="292"/>
      <c r="NHQ44" s="292"/>
      <c r="NHR44" s="292"/>
      <c r="NHS44" s="292"/>
      <c r="NHT44" s="292"/>
      <c r="NHU44" s="292"/>
      <c r="NHV44" s="292"/>
      <c r="NHW44" s="292"/>
      <c r="NHX44" s="292"/>
      <c r="NHY44" s="292"/>
      <c r="NHZ44" s="292"/>
      <c r="NIA44" s="292"/>
      <c r="NIB44" s="292"/>
      <c r="NIC44" s="292"/>
      <c r="NID44" s="292"/>
      <c r="NIE44" s="292"/>
      <c r="NIF44" s="292"/>
      <c r="NIG44" s="292"/>
      <c r="NIH44" s="292"/>
      <c r="NII44" s="292"/>
      <c r="NIJ44" s="292"/>
      <c r="NIK44" s="292"/>
      <c r="NIL44" s="292"/>
      <c r="NIM44" s="292"/>
      <c r="NIN44" s="292"/>
      <c r="NIO44" s="292"/>
      <c r="NIP44" s="292"/>
      <c r="NIQ44" s="292"/>
      <c r="NIR44" s="292"/>
      <c r="NIS44" s="292"/>
      <c r="NIT44" s="292"/>
      <c r="NIU44" s="292"/>
      <c r="NIV44" s="292"/>
      <c r="NIW44" s="292"/>
      <c r="NIX44" s="292"/>
      <c r="NIY44" s="292"/>
      <c r="NIZ44" s="292"/>
      <c r="NJA44" s="292"/>
      <c r="NJB44" s="292"/>
      <c r="NJC44" s="292"/>
      <c r="NJD44" s="292"/>
      <c r="NJE44" s="292"/>
      <c r="NJF44" s="292"/>
      <c r="NJG44" s="292"/>
      <c r="NJH44" s="292"/>
      <c r="NJI44" s="292"/>
      <c r="NJJ44" s="292"/>
      <c r="NJK44" s="292"/>
      <c r="NJL44" s="292"/>
      <c r="NJM44" s="292"/>
      <c r="NJN44" s="292"/>
      <c r="NJO44" s="292"/>
      <c r="NJP44" s="292"/>
      <c r="NJQ44" s="292"/>
      <c r="NJR44" s="292"/>
      <c r="NJS44" s="292"/>
      <c r="NJT44" s="292"/>
      <c r="NJU44" s="292"/>
      <c r="NJV44" s="292"/>
      <c r="NJW44" s="292"/>
      <c r="NJX44" s="292"/>
      <c r="NJY44" s="292"/>
      <c r="NJZ44" s="292"/>
      <c r="NKA44" s="292"/>
      <c r="NKB44" s="292"/>
      <c r="NKC44" s="292"/>
      <c r="NKD44" s="292"/>
      <c r="NKE44" s="292"/>
      <c r="NKF44" s="292"/>
      <c r="NKG44" s="292"/>
      <c r="NKH44" s="292"/>
      <c r="NKI44" s="292"/>
      <c r="NKJ44" s="292"/>
      <c r="NKK44" s="292"/>
      <c r="NKL44" s="292"/>
      <c r="NKM44" s="292"/>
      <c r="NKN44" s="292"/>
      <c r="NKO44" s="292"/>
      <c r="NKP44" s="292"/>
      <c r="NKQ44" s="292"/>
      <c r="NKR44" s="292"/>
      <c r="NKS44" s="292"/>
      <c r="NKT44" s="292"/>
      <c r="NKU44" s="292"/>
      <c r="NKV44" s="292"/>
      <c r="NKW44" s="292"/>
      <c r="NKX44" s="292"/>
      <c r="NKY44" s="292"/>
      <c r="NKZ44" s="292"/>
      <c r="NLA44" s="292"/>
      <c r="NLB44" s="292"/>
      <c r="NLC44" s="292"/>
      <c r="NLD44" s="292"/>
      <c r="NLE44" s="292"/>
      <c r="NLF44" s="292"/>
      <c r="NLG44" s="292"/>
      <c r="NLH44" s="292"/>
      <c r="NLI44" s="292"/>
      <c r="NLJ44" s="292"/>
      <c r="NLK44" s="292"/>
      <c r="NLL44" s="292"/>
      <c r="NLM44" s="292"/>
      <c r="NLN44" s="292"/>
      <c r="NLO44" s="292"/>
      <c r="NLP44" s="292"/>
      <c r="NLQ44" s="292"/>
      <c r="NLR44" s="292"/>
      <c r="NLS44" s="292"/>
      <c r="NLT44" s="292"/>
      <c r="NLU44" s="292"/>
      <c r="NLV44" s="292"/>
      <c r="NLW44" s="292"/>
      <c r="NLX44" s="292"/>
      <c r="NLY44" s="292"/>
      <c r="NLZ44" s="292"/>
      <c r="NMA44" s="292"/>
      <c r="NMB44" s="292"/>
      <c r="NMC44" s="292"/>
      <c r="NMD44" s="292"/>
      <c r="NME44" s="292"/>
      <c r="NMF44" s="292"/>
      <c r="NMG44" s="292"/>
      <c r="NMH44" s="292"/>
      <c r="NMI44" s="292"/>
      <c r="NMJ44" s="292"/>
      <c r="NMK44" s="292"/>
      <c r="NML44" s="292"/>
      <c r="NMM44" s="292"/>
      <c r="NMN44" s="292"/>
      <c r="NMO44" s="292"/>
      <c r="NMP44" s="292"/>
      <c r="NMQ44" s="292"/>
      <c r="NMR44" s="292"/>
      <c r="NMS44" s="292"/>
      <c r="NMT44" s="292"/>
      <c r="NMU44" s="292"/>
      <c r="NMV44" s="292"/>
      <c r="NMW44" s="292"/>
      <c r="NMX44" s="292"/>
      <c r="NMY44" s="292"/>
      <c r="NMZ44" s="292"/>
      <c r="NNA44" s="292"/>
      <c r="NNB44" s="292"/>
      <c r="NNC44" s="292"/>
      <c r="NND44" s="292"/>
      <c r="NNE44" s="292"/>
      <c r="NNF44" s="292"/>
      <c r="NNG44" s="292"/>
      <c r="NNH44" s="292"/>
      <c r="NNI44" s="292"/>
      <c r="NNJ44" s="292"/>
      <c r="NNK44" s="292"/>
      <c r="NNL44" s="292"/>
      <c r="NNM44" s="292"/>
      <c r="NNN44" s="292"/>
      <c r="NNO44" s="292"/>
      <c r="NNP44" s="292"/>
      <c r="NNQ44" s="292"/>
      <c r="NNR44" s="292"/>
      <c r="NNS44" s="292"/>
      <c r="NNT44" s="292"/>
      <c r="NNU44" s="292"/>
      <c r="NNV44" s="292"/>
      <c r="NNW44" s="292"/>
      <c r="NNX44" s="292"/>
      <c r="NNY44" s="292"/>
      <c r="NNZ44" s="292"/>
      <c r="NOA44" s="292"/>
      <c r="NOB44" s="292"/>
      <c r="NOC44" s="292"/>
      <c r="NOD44" s="292"/>
      <c r="NOE44" s="292"/>
      <c r="NOF44" s="292"/>
      <c r="NOG44" s="292"/>
      <c r="NOH44" s="292"/>
      <c r="NOI44" s="292"/>
      <c r="NOJ44" s="292"/>
      <c r="NOK44" s="292"/>
      <c r="NOL44" s="292"/>
      <c r="NOM44" s="292"/>
      <c r="NON44" s="292"/>
      <c r="NOO44" s="292"/>
      <c r="NOP44" s="292"/>
      <c r="NOQ44" s="292"/>
      <c r="NOR44" s="292"/>
      <c r="NOS44" s="292"/>
      <c r="NOT44" s="292"/>
      <c r="NOU44" s="292"/>
      <c r="NOV44" s="292"/>
      <c r="NOW44" s="292"/>
      <c r="NOX44" s="292"/>
      <c r="NOY44" s="292"/>
      <c r="NOZ44" s="292"/>
      <c r="NPA44" s="292"/>
      <c r="NPB44" s="292"/>
      <c r="NPC44" s="292"/>
      <c r="NPD44" s="292"/>
      <c r="NPE44" s="292"/>
      <c r="NPF44" s="292"/>
      <c r="NPG44" s="292"/>
      <c r="NPH44" s="292"/>
      <c r="NPI44" s="292"/>
      <c r="NPJ44" s="292"/>
      <c r="NPK44" s="292"/>
      <c r="NPL44" s="292"/>
      <c r="NPM44" s="292"/>
      <c r="NPN44" s="292"/>
      <c r="NPO44" s="292"/>
      <c r="NPP44" s="292"/>
      <c r="NPQ44" s="292"/>
      <c r="NPR44" s="292"/>
      <c r="NPS44" s="292"/>
      <c r="NPT44" s="292"/>
      <c r="NPU44" s="292"/>
      <c r="NPV44" s="292"/>
      <c r="NPW44" s="292"/>
      <c r="NPX44" s="292"/>
      <c r="NPY44" s="292"/>
      <c r="NPZ44" s="292"/>
      <c r="NQA44" s="292"/>
      <c r="NQB44" s="292"/>
      <c r="NQC44" s="292"/>
      <c r="NQD44" s="292"/>
      <c r="NQE44" s="292"/>
      <c r="NQF44" s="292"/>
      <c r="NQG44" s="292"/>
      <c r="NQH44" s="292"/>
      <c r="NQI44" s="292"/>
      <c r="NQJ44" s="292"/>
      <c r="NQK44" s="292"/>
      <c r="NQL44" s="292"/>
      <c r="NQM44" s="292"/>
      <c r="NQN44" s="292"/>
      <c r="NQO44" s="292"/>
      <c r="NQP44" s="292"/>
      <c r="NQQ44" s="292"/>
      <c r="NQR44" s="292"/>
      <c r="NQS44" s="292"/>
      <c r="NQT44" s="292"/>
      <c r="NQU44" s="292"/>
      <c r="NQV44" s="292"/>
      <c r="NQW44" s="292"/>
      <c r="NQX44" s="292"/>
      <c r="NQY44" s="292"/>
      <c r="NQZ44" s="292"/>
      <c r="NRA44" s="292"/>
      <c r="NRB44" s="292"/>
      <c r="NRC44" s="292"/>
      <c r="NRD44" s="292"/>
      <c r="NRE44" s="292"/>
      <c r="NRF44" s="292"/>
      <c r="NRG44" s="292"/>
      <c r="NRH44" s="292"/>
      <c r="NRI44" s="292"/>
      <c r="NRJ44" s="292"/>
      <c r="NRK44" s="292"/>
      <c r="NRL44" s="292"/>
      <c r="NRM44" s="292"/>
      <c r="NRN44" s="292"/>
      <c r="NRO44" s="292"/>
      <c r="NRP44" s="292"/>
      <c r="NRQ44" s="292"/>
      <c r="NRR44" s="292"/>
      <c r="NRS44" s="292"/>
      <c r="NRT44" s="292"/>
      <c r="NRU44" s="292"/>
      <c r="NRV44" s="292"/>
      <c r="NRW44" s="292"/>
      <c r="NRX44" s="292"/>
      <c r="NRY44" s="292"/>
      <c r="NRZ44" s="292"/>
      <c r="NSA44" s="292"/>
      <c r="NSB44" s="292"/>
      <c r="NSC44" s="292"/>
      <c r="NSD44" s="292"/>
      <c r="NSE44" s="292"/>
      <c r="NSF44" s="292"/>
      <c r="NSG44" s="292"/>
      <c r="NSH44" s="292"/>
      <c r="NSI44" s="292"/>
      <c r="NSJ44" s="292"/>
      <c r="NSK44" s="292"/>
      <c r="NSL44" s="292"/>
      <c r="NSM44" s="292"/>
      <c r="NSN44" s="292"/>
      <c r="NSO44" s="292"/>
      <c r="NSP44" s="292"/>
      <c r="NSQ44" s="292"/>
      <c r="NSR44" s="292"/>
      <c r="NSS44" s="292"/>
      <c r="NST44" s="292"/>
      <c r="NSU44" s="292"/>
      <c r="NSV44" s="292"/>
      <c r="NSW44" s="292"/>
      <c r="NSX44" s="292"/>
      <c r="NSY44" s="292"/>
      <c r="NSZ44" s="292"/>
      <c r="NTA44" s="292"/>
      <c r="NTB44" s="292"/>
      <c r="NTC44" s="292"/>
      <c r="NTD44" s="292"/>
      <c r="NTE44" s="292"/>
      <c r="NTF44" s="292"/>
      <c r="NTG44" s="292"/>
      <c r="NTH44" s="292"/>
      <c r="NTI44" s="292"/>
      <c r="NTJ44" s="292"/>
      <c r="NTK44" s="292"/>
      <c r="NTL44" s="292"/>
      <c r="NTM44" s="292"/>
      <c r="NTN44" s="292"/>
      <c r="NTO44" s="292"/>
      <c r="NTP44" s="292"/>
      <c r="NTQ44" s="292"/>
      <c r="NTR44" s="292"/>
      <c r="NTS44" s="292"/>
      <c r="NTT44" s="292"/>
      <c r="NTU44" s="292"/>
      <c r="NTV44" s="292"/>
      <c r="NTW44" s="292"/>
      <c r="NTX44" s="292"/>
      <c r="NTY44" s="292"/>
      <c r="NTZ44" s="292"/>
      <c r="NUA44" s="292"/>
      <c r="NUB44" s="292"/>
      <c r="NUC44" s="292"/>
      <c r="NUD44" s="292"/>
      <c r="NUE44" s="292"/>
      <c r="NUF44" s="292"/>
      <c r="NUG44" s="292"/>
      <c r="NUH44" s="292"/>
      <c r="NUI44" s="292"/>
      <c r="NUJ44" s="292"/>
      <c r="NUK44" s="292"/>
      <c r="NUL44" s="292"/>
      <c r="NUM44" s="292"/>
      <c r="NUN44" s="292"/>
      <c r="NUO44" s="292"/>
      <c r="NUP44" s="292"/>
      <c r="NUQ44" s="292"/>
      <c r="NUR44" s="292"/>
      <c r="NUS44" s="292"/>
      <c r="NUT44" s="292"/>
      <c r="NUU44" s="292"/>
      <c r="NUV44" s="292"/>
      <c r="NUW44" s="292"/>
      <c r="NUX44" s="292"/>
      <c r="NUY44" s="292"/>
      <c r="NUZ44" s="292"/>
      <c r="NVA44" s="292"/>
      <c r="NVB44" s="292"/>
      <c r="NVC44" s="292"/>
      <c r="NVD44" s="292"/>
      <c r="NVE44" s="292"/>
      <c r="NVF44" s="292"/>
      <c r="NVG44" s="292"/>
      <c r="NVH44" s="292"/>
      <c r="NVI44" s="292"/>
      <c r="NVJ44" s="292"/>
      <c r="NVK44" s="292"/>
      <c r="NVL44" s="292"/>
      <c r="NVM44" s="292"/>
      <c r="NVN44" s="292"/>
      <c r="NVO44" s="292"/>
      <c r="NVP44" s="292"/>
      <c r="NVQ44" s="292"/>
      <c r="NVR44" s="292"/>
      <c r="NVS44" s="292"/>
      <c r="NVT44" s="292"/>
      <c r="NVU44" s="292"/>
      <c r="NVV44" s="292"/>
      <c r="NVW44" s="292"/>
      <c r="NVX44" s="292"/>
      <c r="NVY44" s="292"/>
      <c r="NVZ44" s="292"/>
      <c r="NWA44" s="292"/>
      <c r="NWB44" s="292"/>
      <c r="NWC44" s="292"/>
      <c r="NWD44" s="292"/>
      <c r="NWE44" s="292"/>
      <c r="NWF44" s="292"/>
      <c r="NWG44" s="292"/>
      <c r="NWH44" s="292"/>
      <c r="NWI44" s="292"/>
      <c r="NWJ44" s="292"/>
      <c r="NWK44" s="292"/>
      <c r="NWL44" s="292"/>
      <c r="NWM44" s="292"/>
      <c r="NWN44" s="292"/>
      <c r="NWO44" s="292"/>
      <c r="NWP44" s="292"/>
      <c r="NWQ44" s="292"/>
      <c r="NWR44" s="292"/>
      <c r="NWS44" s="292"/>
      <c r="NWT44" s="292"/>
      <c r="NWU44" s="292"/>
      <c r="NWV44" s="292"/>
      <c r="NWW44" s="292"/>
      <c r="NWX44" s="292"/>
      <c r="NWY44" s="292"/>
      <c r="NWZ44" s="292"/>
      <c r="NXA44" s="292"/>
      <c r="NXB44" s="292"/>
      <c r="NXC44" s="292"/>
      <c r="NXD44" s="292"/>
      <c r="NXE44" s="292"/>
      <c r="NXF44" s="292"/>
      <c r="NXG44" s="292"/>
      <c r="NXH44" s="292"/>
      <c r="NXI44" s="292"/>
      <c r="NXJ44" s="292"/>
      <c r="NXK44" s="292"/>
      <c r="NXL44" s="292"/>
      <c r="NXM44" s="292"/>
      <c r="NXN44" s="292"/>
      <c r="NXO44" s="292"/>
      <c r="NXP44" s="292"/>
      <c r="NXQ44" s="292"/>
      <c r="NXR44" s="292"/>
      <c r="NXS44" s="292"/>
      <c r="NXT44" s="292"/>
      <c r="NXU44" s="292"/>
      <c r="NXV44" s="292"/>
      <c r="NXW44" s="292"/>
      <c r="NXX44" s="292"/>
      <c r="NXY44" s="292"/>
      <c r="NXZ44" s="292"/>
      <c r="NYA44" s="292"/>
      <c r="NYB44" s="292"/>
      <c r="NYC44" s="292"/>
      <c r="NYD44" s="292"/>
      <c r="NYE44" s="292"/>
      <c r="NYF44" s="292"/>
      <c r="NYG44" s="292"/>
      <c r="NYH44" s="292"/>
      <c r="NYI44" s="292"/>
      <c r="NYJ44" s="292"/>
      <c r="NYK44" s="292"/>
      <c r="NYL44" s="292"/>
      <c r="NYM44" s="292"/>
      <c r="NYN44" s="292"/>
      <c r="NYO44" s="292"/>
      <c r="NYP44" s="292"/>
      <c r="NYQ44" s="292"/>
      <c r="NYR44" s="292"/>
      <c r="NYS44" s="292"/>
      <c r="NYT44" s="292"/>
      <c r="NYU44" s="292"/>
      <c r="NYV44" s="292"/>
      <c r="NYW44" s="292"/>
      <c r="NYX44" s="292"/>
      <c r="NYY44" s="292"/>
      <c r="NYZ44" s="292"/>
      <c r="NZA44" s="292"/>
      <c r="NZB44" s="292"/>
      <c r="NZC44" s="292"/>
      <c r="NZD44" s="292"/>
      <c r="NZE44" s="292"/>
      <c r="NZF44" s="292"/>
      <c r="NZG44" s="292"/>
      <c r="NZH44" s="292"/>
      <c r="NZI44" s="292"/>
      <c r="NZJ44" s="292"/>
      <c r="NZK44" s="292"/>
      <c r="NZL44" s="292"/>
      <c r="NZM44" s="292"/>
      <c r="NZN44" s="292"/>
      <c r="NZO44" s="292"/>
      <c r="NZP44" s="292"/>
      <c r="NZQ44" s="292"/>
      <c r="NZR44" s="292"/>
      <c r="NZS44" s="292"/>
      <c r="NZT44" s="292"/>
      <c r="NZU44" s="292"/>
      <c r="NZV44" s="292"/>
      <c r="NZW44" s="292"/>
      <c r="NZX44" s="292"/>
      <c r="NZY44" s="292"/>
      <c r="NZZ44" s="292"/>
      <c r="OAA44" s="292"/>
      <c r="OAB44" s="292"/>
      <c r="OAC44" s="292"/>
      <c r="OAD44" s="292"/>
      <c r="OAE44" s="292"/>
      <c r="OAF44" s="292"/>
      <c r="OAG44" s="292"/>
      <c r="OAH44" s="292"/>
      <c r="OAI44" s="292"/>
      <c r="OAJ44" s="292"/>
      <c r="OAK44" s="292"/>
      <c r="OAL44" s="292"/>
      <c r="OAM44" s="292"/>
      <c r="OAN44" s="292"/>
      <c r="OAO44" s="292"/>
      <c r="OAP44" s="292"/>
      <c r="OAQ44" s="292"/>
      <c r="OAR44" s="292"/>
      <c r="OAS44" s="292"/>
      <c r="OAT44" s="292"/>
      <c r="OAU44" s="292"/>
      <c r="OAV44" s="292"/>
      <c r="OAW44" s="292"/>
      <c r="OAX44" s="292"/>
      <c r="OAY44" s="292"/>
      <c r="OAZ44" s="292"/>
      <c r="OBA44" s="292"/>
      <c r="OBB44" s="292"/>
      <c r="OBC44" s="292"/>
      <c r="OBD44" s="292"/>
      <c r="OBE44" s="292"/>
      <c r="OBF44" s="292"/>
      <c r="OBG44" s="292"/>
      <c r="OBH44" s="292"/>
      <c r="OBI44" s="292"/>
      <c r="OBJ44" s="292"/>
      <c r="OBK44" s="292"/>
      <c r="OBL44" s="292"/>
      <c r="OBM44" s="292"/>
      <c r="OBN44" s="292"/>
      <c r="OBO44" s="292"/>
      <c r="OBP44" s="292"/>
      <c r="OBQ44" s="292"/>
      <c r="OBR44" s="292"/>
      <c r="OBS44" s="292"/>
      <c r="OBT44" s="292"/>
      <c r="OBU44" s="292"/>
      <c r="OBV44" s="292"/>
      <c r="OBW44" s="292"/>
      <c r="OBX44" s="292"/>
      <c r="OBY44" s="292"/>
      <c r="OBZ44" s="292"/>
      <c r="OCA44" s="292"/>
      <c r="OCB44" s="292"/>
      <c r="OCC44" s="292"/>
      <c r="OCD44" s="292"/>
      <c r="OCE44" s="292"/>
      <c r="OCF44" s="292"/>
      <c r="OCG44" s="292"/>
      <c r="OCH44" s="292"/>
      <c r="OCI44" s="292"/>
      <c r="OCJ44" s="292"/>
      <c r="OCK44" s="292"/>
      <c r="OCL44" s="292"/>
      <c r="OCM44" s="292"/>
      <c r="OCN44" s="292"/>
      <c r="OCO44" s="292"/>
      <c r="OCP44" s="292"/>
      <c r="OCQ44" s="292"/>
      <c r="OCR44" s="292"/>
      <c r="OCS44" s="292"/>
      <c r="OCT44" s="292"/>
      <c r="OCU44" s="292"/>
      <c r="OCV44" s="292"/>
      <c r="OCW44" s="292"/>
      <c r="OCX44" s="292"/>
      <c r="OCY44" s="292"/>
      <c r="OCZ44" s="292"/>
      <c r="ODA44" s="292"/>
      <c r="ODB44" s="292"/>
      <c r="ODC44" s="292"/>
      <c r="ODD44" s="292"/>
      <c r="ODE44" s="292"/>
      <c r="ODF44" s="292"/>
      <c r="ODG44" s="292"/>
      <c r="ODH44" s="292"/>
      <c r="ODI44" s="292"/>
      <c r="ODJ44" s="292"/>
      <c r="ODK44" s="292"/>
      <c r="ODL44" s="292"/>
      <c r="ODM44" s="292"/>
      <c r="ODN44" s="292"/>
      <c r="ODO44" s="292"/>
      <c r="ODP44" s="292"/>
      <c r="ODQ44" s="292"/>
      <c r="ODR44" s="292"/>
      <c r="ODS44" s="292"/>
      <c r="ODT44" s="292"/>
      <c r="ODU44" s="292"/>
      <c r="ODV44" s="292"/>
      <c r="ODW44" s="292"/>
      <c r="ODX44" s="292"/>
      <c r="ODY44" s="292"/>
      <c r="ODZ44" s="292"/>
      <c r="OEA44" s="292"/>
      <c r="OEB44" s="292"/>
      <c r="OEC44" s="292"/>
      <c r="OED44" s="292"/>
      <c r="OEE44" s="292"/>
      <c r="OEF44" s="292"/>
      <c r="OEG44" s="292"/>
      <c r="OEH44" s="292"/>
      <c r="OEI44" s="292"/>
      <c r="OEJ44" s="292"/>
      <c r="OEK44" s="292"/>
      <c r="OEL44" s="292"/>
      <c r="OEM44" s="292"/>
      <c r="OEN44" s="292"/>
      <c r="OEO44" s="292"/>
      <c r="OEP44" s="292"/>
      <c r="OEQ44" s="292"/>
      <c r="OER44" s="292"/>
      <c r="OES44" s="292"/>
      <c r="OET44" s="292"/>
      <c r="OEU44" s="292"/>
      <c r="OEV44" s="292"/>
      <c r="OEW44" s="292"/>
      <c r="OEX44" s="292"/>
      <c r="OEY44" s="292"/>
      <c r="OEZ44" s="292"/>
      <c r="OFA44" s="292"/>
      <c r="OFB44" s="292"/>
      <c r="OFC44" s="292"/>
      <c r="OFD44" s="292"/>
      <c r="OFE44" s="292"/>
      <c r="OFF44" s="292"/>
      <c r="OFG44" s="292"/>
      <c r="OFH44" s="292"/>
      <c r="OFI44" s="292"/>
      <c r="OFJ44" s="292"/>
      <c r="OFK44" s="292"/>
      <c r="OFL44" s="292"/>
      <c r="OFM44" s="292"/>
      <c r="OFN44" s="292"/>
      <c r="OFO44" s="292"/>
      <c r="OFP44" s="292"/>
      <c r="OFQ44" s="292"/>
      <c r="OFR44" s="292"/>
      <c r="OFS44" s="292"/>
      <c r="OFT44" s="292"/>
      <c r="OFU44" s="292"/>
      <c r="OFV44" s="292"/>
      <c r="OFW44" s="292"/>
      <c r="OFX44" s="292"/>
      <c r="OFY44" s="292"/>
      <c r="OFZ44" s="292"/>
      <c r="OGA44" s="292"/>
      <c r="OGB44" s="292"/>
      <c r="OGC44" s="292"/>
      <c r="OGD44" s="292"/>
      <c r="OGE44" s="292"/>
      <c r="OGF44" s="292"/>
      <c r="OGG44" s="292"/>
      <c r="OGH44" s="292"/>
      <c r="OGI44" s="292"/>
      <c r="OGJ44" s="292"/>
      <c r="OGK44" s="292"/>
      <c r="OGL44" s="292"/>
      <c r="OGM44" s="292"/>
      <c r="OGN44" s="292"/>
      <c r="OGO44" s="292"/>
      <c r="OGP44" s="292"/>
      <c r="OGQ44" s="292"/>
      <c r="OGR44" s="292"/>
      <c r="OGS44" s="292"/>
      <c r="OGT44" s="292"/>
      <c r="OGU44" s="292"/>
      <c r="OGV44" s="292"/>
      <c r="OGW44" s="292"/>
      <c r="OGX44" s="292"/>
      <c r="OGY44" s="292"/>
      <c r="OGZ44" s="292"/>
      <c r="OHA44" s="292"/>
      <c r="OHB44" s="292"/>
      <c r="OHC44" s="292"/>
      <c r="OHD44" s="292"/>
      <c r="OHE44" s="292"/>
      <c r="OHF44" s="292"/>
      <c r="OHG44" s="292"/>
      <c r="OHH44" s="292"/>
      <c r="OHI44" s="292"/>
      <c r="OHJ44" s="292"/>
      <c r="OHK44" s="292"/>
      <c r="OHL44" s="292"/>
      <c r="OHM44" s="292"/>
      <c r="OHN44" s="292"/>
      <c r="OHO44" s="292"/>
      <c r="OHP44" s="292"/>
      <c r="OHQ44" s="292"/>
      <c r="OHR44" s="292"/>
      <c r="OHS44" s="292"/>
      <c r="OHT44" s="292"/>
      <c r="OHU44" s="292"/>
      <c r="OHV44" s="292"/>
      <c r="OHW44" s="292"/>
      <c r="OHX44" s="292"/>
      <c r="OHY44" s="292"/>
      <c r="OHZ44" s="292"/>
      <c r="OIA44" s="292"/>
      <c r="OIB44" s="292"/>
      <c r="OIC44" s="292"/>
      <c r="OID44" s="292"/>
      <c r="OIE44" s="292"/>
      <c r="OIF44" s="292"/>
      <c r="OIG44" s="292"/>
      <c r="OIH44" s="292"/>
      <c r="OII44" s="292"/>
      <c r="OIJ44" s="292"/>
      <c r="OIK44" s="292"/>
      <c r="OIL44" s="292"/>
      <c r="OIM44" s="292"/>
      <c r="OIN44" s="292"/>
      <c r="OIO44" s="292"/>
      <c r="OIP44" s="292"/>
      <c r="OIQ44" s="292"/>
      <c r="OIR44" s="292"/>
      <c r="OIS44" s="292"/>
      <c r="OIT44" s="292"/>
      <c r="OIU44" s="292"/>
      <c r="OIV44" s="292"/>
      <c r="OIW44" s="292"/>
      <c r="OIX44" s="292"/>
      <c r="OIY44" s="292"/>
      <c r="OIZ44" s="292"/>
      <c r="OJA44" s="292"/>
      <c r="OJB44" s="292"/>
      <c r="OJC44" s="292"/>
      <c r="OJD44" s="292"/>
      <c r="OJE44" s="292"/>
      <c r="OJF44" s="292"/>
      <c r="OJG44" s="292"/>
      <c r="OJH44" s="292"/>
      <c r="OJI44" s="292"/>
      <c r="OJJ44" s="292"/>
      <c r="OJK44" s="292"/>
      <c r="OJL44" s="292"/>
      <c r="OJM44" s="292"/>
      <c r="OJN44" s="292"/>
      <c r="OJO44" s="292"/>
      <c r="OJP44" s="292"/>
      <c r="OJQ44" s="292"/>
      <c r="OJR44" s="292"/>
      <c r="OJS44" s="292"/>
      <c r="OJT44" s="292"/>
      <c r="OJU44" s="292"/>
      <c r="OJV44" s="292"/>
      <c r="OJW44" s="292"/>
      <c r="OJX44" s="292"/>
      <c r="OJY44" s="292"/>
      <c r="OJZ44" s="292"/>
      <c r="OKA44" s="292"/>
      <c r="OKB44" s="292"/>
      <c r="OKC44" s="292"/>
      <c r="OKD44" s="292"/>
      <c r="OKE44" s="292"/>
      <c r="OKF44" s="292"/>
      <c r="OKG44" s="292"/>
      <c r="OKH44" s="292"/>
      <c r="OKI44" s="292"/>
      <c r="OKJ44" s="292"/>
      <c r="OKK44" s="292"/>
      <c r="OKL44" s="292"/>
      <c r="OKM44" s="292"/>
      <c r="OKN44" s="292"/>
      <c r="OKO44" s="292"/>
      <c r="OKP44" s="292"/>
      <c r="OKQ44" s="292"/>
      <c r="OKR44" s="292"/>
      <c r="OKS44" s="292"/>
      <c r="OKT44" s="292"/>
      <c r="OKU44" s="292"/>
      <c r="OKV44" s="292"/>
      <c r="OKW44" s="292"/>
      <c r="OKX44" s="292"/>
      <c r="OKY44" s="292"/>
      <c r="OKZ44" s="292"/>
      <c r="OLA44" s="292"/>
      <c r="OLB44" s="292"/>
      <c r="OLC44" s="292"/>
      <c r="OLD44" s="292"/>
      <c r="OLE44" s="292"/>
      <c r="OLF44" s="292"/>
      <c r="OLG44" s="292"/>
      <c r="OLH44" s="292"/>
      <c r="OLI44" s="292"/>
      <c r="OLJ44" s="292"/>
      <c r="OLK44" s="292"/>
      <c r="OLL44" s="292"/>
      <c r="OLM44" s="292"/>
      <c r="OLN44" s="292"/>
      <c r="OLO44" s="292"/>
      <c r="OLP44" s="292"/>
      <c r="OLQ44" s="292"/>
      <c r="OLR44" s="292"/>
      <c r="OLS44" s="292"/>
      <c r="OLT44" s="292"/>
      <c r="OLU44" s="292"/>
      <c r="OLV44" s="292"/>
      <c r="OLW44" s="292"/>
      <c r="OLX44" s="292"/>
      <c r="OLY44" s="292"/>
      <c r="OLZ44" s="292"/>
      <c r="OMA44" s="292"/>
      <c r="OMB44" s="292"/>
      <c r="OMC44" s="292"/>
      <c r="OMD44" s="292"/>
      <c r="OME44" s="292"/>
      <c r="OMF44" s="292"/>
      <c r="OMG44" s="292"/>
      <c r="OMH44" s="292"/>
      <c r="OMI44" s="292"/>
      <c r="OMJ44" s="292"/>
      <c r="OMK44" s="292"/>
      <c r="OML44" s="292"/>
      <c r="OMM44" s="292"/>
      <c r="OMN44" s="292"/>
      <c r="OMO44" s="292"/>
      <c r="OMP44" s="292"/>
      <c r="OMQ44" s="292"/>
      <c r="OMR44" s="292"/>
      <c r="OMS44" s="292"/>
      <c r="OMT44" s="292"/>
      <c r="OMU44" s="292"/>
      <c r="OMV44" s="292"/>
      <c r="OMW44" s="292"/>
      <c r="OMX44" s="292"/>
      <c r="OMY44" s="292"/>
      <c r="OMZ44" s="292"/>
      <c r="ONA44" s="292"/>
      <c r="ONB44" s="292"/>
      <c r="ONC44" s="292"/>
      <c r="OND44" s="292"/>
      <c r="ONE44" s="292"/>
      <c r="ONF44" s="292"/>
      <c r="ONG44" s="292"/>
      <c r="ONH44" s="292"/>
      <c r="ONI44" s="292"/>
      <c r="ONJ44" s="292"/>
      <c r="ONK44" s="292"/>
      <c r="ONL44" s="292"/>
      <c r="ONM44" s="292"/>
      <c r="ONN44" s="292"/>
      <c r="ONO44" s="292"/>
      <c r="ONP44" s="292"/>
      <c r="ONQ44" s="292"/>
      <c r="ONR44" s="292"/>
      <c r="ONS44" s="292"/>
      <c r="ONT44" s="292"/>
      <c r="ONU44" s="292"/>
      <c r="ONV44" s="292"/>
      <c r="ONW44" s="292"/>
      <c r="ONX44" s="292"/>
      <c r="ONY44" s="292"/>
      <c r="ONZ44" s="292"/>
      <c r="OOA44" s="292"/>
      <c r="OOB44" s="292"/>
      <c r="OOC44" s="292"/>
      <c r="OOD44" s="292"/>
      <c r="OOE44" s="292"/>
      <c r="OOF44" s="292"/>
      <c r="OOG44" s="292"/>
      <c r="OOH44" s="292"/>
      <c r="OOI44" s="292"/>
      <c r="OOJ44" s="292"/>
      <c r="OOK44" s="292"/>
      <c r="OOL44" s="292"/>
      <c r="OOM44" s="292"/>
      <c r="OON44" s="292"/>
      <c r="OOO44" s="292"/>
      <c r="OOP44" s="292"/>
      <c r="OOQ44" s="292"/>
      <c r="OOR44" s="292"/>
      <c r="OOS44" s="292"/>
      <c r="OOT44" s="292"/>
      <c r="OOU44" s="292"/>
      <c r="OOV44" s="292"/>
      <c r="OOW44" s="292"/>
      <c r="OOX44" s="292"/>
      <c r="OOY44" s="292"/>
      <c r="OOZ44" s="292"/>
      <c r="OPA44" s="292"/>
      <c r="OPB44" s="292"/>
      <c r="OPC44" s="292"/>
      <c r="OPD44" s="292"/>
      <c r="OPE44" s="292"/>
      <c r="OPF44" s="292"/>
      <c r="OPG44" s="292"/>
      <c r="OPH44" s="292"/>
      <c r="OPI44" s="292"/>
      <c r="OPJ44" s="292"/>
      <c r="OPK44" s="292"/>
      <c r="OPL44" s="292"/>
      <c r="OPM44" s="292"/>
      <c r="OPN44" s="292"/>
      <c r="OPO44" s="292"/>
      <c r="OPP44" s="292"/>
      <c r="OPQ44" s="292"/>
      <c r="OPR44" s="292"/>
      <c r="OPS44" s="292"/>
      <c r="OPT44" s="292"/>
      <c r="OPU44" s="292"/>
      <c r="OPV44" s="292"/>
      <c r="OPW44" s="292"/>
      <c r="OPX44" s="292"/>
      <c r="OPY44" s="292"/>
      <c r="OPZ44" s="292"/>
      <c r="OQA44" s="292"/>
      <c r="OQB44" s="292"/>
      <c r="OQC44" s="292"/>
      <c r="OQD44" s="292"/>
      <c r="OQE44" s="292"/>
      <c r="OQF44" s="292"/>
      <c r="OQG44" s="292"/>
      <c r="OQH44" s="292"/>
      <c r="OQI44" s="292"/>
      <c r="OQJ44" s="292"/>
      <c r="OQK44" s="292"/>
      <c r="OQL44" s="292"/>
      <c r="OQM44" s="292"/>
      <c r="OQN44" s="292"/>
      <c r="OQO44" s="292"/>
      <c r="OQP44" s="292"/>
      <c r="OQQ44" s="292"/>
      <c r="OQR44" s="292"/>
      <c r="OQS44" s="292"/>
      <c r="OQT44" s="292"/>
      <c r="OQU44" s="292"/>
      <c r="OQV44" s="292"/>
      <c r="OQW44" s="292"/>
      <c r="OQX44" s="292"/>
      <c r="OQY44" s="292"/>
      <c r="OQZ44" s="292"/>
      <c r="ORA44" s="292"/>
      <c r="ORB44" s="292"/>
      <c r="ORC44" s="292"/>
      <c r="ORD44" s="292"/>
      <c r="ORE44" s="292"/>
      <c r="ORF44" s="292"/>
      <c r="ORG44" s="292"/>
      <c r="ORH44" s="292"/>
      <c r="ORI44" s="292"/>
      <c r="ORJ44" s="292"/>
      <c r="ORK44" s="292"/>
      <c r="ORL44" s="292"/>
      <c r="ORM44" s="292"/>
      <c r="ORN44" s="292"/>
      <c r="ORO44" s="292"/>
      <c r="ORP44" s="292"/>
      <c r="ORQ44" s="292"/>
      <c r="ORR44" s="292"/>
      <c r="ORS44" s="292"/>
      <c r="ORT44" s="292"/>
      <c r="ORU44" s="292"/>
      <c r="ORV44" s="292"/>
      <c r="ORW44" s="292"/>
      <c r="ORX44" s="292"/>
      <c r="ORY44" s="292"/>
      <c r="ORZ44" s="292"/>
      <c r="OSA44" s="292"/>
      <c r="OSB44" s="292"/>
      <c r="OSC44" s="292"/>
      <c r="OSD44" s="292"/>
      <c r="OSE44" s="292"/>
      <c r="OSF44" s="292"/>
      <c r="OSG44" s="292"/>
      <c r="OSH44" s="292"/>
      <c r="OSI44" s="292"/>
      <c r="OSJ44" s="292"/>
      <c r="OSK44" s="292"/>
      <c r="OSL44" s="292"/>
      <c r="OSM44" s="292"/>
      <c r="OSN44" s="292"/>
      <c r="OSO44" s="292"/>
      <c r="OSP44" s="292"/>
      <c r="OSQ44" s="292"/>
      <c r="OSR44" s="292"/>
      <c r="OSS44" s="292"/>
      <c r="OST44" s="292"/>
      <c r="OSU44" s="292"/>
      <c r="OSV44" s="292"/>
      <c r="OSW44" s="292"/>
      <c r="OSX44" s="292"/>
      <c r="OSY44" s="292"/>
      <c r="OSZ44" s="292"/>
      <c r="OTA44" s="292"/>
      <c r="OTB44" s="292"/>
      <c r="OTC44" s="292"/>
      <c r="OTD44" s="292"/>
      <c r="OTE44" s="292"/>
      <c r="OTF44" s="292"/>
      <c r="OTG44" s="292"/>
      <c r="OTH44" s="292"/>
      <c r="OTI44" s="292"/>
      <c r="OTJ44" s="292"/>
      <c r="OTK44" s="292"/>
      <c r="OTL44" s="292"/>
      <c r="OTM44" s="292"/>
      <c r="OTN44" s="292"/>
      <c r="OTO44" s="292"/>
      <c r="OTP44" s="292"/>
      <c r="OTQ44" s="292"/>
      <c r="OTR44" s="292"/>
      <c r="OTS44" s="292"/>
      <c r="OTT44" s="292"/>
      <c r="OTU44" s="292"/>
      <c r="OTV44" s="292"/>
      <c r="OTW44" s="292"/>
      <c r="OTX44" s="292"/>
      <c r="OTY44" s="292"/>
      <c r="OTZ44" s="292"/>
      <c r="OUA44" s="292"/>
      <c r="OUB44" s="292"/>
      <c r="OUC44" s="292"/>
      <c r="OUD44" s="292"/>
      <c r="OUE44" s="292"/>
      <c r="OUF44" s="292"/>
      <c r="OUG44" s="292"/>
      <c r="OUH44" s="292"/>
      <c r="OUI44" s="292"/>
      <c r="OUJ44" s="292"/>
      <c r="OUK44" s="292"/>
      <c r="OUL44" s="292"/>
      <c r="OUM44" s="292"/>
      <c r="OUN44" s="292"/>
      <c r="OUO44" s="292"/>
      <c r="OUP44" s="292"/>
      <c r="OUQ44" s="292"/>
      <c r="OUR44" s="292"/>
      <c r="OUS44" s="292"/>
      <c r="OUT44" s="292"/>
      <c r="OUU44" s="292"/>
      <c r="OUV44" s="292"/>
      <c r="OUW44" s="292"/>
      <c r="OUX44" s="292"/>
      <c r="OUY44" s="292"/>
      <c r="OUZ44" s="292"/>
      <c r="OVA44" s="292"/>
      <c r="OVB44" s="292"/>
      <c r="OVC44" s="292"/>
      <c r="OVD44" s="292"/>
      <c r="OVE44" s="292"/>
      <c r="OVF44" s="292"/>
      <c r="OVG44" s="292"/>
      <c r="OVH44" s="292"/>
      <c r="OVI44" s="292"/>
      <c r="OVJ44" s="292"/>
      <c r="OVK44" s="292"/>
      <c r="OVL44" s="292"/>
      <c r="OVM44" s="292"/>
      <c r="OVN44" s="292"/>
      <c r="OVO44" s="292"/>
      <c r="OVP44" s="292"/>
      <c r="OVQ44" s="292"/>
      <c r="OVR44" s="292"/>
      <c r="OVS44" s="292"/>
      <c r="OVT44" s="292"/>
      <c r="OVU44" s="292"/>
      <c r="OVV44" s="292"/>
      <c r="OVW44" s="292"/>
      <c r="OVX44" s="292"/>
      <c r="OVY44" s="292"/>
      <c r="OVZ44" s="292"/>
      <c r="OWA44" s="292"/>
      <c r="OWB44" s="292"/>
      <c r="OWC44" s="292"/>
      <c r="OWD44" s="292"/>
      <c r="OWE44" s="292"/>
      <c r="OWF44" s="292"/>
      <c r="OWG44" s="292"/>
      <c r="OWH44" s="292"/>
      <c r="OWI44" s="292"/>
      <c r="OWJ44" s="292"/>
      <c r="OWK44" s="292"/>
      <c r="OWL44" s="292"/>
      <c r="OWM44" s="292"/>
      <c r="OWN44" s="292"/>
      <c r="OWO44" s="292"/>
      <c r="OWP44" s="292"/>
      <c r="OWQ44" s="292"/>
      <c r="OWR44" s="292"/>
      <c r="OWS44" s="292"/>
      <c r="OWT44" s="292"/>
      <c r="OWU44" s="292"/>
      <c r="OWV44" s="292"/>
      <c r="OWW44" s="292"/>
      <c r="OWX44" s="292"/>
      <c r="OWY44" s="292"/>
      <c r="OWZ44" s="292"/>
      <c r="OXA44" s="292"/>
      <c r="OXB44" s="292"/>
      <c r="OXC44" s="292"/>
      <c r="OXD44" s="292"/>
      <c r="OXE44" s="292"/>
      <c r="OXF44" s="292"/>
      <c r="OXG44" s="292"/>
      <c r="OXH44" s="292"/>
      <c r="OXI44" s="292"/>
      <c r="OXJ44" s="292"/>
      <c r="OXK44" s="292"/>
      <c r="OXL44" s="292"/>
      <c r="OXM44" s="292"/>
      <c r="OXN44" s="292"/>
      <c r="OXO44" s="292"/>
      <c r="OXP44" s="292"/>
      <c r="OXQ44" s="292"/>
      <c r="OXR44" s="292"/>
      <c r="OXS44" s="292"/>
      <c r="OXT44" s="292"/>
      <c r="OXU44" s="292"/>
      <c r="OXV44" s="292"/>
      <c r="OXW44" s="292"/>
      <c r="OXX44" s="292"/>
      <c r="OXY44" s="292"/>
      <c r="OXZ44" s="292"/>
      <c r="OYA44" s="292"/>
      <c r="OYB44" s="292"/>
      <c r="OYC44" s="292"/>
      <c r="OYD44" s="292"/>
      <c r="OYE44" s="292"/>
      <c r="OYF44" s="292"/>
      <c r="OYG44" s="292"/>
      <c r="OYH44" s="292"/>
      <c r="OYI44" s="292"/>
      <c r="OYJ44" s="292"/>
      <c r="OYK44" s="292"/>
      <c r="OYL44" s="292"/>
      <c r="OYM44" s="292"/>
      <c r="OYN44" s="292"/>
      <c r="OYO44" s="292"/>
      <c r="OYP44" s="292"/>
      <c r="OYQ44" s="292"/>
      <c r="OYR44" s="292"/>
      <c r="OYS44" s="292"/>
      <c r="OYT44" s="292"/>
      <c r="OYU44" s="292"/>
      <c r="OYV44" s="292"/>
      <c r="OYW44" s="292"/>
      <c r="OYX44" s="292"/>
      <c r="OYY44" s="292"/>
      <c r="OYZ44" s="292"/>
      <c r="OZA44" s="292"/>
      <c r="OZB44" s="292"/>
      <c r="OZC44" s="292"/>
      <c r="OZD44" s="292"/>
      <c r="OZE44" s="292"/>
      <c r="OZF44" s="292"/>
      <c r="OZG44" s="292"/>
      <c r="OZH44" s="292"/>
      <c r="OZI44" s="292"/>
      <c r="OZJ44" s="292"/>
      <c r="OZK44" s="292"/>
      <c r="OZL44" s="292"/>
      <c r="OZM44" s="292"/>
      <c r="OZN44" s="292"/>
      <c r="OZO44" s="292"/>
      <c r="OZP44" s="292"/>
      <c r="OZQ44" s="292"/>
      <c r="OZR44" s="292"/>
      <c r="OZS44" s="292"/>
      <c r="OZT44" s="292"/>
      <c r="OZU44" s="292"/>
      <c r="OZV44" s="292"/>
      <c r="OZW44" s="292"/>
      <c r="OZX44" s="292"/>
      <c r="OZY44" s="292"/>
      <c r="OZZ44" s="292"/>
      <c r="PAA44" s="292"/>
      <c r="PAB44" s="292"/>
      <c r="PAC44" s="292"/>
      <c r="PAD44" s="292"/>
      <c r="PAE44" s="292"/>
      <c r="PAF44" s="292"/>
      <c r="PAG44" s="292"/>
      <c r="PAH44" s="292"/>
      <c r="PAI44" s="292"/>
      <c r="PAJ44" s="292"/>
      <c r="PAK44" s="292"/>
      <c r="PAL44" s="292"/>
      <c r="PAM44" s="292"/>
      <c r="PAN44" s="292"/>
      <c r="PAO44" s="292"/>
      <c r="PAP44" s="292"/>
      <c r="PAQ44" s="292"/>
      <c r="PAR44" s="292"/>
      <c r="PAS44" s="292"/>
      <c r="PAT44" s="292"/>
      <c r="PAU44" s="292"/>
      <c r="PAV44" s="292"/>
      <c r="PAW44" s="292"/>
      <c r="PAX44" s="292"/>
      <c r="PAY44" s="292"/>
      <c r="PAZ44" s="292"/>
      <c r="PBA44" s="292"/>
      <c r="PBB44" s="292"/>
      <c r="PBC44" s="292"/>
      <c r="PBD44" s="292"/>
      <c r="PBE44" s="292"/>
      <c r="PBF44" s="292"/>
      <c r="PBG44" s="292"/>
      <c r="PBH44" s="292"/>
      <c r="PBI44" s="292"/>
      <c r="PBJ44" s="292"/>
      <c r="PBK44" s="292"/>
      <c r="PBL44" s="292"/>
      <c r="PBM44" s="292"/>
      <c r="PBN44" s="292"/>
      <c r="PBO44" s="292"/>
      <c r="PBP44" s="292"/>
      <c r="PBQ44" s="292"/>
      <c r="PBR44" s="292"/>
      <c r="PBS44" s="292"/>
      <c r="PBT44" s="292"/>
      <c r="PBU44" s="292"/>
      <c r="PBV44" s="292"/>
      <c r="PBW44" s="292"/>
      <c r="PBX44" s="292"/>
      <c r="PBY44" s="292"/>
      <c r="PBZ44" s="292"/>
      <c r="PCA44" s="292"/>
      <c r="PCB44" s="292"/>
      <c r="PCC44" s="292"/>
      <c r="PCD44" s="292"/>
      <c r="PCE44" s="292"/>
      <c r="PCF44" s="292"/>
      <c r="PCG44" s="292"/>
      <c r="PCH44" s="292"/>
      <c r="PCI44" s="292"/>
      <c r="PCJ44" s="292"/>
      <c r="PCK44" s="292"/>
      <c r="PCL44" s="292"/>
      <c r="PCM44" s="292"/>
      <c r="PCN44" s="292"/>
      <c r="PCO44" s="292"/>
      <c r="PCP44" s="292"/>
      <c r="PCQ44" s="292"/>
      <c r="PCR44" s="292"/>
      <c r="PCS44" s="292"/>
      <c r="PCT44" s="292"/>
      <c r="PCU44" s="292"/>
      <c r="PCV44" s="292"/>
      <c r="PCW44" s="292"/>
      <c r="PCX44" s="292"/>
      <c r="PCY44" s="292"/>
      <c r="PCZ44" s="292"/>
      <c r="PDA44" s="292"/>
      <c r="PDB44" s="292"/>
      <c r="PDC44" s="292"/>
      <c r="PDD44" s="292"/>
      <c r="PDE44" s="292"/>
      <c r="PDF44" s="292"/>
      <c r="PDG44" s="292"/>
      <c r="PDH44" s="292"/>
      <c r="PDI44" s="292"/>
      <c r="PDJ44" s="292"/>
      <c r="PDK44" s="292"/>
      <c r="PDL44" s="292"/>
      <c r="PDM44" s="292"/>
      <c r="PDN44" s="292"/>
      <c r="PDO44" s="292"/>
      <c r="PDP44" s="292"/>
      <c r="PDQ44" s="292"/>
      <c r="PDR44" s="292"/>
      <c r="PDS44" s="292"/>
      <c r="PDT44" s="292"/>
      <c r="PDU44" s="292"/>
      <c r="PDV44" s="292"/>
      <c r="PDW44" s="292"/>
      <c r="PDX44" s="292"/>
      <c r="PDY44" s="292"/>
      <c r="PDZ44" s="292"/>
      <c r="PEA44" s="292"/>
      <c r="PEB44" s="292"/>
      <c r="PEC44" s="292"/>
      <c r="PED44" s="292"/>
      <c r="PEE44" s="292"/>
      <c r="PEF44" s="292"/>
      <c r="PEG44" s="292"/>
      <c r="PEH44" s="292"/>
      <c r="PEI44" s="292"/>
      <c r="PEJ44" s="292"/>
      <c r="PEK44" s="292"/>
      <c r="PEL44" s="292"/>
      <c r="PEM44" s="292"/>
      <c r="PEN44" s="292"/>
      <c r="PEO44" s="292"/>
      <c r="PEP44" s="292"/>
      <c r="PEQ44" s="292"/>
      <c r="PER44" s="292"/>
      <c r="PES44" s="292"/>
      <c r="PET44" s="292"/>
      <c r="PEU44" s="292"/>
      <c r="PEV44" s="292"/>
      <c r="PEW44" s="292"/>
      <c r="PEX44" s="292"/>
      <c r="PEY44" s="292"/>
      <c r="PEZ44" s="292"/>
      <c r="PFA44" s="292"/>
      <c r="PFB44" s="292"/>
      <c r="PFC44" s="292"/>
      <c r="PFD44" s="292"/>
      <c r="PFE44" s="292"/>
      <c r="PFF44" s="292"/>
      <c r="PFG44" s="292"/>
      <c r="PFH44" s="292"/>
      <c r="PFI44" s="292"/>
      <c r="PFJ44" s="292"/>
      <c r="PFK44" s="292"/>
      <c r="PFL44" s="292"/>
      <c r="PFM44" s="292"/>
      <c r="PFN44" s="292"/>
      <c r="PFO44" s="292"/>
      <c r="PFP44" s="292"/>
      <c r="PFQ44" s="292"/>
      <c r="PFR44" s="292"/>
      <c r="PFS44" s="292"/>
      <c r="PFT44" s="292"/>
      <c r="PFU44" s="292"/>
      <c r="PFV44" s="292"/>
      <c r="PFW44" s="292"/>
      <c r="PFX44" s="292"/>
      <c r="PFY44" s="292"/>
      <c r="PFZ44" s="292"/>
      <c r="PGA44" s="292"/>
      <c r="PGB44" s="292"/>
      <c r="PGC44" s="292"/>
      <c r="PGD44" s="292"/>
      <c r="PGE44" s="292"/>
      <c r="PGF44" s="292"/>
      <c r="PGG44" s="292"/>
      <c r="PGH44" s="292"/>
      <c r="PGI44" s="292"/>
      <c r="PGJ44" s="292"/>
      <c r="PGK44" s="292"/>
      <c r="PGL44" s="292"/>
      <c r="PGM44" s="292"/>
      <c r="PGN44" s="292"/>
      <c r="PGO44" s="292"/>
      <c r="PGP44" s="292"/>
      <c r="PGQ44" s="292"/>
      <c r="PGR44" s="292"/>
      <c r="PGS44" s="292"/>
      <c r="PGT44" s="292"/>
      <c r="PGU44" s="292"/>
      <c r="PGV44" s="292"/>
      <c r="PGW44" s="292"/>
      <c r="PGX44" s="292"/>
      <c r="PGY44" s="292"/>
      <c r="PGZ44" s="292"/>
      <c r="PHA44" s="292"/>
      <c r="PHB44" s="292"/>
      <c r="PHC44" s="292"/>
      <c r="PHD44" s="292"/>
      <c r="PHE44" s="292"/>
      <c r="PHF44" s="292"/>
      <c r="PHG44" s="292"/>
      <c r="PHH44" s="292"/>
      <c r="PHI44" s="292"/>
      <c r="PHJ44" s="292"/>
      <c r="PHK44" s="292"/>
      <c r="PHL44" s="292"/>
      <c r="PHM44" s="292"/>
      <c r="PHN44" s="292"/>
      <c r="PHO44" s="292"/>
      <c r="PHP44" s="292"/>
      <c r="PHQ44" s="292"/>
      <c r="PHR44" s="292"/>
      <c r="PHS44" s="292"/>
      <c r="PHT44" s="292"/>
      <c r="PHU44" s="292"/>
      <c r="PHV44" s="292"/>
      <c r="PHW44" s="292"/>
      <c r="PHX44" s="292"/>
      <c r="PHY44" s="292"/>
      <c r="PHZ44" s="292"/>
      <c r="PIA44" s="292"/>
      <c r="PIB44" s="292"/>
      <c r="PIC44" s="292"/>
      <c r="PID44" s="292"/>
      <c r="PIE44" s="292"/>
      <c r="PIF44" s="292"/>
      <c r="PIG44" s="292"/>
      <c r="PIH44" s="292"/>
      <c r="PII44" s="292"/>
      <c r="PIJ44" s="292"/>
      <c r="PIK44" s="292"/>
      <c r="PIL44" s="292"/>
      <c r="PIM44" s="292"/>
      <c r="PIN44" s="292"/>
      <c r="PIO44" s="292"/>
      <c r="PIP44" s="292"/>
      <c r="PIQ44" s="292"/>
      <c r="PIR44" s="292"/>
      <c r="PIS44" s="292"/>
      <c r="PIT44" s="292"/>
      <c r="PIU44" s="292"/>
      <c r="PIV44" s="292"/>
      <c r="PIW44" s="292"/>
      <c r="PIX44" s="292"/>
      <c r="PIY44" s="292"/>
      <c r="PIZ44" s="292"/>
      <c r="PJA44" s="292"/>
      <c r="PJB44" s="292"/>
      <c r="PJC44" s="292"/>
      <c r="PJD44" s="292"/>
      <c r="PJE44" s="292"/>
      <c r="PJF44" s="292"/>
      <c r="PJG44" s="292"/>
      <c r="PJH44" s="292"/>
      <c r="PJI44" s="292"/>
      <c r="PJJ44" s="292"/>
      <c r="PJK44" s="292"/>
      <c r="PJL44" s="292"/>
      <c r="PJM44" s="292"/>
      <c r="PJN44" s="292"/>
      <c r="PJO44" s="292"/>
      <c r="PJP44" s="292"/>
      <c r="PJQ44" s="292"/>
      <c r="PJR44" s="292"/>
      <c r="PJS44" s="292"/>
      <c r="PJT44" s="292"/>
      <c r="PJU44" s="292"/>
      <c r="PJV44" s="292"/>
      <c r="PJW44" s="292"/>
      <c r="PJX44" s="292"/>
      <c r="PJY44" s="292"/>
      <c r="PJZ44" s="292"/>
      <c r="PKA44" s="292"/>
      <c r="PKB44" s="292"/>
      <c r="PKC44" s="292"/>
      <c r="PKD44" s="292"/>
      <c r="PKE44" s="292"/>
      <c r="PKF44" s="292"/>
      <c r="PKG44" s="292"/>
      <c r="PKH44" s="292"/>
      <c r="PKI44" s="292"/>
      <c r="PKJ44" s="292"/>
      <c r="PKK44" s="292"/>
      <c r="PKL44" s="292"/>
      <c r="PKM44" s="292"/>
      <c r="PKN44" s="292"/>
      <c r="PKO44" s="292"/>
      <c r="PKP44" s="292"/>
      <c r="PKQ44" s="292"/>
      <c r="PKR44" s="292"/>
      <c r="PKS44" s="292"/>
      <c r="PKT44" s="292"/>
      <c r="PKU44" s="292"/>
      <c r="PKV44" s="292"/>
      <c r="PKW44" s="292"/>
      <c r="PKX44" s="292"/>
      <c r="PKY44" s="292"/>
      <c r="PKZ44" s="292"/>
      <c r="PLA44" s="292"/>
      <c r="PLB44" s="292"/>
      <c r="PLC44" s="292"/>
      <c r="PLD44" s="292"/>
      <c r="PLE44" s="292"/>
      <c r="PLF44" s="292"/>
      <c r="PLG44" s="292"/>
      <c r="PLH44" s="292"/>
      <c r="PLI44" s="292"/>
      <c r="PLJ44" s="292"/>
      <c r="PLK44" s="292"/>
      <c r="PLL44" s="292"/>
      <c r="PLM44" s="292"/>
      <c r="PLN44" s="292"/>
      <c r="PLO44" s="292"/>
      <c r="PLP44" s="292"/>
      <c r="PLQ44" s="292"/>
      <c r="PLR44" s="292"/>
      <c r="PLS44" s="292"/>
      <c r="PLT44" s="292"/>
      <c r="PLU44" s="292"/>
      <c r="PLV44" s="292"/>
      <c r="PLW44" s="292"/>
      <c r="PLX44" s="292"/>
      <c r="PLY44" s="292"/>
      <c r="PLZ44" s="292"/>
      <c r="PMA44" s="292"/>
      <c r="PMB44" s="292"/>
      <c r="PMC44" s="292"/>
      <c r="PMD44" s="292"/>
      <c r="PME44" s="292"/>
      <c r="PMF44" s="292"/>
      <c r="PMG44" s="292"/>
      <c r="PMH44" s="292"/>
      <c r="PMI44" s="292"/>
      <c r="PMJ44" s="292"/>
      <c r="PMK44" s="292"/>
      <c r="PML44" s="292"/>
      <c r="PMM44" s="292"/>
      <c r="PMN44" s="292"/>
      <c r="PMO44" s="292"/>
      <c r="PMP44" s="292"/>
      <c r="PMQ44" s="292"/>
      <c r="PMR44" s="292"/>
      <c r="PMS44" s="292"/>
      <c r="PMT44" s="292"/>
      <c r="PMU44" s="292"/>
      <c r="PMV44" s="292"/>
      <c r="PMW44" s="292"/>
      <c r="PMX44" s="292"/>
      <c r="PMY44" s="292"/>
      <c r="PMZ44" s="292"/>
      <c r="PNA44" s="292"/>
      <c r="PNB44" s="292"/>
      <c r="PNC44" s="292"/>
      <c r="PND44" s="292"/>
      <c r="PNE44" s="292"/>
      <c r="PNF44" s="292"/>
      <c r="PNG44" s="292"/>
      <c r="PNH44" s="292"/>
      <c r="PNI44" s="292"/>
      <c r="PNJ44" s="292"/>
      <c r="PNK44" s="292"/>
      <c r="PNL44" s="292"/>
      <c r="PNM44" s="292"/>
      <c r="PNN44" s="292"/>
      <c r="PNO44" s="292"/>
      <c r="PNP44" s="292"/>
      <c r="PNQ44" s="292"/>
      <c r="PNR44" s="292"/>
      <c r="PNS44" s="292"/>
      <c r="PNT44" s="292"/>
      <c r="PNU44" s="292"/>
      <c r="PNV44" s="292"/>
      <c r="PNW44" s="292"/>
      <c r="PNX44" s="292"/>
      <c r="PNY44" s="292"/>
      <c r="PNZ44" s="292"/>
      <c r="POA44" s="292"/>
      <c r="POB44" s="292"/>
      <c r="POC44" s="292"/>
      <c r="POD44" s="292"/>
      <c r="POE44" s="292"/>
      <c r="POF44" s="292"/>
      <c r="POG44" s="292"/>
      <c r="POH44" s="292"/>
      <c r="POI44" s="292"/>
      <c r="POJ44" s="292"/>
      <c r="POK44" s="292"/>
      <c r="POL44" s="292"/>
      <c r="POM44" s="292"/>
      <c r="PON44" s="292"/>
      <c r="POO44" s="292"/>
      <c r="POP44" s="292"/>
      <c r="POQ44" s="292"/>
      <c r="POR44" s="292"/>
      <c r="POS44" s="292"/>
      <c r="POT44" s="292"/>
      <c r="POU44" s="292"/>
      <c r="POV44" s="292"/>
      <c r="POW44" s="292"/>
      <c r="POX44" s="292"/>
      <c r="POY44" s="292"/>
      <c r="POZ44" s="292"/>
      <c r="PPA44" s="292"/>
      <c r="PPB44" s="292"/>
      <c r="PPC44" s="292"/>
      <c r="PPD44" s="292"/>
      <c r="PPE44" s="292"/>
      <c r="PPF44" s="292"/>
      <c r="PPG44" s="292"/>
      <c r="PPH44" s="292"/>
      <c r="PPI44" s="292"/>
      <c r="PPJ44" s="292"/>
      <c r="PPK44" s="292"/>
      <c r="PPL44" s="292"/>
      <c r="PPM44" s="292"/>
      <c r="PPN44" s="292"/>
      <c r="PPO44" s="292"/>
      <c r="PPP44" s="292"/>
      <c r="PPQ44" s="292"/>
      <c r="PPR44" s="292"/>
      <c r="PPS44" s="292"/>
      <c r="PPT44" s="292"/>
      <c r="PPU44" s="292"/>
      <c r="PPV44" s="292"/>
      <c r="PPW44" s="292"/>
      <c r="PPX44" s="292"/>
      <c r="PPY44" s="292"/>
      <c r="PPZ44" s="292"/>
      <c r="PQA44" s="292"/>
      <c r="PQB44" s="292"/>
      <c r="PQC44" s="292"/>
      <c r="PQD44" s="292"/>
      <c r="PQE44" s="292"/>
      <c r="PQF44" s="292"/>
      <c r="PQG44" s="292"/>
      <c r="PQH44" s="292"/>
      <c r="PQI44" s="292"/>
      <c r="PQJ44" s="292"/>
      <c r="PQK44" s="292"/>
      <c r="PQL44" s="292"/>
      <c r="PQM44" s="292"/>
      <c r="PQN44" s="292"/>
      <c r="PQO44" s="292"/>
      <c r="PQP44" s="292"/>
      <c r="PQQ44" s="292"/>
      <c r="PQR44" s="292"/>
      <c r="PQS44" s="292"/>
      <c r="PQT44" s="292"/>
      <c r="PQU44" s="292"/>
      <c r="PQV44" s="292"/>
      <c r="PQW44" s="292"/>
      <c r="PQX44" s="292"/>
      <c r="PQY44" s="292"/>
      <c r="PQZ44" s="292"/>
      <c r="PRA44" s="292"/>
      <c r="PRB44" s="292"/>
      <c r="PRC44" s="292"/>
      <c r="PRD44" s="292"/>
      <c r="PRE44" s="292"/>
      <c r="PRF44" s="292"/>
      <c r="PRG44" s="292"/>
      <c r="PRH44" s="292"/>
      <c r="PRI44" s="292"/>
      <c r="PRJ44" s="292"/>
      <c r="PRK44" s="292"/>
      <c r="PRL44" s="292"/>
      <c r="PRM44" s="292"/>
      <c r="PRN44" s="292"/>
      <c r="PRO44" s="292"/>
      <c r="PRP44" s="292"/>
      <c r="PRQ44" s="292"/>
      <c r="PRR44" s="292"/>
      <c r="PRS44" s="292"/>
      <c r="PRT44" s="292"/>
      <c r="PRU44" s="292"/>
      <c r="PRV44" s="292"/>
      <c r="PRW44" s="292"/>
      <c r="PRX44" s="292"/>
      <c r="PRY44" s="292"/>
      <c r="PRZ44" s="292"/>
      <c r="PSA44" s="292"/>
      <c r="PSB44" s="292"/>
      <c r="PSC44" s="292"/>
      <c r="PSD44" s="292"/>
      <c r="PSE44" s="292"/>
      <c r="PSF44" s="292"/>
      <c r="PSG44" s="292"/>
      <c r="PSH44" s="292"/>
      <c r="PSI44" s="292"/>
      <c r="PSJ44" s="292"/>
      <c r="PSK44" s="292"/>
      <c r="PSL44" s="292"/>
      <c r="PSM44" s="292"/>
      <c r="PSN44" s="292"/>
      <c r="PSO44" s="292"/>
      <c r="PSP44" s="292"/>
      <c r="PSQ44" s="292"/>
      <c r="PSR44" s="292"/>
      <c r="PSS44" s="292"/>
      <c r="PST44" s="292"/>
      <c r="PSU44" s="292"/>
      <c r="PSV44" s="292"/>
      <c r="PSW44" s="292"/>
      <c r="PSX44" s="292"/>
      <c r="PSY44" s="292"/>
      <c r="PSZ44" s="292"/>
      <c r="PTA44" s="292"/>
      <c r="PTB44" s="292"/>
      <c r="PTC44" s="292"/>
      <c r="PTD44" s="292"/>
      <c r="PTE44" s="292"/>
      <c r="PTF44" s="292"/>
      <c r="PTG44" s="292"/>
      <c r="PTH44" s="292"/>
      <c r="PTI44" s="292"/>
      <c r="PTJ44" s="292"/>
      <c r="PTK44" s="292"/>
      <c r="PTL44" s="292"/>
      <c r="PTM44" s="292"/>
      <c r="PTN44" s="292"/>
      <c r="PTO44" s="292"/>
      <c r="PTP44" s="292"/>
      <c r="PTQ44" s="292"/>
      <c r="PTR44" s="292"/>
      <c r="PTS44" s="292"/>
      <c r="PTT44" s="292"/>
      <c r="PTU44" s="292"/>
      <c r="PTV44" s="292"/>
      <c r="PTW44" s="292"/>
      <c r="PTX44" s="292"/>
      <c r="PTY44" s="292"/>
      <c r="PTZ44" s="292"/>
      <c r="PUA44" s="292"/>
      <c r="PUB44" s="292"/>
      <c r="PUC44" s="292"/>
      <c r="PUD44" s="292"/>
      <c r="PUE44" s="292"/>
      <c r="PUF44" s="292"/>
      <c r="PUG44" s="292"/>
      <c r="PUH44" s="292"/>
      <c r="PUI44" s="292"/>
      <c r="PUJ44" s="292"/>
      <c r="PUK44" s="292"/>
      <c r="PUL44" s="292"/>
      <c r="PUM44" s="292"/>
      <c r="PUN44" s="292"/>
      <c r="PUO44" s="292"/>
      <c r="PUP44" s="292"/>
      <c r="PUQ44" s="292"/>
      <c r="PUR44" s="292"/>
      <c r="PUS44" s="292"/>
      <c r="PUT44" s="292"/>
      <c r="PUU44" s="292"/>
      <c r="PUV44" s="292"/>
      <c r="PUW44" s="292"/>
      <c r="PUX44" s="292"/>
      <c r="PUY44" s="292"/>
      <c r="PUZ44" s="292"/>
      <c r="PVA44" s="292"/>
      <c r="PVB44" s="292"/>
      <c r="PVC44" s="292"/>
      <c r="PVD44" s="292"/>
      <c r="PVE44" s="292"/>
      <c r="PVF44" s="292"/>
      <c r="PVG44" s="292"/>
      <c r="PVH44" s="292"/>
      <c r="PVI44" s="292"/>
      <c r="PVJ44" s="292"/>
      <c r="PVK44" s="292"/>
      <c r="PVL44" s="292"/>
      <c r="PVM44" s="292"/>
      <c r="PVN44" s="292"/>
      <c r="PVO44" s="292"/>
      <c r="PVP44" s="292"/>
      <c r="PVQ44" s="292"/>
      <c r="PVR44" s="292"/>
      <c r="PVS44" s="292"/>
      <c r="PVT44" s="292"/>
      <c r="PVU44" s="292"/>
      <c r="PVV44" s="292"/>
      <c r="PVW44" s="292"/>
      <c r="PVX44" s="292"/>
      <c r="PVY44" s="292"/>
      <c r="PVZ44" s="292"/>
      <c r="PWA44" s="292"/>
      <c r="PWB44" s="292"/>
      <c r="PWC44" s="292"/>
      <c r="PWD44" s="292"/>
      <c r="PWE44" s="292"/>
      <c r="PWF44" s="292"/>
      <c r="PWG44" s="292"/>
      <c r="PWH44" s="292"/>
      <c r="PWI44" s="292"/>
      <c r="PWJ44" s="292"/>
      <c r="PWK44" s="292"/>
      <c r="PWL44" s="292"/>
      <c r="PWM44" s="292"/>
      <c r="PWN44" s="292"/>
      <c r="PWO44" s="292"/>
      <c r="PWP44" s="292"/>
      <c r="PWQ44" s="292"/>
      <c r="PWR44" s="292"/>
      <c r="PWS44" s="292"/>
      <c r="PWT44" s="292"/>
      <c r="PWU44" s="292"/>
      <c r="PWV44" s="292"/>
      <c r="PWW44" s="292"/>
      <c r="PWX44" s="292"/>
      <c r="PWY44" s="292"/>
      <c r="PWZ44" s="292"/>
      <c r="PXA44" s="292"/>
      <c r="PXB44" s="292"/>
      <c r="PXC44" s="292"/>
      <c r="PXD44" s="292"/>
      <c r="PXE44" s="292"/>
      <c r="PXF44" s="292"/>
      <c r="PXG44" s="292"/>
      <c r="PXH44" s="292"/>
      <c r="PXI44" s="292"/>
      <c r="PXJ44" s="292"/>
      <c r="PXK44" s="292"/>
      <c r="PXL44" s="292"/>
      <c r="PXM44" s="292"/>
      <c r="PXN44" s="292"/>
      <c r="PXO44" s="292"/>
      <c r="PXP44" s="292"/>
      <c r="PXQ44" s="292"/>
      <c r="PXR44" s="292"/>
      <c r="PXS44" s="292"/>
      <c r="PXT44" s="292"/>
      <c r="PXU44" s="292"/>
      <c r="PXV44" s="292"/>
      <c r="PXW44" s="292"/>
      <c r="PXX44" s="292"/>
      <c r="PXY44" s="292"/>
      <c r="PXZ44" s="292"/>
      <c r="PYA44" s="292"/>
      <c r="PYB44" s="292"/>
      <c r="PYC44" s="292"/>
      <c r="PYD44" s="292"/>
      <c r="PYE44" s="292"/>
      <c r="PYF44" s="292"/>
      <c r="PYG44" s="292"/>
      <c r="PYH44" s="292"/>
      <c r="PYI44" s="292"/>
      <c r="PYJ44" s="292"/>
      <c r="PYK44" s="292"/>
      <c r="PYL44" s="292"/>
      <c r="PYM44" s="292"/>
      <c r="PYN44" s="292"/>
      <c r="PYO44" s="292"/>
      <c r="PYP44" s="292"/>
      <c r="PYQ44" s="292"/>
      <c r="PYR44" s="292"/>
      <c r="PYS44" s="292"/>
      <c r="PYT44" s="292"/>
      <c r="PYU44" s="292"/>
      <c r="PYV44" s="292"/>
      <c r="PYW44" s="292"/>
      <c r="PYX44" s="292"/>
      <c r="PYY44" s="292"/>
      <c r="PYZ44" s="292"/>
      <c r="PZA44" s="292"/>
      <c r="PZB44" s="292"/>
      <c r="PZC44" s="292"/>
      <c r="PZD44" s="292"/>
      <c r="PZE44" s="292"/>
      <c r="PZF44" s="292"/>
      <c r="PZG44" s="292"/>
      <c r="PZH44" s="292"/>
      <c r="PZI44" s="292"/>
      <c r="PZJ44" s="292"/>
      <c r="PZK44" s="292"/>
      <c r="PZL44" s="292"/>
      <c r="PZM44" s="292"/>
      <c r="PZN44" s="292"/>
      <c r="PZO44" s="292"/>
      <c r="PZP44" s="292"/>
      <c r="PZQ44" s="292"/>
      <c r="PZR44" s="292"/>
      <c r="PZS44" s="292"/>
      <c r="PZT44" s="292"/>
      <c r="PZU44" s="292"/>
      <c r="PZV44" s="292"/>
      <c r="PZW44" s="292"/>
      <c r="PZX44" s="292"/>
      <c r="PZY44" s="292"/>
      <c r="PZZ44" s="292"/>
      <c r="QAA44" s="292"/>
      <c r="QAB44" s="292"/>
      <c r="QAC44" s="292"/>
      <c r="QAD44" s="292"/>
      <c r="QAE44" s="292"/>
      <c r="QAF44" s="292"/>
      <c r="QAG44" s="292"/>
      <c r="QAH44" s="292"/>
      <c r="QAI44" s="292"/>
      <c r="QAJ44" s="292"/>
      <c r="QAK44" s="292"/>
      <c r="QAL44" s="292"/>
      <c r="QAM44" s="292"/>
      <c r="QAN44" s="292"/>
      <c r="QAO44" s="292"/>
      <c r="QAP44" s="292"/>
      <c r="QAQ44" s="292"/>
      <c r="QAR44" s="292"/>
      <c r="QAS44" s="292"/>
      <c r="QAT44" s="292"/>
      <c r="QAU44" s="292"/>
      <c r="QAV44" s="292"/>
      <c r="QAW44" s="292"/>
      <c r="QAX44" s="292"/>
      <c r="QAY44" s="292"/>
      <c r="QAZ44" s="292"/>
      <c r="QBA44" s="292"/>
      <c r="QBB44" s="292"/>
      <c r="QBC44" s="292"/>
      <c r="QBD44" s="292"/>
      <c r="QBE44" s="292"/>
      <c r="QBF44" s="292"/>
      <c r="QBG44" s="292"/>
      <c r="QBH44" s="292"/>
      <c r="QBI44" s="292"/>
      <c r="QBJ44" s="292"/>
      <c r="QBK44" s="292"/>
      <c r="QBL44" s="292"/>
      <c r="QBM44" s="292"/>
      <c r="QBN44" s="292"/>
      <c r="QBO44" s="292"/>
      <c r="QBP44" s="292"/>
      <c r="QBQ44" s="292"/>
      <c r="QBR44" s="292"/>
      <c r="QBS44" s="292"/>
      <c r="QBT44" s="292"/>
      <c r="QBU44" s="292"/>
      <c r="QBV44" s="292"/>
      <c r="QBW44" s="292"/>
      <c r="QBX44" s="292"/>
      <c r="QBY44" s="292"/>
      <c r="QBZ44" s="292"/>
      <c r="QCA44" s="292"/>
      <c r="QCB44" s="292"/>
      <c r="QCC44" s="292"/>
      <c r="QCD44" s="292"/>
      <c r="QCE44" s="292"/>
      <c r="QCF44" s="292"/>
      <c r="QCG44" s="292"/>
      <c r="QCH44" s="292"/>
      <c r="QCI44" s="292"/>
      <c r="QCJ44" s="292"/>
      <c r="QCK44" s="292"/>
      <c r="QCL44" s="292"/>
      <c r="QCM44" s="292"/>
      <c r="QCN44" s="292"/>
      <c r="QCO44" s="292"/>
      <c r="QCP44" s="292"/>
      <c r="QCQ44" s="292"/>
      <c r="QCR44" s="292"/>
      <c r="QCS44" s="292"/>
      <c r="QCT44" s="292"/>
      <c r="QCU44" s="292"/>
      <c r="QCV44" s="292"/>
      <c r="QCW44" s="292"/>
      <c r="QCX44" s="292"/>
      <c r="QCY44" s="292"/>
      <c r="QCZ44" s="292"/>
      <c r="QDA44" s="292"/>
      <c r="QDB44" s="292"/>
      <c r="QDC44" s="292"/>
      <c r="QDD44" s="292"/>
      <c r="QDE44" s="292"/>
      <c r="QDF44" s="292"/>
      <c r="QDG44" s="292"/>
      <c r="QDH44" s="292"/>
      <c r="QDI44" s="292"/>
      <c r="QDJ44" s="292"/>
      <c r="QDK44" s="292"/>
      <c r="QDL44" s="292"/>
      <c r="QDM44" s="292"/>
      <c r="QDN44" s="292"/>
      <c r="QDO44" s="292"/>
      <c r="QDP44" s="292"/>
      <c r="QDQ44" s="292"/>
      <c r="QDR44" s="292"/>
      <c r="QDS44" s="292"/>
      <c r="QDT44" s="292"/>
      <c r="QDU44" s="292"/>
      <c r="QDV44" s="292"/>
      <c r="QDW44" s="292"/>
      <c r="QDX44" s="292"/>
      <c r="QDY44" s="292"/>
      <c r="QDZ44" s="292"/>
      <c r="QEA44" s="292"/>
      <c r="QEB44" s="292"/>
      <c r="QEC44" s="292"/>
      <c r="QED44" s="292"/>
      <c r="QEE44" s="292"/>
      <c r="QEF44" s="292"/>
      <c r="QEG44" s="292"/>
      <c r="QEH44" s="292"/>
      <c r="QEI44" s="292"/>
      <c r="QEJ44" s="292"/>
      <c r="QEK44" s="292"/>
      <c r="QEL44" s="292"/>
      <c r="QEM44" s="292"/>
      <c r="QEN44" s="292"/>
      <c r="QEO44" s="292"/>
      <c r="QEP44" s="292"/>
      <c r="QEQ44" s="292"/>
      <c r="QER44" s="292"/>
      <c r="QES44" s="292"/>
      <c r="QET44" s="292"/>
      <c r="QEU44" s="292"/>
      <c r="QEV44" s="292"/>
      <c r="QEW44" s="292"/>
      <c r="QEX44" s="292"/>
      <c r="QEY44" s="292"/>
      <c r="QEZ44" s="292"/>
      <c r="QFA44" s="292"/>
      <c r="QFB44" s="292"/>
      <c r="QFC44" s="292"/>
      <c r="QFD44" s="292"/>
      <c r="QFE44" s="292"/>
      <c r="QFF44" s="292"/>
      <c r="QFG44" s="292"/>
      <c r="QFH44" s="292"/>
      <c r="QFI44" s="292"/>
      <c r="QFJ44" s="292"/>
      <c r="QFK44" s="292"/>
      <c r="QFL44" s="292"/>
      <c r="QFM44" s="292"/>
      <c r="QFN44" s="292"/>
      <c r="QFO44" s="292"/>
      <c r="QFP44" s="292"/>
      <c r="QFQ44" s="292"/>
      <c r="QFR44" s="292"/>
      <c r="QFS44" s="292"/>
      <c r="QFT44" s="292"/>
      <c r="QFU44" s="292"/>
      <c r="QFV44" s="292"/>
      <c r="QFW44" s="292"/>
      <c r="QFX44" s="292"/>
      <c r="QFY44" s="292"/>
      <c r="QFZ44" s="292"/>
      <c r="QGA44" s="292"/>
      <c r="QGB44" s="292"/>
      <c r="QGC44" s="292"/>
      <c r="QGD44" s="292"/>
      <c r="QGE44" s="292"/>
      <c r="QGF44" s="292"/>
      <c r="QGG44" s="292"/>
      <c r="QGH44" s="292"/>
      <c r="QGI44" s="292"/>
      <c r="QGJ44" s="292"/>
      <c r="QGK44" s="292"/>
      <c r="QGL44" s="292"/>
      <c r="QGM44" s="292"/>
      <c r="QGN44" s="292"/>
      <c r="QGO44" s="292"/>
      <c r="QGP44" s="292"/>
      <c r="QGQ44" s="292"/>
      <c r="QGR44" s="292"/>
      <c r="QGS44" s="292"/>
      <c r="QGT44" s="292"/>
      <c r="QGU44" s="292"/>
      <c r="QGV44" s="292"/>
      <c r="QGW44" s="292"/>
      <c r="QGX44" s="292"/>
      <c r="QGY44" s="292"/>
      <c r="QGZ44" s="292"/>
      <c r="QHA44" s="292"/>
      <c r="QHB44" s="292"/>
      <c r="QHC44" s="292"/>
      <c r="QHD44" s="292"/>
      <c r="QHE44" s="292"/>
      <c r="QHF44" s="292"/>
      <c r="QHG44" s="292"/>
      <c r="QHH44" s="292"/>
      <c r="QHI44" s="292"/>
      <c r="QHJ44" s="292"/>
      <c r="QHK44" s="292"/>
      <c r="QHL44" s="292"/>
      <c r="QHM44" s="292"/>
      <c r="QHN44" s="292"/>
      <c r="QHO44" s="292"/>
      <c r="QHP44" s="292"/>
      <c r="QHQ44" s="292"/>
      <c r="QHR44" s="292"/>
      <c r="QHS44" s="292"/>
      <c r="QHT44" s="292"/>
      <c r="QHU44" s="292"/>
      <c r="QHV44" s="292"/>
      <c r="QHW44" s="292"/>
      <c r="QHX44" s="292"/>
      <c r="QHY44" s="292"/>
      <c r="QHZ44" s="292"/>
      <c r="QIA44" s="292"/>
      <c r="QIB44" s="292"/>
      <c r="QIC44" s="292"/>
      <c r="QID44" s="292"/>
      <c r="QIE44" s="292"/>
      <c r="QIF44" s="292"/>
      <c r="QIG44" s="292"/>
      <c r="QIH44" s="292"/>
      <c r="QII44" s="292"/>
      <c r="QIJ44" s="292"/>
      <c r="QIK44" s="292"/>
      <c r="QIL44" s="292"/>
      <c r="QIM44" s="292"/>
      <c r="QIN44" s="292"/>
      <c r="QIO44" s="292"/>
      <c r="QIP44" s="292"/>
      <c r="QIQ44" s="292"/>
      <c r="QIR44" s="292"/>
      <c r="QIS44" s="292"/>
      <c r="QIT44" s="292"/>
      <c r="QIU44" s="292"/>
      <c r="QIV44" s="292"/>
      <c r="QIW44" s="292"/>
      <c r="QIX44" s="292"/>
      <c r="QIY44" s="292"/>
      <c r="QIZ44" s="292"/>
      <c r="QJA44" s="292"/>
      <c r="QJB44" s="292"/>
      <c r="QJC44" s="292"/>
      <c r="QJD44" s="292"/>
      <c r="QJE44" s="292"/>
      <c r="QJF44" s="292"/>
      <c r="QJG44" s="292"/>
      <c r="QJH44" s="292"/>
      <c r="QJI44" s="292"/>
      <c r="QJJ44" s="292"/>
      <c r="QJK44" s="292"/>
      <c r="QJL44" s="292"/>
      <c r="QJM44" s="292"/>
      <c r="QJN44" s="292"/>
      <c r="QJO44" s="292"/>
      <c r="QJP44" s="292"/>
      <c r="QJQ44" s="292"/>
      <c r="QJR44" s="292"/>
      <c r="QJS44" s="292"/>
      <c r="QJT44" s="292"/>
      <c r="QJU44" s="292"/>
      <c r="QJV44" s="292"/>
      <c r="QJW44" s="292"/>
      <c r="QJX44" s="292"/>
      <c r="QJY44" s="292"/>
      <c r="QJZ44" s="292"/>
      <c r="QKA44" s="292"/>
      <c r="QKB44" s="292"/>
      <c r="QKC44" s="292"/>
      <c r="QKD44" s="292"/>
      <c r="QKE44" s="292"/>
      <c r="QKF44" s="292"/>
      <c r="QKG44" s="292"/>
      <c r="QKH44" s="292"/>
      <c r="QKI44" s="292"/>
      <c r="QKJ44" s="292"/>
      <c r="QKK44" s="292"/>
      <c r="QKL44" s="292"/>
      <c r="QKM44" s="292"/>
      <c r="QKN44" s="292"/>
      <c r="QKO44" s="292"/>
      <c r="QKP44" s="292"/>
      <c r="QKQ44" s="292"/>
      <c r="QKR44" s="292"/>
      <c r="QKS44" s="292"/>
      <c r="QKT44" s="292"/>
      <c r="QKU44" s="292"/>
      <c r="QKV44" s="292"/>
      <c r="QKW44" s="292"/>
      <c r="QKX44" s="292"/>
      <c r="QKY44" s="292"/>
      <c r="QKZ44" s="292"/>
      <c r="QLA44" s="292"/>
      <c r="QLB44" s="292"/>
      <c r="QLC44" s="292"/>
      <c r="QLD44" s="292"/>
      <c r="QLE44" s="292"/>
      <c r="QLF44" s="292"/>
      <c r="QLG44" s="292"/>
      <c r="QLH44" s="292"/>
      <c r="QLI44" s="292"/>
      <c r="QLJ44" s="292"/>
      <c r="QLK44" s="292"/>
      <c r="QLL44" s="292"/>
      <c r="QLM44" s="292"/>
      <c r="QLN44" s="292"/>
      <c r="QLO44" s="292"/>
      <c r="QLP44" s="292"/>
      <c r="QLQ44" s="292"/>
      <c r="QLR44" s="292"/>
      <c r="QLS44" s="292"/>
      <c r="QLT44" s="292"/>
      <c r="QLU44" s="292"/>
      <c r="QLV44" s="292"/>
      <c r="QLW44" s="292"/>
      <c r="QLX44" s="292"/>
      <c r="QLY44" s="292"/>
      <c r="QLZ44" s="292"/>
      <c r="QMA44" s="292"/>
      <c r="QMB44" s="292"/>
      <c r="QMC44" s="292"/>
      <c r="QMD44" s="292"/>
      <c r="QME44" s="292"/>
      <c r="QMF44" s="292"/>
      <c r="QMG44" s="292"/>
      <c r="QMH44" s="292"/>
      <c r="QMI44" s="292"/>
      <c r="QMJ44" s="292"/>
      <c r="QMK44" s="292"/>
      <c r="QML44" s="292"/>
      <c r="QMM44" s="292"/>
      <c r="QMN44" s="292"/>
      <c r="QMO44" s="292"/>
      <c r="QMP44" s="292"/>
      <c r="QMQ44" s="292"/>
      <c r="QMR44" s="292"/>
      <c r="QMS44" s="292"/>
      <c r="QMT44" s="292"/>
      <c r="QMU44" s="292"/>
      <c r="QMV44" s="292"/>
      <c r="QMW44" s="292"/>
      <c r="QMX44" s="292"/>
      <c r="QMY44" s="292"/>
      <c r="QMZ44" s="292"/>
      <c r="QNA44" s="292"/>
      <c r="QNB44" s="292"/>
      <c r="QNC44" s="292"/>
      <c r="QND44" s="292"/>
      <c r="QNE44" s="292"/>
      <c r="QNF44" s="292"/>
      <c r="QNG44" s="292"/>
      <c r="QNH44" s="292"/>
      <c r="QNI44" s="292"/>
      <c r="QNJ44" s="292"/>
      <c r="QNK44" s="292"/>
      <c r="QNL44" s="292"/>
      <c r="QNM44" s="292"/>
      <c r="QNN44" s="292"/>
      <c r="QNO44" s="292"/>
      <c r="QNP44" s="292"/>
      <c r="QNQ44" s="292"/>
      <c r="QNR44" s="292"/>
      <c r="QNS44" s="292"/>
      <c r="QNT44" s="292"/>
      <c r="QNU44" s="292"/>
      <c r="QNV44" s="292"/>
      <c r="QNW44" s="292"/>
      <c r="QNX44" s="292"/>
      <c r="QNY44" s="292"/>
      <c r="QNZ44" s="292"/>
      <c r="QOA44" s="292"/>
      <c r="QOB44" s="292"/>
      <c r="QOC44" s="292"/>
      <c r="QOD44" s="292"/>
      <c r="QOE44" s="292"/>
      <c r="QOF44" s="292"/>
      <c r="QOG44" s="292"/>
      <c r="QOH44" s="292"/>
      <c r="QOI44" s="292"/>
      <c r="QOJ44" s="292"/>
      <c r="QOK44" s="292"/>
      <c r="QOL44" s="292"/>
      <c r="QOM44" s="292"/>
      <c r="QON44" s="292"/>
      <c r="QOO44" s="292"/>
      <c r="QOP44" s="292"/>
      <c r="QOQ44" s="292"/>
      <c r="QOR44" s="292"/>
      <c r="QOS44" s="292"/>
      <c r="QOT44" s="292"/>
      <c r="QOU44" s="292"/>
      <c r="QOV44" s="292"/>
      <c r="QOW44" s="292"/>
      <c r="QOX44" s="292"/>
      <c r="QOY44" s="292"/>
      <c r="QOZ44" s="292"/>
      <c r="QPA44" s="292"/>
      <c r="QPB44" s="292"/>
      <c r="QPC44" s="292"/>
      <c r="QPD44" s="292"/>
      <c r="QPE44" s="292"/>
      <c r="QPF44" s="292"/>
      <c r="QPG44" s="292"/>
      <c r="QPH44" s="292"/>
      <c r="QPI44" s="292"/>
      <c r="QPJ44" s="292"/>
      <c r="QPK44" s="292"/>
      <c r="QPL44" s="292"/>
      <c r="QPM44" s="292"/>
      <c r="QPN44" s="292"/>
      <c r="QPO44" s="292"/>
      <c r="QPP44" s="292"/>
      <c r="QPQ44" s="292"/>
      <c r="QPR44" s="292"/>
      <c r="QPS44" s="292"/>
      <c r="QPT44" s="292"/>
      <c r="QPU44" s="292"/>
      <c r="QPV44" s="292"/>
      <c r="QPW44" s="292"/>
      <c r="QPX44" s="292"/>
      <c r="QPY44" s="292"/>
      <c r="QPZ44" s="292"/>
      <c r="QQA44" s="292"/>
      <c r="QQB44" s="292"/>
      <c r="QQC44" s="292"/>
      <c r="QQD44" s="292"/>
      <c r="QQE44" s="292"/>
      <c r="QQF44" s="292"/>
      <c r="QQG44" s="292"/>
      <c r="QQH44" s="292"/>
      <c r="QQI44" s="292"/>
      <c r="QQJ44" s="292"/>
      <c r="QQK44" s="292"/>
      <c r="QQL44" s="292"/>
      <c r="QQM44" s="292"/>
      <c r="QQN44" s="292"/>
      <c r="QQO44" s="292"/>
      <c r="QQP44" s="292"/>
      <c r="QQQ44" s="292"/>
      <c r="QQR44" s="292"/>
      <c r="QQS44" s="292"/>
      <c r="QQT44" s="292"/>
      <c r="QQU44" s="292"/>
      <c r="QQV44" s="292"/>
      <c r="QQW44" s="292"/>
      <c r="QQX44" s="292"/>
      <c r="QQY44" s="292"/>
      <c r="QQZ44" s="292"/>
      <c r="QRA44" s="292"/>
      <c r="QRB44" s="292"/>
      <c r="QRC44" s="292"/>
      <c r="QRD44" s="292"/>
      <c r="QRE44" s="292"/>
      <c r="QRF44" s="292"/>
      <c r="QRG44" s="292"/>
      <c r="QRH44" s="292"/>
      <c r="QRI44" s="292"/>
      <c r="QRJ44" s="292"/>
      <c r="QRK44" s="292"/>
      <c r="QRL44" s="292"/>
      <c r="QRM44" s="292"/>
      <c r="QRN44" s="292"/>
      <c r="QRO44" s="292"/>
      <c r="QRP44" s="292"/>
      <c r="QRQ44" s="292"/>
      <c r="QRR44" s="292"/>
      <c r="QRS44" s="292"/>
      <c r="QRT44" s="292"/>
      <c r="QRU44" s="292"/>
      <c r="QRV44" s="292"/>
      <c r="QRW44" s="292"/>
      <c r="QRX44" s="292"/>
      <c r="QRY44" s="292"/>
      <c r="QRZ44" s="292"/>
      <c r="QSA44" s="292"/>
      <c r="QSB44" s="292"/>
      <c r="QSC44" s="292"/>
      <c r="QSD44" s="292"/>
      <c r="QSE44" s="292"/>
      <c r="QSF44" s="292"/>
      <c r="QSG44" s="292"/>
      <c r="QSH44" s="292"/>
      <c r="QSI44" s="292"/>
      <c r="QSJ44" s="292"/>
      <c r="QSK44" s="292"/>
      <c r="QSL44" s="292"/>
      <c r="QSM44" s="292"/>
      <c r="QSN44" s="292"/>
      <c r="QSO44" s="292"/>
      <c r="QSP44" s="292"/>
      <c r="QSQ44" s="292"/>
      <c r="QSR44" s="292"/>
      <c r="QSS44" s="292"/>
      <c r="QST44" s="292"/>
      <c r="QSU44" s="292"/>
      <c r="QSV44" s="292"/>
      <c r="QSW44" s="292"/>
      <c r="QSX44" s="292"/>
      <c r="QSY44" s="292"/>
      <c r="QSZ44" s="292"/>
      <c r="QTA44" s="292"/>
      <c r="QTB44" s="292"/>
      <c r="QTC44" s="292"/>
      <c r="QTD44" s="292"/>
      <c r="QTE44" s="292"/>
      <c r="QTF44" s="292"/>
      <c r="QTG44" s="292"/>
      <c r="QTH44" s="292"/>
      <c r="QTI44" s="292"/>
      <c r="QTJ44" s="292"/>
      <c r="QTK44" s="292"/>
      <c r="QTL44" s="292"/>
      <c r="QTM44" s="292"/>
      <c r="QTN44" s="292"/>
      <c r="QTO44" s="292"/>
      <c r="QTP44" s="292"/>
      <c r="QTQ44" s="292"/>
      <c r="QTR44" s="292"/>
      <c r="QTS44" s="292"/>
      <c r="QTT44" s="292"/>
      <c r="QTU44" s="292"/>
      <c r="QTV44" s="292"/>
      <c r="QTW44" s="292"/>
      <c r="QTX44" s="292"/>
      <c r="QTY44" s="292"/>
      <c r="QTZ44" s="292"/>
      <c r="QUA44" s="292"/>
      <c r="QUB44" s="292"/>
      <c r="QUC44" s="292"/>
      <c r="QUD44" s="292"/>
      <c r="QUE44" s="292"/>
      <c r="QUF44" s="292"/>
      <c r="QUG44" s="292"/>
      <c r="QUH44" s="292"/>
      <c r="QUI44" s="292"/>
      <c r="QUJ44" s="292"/>
      <c r="QUK44" s="292"/>
      <c r="QUL44" s="292"/>
      <c r="QUM44" s="292"/>
      <c r="QUN44" s="292"/>
      <c r="QUO44" s="292"/>
      <c r="QUP44" s="292"/>
      <c r="QUQ44" s="292"/>
      <c r="QUR44" s="292"/>
      <c r="QUS44" s="292"/>
      <c r="QUT44" s="292"/>
      <c r="QUU44" s="292"/>
      <c r="QUV44" s="292"/>
      <c r="QUW44" s="292"/>
      <c r="QUX44" s="292"/>
      <c r="QUY44" s="292"/>
      <c r="QUZ44" s="292"/>
      <c r="QVA44" s="292"/>
      <c r="QVB44" s="292"/>
      <c r="QVC44" s="292"/>
      <c r="QVD44" s="292"/>
      <c r="QVE44" s="292"/>
      <c r="QVF44" s="292"/>
      <c r="QVG44" s="292"/>
      <c r="QVH44" s="292"/>
      <c r="QVI44" s="292"/>
      <c r="QVJ44" s="292"/>
      <c r="QVK44" s="292"/>
      <c r="QVL44" s="292"/>
      <c r="QVM44" s="292"/>
      <c r="QVN44" s="292"/>
      <c r="QVO44" s="292"/>
      <c r="QVP44" s="292"/>
      <c r="QVQ44" s="292"/>
      <c r="QVR44" s="292"/>
      <c r="QVS44" s="292"/>
      <c r="QVT44" s="292"/>
      <c r="QVU44" s="292"/>
      <c r="QVV44" s="292"/>
      <c r="QVW44" s="292"/>
      <c r="QVX44" s="292"/>
      <c r="QVY44" s="292"/>
      <c r="QVZ44" s="292"/>
      <c r="QWA44" s="292"/>
      <c r="QWB44" s="292"/>
      <c r="QWC44" s="292"/>
      <c r="QWD44" s="292"/>
      <c r="QWE44" s="292"/>
      <c r="QWF44" s="292"/>
      <c r="QWG44" s="292"/>
      <c r="QWH44" s="292"/>
      <c r="QWI44" s="292"/>
      <c r="QWJ44" s="292"/>
      <c r="QWK44" s="292"/>
      <c r="QWL44" s="292"/>
      <c r="QWM44" s="292"/>
      <c r="QWN44" s="292"/>
      <c r="QWO44" s="292"/>
      <c r="QWP44" s="292"/>
      <c r="QWQ44" s="292"/>
      <c r="QWR44" s="292"/>
      <c r="QWS44" s="292"/>
      <c r="QWT44" s="292"/>
      <c r="QWU44" s="292"/>
      <c r="QWV44" s="292"/>
      <c r="QWW44" s="292"/>
      <c r="QWX44" s="292"/>
      <c r="QWY44" s="292"/>
      <c r="QWZ44" s="292"/>
      <c r="QXA44" s="292"/>
      <c r="QXB44" s="292"/>
      <c r="QXC44" s="292"/>
      <c r="QXD44" s="292"/>
      <c r="QXE44" s="292"/>
      <c r="QXF44" s="292"/>
      <c r="QXG44" s="292"/>
      <c r="QXH44" s="292"/>
      <c r="QXI44" s="292"/>
      <c r="QXJ44" s="292"/>
      <c r="QXK44" s="292"/>
      <c r="QXL44" s="292"/>
      <c r="QXM44" s="292"/>
      <c r="QXN44" s="292"/>
      <c r="QXO44" s="292"/>
      <c r="QXP44" s="292"/>
      <c r="QXQ44" s="292"/>
      <c r="QXR44" s="292"/>
      <c r="QXS44" s="292"/>
      <c r="QXT44" s="292"/>
      <c r="QXU44" s="292"/>
      <c r="QXV44" s="292"/>
      <c r="QXW44" s="292"/>
      <c r="QXX44" s="292"/>
      <c r="QXY44" s="292"/>
      <c r="QXZ44" s="292"/>
      <c r="QYA44" s="292"/>
      <c r="QYB44" s="292"/>
      <c r="QYC44" s="292"/>
      <c r="QYD44" s="292"/>
      <c r="QYE44" s="292"/>
      <c r="QYF44" s="292"/>
      <c r="QYG44" s="292"/>
      <c r="QYH44" s="292"/>
      <c r="QYI44" s="292"/>
      <c r="QYJ44" s="292"/>
      <c r="QYK44" s="292"/>
      <c r="QYL44" s="292"/>
      <c r="QYM44" s="292"/>
      <c r="QYN44" s="292"/>
      <c r="QYO44" s="292"/>
      <c r="QYP44" s="292"/>
      <c r="QYQ44" s="292"/>
      <c r="QYR44" s="292"/>
      <c r="QYS44" s="292"/>
      <c r="QYT44" s="292"/>
      <c r="QYU44" s="292"/>
      <c r="QYV44" s="292"/>
      <c r="QYW44" s="292"/>
      <c r="QYX44" s="292"/>
      <c r="QYY44" s="292"/>
      <c r="QYZ44" s="292"/>
      <c r="QZA44" s="292"/>
      <c r="QZB44" s="292"/>
      <c r="QZC44" s="292"/>
      <c r="QZD44" s="292"/>
      <c r="QZE44" s="292"/>
      <c r="QZF44" s="292"/>
      <c r="QZG44" s="292"/>
      <c r="QZH44" s="292"/>
      <c r="QZI44" s="292"/>
      <c r="QZJ44" s="292"/>
      <c r="QZK44" s="292"/>
      <c r="QZL44" s="292"/>
      <c r="QZM44" s="292"/>
      <c r="QZN44" s="292"/>
      <c r="QZO44" s="292"/>
      <c r="QZP44" s="292"/>
      <c r="QZQ44" s="292"/>
      <c r="QZR44" s="292"/>
      <c r="QZS44" s="292"/>
      <c r="QZT44" s="292"/>
      <c r="QZU44" s="292"/>
      <c r="QZV44" s="292"/>
      <c r="QZW44" s="292"/>
      <c r="QZX44" s="292"/>
      <c r="QZY44" s="292"/>
      <c r="QZZ44" s="292"/>
      <c r="RAA44" s="292"/>
      <c r="RAB44" s="292"/>
      <c r="RAC44" s="292"/>
      <c r="RAD44" s="292"/>
      <c r="RAE44" s="292"/>
      <c r="RAF44" s="292"/>
      <c r="RAG44" s="292"/>
      <c r="RAH44" s="292"/>
      <c r="RAI44" s="292"/>
      <c r="RAJ44" s="292"/>
      <c r="RAK44" s="292"/>
      <c r="RAL44" s="292"/>
      <c r="RAM44" s="292"/>
      <c r="RAN44" s="292"/>
      <c r="RAO44" s="292"/>
      <c r="RAP44" s="292"/>
      <c r="RAQ44" s="292"/>
      <c r="RAR44" s="292"/>
      <c r="RAS44" s="292"/>
      <c r="RAT44" s="292"/>
      <c r="RAU44" s="292"/>
      <c r="RAV44" s="292"/>
      <c r="RAW44" s="292"/>
      <c r="RAX44" s="292"/>
      <c r="RAY44" s="292"/>
      <c r="RAZ44" s="292"/>
      <c r="RBA44" s="292"/>
      <c r="RBB44" s="292"/>
      <c r="RBC44" s="292"/>
      <c r="RBD44" s="292"/>
      <c r="RBE44" s="292"/>
      <c r="RBF44" s="292"/>
      <c r="RBG44" s="292"/>
      <c r="RBH44" s="292"/>
      <c r="RBI44" s="292"/>
      <c r="RBJ44" s="292"/>
      <c r="RBK44" s="292"/>
      <c r="RBL44" s="292"/>
      <c r="RBM44" s="292"/>
      <c r="RBN44" s="292"/>
      <c r="RBO44" s="292"/>
      <c r="RBP44" s="292"/>
      <c r="RBQ44" s="292"/>
      <c r="RBR44" s="292"/>
      <c r="RBS44" s="292"/>
      <c r="RBT44" s="292"/>
      <c r="RBU44" s="292"/>
      <c r="RBV44" s="292"/>
      <c r="RBW44" s="292"/>
      <c r="RBX44" s="292"/>
      <c r="RBY44" s="292"/>
      <c r="RBZ44" s="292"/>
      <c r="RCA44" s="292"/>
      <c r="RCB44" s="292"/>
      <c r="RCC44" s="292"/>
      <c r="RCD44" s="292"/>
      <c r="RCE44" s="292"/>
      <c r="RCF44" s="292"/>
      <c r="RCG44" s="292"/>
      <c r="RCH44" s="292"/>
      <c r="RCI44" s="292"/>
      <c r="RCJ44" s="292"/>
      <c r="RCK44" s="292"/>
      <c r="RCL44" s="292"/>
      <c r="RCM44" s="292"/>
      <c r="RCN44" s="292"/>
      <c r="RCO44" s="292"/>
      <c r="RCP44" s="292"/>
      <c r="RCQ44" s="292"/>
      <c r="RCR44" s="292"/>
      <c r="RCS44" s="292"/>
      <c r="RCT44" s="292"/>
      <c r="RCU44" s="292"/>
      <c r="RCV44" s="292"/>
      <c r="RCW44" s="292"/>
      <c r="RCX44" s="292"/>
      <c r="RCY44" s="292"/>
      <c r="RCZ44" s="292"/>
      <c r="RDA44" s="292"/>
      <c r="RDB44" s="292"/>
      <c r="RDC44" s="292"/>
      <c r="RDD44" s="292"/>
      <c r="RDE44" s="292"/>
      <c r="RDF44" s="292"/>
      <c r="RDG44" s="292"/>
      <c r="RDH44" s="292"/>
      <c r="RDI44" s="292"/>
      <c r="RDJ44" s="292"/>
      <c r="RDK44" s="292"/>
      <c r="RDL44" s="292"/>
      <c r="RDM44" s="292"/>
      <c r="RDN44" s="292"/>
      <c r="RDO44" s="292"/>
      <c r="RDP44" s="292"/>
      <c r="RDQ44" s="292"/>
      <c r="RDR44" s="292"/>
      <c r="RDS44" s="292"/>
      <c r="RDT44" s="292"/>
      <c r="RDU44" s="292"/>
      <c r="RDV44" s="292"/>
      <c r="RDW44" s="292"/>
      <c r="RDX44" s="292"/>
      <c r="RDY44" s="292"/>
      <c r="RDZ44" s="292"/>
      <c r="REA44" s="292"/>
      <c r="REB44" s="292"/>
      <c r="REC44" s="292"/>
      <c r="RED44" s="292"/>
      <c r="REE44" s="292"/>
      <c r="REF44" s="292"/>
      <c r="REG44" s="292"/>
      <c r="REH44" s="292"/>
      <c r="REI44" s="292"/>
      <c r="REJ44" s="292"/>
      <c r="REK44" s="292"/>
      <c r="REL44" s="292"/>
      <c r="REM44" s="292"/>
      <c r="REN44" s="292"/>
      <c r="REO44" s="292"/>
      <c r="REP44" s="292"/>
      <c r="REQ44" s="292"/>
      <c r="RER44" s="292"/>
      <c r="RES44" s="292"/>
      <c r="RET44" s="292"/>
      <c r="REU44" s="292"/>
      <c r="REV44" s="292"/>
      <c r="REW44" s="292"/>
      <c r="REX44" s="292"/>
      <c r="REY44" s="292"/>
      <c r="REZ44" s="292"/>
      <c r="RFA44" s="292"/>
      <c r="RFB44" s="292"/>
      <c r="RFC44" s="292"/>
      <c r="RFD44" s="292"/>
      <c r="RFE44" s="292"/>
      <c r="RFF44" s="292"/>
      <c r="RFG44" s="292"/>
      <c r="RFH44" s="292"/>
      <c r="RFI44" s="292"/>
      <c r="RFJ44" s="292"/>
      <c r="RFK44" s="292"/>
      <c r="RFL44" s="292"/>
      <c r="RFM44" s="292"/>
      <c r="RFN44" s="292"/>
      <c r="RFO44" s="292"/>
      <c r="RFP44" s="292"/>
      <c r="RFQ44" s="292"/>
      <c r="RFR44" s="292"/>
      <c r="RFS44" s="292"/>
      <c r="RFT44" s="292"/>
      <c r="RFU44" s="292"/>
      <c r="RFV44" s="292"/>
      <c r="RFW44" s="292"/>
      <c r="RFX44" s="292"/>
      <c r="RFY44" s="292"/>
      <c r="RFZ44" s="292"/>
      <c r="RGA44" s="292"/>
      <c r="RGB44" s="292"/>
      <c r="RGC44" s="292"/>
      <c r="RGD44" s="292"/>
      <c r="RGE44" s="292"/>
      <c r="RGF44" s="292"/>
      <c r="RGG44" s="292"/>
      <c r="RGH44" s="292"/>
      <c r="RGI44" s="292"/>
      <c r="RGJ44" s="292"/>
      <c r="RGK44" s="292"/>
      <c r="RGL44" s="292"/>
      <c r="RGM44" s="292"/>
      <c r="RGN44" s="292"/>
      <c r="RGO44" s="292"/>
      <c r="RGP44" s="292"/>
      <c r="RGQ44" s="292"/>
      <c r="RGR44" s="292"/>
      <c r="RGS44" s="292"/>
      <c r="RGT44" s="292"/>
      <c r="RGU44" s="292"/>
      <c r="RGV44" s="292"/>
      <c r="RGW44" s="292"/>
      <c r="RGX44" s="292"/>
      <c r="RGY44" s="292"/>
      <c r="RGZ44" s="292"/>
      <c r="RHA44" s="292"/>
      <c r="RHB44" s="292"/>
      <c r="RHC44" s="292"/>
      <c r="RHD44" s="292"/>
      <c r="RHE44" s="292"/>
      <c r="RHF44" s="292"/>
      <c r="RHG44" s="292"/>
      <c r="RHH44" s="292"/>
      <c r="RHI44" s="292"/>
      <c r="RHJ44" s="292"/>
      <c r="RHK44" s="292"/>
      <c r="RHL44" s="292"/>
      <c r="RHM44" s="292"/>
      <c r="RHN44" s="292"/>
      <c r="RHO44" s="292"/>
      <c r="RHP44" s="292"/>
      <c r="RHQ44" s="292"/>
      <c r="RHR44" s="292"/>
      <c r="RHS44" s="292"/>
      <c r="RHT44" s="292"/>
      <c r="RHU44" s="292"/>
      <c r="RHV44" s="292"/>
      <c r="RHW44" s="292"/>
      <c r="RHX44" s="292"/>
      <c r="RHY44" s="292"/>
      <c r="RHZ44" s="292"/>
      <c r="RIA44" s="292"/>
      <c r="RIB44" s="292"/>
      <c r="RIC44" s="292"/>
      <c r="RID44" s="292"/>
      <c r="RIE44" s="292"/>
      <c r="RIF44" s="292"/>
      <c r="RIG44" s="292"/>
      <c r="RIH44" s="292"/>
      <c r="RII44" s="292"/>
      <c r="RIJ44" s="292"/>
      <c r="RIK44" s="292"/>
      <c r="RIL44" s="292"/>
      <c r="RIM44" s="292"/>
      <c r="RIN44" s="292"/>
      <c r="RIO44" s="292"/>
      <c r="RIP44" s="292"/>
      <c r="RIQ44" s="292"/>
      <c r="RIR44" s="292"/>
      <c r="RIS44" s="292"/>
      <c r="RIT44" s="292"/>
      <c r="RIU44" s="292"/>
      <c r="RIV44" s="292"/>
      <c r="RIW44" s="292"/>
      <c r="RIX44" s="292"/>
      <c r="RIY44" s="292"/>
      <c r="RIZ44" s="292"/>
      <c r="RJA44" s="292"/>
      <c r="RJB44" s="292"/>
      <c r="RJC44" s="292"/>
      <c r="RJD44" s="292"/>
      <c r="RJE44" s="292"/>
      <c r="RJF44" s="292"/>
      <c r="RJG44" s="292"/>
      <c r="RJH44" s="292"/>
      <c r="RJI44" s="292"/>
      <c r="RJJ44" s="292"/>
      <c r="RJK44" s="292"/>
      <c r="RJL44" s="292"/>
      <c r="RJM44" s="292"/>
      <c r="RJN44" s="292"/>
      <c r="RJO44" s="292"/>
      <c r="RJP44" s="292"/>
      <c r="RJQ44" s="292"/>
      <c r="RJR44" s="292"/>
      <c r="RJS44" s="292"/>
      <c r="RJT44" s="292"/>
      <c r="RJU44" s="292"/>
      <c r="RJV44" s="292"/>
      <c r="RJW44" s="292"/>
      <c r="RJX44" s="292"/>
      <c r="RJY44" s="292"/>
      <c r="RJZ44" s="292"/>
      <c r="RKA44" s="292"/>
      <c r="RKB44" s="292"/>
      <c r="RKC44" s="292"/>
      <c r="RKD44" s="292"/>
      <c r="RKE44" s="292"/>
      <c r="RKF44" s="292"/>
      <c r="RKG44" s="292"/>
      <c r="RKH44" s="292"/>
      <c r="RKI44" s="292"/>
      <c r="RKJ44" s="292"/>
      <c r="RKK44" s="292"/>
      <c r="RKL44" s="292"/>
      <c r="RKM44" s="292"/>
      <c r="RKN44" s="292"/>
      <c r="RKO44" s="292"/>
      <c r="RKP44" s="292"/>
      <c r="RKQ44" s="292"/>
      <c r="RKR44" s="292"/>
      <c r="RKS44" s="292"/>
      <c r="RKT44" s="292"/>
      <c r="RKU44" s="292"/>
      <c r="RKV44" s="292"/>
      <c r="RKW44" s="292"/>
      <c r="RKX44" s="292"/>
      <c r="RKY44" s="292"/>
      <c r="RKZ44" s="292"/>
      <c r="RLA44" s="292"/>
      <c r="RLB44" s="292"/>
      <c r="RLC44" s="292"/>
      <c r="RLD44" s="292"/>
      <c r="RLE44" s="292"/>
      <c r="RLF44" s="292"/>
      <c r="RLG44" s="292"/>
      <c r="RLH44" s="292"/>
      <c r="RLI44" s="292"/>
      <c r="RLJ44" s="292"/>
      <c r="RLK44" s="292"/>
      <c r="RLL44" s="292"/>
      <c r="RLM44" s="292"/>
      <c r="RLN44" s="292"/>
      <c r="RLO44" s="292"/>
      <c r="RLP44" s="292"/>
      <c r="RLQ44" s="292"/>
      <c r="RLR44" s="292"/>
      <c r="RLS44" s="292"/>
      <c r="RLT44" s="292"/>
      <c r="RLU44" s="292"/>
      <c r="RLV44" s="292"/>
      <c r="RLW44" s="292"/>
      <c r="RLX44" s="292"/>
      <c r="RLY44" s="292"/>
      <c r="RLZ44" s="292"/>
      <c r="RMA44" s="292"/>
      <c r="RMB44" s="292"/>
      <c r="RMC44" s="292"/>
      <c r="RMD44" s="292"/>
      <c r="RME44" s="292"/>
      <c r="RMF44" s="292"/>
      <c r="RMG44" s="292"/>
      <c r="RMH44" s="292"/>
      <c r="RMI44" s="292"/>
      <c r="RMJ44" s="292"/>
      <c r="RMK44" s="292"/>
      <c r="RML44" s="292"/>
      <c r="RMM44" s="292"/>
      <c r="RMN44" s="292"/>
      <c r="RMO44" s="292"/>
      <c r="RMP44" s="292"/>
      <c r="RMQ44" s="292"/>
      <c r="RMR44" s="292"/>
      <c r="RMS44" s="292"/>
      <c r="RMT44" s="292"/>
      <c r="RMU44" s="292"/>
      <c r="RMV44" s="292"/>
      <c r="RMW44" s="292"/>
      <c r="RMX44" s="292"/>
      <c r="RMY44" s="292"/>
      <c r="RMZ44" s="292"/>
      <c r="RNA44" s="292"/>
      <c r="RNB44" s="292"/>
      <c r="RNC44" s="292"/>
      <c r="RND44" s="292"/>
      <c r="RNE44" s="292"/>
      <c r="RNF44" s="292"/>
      <c r="RNG44" s="292"/>
      <c r="RNH44" s="292"/>
      <c r="RNI44" s="292"/>
      <c r="RNJ44" s="292"/>
      <c r="RNK44" s="292"/>
      <c r="RNL44" s="292"/>
      <c r="RNM44" s="292"/>
      <c r="RNN44" s="292"/>
      <c r="RNO44" s="292"/>
      <c r="RNP44" s="292"/>
      <c r="RNQ44" s="292"/>
      <c r="RNR44" s="292"/>
      <c r="RNS44" s="292"/>
      <c r="RNT44" s="292"/>
      <c r="RNU44" s="292"/>
      <c r="RNV44" s="292"/>
      <c r="RNW44" s="292"/>
      <c r="RNX44" s="292"/>
      <c r="RNY44" s="292"/>
      <c r="RNZ44" s="292"/>
      <c r="ROA44" s="292"/>
      <c r="ROB44" s="292"/>
      <c r="ROC44" s="292"/>
      <c r="ROD44" s="292"/>
      <c r="ROE44" s="292"/>
      <c r="ROF44" s="292"/>
      <c r="ROG44" s="292"/>
      <c r="ROH44" s="292"/>
      <c r="ROI44" s="292"/>
      <c r="ROJ44" s="292"/>
      <c r="ROK44" s="292"/>
      <c r="ROL44" s="292"/>
      <c r="ROM44" s="292"/>
      <c r="RON44" s="292"/>
      <c r="ROO44" s="292"/>
      <c r="ROP44" s="292"/>
      <c r="ROQ44" s="292"/>
      <c r="ROR44" s="292"/>
      <c r="ROS44" s="292"/>
      <c r="ROT44" s="292"/>
      <c r="ROU44" s="292"/>
      <c r="ROV44" s="292"/>
      <c r="ROW44" s="292"/>
      <c r="ROX44" s="292"/>
      <c r="ROY44" s="292"/>
      <c r="ROZ44" s="292"/>
      <c r="RPA44" s="292"/>
      <c r="RPB44" s="292"/>
      <c r="RPC44" s="292"/>
      <c r="RPD44" s="292"/>
      <c r="RPE44" s="292"/>
      <c r="RPF44" s="292"/>
      <c r="RPG44" s="292"/>
      <c r="RPH44" s="292"/>
      <c r="RPI44" s="292"/>
      <c r="RPJ44" s="292"/>
      <c r="RPK44" s="292"/>
      <c r="RPL44" s="292"/>
      <c r="RPM44" s="292"/>
      <c r="RPN44" s="292"/>
      <c r="RPO44" s="292"/>
      <c r="RPP44" s="292"/>
      <c r="RPQ44" s="292"/>
      <c r="RPR44" s="292"/>
      <c r="RPS44" s="292"/>
      <c r="RPT44" s="292"/>
      <c r="RPU44" s="292"/>
      <c r="RPV44" s="292"/>
      <c r="RPW44" s="292"/>
      <c r="RPX44" s="292"/>
      <c r="RPY44" s="292"/>
      <c r="RPZ44" s="292"/>
      <c r="RQA44" s="292"/>
      <c r="RQB44" s="292"/>
      <c r="RQC44" s="292"/>
      <c r="RQD44" s="292"/>
      <c r="RQE44" s="292"/>
      <c r="RQF44" s="292"/>
      <c r="RQG44" s="292"/>
      <c r="RQH44" s="292"/>
      <c r="RQI44" s="292"/>
      <c r="RQJ44" s="292"/>
      <c r="RQK44" s="292"/>
      <c r="RQL44" s="292"/>
      <c r="RQM44" s="292"/>
      <c r="RQN44" s="292"/>
      <c r="RQO44" s="292"/>
      <c r="RQP44" s="292"/>
      <c r="RQQ44" s="292"/>
      <c r="RQR44" s="292"/>
      <c r="RQS44" s="292"/>
      <c r="RQT44" s="292"/>
      <c r="RQU44" s="292"/>
      <c r="RQV44" s="292"/>
      <c r="RQW44" s="292"/>
      <c r="RQX44" s="292"/>
      <c r="RQY44" s="292"/>
      <c r="RQZ44" s="292"/>
      <c r="RRA44" s="292"/>
      <c r="RRB44" s="292"/>
      <c r="RRC44" s="292"/>
      <c r="RRD44" s="292"/>
      <c r="RRE44" s="292"/>
      <c r="RRF44" s="292"/>
      <c r="RRG44" s="292"/>
      <c r="RRH44" s="292"/>
      <c r="RRI44" s="292"/>
      <c r="RRJ44" s="292"/>
      <c r="RRK44" s="292"/>
      <c r="RRL44" s="292"/>
      <c r="RRM44" s="292"/>
      <c r="RRN44" s="292"/>
      <c r="RRO44" s="292"/>
      <c r="RRP44" s="292"/>
      <c r="RRQ44" s="292"/>
      <c r="RRR44" s="292"/>
      <c r="RRS44" s="292"/>
      <c r="RRT44" s="292"/>
      <c r="RRU44" s="292"/>
      <c r="RRV44" s="292"/>
      <c r="RRW44" s="292"/>
      <c r="RRX44" s="292"/>
      <c r="RRY44" s="292"/>
      <c r="RRZ44" s="292"/>
      <c r="RSA44" s="292"/>
      <c r="RSB44" s="292"/>
      <c r="RSC44" s="292"/>
      <c r="RSD44" s="292"/>
      <c r="RSE44" s="292"/>
      <c r="RSF44" s="292"/>
      <c r="RSG44" s="292"/>
      <c r="RSH44" s="292"/>
      <c r="RSI44" s="292"/>
      <c r="RSJ44" s="292"/>
      <c r="RSK44" s="292"/>
      <c r="RSL44" s="292"/>
      <c r="RSM44" s="292"/>
      <c r="RSN44" s="292"/>
      <c r="RSO44" s="292"/>
      <c r="RSP44" s="292"/>
      <c r="RSQ44" s="292"/>
      <c r="RSR44" s="292"/>
      <c r="RSS44" s="292"/>
      <c r="RST44" s="292"/>
      <c r="RSU44" s="292"/>
      <c r="RSV44" s="292"/>
      <c r="RSW44" s="292"/>
      <c r="RSX44" s="292"/>
      <c r="RSY44" s="292"/>
      <c r="RSZ44" s="292"/>
      <c r="RTA44" s="292"/>
      <c r="RTB44" s="292"/>
      <c r="RTC44" s="292"/>
      <c r="RTD44" s="292"/>
      <c r="RTE44" s="292"/>
      <c r="RTF44" s="292"/>
      <c r="RTG44" s="292"/>
      <c r="RTH44" s="292"/>
      <c r="RTI44" s="292"/>
      <c r="RTJ44" s="292"/>
      <c r="RTK44" s="292"/>
      <c r="RTL44" s="292"/>
      <c r="RTM44" s="292"/>
      <c r="RTN44" s="292"/>
      <c r="RTO44" s="292"/>
      <c r="RTP44" s="292"/>
      <c r="RTQ44" s="292"/>
      <c r="RTR44" s="292"/>
      <c r="RTS44" s="292"/>
      <c r="RTT44" s="292"/>
      <c r="RTU44" s="292"/>
      <c r="RTV44" s="292"/>
      <c r="RTW44" s="292"/>
      <c r="RTX44" s="292"/>
      <c r="RTY44" s="292"/>
      <c r="RTZ44" s="292"/>
      <c r="RUA44" s="292"/>
      <c r="RUB44" s="292"/>
      <c r="RUC44" s="292"/>
      <c r="RUD44" s="292"/>
      <c r="RUE44" s="292"/>
      <c r="RUF44" s="292"/>
      <c r="RUG44" s="292"/>
      <c r="RUH44" s="292"/>
      <c r="RUI44" s="292"/>
      <c r="RUJ44" s="292"/>
      <c r="RUK44" s="292"/>
      <c r="RUL44" s="292"/>
      <c r="RUM44" s="292"/>
      <c r="RUN44" s="292"/>
      <c r="RUO44" s="292"/>
      <c r="RUP44" s="292"/>
      <c r="RUQ44" s="292"/>
      <c r="RUR44" s="292"/>
      <c r="RUS44" s="292"/>
      <c r="RUT44" s="292"/>
      <c r="RUU44" s="292"/>
      <c r="RUV44" s="292"/>
      <c r="RUW44" s="292"/>
      <c r="RUX44" s="292"/>
      <c r="RUY44" s="292"/>
      <c r="RUZ44" s="292"/>
      <c r="RVA44" s="292"/>
      <c r="RVB44" s="292"/>
      <c r="RVC44" s="292"/>
      <c r="RVD44" s="292"/>
      <c r="RVE44" s="292"/>
      <c r="RVF44" s="292"/>
      <c r="RVG44" s="292"/>
      <c r="RVH44" s="292"/>
      <c r="RVI44" s="292"/>
      <c r="RVJ44" s="292"/>
      <c r="RVK44" s="292"/>
      <c r="RVL44" s="292"/>
      <c r="RVM44" s="292"/>
      <c r="RVN44" s="292"/>
      <c r="RVO44" s="292"/>
      <c r="RVP44" s="292"/>
      <c r="RVQ44" s="292"/>
      <c r="RVR44" s="292"/>
      <c r="RVS44" s="292"/>
      <c r="RVT44" s="292"/>
      <c r="RVU44" s="292"/>
      <c r="RVV44" s="292"/>
      <c r="RVW44" s="292"/>
      <c r="RVX44" s="292"/>
      <c r="RVY44" s="292"/>
      <c r="RVZ44" s="292"/>
      <c r="RWA44" s="292"/>
      <c r="RWB44" s="292"/>
      <c r="RWC44" s="292"/>
      <c r="RWD44" s="292"/>
      <c r="RWE44" s="292"/>
      <c r="RWF44" s="292"/>
      <c r="RWG44" s="292"/>
      <c r="RWH44" s="292"/>
      <c r="RWI44" s="292"/>
      <c r="RWJ44" s="292"/>
      <c r="RWK44" s="292"/>
      <c r="RWL44" s="292"/>
      <c r="RWM44" s="292"/>
      <c r="RWN44" s="292"/>
      <c r="RWO44" s="292"/>
      <c r="RWP44" s="292"/>
      <c r="RWQ44" s="292"/>
      <c r="RWR44" s="292"/>
      <c r="RWS44" s="292"/>
      <c r="RWT44" s="292"/>
      <c r="RWU44" s="292"/>
      <c r="RWV44" s="292"/>
      <c r="RWW44" s="292"/>
      <c r="RWX44" s="292"/>
      <c r="RWY44" s="292"/>
      <c r="RWZ44" s="292"/>
      <c r="RXA44" s="292"/>
      <c r="RXB44" s="292"/>
      <c r="RXC44" s="292"/>
      <c r="RXD44" s="292"/>
      <c r="RXE44" s="292"/>
      <c r="RXF44" s="292"/>
      <c r="RXG44" s="292"/>
      <c r="RXH44" s="292"/>
      <c r="RXI44" s="292"/>
      <c r="RXJ44" s="292"/>
      <c r="RXK44" s="292"/>
      <c r="RXL44" s="292"/>
      <c r="RXM44" s="292"/>
      <c r="RXN44" s="292"/>
      <c r="RXO44" s="292"/>
      <c r="RXP44" s="292"/>
      <c r="RXQ44" s="292"/>
      <c r="RXR44" s="292"/>
      <c r="RXS44" s="292"/>
      <c r="RXT44" s="292"/>
      <c r="RXU44" s="292"/>
      <c r="RXV44" s="292"/>
      <c r="RXW44" s="292"/>
      <c r="RXX44" s="292"/>
      <c r="RXY44" s="292"/>
      <c r="RXZ44" s="292"/>
      <c r="RYA44" s="292"/>
      <c r="RYB44" s="292"/>
      <c r="RYC44" s="292"/>
      <c r="RYD44" s="292"/>
      <c r="RYE44" s="292"/>
      <c r="RYF44" s="292"/>
      <c r="RYG44" s="292"/>
      <c r="RYH44" s="292"/>
      <c r="RYI44" s="292"/>
      <c r="RYJ44" s="292"/>
      <c r="RYK44" s="292"/>
      <c r="RYL44" s="292"/>
      <c r="RYM44" s="292"/>
      <c r="RYN44" s="292"/>
      <c r="RYO44" s="292"/>
      <c r="RYP44" s="292"/>
      <c r="RYQ44" s="292"/>
      <c r="RYR44" s="292"/>
      <c r="RYS44" s="292"/>
      <c r="RYT44" s="292"/>
      <c r="RYU44" s="292"/>
      <c r="RYV44" s="292"/>
      <c r="RYW44" s="292"/>
      <c r="RYX44" s="292"/>
      <c r="RYY44" s="292"/>
      <c r="RYZ44" s="292"/>
      <c r="RZA44" s="292"/>
      <c r="RZB44" s="292"/>
      <c r="RZC44" s="292"/>
      <c r="RZD44" s="292"/>
      <c r="RZE44" s="292"/>
      <c r="RZF44" s="292"/>
      <c r="RZG44" s="292"/>
      <c r="RZH44" s="292"/>
      <c r="RZI44" s="292"/>
      <c r="RZJ44" s="292"/>
      <c r="RZK44" s="292"/>
      <c r="RZL44" s="292"/>
      <c r="RZM44" s="292"/>
      <c r="RZN44" s="292"/>
      <c r="RZO44" s="292"/>
      <c r="RZP44" s="292"/>
      <c r="RZQ44" s="292"/>
      <c r="RZR44" s="292"/>
      <c r="RZS44" s="292"/>
      <c r="RZT44" s="292"/>
      <c r="RZU44" s="292"/>
      <c r="RZV44" s="292"/>
      <c r="RZW44" s="292"/>
      <c r="RZX44" s="292"/>
      <c r="RZY44" s="292"/>
      <c r="RZZ44" s="292"/>
      <c r="SAA44" s="292"/>
      <c r="SAB44" s="292"/>
      <c r="SAC44" s="292"/>
      <c r="SAD44" s="292"/>
      <c r="SAE44" s="292"/>
      <c r="SAF44" s="292"/>
      <c r="SAG44" s="292"/>
      <c r="SAH44" s="292"/>
      <c r="SAI44" s="292"/>
      <c r="SAJ44" s="292"/>
      <c r="SAK44" s="292"/>
      <c r="SAL44" s="292"/>
      <c r="SAM44" s="292"/>
      <c r="SAN44" s="292"/>
      <c r="SAO44" s="292"/>
      <c r="SAP44" s="292"/>
      <c r="SAQ44" s="292"/>
      <c r="SAR44" s="292"/>
      <c r="SAS44" s="292"/>
      <c r="SAT44" s="292"/>
      <c r="SAU44" s="292"/>
      <c r="SAV44" s="292"/>
      <c r="SAW44" s="292"/>
      <c r="SAX44" s="292"/>
      <c r="SAY44" s="292"/>
      <c r="SAZ44" s="292"/>
      <c r="SBA44" s="292"/>
      <c r="SBB44" s="292"/>
      <c r="SBC44" s="292"/>
      <c r="SBD44" s="292"/>
      <c r="SBE44" s="292"/>
      <c r="SBF44" s="292"/>
      <c r="SBG44" s="292"/>
      <c r="SBH44" s="292"/>
      <c r="SBI44" s="292"/>
      <c r="SBJ44" s="292"/>
      <c r="SBK44" s="292"/>
      <c r="SBL44" s="292"/>
      <c r="SBM44" s="292"/>
      <c r="SBN44" s="292"/>
      <c r="SBO44" s="292"/>
      <c r="SBP44" s="292"/>
      <c r="SBQ44" s="292"/>
      <c r="SBR44" s="292"/>
      <c r="SBS44" s="292"/>
      <c r="SBT44" s="292"/>
      <c r="SBU44" s="292"/>
      <c r="SBV44" s="292"/>
      <c r="SBW44" s="292"/>
      <c r="SBX44" s="292"/>
      <c r="SBY44" s="292"/>
      <c r="SBZ44" s="292"/>
      <c r="SCA44" s="292"/>
      <c r="SCB44" s="292"/>
      <c r="SCC44" s="292"/>
      <c r="SCD44" s="292"/>
      <c r="SCE44" s="292"/>
      <c r="SCF44" s="292"/>
      <c r="SCG44" s="292"/>
      <c r="SCH44" s="292"/>
      <c r="SCI44" s="292"/>
      <c r="SCJ44" s="292"/>
      <c r="SCK44" s="292"/>
      <c r="SCL44" s="292"/>
      <c r="SCM44" s="292"/>
      <c r="SCN44" s="292"/>
      <c r="SCO44" s="292"/>
      <c r="SCP44" s="292"/>
      <c r="SCQ44" s="292"/>
      <c r="SCR44" s="292"/>
      <c r="SCS44" s="292"/>
      <c r="SCT44" s="292"/>
      <c r="SCU44" s="292"/>
      <c r="SCV44" s="292"/>
      <c r="SCW44" s="292"/>
      <c r="SCX44" s="292"/>
      <c r="SCY44" s="292"/>
      <c r="SCZ44" s="292"/>
      <c r="SDA44" s="292"/>
      <c r="SDB44" s="292"/>
      <c r="SDC44" s="292"/>
      <c r="SDD44" s="292"/>
      <c r="SDE44" s="292"/>
      <c r="SDF44" s="292"/>
      <c r="SDG44" s="292"/>
      <c r="SDH44" s="292"/>
      <c r="SDI44" s="292"/>
      <c r="SDJ44" s="292"/>
      <c r="SDK44" s="292"/>
      <c r="SDL44" s="292"/>
      <c r="SDM44" s="292"/>
      <c r="SDN44" s="292"/>
      <c r="SDO44" s="292"/>
      <c r="SDP44" s="292"/>
      <c r="SDQ44" s="292"/>
      <c r="SDR44" s="292"/>
      <c r="SDS44" s="292"/>
      <c r="SDT44" s="292"/>
      <c r="SDU44" s="292"/>
      <c r="SDV44" s="292"/>
      <c r="SDW44" s="292"/>
      <c r="SDX44" s="292"/>
      <c r="SDY44" s="292"/>
      <c r="SDZ44" s="292"/>
      <c r="SEA44" s="292"/>
      <c r="SEB44" s="292"/>
      <c r="SEC44" s="292"/>
      <c r="SED44" s="292"/>
      <c r="SEE44" s="292"/>
      <c r="SEF44" s="292"/>
      <c r="SEG44" s="292"/>
      <c r="SEH44" s="292"/>
      <c r="SEI44" s="292"/>
      <c r="SEJ44" s="292"/>
      <c r="SEK44" s="292"/>
      <c r="SEL44" s="292"/>
      <c r="SEM44" s="292"/>
      <c r="SEN44" s="292"/>
      <c r="SEO44" s="292"/>
      <c r="SEP44" s="292"/>
      <c r="SEQ44" s="292"/>
      <c r="SER44" s="292"/>
      <c r="SES44" s="292"/>
      <c r="SET44" s="292"/>
      <c r="SEU44" s="292"/>
      <c r="SEV44" s="292"/>
      <c r="SEW44" s="292"/>
      <c r="SEX44" s="292"/>
      <c r="SEY44" s="292"/>
      <c r="SEZ44" s="292"/>
      <c r="SFA44" s="292"/>
      <c r="SFB44" s="292"/>
      <c r="SFC44" s="292"/>
      <c r="SFD44" s="292"/>
      <c r="SFE44" s="292"/>
      <c r="SFF44" s="292"/>
      <c r="SFG44" s="292"/>
      <c r="SFH44" s="292"/>
      <c r="SFI44" s="292"/>
      <c r="SFJ44" s="292"/>
      <c r="SFK44" s="292"/>
      <c r="SFL44" s="292"/>
      <c r="SFM44" s="292"/>
      <c r="SFN44" s="292"/>
      <c r="SFO44" s="292"/>
      <c r="SFP44" s="292"/>
      <c r="SFQ44" s="292"/>
      <c r="SFR44" s="292"/>
      <c r="SFS44" s="292"/>
      <c r="SFT44" s="292"/>
      <c r="SFU44" s="292"/>
      <c r="SFV44" s="292"/>
      <c r="SFW44" s="292"/>
      <c r="SFX44" s="292"/>
      <c r="SFY44" s="292"/>
      <c r="SFZ44" s="292"/>
      <c r="SGA44" s="292"/>
      <c r="SGB44" s="292"/>
      <c r="SGC44" s="292"/>
      <c r="SGD44" s="292"/>
      <c r="SGE44" s="292"/>
      <c r="SGF44" s="292"/>
      <c r="SGG44" s="292"/>
      <c r="SGH44" s="292"/>
      <c r="SGI44" s="292"/>
      <c r="SGJ44" s="292"/>
      <c r="SGK44" s="292"/>
      <c r="SGL44" s="292"/>
      <c r="SGM44" s="292"/>
      <c r="SGN44" s="292"/>
      <c r="SGO44" s="292"/>
      <c r="SGP44" s="292"/>
      <c r="SGQ44" s="292"/>
      <c r="SGR44" s="292"/>
      <c r="SGS44" s="292"/>
      <c r="SGT44" s="292"/>
      <c r="SGU44" s="292"/>
      <c r="SGV44" s="292"/>
      <c r="SGW44" s="292"/>
      <c r="SGX44" s="292"/>
      <c r="SGY44" s="292"/>
      <c r="SGZ44" s="292"/>
      <c r="SHA44" s="292"/>
      <c r="SHB44" s="292"/>
      <c r="SHC44" s="292"/>
      <c r="SHD44" s="292"/>
      <c r="SHE44" s="292"/>
      <c r="SHF44" s="292"/>
      <c r="SHG44" s="292"/>
      <c r="SHH44" s="292"/>
      <c r="SHI44" s="292"/>
      <c r="SHJ44" s="292"/>
      <c r="SHK44" s="292"/>
      <c r="SHL44" s="292"/>
      <c r="SHM44" s="292"/>
      <c r="SHN44" s="292"/>
      <c r="SHO44" s="292"/>
      <c r="SHP44" s="292"/>
      <c r="SHQ44" s="292"/>
      <c r="SHR44" s="292"/>
      <c r="SHS44" s="292"/>
      <c r="SHT44" s="292"/>
      <c r="SHU44" s="292"/>
      <c r="SHV44" s="292"/>
      <c r="SHW44" s="292"/>
      <c r="SHX44" s="292"/>
      <c r="SHY44" s="292"/>
      <c r="SHZ44" s="292"/>
      <c r="SIA44" s="292"/>
      <c r="SIB44" s="292"/>
      <c r="SIC44" s="292"/>
      <c r="SID44" s="292"/>
      <c r="SIE44" s="292"/>
      <c r="SIF44" s="292"/>
      <c r="SIG44" s="292"/>
      <c r="SIH44" s="292"/>
      <c r="SII44" s="292"/>
      <c r="SIJ44" s="292"/>
      <c r="SIK44" s="292"/>
      <c r="SIL44" s="292"/>
      <c r="SIM44" s="292"/>
      <c r="SIN44" s="292"/>
      <c r="SIO44" s="292"/>
      <c r="SIP44" s="292"/>
      <c r="SIQ44" s="292"/>
      <c r="SIR44" s="292"/>
      <c r="SIS44" s="292"/>
      <c r="SIT44" s="292"/>
      <c r="SIU44" s="292"/>
      <c r="SIV44" s="292"/>
      <c r="SIW44" s="292"/>
      <c r="SIX44" s="292"/>
      <c r="SIY44" s="292"/>
      <c r="SIZ44" s="292"/>
      <c r="SJA44" s="292"/>
      <c r="SJB44" s="292"/>
      <c r="SJC44" s="292"/>
      <c r="SJD44" s="292"/>
      <c r="SJE44" s="292"/>
      <c r="SJF44" s="292"/>
      <c r="SJG44" s="292"/>
      <c r="SJH44" s="292"/>
      <c r="SJI44" s="292"/>
      <c r="SJJ44" s="292"/>
      <c r="SJK44" s="292"/>
      <c r="SJL44" s="292"/>
      <c r="SJM44" s="292"/>
      <c r="SJN44" s="292"/>
      <c r="SJO44" s="292"/>
      <c r="SJP44" s="292"/>
      <c r="SJQ44" s="292"/>
      <c r="SJR44" s="292"/>
      <c r="SJS44" s="292"/>
      <c r="SJT44" s="292"/>
      <c r="SJU44" s="292"/>
      <c r="SJV44" s="292"/>
      <c r="SJW44" s="292"/>
      <c r="SJX44" s="292"/>
      <c r="SJY44" s="292"/>
      <c r="SJZ44" s="292"/>
      <c r="SKA44" s="292"/>
      <c r="SKB44" s="292"/>
      <c r="SKC44" s="292"/>
      <c r="SKD44" s="292"/>
      <c r="SKE44" s="292"/>
      <c r="SKF44" s="292"/>
      <c r="SKG44" s="292"/>
      <c r="SKH44" s="292"/>
      <c r="SKI44" s="292"/>
      <c r="SKJ44" s="292"/>
      <c r="SKK44" s="292"/>
      <c r="SKL44" s="292"/>
      <c r="SKM44" s="292"/>
      <c r="SKN44" s="292"/>
      <c r="SKO44" s="292"/>
      <c r="SKP44" s="292"/>
      <c r="SKQ44" s="292"/>
      <c r="SKR44" s="292"/>
      <c r="SKS44" s="292"/>
      <c r="SKT44" s="292"/>
      <c r="SKU44" s="292"/>
      <c r="SKV44" s="292"/>
      <c r="SKW44" s="292"/>
      <c r="SKX44" s="292"/>
      <c r="SKY44" s="292"/>
      <c r="SKZ44" s="292"/>
      <c r="SLA44" s="292"/>
      <c r="SLB44" s="292"/>
      <c r="SLC44" s="292"/>
      <c r="SLD44" s="292"/>
      <c r="SLE44" s="292"/>
      <c r="SLF44" s="292"/>
      <c r="SLG44" s="292"/>
      <c r="SLH44" s="292"/>
      <c r="SLI44" s="292"/>
      <c r="SLJ44" s="292"/>
      <c r="SLK44" s="292"/>
      <c r="SLL44" s="292"/>
      <c r="SLM44" s="292"/>
      <c r="SLN44" s="292"/>
      <c r="SLO44" s="292"/>
      <c r="SLP44" s="292"/>
      <c r="SLQ44" s="292"/>
      <c r="SLR44" s="292"/>
      <c r="SLS44" s="292"/>
      <c r="SLT44" s="292"/>
      <c r="SLU44" s="292"/>
      <c r="SLV44" s="292"/>
      <c r="SLW44" s="292"/>
      <c r="SLX44" s="292"/>
      <c r="SLY44" s="292"/>
      <c r="SLZ44" s="292"/>
      <c r="SMA44" s="292"/>
      <c r="SMB44" s="292"/>
      <c r="SMC44" s="292"/>
      <c r="SMD44" s="292"/>
      <c r="SME44" s="292"/>
      <c r="SMF44" s="292"/>
      <c r="SMG44" s="292"/>
      <c r="SMH44" s="292"/>
      <c r="SMI44" s="292"/>
      <c r="SMJ44" s="292"/>
      <c r="SMK44" s="292"/>
      <c r="SML44" s="292"/>
      <c r="SMM44" s="292"/>
      <c r="SMN44" s="292"/>
      <c r="SMO44" s="292"/>
      <c r="SMP44" s="292"/>
      <c r="SMQ44" s="292"/>
      <c r="SMR44" s="292"/>
      <c r="SMS44" s="292"/>
      <c r="SMT44" s="292"/>
      <c r="SMU44" s="292"/>
      <c r="SMV44" s="292"/>
      <c r="SMW44" s="292"/>
      <c r="SMX44" s="292"/>
      <c r="SMY44" s="292"/>
      <c r="SMZ44" s="292"/>
      <c r="SNA44" s="292"/>
      <c r="SNB44" s="292"/>
      <c r="SNC44" s="292"/>
      <c r="SND44" s="292"/>
      <c r="SNE44" s="292"/>
      <c r="SNF44" s="292"/>
      <c r="SNG44" s="292"/>
      <c r="SNH44" s="292"/>
      <c r="SNI44" s="292"/>
      <c r="SNJ44" s="292"/>
      <c r="SNK44" s="292"/>
      <c r="SNL44" s="292"/>
      <c r="SNM44" s="292"/>
      <c r="SNN44" s="292"/>
      <c r="SNO44" s="292"/>
      <c r="SNP44" s="292"/>
      <c r="SNQ44" s="292"/>
      <c r="SNR44" s="292"/>
      <c r="SNS44" s="292"/>
      <c r="SNT44" s="292"/>
      <c r="SNU44" s="292"/>
      <c r="SNV44" s="292"/>
      <c r="SNW44" s="292"/>
      <c r="SNX44" s="292"/>
      <c r="SNY44" s="292"/>
      <c r="SNZ44" s="292"/>
      <c r="SOA44" s="292"/>
      <c r="SOB44" s="292"/>
      <c r="SOC44" s="292"/>
      <c r="SOD44" s="292"/>
      <c r="SOE44" s="292"/>
      <c r="SOF44" s="292"/>
      <c r="SOG44" s="292"/>
      <c r="SOH44" s="292"/>
      <c r="SOI44" s="292"/>
      <c r="SOJ44" s="292"/>
      <c r="SOK44" s="292"/>
      <c r="SOL44" s="292"/>
      <c r="SOM44" s="292"/>
      <c r="SON44" s="292"/>
      <c r="SOO44" s="292"/>
      <c r="SOP44" s="292"/>
      <c r="SOQ44" s="292"/>
      <c r="SOR44" s="292"/>
      <c r="SOS44" s="292"/>
      <c r="SOT44" s="292"/>
      <c r="SOU44" s="292"/>
      <c r="SOV44" s="292"/>
      <c r="SOW44" s="292"/>
      <c r="SOX44" s="292"/>
      <c r="SOY44" s="292"/>
      <c r="SOZ44" s="292"/>
      <c r="SPA44" s="292"/>
      <c r="SPB44" s="292"/>
      <c r="SPC44" s="292"/>
      <c r="SPD44" s="292"/>
      <c r="SPE44" s="292"/>
      <c r="SPF44" s="292"/>
      <c r="SPG44" s="292"/>
      <c r="SPH44" s="292"/>
      <c r="SPI44" s="292"/>
      <c r="SPJ44" s="292"/>
      <c r="SPK44" s="292"/>
      <c r="SPL44" s="292"/>
      <c r="SPM44" s="292"/>
      <c r="SPN44" s="292"/>
      <c r="SPO44" s="292"/>
      <c r="SPP44" s="292"/>
      <c r="SPQ44" s="292"/>
      <c r="SPR44" s="292"/>
      <c r="SPS44" s="292"/>
      <c r="SPT44" s="292"/>
      <c r="SPU44" s="292"/>
      <c r="SPV44" s="292"/>
      <c r="SPW44" s="292"/>
      <c r="SPX44" s="292"/>
      <c r="SPY44" s="292"/>
      <c r="SPZ44" s="292"/>
      <c r="SQA44" s="292"/>
      <c r="SQB44" s="292"/>
      <c r="SQC44" s="292"/>
      <c r="SQD44" s="292"/>
      <c r="SQE44" s="292"/>
      <c r="SQF44" s="292"/>
      <c r="SQG44" s="292"/>
      <c r="SQH44" s="292"/>
      <c r="SQI44" s="292"/>
      <c r="SQJ44" s="292"/>
      <c r="SQK44" s="292"/>
      <c r="SQL44" s="292"/>
      <c r="SQM44" s="292"/>
      <c r="SQN44" s="292"/>
      <c r="SQO44" s="292"/>
      <c r="SQP44" s="292"/>
      <c r="SQQ44" s="292"/>
      <c r="SQR44" s="292"/>
      <c r="SQS44" s="292"/>
      <c r="SQT44" s="292"/>
      <c r="SQU44" s="292"/>
      <c r="SQV44" s="292"/>
      <c r="SQW44" s="292"/>
      <c r="SQX44" s="292"/>
      <c r="SQY44" s="292"/>
      <c r="SQZ44" s="292"/>
      <c r="SRA44" s="292"/>
      <c r="SRB44" s="292"/>
      <c r="SRC44" s="292"/>
      <c r="SRD44" s="292"/>
      <c r="SRE44" s="292"/>
      <c r="SRF44" s="292"/>
      <c r="SRG44" s="292"/>
      <c r="SRH44" s="292"/>
      <c r="SRI44" s="292"/>
      <c r="SRJ44" s="292"/>
      <c r="SRK44" s="292"/>
      <c r="SRL44" s="292"/>
      <c r="SRM44" s="292"/>
      <c r="SRN44" s="292"/>
      <c r="SRO44" s="292"/>
      <c r="SRP44" s="292"/>
      <c r="SRQ44" s="292"/>
      <c r="SRR44" s="292"/>
      <c r="SRS44" s="292"/>
      <c r="SRT44" s="292"/>
      <c r="SRU44" s="292"/>
      <c r="SRV44" s="292"/>
      <c r="SRW44" s="292"/>
      <c r="SRX44" s="292"/>
      <c r="SRY44" s="292"/>
      <c r="SRZ44" s="292"/>
      <c r="SSA44" s="292"/>
      <c r="SSB44" s="292"/>
      <c r="SSC44" s="292"/>
      <c r="SSD44" s="292"/>
      <c r="SSE44" s="292"/>
      <c r="SSF44" s="292"/>
      <c r="SSG44" s="292"/>
      <c r="SSH44" s="292"/>
      <c r="SSI44" s="292"/>
      <c r="SSJ44" s="292"/>
      <c r="SSK44" s="292"/>
      <c r="SSL44" s="292"/>
      <c r="SSM44" s="292"/>
      <c r="SSN44" s="292"/>
      <c r="SSO44" s="292"/>
      <c r="SSP44" s="292"/>
      <c r="SSQ44" s="292"/>
      <c r="SSR44" s="292"/>
      <c r="SSS44" s="292"/>
      <c r="SST44" s="292"/>
      <c r="SSU44" s="292"/>
      <c r="SSV44" s="292"/>
      <c r="SSW44" s="292"/>
      <c r="SSX44" s="292"/>
      <c r="SSY44" s="292"/>
      <c r="SSZ44" s="292"/>
      <c r="STA44" s="292"/>
      <c r="STB44" s="292"/>
      <c r="STC44" s="292"/>
      <c r="STD44" s="292"/>
      <c r="STE44" s="292"/>
      <c r="STF44" s="292"/>
      <c r="STG44" s="292"/>
      <c r="STH44" s="292"/>
      <c r="STI44" s="292"/>
      <c r="STJ44" s="292"/>
      <c r="STK44" s="292"/>
      <c r="STL44" s="292"/>
      <c r="STM44" s="292"/>
      <c r="STN44" s="292"/>
      <c r="STO44" s="292"/>
      <c r="STP44" s="292"/>
      <c r="STQ44" s="292"/>
      <c r="STR44" s="292"/>
      <c r="STS44" s="292"/>
      <c r="STT44" s="292"/>
      <c r="STU44" s="292"/>
      <c r="STV44" s="292"/>
      <c r="STW44" s="292"/>
      <c r="STX44" s="292"/>
      <c r="STY44" s="292"/>
      <c r="STZ44" s="292"/>
      <c r="SUA44" s="292"/>
      <c r="SUB44" s="292"/>
      <c r="SUC44" s="292"/>
      <c r="SUD44" s="292"/>
      <c r="SUE44" s="292"/>
      <c r="SUF44" s="292"/>
      <c r="SUG44" s="292"/>
      <c r="SUH44" s="292"/>
      <c r="SUI44" s="292"/>
      <c r="SUJ44" s="292"/>
      <c r="SUK44" s="292"/>
      <c r="SUL44" s="292"/>
      <c r="SUM44" s="292"/>
      <c r="SUN44" s="292"/>
      <c r="SUO44" s="292"/>
      <c r="SUP44" s="292"/>
      <c r="SUQ44" s="292"/>
      <c r="SUR44" s="292"/>
      <c r="SUS44" s="292"/>
      <c r="SUT44" s="292"/>
      <c r="SUU44" s="292"/>
      <c r="SUV44" s="292"/>
      <c r="SUW44" s="292"/>
      <c r="SUX44" s="292"/>
      <c r="SUY44" s="292"/>
      <c r="SUZ44" s="292"/>
      <c r="SVA44" s="292"/>
      <c r="SVB44" s="292"/>
      <c r="SVC44" s="292"/>
      <c r="SVD44" s="292"/>
      <c r="SVE44" s="292"/>
      <c r="SVF44" s="292"/>
      <c r="SVG44" s="292"/>
      <c r="SVH44" s="292"/>
      <c r="SVI44" s="292"/>
      <c r="SVJ44" s="292"/>
      <c r="SVK44" s="292"/>
      <c r="SVL44" s="292"/>
      <c r="SVM44" s="292"/>
      <c r="SVN44" s="292"/>
      <c r="SVO44" s="292"/>
      <c r="SVP44" s="292"/>
      <c r="SVQ44" s="292"/>
      <c r="SVR44" s="292"/>
      <c r="SVS44" s="292"/>
      <c r="SVT44" s="292"/>
      <c r="SVU44" s="292"/>
      <c r="SVV44" s="292"/>
      <c r="SVW44" s="292"/>
      <c r="SVX44" s="292"/>
      <c r="SVY44" s="292"/>
      <c r="SVZ44" s="292"/>
      <c r="SWA44" s="292"/>
      <c r="SWB44" s="292"/>
      <c r="SWC44" s="292"/>
      <c r="SWD44" s="292"/>
      <c r="SWE44" s="292"/>
      <c r="SWF44" s="292"/>
      <c r="SWG44" s="292"/>
      <c r="SWH44" s="292"/>
      <c r="SWI44" s="292"/>
      <c r="SWJ44" s="292"/>
      <c r="SWK44" s="292"/>
      <c r="SWL44" s="292"/>
      <c r="SWM44" s="292"/>
      <c r="SWN44" s="292"/>
      <c r="SWO44" s="292"/>
      <c r="SWP44" s="292"/>
      <c r="SWQ44" s="292"/>
      <c r="SWR44" s="292"/>
      <c r="SWS44" s="292"/>
      <c r="SWT44" s="292"/>
      <c r="SWU44" s="292"/>
      <c r="SWV44" s="292"/>
      <c r="SWW44" s="292"/>
      <c r="SWX44" s="292"/>
      <c r="SWY44" s="292"/>
      <c r="SWZ44" s="292"/>
      <c r="SXA44" s="292"/>
      <c r="SXB44" s="292"/>
      <c r="SXC44" s="292"/>
      <c r="SXD44" s="292"/>
      <c r="SXE44" s="292"/>
      <c r="SXF44" s="292"/>
      <c r="SXG44" s="292"/>
      <c r="SXH44" s="292"/>
      <c r="SXI44" s="292"/>
      <c r="SXJ44" s="292"/>
      <c r="SXK44" s="292"/>
      <c r="SXL44" s="292"/>
      <c r="SXM44" s="292"/>
      <c r="SXN44" s="292"/>
      <c r="SXO44" s="292"/>
      <c r="SXP44" s="292"/>
      <c r="SXQ44" s="292"/>
      <c r="SXR44" s="292"/>
      <c r="SXS44" s="292"/>
      <c r="SXT44" s="292"/>
      <c r="SXU44" s="292"/>
      <c r="SXV44" s="292"/>
      <c r="SXW44" s="292"/>
      <c r="SXX44" s="292"/>
      <c r="SXY44" s="292"/>
      <c r="SXZ44" s="292"/>
      <c r="SYA44" s="292"/>
      <c r="SYB44" s="292"/>
      <c r="SYC44" s="292"/>
      <c r="SYD44" s="292"/>
      <c r="SYE44" s="292"/>
      <c r="SYF44" s="292"/>
      <c r="SYG44" s="292"/>
      <c r="SYH44" s="292"/>
      <c r="SYI44" s="292"/>
      <c r="SYJ44" s="292"/>
      <c r="SYK44" s="292"/>
      <c r="SYL44" s="292"/>
      <c r="SYM44" s="292"/>
      <c r="SYN44" s="292"/>
      <c r="SYO44" s="292"/>
      <c r="SYP44" s="292"/>
      <c r="SYQ44" s="292"/>
      <c r="SYR44" s="292"/>
      <c r="SYS44" s="292"/>
      <c r="SYT44" s="292"/>
      <c r="SYU44" s="292"/>
      <c r="SYV44" s="292"/>
      <c r="SYW44" s="292"/>
      <c r="SYX44" s="292"/>
      <c r="SYY44" s="292"/>
      <c r="SYZ44" s="292"/>
      <c r="SZA44" s="292"/>
      <c r="SZB44" s="292"/>
      <c r="SZC44" s="292"/>
      <c r="SZD44" s="292"/>
      <c r="SZE44" s="292"/>
      <c r="SZF44" s="292"/>
      <c r="SZG44" s="292"/>
      <c r="SZH44" s="292"/>
      <c r="SZI44" s="292"/>
      <c r="SZJ44" s="292"/>
      <c r="SZK44" s="292"/>
      <c r="SZL44" s="292"/>
      <c r="SZM44" s="292"/>
      <c r="SZN44" s="292"/>
      <c r="SZO44" s="292"/>
      <c r="SZP44" s="292"/>
      <c r="SZQ44" s="292"/>
      <c r="SZR44" s="292"/>
      <c r="SZS44" s="292"/>
      <c r="SZT44" s="292"/>
      <c r="SZU44" s="292"/>
      <c r="SZV44" s="292"/>
      <c r="SZW44" s="292"/>
      <c r="SZX44" s="292"/>
      <c r="SZY44" s="292"/>
      <c r="SZZ44" s="292"/>
      <c r="TAA44" s="292"/>
      <c r="TAB44" s="292"/>
      <c r="TAC44" s="292"/>
      <c r="TAD44" s="292"/>
      <c r="TAE44" s="292"/>
      <c r="TAF44" s="292"/>
      <c r="TAG44" s="292"/>
      <c r="TAH44" s="292"/>
      <c r="TAI44" s="292"/>
      <c r="TAJ44" s="292"/>
      <c r="TAK44" s="292"/>
      <c r="TAL44" s="292"/>
      <c r="TAM44" s="292"/>
      <c r="TAN44" s="292"/>
      <c r="TAO44" s="292"/>
      <c r="TAP44" s="292"/>
      <c r="TAQ44" s="292"/>
      <c r="TAR44" s="292"/>
      <c r="TAS44" s="292"/>
      <c r="TAT44" s="292"/>
      <c r="TAU44" s="292"/>
      <c r="TAV44" s="292"/>
      <c r="TAW44" s="292"/>
      <c r="TAX44" s="292"/>
      <c r="TAY44" s="292"/>
      <c r="TAZ44" s="292"/>
      <c r="TBA44" s="292"/>
      <c r="TBB44" s="292"/>
      <c r="TBC44" s="292"/>
      <c r="TBD44" s="292"/>
      <c r="TBE44" s="292"/>
      <c r="TBF44" s="292"/>
      <c r="TBG44" s="292"/>
      <c r="TBH44" s="292"/>
      <c r="TBI44" s="292"/>
      <c r="TBJ44" s="292"/>
      <c r="TBK44" s="292"/>
      <c r="TBL44" s="292"/>
      <c r="TBM44" s="292"/>
      <c r="TBN44" s="292"/>
      <c r="TBO44" s="292"/>
      <c r="TBP44" s="292"/>
      <c r="TBQ44" s="292"/>
      <c r="TBR44" s="292"/>
      <c r="TBS44" s="292"/>
      <c r="TBT44" s="292"/>
      <c r="TBU44" s="292"/>
      <c r="TBV44" s="292"/>
      <c r="TBW44" s="292"/>
      <c r="TBX44" s="292"/>
      <c r="TBY44" s="292"/>
      <c r="TBZ44" s="292"/>
      <c r="TCA44" s="292"/>
      <c r="TCB44" s="292"/>
      <c r="TCC44" s="292"/>
      <c r="TCD44" s="292"/>
      <c r="TCE44" s="292"/>
      <c r="TCF44" s="292"/>
      <c r="TCG44" s="292"/>
      <c r="TCH44" s="292"/>
      <c r="TCI44" s="292"/>
      <c r="TCJ44" s="292"/>
      <c r="TCK44" s="292"/>
      <c r="TCL44" s="292"/>
      <c r="TCM44" s="292"/>
      <c r="TCN44" s="292"/>
      <c r="TCO44" s="292"/>
      <c r="TCP44" s="292"/>
      <c r="TCQ44" s="292"/>
      <c r="TCR44" s="292"/>
      <c r="TCS44" s="292"/>
      <c r="TCT44" s="292"/>
      <c r="TCU44" s="292"/>
      <c r="TCV44" s="292"/>
      <c r="TCW44" s="292"/>
      <c r="TCX44" s="292"/>
      <c r="TCY44" s="292"/>
      <c r="TCZ44" s="292"/>
      <c r="TDA44" s="292"/>
      <c r="TDB44" s="292"/>
      <c r="TDC44" s="292"/>
      <c r="TDD44" s="292"/>
      <c r="TDE44" s="292"/>
      <c r="TDF44" s="292"/>
      <c r="TDG44" s="292"/>
      <c r="TDH44" s="292"/>
      <c r="TDI44" s="292"/>
      <c r="TDJ44" s="292"/>
      <c r="TDK44" s="292"/>
      <c r="TDL44" s="292"/>
      <c r="TDM44" s="292"/>
      <c r="TDN44" s="292"/>
      <c r="TDO44" s="292"/>
      <c r="TDP44" s="292"/>
      <c r="TDQ44" s="292"/>
      <c r="TDR44" s="292"/>
      <c r="TDS44" s="292"/>
      <c r="TDT44" s="292"/>
      <c r="TDU44" s="292"/>
      <c r="TDV44" s="292"/>
      <c r="TDW44" s="292"/>
      <c r="TDX44" s="292"/>
      <c r="TDY44" s="292"/>
      <c r="TDZ44" s="292"/>
      <c r="TEA44" s="292"/>
      <c r="TEB44" s="292"/>
      <c r="TEC44" s="292"/>
      <c r="TED44" s="292"/>
      <c r="TEE44" s="292"/>
      <c r="TEF44" s="292"/>
      <c r="TEG44" s="292"/>
      <c r="TEH44" s="292"/>
      <c r="TEI44" s="292"/>
      <c r="TEJ44" s="292"/>
      <c r="TEK44" s="292"/>
      <c r="TEL44" s="292"/>
      <c r="TEM44" s="292"/>
      <c r="TEN44" s="292"/>
      <c r="TEO44" s="292"/>
      <c r="TEP44" s="292"/>
      <c r="TEQ44" s="292"/>
      <c r="TER44" s="292"/>
      <c r="TES44" s="292"/>
      <c r="TET44" s="292"/>
      <c r="TEU44" s="292"/>
      <c r="TEV44" s="292"/>
      <c r="TEW44" s="292"/>
      <c r="TEX44" s="292"/>
      <c r="TEY44" s="292"/>
      <c r="TEZ44" s="292"/>
      <c r="TFA44" s="292"/>
      <c r="TFB44" s="292"/>
      <c r="TFC44" s="292"/>
      <c r="TFD44" s="292"/>
      <c r="TFE44" s="292"/>
      <c r="TFF44" s="292"/>
      <c r="TFG44" s="292"/>
      <c r="TFH44" s="292"/>
      <c r="TFI44" s="292"/>
      <c r="TFJ44" s="292"/>
      <c r="TFK44" s="292"/>
      <c r="TFL44" s="292"/>
      <c r="TFM44" s="292"/>
      <c r="TFN44" s="292"/>
      <c r="TFO44" s="292"/>
      <c r="TFP44" s="292"/>
      <c r="TFQ44" s="292"/>
      <c r="TFR44" s="292"/>
      <c r="TFS44" s="292"/>
      <c r="TFT44" s="292"/>
      <c r="TFU44" s="292"/>
      <c r="TFV44" s="292"/>
      <c r="TFW44" s="292"/>
      <c r="TFX44" s="292"/>
      <c r="TFY44" s="292"/>
      <c r="TFZ44" s="292"/>
      <c r="TGA44" s="292"/>
      <c r="TGB44" s="292"/>
      <c r="TGC44" s="292"/>
      <c r="TGD44" s="292"/>
      <c r="TGE44" s="292"/>
      <c r="TGF44" s="292"/>
      <c r="TGG44" s="292"/>
      <c r="TGH44" s="292"/>
      <c r="TGI44" s="292"/>
      <c r="TGJ44" s="292"/>
      <c r="TGK44" s="292"/>
      <c r="TGL44" s="292"/>
      <c r="TGM44" s="292"/>
      <c r="TGN44" s="292"/>
      <c r="TGO44" s="292"/>
      <c r="TGP44" s="292"/>
      <c r="TGQ44" s="292"/>
      <c r="TGR44" s="292"/>
      <c r="TGS44" s="292"/>
      <c r="TGT44" s="292"/>
      <c r="TGU44" s="292"/>
      <c r="TGV44" s="292"/>
      <c r="TGW44" s="292"/>
      <c r="TGX44" s="292"/>
      <c r="TGY44" s="292"/>
      <c r="TGZ44" s="292"/>
      <c r="THA44" s="292"/>
      <c r="THB44" s="292"/>
      <c r="THC44" s="292"/>
      <c r="THD44" s="292"/>
      <c r="THE44" s="292"/>
      <c r="THF44" s="292"/>
      <c r="THG44" s="292"/>
      <c r="THH44" s="292"/>
      <c r="THI44" s="292"/>
      <c r="THJ44" s="292"/>
      <c r="THK44" s="292"/>
      <c r="THL44" s="292"/>
      <c r="THM44" s="292"/>
      <c r="THN44" s="292"/>
      <c r="THO44" s="292"/>
      <c r="THP44" s="292"/>
      <c r="THQ44" s="292"/>
      <c r="THR44" s="292"/>
      <c r="THS44" s="292"/>
      <c r="THT44" s="292"/>
      <c r="THU44" s="292"/>
      <c r="THV44" s="292"/>
      <c r="THW44" s="292"/>
      <c r="THX44" s="292"/>
      <c r="THY44" s="292"/>
      <c r="THZ44" s="292"/>
      <c r="TIA44" s="292"/>
      <c r="TIB44" s="292"/>
      <c r="TIC44" s="292"/>
      <c r="TID44" s="292"/>
      <c r="TIE44" s="292"/>
      <c r="TIF44" s="292"/>
      <c r="TIG44" s="292"/>
      <c r="TIH44" s="292"/>
      <c r="TII44" s="292"/>
      <c r="TIJ44" s="292"/>
      <c r="TIK44" s="292"/>
      <c r="TIL44" s="292"/>
      <c r="TIM44" s="292"/>
      <c r="TIN44" s="292"/>
      <c r="TIO44" s="292"/>
      <c r="TIP44" s="292"/>
      <c r="TIQ44" s="292"/>
      <c r="TIR44" s="292"/>
      <c r="TIS44" s="292"/>
      <c r="TIT44" s="292"/>
      <c r="TIU44" s="292"/>
      <c r="TIV44" s="292"/>
      <c r="TIW44" s="292"/>
      <c r="TIX44" s="292"/>
      <c r="TIY44" s="292"/>
      <c r="TIZ44" s="292"/>
      <c r="TJA44" s="292"/>
      <c r="TJB44" s="292"/>
      <c r="TJC44" s="292"/>
      <c r="TJD44" s="292"/>
      <c r="TJE44" s="292"/>
      <c r="TJF44" s="292"/>
      <c r="TJG44" s="292"/>
      <c r="TJH44" s="292"/>
      <c r="TJI44" s="292"/>
      <c r="TJJ44" s="292"/>
      <c r="TJK44" s="292"/>
      <c r="TJL44" s="292"/>
      <c r="TJM44" s="292"/>
      <c r="TJN44" s="292"/>
      <c r="TJO44" s="292"/>
      <c r="TJP44" s="292"/>
      <c r="TJQ44" s="292"/>
      <c r="TJR44" s="292"/>
      <c r="TJS44" s="292"/>
      <c r="TJT44" s="292"/>
      <c r="TJU44" s="292"/>
      <c r="TJV44" s="292"/>
      <c r="TJW44" s="292"/>
      <c r="TJX44" s="292"/>
      <c r="TJY44" s="292"/>
      <c r="TJZ44" s="292"/>
      <c r="TKA44" s="292"/>
      <c r="TKB44" s="292"/>
      <c r="TKC44" s="292"/>
      <c r="TKD44" s="292"/>
      <c r="TKE44" s="292"/>
      <c r="TKF44" s="292"/>
      <c r="TKG44" s="292"/>
      <c r="TKH44" s="292"/>
      <c r="TKI44" s="292"/>
      <c r="TKJ44" s="292"/>
      <c r="TKK44" s="292"/>
      <c r="TKL44" s="292"/>
      <c r="TKM44" s="292"/>
      <c r="TKN44" s="292"/>
      <c r="TKO44" s="292"/>
      <c r="TKP44" s="292"/>
      <c r="TKQ44" s="292"/>
      <c r="TKR44" s="292"/>
      <c r="TKS44" s="292"/>
      <c r="TKT44" s="292"/>
      <c r="TKU44" s="292"/>
      <c r="TKV44" s="292"/>
      <c r="TKW44" s="292"/>
      <c r="TKX44" s="292"/>
      <c r="TKY44" s="292"/>
      <c r="TKZ44" s="292"/>
      <c r="TLA44" s="292"/>
      <c r="TLB44" s="292"/>
      <c r="TLC44" s="292"/>
      <c r="TLD44" s="292"/>
      <c r="TLE44" s="292"/>
      <c r="TLF44" s="292"/>
      <c r="TLG44" s="292"/>
      <c r="TLH44" s="292"/>
      <c r="TLI44" s="292"/>
      <c r="TLJ44" s="292"/>
      <c r="TLK44" s="292"/>
      <c r="TLL44" s="292"/>
      <c r="TLM44" s="292"/>
      <c r="TLN44" s="292"/>
      <c r="TLO44" s="292"/>
      <c r="TLP44" s="292"/>
      <c r="TLQ44" s="292"/>
      <c r="TLR44" s="292"/>
      <c r="TLS44" s="292"/>
      <c r="TLT44" s="292"/>
      <c r="TLU44" s="292"/>
      <c r="TLV44" s="292"/>
      <c r="TLW44" s="292"/>
      <c r="TLX44" s="292"/>
      <c r="TLY44" s="292"/>
      <c r="TLZ44" s="292"/>
      <c r="TMA44" s="292"/>
      <c r="TMB44" s="292"/>
      <c r="TMC44" s="292"/>
      <c r="TMD44" s="292"/>
      <c r="TME44" s="292"/>
      <c r="TMF44" s="292"/>
      <c r="TMG44" s="292"/>
      <c r="TMH44" s="292"/>
      <c r="TMI44" s="292"/>
      <c r="TMJ44" s="292"/>
      <c r="TMK44" s="292"/>
      <c r="TML44" s="292"/>
      <c r="TMM44" s="292"/>
      <c r="TMN44" s="292"/>
      <c r="TMO44" s="292"/>
      <c r="TMP44" s="292"/>
      <c r="TMQ44" s="292"/>
      <c r="TMR44" s="292"/>
      <c r="TMS44" s="292"/>
      <c r="TMT44" s="292"/>
      <c r="TMU44" s="292"/>
      <c r="TMV44" s="292"/>
      <c r="TMW44" s="292"/>
      <c r="TMX44" s="292"/>
      <c r="TMY44" s="292"/>
      <c r="TMZ44" s="292"/>
      <c r="TNA44" s="292"/>
      <c r="TNB44" s="292"/>
      <c r="TNC44" s="292"/>
      <c r="TND44" s="292"/>
      <c r="TNE44" s="292"/>
      <c r="TNF44" s="292"/>
      <c r="TNG44" s="292"/>
      <c r="TNH44" s="292"/>
      <c r="TNI44" s="292"/>
      <c r="TNJ44" s="292"/>
      <c r="TNK44" s="292"/>
      <c r="TNL44" s="292"/>
      <c r="TNM44" s="292"/>
      <c r="TNN44" s="292"/>
      <c r="TNO44" s="292"/>
      <c r="TNP44" s="292"/>
      <c r="TNQ44" s="292"/>
      <c r="TNR44" s="292"/>
      <c r="TNS44" s="292"/>
      <c r="TNT44" s="292"/>
      <c r="TNU44" s="292"/>
      <c r="TNV44" s="292"/>
      <c r="TNW44" s="292"/>
      <c r="TNX44" s="292"/>
      <c r="TNY44" s="292"/>
      <c r="TNZ44" s="292"/>
      <c r="TOA44" s="292"/>
      <c r="TOB44" s="292"/>
      <c r="TOC44" s="292"/>
      <c r="TOD44" s="292"/>
      <c r="TOE44" s="292"/>
      <c r="TOF44" s="292"/>
      <c r="TOG44" s="292"/>
      <c r="TOH44" s="292"/>
      <c r="TOI44" s="292"/>
      <c r="TOJ44" s="292"/>
      <c r="TOK44" s="292"/>
      <c r="TOL44" s="292"/>
      <c r="TOM44" s="292"/>
      <c r="TON44" s="292"/>
      <c r="TOO44" s="292"/>
      <c r="TOP44" s="292"/>
      <c r="TOQ44" s="292"/>
      <c r="TOR44" s="292"/>
      <c r="TOS44" s="292"/>
      <c r="TOT44" s="292"/>
      <c r="TOU44" s="292"/>
      <c r="TOV44" s="292"/>
      <c r="TOW44" s="292"/>
      <c r="TOX44" s="292"/>
      <c r="TOY44" s="292"/>
      <c r="TOZ44" s="292"/>
      <c r="TPA44" s="292"/>
      <c r="TPB44" s="292"/>
      <c r="TPC44" s="292"/>
      <c r="TPD44" s="292"/>
      <c r="TPE44" s="292"/>
      <c r="TPF44" s="292"/>
      <c r="TPG44" s="292"/>
      <c r="TPH44" s="292"/>
      <c r="TPI44" s="292"/>
      <c r="TPJ44" s="292"/>
      <c r="TPK44" s="292"/>
      <c r="TPL44" s="292"/>
      <c r="TPM44" s="292"/>
      <c r="TPN44" s="292"/>
      <c r="TPO44" s="292"/>
      <c r="TPP44" s="292"/>
      <c r="TPQ44" s="292"/>
      <c r="TPR44" s="292"/>
      <c r="TPS44" s="292"/>
      <c r="TPT44" s="292"/>
      <c r="TPU44" s="292"/>
      <c r="TPV44" s="292"/>
      <c r="TPW44" s="292"/>
      <c r="TPX44" s="292"/>
      <c r="TPY44" s="292"/>
      <c r="TPZ44" s="292"/>
      <c r="TQA44" s="292"/>
      <c r="TQB44" s="292"/>
      <c r="TQC44" s="292"/>
      <c r="TQD44" s="292"/>
      <c r="TQE44" s="292"/>
      <c r="TQF44" s="292"/>
      <c r="TQG44" s="292"/>
      <c r="TQH44" s="292"/>
      <c r="TQI44" s="292"/>
      <c r="TQJ44" s="292"/>
      <c r="TQK44" s="292"/>
      <c r="TQL44" s="292"/>
      <c r="TQM44" s="292"/>
      <c r="TQN44" s="292"/>
      <c r="TQO44" s="292"/>
      <c r="TQP44" s="292"/>
      <c r="TQQ44" s="292"/>
      <c r="TQR44" s="292"/>
      <c r="TQS44" s="292"/>
      <c r="TQT44" s="292"/>
      <c r="TQU44" s="292"/>
      <c r="TQV44" s="292"/>
      <c r="TQW44" s="292"/>
      <c r="TQX44" s="292"/>
      <c r="TQY44" s="292"/>
      <c r="TQZ44" s="292"/>
      <c r="TRA44" s="292"/>
      <c r="TRB44" s="292"/>
      <c r="TRC44" s="292"/>
      <c r="TRD44" s="292"/>
      <c r="TRE44" s="292"/>
      <c r="TRF44" s="292"/>
      <c r="TRG44" s="292"/>
      <c r="TRH44" s="292"/>
      <c r="TRI44" s="292"/>
      <c r="TRJ44" s="292"/>
      <c r="TRK44" s="292"/>
      <c r="TRL44" s="292"/>
      <c r="TRM44" s="292"/>
      <c r="TRN44" s="292"/>
      <c r="TRO44" s="292"/>
      <c r="TRP44" s="292"/>
      <c r="TRQ44" s="292"/>
      <c r="TRR44" s="292"/>
      <c r="TRS44" s="292"/>
      <c r="TRT44" s="292"/>
      <c r="TRU44" s="292"/>
      <c r="TRV44" s="292"/>
      <c r="TRW44" s="292"/>
      <c r="TRX44" s="292"/>
      <c r="TRY44" s="292"/>
      <c r="TRZ44" s="292"/>
      <c r="TSA44" s="292"/>
      <c r="TSB44" s="292"/>
      <c r="TSC44" s="292"/>
      <c r="TSD44" s="292"/>
      <c r="TSE44" s="292"/>
      <c r="TSF44" s="292"/>
      <c r="TSG44" s="292"/>
      <c r="TSH44" s="292"/>
      <c r="TSI44" s="292"/>
      <c r="TSJ44" s="292"/>
      <c r="TSK44" s="292"/>
      <c r="TSL44" s="292"/>
      <c r="TSM44" s="292"/>
      <c r="TSN44" s="292"/>
      <c r="TSO44" s="292"/>
      <c r="TSP44" s="292"/>
      <c r="TSQ44" s="292"/>
      <c r="TSR44" s="292"/>
      <c r="TSS44" s="292"/>
      <c r="TST44" s="292"/>
      <c r="TSU44" s="292"/>
      <c r="TSV44" s="292"/>
      <c r="TSW44" s="292"/>
      <c r="TSX44" s="292"/>
      <c r="TSY44" s="292"/>
      <c r="TSZ44" s="292"/>
      <c r="TTA44" s="292"/>
      <c r="TTB44" s="292"/>
      <c r="TTC44" s="292"/>
      <c r="TTD44" s="292"/>
      <c r="TTE44" s="292"/>
      <c r="TTF44" s="292"/>
      <c r="TTG44" s="292"/>
      <c r="TTH44" s="292"/>
      <c r="TTI44" s="292"/>
      <c r="TTJ44" s="292"/>
      <c r="TTK44" s="292"/>
      <c r="TTL44" s="292"/>
      <c r="TTM44" s="292"/>
      <c r="TTN44" s="292"/>
      <c r="TTO44" s="292"/>
      <c r="TTP44" s="292"/>
      <c r="TTQ44" s="292"/>
      <c r="TTR44" s="292"/>
      <c r="TTS44" s="292"/>
      <c r="TTT44" s="292"/>
      <c r="TTU44" s="292"/>
      <c r="TTV44" s="292"/>
      <c r="TTW44" s="292"/>
      <c r="TTX44" s="292"/>
      <c r="TTY44" s="292"/>
      <c r="TTZ44" s="292"/>
      <c r="TUA44" s="292"/>
      <c r="TUB44" s="292"/>
      <c r="TUC44" s="292"/>
      <c r="TUD44" s="292"/>
      <c r="TUE44" s="292"/>
      <c r="TUF44" s="292"/>
      <c r="TUG44" s="292"/>
      <c r="TUH44" s="292"/>
      <c r="TUI44" s="292"/>
      <c r="TUJ44" s="292"/>
      <c r="TUK44" s="292"/>
      <c r="TUL44" s="292"/>
      <c r="TUM44" s="292"/>
      <c r="TUN44" s="292"/>
      <c r="TUO44" s="292"/>
      <c r="TUP44" s="292"/>
      <c r="TUQ44" s="292"/>
      <c r="TUR44" s="292"/>
      <c r="TUS44" s="292"/>
      <c r="TUT44" s="292"/>
      <c r="TUU44" s="292"/>
      <c r="TUV44" s="292"/>
      <c r="TUW44" s="292"/>
      <c r="TUX44" s="292"/>
      <c r="TUY44" s="292"/>
      <c r="TUZ44" s="292"/>
      <c r="TVA44" s="292"/>
      <c r="TVB44" s="292"/>
      <c r="TVC44" s="292"/>
      <c r="TVD44" s="292"/>
      <c r="TVE44" s="292"/>
      <c r="TVF44" s="292"/>
      <c r="TVG44" s="292"/>
      <c r="TVH44" s="292"/>
      <c r="TVI44" s="292"/>
      <c r="TVJ44" s="292"/>
      <c r="TVK44" s="292"/>
      <c r="TVL44" s="292"/>
      <c r="TVM44" s="292"/>
      <c r="TVN44" s="292"/>
      <c r="TVO44" s="292"/>
      <c r="TVP44" s="292"/>
      <c r="TVQ44" s="292"/>
      <c r="TVR44" s="292"/>
      <c r="TVS44" s="292"/>
      <c r="TVT44" s="292"/>
      <c r="TVU44" s="292"/>
      <c r="TVV44" s="292"/>
      <c r="TVW44" s="292"/>
      <c r="TVX44" s="292"/>
      <c r="TVY44" s="292"/>
      <c r="TVZ44" s="292"/>
      <c r="TWA44" s="292"/>
      <c r="TWB44" s="292"/>
      <c r="TWC44" s="292"/>
      <c r="TWD44" s="292"/>
      <c r="TWE44" s="292"/>
      <c r="TWF44" s="292"/>
      <c r="TWG44" s="292"/>
      <c r="TWH44" s="292"/>
      <c r="TWI44" s="292"/>
      <c r="TWJ44" s="292"/>
      <c r="TWK44" s="292"/>
      <c r="TWL44" s="292"/>
      <c r="TWM44" s="292"/>
      <c r="TWN44" s="292"/>
      <c r="TWO44" s="292"/>
      <c r="TWP44" s="292"/>
      <c r="TWQ44" s="292"/>
      <c r="TWR44" s="292"/>
      <c r="TWS44" s="292"/>
      <c r="TWT44" s="292"/>
      <c r="TWU44" s="292"/>
      <c r="TWV44" s="292"/>
      <c r="TWW44" s="292"/>
      <c r="TWX44" s="292"/>
      <c r="TWY44" s="292"/>
      <c r="TWZ44" s="292"/>
      <c r="TXA44" s="292"/>
      <c r="TXB44" s="292"/>
      <c r="TXC44" s="292"/>
      <c r="TXD44" s="292"/>
      <c r="TXE44" s="292"/>
      <c r="TXF44" s="292"/>
      <c r="TXG44" s="292"/>
      <c r="TXH44" s="292"/>
      <c r="TXI44" s="292"/>
      <c r="TXJ44" s="292"/>
      <c r="TXK44" s="292"/>
      <c r="TXL44" s="292"/>
      <c r="TXM44" s="292"/>
      <c r="TXN44" s="292"/>
      <c r="TXO44" s="292"/>
      <c r="TXP44" s="292"/>
      <c r="TXQ44" s="292"/>
      <c r="TXR44" s="292"/>
      <c r="TXS44" s="292"/>
      <c r="TXT44" s="292"/>
      <c r="TXU44" s="292"/>
      <c r="TXV44" s="292"/>
      <c r="TXW44" s="292"/>
      <c r="TXX44" s="292"/>
      <c r="TXY44" s="292"/>
      <c r="TXZ44" s="292"/>
      <c r="TYA44" s="292"/>
      <c r="TYB44" s="292"/>
      <c r="TYC44" s="292"/>
      <c r="TYD44" s="292"/>
      <c r="TYE44" s="292"/>
      <c r="TYF44" s="292"/>
      <c r="TYG44" s="292"/>
      <c r="TYH44" s="292"/>
      <c r="TYI44" s="292"/>
      <c r="TYJ44" s="292"/>
      <c r="TYK44" s="292"/>
      <c r="TYL44" s="292"/>
      <c r="TYM44" s="292"/>
      <c r="TYN44" s="292"/>
      <c r="TYO44" s="292"/>
      <c r="TYP44" s="292"/>
      <c r="TYQ44" s="292"/>
      <c r="TYR44" s="292"/>
      <c r="TYS44" s="292"/>
      <c r="TYT44" s="292"/>
      <c r="TYU44" s="292"/>
      <c r="TYV44" s="292"/>
      <c r="TYW44" s="292"/>
      <c r="TYX44" s="292"/>
      <c r="TYY44" s="292"/>
      <c r="TYZ44" s="292"/>
      <c r="TZA44" s="292"/>
      <c r="TZB44" s="292"/>
      <c r="TZC44" s="292"/>
      <c r="TZD44" s="292"/>
      <c r="TZE44" s="292"/>
      <c r="TZF44" s="292"/>
      <c r="TZG44" s="292"/>
      <c r="TZH44" s="292"/>
      <c r="TZI44" s="292"/>
      <c r="TZJ44" s="292"/>
      <c r="TZK44" s="292"/>
      <c r="TZL44" s="292"/>
      <c r="TZM44" s="292"/>
      <c r="TZN44" s="292"/>
      <c r="TZO44" s="292"/>
      <c r="TZP44" s="292"/>
      <c r="TZQ44" s="292"/>
      <c r="TZR44" s="292"/>
      <c r="TZS44" s="292"/>
      <c r="TZT44" s="292"/>
      <c r="TZU44" s="292"/>
      <c r="TZV44" s="292"/>
      <c r="TZW44" s="292"/>
      <c r="TZX44" s="292"/>
      <c r="TZY44" s="292"/>
      <c r="TZZ44" s="292"/>
      <c r="UAA44" s="292"/>
      <c r="UAB44" s="292"/>
      <c r="UAC44" s="292"/>
      <c r="UAD44" s="292"/>
      <c r="UAE44" s="292"/>
      <c r="UAF44" s="292"/>
      <c r="UAG44" s="292"/>
      <c r="UAH44" s="292"/>
      <c r="UAI44" s="292"/>
      <c r="UAJ44" s="292"/>
      <c r="UAK44" s="292"/>
      <c r="UAL44" s="292"/>
      <c r="UAM44" s="292"/>
      <c r="UAN44" s="292"/>
      <c r="UAO44" s="292"/>
      <c r="UAP44" s="292"/>
      <c r="UAQ44" s="292"/>
      <c r="UAR44" s="292"/>
      <c r="UAS44" s="292"/>
      <c r="UAT44" s="292"/>
      <c r="UAU44" s="292"/>
      <c r="UAV44" s="292"/>
      <c r="UAW44" s="292"/>
      <c r="UAX44" s="292"/>
      <c r="UAY44" s="292"/>
      <c r="UAZ44" s="292"/>
      <c r="UBA44" s="292"/>
      <c r="UBB44" s="292"/>
      <c r="UBC44" s="292"/>
      <c r="UBD44" s="292"/>
      <c r="UBE44" s="292"/>
      <c r="UBF44" s="292"/>
      <c r="UBG44" s="292"/>
      <c r="UBH44" s="292"/>
      <c r="UBI44" s="292"/>
      <c r="UBJ44" s="292"/>
      <c r="UBK44" s="292"/>
      <c r="UBL44" s="292"/>
      <c r="UBM44" s="292"/>
      <c r="UBN44" s="292"/>
      <c r="UBO44" s="292"/>
      <c r="UBP44" s="292"/>
      <c r="UBQ44" s="292"/>
      <c r="UBR44" s="292"/>
      <c r="UBS44" s="292"/>
      <c r="UBT44" s="292"/>
      <c r="UBU44" s="292"/>
      <c r="UBV44" s="292"/>
      <c r="UBW44" s="292"/>
      <c r="UBX44" s="292"/>
      <c r="UBY44" s="292"/>
      <c r="UBZ44" s="292"/>
      <c r="UCA44" s="292"/>
      <c r="UCB44" s="292"/>
      <c r="UCC44" s="292"/>
      <c r="UCD44" s="292"/>
      <c r="UCE44" s="292"/>
      <c r="UCF44" s="292"/>
      <c r="UCG44" s="292"/>
      <c r="UCH44" s="292"/>
      <c r="UCI44" s="292"/>
      <c r="UCJ44" s="292"/>
      <c r="UCK44" s="292"/>
      <c r="UCL44" s="292"/>
      <c r="UCM44" s="292"/>
      <c r="UCN44" s="292"/>
      <c r="UCO44" s="292"/>
      <c r="UCP44" s="292"/>
      <c r="UCQ44" s="292"/>
      <c r="UCR44" s="292"/>
      <c r="UCS44" s="292"/>
      <c r="UCT44" s="292"/>
      <c r="UCU44" s="292"/>
      <c r="UCV44" s="292"/>
      <c r="UCW44" s="292"/>
      <c r="UCX44" s="292"/>
      <c r="UCY44" s="292"/>
      <c r="UCZ44" s="292"/>
      <c r="UDA44" s="292"/>
      <c r="UDB44" s="292"/>
      <c r="UDC44" s="292"/>
      <c r="UDD44" s="292"/>
      <c r="UDE44" s="292"/>
      <c r="UDF44" s="292"/>
      <c r="UDG44" s="292"/>
      <c r="UDH44" s="292"/>
      <c r="UDI44" s="292"/>
      <c r="UDJ44" s="292"/>
      <c r="UDK44" s="292"/>
      <c r="UDL44" s="292"/>
      <c r="UDM44" s="292"/>
      <c r="UDN44" s="292"/>
      <c r="UDO44" s="292"/>
      <c r="UDP44" s="292"/>
      <c r="UDQ44" s="292"/>
      <c r="UDR44" s="292"/>
      <c r="UDS44" s="292"/>
      <c r="UDT44" s="292"/>
      <c r="UDU44" s="292"/>
      <c r="UDV44" s="292"/>
      <c r="UDW44" s="292"/>
      <c r="UDX44" s="292"/>
      <c r="UDY44" s="292"/>
      <c r="UDZ44" s="292"/>
      <c r="UEA44" s="292"/>
      <c r="UEB44" s="292"/>
      <c r="UEC44" s="292"/>
      <c r="UED44" s="292"/>
      <c r="UEE44" s="292"/>
      <c r="UEF44" s="292"/>
      <c r="UEG44" s="292"/>
      <c r="UEH44" s="292"/>
      <c r="UEI44" s="292"/>
      <c r="UEJ44" s="292"/>
      <c r="UEK44" s="292"/>
      <c r="UEL44" s="292"/>
      <c r="UEM44" s="292"/>
      <c r="UEN44" s="292"/>
      <c r="UEO44" s="292"/>
      <c r="UEP44" s="292"/>
      <c r="UEQ44" s="292"/>
      <c r="UER44" s="292"/>
      <c r="UES44" s="292"/>
      <c r="UET44" s="292"/>
      <c r="UEU44" s="292"/>
      <c r="UEV44" s="292"/>
      <c r="UEW44" s="292"/>
      <c r="UEX44" s="292"/>
      <c r="UEY44" s="292"/>
      <c r="UEZ44" s="292"/>
      <c r="UFA44" s="292"/>
      <c r="UFB44" s="292"/>
      <c r="UFC44" s="292"/>
      <c r="UFD44" s="292"/>
      <c r="UFE44" s="292"/>
      <c r="UFF44" s="292"/>
      <c r="UFG44" s="292"/>
      <c r="UFH44" s="292"/>
      <c r="UFI44" s="292"/>
      <c r="UFJ44" s="292"/>
      <c r="UFK44" s="292"/>
      <c r="UFL44" s="292"/>
      <c r="UFM44" s="292"/>
      <c r="UFN44" s="292"/>
      <c r="UFO44" s="292"/>
      <c r="UFP44" s="292"/>
      <c r="UFQ44" s="292"/>
      <c r="UFR44" s="292"/>
      <c r="UFS44" s="292"/>
      <c r="UFT44" s="292"/>
      <c r="UFU44" s="292"/>
      <c r="UFV44" s="292"/>
      <c r="UFW44" s="292"/>
      <c r="UFX44" s="292"/>
      <c r="UFY44" s="292"/>
      <c r="UFZ44" s="292"/>
      <c r="UGA44" s="292"/>
      <c r="UGB44" s="292"/>
      <c r="UGC44" s="292"/>
      <c r="UGD44" s="292"/>
      <c r="UGE44" s="292"/>
      <c r="UGF44" s="292"/>
      <c r="UGG44" s="292"/>
      <c r="UGH44" s="292"/>
      <c r="UGI44" s="292"/>
      <c r="UGJ44" s="292"/>
      <c r="UGK44" s="292"/>
      <c r="UGL44" s="292"/>
      <c r="UGM44" s="292"/>
      <c r="UGN44" s="292"/>
      <c r="UGO44" s="292"/>
      <c r="UGP44" s="292"/>
      <c r="UGQ44" s="292"/>
      <c r="UGR44" s="292"/>
      <c r="UGS44" s="292"/>
      <c r="UGT44" s="292"/>
      <c r="UGU44" s="292"/>
      <c r="UGV44" s="292"/>
      <c r="UGW44" s="292"/>
      <c r="UGX44" s="292"/>
      <c r="UGY44" s="292"/>
      <c r="UGZ44" s="292"/>
      <c r="UHA44" s="292"/>
      <c r="UHB44" s="292"/>
      <c r="UHC44" s="292"/>
      <c r="UHD44" s="292"/>
      <c r="UHE44" s="292"/>
      <c r="UHF44" s="292"/>
      <c r="UHG44" s="292"/>
      <c r="UHH44" s="292"/>
      <c r="UHI44" s="292"/>
      <c r="UHJ44" s="292"/>
      <c r="UHK44" s="292"/>
      <c r="UHL44" s="292"/>
      <c r="UHM44" s="292"/>
      <c r="UHN44" s="292"/>
      <c r="UHO44" s="292"/>
      <c r="UHP44" s="292"/>
      <c r="UHQ44" s="292"/>
      <c r="UHR44" s="292"/>
      <c r="UHS44" s="292"/>
      <c r="UHT44" s="292"/>
      <c r="UHU44" s="292"/>
      <c r="UHV44" s="292"/>
      <c r="UHW44" s="292"/>
      <c r="UHX44" s="292"/>
      <c r="UHY44" s="292"/>
      <c r="UHZ44" s="292"/>
      <c r="UIA44" s="292"/>
      <c r="UIB44" s="292"/>
      <c r="UIC44" s="292"/>
      <c r="UID44" s="292"/>
      <c r="UIE44" s="292"/>
      <c r="UIF44" s="292"/>
      <c r="UIG44" s="292"/>
      <c r="UIH44" s="292"/>
      <c r="UII44" s="292"/>
      <c r="UIJ44" s="292"/>
      <c r="UIK44" s="292"/>
      <c r="UIL44" s="292"/>
      <c r="UIM44" s="292"/>
      <c r="UIN44" s="292"/>
      <c r="UIO44" s="292"/>
      <c r="UIP44" s="292"/>
      <c r="UIQ44" s="292"/>
      <c r="UIR44" s="292"/>
      <c r="UIS44" s="292"/>
      <c r="UIT44" s="292"/>
      <c r="UIU44" s="292"/>
      <c r="UIV44" s="292"/>
      <c r="UIW44" s="292"/>
      <c r="UIX44" s="292"/>
      <c r="UIY44" s="292"/>
      <c r="UIZ44" s="292"/>
      <c r="UJA44" s="292"/>
      <c r="UJB44" s="292"/>
      <c r="UJC44" s="292"/>
      <c r="UJD44" s="292"/>
      <c r="UJE44" s="292"/>
      <c r="UJF44" s="292"/>
      <c r="UJG44" s="292"/>
      <c r="UJH44" s="292"/>
      <c r="UJI44" s="292"/>
      <c r="UJJ44" s="292"/>
      <c r="UJK44" s="292"/>
      <c r="UJL44" s="292"/>
      <c r="UJM44" s="292"/>
      <c r="UJN44" s="292"/>
      <c r="UJO44" s="292"/>
      <c r="UJP44" s="292"/>
      <c r="UJQ44" s="292"/>
      <c r="UJR44" s="292"/>
      <c r="UJS44" s="292"/>
      <c r="UJT44" s="292"/>
      <c r="UJU44" s="292"/>
      <c r="UJV44" s="292"/>
      <c r="UJW44" s="292"/>
      <c r="UJX44" s="292"/>
      <c r="UJY44" s="292"/>
      <c r="UJZ44" s="292"/>
      <c r="UKA44" s="292"/>
      <c r="UKB44" s="292"/>
      <c r="UKC44" s="292"/>
      <c r="UKD44" s="292"/>
      <c r="UKE44" s="292"/>
      <c r="UKF44" s="292"/>
      <c r="UKG44" s="292"/>
      <c r="UKH44" s="292"/>
      <c r="UKI44" s="292"/>
      <c r="UKJ44" s="292"/>
      <c r="UKK44" s="292"/>
      <c r="UKL44" s="292"/>
      <c r="UKM44" s="292"/>
      <c r="UKN44" s="292"/>
      <c r="UKO44" s="292"/>
      <c r="UKP44" s="292"/>
      <c r="UKQ44" s="292"/>
      <c r="UKR44" s="292"/>
      <c r="UKS44" s="292"/>
      <c r="UKT44" s="292"/>
      <c r="UKU44" s="292"/>
      <c r="UKV44" s="292"/>
      <c r="UKW44" s="292"/>
      <c r="UKX44" s="292"/>
      <c r="UKY44" s="292"/>
      <c r="UKZ44" s="292"/>
      <c r="ULA44" s="292"/>
      <c r="ULB44" s="292"/>
      <c r="ULC44" s="292"/>
      <c r="ULD44" s="292"/>
      <c r="ULE44" s="292"/>
      <c r="ULF44" s="292"/>
      <c r="ULG44" s="292"/>
      <c r="ULH44" s="292"/>
      <c r="ULI44" s="292"/>
      <c r="ULJ44" s="292"/>
      <c r="ULK44" s="292"/>
      <c r="ULL44" s="292"/>
      <c r="ULM44" s="292"/>
      <c r="ULN44" s="292"/>
      <c r="ULO44" s="292"/>
      <c r="ULP44" s="292"/>
      <c r="ULQ44" s="292"/>
      <c r="ULR44" s="292"/>
      <c r="ULS44" s="292"/>
      <c r="ULT44" s="292"/>
      <c r="ULU44" s="292"/>
      <c r="ULV44" s="292"/>
      <c r="ULW44" s="292"/>
      <c r="ULX44" s="292"/>
      <c r="ULY44" s="292"/>
      <c r="ULZ44" s="292"/>
      <c r="UMA44" s="292"/>
      <c r="UMB44" s="292"/>
      <c r="UMC44" s="292"/>
      <c r="UMD44" s="292"/>
      <c r="UME44" s="292"/>
      <c r="UMF44" s="292"/>
      <c r="UMG44" s="292"/>
      <c r="UMH44" s="292"/>
      <c r="UMI44" s="292"/>
      <c r="UMJ44" s="292"/>
      <c r="UMK44" s="292"/>
      <c r="UML44" s="292"/>
      <c r="UMM44" s="292"/>
      <c r="UMN44" s="292"/>
      <c r="UMO44" s="292"/>
      <c r="UMP44" s="292"/>
      <c r="UMQ44" s="292"/>
      <c r="UMR44" s="292"/>
      <c r="UMS44" s="292"/>
      <c r="UMT44" s="292"/>
      <c r="UMU44" s="292"/>
      <c r="UMV44" s="292"/>
      <c r="UMW44" s="292"/>
      <c r="UMX44" s="292"/>
      <c r="UMY44" s="292"/>
      <c r="UMZ44" s="292"/>
      <c r="UNA44" s="292"/>
      <c r="UNB44" s="292"/>
      <c r="UNC44" s="292"/>
      <c r="UND44" s="292"/>
      <c r="UNE44" s="292"/>
      <c r="UNF44" s="292"/>
      <c r="UNG44" s="292"/>
      <c r="UNH44" s="292"/>
      <c r="UNI44" s="292"/>
      <c r="UNJ44" s="292"/>
      <c r="UNK44" s="292"/>
      <c r="UNL44" s="292"/>
      <c r="UNM44" s="292"/>
      <c r="UNN44" s="292"/>
      <c r="UNO44" s="292"/>
      <c r="UNP44" s="292"/>
      <c r="UNQ44" s="292"/>
      <c r="UNR44" s="292"/>
      <c r="UNS44" s="292"/>
      <c r="UNT44" s="292"/>
      <c r="UNU44" s="292"/>
      <c r="UNV44" s="292"/>
      <c r="UNW44" s="292"/>
      <c r="UNX44" s="292"/>
      <c r="UNY44" s="292"/>
      <c r="UNZ44" s="292"/>
      <c r="UOA44" s="292"/>
      <c r="UOB44" s="292"/>
      <c r="UOC44" s="292"/>
      <c r="UOD44" s="292"/>
      <c r="UOE44" s="292"/>
      <c r="UOF44" s="292"/>
      <c r="UOG44" s="292"/>
      <c r="UOH44" s="292"/>
      <c r="UOI44" s="292"/>
      <c r="UOJ44" s="292"/>
      <c r="UOK44" s="292"/>
      <c r="UOL44" s="292"/>
      <c r="UOM44" s="292"/>
      <c r="UON44" s="292"/>
      <c r="UOO44" s="292"/>
      <c r="UOP44" s="292"/>
      <c r="UOQ44" s="292"/>
      <c r="UOR44" s="292"/>
      <c r="UOS44" s="292"/>
      <c r="UOT44" s="292"/>
      <c r="UOU44" s="292"/>
      <c r="UOV44" s="292"/>
      <c r="UOW44" s="292"/>
      <c r="UOX44" s="292"/>
      <c r="UOY44" s="292"/>
      <c r="UOZ44" s="292"/>
      <c r="UPA44" s="292"/>
      <c r="UPB44" s="292"/>
      <c r="UPC44" s="292"/>
      <c r="UPD44" s="292"/>
      <c r="UPE44" s="292"/>
      <c r="UPF44" s="292"/>
      <c r="UPG44" s="292"/>
      <c r="UPH44" s="292"/>
      <c r="UPI44" s="292"/>
      <c r="UPJ44" s="292"/>
      <c r="UPK44" s="292"/>
      <c r="UPL44" s="292"/>
      <c r="UPM44" s="292"/>
      <c r="UPN44" s="292"/>
      <c r="UPO44" s="292"/>
      <c r="UPP44" s="292"/>
      <c r="UPQ44" s="292"/>
      <c r="UPR44" s="292"/>
      <c r="UPS44" s="292"/>
      <c r="UPT44" s="292"/>
      <c r="UPU44" s="292"/>
      <c r="UPV44" s="292"/>
      <c r="UPW44" s="292"/>
      <c r="UPX44" s="292"/>
      <c r="UPY44" s="292"/>
      <c r="UPZ44" s="292"/>
      <c r="UQA44" s="292"/>
      <c r="UQB44" s="292"/>
      <c r="UQC44" s="292"/>
      <c r="UQD44" s="292"/>
      <c r="UQE44" s="292"/>
      <c r="UQF44" s="292"/>
      <c r="UQG44" s="292"/>
      <c r="UQH44" s="292"/>
      <c r="UQI44" s="292"/>
      <c r="UQJ44" s="292"/>
      <c r="UQK44" s="292"/>
      <c r="UQL44" s="292"/>
      <c r="UQM44" s="292"/>
      <c r="UQN44" s="292"/>
      <c r="UQO44" s="292"/>
      <c r="UQP44" s="292"/>
      <c r="UQQ44" s="292"/>
      <c r="UQR44" s="292"/>
      <c r="UQS44" s="292"/>
      <c r="UQT44" s="292"/>
      <c r="UQU44" s="292"/>
      <c r="UQV44" s="292"/>
      <c r="UQW44" s="292"/>
      <c r="UQX44" s="292"/>
      <c r="UQY44" s="292"/>
      <c r="UQZ44" s="292"/>
      <c r="URA44" s="292"/>
      <c r="URB44" s="292"/>
      <c r="URC44" s="292"/>
      <c r="URD44" s="292"/>
      <c r="URE44" s="292"/>
      <c r="URF44" s="292"/>
      <c r="URG44" s="292"/>
      <c r="URH44" s="292"/>
      <c r="URI44" s="292"/>
      <c r="URJ44" s="292"/>
      <c r="URK44" s="292"/>
      <c r="URL44" s="292"/>
      <c r="URM44" s="292"/>
      <c r="URN44" s="292"/>
      <c r="URO44" s="292"/>
      <c r="URP44" s="292"/>
      <c r="URQ44" s="292"/>
      <c r="URR44" s="292"/>
      <c r="URS44" s="292"/>
      <c r="URT44" s="292"/>
      <c r="URU44" s="292"/>
      <c r="URV44" s="292"/>
      <c r="URW44" s="292"/>
      <c r="URX44" s="292"/>
      <c r="URY44" s="292"/>
      <c r="URZ44" s="292"/>
      <c r="USA44" s="292"/>
      <c r="USB44" s="292"/>
      <c r="USC44" s="292"/>
      <c r="USD44" s="292"/>
      <c r="USE44" s="292"/>
      <c r="USF44" s="292"/>
      <c r="USG44" s="292"/>
      <c r="USH44" s="292"/>
      <c r="USI44" s="292"/>
      <c r="USJ44" s="292"/>
      <c r="USK44" s="292"/>
      <c r="USL44" s="292"/>
      <c r="USM44" s="292"/>
      <c r="USN44" s="292"/>
      <c r="USO44" s="292"/>
      <c r="USP44" s="292"/>
      <c r="USQ44" s="292"/>
      <c r="USR44" s="292"/>
      <c r="USS44" s="292"/>
      <c r="UST44" s="292"/>
      <c r="USU44" s="292"/>
      <c r="USV44" s="292"/>
      <c r="USW44" s="292"/>
      <c r="USX44" s="292"/>
      <c r="USY44" s="292"/>
      <c r="USZ44" s="292"/>
      <c r="UTA44" s="292"/>
      <c r="UTB44" s="292"/>
      <c r="UTC44" s="292"/>
      <c r="UTD44" s="292"/>
      <c r="UTE44" s="292"/>
      <c r="UTF44" s="292"/>
      <c r="UTG44" s="292"/>
      <c r="UTH44" s="292"/>
      <c r="UTI44" s="292"/>
      <c r="UTJ44" s="292"/>
      <c r="UTK44" s="292"/>
      <c r="UTL44" s="292"/>
      <c r="UTM44" s="292"/>
      <c r="UTN44" s="292"/>
      <c r="UTO44" s="292"/>
      <c r="UTP44" s="292"/>
      <c r="UTQ44" s="292"/>
      <c r="UTR44" s="292"/>
      <c r="UTS44" s="292"/>
      <c r="UTT44" s="292"/>
      <c r="UTU44" s="292"/>
      <c r="UTV44" s="292"/>
      <c r="UTW44" s="292"/>
      <c r="UTX44" s="292"/>
      <c r="UTY44" s="292"/>
      <c r="UTZ44" s="292"/>
      <c r="UUA44" s="292"/>
      <c r="UUB44" s="292"/>
      <c r="UUC44" s="292"/>
      <c r="UUD44" s="292"/>
      <c r="UUE44" s="292"/>
      <c r="UUF44" s="292"/>
      <c r="UUG44" s="292"/>
      <c r="UUH44" s="292"/>
      <c r="UUI44" s="292"/>
      <c r="UUJ44" s="292"/>
      <c r="UUK44" s="292"/>
      <c r="UUL44" s="292"/>
      <c r="UUM44" s="292"/>
      <c r="UUN44" s="292"/>
      <c r="UUO44" s="292"/>
      <c r="UUP44" s="292"/>
      <c r="UUQ44" s="292"/>
      <c r="UUR44" s="292"/>
      <c r="UUS44" s="292"/>
      <c r="UUT44" s="292"/>
      <c r="UUU44" s="292"/>
      <c r="UUV44" s="292"/>
      <c r="UUW44" s="292"/>
      <c r="UUX44" s="292"/>
      <c r="UUY44" s="292"/>
      <c r="UUZ44" s="292"/>
      <c r="UVA44" s="292"/>
      <c r="UVB44" s="292"/>
      <c r="UVC44" s="292"/>
      <c r="UVD44" s="292"/>
      <c r="UVE44" s="292"/>
      <c r="UVF44" s="292"/>
      <c r="UVG44" s="292"/>
      <c r="UVH44" s="292"/>
      <c r="UVI44" s="292"/>
      <c r="UVJ44" s="292"/>
      <c r="UVK44" s="292"/>
      <c r="UVL44" s="292"/>
      <c r="UVM44" s="292"/>
      <c r="UVN44" s="292"/>
      <c r="UVO44" s="292"/>
      <c r="UVP44" s="292"/>
      <c r="UVQ44" s="292"/>
      <c r="UVR44" s="292"/>
      <c r="UVS44" s="292"/>
      <c r="UVT44" s="292"/>
      <c r="UVU44" s="292"/>
      <c r="UVV44" s="292"/>
      <c r="UVW44" s="292"/>
      <c r="UVX44" s="292"/>
      <c r="UVY44" s="292"/>
      <c r="UVZ44" s="292"/>
      <c r="UWA44" s="292"/>
      <c r="UWB44" s="292"/>
      <c r="UWC44" s="292"/>
      <c r="UWD44" s="292"/>
      <c r="UWE44" s="292"/>
      <c r="UWF44" s="292"/>
      <c r="UWG44" s="292"/>
      <c r="UWH44" s="292"/>
      <c r="UWI44" s="292"/>
      <c r="UWJ44" s="292"/>
      <c r="UWK44" s="292"/>
      <c r="UWL44" s="292"/>
      <c r="UWM44" s="292"/>
      <c r="UWN44" s="292"/>
      <c r="UWO44" s="292"/>
      <c r="UWP44" s="292"/>
      <c r="UWQ44" s="292"/>
      <c r="UWR44" s="292"/>
      <c r="UWS44" s="292"/>
      <c r="UWT44" s="292"/>
      <c r="UWU44" s="292"/>
      <c r="UWV44" s="292"/>
      <c r="UWW44" s="292"/>
      <c r="UWX44" s="292"/>
      <c r="UWY44" s="292"/>
      <c r="UWZ44" s="292"/>
      <c r="UXA44" s="292"/>
      <c r="UXB44" s="292"/>
      <c r="UXC44" s="292"/>
      <c r="UXD44" s="292"/>
      <c r="UXE44" s="292"/>
      <c r="UXF44" s="292"/>
      <c r="UXG44" s="292"/>
      <c r="UXH44" s="292"/>
      <c r="UXI44" s="292"/>
      <c r="UXJ44" s="292"/>
      <c r="UXK44" s="292"/>
      <c r="UXL44" s="292"/>
      <c r="UXM44" s="292"/>
      <c r="UXN44" s="292"/>
      <c r="UXO44" s="292"/>
      <c r="UXP44" s="292"/>
      <c r="UXQ44" s="292"/>
      <c r="UXR44" s="292"/>
      <c r="UXS44" s="292"/>
      <c r="UXT44" s="292"/>
      <c r="UXU44" s="292"/>
      <c r="UXV44" s="292"/>
      <c r="UXW44" s="292"/>
      <c r="UXX44" s="292"/>
      <c r="UXY44" s="292"/>
      <c r="UXZ44" s="292"/>
      <c r="UYA44" s="292"/>
      <c r="UYB44" s="292"/>
      <c r="UYC44" s="292"/>
      <c r="UYD44" s="292"/>
      <c r="UYE44" s="292"/>
      <c r="UYF44" s="292"/>
      <c r="UYG44" s="292"/>
      <c r="UYH44" s="292"/>
      <c r="UYI44" s="292"/>
      <c r="UYJ44" s="292"/>
      <c r="UYK44" s="292"/>
      <c r="UYL44" s="292"/>
      <c r="UYM44" s="292"/>
      <c r="UYN44" s="292"/>
      <c r="UYO44" s="292"/>
      <c r="UYP44" s="292"/>
      <c r="UYQ44" s="292"/>
      <c r="UYR44" s="292"/>
      <c r="UYS44" s="292"/>
      <c r="UYT44" s="292"/>
      <c r="UYU44" s="292"/>
      <c r="UYV44" s="292"/>
      <c r="UYW44" s="292"/>
      <c r="UYX44" s="292"/>
      <c r="UYY44" s="292"/>
      <c r="UYZ44" s="292"/>
      <c r="UZA44" s="292"/>
      <c r="UZB44" s="292"/>
      <c r="UZC44" s="292"/>
      <c r="UZD44" s="292"/>
      <c r="UZE44" s="292"/>
      <c r="UZF44" s="292"/>
      <c r="UZG44" s="292"/>
      <c r="UZH44" s="292"/>
      <c r="UZI44" s="292"/>
      <c r="UZJ44" s="292"/>
      <c r="UZK44" s="292"/>
      <c r="UZL44" s="292"/>
      <c r="UZM44" s="292"/>
      <c r="UZN44" s="292"/>
      <c r="UZO44" s="292"/>
      <c r="UZP44" s="292"/>
      <c r="UZQ44" s="292"/>
      <c r="UZR44" s="292"/>
      <c r="UZS44" s="292"/>
      <c r="UZT44" s="292"/>
      <c r="UZU44" s="292"/>
      <c r="UZV44" s="292"/>
      <c r="UZW44" s="292"/>
      <c r="UZX44" s="292"/>
      <c r="UZY44" s="292"/>
      <c r="UZZ44" s="292"/>
      <c r="VAA44" s="292"/>
      <c r="VAB44" s="292"/>
      <c r="VAC44" s="292"/>
      <c r="VAD44" s="292"/>
      <c r="VAE44" s="292"/>
      <c r="VAF44" s="292"/>
      <c r="VAG44" s="292"/>
      <c r="VAH44" s="292"/>
      <c r="VAI44" s="292"/>
      <c r="VAJ44" s="292"/>
      <c r="VAK44" s="292"/>
      <c r="VAL44" s="292"/>
      <c r="VAM44" s="292"/>
      <c r="VAN44" s="292"/>
      <c r="VAO44" s="292"/>
      <c r="VAP44" s="292"/>
      <c r="VAQ44" s="292"/>
      <c r="VAR44" s="292"/>
      <c r="VAS44" s="292"/>
      <c r="VAT44" s="292"/>
      <c r="VAU44" s="292"/>
      <c r="VAV44" s="292"/>
      <c r="VAW44" s="292"/>
      <c r="VAX44" s="292"/>
      <c r="VAY44" s="292"/>
      <c r="VAZ44" s="292"/>
      <c r="VBA44" s="292"/>
      <c r="VBB44" s="292"/>
      <c r="VBC44" s="292"/>
      <c r="VBD44" s="292"/>
      <c r="VBE44" s="292"/>
      <c r="VBF44" s="292"/>
      <c r="VBG44" s="292"/>
      <c r="VBH44" s="292"/>
      <c r="VBI44" s="292"/>
      <c r="VBJ44" s="292"/>
      <c r="VBK44" s="292"/>
      <c r="VBL44" s="292"/>
      <c r="VBM44" s="292"/>
      <c r="VBN44" s="292"/>
      <c r="VBO44" s="292"/>
      <c r="VBP44" s="292"/>
      <c r="VBQ44" s="292"/>
      <c r="VBR44" s="292"/>
      <c r="VBS44" s="292"/>
      <c r="VBT44" s="292"/>
      <c r="VBU44" s="292"/>
      <c r="VBV44" s="292"/>
      <c r="VBW44" s="292"/>
      <c r="VBX44" s="292"/>
      <c r="VBY44" s="292"/>
      <c r="VBZ44" s="292"/>
      <c r="VCA44" s="292"/>
      <c r="VCB44" s="292"/>
      <c r="VCC44" s="292"/>
      <c r="VCD44" s="292"/>
      <c r="VCE44" s="292"/>
      <c r="VCF44" s="292"/>
      <c r="VCG44" s="292"/>
      <c r="VCH44" s="292"/>
      <c r="VCI44" s="292"/>
      <c r="VCJ44" s="292"/>
      <c r="VCK44" s="292"/>
      <c r="VCL44" s="292"/>
      <c r="VCM44" s="292"/>
      <c r="VCN44" s="292"/>
      <c r="VCO44" s="292"/>
      <c r="VCP44" s="292"/>
      <c r="VCQ44" s="292"/>
      <c r="VCR44" s="292"/>
      <c r="VCS44" s="292"/>
      <c r="VCT44" s="292"/>
      <c r="VCU44" s="292"/>
      <c r="VCV44" s="292"/>
      <c r="VCW44" s="292"/>
      <c r="VCX44" s="292"/>
      <c r="VCY44" s="292"/>
      <c r="VCZ44" s="292"/>
      <c r="VDA44" s="292"/>
      <c r="VDB44" s="292"/>
      <c r="VDC44" s="292"/>
      <c r="VDD44" s="292"/>
      <c r="VDE44" s="292"/>
      <c r="VDF44" s="292"/>
      <c r="VDG44" s="292"/>
      <c r="VDH44" s="292"/>
      <c r="VDI44" s="292"/>
      <c r="VDJ44" s="292"/>
      <c r="VDK44" s="292"/>
      <c r="VDL44" s="292"/>
      <c r="VDM44" s="292"/>
      <c r="VDN44" s="292"/>
      <c r="VDO44" s="292"/>
      <c r="VDP44" s="292"/>
      <c r="VDQ44" s="292"/>
      <c r="VDR44" s="292"/>
      <c r="VDS44" s="292"/>
      <c r="VDT44" s="292"/>
      <c r="VDU44" s="292"/>
      <c r="VDV44" s="292"/>
      <c r="VDW44" s="292"/>
      <c r="VDX44" s="292"/>
      <c r="VDY44" s="292"/>
      <c r="VDZ44" s="292"/>
      <c r="VEA44" s="292"/>
      <c r="VEB44" s="292"/>
      <c r="VEC44" s="292"/>
      <c r="VED44" s="292"/>
      <c r="VEE44" s="292"/>
      <c r="VEF44" s="292"/>
      <c r="VEG44" s="292"/>
      <c r="VEH44" s="292"/>
      <c r="VEI44" s="292"/>
      <c r="VEJ44" s="292"/>
      <c r="VEK44" s="292"/>
      <c r="VEL44" s="292"/>
      <c r="VEM44" s="292"/>
      <c r="VEN44" s="292"/>
      <c r="VEO44" s="292"/>
      <c r="VEP44" s="292"/>
      <c r="VEQ44" s="292"/>
      <c r="VER44" s="292"/>
      <c r="VES44" s="292"/>
      <c r="VET44" s="292"/>
      <c r="VEU44" s="292"/>
      <c r="VEV44" s="292"/>
      <c r="VEW44" s="292"/>
      <c r="VEX44" s="292"/>
      <c r="VEY44" s="292"/>
      <c r="VEZ44" s="292"/>
      <c r="VFA44" s="292"/>
      <c r="VFB44" s="292"/>
      <c r="VFC44" s="292"/>
      <c r="VFD44" s="292"/>
      <c r="VFE44" s="292"/>
      <c r="VFF44" s="292"/>
      <c r="VFG44" s="292"/>
      <c r="VFH44" s="292"/>
      <c r="VFI44" s="292"/>
      <c r="VFJ44" s="292"/>
      <c r="VFK44" s="292"/>
      <c r="VFL44" s="292"/>
      <c r="VFM44" s="292"/>
      <c r="VFN44" s="292"/>
      <c r="VFO44" s="292"/>
      <c r="VFP44" s="292"/>
      <c r="VFQ44" s="292"/>
      <c r="VFR44" s="292"/>
      <c r="VFS44" s="292"/>
      <c r="VFT44" s="292"/>
      <c r="VFU44" s="292"/>
      <c r="VFV44" s="292"/>
      <c r="VFW44" s="292"/>
      <c r="VFX44" s="292"/>
      <c r="VFY44" s="292"/>
      <c r="VFZ44" s="292"/>
      <c r="VGA44" s="292"/>
      <c r="VGB44" s="292"/>
      <c r="VGC44" s="292"/>
      <c r="VGD44" s="292"/>
      <c r="VGE44" s="292"/>
      <c r="VGF44" s="292"/>
      <c r="VGG44" s="292"/>
      <c r="VGH44" s="292"/>
      <c r="VGI44" s="292"/>
      <c r="VGJ44" s="292"/>
      <c r="VGK44" s="292"/>
      <c r="VGL44" s="292"/>
      <c r="VGM44" s="292"/>
      <c r="VGN44" s="292"/>
      <c r="VGO44" s="292"/>
      <c r="VGP44" s="292"/>
      <c r="VGQ44" s="292"/>
      <c r="VGR44" s="292"/>
      <c r="VGS44" s="292"/>
      <c r="VGT44" s="292"/>
      <c r="VGU44" s="292"/>
      <c r="VGV44" s="292"/>
      <c r="VGW44" s="292"/>
      <c r="VGX44" s="292"/>
      <c r="VGY44" s="292"/>
      <c r="VGZ44" s="292"/>
      <c r="VHA44" s="292"/>
      <c r="VHB44" s="292"/>
      <c r="VHC44" s="292"/>
      <c r="VHD44" s="292"/>
      <c r="VHE44" s="292"/>
      <c r="VHF44" s="292"/>
      <c r="VHG44" s="292"/>
      <c r="VHH44" s="292"/>
      <c r="VHI44" s="292"/>
      <c r="VHJ44" s="292"/>
      <c r="VHK44" s="292"/>
      <c r="VHL44" s="292"/>
      <c r="VHM44" s="292"/>
      <c r="VHN44" s="292"/>
      <c r="VHO44" s="292"/>
      <c r="VHP44" s="292"/>
      <c r="VHQ44" s="292"/>
      <c r="VHR44" s="292"/>
      <c r="VHS44" s="292"/>
      <c r="VHT44" s="292"/>
      <c r="VHU44" s="292"/>
      <c r="VHV44" s="292"/>
      <c r="VHW44" s="292"/>
      <c r="VHX44" s="292"/>
      <c r="VHY44" s="292"/>
      <c r="VHZ44" s="292"/>
      <c r="VIA44" s="292"/>
      <c r="VIB44" s="292"/>
      <c r="VIC44" s="292"/>
      <c r="VID44" s="292"/>
      <c r="VIE44" s="292"/>
      <c r="VIF44" s="292"/>
      <c r="VIG44" s="292"/>
      <c r="VIH44" s="292"/>
      <c r="VII44" s="292"/>
      <c r="VIJ44" s="292"/>
      <c r="VIK44" s="292"/>
      <c r="VIL44" s="292"/>
      <c r="VIM44" s="292"/>
      <c r="VIN44" s="292"/>
      <c r="VIO44" s="292"/>
      <c r="VIP44" s="292"/>
      <c r="VIQ44" s="292"/>
      <c r="VIR44" s="292"/>
      <c r="VIS44" s="292"/>
      <c r="VIT44" s="292"/>
      <c r="VIU44" s="292"/>
      <c r="VIV44" s="292"/>
      <c r="VIW44" s="292"/>
      <c r="VIX44" s="292"/>
      <c r="VIY44" s="292"/>
      <c r="VIZ44" s="292"/>
      <c r="VJA44" s="292"/>
      <c r="VJB44" s="292"/>
      <c r="VJC44" s="292"/>
      <c r="VJD44" s="292"/>
      <c r="VJE44" s="292"/>
      <c r="VJF44" s="292"/>
      <c r="VJG44" s="292"/>
      <c r="VJH44" s="292"/>
      <c r="VJI44" s="292"/>
      <c r="VJJ44" s="292"/>
      <c r="VJK44" s="292"/>
      <c r="VJL44" s="292"/>
      <c r="VJM44" s="292"/>
      <c r="VJN44" s="292"/>
      <c r="VJO44" s="292"/>
      <c r="VJP44" s="292"/>
      <c r="VJQ44" s="292"/>
      <c r="VJR44" s="292"/>
      <c r="VJS44" s="292"/>
      <c r="VJT44" s="292"/>
      <c r="VJU44" s="292"/>
      <c r="VJV44" s="292"/>
      <c r="VJW44" s="292"/>
      <c r="VJX44" s="292"/>
      <c r="VJY44" s="292"/>
      <c r="VJZ44" s="292"/>
      <c r="VKA44" s="292"/>
      <c r="VKB44" s="292"/>
      <c r="VKC44" s="292"/>
      <c r="VKD44" s="292"/>
      <c r="VKE44" s="292"/>
      <c r="VKF44" s="292"/>
      <c r="VKG44" s="292"/>
      <c r="VKH44" s="292"/>
      <c r="VKI44" s="292"/>
      <c r="VKJ44" s="292"/>
      <c r="VKK44" s="292"/>
      <c r="VKL44" s="292"/>
      <c r="VKM44" s="292"/>
      <c r="VKN44" s="292"/>
      <c r="VKO44" s="292"/>
      <c r="VKP44" s="292"/>
      <c r="VKQ44" s="292"/>
      <c r="VKR44" s="292"/>
      <c r="VKS44" s="292"/>
      <c r="VKT44" s="292"/>
      <c r="VKU44" s="292"/>
      <c r="VKV44" s="292"/>
      <c r="VKW44" s="292"/>
      <c r="VKX44" s="292"/>
      <c r="VKY44" s="292"/>
      <c r="VKZ44" s="292"/>
      <c r="VLA44" s="292"/>
      <c r="VLB44" s="292"/>
      <c r="VLC44" s="292"/>
      <c r="VLD44" s="292"/>
      <c r="VLE44" s="292"/>
      <c r="VLF44" s="292"/>
      <c r="VLG44" s="292"/>
      <c r="VLH44" s="292"/>
      <c r="VLI44" s="292"/>
      <c r="VLJ44" s="292"/>
      <c r="VLK44" s="292"/>
      <c r="VLL44" s="292"/>
      <c r="VLM44" s="292"/>
      <c r="VLN44" s="292"/>
      <c r="VLO44" s="292"/>
      <c r="VLP44" s="292"/>
      <c r="VLQ44" s="292"/>
      <c r="VLR44" s="292"/>
      <c r="VLS44" s="292"/>
      <c r="VLT44" s="292"/>
      <c r="VLU44" s="292"/>
      <c r="VLV44" s="292"/>
      <c r="VLW44" s="292"/>
      <c r="VLX44" s="292"/>
      <c r="VLY44" s="292"/>
      <c r="VLZ44" s="292"/>
      <c r="VMA44" s="292"/>
      <c r="VMB44" s="292"/>
      <c r="VMC44" s="292"/>
      <c r="VMD44" s="292"/>
      <c r="VME44" s="292"/>
      <c r="VMF44" s="292"/>
      <c r="VMG44" s="292"/>
      <c r="VMH44" s="292"/>
      <c r="VMI44" s="292"/>
      <c r="VMJ44" s="292"/>
      <c r="VMK44" s="292"/>
      <c r="VML44" s="292"/>
      <c r="VMM44" s="292"/>
      <c r="VMN44" s="292"/>
      <c r="VMO44" s="292"/>
      <c r="VMP44" s="292"/>
      <c r="VMQ44" s="292"/>
      <c r="VMR44" s="292"/>
      <c r="VMS44" s="292"/>
      <c r="VMT44" s="292"/>
      <c r="VMU44" s="292"/>
      <c r="VMV44" s="292"/>
      <c r="VMW44" s="292"/>
      <c r="VMX44" s="292"/>
      <c r="VMY44" s="292"/>
      <c r="VMZ44" s="292"/>
      <c r="VNA44" s="292"/>
      <c r="VNB44" s="292"/>
      <c r="VNC44" s="292"/>
      <c r="VND44" s="292"/>
      <c r="VNE44" s="292"/>
      <c r="VNF44" s="292"/>
      <c r="VNG44" s="292"/>
      <c r="VNH44" s="292"/>
      <c r="VNI44" s="292"/>
      <c r="VNJ44" s="292"/>
      <c r="VNK44" s="292"/>
      <c r="VNL44" s="292"/>
      <c r="VNM44" s="292"/>
      <c r="VNN44" s="292"/>
      <c r="VNO44" s="292"/>
      <c r="VNP44" s="292"/>
      <c r="VNQ44" s="292"/>
      <c r="VNR44" s="292"/>
      <c r="VNS44" s="292"/>
      <c r="VNT44" s="292"/>
      <c r="VNU44" s="292"/>
      <c r="VNV44" s="292"/>
      <c r="VNW44" s="292"/>
      <c r="VNX44" s="292"/>
      <c r="VNY44" s="292"/>
      <c r="VNZ44" s="292"/>
      <c r="VOA44" s="292"/>
      <c r="VOB44" s="292"/>
      <c r="VOC44" s="292"/>
      <c r="VOD44" s="292"/>
      <c r="VOE44" s="292"/>
      <c r="VOF44" s="292"/>
      <c r="VOG44" s="292"/>
      <c r="VOH44" s="292"/>
      <c r="VOI44" s="292"/>
      <c r="VOJ44" s="292"/>
      <c r="VOK44" s="292"/>
      <c r="VOL44" s="292"/>
      <c r="VOM44" s="292"/>
      <c r="VON44" s="292"/>
      <c r="VOO44" s="292"/>
      <c r="VOP44" s="292"/>
      <c r="VOQ44" s="292"/>
      <c r="VOR44" s="292"/>
      <c r="VOS44" s="292"/>
      <c r="VOT44" s="292"/>
      <c r="VOU44" s="292"/>
      <c r="VOV44" s="292"/>
      <c r="VOW44" s="292"/>
      <c r="VOX44" s="292"/>
      <c r="VOY44" s="292"/>
      <c r="VOZ44" s="292"/>
      <c r="VPA44" s="292"/>
      <c r="VPB44" s="292"/>
      <c r="VPC44" s="292"/>
      <c r="VPD44" s="292"/>
      <c r="VPE44" s="292"/>
      <c r="VPF44" s="292"/>
      <c r="VPG44" s="292"/>
      <c r="VPH44" s="292"/>
      <c r="VPI44" s="292"/>
      <c r="VPJ44" s="292"/>
      <c r="VPK44" s="292"/>
      <c r="VPL44" s="292"/>
      <c r="VPM44" s="292"/>
      <c r="VPN44" s="292"/>
      <c r="VPO44" s="292"/>
      <c r="VPP44" s="292"/>
      <c r="VPQ44" s="292"/>
      <c r="VPR44" s="292"/>
      <c r="VPS44" s="292"/>
      <c r="VPT44" s="292"/>
      <c r="VPU44" s="292"/>
      <c r="VPV44" s="292"/>
      <c r="VPW44" s="292"/>
      <c r="VPX44" s="292"/>
      <c r="VPY44" s="292"/>
      <c r="VPZ44" s="292"/>
      <c r="VQA44" s="292"/>
      <c r="VQB44" s="292"/>
      <c r="VQC44" s="292"/>
      <c r="VQD44" s="292"/>
      <c r="VQE44" s="292"/>
      <c r="VQF44" s="292"/>
      <c r="VQG44" s="292"/>
      <c r="VQH44" s="292"/>
      <c r="VQI44" s="292"/>
      <c r="VQJ44" s="292"/>
      <c r="VQK44" s="292"/>
      <c r="VQL44" s="292"/>
      <c r="VQM44" s="292"/>
      <c r="VQN44" s="292"/>
      <c r="VQO44" s="292"/>
      <c r="VQP44" s="292"/>
      <c r="VQQ44" s="292"/>
      <c r="VQR44" s="292"/>
      <c r="VQS44" s="292"/>
      <c r="VQT44" s="292"/>
      <c r="VQU44" s="292"/>
      <c r="VQV44" s="292"/>
      <c r="VQW44" s="292"/>
      <c r="VQX44" s="292"/>
      <c r="VQY44" s="292"/>
      <c r="VQZ44" s="292"/>
      <c r="VRA44" s="292"/>
      <c r="VRB44" s="292"/>
      <c r="VRC44" s="292"/>
      <c r="VRD44" s="292"/>
      <c r="VRE44" s="292"/>
      <c r="VRF44" s="292"/>
      <c r="VRG44" s="292"/>
      <c r="VRH44" s="292"/>
      <c r="VRI44" s="292"/>
      <c r="VRJ44" s="292"/>
      <c r="VRK44" s="292"/>
      <c r="VRL44" s="292"/>
      <c r="VRM44" s="292"/>
      <c r="VRN44" s="292"/>
      <c r="VRO44" s="292"/>
      <c r="VRP44" s="292"/>
      <c r="VRQ44" s="292"/>
      <c r="VRR44" s="292"/>
      <c r="VRS44" s="292"/>
      <c r="VRT44" s="292"/>
      <c r="VRU44" s="292"/>
      <c r="VRV44" s="292"/>
      <c r="VRW44" s="292"/>
      <c r="VRX44" s="292"/>
      <c r="VRY44" s="292"/>
      <c r="VRZ44" s="292"/>
      <c r="VSA44" s="292"/>
      <c r="VSB44" s="292"/>
      <c r="VSC44" s="292"/>
      <c r="VSD44" s="292"/>
      <c r="VSE44" s="292"/>
      <c r="VSF44" s="292"/>
      <c r="VSG44" s="292"/>
      <c r="VSH44" s="292"/>
      <c r="VSI44" s="292"/>
      <c r="VSJ44" s="292"/>
      <c r="VSK44" s="292"/>
      <c r="VSL44" s="292"/>
      <c r="VSM44" s="292"/>
      <c r="VSN44" s="292"/>
      <c r="VSO44" s="292"/>
      <c r="VSP44" s="292"/>
      <c r="VSQ44" s="292"/>
      <c r="VSR44" s="292"/>
      <c r="VSS44" s="292"/>
      <c r="VST44" s="292"/>
      <c r="VSU44" s="292"/>
      <c r="VSV44" s="292"/>
      <c r="VSW44" s="292"/>
      <c r="VSX44" s="292"/>
      <c r="VSY44" s="292"/>
      <c r="VSZ44" s="292"/>
      <c r="VTA44" s="292"/>
      <c r="VTB44" s="292"/>
      <c r="VTC44" s="292"/>
      <c r="VTD44" s="292"/>
      <c r="VTE44" s="292"/>
      <c r="VTF44" s="292"/>
      <c r="VTG44" s="292"/>
      <c r="VTH44" s="292"/>
      <c r="VTI44" s="292"/>
      <c r="VTJ44" s="292"/>
      <c r="VTK44" s="292"/>
      <c r="VTL44" s="292"/>
      <c r="VTM44" s="292"/>
      <c r="VTN44" s="292"/>
      <c r="VTO44" s="292"/>
      <c r="VTP44" s="292"/>
      <c r="VTQ44" s="292"/>
      <c r="VTR44" s="292"/>
      <c r="VTS44" s="292"/>
      <c r="VTT44" s="292"/>
      <c r="VTU44" s="292"/>
      <c r="VTV44" s="292"/>
      <c r="VTW44" s="292"/>
      <c r="VTX44" s="292"/>
      <c r="VTY44" s="292"/>
      <c r="VTZ44" s="292"/>
      <c r="VUA44" s="292"/>
      <c r="VUB44" s="292"/>
      <c r="VUC44" s="292"/>
      <c r="VUD44" s="292"/>
      <c r="VUE44" s="292"/>
      <c r="VUF44" s="292"/>
      <c r="VUG44" s="292"/>
      <c r="VUH44" s="292"/>
      <c r="VUI44" s="292"/>
      <c r="VUJ44" s="292"/>
      <c r="VUK44" s="292"/>
      <c r="VUL44" s="292"/>
      <c r="VUM44" s="292"/>
      <c r="VUN44" s="292"/>
      <c r="VUO44" s="292"/>
      <c r="VUP44" s="292"/>
      <c r="VUQ44" s="292"/>
      <c r="VUR44" s="292"/>
      <c r="VUS44" s="292"/>
      <c r="VUT44" s="292"/>
      <c r="VUU44" s="292"/>
      <c r="VUV44" s="292"/>
      <c r="VUW44" s="292"/>
      <c r="VUX44" s="292"/>
      <c r="VUY44" s="292"/>
      <c r="VUZ44" s="292"/>
      <c r="VVA44" s="292"/>
      <c r="VVB44" s="292"/>
      <c r="VVC44" s="292"/>
      <c r="VVD44" s="292"/>
      <c r="VVE44" s="292"/>
      <c r="VVF44" s="292"/>
      <c r="VVG44" s="292"/>
      <c r="VVH44" s="292"/>
      <c r="VVI44" s="292"/>
      <c r="VVJ44" s="292"/>
      <c r="VVK44" s="292"/>
      <c r="VVL44" s="292"/>
      <c r="VVM44" s="292"/>
      <c r="VVN44" s="292"/>
      <c r="VVO44" s="292"/>
      <c r="VVP44" s="292"/>
      <c r="VVQ44" s="292"/>
      <c r="VVR44" s="292"/>
      <c r="VVS44" s="292"/>
      <c r="VVT44" s="292"/>
      <c r="VVU44" s="292"/>
      <c r="VVV44" s="292"/>
      <c r="VVW44" s="292"/>
      <c r="VVX44" s="292"/>
      <c r="VVY44" s="292"/>
      <c r="VVZ44" s="292"/>
      <c r="VWA44" s="292"/>
      <c r="VWB44" s="292"/>
      <c r="VWC44" s="292"/>
      <c r="VWD44" s="292"/>
      <c r="VWE44" s="292"/>
      <c r="VWF44" s="292"/>
      <c r="VWG44" s="292"/>
      <c r="VWH44" s="292"/>
      <c r="VWI44" s="292"/>
      <c r="VWJ44" s="292"/>
      <c r="VWK44" s="292"/>
      <c r="VWL44" s="292"/>
      <c r="VWM44" s="292"/>
      <c r="VWN44" s="292"/>
      <c r="VWO44" s="292"/>
      <c r="VWP44" s="292"/>
      <c r="VWQ44" s="292"/>
      <c r="VWR44" s="292"/>
      <c r="VWS44" s="292"/>
      <c r="VWT44" s="292"/>
      <c r="VWU44" s="292"/>
      <c r="VWV44" s="292"/>
      <c r="VWW44" s="292"/>
      <c r="VWX44" s="292"/>
      <c r="VWY44" s="292"/>
      <c r="VWZ44" s="292"/>
      <c r="VXA44" s="292"/>
      <c r="VXB44" s="292"/>
      <c r="VXC44" s="292"/>
      <c r="VXD44" s="292"/>
      <c r="VXE44" s="292"/>
      <c r="VXF44" s="292"/>
      <c r="VXG44" s="292"/>
      <c r="VXH44" s="292"/>
      <c r="VXI44" s="292"/>
      <c r="VXJ44" s="292"/>
      <c r="VXK44" s="292"/>
      <c r="VXL44" s="292"/>
      <c r="VXM44" s="292"/>
      <c r="VXN44" s="292"/>
      <c r="VXO44" s="292"/>
      <c r="VXP44" s="292"/>
      <c r="VXQ44" s="292"/>
      <c r="VXR44" s="292"/>
      <c r="VXS44" s="292"/>
      <c r="VXT44" s="292"/>
      <c r="VXU44" s="292"/>
      <c r="VXV44" s="292"/>
      <c r="VXW44" s="292"/>
      <c r="VXX44" s="292"/>
      <c r="VXY44" s="292"/>
      <c r="VXZ44" s="292"/>
      <c r="VYA44" s="292"/>
      <c r="VYB44" s="292"/>
      <c r="VYC44" s="292"/>
      <c r="VYD44" s="292"/>
      <c r="VYE44" s="292"/>
      <c r="VYF44" s="292"/>
      <c r="VYG44" s="292"/>
      <c r="VYH44" s="292"/>
      <c r="VYI44" s="292"/>
      <c r="VYJ44" s="292"/>
      <c r="VYK44" s="292"/>
      <c r="VYL44" s="292"/>
      <c r="VYM44" s="292"/>
      <c r="VYN44" s="292"/>
      <c r="VYO44" s="292"/>
      <c r="VYP44" s="292"/>
      <c r="VYQ44" s="292"/>
      <c r="VYR44" s="292"/>
      <c r="VYS44" s="292"/>
      <c r="VYT44" s="292"/>
      <c r="VYU44" s="292"/>
      <c r="VYV44" s="292"/>
      <c r="VYW44" s="292"/>
      <c r="VYX44" s="292"/>
      <c r="VYY44" s="292"/>
      <c r="VYZ44" s="292"/>
      <c r="VZA44" s="292"/>
      <c r="VZB44" s="292"/>
      <c r="VZC44" s="292"/>
      <c r="VZD44" s="292"/>
      <c r="VZE44" s="292"/>
      <c r="VZF44" s="292"/>
      <c r="VZG44" s="292"/>
      <c r="VZH44" s="292"/>
      <c r="VZI44" s="292"/>
      <c r="VZJ44" s="292"/>
      <c r="VZK44" s="292"/>
      <c r="VZL44" s="292"/>
      <c r="VZM44" s="292"/>
      <c r="VZN44" s="292"/>
      <c r="VZO44" s="292"/>
      <c r="VZP44" s="292"/>
      <c r="VZQ44" s="292"/>
      <c r="VZR44" s="292"/>
      <c r="VZS44" s="292"/>
      <c r="VZT44" s="292"/>
      <c r="VZU44" s="292"/>
      <c r="VZV44" s="292"/>
      <c r="VZW44" s="292"/>
      <c r="VZX44" s="292"/>
      <c r="VZY44" s="292"/>
      <c r="VZZ44" s="292"/>
      <c r="WAA44" s="292"/>
      <c r="WAB44" s="292"/>
      <c r="WAC44" s="292"/>
      <c r="WAD44" s="292"/>
      <c r="WAE44" s="292"/>
      <c r="WAF44" s="292"/>
      <c r="WAG44" s="292"/>
      <c r="WAH44" s="292"/>
      <c r="WAI44" s="292"/>
      <c r="WAJ44" s="292"/>
      <c r="WAK44" s="292"/>
      <c r="WAL44" s="292"/>
      <c r="WAM44" s="292"/>
      <c r="WAN44" s="292"/>
      <c r="WAO44" s="292"/>
      <c r="WAP44" s="292"/>
      <c r="WAQ44" s="292"/>
      <c r="WAR44" s="292"/>
      <c r="WAS44" s="292"/>
      <c r="WAT44" s="292"/>
      <c r="WAU44" s="292"/>
      <c r="WAV44" s="292"/>
      <c r="WAW44" s="292"/>
      <c r="WAX44" s="292"/>
      <c r="WAY44" s="292"/>
      <c r="WAZ44" s="292"/>
      <c r="WBA44" s="292"/>
      <c r="WBB44" s="292"/>
      <c r="WBC44" s="292"/>
      <c r="WBD44" s="292"/>
      <c r="WBE44" s="292"/>
      <c r="WBF44" s="292"/>
      <c r="WBG44" s="292"/>
      <c r="WBH44" s="292"/>
      <c r="WBI44" s="292"/>
      <c r="WBJ44" s="292"/>
      <c r="WBK44" s="292"/>
      <c r="WBL44" s="292"/>
      <c r="WBM44" s="292"/>
      <c r="WBN44" s="292"/>
      <c r="WBO44" s="292"/>
      <c r="WBP44" s="292"/>
      <c r="WBQ44" s="292"/>
      <c r="WBR44" s="292"/>
      <c r="WBS44" s="292"/>
      <c r="WBT44" s="292"/>
      <c r="WBU44" s="292"/>
      <c r="WBV44" s="292"/>
      <c r="WBW44" s="292"/>
      <c r="WBX44" s="292"/>
      <c r="WBY44" s="292"/>
      <c r="WBZ44" s="292"/>
      <c r="WCA44" s="292"/>
      <c r="WCB44" s="292"/>
      <c r="WCC44" s="292"/>
      <c r="WCD44" s="292"/>
      <c r="WCE44" s="292"/>
      <c r="WCF44" s="292"/>
      <c r="WCG44" s="292"/>
      <c r="WCH44" s="292"/>
      <c r="WCI44" s="292"/>
      <c r="WCJ44" s="292"/>
      <c r="WCK44" s="292"/>
      <c r="WCL44" s="292"/>
      <c r="WCM44" s="292"/>
      <c r="WCN44" s="292"/>
      <c r="WCO44" s="292"/>
      <c r="WCP44" s="292"/>
      <c r="WCQ44" s="292"/>
      <c r="WCR44" s="292"/>
      <c r="WCS44" s="292"/>
      <c r="WCT44" s="292"/>
      <c r="WCU44" s="292"/>
      <c r="WCV44" s="292"/>
      <c r="WCW44" s="292"/>
      <c r="WCX44" s="292"/>
      <c r="WCY44" s="292"/>
      <c r="WCZ44" s="292"/>
      <c r="WDA44" s="292"/>
      <c r="WDB44" s="292"/>
      <c r="WDC44" s="292"/>
      <c r="WDD44" s="292"/>
      <c r="WDE44" s="292"/>
      <c r="WDF44" s="292"/>
      <c r="WDG44" s="292"/>
      <c r="WDH44" s="292"/>
      <c r="WDI44" s="292"/>
      <c r="WDJ44" s="292"/>
      <c r="WDK44" s="292"/>
      <c r="WDL44" s="292"/>
      <c r="WDM44" s="292"/>
      <c r="WDN44" s="292"/>
      <c r="WDO44" s="292"/>
      <c r="WDP44" s="292"/>
      <c r="WDQ44" s="292"/>
      <c r="WDR44" s="292"/>
      <c r="WDS44" s="292"/>
      <c r="WDT44" s="292"/>
      <c r="WDU44" s="292"/>
      <c r="WDV44" s="292"/>
      <c r="WDW44" s="292"/>
      <c r="WDX44" s="292"/>
      <c r="WDY44" s="292"/>
      <c r="WDZ44" s="292"/>
      <c r="WEA44" s="292"/>
      <c r="WEB44" s="292"/>
      <c r="WEC44" s="292"/>
      <c r="WED44" s="292"/>
      <c r="WEE44" s="292"/>
      <c r="WEF44" s="292"/>
      <c r="WEG44" s="292"/>
      <c r="WEH44" s="292"/>
      <c r="WEI44" s="292"/>
      <c r="WEJ44" s="292"/>
      <c r="WEK44" s="292"/>
      <c r="WEL44" s="292"/>
      <c r="WEM44" s="292"/>
      <c r="WEN44" s="292"/>
      <c r="WEO44" s="292"/>
      <c r="WEP44" s="292"/>
      <c r="WEQ44" s="292"/>
      <c r="WER44" s="292"/>
      <c r="WES44" s="292"/>
      <c r="WET44" s="292"/>
      <c r="WEU44" s="292"/>
      <c r="WEV44" s="292"/>
      <c r="WEW44" s="292"/>
      <c r="WEX44" s="292"/>
      <c r="WEY44" s="292"/>
      <c r="WEZ44" s="292"/>
      <c r="WFA44" s="292"/>
      <c r="WFB44" s="292"/>
      <c r="WFC44" s="292"/>
      <c r="WFD44" s="292"/>
      <c r="WFE44" s="292"/>
      <c r="WFF44" s="292"/>
      <c r="WFG44" s="292"/>
      <c r="WFH44" s="292"/>
      <c r="WFI44" s="292"/>
      <c r="WFJ44" s="292"/>
      <c r="WFK44" s="292"/>
      <c r="WFL44" s="292"/>
      <c r="WFM44" s="292"/>
      <c r="WFN44" s="292"/>
      <c r="WFO44" s="292"/>
      <c r="WFP44" s="292"/>
      <c r="WFQ44" s="292"/>
      <c r="WFR44" s="292"/>
      <c r="WFS44" s="292"/>
      <c r="WFT44" s="292"/>
      <c r="WFU44" s="292"/>
      <c r="WFV44" s="292"/>
      <c r="WFW44" s="292"/>
      <c r="WFX44" s="292"/>
      <c r="WFY44" s="292"/>
      <c r="WFZ44" s="292"/>
      <c r="WGA44" s="292"/>
      <c r="WGB44" s="292"/>
      <c r="WGC44" s="292"/>
      <c r="WGD44" s="292"/>
      <c r="WGE44" s="292"/>
      <c r="WGF44" s="292"/>
      <c r="WGG44" s="292"/>
      <c r="WGH44" s="292"/>
      <c r="WGI44" s="292"/>
      <c r="WGJ44" s="292"/>
      <c r="WGK44" s="292"/>
      <c r="WGL44" s="292"/>
      <c r="WGM44" s="292"/>
      <c r="WGN44" s="292"/>
      <c r="WGO44" s="292"/>
      <c r="WGP44" s="292"/>
      <c r="WGQ44" s="292"/>
      <c r="WGR44" s="292"/>
      <c r="WGS44" s="292"/>
      <c r="WGT44" s="292"/>
      <c r="WGU44" s="292"/>
      <c r="WGV44" s="292"/>
      <c r="WGW44" s="292"/>
      <c r="WGX44" s="292"/>
      <c r="WGY44" s="292"/>
      <c r="WGZ44" s="292"/>
      <c r="WHA44" s="292"/>
      <c r="WHB44" s="292"/>
      <c r="WHC44" s="292"/>
      <c r="WHD44" s="292"/>
      <c r="WHE44" s="292"/>
      <c r="WHF44" s="292"/>
      <c r="WHG44" s="292"/>
      <c r="WHH44" s="292"/>
      <c r="WHI44" s="292"/>
      <c r="WHJ44" s="292"/>
      <c r="WHK44" s="292"/>
      <c r="WHL44" s="292"/>
      <c r="WHM44" s="292"/>
      <c r="WHN44" s="292"/>
      <c r="WHO44" s="292"/>
      <c r="WHP44" s="292"/>
      <c r="WHQ44" s="292"/>
      <c r="WHR44" s="292"/>
      <c r="WHS44" s="292"/>
      <c r="WHT44" s="292"/>
      <c r="WHU44" s="292"/>
      <c r="WHV44" s="292"/>
      <c r="WHW44" s="292"/>
      <c r="WHX44" s="292"/>
      <c r="WHY44" s="292"/>
      <c r="WHZ44" s="292"/>
      <c r="WIA44" s="292"/>
      <c r="WIB44" s="292"/>
      <c r="WIC44" s="292"/>
      <c r="WID44" s="292"/>
      <c r="WIE44" s="292"/>
      <c r="WIF44" s="292"/>
      <c r="WIG44" s="292"/>
      <c r="WIH44" s="292"/>
      <c r="WII44" s="292"/>
      <c r="WIJ44" s="292"/>
      <c r="WIK44" s="292"/>
      <c r="WIL44" s="292"/>
      <c r="WIM44" s="292"/>
      <c r="WIN44" s="292"/>
      <c r="WIO44" s="292"/>
      <c r="WIP44" s="292"/>
      <c r="WIQ44" s="292"/>
      <c r="WIR44" s="292"/>
      <c r="WIS44" s="292"/>
      <c r="WIT44" s="292"/>
      <c r="WIU44" s="292"/>
      <c r="WIV44" s="292"/>
      <c r="WIW44" s="292"/>
      <c r="WIX44" s="292"/>
      <c r="WIY44" s="292"/>
      <c r="WIZ44" s="292"/>
      <c r="WJA44" s="292"/>
      <c r="WJB44" s="292"/>
      <c r="WJC44" s="292"/>
      <c r="WJD44" s="292"/>
      <c r="WJE44" s="292"/>
      <c r="WJF44" s="292"/>
      <c r="WJG44" s="292"/>
      <c r="WJH44" s="292"/>
      <c r="WJI44" s="292"/>
      <c r="WJJ44" s="292"/>
      <c r="WJK44" s="292"/>
      <c r="WJL44" s="292"/>
      <c r="WJM44" s="292"/>
      <c r="WJN44" s="292"/>
      <c r="WJO44" s="292"/>
      <c r="WJP44" s="292"/>
      <c r="WJQ44" s="292"/>
      <c r="WJR44" s="292"/>
      <c r="WJS44" s="292"/>
      <c r="WJT44" s="292"/>
      <c r="WJU44" s="292"/>
      <c r="WJV44" s="292"/>
      <c r="WJW44" s="292"/>
      <c r="WJX44" s="292"/>
      <c r="WJY44" s="292"/>
      <c r="WJZ44" s="292"/>
      <c r="WKA44" s="292"/>
      <c r="WKB44" s="292"/>
      <c r="WKC44" s="292"/>
      <c r="WKD44" s="292"/>
      <c r="WKE44" s="292"/>
      <c r="WKF44" s="292"/>
      <c r="WKG44" s="292"/>
      <c r="WKH44" s="292"/>
      <c r="WKI44" s="292"/>
      <c r="WKJ44" s="292"/>
      <c r="WKK44" s="292"/>
      <c r="WKL44" s="292"/>
      <c r="WKM44" s="292"/>
      <c r="WKN44" s="292"/>
      <c r="WKO44" s="292"/>
      <c r="WKP44" s="292"/>
      <c r="WKQ44" s="292"/>
      <c r="WKR44" s="292"/>
      <c r="WKS44" s="292"/>
      <c r="WKT44" s="292"/>
      <c r="WKU44" s="292"/>
      <c r="WKV44" s="292"/>
      <c r="WKW44" s="292"/>
      <c r="WKX44" s="292"/>
      <c r="WKY44" s="292"/>
      <c r="WKZ44" s="292"/>
      <c r="WLA44" s="292"/>
      <c r="WLB44" s="292"/>
      <c r="WLC44" s="292"/>
      <c r="WLD44" s="292"/>
      <c r="WLE44" s="292"/>
      <c r="WLF44" s="292"/>
      <c r="WLG44" s="292"/>
      <c r="WLH44" s="292"/>
      <c r="WLI44" s="292"/>
      <c r="WLJ44" s="292"/>
      <c r="WLK44" s="292"/>
      <c r="WLL44" s="292"/>
      <c r="WLM44" s="292"/>
      <c r="WLN44" s="292"/>
      <c r="WLO44" s="292"/>
      <c r="WLP44" s="292"/>
      <c r="WLQ44" s="292"/>
      <c r="WLR44" s="292"/>
      <c r="WLS44" s="292"/>
      <c r="WLT44" s="292"/>
      <c r="WLU44" s="292"/>
      <c r="WLV44" s="292"/>
      <c r="WLW44" s="292"/>
      <c r="WLX44" s="292"/>
      <c r="WLY44" s="292"/>
      <c r="WLZ44" s="292"/>
      <c r="WMA44" s="292"/>
      <c r="WMB44" s="292"/>
      <c r="WMC44" s="292"/>
      <c r="WMD44" s="292"/>
      <c r="WME44" s="292"/>
      <c r="WMF44" s="292"/>
      <c r="WMG44" s="292"/>
      <c r="WMH44" s="292"/>
      <c r="WMI44" s="292"/>
      <c r="WMJ44" s="292"/>
      <c r="WMK44" s="292"/>
      <c r="WML44" s="292"/>
      <c r="WMM44" s="292"/>
      <c r="WMN44" s="292"/>
      <c r="WMO44" s="292"/>
      <c r="WMP44" s="292"/>
      <c r="WMQ44" s="292"/>
      <c r="WMR44" s="292"/>
      <c r="WMS44" s="292"/>
      <c r="WMT44" s="292"/>
      <c r="WMU44" s="292"/>
      <c r="WMV44" s="292"/>
      <c r="WMW44" s="292"/>
      <c r="WMX44" s="292"/>
      <c r="WMY44" s="292"/>
      <c r="WMZ44" s="292"/>
      <c r="WNA44" s="292"/>
      <c r="WNB44" s="292"/>
      <c r="WNC44" s="292"/>
      <c r="WND44" s="292"/>
      <c r="WNE44" s="292"/>
      <c r="WNF44" s="292"/>
      <c r="WNG44" s="292"/>
      <c r="WNH44" s="292"/>
      <c r="WNI44" s="292"/>
      <c r="WNJ44" s="292"/>
      <c r="WNK44" s="292"/>
      <c r="WNL44" s="292"/>
      <c r="WNM44" s="292"/>
      <c r="WNN44" s="292"/>
      <c r="WNO44" s="292"/>
      <c r="WNP44" s="292"/>
      <c r="WNQ44" s="292"/>
      <c r="WNR44" s="292"/>
      <c r="WNS44" s="292"/>
      <c r="WNT44" s="292"/>
      <c r="WNU44" s="292"/>
      <c r="WNV44" s="292"/>
      <c r="WNW44" s="292"/>
      <c r="WNX44" s="292"/>
      <c r="WNY44" s="292"/>
      <c r="WNZ44" s="292"/>
      <c r="WOA44" s="292"/>
      <c r="WOB44" s="292"/>
      <c r="WOC44" s="292"/>
      <c r="WOD44" s="292"/>
      <c r="WOE44" s="292"/>
      <c r="WOF44" s="292"/>
      <c r="WOG44" s="292"/>
      <c r="WOH44" s="292"/>
      <c r="WOI44" s="292"/>
      <c r="WOJ44" s="292"/>
      <c r="WOK44" s="292"/>
      <c r="WOL44" s="292"/>
      <c r="WOM44" s="292"/>
      <c r="WON44" s="292"/>
      <c r="WOO44" s="292"/>
      <c r="WOP44" s="292"/>
      <c r="WOQ44" s="292"/>
      <c r="WOR44" s="292"/>
      <c r="WOS44" s="292"/>
      <c r="WOT44" s="292"/>
      <c r="WOU44" s="292"/>
      <c r="WOV44" s="292"/>
      <c r="WOW44" s="292"/>
      <c r="WOX44" s="292"/>
      <c r="WOY44" s="292"/>
      <c r="WOZ44" s="292"/>
      <c r="WPA44" s="292"/>
      <c r="WPB44" s="292"/>
      <c r="WPC44" s="292"/>
      <c r="WPD44" s="292"/>
      <c r="WPE44" s="292"/>
      <c r="WPF44" s="292"/>
      <c r="WPG44" s="292"/>
      <c r="WPH44" s="292"/>
      <c r="WPI44" s="292"/>
      <c r="WPJ44" s="292"/>
      <c r="WPK44" s="292"/>
      <c r="WPL44" s="292"/>
      <c r="WPM44" s="292"/>
      <c r="WPN44" s="292"/>
      <c r="WPO44" s="292"/>
      <c r="WPP44" s="292"/>
      <c r="WPQ44" s="292"/>
      <c r="WPR44" s="292"/>
      <c r="WPS44" s="292"/>
      <c r="WPT44" s="292"/>
      <c r="WPU44" s="292"/>
      <c r="WPV44" s="292"/>
      <c r="WPW44" s="292"/>
      <c r="WPX44" s="292"/>
      <c r="WPY44" s="292"/>
      <c r="WPZ44" s="292"/>
      <c r="WQA44" s="292"/>
      <c r="WQB44" s="292"/>
      <c r="WQC44" s="292"/>
      <c r="WQD44" s="292"/>
      <c r="WQE44" s="292"/>
      <c r="WQF44" s="292"/>
      <c r="WQG44" s="292"/>
      <c r="WQH44" s="292"/>
      <c r="WQI44" s="292"/>
      <c r="WQJ44" s="292"/>
      <c r="WQK44" s="292"/>
      <c r="WQL44" s="292"/>
      <c r="WQM44" s="292"/>
      <c r="WQN44" s="292"/>
      <c r="WQO44" s="292"/>
      <c r="WQP44" s="292"/>
      <c r="WQQ44" s="292"/>
      <c r="WQR44" s="292"/>
      <c r="WQS44" s="292"/>
      <c r="WQT44" s="292"/>
      <c r="WQU44" s="292"/>
      <c r="WQV44" s="292"/>
      <c r="WQW44" s="292"/>
      <c r="WQX44" s="292"/>
      <c r="WQY44" s="292"/>
      <c r="WQZ44" s="292"/>
      <c r="WRA44" s="292"/>
      <c r="WRB44" s="292"/>
      <c r="WRC44" s="292"/>
      <c r="WRD44" s="292"/>
      <c r="WRE44" s="292"/>
      <c r="WRF44" s="292"/>
      <c r="WRG44" s="292"/>
      <c r="WRH44" s="292"/>
      <c r="WRI44" s="292"/>
      <c r="WRJ44" s="292"/>
      <c r="WRK44" s="292"/>
      <c r="WRL44" s="292"/>
      <c r="WRM44" s="292"/>
      <c r="WRN44" s="292"/>
      <c r="WRO44" s="292"/>
      <c r="WRP44" s="292"/>
      <c r="WRQ44" s="292"/>
      <c r="WRR44" s="292"/>
      <c r="WRS44" s="292"/>
      <c r="WRT44" s="292"/>
      <c r="WRU44" s="292"/>
      <c r="WRV44" s="292"/>
      <c r="WRW44" s="292"/>
      <c r="WRX44" s="292"/>
      <c r="WRY44" s="292"/>
      <c r="WRZ44" s="292"/>
      <c r="WSA44" s="292"/>
      <c r="WSB44" s="292"/>
      <c r="WSC44" s="292"/>
      <c r="WSD44" s="292"/>
      <c r="WSE44" s="292"/>
      <c r="WSF44" s="292"/>
      <c r="WSG44" s="292"/>
      <c r="WSH44" s="292"/>
      <c r="WSI44" s="292"/>
      <c r="WSJ44" s="292"/>
      <c r="WSK44" s="292"/>
      <c r="WSL44" s="292"/>
      <c r="WSM44" s="292"/>
      <c r="WSN44" s="292"/>
      <c r="WSO44" s="292"/>
      <c r="WSP44" s="292"/>
      <c r="WSQ44" s="292"/>
      <c r="WSR44" s="292"/>
      <c r="WSS44" s="292"/>
      <c r="WST44" s="292"/>
      <c r="WSU44" s="292"/>
      <c r="WSV44" s="292"/>
      <c r="WSW44" s="292"/>
      <c r="WSX44" s="292"/>
      <c r="WSY44" s="292"/>
      <c r="WSZ44" s="292"/>
      <c r="WTA44" s="292"/>
      <c r="WTB44" s="292"/>
      <c r="WTC44" s="292"/>
      <c r="WTD44" s="292"/>
      <c r="WTE44" s="292"/>
      <c r="WTF44" s="292"/>
      <c r="WTG44" s="292"/>
      <c r="WTH44" s="292"/>
      <c r="WTI44" s="292"/>
      <c r="WTJ44" s="292"/>
      <c r="WTK44" s="292"/>
      <c r="WTL44" s="292"/>
      <c r="WTM44" s="292"/>
      <c r="WTN44" s="292"/>
      <c r="WTO44" s="292"/>
      <c r="WTP44" s="292"/>
      <c r="WTQ44" s="292"/>
      <c r="WTR44" s="292"/>
      <c r="WTS44" s="292"/>
      <c r="WTT44" s="292"/>
      <c r="WTU44" s="292"/>
      <c r="WTV44" s="292"/>
      <c r="WTW44" s="292"/>
      <c r="WTX44" s="292"/>
      <c r="WTY44" s="292"/>
      <c r="WTZ44" s="292"/>
      <c r="WUA44" s="292"/>
      <c r="WUB44" s="292"/>
      <c r="WUC44" s="292"/>
      <c r="WUD44" s="292"/>
      <c r="WUE44" s="292"/>
      <c r="WUF44" s="292"/>
      <c r="WUG44" s="292"/>
      <c r="WUH44" s="292"/>
      <c r="WUI44" s="292"/>
      <c r="WUJ44" s="292"/>
      <c r="WUK44" s="292"/>
      <c r="WUL44" s="292"/>
      <c r="WUM44" s="292"/>
      <c r="WUN44" s="292"/>
      <c r="WUO44" s="292"/>
      <c r="WUP44" s="292"/>
      <c r="WUQ44" s="292"/>
      <c r="WUR44" s="292"/>
      <c r="WUS44" s="292"/>
      <c r="WUT44" s="292"/>
      <c r="WUU44" s="292"/>
      <c r="WUV44" s="292"/>
      <c r="WUW44" s="292"/>
      <c r="WUX44" s="292"/>
      <c r="WUY44" s="292"/>
      <c r="WUZ44" s="292"/>
      <c r="WVA44" s="292"/>
      <c r="WVB44" s="292"/>
      <c r="WVC44" s="292"/>
      <c r="WVD44" s="292"/>
      <c r="WVE44" s="292"/>
      <c r="WVF44" s="292"/>
      <c r="WVG44" s="292"/>
      <c r="WVH44" s="292"/>
      <c r="WVI44" s="292"/>
      <c r="WVJ44" s="292"/>
      <c r="WVK44" s="292"/>
      <c r="WVL44" s="292"/>
      <c r="WVM44" s="292"/>
      <c r="WVN44" s="292"/>
      <c r="WVO44" s="292"/>
      <c r="WVP44" s="292"/>
      <c r="WVQ44" s="292"/>
      <c r="WVR44" s="292"/>
      <c r="WVS44" s="292"/>
      <c r="WVT44" s="292"/>
      <c r="WVU44" s="292"/>
      <c r="WVV44" s="292"/>
      <c r="WVW44" s="292"/>
      <c r="WVX44" s="292"/>
      <c r="WVY44" s="292"/>
      <c r="WVZ44" s="292"/>
      <c r="WWA44" s="292"/>
      <c r="WWB44" s="292"/>
      <c r="WWC44" s="292"/>
      <c r="WWD44" s="292"/>
      <c r="WWE44" s="292"/>
      <c r="WWF44" s="292"/>
      <c r="WWG44" s="292"/>
      <c r="WWH44" s="292"/>
      <c r="WWI44" s="292"/>
      <c r="WWJ44" s="292"/>
      <c r="WWK44" s="292"/>
      <c r="WWL44" s="292"/>
      <c r="WWM44" s="292"/>
      <c r="WWN44" s="292"/>
      <c r="WWO44" s="292"/>
      <c r="WWP44" s="292"/>
      <c r="WWQ44" s="292"/>
      <c r="WWR44" s="292"/>
      <c r="WWS44" s="292"/>
      <c r="WWT44" s="292"/>
      <c r="WWU44" s="292"/>
      <c r="WWV44" s="292"/>
      <c r="WWW44" s="292"/>
      <c r="WWX44" s="292"/>
      <c r="WWY44" s="292"/>
      <c r="WWZ44" s="292"/>
      <c r="WXA44" s="292"/>
      <c r="WXB44" s="292"/>
      <c r="WXC44" s="292"/>
      <c r="WXD44" s="292"/>
      <c r="WXE44" s="292"/>
      <c r="WXF44" s="292"/>
      <c r="WXG44" s="292"/>
      <c r="WXH44" s="292"/>
      <c r="WXI44" s="292"/>
      <c r="WXJ44" s="292"/>
      <c r="WXK44" s="292"/>
      <c r="WXL44" s="292"/>
      <c r="WXM44" s="292"/>
      <c r="WXN44" s="292"/>
      <c r="WXO44" s="292"/>
      <c r="WXP44" s="292"/>
      <c r="WXQ44" s="292"/>
      <c r="WXR44" s="292"/>
      <c r="WXS44" s="292"/>
      <c r="WXT44" s="292"/>
      <c r="WXU44" s="292"/>
      <c r="WXV44" s="292"/>
      <c r="WXW44" s="292"/>
      <c r="WXX44" s="292"/>
      <c r="WXY44" s="292"/>
      <c r="WXZ44" s="292"/>
      <c r="WYA44" s="292"/>
      <c r="WYB44" s="292"/>
      <c r="WYC44" s="292"/>
      <c r="WYD44" s="292"/>
      <c r="WYE44" s="292"/>
      <c r="WYF44" s="292"/>
      <c r="WYG44" s="292"/>
      <c r="WYH44" s="292"/>
      <c r="WYI44" s="292"/>
      <c r="WYJ44" s="292"/>
      <c r="WYK44" s="292"/>
      <c r="WYL44" s="292"/>
      <c r="WYM44" s="292"/>
      <c r="WYN44" s="292"/>
      <c r="WYO44" s="292"/>
      <c r="WYP44" s="292"/>
      <c r="WYQ44" s="292"/>
      <c r="WYR44" s="292"/>
      <c r="WYS44" s="292"/>
      <c r="WYT44" s="292"/>
      <c r="WYU44" s="292"/>
      <c r="WYV44" s="292"/>
      <c r="WYW44" s="292"/>
      <c r="WYX44" s="292"/>
      <c r="WYY44" s="292"/>
      <c r="WYZ44" s="292"/>
      <c r="WZA44" s="292"/>
      <c r="WZB44" s="292"/>
      <c r="WZC44" s="292"/>
      <c r="WZD44" s="292"/>
      <c r="WZE44" s="292"/>
      <c r="WZF44" s="292"/>
      <c r="WZG44" s="292"/>
      <c r="WZH44" s="292"/>
      <c r="WZI44" s="292"/>
      <c r="WZJ44" s="292"/>
      <c r="WZK44" s="292"/>
      <c r="WZL44" s="292"/>
      <c r="WZM44" s="292"/>
      <c r="WZN44" s="292"/>
      <c r="WZO44" s="292"/>
      <c r="WZP44" s="292"/>
      <c r="WZQ44" s="292"/>
      <c r="WZR44" s="292"/>
      <c r="WZS44" s="292"/>
      <c r="WZT44" s="292"/>
      <c r="WZU44" s="292"/>
      <c r="WZV44" s="292"/>
      <c r="WZW44" s="292"/>
      <c r="WZX44" s="292"/>
      <c r="WZY44" s="292"/>
      <c r="WZZ44" s="292"/>
      <c r="XAA44" s="292"/>
      <c r="XAB44" s="292"/>
      <c r="XAC44" s="292"/>
      <c r="XAD44" s="292"/>
      <c r="XAE44" s="292"/>
      <c r="XAF44" s="292"/>
      <c r="XAG44" s="292"/>
      <c r="XAH44" s="292"/>
      <c r="XAI44" s="292"/>
      <c r="XAJ44" s="292"/>
      <c r="XAK44" s="292"/>
      <c r="XAL44" s="292"/>
      <c r="XAM44" s="292"/>
      <c r="XAN44" s="292"/>
      <c r="XAO44" s="292"/>
      <c r="XAP44" s="292"/>
      <c r="XAQ44" s="292"/>
      <c r="XAR44" s="292"/>
      <c r="XAS44" s="292"/>
      <c r="XAT44" s="292"/>
      <c r="XAU44" s="292"/>
      <c r="XAV44" s="292"/>
      <c r="XAW44" s="292"/>
      <c r="XAX44" s="292"/>
      <c r="XAY44" s="292"/>
      <c r="XAZ44" s="292"/>
      <c r="XBA44" s="292"/>
      <c r="XBB44" s="292"/>
      <c r="XBC44" s="292"/>
      <c r="XBD44" s="292"/>
      <c r="XBE44" s="292"/>
      <c r="XBF44" s="292"/>
      <c r="XBG44" s="292"/>
      <c r="XBH44" s="292"/>
      <c r="XBI44" s="292"/>
      <c r="XBJ44" s="292"/>
      <c r="XBK44" s="292"/>
      <c r="XBL44" s="292"/>
      <c r="XBM44" s="292"/>
      <c r="XBN44" s="292"/>
      <c r="XBO44" s="292"/>
      <c r="XBP44" s="292"/>
      <c r="XBQ44" s="292"/>
      <c r="XBR44" s="292"/>
      <c r="XBS44" s="292"/>
      <c r="XBT44" s="292"/>
      <c r="XBU44" s="292"/>
      <c r="XBV44" s="292"/>
      <c r="XBW44" s="292"/>
      <c r="XBX44" s="292"/>
      <c r="XBY44" s="292"/>
      <c r="XBZ44" s="292"/>
      <c r="XCA44" s="292"/>
      <c r="XCB44" s="292"/>
      <c r="XCC44" s="292"/>
      <c r="XCD44" s="292"/>
      <c r="XCE44" s="292"/>
      <c r="XCF44" s="292"/>
      <c r="XCG44" s="292"/>
      <c r="XCH44" s="292"/>
      <c r="XCI44" s="292"/>
      <c r="XCJ44" s="292"/>
      <c r="XCK44" s="292"/>
      <c r="XCL44" s="292"/>
      <c r="XCM44" s="292"/>
      <c r="XCN44" s="292"/>
      <c r="XCO44" s="292"/>
      <c r="XCP44" s="292"/>
      <c r="XCQ44" s="292"/>
      <c r="XCR44" s="292"/>
      <c r="XCS44" s="292"/>
      <c r="XCT44" s="292"/>
      <c r="XCU44" s="292"/>
      <c r="XCV44" s="292"/>
      <c r="XCW44" s="292"/>
      <c r="XCX44" s="292"/>
      <c r="XCY44" s="292"/>
      <c r="XCZ44" s="292"/>
      <c r="XDA44" s="292"/>
      <c r="XDB44" s="292"/>
      <c r="XDC44" s="292"/>
      <c r="XDD44" s="292"/>
      <c r="XDE44" s="292"/>
      <c r="XDF44" s="292"/>
      <c r="XDG44" s="292"/>
      <c r="XDH44" s="292"/>
      <c r="XDI44" s="292"/>
      <c r="XDJ44" s="292"/>
      <c r="XDK44" s="292"/>
      <c r="XDL44" s="292"/>
      <c r="XDM44" s="292"/>
      <c r="XDN44" s="292"/>
      <c r="XDO44" s="292"/>
      <c r="XDP44" s="292"/>
      <c r="XDQ44" s="292"/>
      <c r="XDR44" s="292"/>
      <c r="XDS44" s="292"/>
      <c r="XDT44" s="292"/>
      <c r="XDU44" s="292"/>
      <c r="XDV44" s="292"/>
      <c r="XDW44" s="292"/>
      <c r="XDX44" s="292"/>
      <c r="XDY44" s="292"/>
      <c r="XDZ44" s="292"/>
      <c r="XEA44" s="292"/>
      <c r="XEB44" s="292"/>
      <c r="XEC44" s="292"/>
      <c r="XED44" s="292"/>
      <c r="XEE44" s="292"/>
      <c r="XEF44" s="292"/>
      <c r="XEG44" s="292"/>
      <c r="XEH44" s="292"/>
      <c r="XEI44" s="292"/>
      <c r="XEJ44" s="292"/>
      <c r="XEK44" s="292"/>
      <c r="XEL44" s="292"/>
      <c r="XEM44" s="292"/>
      <c r="XEN44" s="292"/>
      <c r="XEO44" s="292"/>
      <c r="XEP44" s="292"/>
      <c r="XEQ44" s="292"/>
      <c r="XER44" s="292"/>
      <c r="XES44" s="292"/>
      <c r="XET44" s="292"/>
      <c r="XEU44" s="292"/>
      <c r="XEV44" s="292"/>
      <c r="XEW44" s="292"/>
      <c r="XEX44" s="292"/>
      <c r="XEY44" s="292"/>
      <c r="XEZ44" s="292"/>
      <c r="XFA44" s="292"/>
      <c r="XFB44" s="292"/>
      <c r="XFC44" s="292"/>
      <c r="XFD44" s="292"/>
    </row>
    <row r="45" ht="15.75" customHeight="1">
      <c r="C45" s="292" t="s">
        <v>675</v>
      </c>
      <c r="D45" s="292" t="s">
        <v>41</v>
      </c>
      <c r="I45" s="292"/>
      <c r="J45" s="292"/>
    </row>
    <row r="46" ht="15.75" customHeight="1">
      <c r="I46" s="292"/>
      <c r="J46" s="292"/>
    </row>
    <row r="47" ht="15.75" customHeight="1">
      <c r="D47" s="934" t="s">
        <v>166</v>
      </c>
      <c r="E47" s="863">
        <v>8400.0</v>
      </c>
      <c r="F47" s="940" t="s">
        <v>283</v>
      </c>
      <c r="I47" s="292"/>
      <c r="J47" s="292"/>
    </row>
    <row r="48" ht="15.75" customHeight="1">
      <c r="D48" s="934" t="s">
        <v>300</v>
      </c>
      <c r="E48" s="865">
        <f>20/60</f>
        <v>0.3333333333</v>
      </c>
      <c r="F48" s="940" t="s">
        <v>346</v>
      </c>
      <c r="I48" s="292"/>
      <c r="J48" s="292"/>
    </row>
    <row r="49" ht="15.75" customHeight="1">
      <c r="D49" s="934" t="s">
        <v>286</v>
      </c>
      <c r="E49" s="865">
        <v>15.75</v>
      </c>
      <c r="F49" s="940" t="s">
        <v>677</v>
      </c>
      <c r="I49" s="292"/>
      <c r="J49" s="292"/>
    </row>
    <row r="50" ht="15.75" customHeight="1">
      <c r="I50" s="292"/>
      <c r="J50" s="292"/>
    </row>
    <row r="51" ht="15.75" customHeight="1">
      <c r="E51" s="925">
        <f>E47*E48*E49</f>
        <v>44100</v>
      </c>
      <c r="I51" s="292"/>
      <c r="J51" s="292"/>
    </row>
    <row r="52" ht="15.75" customHeight="1">
      <c r="I52" s="292"/>
      <c r="J52" s="292"/>
    </row>
    <row r="53" ht="15.75" customHeight="1">
      <c r="C53" s="292" t="s">
        <v>679</v>
      </c>
      <c r="D53" s="292" t="s">
        <v>678</v>
      </c>
      <c r="E53" s="292"/>
      <c r="I53" s="292"/>
      <c r="J53" s="292"/>
    </row>
    <row r="54" ht="15.75" customHeight="1">
      <c r="C54" s="292"/>
      <c r="D54" s="292"/>
      <c r="E54" s="292"/>
      <c r="I54" s="292"/>
      <c r="J54" s="292"/>
    </row>
    <row r="55" ht="15.75" customHeight="1">
      <c r="C55" s="292"/>
      <c r="D55" s="934" t="s">
        <v>166</v>
      </c>
      <c r="E55" s="863">
        <v>6000.0</v>
      </c>
      <c r="I55" s="292"/>
      <c r="J55" s="292"/>
    </row>
    <row r="56" ht="15.75" customHeight="1">
      <c r="C56" s="292"/>
      <c r="D56" s="934" t="s">
        <v>300</v>
      </c>
      <c r="E56" s="865">
        <f>30/60</f>
        <v>0.5</v>
      </c>
      <c r="I56" s="292"/>
      <c r="J56" s="292"/>
    </row>
    <row r="57" ht="15.75" customHeight="1">
      <c r="C57" s="292"/>
      <c r="D57" s="934" t="s">
        <v>286</v>
      </c>
      <c r="E57" s="865">
        <v>15.75</v>
      </c>
      <c r="I57" s="292"/>
      <c r="J57" s="292"/>
    </row>
    <row r="58" ht="15.75" customHeight="1">
      <c r="C58" s="292"/>
      <c r="D58" s="292"/>
      <c r="E58" s="292"/>
      <c r="I58" s="292"/>
      <c r="J58" s="292"/>
    </row>
    <row r="59" ht="15.75" customHeight="1">
      <c r="C59" s="292"/>
      <c r="D59" s="292"/>
      <c r="E59" s="925">
        <f>E55*E56*E57</f>
        <v>47250</v>
      </c>
      <c r="I59" s="292"/>
      <c r="J59" s="292"/>
    </row>
    <row r="60" ht="15.75" customHeight="1">
      <c r="C60" s="292"/>
      <c r="D60" s="292"/>
      <c r="E60" s="292"/>
      <c r="I60" s="292"/>
      <c r="J60" s="292"/>
    </row>
    <row r="61" ht="15.75" customHeight="1">
      <c r="C61" s="292" t="s">
        <v>679</v>
      </c>
      <c r="D61" s="292" t="s">
        <v>41</v>
      </c>
      <c r="E61" s="292"/>
      <c r="I61" s="292"/>
      <c r="J61" s="292"/>
    </row>
    <row r="62" ht="15.75" customHeight="1">
      <c r="C62" s="292"/>
      <c r="D62" s="292"/>
      <c r="E62" s="292"/>
      <c r="I62" s="292"/>
      <c r="J62" s="292"/>
    </row>
    <row r="63" ht="15.75" customHeight="1">
      <c r="C63" s="292"/>
      <c r="D63" s="934" t="s">
        <v>166</v>
      </c>
      <c r="E63" s="863">
        <v>6000.0</v>
      </c>
      <c r="I63" s="292"/>
      <c r="J63" s="292"/>
    </row>
    <row r="64" ht="15.75" customHeight="1">
      <c r="C64" s="292"/>
      <c r="D64" s="934" t="s">
        <v>300</v>
      </c>
      <c r="E64" s="865">
        <f>20/60</f>
        <v>0.3333333333</v>
      </c>
      <c r="I64" s="292"/>
      <c r="J64" s="292"/>
    </row>
    <row r="65" ht="15.75" customHeight="1">
      <c r="C65" s="292"/>
      <c r="D65" s="934" t="s">
        <v>286</v>
      </c>
      <c r="E65" s="865">
        <v>15.75</v>
      </c>
      <c r="I65" s="292"/>
      <c r="J65" s="292"/>
    </row>
    <row r="66" ht="15.75" customHeight="1">
      <c r="C66" s="292"/>
      <c r="D66" s="292"/>
      <c r="E66" s="292"/>
      <c r="I66" s="292"/>
      <c r="J66" s="292"/>
    </row>
    <row r="67" ht="15.75" customHeight="1">
      <c r="C67" s="292"/>
      <c r="D67" s="292"/>
      <c r="E67" s="925">
        <f>E63*E64*E65</f>
        <v>31500</v>
      </c>
      <c r="I67" s="292"/>
      <c r="J67" s="292"/>
    </row>
  </sheetData>
  <printOptions/>
  <pageMargins bottom="0.75" footer="0.0" header="0.0" left="0.7" right="0.7" top="0.75"/>
  <pageSetup orientation="landscape"/>
  <drawing r:id="rId1"/>
</worksheet>
</file>